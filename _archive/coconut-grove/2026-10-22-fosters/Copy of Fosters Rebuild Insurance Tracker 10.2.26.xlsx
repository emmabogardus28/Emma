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24226"/>
  <mc:AlternateContent xmlns:mc="http://schemas.openxmlformats.org/markup-compatibility/2006">
    <mc:Choice Requires="x15">
      <x15ac:absPath xmlns:x15ac="http://schemas.microsoft.com/office/spreadsheetml/2010/11/ac" url="J:\JH PROPERTIES\COCONUT GROVE\TENANTS\Foster's Kitchen\"/>
    </mc:Choice>
  </mc:AlternateContent>
  <xr:revisionPtr revIDLastSave="0" documentId="13_ncr:1_{43579FB1-D731-4DFE-97B6-ABA0DBA7E753}" xr6:coauthVersionLast="47" xr6:coauthVersionMax="47" xr10:uidLastSave="{00000000-0000-0000-0000-000000000000}"/>
  <bookViews>
    <workbookView xWindow="-120" yWindow="-120" windowWidth="29040" windowHeight="15720" firstSheet="5" activeTab="5" xr2:uid="{00000000-000D-0000-FFFF-FFFF00000000}"/>
  </bookViews>
  <sheets>
    <sheet name="Executive Summary" sheetId="1" state="hidden" r:id="rId1"/>
    <sheet name="Tenant Delinquency" sheetId="2" state="hidden" r:id="rId2"/>
    <sheet name="COVID 19-Rent Recovery" sheetId="4" state="hidden" r:id="rId3"/>
    <sheet name="Tenant COI Tracking " sheetId="3" state="hidden" r:id="rId4"/>
    <sheet name="Tenant Maintenance Tracking" sheetId="5" state="hidden" r:id="rId5"/>
    <sheet name="Fosters Rebuild Costs" sheetId="7" r:id="rId6"/>
    <sheet name="Distributions" sheetId="8" r:id="rId7"/>
  </sheets>
  <definedNames>
    <definedName name="_xlnm.Print_Area" localSheetId="2">'COVID 19-Rent Recovery'!$A$1:$K$16</definedName>
    <definedName name="_xlnm.Print_Area" localSheetId="0">'Executive Summary'!$A$1:$I$51</definedName>
    <definedName name="_xlnm.Print_Area" localSheetId="5">'Fosters Rebuild Costs'!$A$1:$E$87</definedName>
    <definedName name="_xlnm.Print_Area" localSheetId="3">'Tenant COI Tracking '!$A$1:$G$32</definedName>
    <definedName name="_xlnm.Print_Area" localSheetId="1">'Tenant Delinquency'!$A$1:$I$19</definedName>
    <definedName name="_xlnm.Print_Area" localSheetId="4">'Tenant Maintenance Tracking'!$A$1:$E$28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7" l="1"/>
  <c r="E79" i="7"/>
  <c r="D19" i="7"/>
  <c r="D79" i="7"/>
  <c r="D66" i="7"/>
  <c r="B17" i="8"/>
  <c r="B17" i="7"/>
  <c r="B49" i="7"/>
  <c r="B48" i="7"/>
  <c r="B32" i="7"/>
  <c r="B45" i="7" s="1"/>
  <c r="D45" i="7" s="1"/>
  <c r="B72" i="7"/>
  <c r="B79" i="7"/>
  <c r="B50" i="7" l="1"/>
  <c r="B52" i="7" s="1"/>
  <c r="B82" i="7" l="1"/>
  <c r="B85" i="7" s="1"/>
  <c r="D52" i="7"/>
  <c r="B14" i="2"/>
  <c r="K26" i="1" l="1"/>
  <c r="M26" i="1"/>
  <c r="P26" i="1"/>
  <c r="A3" i="3"/>
  <c r="A4" i="4"/>
  <c r="A3" i="2"/>
  <c r="B17" i="2"/>
  <c r="L26" i="1"/>
  <c r="N26" i="1"/>
  <c r="D13" i="1" l="1"/>
  <c r="E13" i="1" s="1"/>
  <c r="D18" i="1"/>
  <c r="E18" i="1" s="1"/>
  <c r="H19" i="1"/>
  <c r="I19" i="1" s="1"/>
  <c r="O13" i="4"/>
  <c r="Q13" i="4" s="1"/>
  <c r="R13" i="4" s="1"/>
  <c r="B13" i="4" s="1"/>
  <c r="B14" i="4" s="1"/>
  <c r="H16" i="1"/>
  <c r="I16" i="1" s="1"/>
  <c r="H18" i="1"/>
  <c r="I18" i="1" s="1"/>
  <c r="H8" i="4"/>
  <c r="H14" i="1"/>
  <c r="I14" i="1" s="1"/>
  <c r="D19" i="1"/>
  <c r="E19" i="1" s="1"/>
  <c r="D16" i="1"/>
  <c r="E16" i="1" s="1"/>
  <c r="G15" i="1"/>
  <c r="G17" i="1" s="1"/>
  <c r="F15" i="1"/>
  <c r="F17" i="1" s="1"/>
  <c r="F20" i="1" s="1"/>
  <c r="C15" i="1"/>
  <c r="C17" i="1" s="1"/>
  <c r="C20" i="1" s="1"/>
  <c r="B15" i="1"/>
  <c r="D14" i="1"/>
  <c r="E14" i="1" s="1"/>
  <c r="H13" i="1"/>
  <c r="I13" i="1" s="1"/>
  <c r="H6" i="2"/>
  <c r="D15" i="1" l="1"/>
  <c r="D17" i="1" s="1"/>
  <c r="D20" i="1" s="1"/>
  <c r="E20" i="1" s="1"/>
  <c r="H15" i="1"/>
  <c r="I15" i="1" s="1"/>
  <c r="B17" i="1"/>
  <c r="B20" i="1" s="1"/>
  <c r="G20" i="1"/>
  <c r="E15" i="1" l="1"/>
  <c r="E17" i="1"/>
  <c r="H17" i="1"/>
  <c r="H20" i="1" s="1"/>
  <c r="I20" i="1" s="1"/>
  <c r="I1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Emily Franklin</author>
  </authors>
  <commentList>
    <comment ref="G7" authorId="0" shapeId="0" xr:uid="{00000000-0006-0000-0100-000001000000}">
      <text>
        <r>
          <rPr>
            <b/>
            <sz val="9"/>
            <color indexed="81"/>
            <rFont val="Tahoma"/>
            <family val="2"/>
          </rPr>
          <t>Emily Franklin:</t>
        </r>
        <r>
          <rPr>
            <sz val="9"/>
            <color indexed="81"/>
            <rFont val="Tahoma"/>
            <family val="2"/>
          </rPr>
          <t xml:space="preserve">
Total Square Footage of all occupied suites and all new leases who have not taken possession of the space. Calculate manually </t>
        </r>
      </text>
    </comment>
    <comment ref="G8" authorId="0" shapeId="0" xr:uid="{00000000-0006-0000-0100-000002000000}">
      <text>
        <r>
          <rPr>
            <b/>
            <sz val="9"/>
            <color indexed="81"/>
            <rFont val="Tahoma"/>
            <family val="2"/>
          </rPr>
          <t>Emily Franklin:</t>
        </r>
        <r>
          <rPr>
            <sz val="9"/>
            <color indexed="81"/>
            <rFont val="Tahoma"/>
            <family val="2"/>
          </rPr>
          <t xml:space="preserve">
Percentage of spaces that are currently occupied by tenants. Found on Rent Roll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Emily Franklin</author>
  </authors>
  <commentList>
    <comment ref="M13" authorId="0" shapeId="0" xr:uid="{DF19E5FC-2022-4914-BEA0-C19A2EB644E7}">
      <text>
        <r>
          <rPr>
            <b/>
            <sz val="9"/>
            <color indexed="81"/>
            <rFont val="Tahoma"/>
            <family val="2"/>
          </rPr>
          <t>Emily Franklin:</t>
        </r>
        <r>
          <rPr>
            <sz val="9"/>
            <color indexed="81"/>
            <rFont val="Tahoma"/>
            <family val="2"/>
          </rPr>
          <t xml:space="preserve">
Per the 1st Amendment. </t>
        </r>
      </text>
    </comment>
  </commentList>
</comments>
</file>

<file path=xl/sharedStrings.xml><?xml version="1.0" encoding="utf-8"?>
<sst xmlns="http://schemas.openxmlformats.org/spreadsheetml/2006/main" count="382" uniqueCount="164">
  <si>
    <t>Executive Summary</t>
  </si>
  <si>
    <t>Coconut Grove</t>
  </si>
  <si>
    <t>Operations Manager</t>
  </si>
  <si>
    <t>Danielle Cebrero</t>
  </si>
  <si>
    <t>Assistant Property Manager:</t>
  </si>
  <si>
    <t>Audrey Verrette</t>
  </si>
  <si>
    <t>Square Feet:</t>
  </si>
  <si>
    <t>% Leased:</t>
  </si>
  <si>
    <t>% Occupied:</t>
  </si>
  <si>
    <t>CASH</t>
  </si>
  <si>
    <t>Monthly
Actual</t>
  </si>
  <si>
    <t>Monthly
Budget</t>
  </si>
  <si>
    <t>Variance</t>
  </si>
  <si>
    <t>% Change</t>
  </si>
  <si>
    <t>YTD                    Actual</t>
  </si>
  <si>
    <t>YTD                                         Budget</t>
  </si>
  <si>
    <t>Total Income</t>
  </si>
  <si>
    <t>Total Operating Expenses</t>
  </si>
  <si>
    <t>Net Operating Income</t>
  </si>
  <si>
    <t>Total Owners Expense</t>
  </si>
  <si>
    <t>Adjusted Net Operating Income</t>
  </si>
  <si>
    <t xml:space="preserve">Corporate G&amp;A Expenses </t>
  </si>
  <si>
    <t xml:space="preserve">Interest Expense </t>
  </si>
  <si>
    <t>Net Income after G&amp;A &amp; Interest</t>
  </si>
  <si>
    <t>Revenue  (per cash income statement)</t>
  </si>
  <si>
    <t>Operating Expenses (per cash income statement)</t>
  </si>
  <si>
    <t>Owner Expenses</t>
  </si>
  <si>
    <t>New Leases</t>
  </si>
  <si>
    <t>Chong Quin Hot Pot (old Outback space)</t>
  </si>
  <si>
    <t>Bowls Superfoods (old Bongo Bens)</t>
  </si>
  <si>
    <t>Term: 10 years w/2 5-yr Options
Rent: $8,979/mo ($3.00psf) with 3% annual increases plus 5% Percentage Rent and NNNs
RCD: Earlier of Open for Business or 180 days from obtaining permits
TIA: $193K
LOI is being finalized and then lease will be negotiated.</t>
  </si>
  <si>
    <t>Executed Renewals (12 months from current period)</t>
  </si>
  <si>
    <t>ABC Store 75 (SF 3,000)</t>
  </si>
  <si>
    <t>Kona Gear (SF 962)</t>
  </si>
  <si>
    <t>Renewals (12 months from current period)</t>
  </si>
  <si>
    <t>Big Island Running (525 sf)</t>
  </si>
  <si>
    <t>Renewal Period: 11/1/24-10/31/2029
Rent: $2,625/mo. - $5.00 psf, Annual 3% Increases                                                                                                                  Option: One (1), Five (5) year option                                                  
Management sent tenant LOI on January 11, 2024. Off is One (1), Five (5) year renewal at $6.00 PSF with 3% Annual Increases. Offer included One (1), Five (5)  Year Option at FMV. Tenant countered at $5.00 PSF. Landlord agreed and Amendment was signed on 2/7/2024.</t>
  </si>
  <si>
    <t>Café Kona (SF 994)</t>
  </si>
  <si>
    <t xml:space="preserve">Gross Sales Reporting (Trends &amp; Issues) </t>
  </si>
  <si>
    <t>Tenant Issues</t>
  </si>
  <si>
    <t>Foster's Fire</t>
  </si>
  <si>
    <t>Operation Issues</t>
  </si>
  <si>
    <t>Capital Projects / Tenant Improvements</t>
  </si>
  <si>
    <t>.</t>
  </si>
  <si>
    <t xml:space="preserve">Coconut Grove </t>
  </si>
  <si>
    <t>Operations Manager:</t>
  </si>
  <si>
    <t xml:space="preserve">%Occupied </t>
  </si>
  <si>
    <t>Tenant Delinquency</t>
  </si>
  <si>
    <t>Tenant</t>
  </si>
  <si>
    <t>Over $2,500</t>
  </si>
  <si>
    <t>Action Taken / Legal Update</t>
  </si>
  <si>
    <t>Lucasie</t>
  </si>
  <si>
    <t>Fosters</t>
  </si>
  <si>
    <t xml:space="preserve">Ocean's </t>
  </si>
  <si>
    <t>Balance due reflects 2024 PYC charge. Shirley Hull advised she is unable to pay the additional $1k each month towards the balance as she planned. Management asked if she can at least pay a couple of hundred dollars each month and Shirley said she will do what she can.</t>
  </si>
  <si>
    <t>Café Kona</t>
  </si>
  <si>
    <t>Total</t>
  </si>
  <si>
    <t xml:space="preserve"> </t>
  </si>
  <si>
    <t xml:space="preserve">Covid 10 - Deferred Rent Notes </t>
  </si>
  <si>
    <t xml:space="preserve">Outstanding </t>
  </si>
  <si>
    <t xml:space="preserve">Rent Recovery Agreement </t>
  </si>
  <si>
    <t>Taka Sushi</t>
  </si>
  <si>
    <t xml:space="preserve">Past due balance due to delayed opening. Tenant will pay back $26,581.50 beginning January 1, 2023 over the remainder of the term at $443.03/mo. </t>
  </si>
  <si>
    <t xml:space="preserve">RRC CALC. </t>
  </si>
  <si>
    <t>Total:</t>
  </si>
  <si>
    <t>Group</t>
  </si>
  <si>
    <t>Tracked</t>
  </si>
  <si>
    <t>COI on File</t>
  </si>
  <si>
    <t>COI in Compliance</t>
  </si>
  <si>
    <t>DOC on File</t>
  </si>
  <si>
    <t>DOC in Compliance</t>
  </si>
  <si>
    <t>Notes</t>
  </si>
  <si>
    <t>Coconut Grove Retail XIII LLC</t>
  </si>
  <si>
    <t>ABC Stores #75</t>
  </si>
  <si>
    <t>Yes</t>
  </si>
  <si>
    <t>No</t>
  </si>
  <si>
    <t>Big Island Running Company</t>
  </si>
  <si>
    <t>Kona Haven USA Corp./Cafe Kona</t>
  </si>
  <si>
    <t>Colors of Paradise Gallery</t>
  </si>
  <si>
    <t>yes</t>
  </si>
  <si>
    <t>Foster's Kitchen</t>
  </si>
  <si>
    <t xml:space="preserve">Tenant COI and endorsement pages are expired. Management following up on renewal. </t>
  </si>
  <si>
    <t>Gecko Girlz</t>
  </si>
  <si>
    <t>Gypsea Gelato</t>
  </si>
  <si>
    <t>Humpy's Big Island Alehouse</t>
  </si>
  <si>
    <t>Island Lava Java</t>
  </si>
  <si>
    <t>Jack's Diving Locker</t>
  </si>
  <si>
    <t xml:space="preserve">Tenant COI not in compliance for GL policy, no plate glass coverage. Management following up on docs. </t>
  </si>
  <si>
    <t>Kanaka Kava, Inc.</t>
  </si>
  <si>
    <t xml:space="preserve">Tenant COI expired. Management following up on renewal. </t>
  </si>
  <si>
    <t>Kona Gear</t>
  </si>
  <si>
    <t xml:space="preserve">Lucasie </t>
  </si>
  <si>
    <t>Tenant is in compliance with the exception of Auto Coverage. Management to follow up on policy.</t>
  </si>
  <si>
    <t>Laverne's</t>
  </si>
  <si>
    <t>Oceans Sports Bar and Grill</t>
  </si>
  <si>
    <t>Q Pot Kona</t>
  </si>
  <si>
    <t>%Occupied:</t>
  </si>
  <si>
    <t>Service</t>
  </si>
  <si>
    <t>Doc on File</t>
  </si>
  <si>
    <t>Doc in Compliance</t>
  </si>
  <si>
    <t>Cafe Kona</t>
  </si>
  <si>
    <t>Hood</t>
  </si>
  <si>
    <t>Management requested docs from tenant.</t>
  </si>
  <si>
    <t>Jack's Dive Locker</t>
  </si>
  <si>
    <t>HVAC</t>
  </si>
  <si>
    <t>Grease Interceptor</t>
  </si>
  <si>
    <t>Lucasie Limited</t>
  </si>
  <si>
    <t xml:space="preserve">Parking: Parking rates were updated mid year and we have seen consistent growth in Parking Revenue since the change. Parking revenue is up almost 100% from $18k in 2024 to $35k in 2025. Parking complaints have greatly reduced. Now the Village Businesses are concerned parking rates are too high in the Village. A portion of the 2024 parking revenue was applied to tenant accounts to help offset NNN charges. Coconut Grove Marketplace is very competitive. There is a parking ordinance being circulated through the County Council limiting rates to be charged. 
Humpy's and Laverne's: Third Amendment has been fully executed. Beginning July 1, 2025, and expiring on August 31, 2026, the Monthly Gross Rent that shall be due and payable shall equal the greater of (i) ten percent (10%) of gross sales plus sales tax on that amount and (ii) twenty-five thousand and 0/100 dollars ($25,000.00) each month (the “New Conditional Rent”). On September 1, 2026, Tenant shall resume paying Monthly Minimum Rent, Percentage Rent, and all Additional Rent due under the Lease. Landlord applied $11k security deposit to Humpy's outstanding balance. The remaining balance of $110,521.46 will be deferred through 8/31/26. 
Humpy's is looking to assign lease/sell the business; CEO of TS Restaurants liked the space and location. SVN waiting to hear back.  
Fosters - Kitchen fire occurred 7/1/25. Kona Pele and Tasty Kona were affected but were able to reopen within a day or two. Management worked with several vendors in both tenant spaces to mitigate damage. Kona Haven was able to reopen on 7/3/25. Fosters is undergoing insurance investigation and may be closed for several months. The cause of the fire seems to be from a fryer spark. Rents will be paid via the Insurance companies in the meantime. Final insurance inspection completed and rebuilding process will begin. Fosters has complained about parking and sent a breach of contract notice to Landlord. Response was sent to tenant's attorney on 9/12. The insurance company has released rent and NNN through the end of 2025. Demo has been completed and restoration planning has begun. Fosters is still complaining about parking and may use in renegotiation of opening back up. Landlord is negotiating restructure with tenant. 
Outback - PYC is resolved, termination fee was received, premises was returned to Landlord October 2025.
Kona Gear - SVN has replaced ceiling tiles and will keep track of any new leaks. </t>
  </si>
  <si>
    <t>Sales are up for December at Coconut Grove Marketplace:
- Big Island Running: $80,252 for December 2025, Up 8.7% from December 2024.
- Cafe Kona: $33,801 for December 2025, Up 1.7% from December 2024.
- ABC Stores: $537,658 for December 2025, Up 2.6% from December 2024.
- Kona Gear: $80,995 for December 2025, Up 9.2% from December 2024.
- Kanaka Kava: $29,195 for December 2025, Up 1.5% from December 2024.
- Ocean's: $142,623 for December 2025, Down 2.7% from December 2024.
- Island Lava Java: $473,006 for December 2025, Down 3.8% from December 2024.
- Gecko Girlz: $55,513 for December 2025, Up 10.5% from December 2024.
- Taka Sushi: $64,208 for December 2025, Up 2.4% from December 2024.</t>
  </si>
  <si>
    <t>Ocean's Sports Bar and Grill</t>
  </si>
  <si>
    <t>Lease Expiration Date: 12/31/2030
Rent: $8.00 PSF                                                                                                                          
Option: Tenant has one (1) remaining, five (5) year option. Notice due 120 days prior to expiration.  
Notes: Tenant exercised one of its remaining two options to extend the term at $8/PSF. Second Amendment was executed
 on 7/17/25. New lease term commenced 1/1/2026.</t>
  </si>
  <si>
    <t>Balance due reflects 5/25, 8/25 and 1/26 NNN short pays offset by PYC credit. Management revised 2024 PYC which resulted in a credit of $1k. Working with Nir Levav to pay the remaining balance.</t>
  </si>
  <si>
    <t>Lease Expiration Date: 3/31/2029
Rent: $6.70 PSF for 3 years/$80.40 PSF, plus NNNs  
Percentage Rent: Remains at 10%, including the 1% marketing fee                                                                                                                       
Option: Tenant has one (1) remaining, three (3) year option with a 3% Base Rent increase. 
Termination Option: 150-day notice with a $10,000 termination fee/buyout. 
Notes: Landlord to repair ceiling leak and plumbing in Laverne's space. 
New lease term commences 4/1/2026</t>
  </si>
  <si>
    <t xml:space="preserve">Lease Expiration Date: 8/31/2026
Rent: $3.67 PSF                                                                                                                          
Option: Tenant has one (1) remaining, five (5) year option at FMV. Notice due 270 days prior to expiration.  
Notes: Tenant would like to renew but has concerns regarding parking rates. They feel more comfortable knowing that Foster's will reopen. Pending receipt of FMV offer from Tenant. Management continues to check-in. </t>
  </si>
  <si>
    <t xml:space="preserve">Parking: Parking rates were updated mid year and we have seen consistent growth in Parking Revenue since the change. Parking revenue is up almost 100% from $18k in 2024 to $35k in 2025. Parking complaints have greatly reduced. Now the Village Businesses are concerned parking rates are too high in the Village. A portion of the 2024 parking revenue was applied to tenant accounts to help offset NNN charges. Coconut Grove Marketplace is very competitive. There is a parking ordinance being circulated through the County Council limiting rates to be charged. 
Humpy's and Laverne's: Third Amendment has been fully executed. Beginning July 1, 2025, and expiring on August 31, 2026, the Monthly Gross Rent that shall be due and payable shall equal the greater of (i) ten percent (10%) of gross sales plus sales tax on that amount and (ii) twenty-five thousand and 0/100 dollars ($25,000.00) each month (the “New Conditional Rent”). On September 1, 2026, Tenant shall resume paying Monthly Minimum Rent, Percentage Rent, and all Additional Rent due under the Lease. Landlord applied $11k security deposit to Humpy's outstanding balance. The remaining balance of $110,521.46 will be deferred through 8/31/26. 
Humpy's is looking to assign lease/sell the business; CEO of TS Restaurants liked the space and location. SVN waiting to hear back.  
Fosters - Kitchen fire occurred 7/1/25. Kona Pele and Tasty Kona were affected but were able to reopen within a day or two. Management worked with several vendors in both tenant spaces to mitigate damage. Kona Haven was able to reopen on 7/3/25. Fosters is undergoing insurance investigation and may be closed for several months. The cause of the fire seems to be from a fryer spark. Rents will be paid via the Insurance companies in the meantime. Final insurance inspection completed and rebuilding process will begin. Fosters has complained about parking and sent a breach of contract notice to Landlord. Response was sent to tenant's attorney on 9/12. The insurance company has released rent and NNN through the end of 2025. Demo has been completed and restoration planning has begun. Fosters is still complaining about parking and may use in renegotiation of opening back up. Landlord is negotiating restructure with tenant. </t>
  </si>
  <si>
    <t xml:space="preserve">Balance due reflected 2023 and 2024 PYC charges ($15K) as well as 1/26 and 2/26 charges ($48K) - insurance payment received after cycle close. Landlord working with tenant on new agreement. </t>
  </si>
  <si>
    <t xml:space="preserve">Tenant DOC/ WOS expired. Management following up on renewal. </t>
  </si>
  <si>
    <t xml:space="preserve">COI and additional endorsement pages expired. Management following up on renewal. </t>
  </si>
  <si>
    <t>March 2026</t>
  </si>
  <si>
    <t>Balance due reflects 2024 PYC. Tenant is paying towards balance each month.</t>
  </si>
  <si>
    <r>
      <t xml:space="preserve">Term: 10 years w/2 5-yr Options
Rent: $13,000 YR 1-2 with increases in years 3 &amp; 6
RCD: Earlier of Open for Business or 240 days from Possession 
Estimated RCD: 6/25/26
Lease has been fully executed and tenant is designing space for permitting. Tenant has finalized plans and submitting to County for permits. Satisfaction of Contingencies letter sent 10/28/25. </t>
    </r>
    <r>
      <rPr>
        <b/>
        <sz val="11"/>
        <color rgb="FF000000"/>
        <rFont val="Arial"/>
        <family val="2"/>
      </rPr>
      <t xml:space="preserve">Tenant has paid first month's rent and Security Deposit. Tenant has submitted plans and is in Health Department for permitting. Minor issue surfaced on enclosing the patio and mechanical drawings have been resubmitted to the County of Hawaii, EPIC. Paper plans were also sent express mail to Kona for hand delivery and processing at the State of Hawaii, Department of Health, Sanitation Branch. The EPIC review  was completed fairly quick and returned to tenant in early March. Tenant distributed the comments by EPIC to their engineers and are awaiting revisions. </t>
    </r>
  </si>
  <si>
    <t>Foster's Kitchen fire incident was reported on 7/1/25, and Foster's has been closed since that date. Tasty Kona and Café Kona were closed until 7/5/25 due to water damage and electrical concerns. The fire and water damage remediation work has been completed, and the restoration proposals are being reviewed by the adjuster. Insurance payment of $250K was received to cover rent from the date of the incident to December 2025 as well as some of the cleaning and demo work. Management received an additional $190k to cover restoration costs and 2026 rent and impounds. Contract was signed and deposit check was mailed to Premier Hawaii Restoration.</t>
  </si>
  <si>
    <r>
      <rPr>
        <sz val="11"/>
        <color rgb="FF000000"/>
        <rFont val="Arial"/>
        <family val="2"/>
      </rPr>
      <t xml:space="preserve">Parking Lot - SVN received bids slurry/seal and stipe of the parking lot, but the original set came in high. SVN obtaining additional bids for Landlord review. 
</t>
    </r>
    <r>
      <rPr>
        <sz val="11"/>
        <color rgb="FFFF0000"/>
        <rFont val="Arial"/>
        <family val="2"/>
      </rPr>
      <t xml:space="preserve">
</t>
    </r>
    <r>
      <rPr>
        <sz val="11"/>
        <color rgb="FF000000"/>
        <rFont val="Arial"/>
        <family val="2"/>
      </rPr>
      <t xml:space="preserve">Elevator Lava Java - Elevator mod has been completed all deficiencies have been addressed. Pending final state re-inspection before the permit is issued and final payment released. 
Bee infestation - Vendor has been hired to remove bees and coconut trees are being trimmed to limit bee attraction. SVN to monitor trash cleanliness and management working with bee vendor to divert feeders away from storefronts. SVN is researching trash can covers to prevent bees from accessing trash. 
Monument Sign Kuakini - Sign was damaged during the recent storms and SVN is obtaining bids to replace. 
Irrigation repairs - SVN replacing damaged irrigation.
Humpies Roof - Has been completed with new coating and all old machinery has been removed.
Concrete Curbing to be replaced - contractor will be addressing this in April. 
</t>
    </r>
    <r>
      <rPr>
        <sz val="11"/>
        <color rgb="FFFF0000"/>
        <rFont val="Arial"/>
        <family val="2"/>
      </rPr>
      <t xml:space="preserve">
</t>
    </r>
    <r>
      <rPr>
        <sz val="11"/>
        <color rgb="FF000000"/>
        <rFont val="Arial"/>
        <family val="2"/>
      </rPr>
      <t xml:space="preserve">Paid Parking w. Parklinq -  In March 2026, Coconut Grove Marketplace generated </t>
    </r>
    <r>
      <rPr>
        <b/>
        <sz val="11"/>
        <color rgb="FF000000"/>
        <rFont val="Arial"/>
        <family val="2"/>
      </rPr>
      <t>$37,506.13</t>
    </r>
    <r>
      <rPr>
        <sz val="11"/>
        <color rgb="FF000000"/>
        <rFont val="Arial"/>
        <family val="2"/>
      </rPr>
      <t xml:space="preserve"> in net revenue, reflecting a</t>
    </r>
    <r>
      <rPr>
        <b/>
        <sz val="11"/>
        <color rgb="FF000000"/>
        <rFont val="Arial"/>
        <family val="2"/>
      </rPr>
      <t xml:space="preserve"> 3% increase</t>
    </r>
    <r>
      <rPr>
        <sz val="11"/>
        <color rgb="FF000000"/>
        <rFont val="Arial"/>
        <family val="2"/>
      </rPr>
      <t xml:space="preserve"> from February’s $36,382.63. Year-over-year, revenue increased </t>
    </r>
    <r>
      <rPr>
        <b/>
        <sz val="11"/>
        <color rgb="FF000000"/>
        <rFont val="Arial"/>
        <family val="2"/>
      </rPr>
      <t>64%</t>
    </r>
    <r>
      <rPr>
        <sz val="11"/>
        <color rgb="FF000000"/>
        <rFont val="Arial"/>
        <family val="2"/>
      </rPr>
      <t xml:space="preserve"> compared to March 2025’s $22,925.78. Parking Activity: A total of 3,880 vehicles paid for parking in March, generating $37,608.84 in revenue. Each parking stall produced an average of $561.33, with an average length of stay of 3 hours. Sunday was the busiest day, and peak activity remained consistent between 4:00 PM and 7:00 PM. . </t>
    </r>
    <r>
      <rPr>
        <b/>
        <sz val="11"/>
        <color rgb="FF000000"/>
        <rFont val="Arial"/>
        <family val="2"/>
      </rPr>
      <t xml:space="preserve">Parking rates updated as of August 2025: $12.50/hr; $35 max, 3 hours free parking for locals and 50% off visitors. Locals may receive 50% off after three hours with validation, $12/max. Management is working with Parklinq to update tenant parking registrations.
</t>
    </r>
    <r>
      <rPr>
        <sz val="11"/>
        <color rgb="FFFF0000"/>
        <rFont val="Arial"/>
        <family val="2"/>
      </rPr>
      <t xml:space="preserve">
</t>
    </r>
    <r>
      <rPr>
        <sz val="11"/>
        <color rgb="FF000000"/>
        <rFont val="Arial"/>
        <family val="2"/>
      </rPr>
      <t>Tourism: Overall air count down up by 6.7% island wide. West Hawaii was up 4.5%. Hotel occupancy is about 76% which is 1.4 % down from 2025 in West Hawaii and 0.4% down in the Kohala Coast. University of Hawaii Economic Office is projecting Hawaii will be in a recession in 2026.</t>
    </r>
  </si>
  <si>
    <t xml:space="preserve">MTD Expenses variance is minimal. </t>
  </si>
  <si>
    <t xml:space="preserve">MTD Owner expenses variance is under budget due to:
- $731.6k - Foster's restoration work offset by insurance payment. 
- $4k - Contingencies not fully utilized for general repairs/maint., legal and professional fees. </t>
  </si>
  <si>
    <t xml:space="preserve">YTD Owner expenses variance is over budget due to:
- $722.8k - Foster's restoration work offset by insurance payment. 
- $2.2k - Contingencies not fully utilized for general repairs/maint., marketing and postage/shipping fees. </t>
  </si>
  <si>
    <t xml:space="preserve">YTD Expenses are under budget due to:
- $10.3k - Lower than allocated property insurance.
- $17.3k - Timing of security invoices, will be paid in April. 
- $6k -  Refund for duplicate payment of plumbing invoices (paid by SVN and Athena) offset by plumbing repair. 
- $16k - Contingency not full utilized for landscape consumables.
Offset by:
- ($8k) - Higher than allocated beekeeping ($4k) and parking lot light repairs ($4k). </t>
  </si>
  <si>
    <t xml:space="preserve">1) Parking Lot Sealing and Striping - SVN obtaining bids.
2) UIC Well - Bongo Ben's - Bid approved for 2026 maintenance. Working on contract with vendor. 
3) TS Restaurants is passing on the space for now.	 Alex Blust and Sammy Hagar are looking at putting a two concepts, Sammy Hagar Bar and Grill and Cabo Wabo in Kona. Cabo Wabo would be in Lavernes.
4) Foster's Kitchen - Tenant negotiating agreement with Landlord and looking to reopen by mid-summer or early fall. </t>
  </si>
  <si>
    <t xml:space="preserve">MTD Revenue variance is over budget due to:
- $47.5k - Insurance payment from Fosters received in March and applied to February past due balances. 
- $6.4k - Higher than allocated parking income.
- $6k - Kona Gear PCR payment ($3.5k) and unbudgeted marketing income ($2.3k) plus GET.
Offset by:
- ($15k) - Island Lava Java 2/26 PCR not received.  </t>
  </si>
  <si>
    <t xml:space="preserve">YTD Revenue variance is over budget due to:
- $24.7k - Higher than allocated parking income. 
Offset by:
- ($16.5k) - Island Lava Java 2/26 PCR not received. </t>
  </si>
  <si>
    <t xml:space="preserve">Sales for several stores were down 5-10%, but we had a jump in sales from ABC, Oceans, Gecko, Cafe Kona, and Kona Gear:
- ABC Stores: $585,537 for March 2026, Up 10.7% from March 2025.
- Ocean's: $167,370 for March 2026, Up 16.7% from March 2025.
- Gecko Girlz: $70,010 for March 2026, Up 29.5% from March 2025.
- Cafe Kona: $33,602 for March 2026, Up 5% from March 2025.
- Kona Gear: $126,901 for March 2026, Up 21.5% from March 2025.
- Big Island Running: $67,502 for March 2026, Down 9.2% from March 2025.
- Kanaka Kava: $27,847 for March 2026, Down 5.1% from March 2025.
- Humpy's: $291,360 for March 2026, Down 11% from March 2025.
- Laverne's: $91,203 for March 2026, Down 4% from March 2025.
- Island Lava Java: $493,692 for March 2026, Down 3.4% from March 2025.
- Gypsea Gelato: $61,004 for March 2026, Down 0.3% from March 2025.
- Taka Sushi: $23,889 for March 2026, Down 63.6% from March 2025. Tenant was closed for vacation in February and March was slow.  </t>
  </si>
  <si>
    <t>c</t>
  </si>
  <si>
    <t>Payments Received</t>
  </si>
  <si>
    <t>Construction Management Fee</t>
  </si>
  <si>
    <t>Remaining Rent</t>
  </si>
  <si>
    <t>Balance</t>
  </si>
  <si>
    <t>Rent and NNN To Date</t>
  </si>
  <si>
    <t>Fosters Mechanical fee</t>
  </si>
  <si>
    <t>Dry off panel board from water, turn on circuit breakers 50% Dep</t>
  </si>
  <si>
    <t xml:space="preserve">Diagnose a problem </t>
  </si>
  <si>
    <t>Foster Fire Claim</t>
  </si>
  <si>
    <t>Foster Restoration</t>
  </si>
  <si>
    <t>Café Kona Restoration</t>
  </si>
  <si>
    <t xml:space="preserve">Foster Insurance claim </t>
  </si>
  <si>
    <t>Expenses to Date</t>
  </si>
  <si>
    <t>Future Expenses</t>
  </si>
  <si>
    <t>Total Paid Expenses to Date and Forecasted</t>
  </si>
  <si>
    <t>Kitchen Equipment</t>
  </si>
  <si>
    <t>Additional Kitchen Equipment</t>
  </si>
  <si>
    <t>Fosters Rebuild Insurance Tracker</t>
  </si>
  <si>
    <t>Foster Restoration - Premier</t>
  </si>
  <si>
    <t>Foster Restoration - Premier Demolition</t>
  </si>
  <si>
    <t>As of 10/2/26</t>
  </si>
  <si>
    <t>Bargreen Elligson INC</t>
  </si>
  <si>
    <t>Bargreen Elligson INC Kitchen Equipment</t>
  </si>
  <si>
    <t>SCL Builders LLC</t>
  </si>
  <si>
    <t>Koa Architects LLC</t>
  </si>
  <si>
    <t>Requested</t>
  </si>
  <si>
    <t>Remainng aout for Loss of Rent.  Brad Processing.</t>
  </si>
  <si>
    <t xml:space="preserve">Loss of rent payment. </t>
  </si>
  <si>
    <t>Construction Costs</t>
  </si>
  <si>
    <t xml:space="preserve">Is this construction? </t>
  </si>
  <si>
    <t>Remainng amout for Loss of Rent.  Brad Processing.</t>
  </si>
  <si>
    <t>Grase Trap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</si>
</sst>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_(* #,##0_);_(* \(#,##0\);_(* &quot;-&quot;??_);_(@_)"/>
  </numFmts>
  <fonts count="4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b/>
      <sz val="10"/>
      <name val="Arial"/>
      <family val="2"/>
    </font>
    <font>
      <sz val="11"/>
      <name val="Arial"/>
      <family val="2"/>
    </font>
    <font>
      <sz val="9"/>
      <color indexed="81"/>
      <name val="Tahoma"/>
      <family val="2"/>
    </font>
    <font>
      <b/>
      <sz val="9"/>
      <color indexed="81"/>
      <name val="Tahoma"/>
      <family val="2"/>
    </font>
    <font>
      <b/>
      <sz val="11"/>
      <name val="Arial"/>
      <family val="2"/>
    </font>
    <font>
      <sz val="9"/>
      <name val="Arial"/>
      <family val="2"/>
    </font>
    <font>
      <b/>
      <sz val="14"/>
      <name val="Arial"/>
      <family val="2"/>
    </font>
    <font>
      <b/>
      <sz val="9"/>
      <name val="Arial"/>
      <family val="2"/>
    </font>
    <font>
      <sz val="10"/>
      <name val="Arial"/>
      <family val="2"/>
    </font>
    <font>
      <b/>
      <i/>
      <sz val="11"/>
      <name val="Arial"/>
      <family val="2"/>
    </font>
    <font>
      <sz val="11"/>
      <name val="Arial"/>
      <family val="2"/>
    </font>
    <font>
      <sz val="10"/>
      <name val="Arial"/>
      <family val="2"/>
    </font>
    <font>
      <sz val="10"/>
      <name val="Arial"/>
      <family val="2"/>
    </font>
    <font>
      <sz val="10"/>
      <color rgb="FF000000"/>
      <name val="Arial"/>
      <family val="2"/>
    </font>
    <font>
      <sz val="10"/>
      <color rgb="FFFF0000"/>
      <name val="Arial"/>
      <family val="2"/>
    </font>
    <font>
      <sz val="11"/>
      <color rgb="FFFF0000"/>
      <name val="Arial"/>
      <family val="2"/>
    </font>
    <font>
      <sz val="9"/>
      <color rgb="FFFF0000"/>
      <name val="Arial"/>
      <family val="2"/>
    </font>
    <font>
      <sz val="11"/>
      <color rgb="FF000000"/>
      <name val="Arial"/>
      <family val="2"/>
    </font>
    <font>
      <sz val="10"/>
      <name val="Arial"/>
      <family val="2"/>
    </font>
    <font>
      <b/>
      <i/>
      <sz val="10"/>
      <name val="Arial"/>
      <family val="2"/>
    </font>
    <font>
      <sz val="11"/>
      <name val="Calibri"/>
      <family val="2"/>
    </font>
    <font>
      <sz val="11"/>
      <color rgb="FF000000"/>
      <name val="Calibri"/>
      <family val="2"/>
    </font>
    <font>
      <b/>
      <sz val="12"/>
      <name val="Arial"/>
      <family val="2"/>
    </font>
    <font>
      <sz val="11"/>
      <color rgb="FFFF0000"/>
      <name val="Calibri"/>
      <family val="2"/>
      <scheme val="minor"/>
    </font>
    <font>
      <i/>
      <sz val="10"/>
      <name val="Arial"/>
      <family val="2"/>
    </font>
    <font>
      <b/>
      <sz val="11"/>
      <color rgb="FF000000"/>
      <name val="Arial"/>
      <family val="2"/>
    </font>
    <font>
      <b/>
      <u/>
      <sz val="11"/>
      <color theme="1"/>
      <name val="Calibri"/>
      <family val="2"/>
      <scheme val="minor"/>
    </font>
    <font>
      <b/>
      <u/>
      <sz val="10"/>
      <name val="Arial"/>
      <family val="2"/>
    </font>
  </fonts>
  <fills count="12">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bgColor rgb="FFFFFFFF"/>
      </patternFill>
    </fill>
    <fill>
      <patternFill patternType="solid">
        <fgColor theme="0" tint="-0.14999847407452621"/>
        <bgColor rgb="FF000000"/>
      </patternFill>
    </fill>
    <fill>
      <patternFill patternType="solid">
        <fgColor indexed="22"/>
        <bgColor indexed="64"/>
      </patternFill>
    </fill>
    <fill>
      <patternFill patternType="solid">
        <fgColor theme="0" tint="-0.14999847407452621"/>
        <bgColor rgb="FFFFFFFF"/>
      </patternFill>
    </fill>
    <fill>
      <patternFill patternType="solid">
        <fgColor theme="0" tint="-0.249977111117893"/>
        <bgColor indexed="64"/>
      </patternFill>
    </fill>
    <fill>
      <patternFill patternType="solid">
        <fgColor rgb="FFD9D9D9"/>
        <bgColor indexed="64"/>
      </patternFill>
    </fill>
    <fill>
      <patternFill patternType="solid">
        <fgColor theme="0" tint="-0.34998626667073579"/>
        <bgColor indexed="64"/>
      </patternFill>
    </fill>
    <fill>
      <patternFill patternType="solid">
        <fgColor rgb="FFFFFF00"/>
        <bgColor indexed="64"/>
      </patternFill>
    </fill>
  </fills>
  <borders count="2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bottom style="thin">
        <color rgb="FF000000"/>
      </bottom>
      <diagonal/>
    </border>
    <border>
      <left style="thin">
        <color indexed="64"/>
      </left>
      <right style="thin">
        <color indexed="64"/>
      </right>
      <top/>
      <bottom/>
      <diagonal/>
    </border>
    <border>
      <left/>
      <right style="thin">
        <color rgb="FF000000"/>
      </right>
      <top style="thin">
        <color indexed="64"/>
      </top>
      <bottom/>
      <diagonal/>
    </border>
    <border>
      <left style="thin">
        <color indexed="64"/>
      </left>
      <right style="thin">
        <color rgb="FF000000"/>
      </right>
      <top style="thin">
        <color rgb="FF000000"/>
      </top>
      <bottom/>
      <diagonal/>
    </border>
  </borders>
  <cellStyleXfs count="1066">
    <xf numFmtId="0" fontId="0" fillId="0" borderId="0"/>
    <xf numFmtId="43" fontId="14" fillId="0" borderId="0" applyFont="0" applyFill="0" applyBorder="0" applyAlignment="0" applyProtection="0"/>
    <xf numFmtId="43" fontId="28" fillId="0" borderId="0" applyFont="0" applyFill="0" applyBorder="0" applyAlignment="0" applyProtection="0"/>
    <xf numFmtId="43" fontId="16" fillId="0" borderId="0" applyFont="0" applyFill="0" applyBorder="0" applyAlignment="0" applyProtection="0"/>
    <xf numFmtId="43" fontId="29" fillId="0" borderId="0" applyFont="0" applyFill="0" applyBorder="0" applyAlignment="0" applyProtection="0"/>
    <xf numFmtId="44" fontId="14" fillId="0" borderId="0" applyFont="0" applyFill="0" applyBorder="0" applyAlignment="0" applyProtection="0"/>
    <xf numFmtId="44" fontId="28" fillId="0" borderId="0" applyFont="0" applyFill="0" applyBorder="0" applyAlignment="0" applyProtection="0"/>
    <xf numFmtId="44" fontId="16" fillId="0" borderId="0" applyFont="0" applyFill="0" applyBorder="0" applyAlignment="0" applyProtection="0"/>
    <xf numFmtId="44" fontId="29" fillId="0" borderId="0" applyFont="0" applyFill="0" applyBorder="0" applyAlignment="0" applyProtection="0"/>
    <xf numFmtId="0" fontId="30" fillId="0" borderId="0"/>
    <xf numFmtId="9" fontId="14" fillId="0" borderId="0" applyFont="0" applyFill="0" applyBorder="0" applyAlignment="0" applyProtection="0"/>
    <xf numFmtId="9" fontId="28" fillId="0" borderId="0" applyFont="0" applyFill="0" applyBorder="0" applyAlignment="0" applyProtection="0"/>
    <xf numFmtId="9" fontId="16" fillId="0" borderId="0" applyFont="0" applyFill="0" applyBorder="0" applyAlignment="0" applyProtection="0"/>
    <xf numFmtId="9" fontId="29" fillId="0" borderId="0" applyFont="0" applyFill="0" applyBorder="0" applyAlignment="0" applyProtection="0"/>
    <xf numFmtId="43" fontId="35" fillId="0" borderId="0" applyFont="0" applyFill="0" applyBorder="0" applyAlignment="0" applyProtection="0"/>
    <xf numFmtId="44" fontId="35" fillId="0" borderId="0" applyFont="0" applyFill="0" applyBorder="0" applyAlignment="0" applyProtection="0"/>
    <xf numFmtId="9" fontId="35" fillId="0" borderId="0" applyFont="0" applyFill="0" applyBorder="0" applyAlignment="0" applyProtection="0"/>
    <xf numFmtId="0" fontId="13"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xf numFmtId="44" fontId="14" fillId="0" borderId="0" applyFont="0" applyFill="0" applyBorder="0" applyAlignment="0" applyProtection="0"/>
    <xf numFmtId="9" fontId="14" fillId="0" borderId="0" applyFont="0" applyFill="0" applyBorder="0" applyAlignment="0" applyProtection="0"/>
    <xf numFmtId="0" fontId="12" fillId="0" borderId="0"/>
    <xf numFmtId="0" fontId="11" fillId="0" borderId="0"/>
    <xf numFmtId="0" fontId="11"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cellStyleXfs>
  <cellXfs count="315">
    <xf numFmtId="0" fontId="0" fillId="0" borderId="0" xfId="0"/>
    <xf numFmtId="0" fontId="22" fillId="0" borderId="0" xfId="0" applyFont="1"/>
    <xf numFmtId="0" fontId="25" fillId="0" borderId="0" xfId="0" applyFont="1"/>
    <xf numFmtId="49" fontId="24" fillId="0" borderId="6" xfId="0" applyNumberFormat="1" applyFont="1" applyBorder="1" applyAlignment="1">
      <alignment horizontal="right"/>
    </xf>
    <xf numFmtId="49" fontId="24" fillId="0" borderId="7" xfId="0" applyNumberFormat="1" applyFont="1" applyBorder="1" applyAlignment="1">
      <alignment horizontal="right"/>
    </xf>
    <xf numFmtId="49" fontId="24" fillId="0" borderId="8" xfId="0" applyNumberFormat="1" applyFont="1" applyBorder="1" applyAlignment="1">
      <alignment horizontal="right"/>
    </xf>
    <xf numFmtId="0" fontId="22" fillId="0" borderId="0" xfId="0" applyFont="1" applyAlignment="1">
      <alignment horizontal="right"/>
    </xf>
    <xf numFmtId="0" fontId="26" fillId="2" borderId="9" xfId="0" applyFont="1" applyFill="1" applyBorder="1"/>
    <xf numFmtId="0" fontId="21" fillId="2" borderId="10" xfId="0" applyFont="1" applyFill="1" applyBorder="1" applyAlignment="1">
      <alignment horizontal="center" wrapText="1"/>
    </xf>
    <xf numFmtId="0" fontId="21" fillId="2" borderId="10" xfId="0" applyFont="1" applyFill="1" applyBorder="1" applyAlignment="1">
      <alignment horizontal="center"/>
    </xf>
    <xf numFmtId="0" fontId="21" fillId="2" borderId="11" xfId="0" applyFont="1" applyFill="1" applyBorder="1" applyAlignment="1">
      <alignment horizontal="center"/>
    </xf>
    <xf numFmtId="0" fontId="27" fillId="0" borderId="0" xfId="0" applyFont="1"/>
    <xf numFmtId="0" fontId="27" fillId="2" borderId="0" xfId="0" applyFont="1" applyFill="1"/>
    <xf numFmtId="0" fontId="27" fillId="0" borderId="0" xfId="0" applyFont="1" applyAlignment="1">
      <alignment vertical="center"/>
    </xf>
    <xf numFmtId="0" fontId="22" fillId="0" borderId="0" xfId="0" applyFont="1" applyAlignment="1">
      <alignment horizontal="center"/>
    </xf>
    <xf numFmtId="0" fontId="18" fillId="0" borderId="0" xfId="0" applyFont="1"/>
    <xf numFmtId="0" fontId="22" fillId="0" borderId="0" xfId="0" applyFont="1" applyAlignment="1">
      <alignment horizontal="left" vertical="center"/>
    </xf>
    <xf numFmtId="49" fontId="17" fillId="0" borderId="1" xfId="0" applyNumberFormat="1" applyFont="1" applyBorder="1" applyAlignment="1">
      <alignment horizontal="center"/>
    </xf>
    <xf numFmtId="49" fontId="17" fillId="0" borderId="2" xfId="0" applyNumberFormat="1" applyFont="1" applyBorder="1" applyAlignment="1">
      <alignment horizontal="center"/>
    </xf>
    <xf numFmtId="49" fontId="17" fillId="0" borderId="3" xfId="0" applyNumberFormat="1" applyFont="1" applyBorder="1" applyAlignment="1">
      <alignment horizontal="center"/>
    </xf>
    <xf numFmtId="0" fontId="17" fillId="0" borderId="4" xfId="0" applyFont="1" applyBorder="1" applyAlignment="1">
      <alignment horizontal="right"/>
    </xf>
    <xf numFmtId="49" fontId="17" fillId="0" borderId="5" xfId="0" applyNumberFormat="1" applyFont="1" applyBorder="1" applyAlignment="1">
      <alignment horizontal="center"/>
    </xf>
    <xf numFmtId="0" fontId="18" fillId="0" borderId="0" xfId="0" applyFont="1" applyAlignment="1">
      <alignment horizontal="left" wrapText="1"/>
    </xf>
    <xf numFmtId="0" fontId="18" fillId="0" borderId="0" xfId="0" applyFont="1" applyAlignment="1">
      <alignment horizontal="left" vertical="center" wrapText="1"/>
    </xf>
    <xf numFmtId="0" fontId="18" fillId="2" borderId="0" xfId="0" applyFont="1" applyFill="1"/>
    <xf numFmtId="0" fontId="18" fillId="0" borderId="0" xfId="0" applyFont="1" applyAlignment="1">
      <alignment vertical="center"/>
    </xf>
    <xf numFmtId="0" fontId="14" fillId="0" borderId="0" xfId="0" applyFont="1"/>
    <xf numFmtId="0" fontId="14" fillId="0" borderId="0" xfId="0" applyFont="1" applyAlignment="1">
      <alignment wrapText="1"/>
    </xf>
    <xf numFmtId="0" fontId="14" fillId="0" borderId="0" xfId="0" applyFont="1" applyAlignment="1">
      <alignment horizontal="left" wrapText="1"/>
    </xf>
    <xf numFmtId="0" fontId="21" fillId="3" borderId="1" xfId="0" applyFont="1" applyFill="1" applyBorder="1"/>
    <xf numFmtId="0" fontId="21" fillId="3" borderId="9" xfId="0" applyFont="1" applyFill="1" applyBorder="1"/>
    <xf numFmtId="0" fontId="18" fillId="3" borderId="10" xfId="0" applyFont="1" applyFill="1" applyBorder="1" applyAlignment="1">
      <alignment horizontal="center"/>
    </xf>
    <xf numFmtId="0" fontId="18" fillId="3" borderId="11" xfId="0" applyFont="1" applyFill="1" applyBorder="1" applyAlignment="1">
      <alignment horizontal="center"/>
    </xf>
    <xf numFmtId="44" fontId="22" fillId="0" borderId="0" xfId="5" applyFont="1"/>
    <xf numFmtId="44" fontId="22" fillId="0" borderId="0" xfId="0" applyNumberFormat="1" applyFont="1"/>
    <xf numFmtId="44" fontId="18" fillId="0" borderId="0" xfId="5" applyFont="1"/>
    <xf numFmtId="44" fontId="22" fillId="0" borderId="0" xfId="5" applyFont="1" applyAlignment="1">
      <alignment horizontal="left" vertical="center"/>
    </xf>
    <xf numFmtId="0" fontId="0" fillId="2" borderId="0" xfId="0" applyFill="1"/>
    <xf numFmtId="0" fontId="17" fillId="2" borderId="0" xfId="0" applyFont="1" applyFill="1" applyAlignment="1">
      <alignment horizontal="center" vertical="center"/>
    </xf>
    <xf numFmtId="3" fontId="17" fillId="2" borderId="16" xfId="0" applyNumberFormat="1" applyFont="1" applyFill="1" applyBorder="1" applyAlignment="1">
      <alignment horizontal="left"/>
    </xf>
    <xf numFmtId="10" fontId="17" fillId="2" borderId="16" xfId="0" applyNumberFormat="1" applyFont="1" applyFill="1" applyBorder="1" applyAlignment="1">
      <alignment horizontal="left"/>
    </xf>
    <xf numFmtId="49" fontId="24" fillId="2" borderId="17" xfId="0" applyNumberFormat="1" applyFont="1" applyFill="1" applyBorder="1" applyAlignment="1">
      <alignment horizontal="right"/>
    </xf>
    <xf numFmtId="49" fontId="24" fillId="2" borderId="18" xfId="0" applyNumberFormat="1" applyFont="1" applyFill="1" applyBorder="1" applyAlignment="1">
      <alignment horizontal="right"/>
    </xf>
    <xf numFmtId="10" fontId="24" fillId="2" borderId="19" xfId="0" applyNumberFormat="1" applyFont="1" applyFill="1" applyBorder="1" applyAlignment="1">
      <alignment horizontal="left"/>
    </xf>
    <xf numFmtId="0" fontId="0" fillId="2" borderId="12" xfId="0" applyFill="1" applyBorder="1"/>
    <xf numFmtId="0" fontId="14" fillId="2" borderId="12" xfId="0" applyFont="1" applyFill="1" applyBorder="1"/>
    <xf numFmtId="164" fontId="14" fillId="2" borderId="12" xfId="1" applyNumberFormat="1" applyFont="1" applyFill="1" applyBorder="1" applyAlignment="1">
      <alignment horizontal="center"/>
    </xf>
    <xf numFmtId="10" fontId="14" fillId="2" borderId="12" xfId="1" applyNumberFormat="1" applyFont="1" applyFill="1" applyBorder="1" applyAlignment="1">
      <alignment horizontal="right"/>
    </xf>
    <xf numFmtId="0" fontId="36" fillId="2" borderId="12" xfId="0" applyFont="1" applyFill="1" applyBorder="1"/>
    <xf numFmtId="164" fontId="36" fillId="2" borderId="12" xfId="1" applyNumberFormat="1" applyFont="1" applyFill="1" applyBorder="1" applyAlignment="1">
      <alignment horizontal="center"/>
    </xf>
    <xf numFmtId="10" fontId="36" fillId="2" borderId="12" xfId="1" applyNumberFormat="1" applyFont="1" applyFill="1" applyBorder="1" applyAlignment="1">
      <alignment horizontal="right"/>
    </xf>
    <xf numFmtId="0" fontId="14" fillId="2" borderId="12" xfId="0" applyFont="1" applyFill="1" applyBorder="1" applyAlignment="1">
      <alignment horizontal="left"/>
    </xf>
    <xf numFmtId="0" fontId="36" fillId="2" borderId="12" xfId="0" applyFont="1" applyFill="1" applyBorder="1" applyAlignment="1">
      <alignment horizontal="left"/>
    </xf>
    <xf numFmtId="0" fontId="36" fillId="2" borderId="14" xfId="0" applyFont="1" applyFill="1" applyBorder="1" applyAlignment="1">
      <alignment horizontal="left"/>
    </xf>
    <xf numFmtId="164" fontId="36" fillId="2" borderId="14" xfId="1" applyNumberFormat="1" applyFont="1" applyFill="1" applyBorder="1" applyAlignment="1">
      <alignment horizontal="center"/>
    </xf>
    <xf numFmtId="0" fontId="18" fillId="0" borderId="0" xfId="9" applyFont="1"/>
    <xf numFmtId="0" fontId="18" fillId="0" borderId="0" xfId="9" applyFont="1" applyAlignment="1">
      <alignment horizontal="center"/>
    </xf>
    <xf numFmtId="49" fontId="21" fillId="0" borderId="0" xfId="9" applyNumberFormat="1" applyFont="1" applyAlignment="1">
      <alignment horizontal="center"/>
    </xf>
    <xf numFmtId="0" fontId="18" fillId="0" borderId="2" xfId="9" applyFont="1" applyBorder="1" applyAlignment="1">
      <alignment horizontal="center"/>
    </xf>
    <xf numFmtId="0" fontId="18" fillId="0" borderId="3" xfId="9" applyFont="1" applyBorder="1" applyAlignment="1">
      <alignment horizontal="center"/>
    </xf>
    <xf numFmtId="0" fontId="21" fillId="0" borderId="0" xfId="9" applyFont="1"/>
    <xf numFmtId="0" fontId="21" fillId="0" borderId="0" xfId="9" applyFont="1" applyAlignment="1">
      <alignment horizontal="right"/>
    </xf>
    <xf numFmtId="3" fontId="21" fillId="0" borderId="0" xfId="9" applyNumberFormat="1" applyFont="1" applyAlignment="1">
      <alignment horizontal="right"/>
    </xf>
    <xf numFmtId="0" fontId="21" fillId="0" borderId="5" xfId="9" applyFont="1" applyBorder="1" applyAlignment="1">
      <alignment horizontal="center"/>
    </xf>
    <xf numFmtId="10" fontId="21" fillId="0" borderId="0" xfId="9" applyNumberFormat="1" applyFont="1" applyAlignment="1">
      <alignment horizontal="right"/>
    </xf>
    <xf numFmtId="0" fontId="21" fillId="0" borderId="6" xfId="9" applyFont="1" applyBorder="1" applyAlignment="1">
      <alignment horizontal="right"/>
    </xf>
    <xf numFmtId="0" fontId="21" fillId="0" borderId="7" xfId="9" applyFont="1" applyBorder="1"/>
    <xf numFmtId="10" fontId="21" fillId="0" borderId="7" xfId="9" applyNumberFormat="1" applyFont="1" applyBorder="1"/>
    <xf numFmtId="0" fontId="21" fillId="0" borderId="7" xfId="9" applyFont="1" applyBorder="1" applyAlignment="1">
      <alignment horizontal="center"/>
    </xf>
    <xf numFmtId="10" fontId="21" fillId="0" borderId="7" xfId="9" applyNumberFormat="1" applyFont="1" applyBorder="1" applyAlignment="1">
      <alignment horizontal="right"/>
    </xf>
    <xf numFmtId="0" fontId="21" fillId="0" borderId="8" xfId="9" applyFont="1" applyBorder="1" applyAlignment="1">
      <alignment horizontal="center"/>
    </xf>
    <xf numFmtId="0" fontId="21" fillId="6" borderId="12" xfId="9" applyFont="1" applyFill="1" applyBorder="1" applyAlignment="1">
      <alignment horizontal="center" vertical="center"/>
    </xf>
    <xf numFmtId="0" fontId="21" fillId="0" borderId="12" xfId="9" applyFont="1" applyBorder="1" applyAlignment="1">
      <alignment horizontal="left" vertical="center"/>
    </xf>
    <xf numFmtId="0" fontId="18" fillId="3" borderId="2" xfId="0" applyFont="1" applyFill="1" applyBorder="1" applyAlignment="1">
      <alignment horizontal="center"/>
    </xf>
    <xf numFmtId="0" fontId="18" fillId="3" borderId="3" xfId="0" applyFont="1" applyFill="1" applyBorder="1" applyAlignment="1">
      <alignment horizontal="center"/>
    </xf>
    <xf numFmtId="0" fontId="21" fillId="0" borderId="12" xfId="9" applyFont="1" applyBorder="1" applyAlignment="1">
      <alignment horizontal="center" vertical="center"/>
    </xf>
    <xf numFmtId="49" fontId="21" fillId="0" borderId="2" xfId="0" applyNumberFormat="1" applyFont="1" applyBorder="1" applyAlignment="1">
      <alignment horizontal="center"/>
    </xf>
    <xf numFmtId="49" fontId="21" fillId="0" borderId="3" xfId="0" applyNumberFormat="1" applyFont="1" applyBorder="1" applyAlignment="1">
      <alignment horizontal="center"/>
    </xf>
    <xf numFmtId="49" fontId="21" fillId="0" borderId="5" xfId="0" applyNumberFormat="1" applyFont="1" applyBorder="1" applyAlignment="1">
      <alignment horizontal="center"/>
    </xf>
    <xf numFmtId="49" fontId="17" fillId="0" borderId="6" xfId="0" applyNumberFormat="1" applyFont="1" applyBorder="1" applyAlignment="1">
      <alignment horizontal="center"/>
    </xf>
    <xf numFmtId="49" fontId="17" fillId="0" borderId="7" xfId="0" applyNumberFormat="1" applyFont="1" applyBorder="1" applyAlignment="1">
      <alignment horizontal="center"/>
    </xf>
    <xf numFmtId="49" fontId="21" fillId="0" borderId="7" xfId="0" applyNumberFormat="1" applyFont="1" applyBorder="1" applyAlignment="1">
      <alignment horizontal="center"/>
    </xf>
    <xf numFmtId="10" fontId="21" fillId="0" borderId="7" xfId="0" applyNumberFormat="1" applyFont="1" applyBorder="1" applyAlignment="1">
      <alignment horizontal="left"/>
    </xf>
    <xf numFmtId="49" fontId="17" fillId="0" borderId="8" xfId="0" applyNumberFormat="1" applyFont="1" applyBorder="1" applyAlignment="1">
      <alignment horizontal="center"/>
    </xf>
    <xf numFmtId="0" fontId="21" fillId="0" borderId="9" xfId="0" applyFont="1" applyBorder="1" applyAlignment="1">
      <alignment horizontal="left" vertical="center"/>
    </xf>
    <xf numFmtId="0" fontId="17" fillId="0" borderId="10" xfId="0" applyFont="1" applyBorder="1" applyAlignment="1">
      <alignment horizontal="center" vertical="center"/>
    </xf>
    <xf numFmtId="0" fontId="14" fillId="0" borderId="10" xfId="0" applyFont="1" applyBorder="1" applyAlignment="1">
      <alignment horizontal="left" vertical="center"/>
    </xf>
    <xf numFmtId="0" fontId="14" fillId="0" borderId="11" xfId="0" applyFont="1" applyBorder="1" applyAlignment="1">
      <alignment horizontal="left" vertical="center"/>
    </xf>
    <xf numFmtId="0" fontId="17" fillId="0" borderId="2" xfId="0" applyFont="1" applyBorder="1" applyAlignment="1">
      <alignment horizontal="center" vertical="center"/>
    </xf>
    <xf numFmtId="0" fontId="33" fillId="0" borderId="0" xfId="0" applyFont="1"/>
    <xf numFmtId="0" fontId="33" fillId="0" borderId="0" xfId="0" applyFont="1" applyAlignment="1">
      <alignment horizontal="center"/>
    </xf>
    <xf numFmtId="0" fontId="37" fillId="0" borderId="0" xfId="0" applyFont="1" applyAlignment="1">
      <alignment vertical="center" wrapText="1"/>
    </xf>
    <xf numFmtId="0" fontId="38" fillId="0" borderId="0" xfId="0" applyFont="1" applyAlignment="1">
      <alignment vertical="center" wrapText="1"/>
    </xf>
    <xf numFmtId="0" fontId="21" fillId="3" borderId="10" xfId="0" applyFont="1" applyFill="1" applyBorder="1" applyAlignment="1">
      <alignment horizontal="center"/>
    </xf>
    <xf numFmtId="0" fontId="21" fillId="3" borderId="11" xfId="0" applyFont="1" applyFill="1" applyBorder="1" applyAlignment="1">
      <alignment horizontal="center"/>
    </xf>
    <xf numFmtId="0" fontId="40" fillId="0" borderId="0" xfId="0" applyFont="1" applyAlignment="1">
      <alignment horizontal="left" vertical="top" wrapText="1"/>
    </xf>
    <xf numFmtId="0" fontId="21" fillId="3" borderId="1" xfId="0" applyFont="1" applyFill="1" applyBorder="1" applyAlignment="1">
      <alignment vertical="top"/>
    </xf>
    <xf numFmtId="0" fontId="18" fillId="0" borderId="0" xfId="0" applyFont="1" applyAlignment="1">
      <alignment vertical="top"/>
    </xf>
    <xf numFmtId="0" fontId="27" fillId="0" borderId="0" xfId="0" applyFont="1" applyAlignment="1">
      <alignment vertical="top"/>
    </xf>
    <xf numFmtId="0" fontId="17" fillId="3" borderId="9" xfId="0" applyFont="1" applyFill="1" applyBorder="1"/>
    <xf numFmtId="0" fontId="17" fillId="3" borderId="10" xfId="0" applyFont="1" applyFill="1" applyBorder="1" applyAlignment="1">
      <alignment horizontal="center"/>
    </xf>
    <xf numFmtId="0" fontId="17" fillId="3" borderId="11" xfId="0" applyFont="1" applyFill="1" applyBorder="1" applyAlignment="1">
      <alignment horizontal="center"/>
    </xf>
    <xf numFmtId="0" fontId="21" fillId="3" borderId="20" xfId="0" applyFont="1" applyFill="1" applyBorder="1"/>
    <xf numFmtId="0" fontId="18" fillId="3" borderId="21" xfId="0" applyFont="1" applyFill="1" applyBorder="1" applyAlignment="1">
      <alignment horizontal="center"/>
    </xf>
    <xf numFmtId="0" fontId="18" fillId="3" borderId="22" xfId="0" applyFont="1" applyFill="1" applyBorder="1" applyAlignment="1">
      <alignment horizontal="center"/>
    </xf>
    <xf numFmtId="0" fontId="17" fillId="0" borderId="0" xfId="0" applyFont="1" applyAlignment="1">
      <alignment horizontal="right"/>
    </xf>
    <xf numFmtId="0" fontId="17" fillId="0" borderId="0" xfId="0" applyFont="1"/>
    <xf numFmtId="0" fontId="24" fillId="2" borderId="7" xfId="0" applyFont="1" applyFill="1" applyBorder="1" applyAlignment="1">
      <alignment horizontal="right"/>
    </xf>
    <xf numFmtId="10" fontId="24" fillId="2" borderId="7" xfId="0" applyNumberFormat="1" applyFont="1" applyFill="1" applyBorder="1" applyAlignment="1">
      <alignment horizontal="left"/>
    </xf>
    <xf numFmtId="49" fontId="24" fillId="0" borderId="4" xfId="0" applyNumberFormat="1" applyFont="1" applyBorder="1" applyAlignment="1">
      <alignment horizontal="center"/>
    </xf>
    <xf numFmtId="49" fontId="24" fillId="0" borderId="0" xfId="0" applyNumberFormat="1" applyFont="1" applyAlignment="1">
      <alignment horizontal="center"/>
    </xf>
    <xf numFmtId="0" fontId="21" fillId="0" borderId="0" xfId="0" applyFont="1" applyAlignment="1">
      <alignment horizontal="right"/>
    </xf>
    <xf numFmtId="3" fontId="21" fillId="0" borderId="0" xfId="0" applyNumberFormat="1" applyFont="1" applyAlignment="1">
      <alignment horizontal="left"/>
    </xf>
    <xf numFmtId="0" fontId="21" fillId="0" borderId="0" xfId="0" applyFont="1"/>
    <xf numFmtId="10" fontId="21" fillId="0" borderId="0" xfId="10" applyNumberFormat="1" applyFont="1" applyFill="1" applyBorder="1" applyAlignment="1">
      <alignment horizontal="left"/>
    </xf>
    <xf numFmtId="0" fontId="14" fillId="0" borderId="4" xfId="0" applyFont="1" applyBorder="1"/>
    <xf numFmtId="0" fontId="14" fillId="0" borderId="0" xfId="0" applyFont="1" applyAlignment="1">
      <alignment horizontal="center"/>
    </xf>
    <xf numFmtId="0" fontId="31" fillId="0" borderId="0" xfId="0" applyFont="1" applyAlignment="1">
      <alignment horizontal="center"/>
    </xf>
    <xf numFmtId="49" fontId="24" fillId="0" borderId="5" xfId="0" applyNumberFormat="1" applyFont="1" applyBorder="1" applyAlignment="1">
      <alignment horizontal="center"/>
    </xf>
    <xf numFmtId="0" fontId="14" fillId="0" borderId="5" xfId="0" applyFont="1" applyBorder="1" applyAlignment="1">
      <alignment horizontal="center"/>
    </xf>
    <xf numFmtId="49" fontId="24" fillId="2" borderId="0" xfId="0" applyNumberFormat="1" applyFont="1" applyFill="1" applyAlignment="1">
      <alignment horizontal="center"/>
    </xf>
    <xf numFmtId="49" fontId="21" fillId="0" borderId="2" xfId="0" applyNumberFormat="1" applyFont="1" applyBorder="1" applyAlignment="1">
      <alignment horizontal="left"/>
    </xf>
    <xf numFmtId="49" fontId="21" fillId="0" borderId="1" xfId="0" applyNumberFormat="1" applyFont="1" applyBorder="1" applyAlignment="1">
      <alignment horizontal="right"/>
    </xf>
    <xf numFmtId="0" fontId="21" fillId="0" borderId="1" xfId="9" applyFont="1" applyBorder="1" applyAlignment="1">
      <alignment horizontal="right"/>
    </xf>
    <xf numFmtId="49" fontId="17" fillId="0" borderId="0" xfId="0" applyNumberFormat="1" applyFont="1" applyAlignment="1">
      <alignment horizontal="center"/>
    </xf>
    <xf numFmtId="49" fontId="17" fillId="0" borderId="4" xfId="0" applyNumberFormat="1" applyFont="1" applyBorder="1" applyAlignment="1">
      <alignment horizontal="right"/>
    </xf>
    <xf numFmtId="0" fontId="0" fillId="2" borderId="12" xfId="0" applyFill="1" applyBorder="1" applyAlignment="1">
      <alignment vertical="center"/>
    </xf>
    <xf numFmtId="0" fontId="14" fillId="2" borderId="12" xfId="0" applyFont="1" applyFill="1" applyBorder="1" applyAlignment="1">
      <alignment vertical="center"/>
    </xf>
    <xf numFmtId="0" fontId="14" fillId="2" borderId="12" xfId="0" applyFont="1" applyFill="1" applyBorder="1" applyAlignment="1">
      <alignment vertical="center" wrapText="1"/>
    </xf>
    <xf numFmtId="0" fontId="17" fillId="3" borderId="15" xfId="0" applyFont="1" applyFill="1" applyBorder="1"/>
    <xf numFmtId="0" fontId="17" fillId="3" borderId="15" xfId="0" applyFont="1" applyFill="1" applyBorder="1" applyAlignment="1">
      <alignment horizontal="left"/>
    </xf>
    <xf numFmtId="10" fontId="17" fillId="2" borderId="12" xfId="1" applyNumberFormat="1" applyFont="1" applyFill="1" applyBorder="1" applyAlignment="1">
      <alignment horizontal="right"/>
    </xf>
    <xf numFmtId="0" fontId="0" fillId="0" borderId="0" xfId="0" applyAlignment="1">
      <alignment vertical="center"/>
    </xf>
    <xf numFmtId="0" fontId="14" fillId="0" borderId="0" xfId="0" applyFont="1" applyAlignment="1">
      <alignment vertical="center"/>
    </xf>
    <xf numFmtId="0" fontId="17" fillId="0" borderId="6" xfId="0" applyFont="1" applyBorder="1" applyAlignment="1">
      <alignment horizontal="right"/>
    </xf>
    <xf numFmtId="0" fontId="17" fillId="0" borderId="7" xfId="0" applyFont="1" applyBorder="1"/>
    <xf numFmtId="0" fontId="21" fillId="8" borderId="1" xfId="0" applyFont="1" applyFill="1" applyBorder="1" applyAlignment="1">
      <alignment horizontal="center" vertical="center"/>
    </xf>
    <xf numFmtId="0" fontId="21" fillId="8" borderId="12" xfId="0" applyFont="1" applyFill="1" applyBorder="1" applyAlignment="1">
      <alignment horizontal="center" vertical="center"/>
    </xf>
    <xf numFmtId="0" fontId="21" fillId="8" borderId="12" xfId="0" applyFont="1" applyFill="1" applyBorder="1" applyAlignment="1">
      <alignment vertical="center" wrapText="1"/>
    </xf>
    <xf numFmtId="44" fontId="21" fillId="8" borderId="13" xfId="5" applyFont="1" applyFill="1" applyBorder="1" applyAlignment="1">
      <alignment horizontal="center" vertical="center"/>
    </xf>
    <xf numFmtId="0" fontId="14" fillId="0" borderId="9" xfId="0" applyFont="1" applyBorder="1" applyAlignment="1">
      <alignment horizontal="left" vertical="top" wrapText="1"/>
    </xf>
    <xf numFmtId="0" fontId="18" fillId="2" borderId="6" xfId="0" applyFont="1" applyFill="1" applyBorder="1" applyAlignment="1">
      <alignment horizontal="left" vertical="center" wrapText="1"/>
    </xf>
    <xf numFmtId="0" fontId="18" fillId="2" borderId="7" xfId="0" applyFont="1" applyFill="1" applyBorder="1" applyAlignment="1">
      <alignment horizontal="left" vertical="center" wrapText="1"/>
    </xf>
    <xf numFmtId="0" fontId="18" fillId="2" borderId="8" xfId="0" applyFont="1" applyFill="1" applyBorder="1" applyAlignment="1">
      <alignment horizontal="left" vertical="center" wrapText="1"/>
    </xf>
    <xf numFmtId="0" fontId="18" fillId="2" borderId="10" xfId="0" applyFont="1" applyFill="1" applyBorder="1" applyAlignment="1">
      <alignment horizontal="left" vertical="top" wrapText="1"/>
    </xf>
    <xf numFmtId="0" fontId="18" fillId="2" borderId="11" xfId="0" applyFont="1" applyFill="1" applyBorder="1" applyAlignment="1">
      <alignment horizontal="left" vertical="top" wrapText="1"/>
    </xf>
    <xf numFmtId="0" fontId="14" fillId="0" borderId="10" xfId="0" applyFont="1" applyBorder="1" applyAlignment="1">
      <alignment horizontal="left" vertical="top" wrapText="1"/>
    </xf>
    <xf numFmtId="0" fontId="14" fillId="0" borderId="11" xfId="0" applyFont="1" applyBorder="1" applyAlignment="1">
      <alignment horizontal="left" vertical="top" wrapText="1"/>
    </xf>
    <xf numFmtId="0" fontId="18" fillId="2" borderId="1" xfId="0" applyFont="1" applyFill="1" applyBorder="1" applyAlignment="1">
      <alignment horizontal="left" vertical="center" wrapText="1"/>
    </xf>
    <xf numFmtId="0" fontId="21" fillId="4" borderId="12" xfId="0" applyFont="1" applyFill="1" applyBorder="1" applyAlignment="1">
      <alignment horizontal="left" vertical="top" wrapText="1"/>
    </xf>
    <xf numFmtId="0" fontId="31" fillId="0" borderId="0" xfId="0" applyFont="1" applyAlignment="1">
      <alignment vertical="center"/>
    </xf>
    <xf numFmtId="0" fontId="21" fillId="2" borderId="1" xfId="0" applyFont="1" applyFill="1" applyBorder="1" applyAlignment="1">
      <alignment horizontal="center" vertical="center"/>
    </xf>
    <xf numFmtId="0" fontId="0" fillId="2" borderId="12" xfId="0" applyFill="1" applyBorder="1" applyAlignment="1">
      <alignment horizontal="left" vertical="top" wrapText="1"/>
    </xf>
    <xf numFmtId="49" fontId="21" fillId="0" borderId="0" xfId="0" applyNumberFormat="1" applyFont="1" applyAlignment="1">
      <alignment horizontal="left"/>
    </xf>
    <xf numFmtId="0" fontId="32" fillId="8" borderId="7" xfId="0" applyFont="1" applyFill="1" applyBorder="1"/>
    <xf numFmtId="0" fontId="32" fillId="8" borderId="8" xfId="0" applyFont="1" applyFill="1" applyBorder="1"/>
    <xf numFmtId="0" fontId="0" fillId="0" borderId="12" xfId="0" applyBorder="1" applyAlignment="1">
      <alignment vertical="center"/>
    </xf>
    <xf numFmtId="0" fontId="14" fillId="0" borderId="12" xfId="0" applyFont="1" applyBorder="1" applyAlignment="1">
      <alignment vertical="center"/>
    </xf>
    <xf numFmtId="0" fontId="14" fillId="0" borderId="12" xfId="0" applyFont="1" applyBorder="1" applyAlignment="1">
      <alignment vertical="center" wrapText="1"/>
    </xf>
    <xf numFmtId="0" fontId="0" fillId="0" borderId="12" xfId="0" applyBorder="1" applyAlignment="1">
      <alignment vertical="center" wrapText="1"/>
    </xf>
    <xf numFmtId="0" fontId="0" fillId="0" borderId="0" xfId="0" applyAlignment="1">
      <alignment wrapText="1"/>
    </xf>
    <xf numFmtId="0" fontId="22" fillId="0" borderId="0" xfId="0" applyFont="1" applyAlignment="1">
      <alignment wrapText="1"/>
    </xf>
    <xf numFmtId="0" fontId="17" fillId="0" borderId="12" xfId="0" applyFont="1" applyBorder="1" applyAlignment="1">
      <alignment horizontal="right"/>
    </xf>
    <xf numFmtId="3" fontId="17" fillId="0" borderId="12" xfId="0" applyNumberFormat="1" applyFont="1" applyBorder="1" applyAlignment="1">
      <alignment horizontal="left"/>
    </xf>
    <xf numFmtId="10" fontId="17" fillId="0" borderId="12" xfId="0" applyNumberFormat="1" applyFont="1" applyBorder="1" applyAlignment="1">
      <alignment horizontal="left"/>
    </xf>
    <xf numFmtId="49" fontId="17" fillId="0" borderId="12" xfId="0" applyNumberFormat="1" applyFont="1" applyBorder="1" applyAlignment="1">
      <alignment horizontal="right"/>
    </xf>
    <xf numFmtId="0" fontId="0" fillId="0" borderId="4" xfId="0" applyBorder="1"/>
    <xf numFmtId="0" fontId="14" fillId="0" borderId="12" xfId="0" applyFont="1" applyBorder="1" applyAlignment="1">
      <alignment wrapText="1"/>
    </xf>
    <xf numFmtId="0" fontId="0" fillId="0" borderId="12" xfId="0" applyBorder="1"/>
    <xf numFmtId="0" fontId="0" fillId="9" borderId="15" xfId="0" applyFill="1" applyBorder="1"/>
    <xf numFmtId="0" fontId="0" fillId="9" borderId="15" xfId="0" applyFill="1" applyBorder="1" applyAlignment="1">
      <alignment horizontal="left"/>
    </xf>
    <xf numFmtId="0" fontId="41" fillId="0" borderId="0" xfId="0" applyFont="1"/>
    <xf numFmtId="0" fontId="0" fillId="0" borderId="24" xfId="0" applyBorder="1" applyAlignment="1">
      <alignment vertical="center"/>
    </xf>
    <xf numFmtId="0" fontId="22" fillId="0" borderId="0" xfId="0" applyFont="1" applyAlignment="1">
      <alignment horizontal="center" wrapText="1"/>
    </xf>
    <xf numFmtId="44" fontId="21" fillId="2" borderId="12" xfId="5" applyFont="1" applyFill="1" applyBorder="1" applyAlignment="1">
      <alignment horizontal="center" vertical="center"/>
    </xf>
    <xf numFmtId="0" fontId="0" fillId="2" borderId="12" xfId="0" applyFill="1" applyBorder="1" applyAlignment="1">
      <alignment vertical="center" wrapText="1"/>
    </xf>
    <xf numFmtId="0" fontId="14" fillId="0" borderId="12" xfId="0" applyFont="1" applyBorder="1"/>
    <xf numFmtId="0" fontId="17" fillId="0" borderId="0" xfId="0" applyFont="1" applyAlignment="1">
      <alignment horizontal="left"/>
    </xf>
    <xf numFmtId="49" fontId="24" fillId="0" borderId="7" xfId="0" applyNumberFormat="1" applyFont="1" applyBorder="1" applyAlignment="1">
      <alignment horizontal="center"/>
    </xf>
    <xf numFmtId="49" fontId="21" fillId="0" borderId="4" xfId="0" applyNumberFormat="1" applyFont="1" applyBorder="1" applyAlignment="1">
      <alignment horizontal="right"/>
    </xf>
    <xf numFmtId="0" fontId="21" fillId="0" borderId="4" xfId="9" applyFont="1" applyBorder="1" applyAlignment="1">
      <alignment horizontal="right"/>
    </xf>
    <xf numFmtId="0" fontId="17" fillId="2" borderId="0" xfId="0" applyFont="1" applyFill="1"/>
    <xf numFmtId="49" fontId="17" fillId="2" borderId="1" xfId="0" applyNumberFormat="1" applyFont="1" applyFill="1" applyBorder="1" applyAlignment="1">
      <alignment horizontal="right"/>
    </xf>
    <xf numFmtId="49" fontId="17" fillId="2" borderId="2" xfId="0" applyNumberFormat="1" applyFont="1" applyFill="1" applyBorder="1" applyAlignment="1">
      <alignment horizontal="left" vertical="top"/>
    </xf>
    <xf numFmtId="49" fontId="17" fillId="2" borderId="2" xfId="0" applyNumberFormat="1" applyFont="1" applyFill="1" applyBorder="1" applyAlignment="1">
      <alignment horizontal="center"/>
    </xf>
    <xf numFmtId="49" fontId="17" fillId="2" borderId="25" xfId="0" applyNumberFormat="1" applyFont="1" applyFill="1" applyBorder="1" applyAlignment="1">
      <alignment horizontal="center"/>
    </xf>
    <xf numFmtId="0" fontId="14" fillId="0" borderId="13" xfId="0" applyFont="1" applyBorder="1" applyAlignment="1">
      <alignment vertical="center" wrapText="1"/>
    </xf>
    <xf numFmtId="0" fontId="14" fillId="0" borderId="13" xfId="0" applyFont="1" applyBorder="1" applyAlignment="1">
      <alignment vertical="center"/>
    </xf>
    <xf numFmtId="0" fontId="0" fillId="9" borderId="26" xfId="0" applyFill="1" applyBorder="1"/>
    <xf numFmtId="49" fontId="24" fillId="0" borderId="6" xfId="0" applyNumberFormat="1" applyFont="1" applyBorder="1" applyAlignment="1">
      <alignment horizontal="center"/>
    </xf>
    <xf numFmtId="10" fontId="24" fillId="0" borderId="7" xfId="10" quotePrefix="1" applyNumberFormat="1" applyFont="1" applyFill="1" applyBorder="1" applyAlignment="1">
      <alignment horizontal="left"/>
    </xf>
    <xf numFmtId="49" fontId="24" fillId="0" borderId="8" xfId="0" applyNumberFormat="1" applyFont="1" applyBorder="1" applyAlignment="1">
      <alignment horizontal="center"/>
    </xf>
    <xf numFmtId="3" fontId="17" fillId="0" borderId="0" xfId="0" applyNumberFormat="1" applyFont="1" applyAlignment="1">
      <alignment horizontal="left"/>
    </xf>
    <xf numFmtId="10" fontId="17" fillId="0" borderId="0" xfId="0" applyNumberFormat="1" applyFont="1" applyAlignment="1">
      <alignment horizontal="left"/>
    </xf>
    <xf numFmtId="0" fontId="18" fillId="0" borderId="0" xfId="0" applyFont="1" applyAlignment="1">
      <alignment vertical="center" wrapText="1"/>
    </xf>
    <xf numFmtId="0" fontId="21" fillId="0" borderId="13" xfId="0" applyFont="1" applyBorder="1" applyAlignment="1">
      <alignment vertical="center"/>
    </xf>
    <xf numFmtId="0" fontId="21" fillId="0" borderId="12" xfId="0" applyFont="1" applyBorder="1" applyAlignment="1">
      <alignment horizontal="left" vertical="center" wrapText="1"/>
    </xf>
    <xf numFmtId="0" fontId="18" fillId="0" borderId="12" xfId="0" applyFont="1" applyBorder="1" applyAlignment="1">
      <alignment vertical="center" wrapText="1"/>
    </xf>
    <xf numFmtId="0" fontId="18" fillId="0" borderId="0" xfId="0" applyFont="1" applyAlignment="1">
      <alignment horizontal="left"/>
    </xf>
    <xf numFmtId="44" fontId="0" fillId="0" borderId="12" xfId="5" applyFont="1" applyBorder="1"/>
    <xf numFmtId="0" fontId="43" fillId="0" borderId="12" xfId="0" applyFont="1" applyBorder="1" applyAlignment="1">
      <alignment horizontal="center"/>
    </xf>
    <xf numFmtId="17" fontId="0" fillId="0" borderId="12" xfId="0" applyNumberFormat="1" applyBorder="1"/>
    <xf numFmtId="0" fontId="43" fillId="0" borderId="0" xfId="0" applyFont="1" applyAlignment="1">
      <alignment horizontal="center"/>
    </xf>
    <xf numFmtId="44" fontId="0" fillId="0" borderId="0" xfId="5" applyFont="1" applyBorder="1"/>
    <xf numFmtId="44" fontId="0" fillId="0" borderId="0" xfId="0" applyNumberFormat="1"/>
    <xf numFmtId="49" fontId="24" fillId="0" borderId="0" xfId="0" applyNumberFormat="1" applyFont="1" applyAlignment="1">
      <alignment horizontal="right"/>
    </xf>
    <xf numFmtId="10" fontId="24" fillId="0" borderId="0" xfId="10" quotePrefix="1" applyNumberFormat="1" applyFont="1" applyFill="1" applyBorder="1" applyAlignment="1">
      <alignment horizontal="left"/>
    </xf>
    <xf numFmtId="14" fontId="0" fillId="0" borderId="12" xfId="0" applyNumberFormat="1" applyBorder="1" applyAlignment="1">
      <alignment horizontal="left"/>
    </xf>
    <xf numFmtId="0" fontId="30" fillId="0" borderId="12" xfId="0" applyFont="1" applyBorder="1" applyAlignment="1">
      <alignment horizontal="left" vertical="top" wrapText="1"/>
    </xf>
    <xf numFmtId="0" fontId="30" fillId="0" borderId="12" xfId="0" applyFont="1" applyBorder="1" applyAlignment="1">
      <alignment horizontal="left" vertical="top"/>
    </xf>
    <xf numFmtId="44" fontId="14" fillId="0" borderId="0" xfId="0" applyNumberFormat="1" applyFont="1" applyAlignment="1">
      <alignment wrapText="1"/>
    </xf>
    <xf numFmtId="44" fontId="17" fillId="0" borderId="0" xfId="0" applyNumberFormat="1" applyFont="1" applyAlignment="1">
      <alignment wrapText="1"/>
    </xf>
    <xf numFmtId="0" fontId="43" fillId="3" borderId="12" xfId="0" applyFont="1" applyFill="1" applyBorder="1" applyAlignment="1">
      <alignment horizontal="center"/>
    </xf>
    <xf numFmtId="0" fontId="43" fillId="11" borderId="12" xfId="0" applyFont="1" applyFill="1" applyBorder="1" applyAlignment="1">
      <alignment horizontal="center"/>
    </xf>
    <xf numFmtId="44" fontId="17" fillId="0" borderId="12" xfId="5" applyFont="1" applyBorder="1"/>
    <xf numFmtId="44" fontId="17" fillId="0" borderId="2" xfId="5" applyFont="1" applyBorder="1" applyAlignment="1">
      <alignment horizontal="center"/>
    </xf>
    <xf numFmtId="44" fontId="17" fillId="0" borderId="0" xfId="5" applyFont="1" applyAlignment="1">
      <alignment horizontal="left"/>
    </xf>
    <xf numFmtId="44" fontId="17" fillId="0" borderId="0" xfId="5" applyFont="1"/>
    <xf numFmtId="44" fontId="24" fillId="0" borderId="0" xfId="5" applyFont="1" applyAlignment="1">
      <alignment horizontal="center"/>
    </xf>
    <xf numFmtId="44" fontId="24" fillId="0" borderId="2" xfId="5" applyFont="1" applyBorder="1" applyAlignment="1">
      <alignment horizontal="center"/>
    </xf>
    <xf numFmtId="44" fontId="0" fillId="0" borderId="0" xfId="5" applyFont="1"/>
    <xf numFmtId="44" fontId="14" fillId="2" borderId="0" xfId="5" applyFont="1" applyFill="1"/>
    <xf numFmtId="44" fontId="30" fillId="0" borderId="12" xfId="5" applyFont="1" applyBorder="1" applyAlignment="1">
      <alignment horizontal="left" vertical="top"/>
    </xf>
    <xf numFmtId="44" fontId="0" fillId="3" borderId="12" xfId="5" applyFont="1" applyFill="1" applyBorder="1"/>
    <xf numFmtId="44" fontId="17" fillId="11" borderId="12" xfId="5" applyFont="1" applyFill="1" applyBorder="1"/>
    <xf numFmtId="0" fontId="17" fillId="3" borderId="12" xfId="0" applyFont="1" applyFill="1" applyBorder="1" applyAlignment="1">
      <alignment horizontal="center"/>
    </xf>
    <xf numFmtId="44" fontId="14" fillId="0" borderId="0" xfId="0" applyNumberFormat="1" applyFont="1"/>
    <xf numFmtId="44" fontId="17" fillId="0" borderId="0" xfId="0" applyNumberFormat="1" applyFont="1"/>
    <xf numFmtId="0" fontId="44" fillId="3" borderId="9" xfId="0" applyFont="1" applyFill="1" applyBorder="1" applyAlignment="1">
      <alignment horizontal="center" vertical="center"/>
    </xf>
    <xf numFmtId="0" fontId="44" fillId="3" borderId="11" xfId="0" applyFont="1" applyFill="1" applyBorder="1" applyAlignment="1">
      <alignment horizontal="center" vertical="center"/>
    </xf>
    <xf numFmtId="0" fontId="43" fillId="3" borderId="9" xfId="0" applyFont="1" applyFill="1" applyBorder="1" applyAlignment="1">
      <alignment horizontal="center"/>
    </xf>
    <xf numFmtId="0" fontId="43" fillId="3" borderId="11" xfId="0" applyFont="1" applyFill="1" applyBorder="1" applyAlignment="1">
      <alignment horizontal="center"/>
    </xf>
    <xf numFmtId="0" fontId="21" fillId="0" borderId="0" xfId="0" applyFont="1" applyAlignment="1">
      <alignment horizontal="center"/>
    </xf>
    <xf numFmtId="49" fontId="23" fillId="0" borderId="0" xfId="0" quotePrefix="1" applyNumberFormat="1" applyFont="1" applyAlignment="1">
      <alignment horizontal="center"/>
    </xf>
    <xf numFmtId="0" fontId="23" fillId="0" borderId="0" xfId="0" applyFont="1" applyAlignment="1">
      <alignment horizontal="center"/>
    </xf>
    <xf numFmtId="49" fontId="21" fillId="0" borderId="0" xfId="0" quotePrefix="1" applyNumberFormat="1" applyFont="1" applyAlignment="1">
      <alignment horizontal="center"/>
    </xf>
    <xf numFmtId="49" fontId="21" fillId="0" borderId="0" xfId="0" applyNumberFormat="1" applyFont="1" applyAlignment="1">
      <alignment horizontal="center"/>
    </xf>
    <xf numFmtId="49" fontId="24" fillId="0" borderId="7" xfId="0" applyNumberFormat="1" applyFont="1" applyBorder="1" applyAlignment="1">
      <alignment horizontal="center"/>
    </xf>
    <xf numFmtId="0" fontId="44" fillId="3" borderId="9" xfId="0" applyFont="1" applyFill="1" applyBorder="1" applyAlignment="1">
      <alignment horizontal="center"/>
    </xf>
    <xf numFmtId="0" fontId="44" fillId="3" borderId="11" xfId="0" applyFont="1" applyFill="1" applyBorder="1" applyAlignment="1">
      <alignment horizontal="center"/>
    </xf>
    <xf numFmtId="0" fontId="18" fillId="0" borderId="10" xfId="0" applyFont="1"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21" fillId="7" borderId="12" xfId="0" applyFont="1" applyFill="1" applyBorder="1" applyAlignment="1">
      <alignment horizontal="left" vertical="top" wrapText="1"/>
    </xf>
    <xf numFmtId="49" fontId="17" fillId="0" borderId="0" xfId="0" applyNumberFormat="1" applyFont="1" applyAlignment="1">
      <alignment horizontal="left"/>
    </xf>
    <xf numFmtId="0" fontId="17" fillId="0" borderId="0" xfId="0" applyFont="1" applyAlignment="1">
      <alignment horizontal="center" vertical="center"/>
    </xf>
    <xf numFmtId="0" fontId="21" fillId="10" borderId="0" xfId="0" applyFont="1" applyFill="1" applyAlignment="1">
      <alignment horizontal="left" vertical="center"/>
    </xf>
    <xf numFmtId="0" fontId="21" fillId="10" borderId="5" xfId="0" applyFont="1" applyFill="1" applyBorder="1" applyAlignment="1">
      <alignment horizontal="left" vertical="center"/>
    </xf>
    <xf numFmtId="0" fontId="18" fillId="0" borderId="9" xfId="0" applyFont="1" applyBorder="1" applyAlignment="1">
      <alignment horizontal="left" vertical="center" wrapText="1"/>
    </xf>
    <xf numFmtId="0" fontId="18" fillId="0" borderId="11" xfId="0" applyFont="1" applyBorder="1" applyAlignment="1">
      <alignment horizontal="left" vertical="center" wrapText="1"/>
    </xf>
    <xf numFmtId="0" fontId="34" fillId="0" borderId="18" xfId="9" applyFont="1" applyBorder="1" applyAlignment="1">
      <alignment horizontal="left" vertical="center" wrapText="1"/>
    </xf>
    <xf numFmtId="0" fontId="14" fillId="0" borderId="18" xfId="9" applyFont="1" applyBorder="1" applyAlignment="1">
      <alignment vertical="center"/>
    </xf>
    <xf numFmtId="0" fontId="14" fillId="0" borderId="23" xfId="9" applyFont="1" applyBorder="1" applyAlignment="1">
      <alignment vertical="center"/>
    </xf>
    <xf numFmtId="0" fontId="17" fillId="0" borderId="0" xfId="0" applyFont="1" applyAlignment="1">
      <alignment horizontal="left"/>
    </xf>
    <xf numFmtId="49" fontId="24" fillId="0" borderId="10" xfId="0" applyNumberFormat="1" applyFont="1" applyBorder="1" applyAlignment="1">
      <alignment horizontal="center"/>
    </xf>
    <xf numFmtId="0" fontId="18" fillId="0" borderId="1" xfId="0" applyFont="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7" fillId="5" borderId="9" xfId="0" applyFont="1" applyFill="1" applyBorder="1" applyAlignment="1">
      <alignment horizontal="left" vertical="top" wrapText="1"/>
    </xf>
    <xf numFmtId="0" fontId="17" fillId="5" borderId="10" xfId="0" applyFont="1" applyFill="1" applyBorder="1" applyAlignment="1">
      <alignment horizontal="left" vertical="top" wrapText="1"/>
    </xf>
    <xf numFmtId="0" fontId="17" fillId="5" borderId="11" xfId="0" applyFont="1" applyFill="1" applyBorder="1" applyAlignment="1">
      <alignment horizontal="left" vertical="top" wrapText="1"/>
    </xf>
    <xf numFmtId="0" fontId="18" fillId="0" borderId="9" xfId="18" applyFont="1" applyBorder="1" applyAlignment="1">
      <alignment horizontal="left" vertical="center" wrapText="1"/>
    </xf>
    <xf numFmtId="0" fontId="18" fillId="0" borderId="10" xfId="18" applyFont="1" applyBorder="1" applyAlignment="1">
      <alignment horizontal="left" vertical="center" wrapText="1"/>
    </xf>
    <xf numFmtId="0" fontId="18" fillId="0" borderId="11" xfId="18" applyFont="1" applyBorder="1" applyAlignment="1">
      <alignment horizontal="left" vertical="center" wrapText="1"/>
    </xf>
    <xf numFmtId="0" fontId="32" fillId="0" borderId="9" xfId="18" applyFont="1" applyBorder="1" applyAlignment="1">
      <alignment horizontal="left" vertical="center" wrapText="1"/>
    </xf>
    <xf numFmtId="0" fontId="32" fillId="0" borderId="10" xfId="18" applyFont="1" applyBorder="1" applyAlignment="1">
      <alignment horizontal="left" vertical="center" wrapText="1"/>
    </xf>
    <xf numFmtId="0" fontId="32" fillId="0" borderId="11" xfId="18" applyFont="1" applyBorder="1" applyAlignment="1">
      <alignment horizontal="left" vertical="center" wrapText="1"/>
    </xf>
    <xf numFmtId="0" fontId="21" fillId="0" borderId="10" xfId="18" applyFont="1" applyBorder="1" applyAlignment="1">
      <alignment horizontal="left" vertical="center" wrapText="1"/>
    </xf>
    <xf numFmtId="0" fontId="21" fillId="0" borderId="11" xfId="18" applyFont="1" applyBorder="1" applyAlignment="1">
      <alignment horizontal="left" vertical="center" wrapText="1"/>
    </xf>
    <xf numFmtId="0" fontId="18" fillId="0" borderId="10" xfId="0" applyFont="1" applyBorder="1" applyAlignment="1">
      <alignment horizontal="left" vertical="center"/>
    </xf>
    <xf numFmtId="0" fontId="18" fillId="0" borderId="11" xfId="0" applyFont="1" applyBorder="1" applyAlignment="1">
      <alignment horizontal="left" vertical="center"/>
    </xf>
    <xf numFmtId="0" fontId="18" fillId="4" borderId="10" xfId="0" applyFont="1" applyFill="1" applyBorder="1" applyAlignment="1">
      <alignment horizontal="left" vertical="top" wrapText="1"/>
    </xf>
    <xf numFmtId="0" fontId="0" fillId="2" borderId="10" xfId="0" applyFill="1" applyBorder="1" applyAlignment="1">
      <alignment horizontal="left" vertical="top" wrapText="1"/>
    </xf>
    <xf numFmtId="0" fontId="0" fillId="2" borderId="11" xfId="0" applyFill="1" applyBorder="1" applyAlignment="1">
      <alignment horizontal="left" vertical="top" wrapText="1"/>
    </xf>
    <xf numFmtId="0" fontId="17" fillId="3" borderId="9" xfId="0" quotePrefix="1" applyFont="1" applyFill="1" applyBorder="1" applyAlignment="1">
      <alignment horizontal="left" vertical="center" wrapText="1"/>
    </xf>
    <xf numFmtId="0" fontId="17" fillId="3" borderId="10" xfId="0" quotePrefix="1" applyFont="1" applyFill="1" applyBorder="1" applyAlignment="1">
      <alignment horizontal="left" vertical="center" wrapText="1"/>
    </xf>
    <xf numFmtId="0" fontId="17" fillId="3" borderId="11" xfId="0" quotePrefix="1" applyFont="1" applyFill="1" applyBorder="1" applyAlignment="1">
      <alignment horizontal="left" vertical="center" wrapText="1"/>
    </xf>
    <xf numFmtId="0" fontId="34" fillId="0" borderId="9" xfId="0" applyFont="1" applyBorder="1" applyAlignment="1">
      <alignment horizontal="left" vertical="center" wrapText="1"/>
    </xf>
    <xf numFmtId="0" fontId="34" fillId="0" borderId="10" xfId="0" applyFont="1" applyBorder="1" applyAlignment="1">
      <alignment horizontal="left" vertical="center" wrapText="1"/>
    </xf>
    <xf numFmtId="0" fontId="34" fillId="0" borderId="11" xfId="0" applyFont="1" applyBorder="1" applyAlignment="1">
      <alignment horizontal="left" vertical="center" wrapText="1"/>
    </xf>
    <xf numFmtId="0" fontId="22" fillId="0" borderId="0" xfId="0" applyFont="1" applyAlignment="1">
      <alignment horizontal="left" wrapText="1"/>
    </xf>
    <xf numFmtId="0" fontId="18" fillId="2" borderId="9" xfId="0" applyFont="1" applyFill="1" applyBorder="1" applyAlignment="1">
      <alignment horizontal="left" vertical="center" wrapText="1"/>
    </xf>
    <xf numFmtId="0" fontId="0" fillId="2" borderId="10" xfId="0" applyFill="1" applyBorder="1" applyAlignment="1">
      <alignment horizontal="left" vertical="center" wrapText="1"/>
    </xf>
    <xf numFmtId="0" fontId="0" fillId="2" borderId="11" xfId="0" applyFill="1" applyBorder="1" applyAlignment="1">
      <alignment horizontal="left" vertical="center" wrapText="1"/>
    </xf>
    <xf numFmtId="0" fontId="21" fillId="0" borderId="1" xfId="0" applyFont="1" applyBorder="1" applyAlignment="1">
      <alignment horizontal="center"/>
    </xf>
    <xf numFmtId="0" fontId="21" fillId="0" borderId="2" xfId="0" applyFont="1" applyBorder="1" applyAlignment="1">
      <alignment horizontal="center"/>
    </xf>
    <xf numFmtId="0" fontId="21" fillId="0" borderId="3" xfId="0" applyFont="1" applyBorder="1" applyAlignment="1">
      <alignment horizontal="center"/>
    </xf>
    <xf numFmtId="0" fontId="21" fillId="8" borderId="2" xfId="0" applyFont="1" applyFill="1" applyBorder="1" applyAlignment="1">
      <alignment horizontal="center" vertical="center"/>
    </xf>
    <xf numFmtId="0" fontId="21" fillId="8" borderId="3" xfId="0" applyFont="1" applyFill="1" applyBorder="1" applyAlignment="1">
      <alignment horizontal="center" vertical="center"/>
    </xf>
    <xf numFmtId="0" fontId="23" fillId="0" borderId="4" xfId="0" applyFont="1" applyBorder="1" applyAlignment="1">
      <alignment horizontal="center"/>
    </xf>
    <xf numFmtId="0" fontId="23" fillId="0" borderId="5" xfId="0" applyFont="1" applyBorder="1" applyAlignment="1">
      <alignment horizontal="center"/>
    </xf>
    <xf numFmtId="49" fontId="21" fillId="0" borderId="4" xfId="0" applyNumberFormat="1" applyFont="1" applyBorder="1" applyAlignment="1">
      <alignment horizontal="center"/>
    </xf>
    <xf numFmtId="0" fontId="21" fillId="0" borderId="5" xfId="0" applyFont="1" applyBorder="1" applyAlignment="1">
      <alignment horizontal="center"/>
    </xf>
    <xf numFmtId="0" fontId="21" fillId="0" borderId="0" xfId="0" applyFont="1" applyAlignment="1">
      <alignment horizontal="center" vertical="center"/>
    </xf>
    <xf numFmtId="0" fontId="18" fillId="2" borderId="10" xfId="0" applyFont="1" applyFill="1" applyBorder="1" applyAlignment="1">
      <alignment horizontal="left" vertical="center" wrapText="1"/>
    </xf>
    <xf numFmtId="0" fontId="18" fillId="2" borderId="11" xfId="0" applyFont="1" applyFill="1" applyBorder="1" applyAlignment="1">
      <alignment horizontal="left" vertical="center" wrapText="1"/>
    </xf>
    <xf numFmtId="0" fontId="0" fillId="0" borderId="0" xfId="0" applyAlignment="1">
      <alignment horizontal="left" wrapText="1"/>
    </xf>
    <xf numFmtId="0" fontId="21" fillId="0" borderId="0" xfId="9" applyFont="1" applyAlignment="1">
      <alignment horizontal="center"/>
    </xf>
    <xf numFmtId="0" fontId="39" fillId="0" borderId="0" xfId="9" applyFont="1" applyAlignment="1">
      <alignment horizontal="center"/>
    </xf>
    <xf numFmtId="49" fontId="21" fillId="0" borderId="0" xfId="9" applyNumberFormat="1" applyFont="1" applyAlignment="1">
      <alignment horizontal="center"/>
    </xf>
    <xf numFmtId="0" fontId="21" fillId="0" borderId="0" xfId="9" applyFont="1" applyAlignment="1">
      <alignment horizontal="left"/>
    </xf>
    <xf numFmtId="0" fontId="21" fillId="0" borderId="2" xfId="9" applyFont="1" applyBorder="1" applyAlignment="1">
      <alignment horizontal="left"/>
    </xf>
    <xf numFmtId="0" fontId="21" fillId="6" borderId="12" xfId="9" applyFont="1" applyFill="1" applyBorder="1" applyAlignment="1">
      <alignment horizontal="center" vertical="center"/>
    </xf>
    <xf numFmtId="0" fontId="21" fillId="6" borderId="12" xfId="9" applyFont="1" applyFill="1" applyBorder="1" applyAlignment="1">
      <alignment horizontal="left" vertical="center"/>
    </xf>
    <xf numFmtId="44" fontId="18" fillId="0" borderId="12" xfId="0" applyNumberFormat="1" applyFont="1" applyBorder="1" applyAlignment="1">
      <alignment horizontal="center" vertical="center"/>
    </xf>
    <xf numFmtId="0" fontId="18" fillId="0" borderId="12" xfId="0" applyFont="1" applyBorder="1" applyAlignment="1">
      <alignment horizontal="left" vertical="center" wrapText="1"/>
    </xf>
    <xf numFmtId="44" fontId="21" fillId="0" borderId="10" xfId="9" applyNumberFormat="1" applyFont="1" applyBorder="1" applyAlignment="1">
      <alignment horizontal="center" vertical="center"/>
    </xf>
    <xf numFmtId="44" fontId="21" fillId="0" borderId="11" xfId="9" applyNumberFormat="1" applyFont="1" applyBorder="1" applyAlignment="1">
      <alignment horizontal="center" vertical="center"/>
    </xf>
    <xf numFmtId="0" fontId="17" fillId="2" borderId="0" xfId="0" applyFont="1" applyFill="1" applyAlignment="1">
      <alignment horizontal="center"/>
    </xf>
    <xf numFmtId="49" fontId="17" fillId="2" borderId="18" xfId="0" applyNumberFormat="1" applyFont="1" applyFill="1" applyBorder="1" applyAlignment="1">
      <alignment horizontal="center"/>
    </xf>
    <xf numFmtId="0" fontId="21" fillId="2" borderId="0" xfId="0" applyFont="1" applyFill="1" applyAlignment="1">
      <alignment horizontal="center"/>
    </xf>
    <xf numFmtId="0" fontId="23" fillId="2" borderId="0" xfId="0" applyFont="1" applyFill="1" applyAlignment="1">
      <alignment horizontal="center"/>
    </xf>
    <xf numFmtId="49" fontId="21" fillId="2" borderId="0" xfId="0" applyNumberFormat="1" applyFont="1" applyFill="1" applyAlignment="1">
      <alignment horizontal="center"/>
    </xf>
    <xf numFmtId="0" fontId="24" fillId="2" borderId="0" xfId="0" applyFont="1" applyFill="1" applyAlignment="1">
      <alignment horizontal="center"/>
    </xf>
    <xf numFmtId="49" fontId="23" fillId="0" borderId="0" xfId="0" applyNumberFormat="1" applyFont="1" applyAlignment="1">
      <alignment horizontal="center"/>
    </xf>
  </cellXfs>
  <cellStyles count="1066">
    <cellStyle name="Comma" xfId="1" builtinId="3"/>
    <cellStyle name="Comma 2" xfId="2" xr:uid="{00000000-0005-0000-0000-000001000000}"/>
    <cellStyle name="Comma 2 2" xfId="3" xr:uid="{00000000-0005-0000-0000-000002000000}"/>
    <cellStyle name="Comma 2 2 2" xfId="20" xr:uid="{50FE5F14-B3F7-4882-BDE3-063FA4377576}"/>
    <cellStyle name="Comma 2 3" xfId="19" xr:uid="{02F77802-DDDC-4053-A64A-6B96565FCE87}"/>
    <cellStyle name="Comma 3" xfId="4" xr:uid="{00000000-0005-0000-0000-000003000000}"/>
    <cellStyle name="Comma 3 2" xfId="21" xr:uid="{D9BCDB81-8FBC-4900-BE9B-A1D89A3D61BD}"/>
    <cellStyle name="Comma 4" xfId="14" xr:uid="{1ED8C234-F601-47C3-AC06-25CDFC25A8C3}"/>
    <cellStyle name="Comma 4 2" xfId="28" xr:uid="{FA58C685-C900-4E52-8DB0-65B4500C758E}"/>
    <cellStyle name="Comma 5" xfId="543" xr:uid="{7C32D8F1-43E1-4CDB-952B-BF4406B92B59}"/>
    <cellStyle name="Comma 5 2" xfId="1061" xr:uid="{E22FE6ED-3B6A-408D-99DF-D9CFD755D070}"/>
    <cellStyle name="Comma 6" xfId="546" xr:uid="{E8EB3398-DFA6-4D9F-A8BD-87A609B78C4A}"/>
    <cellStyle name="Comma 6 2" xfId="1064" xr:uid="{E5A82BCA-C6F1-4FE3-8FA7-A7A1284151A7}"/>
    <cellStyle name="Currency" xfId="5" builtinId="4"/>
    <cellStyle name="Currency 2" xfId="6" xr:uid="{00000000-0005-0000-0000-000005000000}"/>
    <cellStyle name="Currency 2 2" xfId="7" xr:uid="{00000000-0005-0000-0000-000006000000}"/>
    <cellStyle name="Currency 2 2 2" xfId="23" xr:uid="{1B48B153-A999-425E-B933-890244CA0E5C}"/>
    <cellStyle name="Currency 2 3" xfId="22" xr:uid="{FBE4ACD9-18E4-45C9-94C2-5EF0A2227E2F}"/>
    <cellStyle name="Currency 3" xfId="8" xr:uid="{00000000-0005-0000-0000-000007000000}"/>
    <cellStyle name="Currency 3 2" xfId="24" xr:uid="{4DE4EBB5-5AED-4807-8852-877EE05ED547}"/>
    <cellStyle name="Currency 4" xfId="15" xr:uid="{569082E5-4D43-4F20-AA08-618C20A0C654}"/>
    <cellStyle name="Currency 4 2" xfId="29" xr:uid="{93C43FA1-C624-43B0-B87F-E80ACB223857}"/>
    <cellStyle name="Normal" xfId="0" builtinId="0"/>
    <cellStyle name="Normal 2" xfId="9" xr:uid="{00000000-0005-0000-0000-000009000000}"/>
    <cellStyle name="Normal 3" xfId="17" xr:uid="{CA6833F2-7CCE-4BB8-AE38-ADA0AAC4734A}"/>
    <cellStyle name="Normal 3 10" xfId="286" xr:uid="{FD502CCA-3DAE-4536-805D-7BB08F7D62B2}"/>
    <cellStyle name="Normal 3 10 2" xfId="804" xr:uid="{54DED278-1EB2-4A7B-8289-1FBE6C84E5CF}"/>
    <cellStyle name="Normal 3 11" xfId="548" xr:uid="{23C176E6-2793-48F9-BCA6-2E57E31F681C}"/>
    <cellStyle name="Normal 3 2" xfId="31" xr:uid="{9144AC36-2919-4374-B45D-9227E345AEC4}"/>
    <cellStyle name="Normal 3 2 10" xfId="549" xr:uid="{68B1246E-5A1E-4E70-9178-CA5C427656B4}"/>
    <cellStyle name="Normal 3 2 2" xfId="33" xr:uid="{EF679C5D-A90A-4E91-BA07-AC152150634F}"/>
    <cellStyle name="Normal 3 2 2 2" xfId="37" xr:uid="{5682CEA3-EDB4-47AD-9D13-1E24BF733262}"/>
    <cellStyle name="Normal 3 2 2 2 2" xfId="45" xr:uid="{E8D62535-C0EE-46DB-BC0E-751E89AA8194}"/>
    <cellStyle name="Normal 3 2 2 2 2 2" xfId="61" xr:uid="{981DD0F9-F379-4EC5-BF52-D4F587138C56}"/>
    <cellStyle name="Normal 3 2 2 2 2 2 2" xfId="93" xr:uid="{8EBF77B1-994E-42F9-A3E6-26B39C31DB19}"/>
    <cellStyle name="Normal 3 2 2 2 2 2 2 2" xfId="157" xr:uid="{434FF65A-45FD-418D-99B5-292833433435}"/>
    <cellStyle name="Normal 3 2 2 2 2 2 2 2 2" xfId="285" xr:uid="{17B00D19-CD0A-4B39-BC05-46E0809AD379}"/>
    <cellStyle name="Normal 3 2 2 2 2 2 2 2 2 2" xfId="541" xr:uid="{A0946FDD-6FD8-45A5-8739-D522A4F76229}"/>
    <cellStyle name="Normal 3 2 2 2 2 2 2 2 2 2 2" xfId="1059" xr:uid="{A6C59A41-02D5-4280-B099-E3B8A4D13519}"/>
    <cellStyle name="Normal 3 2 2 2 2 2 2 2 2 3" xfId="803" xr:uid="{67E0CB91-52CD-4D32-A3D6-B8664E8F31F0}"/>
    <cellStyle name="Normal 3 2 2 2 2 2 2 2 3" xfId="413" xr:uid="{BC1F0BC6-1EDA-4A16-BF3F-98437BE60730}"/>
    <cellStyle name="Normal 3 2 2 2 2 2 2 2 3 2" xfId="931" xr:uid="{933DF33F-609A-4676-B2B7-025FAD868A72}"/>
    <cellStyle name="Normal 3 2 2 2 2 2 2 2 4" xfId="675" xr:uid="{E65AEE50-6F50-4958-ACAD-41F1A912523D}"/>
    <cellStyle name="Normal 3 2 2 2 2 2 2 3" xfId="221" xr:uid="{110076D6-D116-4C03-BA91-4B543859171A}"/>
    <cellStyle name="Normal 3 2 2 2 2 2 2 3 2" xfId="477" xr:uid="{1F6282B2-5F34-4A1D-B120-76ECDB122238}"/>
    <cellStyle name="Normal 3 2 2 2 2 2 2 3 2 2" xfId="995" xr:uid="{3FFC56BF-ADE9-493E-A88E-3DAF24DB711D}"/>
    <cellStyle name="Normal 3 2 2 2 2 2 2 3 3" xfId="739" xr:uid="{64E33B25-8177-4B29-91C5-94D8BD67BE8E}"/>
    <cellStyle name="Normal 3 2 2 2 2 2 2 4" xfId="349" xr:uid="{53627A29-E09E-44BD-9CB7-9B38261421EE}"/>
    <cellStyle name="Normal 3 2 2 2 2 2 2 4 2" xfId="867" xr:uid="{4705D1E9-751E-49D2-BC47-842DA9F08234}"/>
    <cellStyle name="Normal 3 2 2 2 2 2 2 5" xfId="611" xr:uid="{FFD52EF3-C014-4501-AE0E-5FBE3BAF0899}"/>
    <cellStyle name="Normal 3 2 2 2 2 2 3" xfId="125" xr:uid="{1EDC5C19-C2B6-48FF-A253-3586DE68AD66}"/>
    <cellStyle name="Normal 3 2 2 2 2 2 3 2" xfId="253" xr:uid="{1D440C25-9379-4A1D-B6B2-F9BA95E17D6E}"/>
    <cellStyle name="Normal 3 2 2 2 2 2 3 2 2" xfId="509" xr:uid="{AA10E3E3-187C-438F-AA37-412BE5A01745}"/>
    <cellStyle name="Normal 3 2 2 2 2 2 3 2 2 2" xfId="1027" xr:uid="{1231754B-12D7-4CB7-8D4B-E3530230FE74}"/>
    <cellStyle name="Normal 3 2 2 2 2 2 3 2 3" xfId="771" xr:uid="{6C20AEAF-2027-4758-A6A7-6717C9449295}"/>
    <cellStyle name="Normal 3 2 2 2 2 2 3 3" xfId="381" xr:uid="{6F9AD896-CD31-418E-9B2B-8A0B6184660E}"/>
    <cellStyle name="Normal 3 2 2 2 2 2 3 3 2" xfId="899" xr:uid="{D7F28643-47B6-45B9-8F9E-3C6A64E8F6C6}"/>
    <cellStyle name="Normal 3 2 2 2 2 2 3 4" xfId="643" xr:uid="{5182DB24-D9C4-4B3C-8CCE-9725C247BF76}"/>
    <cellStyle name="Normal 3 2 2 2 2 2 4" xfId="189" xr:uid="{6E9E873B-D962-4D80-8B23-003EBF3EA1FA}"/>
    <cellStyle name="Normal 3 2 2 2 2 2 4 2" xfId="445" xr:uid="{5A69B78B-7BCF-4CC7-A297-968499D43582}"/>
    <cellStyle name="Normal 3 2 2 2 2 2 4 2 2" xfId="963" xr:uid="{F72C9E50-B789-467C-9D53-1F6702A03CB7}"/>
    <cellStyle name="Normal 3 2 2 2 2 2 4 3" xfId="707" xr:uid="{3BA06E21-D8D1-409D-B21F-20101ADA68DC}"/>
    <cellStyle name="Normal 3 2 2 2 2 2 5" xfId="317" xr:uid="{35B8D761-CA0D-4727-8BDD-271F4D7C925D}"/>
    <cellStyle name="Normal 3 2 2 2 2 2 5 2" xfId="835" xr:uid="{2AB3D30F-D820-42E4-8C68-50A9CCAE62D1}"/>
    <cellStyle name="Normal 3 2 2 2 2 2 6" xfId="579" xr:uid="{0856D661-CA2D-444E-8C6C-67DE8C7E00B8}"/>
    <cellStyle name="Normal 3 2 2 2 2 3" xfId="77" xr:uid="{64820F49-46C4-49B7-9C9F-8DE211D320D0}"/>
    <cellStyle name="Normal 3 2 2 2 2 3 2" xfId="141" xr:uid="{89EDAAFC-DBCB-4478-818C-81D7177236E3}"/>
    <cellStyle name="Normal 3 2 2 2 2 3 2 2" xfId="269" xr:uid="{19836885-7AC5-4264-9D51-DEF3CA3605B0}"/>
    <cellStyle name="Normal 3 2 2 2 2 3 2 2 2" xfId="525" xr:uid="{04A65796-D5DF-41C0-8589-7C7D29DF7F08}"/>
    <cellStyle name="Normal 3 2 2 2 2 3 2 2 2 2" xfId="1043" xr:uid="{D64C6872-514A-4883-8D9C-E0ED55291D4E}"/>
    <cellStyle name="Normal 3 2 2 2 2 3 2 2 3" xfId="787" xr:uid="{95423173-48C7-410D-92D2-3E326AB32037}"/>
    <cellStyle name="Normal 3 2 2 2 2 3 2 3" xfId="397" xr:uid="{FA3EED51-C89E-4863-A97B-2D18DA17A532}"/>
    <cellStyle name="Normal 3 2 2 2 2 3 2 3 2" xfId="915" xr:uid="{FA1A1B5F-A8EA-42C2-9D13-172F7708B160}"/>
    <cellStyle name="Normal 3 2 2 2 2 3 2 4" xfId="659" xr:uid="{AB72AFAF-8788-4B9D-905F-41972FBC8055}"/>
    <cellStyle name="Normal 3 2 2 2 2 3 3" xfId="205" xr:uid="{B102F316-5CAF-4A8D-BEDE-913CBD710F84}"/>
    <cellStyle name="Normal 3 2 2 2 2 3 3 2" xfId="461" xr:uid="{E72C7A50-071E-4A92-831C-9FE98B7CF6BF}"/>
    <cellStyle name="Normal 3 2 2 2 2 3 3 2 2" xfId="979" xr:uid="{C44E42AD-1D88-4FD6-BBF1-4CDDAAFDF237}"/>
    <cellStyle name="Normal 3 2 2 2 2 3 3 3" xfId="723" xr:uid="{C2B3B94E-CFA5-4046-8E09-84E40AF704D7}"/>
    <cellStyle name="Normal 3 2 2 2 2 3 4" xfId="333" xr:uid="{43D25F04-C9A0-4762-B0F5-C3782A32F802}"/>
    <cellStyle name="Normal 3 2 2 2 2 3 4 2" xfId="851" xr:uid="{1FE60DBD-4E29-488A-98A9-34565F852A20}"/>
    <cellStyle name="Normal 3 2 2 2 2 3 5" xfId="595" xr:uid="{651C24F3-EED3-465E-8AEE-0BD1361CF6F8}"/>
    <cellStyle name="Normal 3 2 2 2 2 4" xfId="109" xr:uid="{67E48600-627A-4847-94B9-E0F1AEFC2558}"/>
    <cellStyle name="Normal 3 2 2 2 2 4 2" xfId="237" xr:uid="{734AF01C-7004-4C43-B450-93B80DB1D895}"/>
    <cellStyle name="Normal 3 2 2 2 2 4 2 2" xfId="493" xr:uid="{A9C603D9-0DAA-47EB-985F-FCCFED15B1BF}"/>
    <cellStyle name="Normal 3 2 2 2 2 4 2 2 2" xfId="1011" xr:uid="{52350B7C-08E2-4421-8A04-4821B619135F}"/>
    <cellStyle name="Normal 3 2 2 2 2 4 2 3" xfId="755" xr:uid="{2D89D975-E706-4060-8810-AB0144EAB0F9}"/>
    <cellStyle name="Normal 3 2 2 2 2 4 3" xfId="365" xr:uid="{226C7781-1AA8-419B-8D34-C227294E619F}"/>
    <cellStyle name="Normal 3 2 2 2 2 4 3 2" xfId="883" xr:uid="{C57042A1-322F-41E6-95EB-3E432BA22DD9}"/>
    <cellStyle name="Normal 3 2 2 2 2 4 4" xfId="627" xr:uid="{4D34FDEC-439E-4710-B6B2-1773F3BD184F}"/>
    <cellStyle name="Normal 3 2 2 2 2 5" xfId="173" xr:uid="{C8122F9F-A2E5-4AB5-AD41-00D3B7C5DCE8}"/>
    <cellStyle name="Normal 3 2 2 2 2 5 2" xfId="429" xr:uid="{219707AE-3F38-448D-A512-927CFF48C46B}"/>
    <cellStyle name="Normal 3 2 2 2 2 5 2 2" xfId="947" xr:uid="{AE71C209-3BDB-4F55-A9CC-6897CB853E1A}"/>
    <cellStyle name="Normal 3 2 2 2 2 5 3" xfId="691" xr:uid="{E18C3C40-203B-47C4-BD31-4C9BC6E96E61}"/>
    <cellStyle name="Normal 3 2 2 2 2 6" xfId="301" xr:uid="{E2EA7794-0936-4ACD-BC9D-B2042A271CD7}"/>
    <cellStyle name="Normal 3 2 2 2 2 6 2" xfId="819" xr:uid="{C25271FF-B323-4BCA-A641-5AE675A64805}"/>
    <cellStyle name="Normal 3 2 2 2 2 7" xfId="563" xr:uid="{A9B18210-0567-4CB0-BB21-93EB9BCDCFA7}"/>
    <cellStyle name="Normal 3 2 2 2 3" xfId="53" xr:uid="{C022C396-5A87-45C1-B6F1-F1E2A6452198}"/>
    <cellStyle name="Normal 3 2 2 2 3 2" xfId="85" xr:uid="{B14AB53C-4872-4B68-94CD-C49C678BFCF2}"/>
    <cellStyle name="Normal 3 2 2 2 3 2 2" xfId="149" xr:uid="{C39AA4AA-306D-4460-8ACC-D95AB1374353}"/>
    <cellStyle name="Normal 3 2 2 2 3 2 2 2" xfId="277" xr:uid="{8F3DBAB1-F2D9-4827-B687-A1DBCADF5B12}"/>
    <cellStyle name="Normal 3 2 2 2 3 2 2 2 2" xfId="533" xr:uid="{4C2D9752-2D35-443E-B811-2A0F47632178}"/>
    <cellStyle name="Normal 3 2 2 2 3 2 2 2 2 2" xfId="1051" xr:uid="{2EB2524E-E293-4037-B5FB-0B57D89ED1C4}"/>
    <cellStyle name="Normal 3 2 2 2 3 2 2 2 3" xfId="795" xr:uid="{29A28372-9D48-4150-A337-DDD005A88BB0}"/>
    <cellStyle name="Normal 3 2 2 2 3 2 2 3" xfId="405" xr:uid="{01EAC53E-76E7-4331-AC82-ACF11DF7C517}"/>
    <cellStyle name="Normal 3 2 2 2 3 2 2 3 2" xfId="923" xr:uid="{52EB5149-DEEA-45C6-8E6D-90DC9C716FE3}"/>
    <cellStyle name="Normal 3 2 2 2 3 2 2 4" xfId="667" xr:uid="{650E4159-04B3-4884-994E-997E30F35B57}"/>
    <cellStyle name="Normal 3 2 2 2 3 2 3" xfId="213" xr:uid="{D85AA37B-9B0C-4057-85D4-D1EA60EC38C7}"/>
    <cellStyle name="Normal 3 2 2 2 3 2 3 2" xfId="469" xr:uid="{D98D9092-F9AE-4E7E-A581-AD4296C40843}"/>
    <cellStyle name="Normal 3 2 2 2 3 2 3 2 2" xfId="987" xr:uid="{0E7BA90C-A2A9-48AE-9400-1C88D72D9BAA}"/>
    <cellStyle name="Normal 3 2 2 2 3 2 3 3" xfId="731" xr:uid="{62F36302-873D-4513-8EAD-004105983C04}"/>
    <cellStyle name="Normal 3 2 2 2 3 2 4" xfId="341" xr:uid="{AE8960E3-3A4E-407D-9A7F-ED95E2775BA7}"/>
    <cellStyle name="Normal 3 2 2 2 3 2 4 2" xfId="859" xr:uid="{AEB3DDD1-7817-4047-AA84-A2DC44BB7C3F}"/>
    <cellStyle name="Normal 3 2 2 2 3 2 5" xfId="603" xr:uid="{D847EE0F-1C69-449E-BA67-FD02A7D9DC21}"/>
    <cellStyle name="Normal 3 2 2 2 3 3" xfId="117" xr:uid="{CB0C567A-5024-4089-9E52-A68F4BE9A90A}"/>
    <cellStyle name="Normal 3 2 2 2 3 3 2" xfId="245" xr:uid="{5F81F240-0DD2-4F1C-A9AC-B65C6E1E381A}"/>
    <cellStyle name="Normal 3 2 2 2 3 3 2 2" xfId="501" xr:uid="{BDE865B9-CF47-40CE-ADCB-759ED7A3A7F4}"/>
    <cellStyle name="Normal 3 2 2 2 3 3 2 2 2" xfId="1019" xr:uid="{428C3259-FEAE-4745-B5F1-335A9AF65AAB}"/>
    <cellStyle name="Normal 3 2 2 2 3 3 2 3" xfId="763" xr:uid="{F18B9AA1-D8BE-47E5-9ECC-C19287D822C7}"/>
    <cellStyle name="Normal 3 2 2 2 3 3 3" xfId="373" xr:uid="{32A415E2-B01D-41D0-9EF2-1080986B1196}"/>
    <cellStyle name="Normal 3 2 2 2 3 3 3 2" xfId="891" xr:uid="{9B0A78F1-4DF2-4221-853F-EB9863D09ACE}"/>
    <cellStyle name="Normal 3 2 2 2 3 3 4" xfId="635" xr:uid="{6271E2E9-0F8A-41C3-AAD2-0347D4407BA0}"/>
    <cellStyle name="Normal 3 2 2 2 3 4" xfId="181" xr:uid="{871D8BDA-1E2C-4C66-8842-ADC3D128093E}"/>
    <cellStyle name="Normal 3 2 2 2 3 4 2" xfId="437" xr:uid="{400EEE38-68D6-4AB0-8EE6-39EC788193ED}"/>
    <cellStyle name="Normal 3 2 2 2 3 4 2 2" xfId="955" xr:uid="{80746ABC-8E4B-43B3-AFD0-0025C34E7C99}"/>
    <cellStyle name="Normal 3 2 2 2 3 4 3" xfId="699" xr:uid="{AB989CC0-CA65-4E34-9559-8D5C9DD928DD}"/>
    <cellStyle name="Normal 3 2 2 2 3 5" xfId="309" xr:uid="{9E37B270-E662-4192-AEE6-9C7FE7EBCB51}"/>
    <cellStyle name="Normal 3 2 2 2 3 5 2" xfId="827" xr:uid="{3093404C-EB73-4ECD-A50D-F4D9F92665C5}"/>
    <cellStyle name="Normal 3 2 2 2 3 6" xfId="571" xr:uid="{52606141-4F13-4E32-9368-82BDB01B28C7}"/>
    <cellStyle name="Normal 3 2 2 2 4" xfId="69" xr:uid="{D9FEECAE-9E8C-4B2F-9DE6-380879C71C33}"/>
    <cellStyle name="Normal 3 2 2 2 4 2" xfId="133" xr:uid="{9237E2ED-0C6F-44B1-9C53-18796FDFF87C}"/>
    <cellStyle name="Normal 3 2 2 2 4 2 2" xfId="261" xr:uid="{45C3483D-8590-4D97-BE2D-F79A3E363CEF}"/>
    <cellStyle name="Normal 3 2 2 2 4 2 2 2" xfId="517" xr:uid="{6659586D-20EA-49AF-B547-AF091031FC52}"/>
    <cellStyle name="Normal 3 2 2 2 4 2 2 2 2" xfId="1035" xr:uid="{05775E4A-559A-491D-9E00-7E71D2C757F4}"/>
    <cellStyle name="Normal 3 2 2 2 4 2 2 3" xfId="779" xr:uid="{3CC0B918-732E-4000-826A-B651C2FF62E3}"/>
    <cellStyle name="Normal 3 2 2 2 4 2 3" xfId="389" xr:uid="{48F7507A-F6FE-4FB4-9440-E64C516A7CD2}"/>
    <cellStyle name="Normal 3 2 2 2 4 2 3 2" xfId="907" xr:uid="{3FB2B069-4ABF-4B8B-8DE9-52031A6A85C1}"/>
    <cellStyle name="Normal 3 2 2 2 4 2 4" xfId="651" xr:uid="{DB943EBD-ECB8-48B4-BAE0-54F3DAB679B2}"/>
    <cellStyle name="Normal 3 2 2 2 4 3" xfId="197" xr:uid="{735C74D2-DA46-4060-AEBA-DD941E18F9FE}"/>
    <cellStyle name="Normal 3 2 2 2 4 3 2" xfId="453" xr:uid="{AD9AE119-96FC-4DA1-8943-2BACBAEB5C7A}"/>
    <cellStyle name="Normal 3 2 2 2 4 3 2 2" xfId="971" xr:uid="{0405D003-AC95-4914-B42A-963804FEE0B9}"/>
    <cellStyle name="Normal 3 2 2 2 4 3 3" xfId="715" xr:uid="{F3AF07A2-F218-496D-943E-35DD82437254}"/>
    <cellStyle name="Normal 3 2 2 2 4 4" xfId="325" xr:uid="{DD167128-7290-4B4A-B5CE-55A005200E36}"/>
    <cellStyle name="Normal 3 2 2 2 4 4 2" xfId="843" xr:uid="{14331F3B-83F5-4FBB-BA2B-91695E95291E}"/>
    <cellStyle name="Normal 3 2 2 2 4 5" xfId="587" xr:uid="{46B9FFA6-AFC0-45F5-813A-B61A4E5196A7}"/>
    <cellStyle name="Normal 3 2 2 2 5" xfId="101" xr:uid="{1BC7DB40-113A-403C-B5DD-3676B4591639}"/>
    <cellStyle name="Normal 3 2 2 2 5 2" xfId="229" xr:uid="{2D777FD0-A140-4BB5-B5B8-5DC96224098B}"/>
    <cellStyle name="Normal 3 2 2 2 5 2 2" xfId="485" xr:uid="{BD9A3F77-C47C-4E3F-8B86-93305EDCB717}"/>
    <cellStyle name="Normal 3 2 2 2 5 2 2 2" xfId="1003" xr:uid="{D402B765-CE47-40C5-827F-5E51103890A5}"/>
    <cellStyle name="Normal 3 2 2 2 5 2 3" xfId="747" xr:uid="{ED43DD18-B664-40A4-BC89-F43FA7A88D99}"/>
    <cellStyle name="Normal 3 2 2 2 5 3" xfId="357" xr:uid="{90AB9486-2FC6-4E1A-BFFA-B9D67E0BA012}"/>
    <cellStyle name="Normal 3 2 2 2 5 3 2" xfId="875" xr:uid="{19A7556A-8E24-4518-BF42-C79C4CFEFAD6}"/>
    <cellStyle name="Normal 3 2 2 2 5 4" xfId="619" xr:uid="{BFE75AB3-EC5A-47E0-8232-3D42D9FBA00F}"/>
    <cellStyle name="Normal 3 2 2 2 6" xfId="165" xr:uid="{62218C57-1E71-420A-A9F3-098EC781CF3E}"/>
    <cellStyle name="Normal 3 2 2 2 6 2" xfId="421" xr:uid="{3A329552-20D6-4EB1-9B90-402828305BA2}"/>
    <cellStyle name="Normal 3 2 2 2 6 2 2" xfId="939" xr:uid="{44595066-7C0C-492F-B180-027BA0522617}"/>
    <cellStyle name="Normal 3 2 2 2 6 3" xfId="683" xr:uid="{04DE89B2-B283-49DA-ACA3-8DAB4B299B21}"/>
    <cellStyle name="Normal 3 2 2 2 7" xfId="293" xr:uid="{85EBB0B9-B5BD-4003-B3E8-E1006A60075A}"/>
    <cellStyle name="Normal 3 2 2 2 7 2" xfId="811" xr:uid="{8F0689F5-17F0-42C0-9F4E-465803232141}"/>
    <cellStyle name="Normal 3 2 2 2 8" xfId="555" xr:uid="{F952F56A-F337-40BE-94BA-88F824E72FF5}"/>
    <cellStyle name="Normal 3 2 2 3" xfId="41" xr:uid="{9EE06B94-5F54-406A-B875-BEA596BC5BF9}"/>
    <cellStyle name="Normal 3 2 2 3 2" xfId="57" xr:uid="{14A9C71B-0943-49B9-A10B-27A54724C94B}"/>
    <cellStyle name="Normal 3 2 2 3 2 2" xfId="89" xr:uid="{399EFDE3-A72D-42E1-B5FA-CDD7D38928AD}"/>
    <cellStyle name="Normal 3 2 2 3 2 2 2" xfId="153" xr:uid="{D90B9668-E2CD-4854-94C9-DEEF12CB43EA}"/>
    <cellStyle name="Normal 3 2 2 3 2 2 2 2" xfId="281" xr:uid="{D671C1C6-F2F0-49A3-8E8B-C53B7EB7B294}"/>
    <cellStyle name="Normal 3 2 2 3 2 2 2 2 2" xfId="537" xr:uid="{C55203C8-87AA-4B66-8495-BDF1E5A104EA}"/>
    <cellStyle name="Normal 3 2 2 3 2 2 2 2 2 2" xfId="1055" xr:uid="{7A97F4DF-3C54-48EC-BAEE-706DB60E54CD}"/>
    <cellStyle name="Normal 3 2 2 3 2 2 2 2 3" xfId="799" xr:uid="{2C41B38A-DCCF-4D4F-8736-72043CEF31AE}"/>
    <cellStyle name="Normal 3 2 2 3 2 2 2 3" xfId="409" xr:uid="{B4DC51C7-8044-4AA4-A099-0CD1A27A3167}"/>
    <cellStyle name="Normal 3 2 2 3 2 2 2 3 2" xfId="927" xr:uid="{309D2E14-CE0C-4460-96A9-37D69C9F3DB7}"/>
    <cellStyle name="Normal 3 2 2 3 2 2 2 4" xfId="671" xr:uid="{BE6B0EF7-268F-4BC6-B846-7C2F30F3C6A3}"/>
    <cellStyle name="Normal 3 2 2 3 2 2 3" xfId="217" xr:uid="{FAD56F16-27C3-4508-B7F9-9D7034EA681A}"/>
    <cellStyle name="Normal 3 2 2 3 2 2 3 2" xfId="473" xr:uid="{55E7C62E-7C4E-4F47-BAE3-A3CED6E86288}"/>
    <cellStyle name="Normal 3 2 2 3 2 2 3 2 2" xfId="991" xr:uid="{CA7A4651-F324-4F51-9E0C-A1BC163566EE}"/>
    <cellStyle name="Normal 3 2 2 3 2 2 3 3" xfId="735" xr:uid="{1CAD2870-A133-4635-AC2C-F6C9001451F6}"/>
    <cellStyle name="Normal 3 2 2 3 2 2 4" xfId="345" xr:uid="{020E1D40-30EF-4D7D-9E86-F7424A4153A5}"/>
    <cellStyle name="Normal 3 2 2 3 2 2 4 2" xfId="863" xr:uid="{2A4CAEC0-A8DE-4FFC-83A8-26BA6E961D36}"/>
    <cellStyle name="Normal 3 2 2 3 2 2 5" xfId="607" xr:uid="{4C3A3897-FC85-4C9D-BB9B-9721F4EF6FE0}"/>
    <cellStyle name="Normal 3 2 2 3 2 3" xfId="121" xr:uid="{C467A5D8-F14F-4E18-AD6B-F9305474C8A3}"/>
    <cellStyle name="Normal 3 2 2 3 2 3 2" xfId="249" xr:uid="{76F27320-23D6-48F6-9093-C4BE065379E9}"/>
    <cellStyle name="Normal 3 2 2 3 2 3 2 2" xfId="505" xr:uid="{F6A3E17A-C260-4C39-8EFF-E49DBAB6F084}"/>
    <cellStyle name="Normal 3 2 2 3 2 3 2 2 2" xfId="1023" xr:uid="{C7CB9921-8C89-4F05-AF30-4CC9C72FC26A}"/>
    <cellStyle name="Normal 3 2 2 3 2 3 2 3" xfId="767" xr:uid="{D900FAFA-E4E8-4686-B72D-6C904A064C5C}"/>
    <cellStyle name="Normal 3 2 2 3 2 3 3" xfId="377" xr:uid="{97636268-7039-40E9-89B1-70DC7762AA29}"/>
    <cellStyle name="Normal 3 2 2 3 2 3 3 2" xfId="895" xr:uid="{7E98ADB0-D2F9-4C4E-A0C8-DE74B0E8DD0F}"/>
    <cellStyle name="Normal 3 2 2 3 2 3 4" xfId="639" xr:uid="{E9F8BD84-8892-4B0C-AB6F-D8EB2D9CC881}"/>
    <cellStyle name="Normal 3 2 2 3 2 4" xfId="185" xr:uid="{B74CA33C-FAB4-4811-BDEB-8F74CA776E65}"/>
    <cellStyle name="Normal 3 2 2 3 2 4 2" xfId="441" xr:uid="{C29197A2-90FD-4CE2-B8FE-DCB53934F5F4}"/>
    <cellStyle name="Normal 3 2 2 3 2 4 2 2" xfId="959" xr:uid="{EF997BF8-A9F5-40EF-AB5C-66EFFA7E9949}"/>
    <cellStyle name="Normal 3 2 2 3 2 4 3" xfId="703" xr:uid="{3D0400A7-113F-431A-BFDB-212507AA9DCF}"/>
    <cellStyle name="Normal 3 2 2 3 2 5" xfId="313" xr:uid="{E40EDF90-03F4-4A7F-9092-B031B2EEB052}"/>
    <cellStyle name="Normal 3 2 2 3 2 5 2" xfId="831" xr:uid="{D82D108D-F3A9-4FF4-8E1B-E27EB3632601}"/>
    <cellStyle name="Normal 3 2 2 3 2 6" xfId="575" xr:uid="{99096F63-CA0D-4093-82F4-C210A3772824}"/>
    <cellStyle name="Normal 3 2 2 3 3" xfId="73" xr:uid="{D96A4C27-385A-4F01-8060-CE907E2ADB9F}"/>
    <cellStyle name="Normal 3 2 2 3 3 2" xfId="137" xr:uid="{0A658F56-888E-41DE-AEA0-909919956CBE}"/>
    <cellStyle name="Normal 3 2 2 3 3 2 2" xfId="265" xr:uid="{8F7E3AD4-9D69-4CFD-B732-B628661FA6EC}"/>
    <cellStyle name="Normal 3 2 2 3 3 2 2 2" xfId="521" xr:uid="{0940B8A5-3872-499B-86C4-F07F93CC5D56}"/>
    <cellStyle name="Normal 3 2 2 3 3 2 2 2 2" xfId="1039" xr:uid="{11232494-E3B3-4FE3-A07A-88C428117817}"/>
    <cellStyle name="Normal 3 2 2 3 3 2 2 3" xfId="783" xr:uid="{89A0ED55-9BEA-4E05-87FD-3AB35396B1C9}"/>
    <cellStyle name="Normal 3 2 2 3 3 2 3" xfId="393" xr:uid="{C87516BB-1962-4811-B04B-65C739911F44}"/>
    <cellStyle name="Normal 3 2 2 3 3 2 3 2" xfId="911" xr:uid="{10263FD3-3C6C-45E2-B170-89715F1FD540}"/>
    <cellStyle name="Normal 3 2 2 3 3 2 4" xfId="655" xr:uid="{DDF0DC93-1C48-41FC-A5EC-5FE71D8762EB}"/>
    <cellStyle name="Normal 3 2 2 3 3 3" xfId="201" xr:uid="{2B1AA70D-D172-4BDE-918A-10E456992ABF}"/>
    <cellStyle name="Normal 3 2 2 3 3 3 2" xfId="457" xr:uid="{37143D98-9869-4BF2-80CD-0FBF87F9C940}"/>
    <cellStyle name="Normal 3 2 2 3 3 3 2 2" xfId="975" xr:uid="{34E0B3E4-F4D6-4FE9-A340-45668D513D74}"/>
    <cellStyle name="Normal 3 2 2 3 3 3 3" xfId="719" xr:uid="{CB19ABB7-E4AC-458A-AB08-5F145FD8BFF2}"/>
    <cellStyle name="Normal 3 2 2 3 3 4" xfId="329" xr:uid="{1BCE79BA-E369-4E9E-911F-A8D986B1ABF3}"/>
    <cellStyle name="Normal 3 2 2 3 3 4 2" xfId="847" xr:uid="{E796AF25-3BF7-495C-AB9D-9FE8280F3AC9}"/>
    <cellStyle name="Normal 3 2 2 3 3 5" xfId="591" xr:uid="{18B1EA39-9C3C-4BFF-AF44-4D5C5A618B44}"/>
    <cellStyle name="Normal 3 2 2 3 4" xfId="105" xr:uid="{8784212F-EF6F-47CF-9B5F-102846A2B480}"/>
    <cellStyle name="Normal 3 2 2 3 4 2" xfId="233" xr:uid="{21527BC1-D812-4496-94FA-11C40BAD36AB}"/>
    <cellStyle name="Normal 3 2 2 3 4 2 2" xfId="489" xr:uid="{FD89B407-AA2F-4233-87C1-C8F787B8B191}"/>
    <cellStyle name="Normal 3 2 2 3 4 2 2 2" xfId="1007" xr:uid="{CF2FA353-D5B0-4F6E-A776-E996A64A41B5}"/>
    <cellStyle name="Normal 3 2 2 3 4 2 3" xfId="751" xr:uid="{51752984-0FF4-4632-A993-C58A3863B484}"/>
    <cellStyle name="Normal 3 2 2 3 4 3" xfId="361" xr:uid="{DE2B680F-8EA9-4E2F-9E13-22AEF69EEFE6}"/>
    <cellStyle name="Normal 3 2 2 3 4 3 2" xfId="879" xr:uid="{E803DFF1-D531-42B3-8B0D-05AAE0327DB0}"/>
    <cellStyle name="Normal 3 2 2 3 4 4" xfId="623" xr:uid="{78177A96-2227-416C-B765-7F9977D232BB}"/>
    <cellStyle name="Normal 3 2 2 3 5" xfId="169" xr:uid="{D1526555-0AC9-48D0-8435-4E345FA14464}"/>
    <cellStyle name="Normal 3 2 2 3 5 2" xfId="425" xr:uid="{D49593A9-4611-4769-AF41-B4D83CE442B8}"/>
    <cellStyle name="Normal 3 2 2 3 5 2 2" xfId="943" xr:uid="{CCEEDF00-FA76-4523-AF38-CDA00A27CD95}"/>
    <cellStyle name="Normal 3 2 2 3 5 3" xfId="687" xr:uid="{B7902F03-BC3A-45FD-89CC-7330D414DE2B}"/>
    <cellStyle name="Normal 3 2 2 3 6" xfId="297" xr:uid="{53398B72-A4DE-44CA-BEF5-1B6CECC22E1B}"/>
    <cellStyle name="Normal 3 2 2 3 6 2" xfId="815" xr:uid="{3E0D3599-73CE-48FA-92F9-9E2EF0A2B457}"/>
    <cellStyle name="Normal 3 2 2 3 7" xfId="559" xr:uid="{CDB52271-81D7-402C-838C-112AD1DBDBF7}"/>
    <cellStyle name="Normal 3 2 2 4" xfId="49" xr:uid="{43C4D93C-46F0-416D-88AA-9F796322B211}"/>
    <cellStyle name="Normal 3 2 2 4 2" xfId="81" xr:uid="{6B5DEAE8-6FB1-4D95-B044-EC44AC841A40}"/>
    <cellStyle name="Normal 3 2 2 4 2 2" xfId="145" xr:uid="{6A372A04-48E3-47AB-84CC-786238AD5BBC}"/>
    <cellStyle name="Normal 3 2 2 4 2 2 2" xfId="273" xr:uid="{1EB7AAED-5351-45F9-86AE-E82B6149C8A1}"/>
    <cellStyle name="Normal 3 2 2 4 2 2 2 2" xfId="529" xr:uid="{A39F86F3-A038-4103-B1BE-3672BB56F9B0}"/>
    <cellStyle name="Normal 3 2 2 4 2 2 2 2 2" xfId="1047" xr:uid="{20BBFBAC-2CB2-425F-8162-3B1FA325E9A5}"/>
    <cellStyle name="Normal 3 2 2 4 2 2 2 3" xfId="791" xr:uid="{49BC21B5-498C-4127-99DC-4D6EDA8BACE2}"/>
    <cellStyle name="Normal 3 2 2 4 2 2 3" xfId="401" xr:uid="{792A54F4-547A-4EE1-8BBC-277BC2171E76}"/>
    <cellStyle name="Normal 3 2 2 4 2 2 3 2" xfId="919" xr:uid="{39658785-94AA-4D2E-AC7B-39D86AD1BD07}"/>
    <cellStyle name="Normal 3 2 2 4 2 2 4" xfId="663" xr:uid="{8A9BBA5C-6AC4-47AB-860A-FC8ED7014158}"/>
    <cellStyle name="Normal 3 2 2 4 2 3" xfId="209" xr:uid="{97BE2DBC-3E96-44B0-9FE8-345680B10E37}"/>
    <cellStyle name="Normal 3 2 2 4 2 3 2" xfId="465" xr:uid="{3114A919-0BD8-4ABC-A66E-A1207860FCAC}"/>
    <cellStyle name="Normal 3 2 2 4 2 3 2 2" xfId="983" xr:uid="{1A942F73-AC60-4234-BC67-2B2996AF923A}"/>
    <cellStyle name="Normal 3 2 2 4 2 3 3" xfId="727" xr:uid="{9495ACAA-3CA0-4F6C-84FF-782BC629D1C8}"/>
    <cellStyle name="Normal 3 2 2 4 2 4" xfId="337" xr:uid="{7ACA1EED-B768-44CD-9429-F21A71217C9C}"/>
    <cellStyle name="Normal 3 2 2 4 2 4 2" xfId="855" xr:uid="{48A99F4E-66DA-403D-9108-9A6C3435D744}"/>
    <cellStyle name="Normal 3 2 2 4 2 5" xfId="599" xr:uid="{99B3D4AA-469F-445B-B44E-98B84F0422A1}"/>
    <cellStyle name="Normal 3 2 2 4 3" xfId="113" xr:uid="{F7D1E587-0075-4241-8482-85D0D47DB6B0}"/>
    <cellStyle name="Normal 3 2 2 4 3 2" xfId="241" xr:uid="{2EBB2C49-F9CE-4000-96D2-F98CF57CCDA4}"/>
    <cellStyle name="Normal 3 2 2 4 3 2 2" xfId="497" xr:uid="{B4430804-D5CA-4312-B96C-EF8FC30EFC1B}"/>
    <cellStyle name="Normal 3 2 2 4 3 2 2 2" xfId="1015" xr:uid="{81A4D1A4-3BE1-4AFC-B85F-0931EC8E0A44}"/>
    <cellStyle name="Normal 3 2 2 4 3 2 3" xfId="759" xr:uid="{FC7243A2-3123-48AD-BF5A-CFEA202509A6}"/>
    <cellStyle name="Normal 3 2 2 4 3 3" xfId="369" xr:uid="{3D70AEFD-E862-4972-97AF-5F6C4FB309A1}"/>
    <cellStyle name="Normal 3 2 2 4 3 3 2" xfId="887" xr:uid="{6874E039-B963-408E-887D-9F2138BD24A0}"/>
    <cellStyle name="Normal 3 2 2 4 3 4" xfId="631" xr:uid="{15B4261A-EDC1-4E88-9A52-2279FC43B08B}"/>
    <cellStyle name="Normal 3 2 2 4 4" xfId="177" xr:uid="{85B0583E-EEB3-413E-A838-3D3E0747D4EE}"/>
    <cellStyle name="Normal 3 2 2 4 4 2" xfId="433" xr:uid="{D87B070A-BEDA-45EE-B5E8-DCFE96D30E65}"/>
    <cellStyle name="Normal 3 2 2 4 4 2 2" xfId="951" xr:uid="{C85973FB-56CD-4DB5-89FB-51AD842C794B}"/>
    <cellStyle name="Normal 3 2 2 4 4 3" xfId="695" xr:uid="{F4909F39-6EEE-4173-AFF1-B2383C0492D3}"/>
    <cellStyle name="Normal 3 2 2 4 5" xfId="305" xr:uid="{B4CDD3A1-FDEE-449C-853C-6342497C5C96}"/>
    <cellStyle name="Normal 3 2 2 4 5 2" xfId="823" xr:uid="{9D1ACC0F-8D92-44C8-98C4-1FAE3453A155}"/>
    <cellStyle name="Normal 3 2 2 4 6" xfId="567" xr:uid="{F4A21215-D931-49E4-88A2-B05730110307}"/>
    <cellStyle name="Normal 3 2 2 5" xfId="65" xr:uid="{AF5185CC-5CDA-4C72-9045-90AAE19E52B6}"/>
    <cellStyle name="Normal 3 2 2 5 2" xfId="129" xr:uid="{B0363C14-ADF9-4EF8-A138-CD5BE6B4B8B9}"/>
    <cellStyle name="Normal 3 2 2 5 2 2" xfId="257" xr:uid="{69D8079C-22E4-4A73-B258-DDFC35462DAC}"/>
    <cellStyle name="Normal 3 2 2 5 2 2 2" xfId="513" xr:uid="{5BBB84CD-2C19-4F70-9876-BE2AB4A9BBCF}"/>
    <cellStyle name="Normal 3 2 2 5 2 2 2 2" xfId="1031" xr:uid="{DDA358F1-A978-46AD-9FE9-6DE5FEE3A562}"/>
    <cellStyle name="Normal 3 2 2 5 2 2 3" xfId="775" xr:uid="{A9B5B8AE-4F01-4D7F-B7D1-407F4ED6C2EA}"/>
    <cellStyle name="Normal 3 2 2 5 2 3" xfId="385" xr:uid="{5BF475DA-031F-4511-8C2D-2A87D9998BD4}"/>
    <cellStyle name="Normal 3 2 2 5 2 3 2" xfId="903" xr:uid="{9BD59962-DFBE-42C8-9A56-1A8006CF72B0}"/>
    <cellStyle name="Normal 3 2 2 5 2 4" xfId="647" xr:uid="{C90375C2-86F8-4298-B58D-852257D0EDDB}"/>
    <cellStyle name="Normal 3 2 2 5 3" xfId="193" xr:uid="{4C280B36-B85F-46E9-A9E1-914C02866BC8}"/>
    <cellStyle name="Normal 3 2 2 5 3 2" xfId="449" xr:uid="{1E2EFFBD-7933-4CB2-A24A-7824AABD1A47}"/>
    <cellStyle name="Normal 3 2 2 5 3 2 2" xfId="967" xr:uid="{47ABD7FA-B65B-4115-AA29-A70E018747D6}"/>
    <cellStyle name="Normal 3 2 2 5 3 3" xfId="711" xr:uid="{6C08159A-B5CF-43B5-8AC7-E1A881442FAD}"/>
    <cellStyle name="Normal 3 2 2 5 4" xfId="321" xr:uid="{35210757-8BE6-4120-941F-2BD19008EBA5}"/>
    <cellStyle name="Normal 3 2 2 5 4 2" xfId="839" xr:uid="{C3054C2C-3D80-4762-A6F4-001717801E26}"/>
    <cellStyle name="Normal 3 2 2 5 5" xfId="583" xr:uid="{1475ADB3-0090-410A-B647-75B5F368C25E}"/>
    <cellStyle name="Normal 3 2 2 6" xfId="97" xr:uid="{6B37C8F3-1F76-4997-90E8-DE8F401589B8}"/>
    <cellStyle name="Normal 3 2 2 6 2" xfId="225" xr:uid="{4D671771-3198-41ED-B5AA-0FE93D59669B}"/>
    <cellStyle name="Normal 3 2 2 6 2 2" xfId="481" xr:uid="{40FE61FA-4435-4340-9E99-7748F433188D}"/>
    <cellStyle name="Normal 3 2 2 6 2 2 2" xfId="999" xr:uid="{4EA07A5C-978C-4000-85E4-B2DCDC559DEC}"/>
    <cellStyle name="Normal 3 2 2 6 2 3" xfId="743" xr:uid="{D4CCB24B-27D6-4819-999C-181D36E82CF2}"/>
    <cellStyle name="Normal 3 2 2 6 3" xfId="353" xr:uid="{26391564-F108-4FBC-8771-5C12088E0A37}"/>
    <cellStyle name="Normal 3 2 2 6 3 2" xfId="871" xr:uid="{2F9D354C-3C12-463A-8D5D-E1E0934714EF}"/>
    <cellStyle name="Normal 3 2 2 6 4" xfId="615" xr:uid="{EE9BB7C2-DA70-4CAC-B14C-669463B23DA2}"/>
    <cellStyle name="Normal 3 2 2 7" xfId="161" xr:uid="{93A6723F-780C-4221-A088-3834C289B33D}"/>
    <cellStyle name="Normal 3 2 2 7 2" xfId="417" xr:uid="{E6A304F0-4B2E-4802-BCDF-EEE33D199DF5}"/>
    <cellStyle name="Normal 3 2 2 7 2 2" xfId="935" xr:uid="{61E55964-D4A7-4172-BD4B-44FFFB1B06ED}"/>
    <cellStyle name="Normal 3 2 2 7 3" xfId="679" xr:uid="{6E38C605-0000-48BC-BCE8-3BCF79FD78EA}"/>
    <cellStyle name="Normal 3 2 2 8" xfId="289" xr:uid="{55A64B9E-71D9-40DA-ABDC-796A46950665}"/>
    <cellStyle name="Normal 3 2 2 8 2" xfId="807" xr:uid="{B49D5E82-DD83-4912-8B97-513F3256FE23}"/>
    <cellStyle name="Normal 3 2 2 9" xfId="551" xr:uid="{0591D61A-4FAE-4FB0-A30F-E7CC94167BFE}"/>
    <cellStyle name="Normal 3 2 3" xfId="35" xr:uid="{4537F5D3-3D0A-43F3-A233-BD2FDC9D20D3}"/>
    <cellStyle name="Normal 3 2 3 2" xfId="43" xr:uid="{56C4A64B-A52C-4070-923B-451E72E7E493}"/>
    <cellStyle name="Normal 3 2 3 2 2" xfId="59" xr:uid="{6ED126F9-B363-4D50-A65D-61D3340A77DE}"/>
    <cellStyle name="Normal 3 2 3 2 2 2" xfId="91" xr:uid="{113AF067-50D8-468A-9268-3DAF0C4D2B98}"/>
    <cellStyle name="Normal 3 2 3 2 2 2 2" xfId="155" xr:uid="{37AB04B8-CFF4-494B-81E6-5BDF0EA5A188}"/>
    <cellStyle name="Normal 3 2 3 2 2 2 2 2" xfId="283" xr:uid="{88BC8CD6-3055-4B64-88C9-EA48AEDAED8A}"/>
    <cellStyle name="Normal 3 2 3 2 2 2 2 2 2" xfId="539" xr:uid="{0A168C7C-4129-4721-ABD1-7A065D014D6A}"/>
    <cellStyle name="Normal 3 2 3 2 2 2 2 2 2 2" xfId="1057" xr:uid="{3F9A6EE4-F398-4D4B-A583-28E462B5CF29}"/>
    <cellStyle name="Normal 3 2 3 2 2 2 2 2 3" xfId="801" xr:uid="{E76AEDB2-A0EC-415D-9666-4CA64FAE6A71}"/>
    <cellStyle name="Normal 3 2 3 2 2 2 2 3" xfId="411" xr:uid="{51C24DAF-A4B1-4AC9-8B89-83EB4044547B}"/>
    <cellStyle name="Normal 3 2 3 2 2 2 2 3 2" xfId="929" xr:uid="{85AE3D05-11D3-43BD-8477-3819C11EABA3}"/>
    <cellStyle name="Normal 3 2 3 2 2 2 2 4" xfId="673" xr:uid="{13BD29F0-8B4B-49BE-B2E8-A627A726ACE4}"/>
    <cellStyle name="Normal 3 2 3 2 2 2 3" xfId="219" xr:uid="{5E11A8BB-0100-4F5B-AAFE-96520CE3B2DA}"/>
    <cellStyle name="Normal 3 2 3 2 2 2 3 2" xfId="475" xr:uid="{548861BB-E3DF-4199-B1E3-001AFE92A9D6}"/>
    <cellStyle name="Normal 3 2 3 2 2 2 3 2 2" xfId="993" xr:uid="{D167BCFB-A3E9-4E05-A5DA-F379F9441167}"/>
    <cellStyle name="Normal 3 2 3 2 2 2 3 3" xfId="737" xr:uid="{54374E6A-6496-4F58-8458-7FB22AF8FA7E}"/>
    <cellStyle name="Normal 3 2 3 2 2 2 4" xfId="347" xr:uid="{285001F8-1D80-4D25-93CA-0AA0E82F96C7}"/>
    <cellStyle name="Normal 3 2 3 2 2 2 4 2" xfId="865" xr:uid="{01F40D4A-FEAD-43F2-A9F5-A54C4A5EAB0F}"/>
    <cellStyle name="Normal 3 2 3 2 2 2 5" xfId="609" xr:uid="{E1D24FB6-BA7A-4156-AE6C-067FEAE11A84}"/>
    <cellStyle name="Normal 3 2 3 2 2 3" xfId="123" xr:uid="{B15387EA-A5A0-445F-94C6-46BDBC0BD96A}"/>
    <cellStyle name="Normal 3 2 3 2 2 3 2" xfId="251" xr:uid="{B430963A-4A79-4521-BD73-1A9052363BD2}"/>
    <cellStyle name="Normal 3 2 3 2 2 3 2 2" xfId="507" xr:uid="{2FC76D87-C447-487E-8810-6AD34B01D943}"/>
    <cellStyle name="Normal 3 2 3 2 2 3 2 2 2" xfId="1025" xr:uid="{22DF276B-D277-4551-8C31-99DD4F2C98DA}"/>
    <cellStyle name="Normal 3 2 3 2 2 3 2 3" xfId="769" xr:uid="{C9F9EDD9-A03D-4465-93E6-5AC9DA12B466}"/>
    <cellStyle name="Normal 3 2 3 2 2 3 3" xfId="379" xr:uid="{8326AA28-968C-4FD3-B7FA-D2031D314079}"/>
    <cellStyle name="Normal 3 2 3 2 2 3 3 2" xfId="897" xr:uid="{3767A611-E812-4BF2-BD51-DBDA5EE10FE6}"/>
    <cellStyle name="Normal 3 2 3 2 2 3 4" xfId="641" xr:uid="{22B547BA-85FD-47DE-BFF8-C88E5EAE437F}"/>
    <cellStyle name="Normal 3 2 3 2 2 4" xfId="187" xr:uid="{D4D17AFA-BF38-4A69-B734-BB372E3E792A}"/>
    <cellStyle name="Normal 3 2 3 2 2 4 2" xfId="443" xr:uid="{392DCCF4-CF35-40EF-B805-745AA59B3DAF}"/>
    <cellStyle name="Normal 3 2 3 2 2 4 2 2" xfId="961" xr:uid="{4DB6CAA0-387D-4E19-A896-702111F0B7CC}"/>
    <cellStyle name="Normal 3 2 3 2 2 4 3" xfId="705" xr:uid="{99DE269B-B17C-4DAA-A96B-0DFC54C1CB73}"/>
    <cellStyle name="Normal 3 2 3 2 2 5" xfId="315" xr:uid="{3CF28FED-71BF-4CB9-B342-985155B419F5}"/>
    <cellStyle name="Normal 3 2 3 2 2 5 2" xfId="833" xr:uid="{1277B304-715B-4F1C-96E9-31A051D27486}"/>
    <cellStyle name="Normal 3 2 3 2 2 6" xfId="577" xr:uid="{CDF4108F-F4BE-4AE9-A92C-FB6FFA39905B}"/>
    <cellStyle name="Normal 3 2 3 2 3" xfId="75" xr:uid="{D982835B-9CF3-49EB-849D-7C00BD464F20}"/>
    <cellStyle name="Normal 3 2 3 2 3 2" xfId="139" xr:uid="{00245A40-B82B-4EA5-A6C3-C5F5564835C4}"/>
    <cellStyle name="Normal 3 2 3 2 3 2 2" xfId="267" xr:uid="{F2A210E9-E59F-4676-A916-FFF01AA2DB97}"/>
    <cellStyle name="Normal 3 2 3 2 3 2 2 2" xfId="523" xr:uid="{DC306134-4B51-46FD-9A9A-D09F288CFF74}"/>
    <cellStyle name="Normal 3 2 3 2 3 2 2 2 2" xfId="1041" xr:uid="{A7F1B906-A8B3-4FEF-A5FD-5BFA76A546AE}"/>
    <cellStyle name="Normal 3 2 3 2 3 2 2 3" xfId="785" xr:uid="{7EC1C1B4-DCB2-44AC-891B-E84FC4053A22}"/>
    <cellStyle name="Normal 3 2 3 2 3 2 3" xfId="395" xr:uid="{EB039260-E83C-4F1F-A170-CA16A0A1D56A}"/>
    <cellStyle name="Normal 3 2 3 2 3 2 3 2" xfId="913" xr:uid="{2F130ECC-3E8F-4EAF-A68F-C311ACA7D5F2}"/>
    <cellStyle name="Normal 3 2 3 2 3 2 4" xfId="657" xr:uid="{B189EF50-6238-42A2-810B-B6BA19D78E4B}"/>
    <cellStyle name="Normal 3 2 3 2 3 3" xfId="203" xr:uid="{2F536007-FF0F-4ED2-8CD8-BDD8AFF3B1EB}"/>
    <cellStyle name="Normal 3 2 3 2 3 3 2" xfId="459" xr:uid="{1C727FC5-A9EC-4D40-AD00-3265E2CA061B}"/>
    <cellStyle name="Normal 3 2 3 2 3 3 2 2" xfId="977" xr:uid="{58EEDCFD-B2DE-4D01-9F74-0EB87DF208FB}"/>
    <cellStyle name="Normal 3 2 3 2 3 3 3" xfId="721" xr:uid="{D29A4136-9828-46C8-8437-4C05A24EAF34}"/>
    <cellStyle name="Normal 3 2 3 2 3 4" xfId="331" xr:uid="{461DCDF0-C81E-49AF-AC13-E5DF87C870D1}"/>
    <cellStyle name="Normal 3 2 3 2 3 4 2" xfId="849" xr:uid="{F9D7225F-0F17-4876-8B2B-53AA0F787688}"/>
    <cellStyle name="Normal 3 2 3 2 3 5" xfId="593" xr:uid="{B04B945B-418C-4D2F-B503-675BDA7A6CB1}"/>
    <cellStyle name="Normal 3 2 3 2 4" xfId="107" xr:uid="{9B3E089A-5F33-4EBB-8CAA-F4E1563CE1A4}"/>
    <cellStyle name="Normal 3 2 3 2 4 2" xfId="235" xr:uid="{FF7B353C-1862-4BF4-A1FB-EAEA8738A3CE}"/>
    <cellStyle name="Normal 3 2 3 2 4 2 2" xfId="491" xr:uid="{7FF15B47-6173-4C7B-913B-7793C2A8DF00}"/>
    <cellStyle name="Normal 3 2 3 2 4 2 2 2" xfId="1009" xr:uid="{04B90340-8E09-4292-996B-AC8E4D07F8A0}"/>
    <cellStyle name="Normal 3 2 3 2 4 2 3" xfId="753" xr:uid="{35FE7192-4D10-4C6A-83B6-49DC09B1A84A}"/>
    <cellStyle name="Normal 3 2 3 2 4 3" xfId="363" xr:uid="{3B6AF772-73BD-47D6-B308-4E4F78768058}"/>
    <cellStyle name="Normal 3 2 3 2 4 3 2" xfId="881" xr:uid="{AF7D8DF3-638B-46AC-96A1-028685FB3B22}"/>
    <cellStyle name="Normal 3 2 3 2 4 4" xfId="625" xr:uid="{1BBDA955-0B78-472E-89FF-B70E1A69648B}"/>
    <cellStyle name="Normal 3 2 3 2 5" xfId="171" xr:uid="{E3ED6C82-BE1E-45EE-9025-45F942BD3801}"/>
    <cellStyle name="Normal 3 2 3 2 5 2" xfId="427" xr:uid="{505D3805-8F5E-4B12-97F5-32CB5E8A12C9}"/>
    <cellStyle name="Normal 3 2 3 2 5 2 2" xfId="945" xr:uid="{589FDBBE-34A3-454A-BA88-D7F7626C6F56}"/>
    <cellStyle name="Normal 3 2 3 2 5 3" xfId="689" xr:uid="{341E02E4-7D31-47EC-9D33-FD0E57A62D44}"/>
    <cellStyle name="Normal 3 2 3 2 6" xfId="299" xr:uid="{B952E76B-03D7-4B56-87BE-8515AE4D6DB4}"/>
    <cellStyle name="Normal 3 2 3 2 6 2" xfId="817" xr:uid="{11D094FF-EC83-4E2F-A50D-ABC93D471D02}"/>
    <cellStyle name="Normal 3 2 3 2 7" xfId="561" xr:uid="{C69E3EB8-61A8-4715-AE7F-1F8401C62A14}"/>
    <cellStyle name="Normal 3 2 3 3" xfId="51" xr:uid="{A3B2BB75-7636-4C70-8DE4-AFB1685B64CC}"/>
    <cellStyle name="Normal 3 2 3 3 2" xfId="83" xr:uid="{CB174BC6-6672-4BD5-99E6-251577B4FEDC}"/>
    <cellStyle name="Normal 3 2 3 3 2 2" xfId="147" xr:uid="{B9FC82E5-DC50-4E85-87D2-77A161B52A37}"/>
    <cellStyle name="Normal 3 2 3 3 2 2 2" xfId="275" xr:uid="{87741D1D-5C68-4DF0-A0CA-FD2F7717649B}"/>
    <cellStyle name="Normal 3 2 3 3 2 2 2 2" xfId="531" xr:uid="{E427C60C-6565-4226-BBE6-7427BEDF7548}"/>
    <cellStyle name="Normal 3 2 3 3 2 2 2 2 2" xfId="1049" xr:uid="{3417CB87-DBB3-4B85-A936-FBE1DFBAD700}"/>
    <cellStyle name="Normal 3 2 3 3 2 2 2 3" xfId="793" xr:uid="{CB671CB9-6D77-4716-8977-A00F6210E15E}"/>
    <cellStyle name="Normal 3 2 3 3 2 2 3" xfId="403" xr:uid="{30D774BC-0140-4BC5-976D-35C66EA53A06}"/>
    <cellStyle name="Normal 3 2 3 3 2 2 3 2" xfId="921" xr:uid="{3F591580-7338-4BAF-8667-2D45C139E895}"/>
    <cellStyle name="Normal 3 2 3 3 2 2 4" xfId="665" xr:uid="{413858F1-DC7A-42CD-9857-AD02C2C2F660}"/>
    <cellStyle name="Normal 3 2 3 3 2 3" xfId="211" xr:uid="{1B8D4AC6-17EC-4FB2-BEF8-750783C72D0B}"/>
    <cellStyle name="Normal 3 2 3 3 2 3 2" xfId="467" xr:uid="{84C386F6-A7C0-4CB5-B9BD-63F9114D93FE}"/>
    <cellStyle name="Normal 3 2 3 3 2 3 2 2" xfId="985" xr:uid="{F5C7074A-4E1A-4BCA-94A5-256B322DE4A4}"/>
    <cellStyle name="Normal 3 2 3 3 2 3 3" xfId="729" xr:uid="{4872EBC5-20C4-4FEB-84DB-F41DD36F4ED9}"/>
    <cellStyle name="Normal 3 2 3 3 2 4" xfId="339" xr:uid="{DF185A5F-61DB-44F9-800B-2E8655606B21}"/>
    <cellStyle name="Normal 3 2 3 3 2 4 2" xfId="857" xr:uid="{319E887D-9386-42E7-9442-C600F689E36E}"/>
    <cellStyle name="Normal 3 2 3 3 2 5" xfId="601" xr:uid="{64B5125C-5AA2-4A8C-91FE-7956798418F5}"/>
    <cellStyle name="Normal 3 2 3 3 3" xfId="115" xr:uid="{3AFB53B4-DA7F-4467-820E-4F0BE6EB33B2}"/>
    <cellStyle name="Normal 3 2 3 3 3 2" xfId="243" xr:uid="{7EE03271-3754-4D2E-8AF1-250C5D9008AC}"/>
    <cellStyle name="Normal 3 2 3 3 3 2 2" xfId="499" xr:uid="{942834C8-B124-4621-B2BE-4F88B684204A}"/>
    <cellStyle name="Normal 3 2 3 3 3 2 2 2" xfId="1017" xr:uid="{2232E865-43FD-42AB-8CA5-EE24279430B5}"/>
    <cellStyle name="Normal 3 2 3 3 3 2 3" xfId="761" xr:uid="{4A7C87D7-B945-415C-B655-CDCC4D79A9B8}"/>
    <cellStyle name="Normal 3 2 3 3 3 3" xfId="371" xr:uid="{BAF6BCAC-0DE8-4AE4-9158-2A189C154852}"/>
    <cellStyle name="Normal 3 2 3 3 3 3 2" xfId="889" xr:uid="{9F9D3954-5414-41C4-A4D0-BE0C72C52AE9}"/>
    <cellStyle name="Normal 3 2 3 3 3 4" xfId="633" xr:uid="{C5AE943F-ACD5-4ABB-98B7-400ED88DD61E}"/>
    <cellStyle name="Normal 3 2 3 3 4" xfId="179" xr:uid="{677C46B2-6671-4BBF-9448-0884A461A021}"/>
    <cellStyle name="Normal 3 2 3 3 4 2" xfId="435" xr:uid="{05469729-9D0E-4907-A86C-783F9EF58AA1}"/>
    <cellStyle name="Normal 3 2 3 3 4 2 2" xfId="953" xr:uid="{3FD8C467-98DD-4760-82D2-91C8A4B98B05}"/>
    <cellStyle name="Normal 3 2 3 3 4 3" xfId="697" xr:uid="{F0A10E99-C60B-4CE6-9A0C-6BCFE2212954}"/>
    <cellStyle name="Normal 3 2 3 3 5" xfId="307" xr:uid="{AC2BB7A7-1F09-4B52-8C21-BCE3598E7835}"/>
    <cellStyle name="Normal 3 2 3 3 5 2" xfId="825" xr:uid="{214DDDD2-02AD-46EC-98A1-14DD76FE931A}"/>
    <cellStyle name="Normal 3 2 3 3 6" xfId="569" xr:uid="{680B2D43-04C9-49A4-A78E-665EF0B34176}"/>
    <cellStyle name="Normal 3 2 3 4" xfId="67" xr:uid="{3E333CFD-8D59-4302-8430-22B5FC88ADAC}"/>
    <cellStyle name="Normal 3 2 3 4 2" xfId="131" xr:uid="{A111DC6B-FC82-4356-910E-33B991A1A98C}"/>
    <cellStyle name="Normal 3 2 3 4 2 2" xfId="259" xr:uid="{C00D1F47-7E0B-416D-8A01-539A84EDD5E9}"/>
    <cellStyle name="Normal 3 2 3 4 2 2 2" xfId="515" xr:uid="{CBC68B94-DEA9-41DD-A09D-EF30DC83A125}"/>
    <cellStyle name="Normal 3 2 3 4 2 2 2 2" xfId="1033" xr:uid="{BAFFDF2B-C616-4C5F-9BEE-8494DD64ABEC}"/>
    <cellStyle name="Normal 3 2 3 4 2 2 3" xfId="777" xr:uid="{DABCBE51-FD5E-423D-AC6F-18364B357B26}"/>
    <cellStyle name="Normal 3 2 3 4 2 3" xfId="387" xr:uid="{EB012F2F-F996-4EA7-B370-60400EA2D032}"/>
    <cellStyle name="Normal 3 2 3 4 2 3 2" xfId="905" xr:uid="{9170735A-8E21-4080-8EC7-3FF16E54DCE4}"/>
    <cellStyle name="Normal 3 2 3 4 2 4" xfId="649" xr:uid="{2AFCFC98-767E-4495-AEB3-F3EF87E90768}"/>
    <cellStyle name="Normal 3 2 3 4 3" xfId="195" xr:uid="{0C8EBF71-59CF-405F-8560-47B1A19952A5}"/>
    <cellStyle name="Normal 3 2 3 4 3 2" xfId="451" xr:uid="{47AE13E4-1C21-4DDF-9825-7E10D51DDFC1}"/>
    <cellStyle name="Normal 3 2 3 4 3 2 2" xfId="969" xr:uid="{14F79A3E-1F30-499A-8277-490D31981A4B}"/>
    <cellStyle name="Normal 3 2 3 4 3 3" xfId="713" xr:uid="{75650AF8-BCCB-4033-A436-5A1D211099F2}"/>
    <cellStyle name="Normal 3 2 3 4 4" xfId="323" xr:uid="{B78DEA31-E3F5-4A60-BA8A-FCD1FB9B31EA}"/>
    <cellStyle name="Normal 3 2 3 4 4 2" xfId="841" xr:uid="{8069B9D6-BA33-4ABD-8BD6-24105D21F30C}"/>
    <cellStyle name="Normal 3 2 3 4 5" xfId="585" xr:uid="{3429A200-629D-474F-8DF9-C1A603CD4A13}"/>
    <cellStyle name="Normal 3 2 3 5" xfId="99" xr:uid="{2D2CBCB8-80F3-4D4D-9F3F-D2C1A38345AB}"/>
    <cellStyle name="Normal 3 2 3 5 2" xfId="227" xr:uid="{A2EA2E9E-CD7C-4D12-9624-9A7CDB7C7FCB}"/>
    <cellStyle name="Normal 3 2 3 5 2 2" xfId="483" xr:uid="{F79C86E5-FFC6-4D6C-AA66-D7D696F43A44}"/>
    <cellStyle name="Normal 3 2 3 5 2 2 2" xfId="1001" xr:uid="{394CE1C3-8A60-4B2C-90DE-7758CDFD3184}"/>
    <cellStyle name="Normal 3 2 3 5 2 3" xfId="745" xr:uid="{D826C727-1643-46A4-BB13-D0C05C5FF2E6}"/>
    <cellStyle name="Normal 3 2 3 5 3" xfId="355" xr:uid="{7F6198E7-447F-47CA-A8E2-77B289C0484E}"/>
    <cellStyle name="Normal 3 2 3 5 3 2" xfId="873" xr:uid="{04D76960-1DD9-462C-8041-FABDDD5A71E8}"/>
    <cellStyle name="Normal 3 2 3 5 4" xfId="617" xr:uid="{77A2005C-05D7-4DC7-A236-2786EF994E45}"/>
    <cellStyle name="Normal 3 2 3 6" xfId="163" xr:uid="{63FA8D6B-290E-42D6-8C8F-1D005055A5D3}"/>
    <cellStyle name="Normal 3 2 3 6 2" xfId="419" xr:uid="{A7C2A177-E184-468C-B6A7-870FC1076621}"/>
    <cellStyle name="Normal 3 2 3 6 2 2" xfId="937" xr:uid="{9036A031-4E1C-4A61-85EE-8EF3914951FE}"/>
    <cellStyle name="Normal 3 2 3 6 3" xfId="681" xr:uid="{4DD6D251-3E16-48FD-9D8D-AE526D31281D}"/>
    <cellStyle name="Normal 3 2 3 7" xfId="291" xr:uid="{715F32B0-FC9A-46C3-BDAC-0F97EE0F4F93}"/>
    <cellStyle name="Normal 3 2 3 7 2" xfId="809" xr:uid="{8F8EF65A-15DC-4086-B35E-B5ED367CAABE}"/>
    <cellStyle name="Normal 3 2 3 8" xfId="553" xr:uid="{42C75129-1AE1-40AC-A612-C2754F7E2955}"/>
    <cellStyle name="Normal 3 2 4" xfId="39" xr:uid="{137CD99F-299D-4E1E-BD05-BF6CBCFF23E3}"/>
    <cellStyle name="Normal 3 2 4 2" xfId="55" xr:uid="{301854BA-D039-4061-97CF-9924B86D6179}"/>
    <cellStyle name="Normal 3 2 4 2 2" xfId="87" xr:uid="{223692E6-6050-40EC-A007-8904DA88A4E2}"/>
    <cellStyle name="Normal 3 2 4 2 2 2" xfId="151" xr:uid="{72C13761-E65E-44C4-916A-C017A859518D}"/>
    <cellStyle name="Normal 3 2 4 2 2 2 2" xfId="279" xr:uid="{2EAD480B-05ED-4AEA-8167-70EE09301177}"/>
    <cellStyle name="Normal 3 2 4 2 2 2 2 2" xfId="535" xr:uid="{7978B3D5-A3F3-4EF6-8369-7E74A8A65A08}"/>
    <cellStyle name="Normal 3 2 4 2 2 2 2 2 2" xfId="1053" xr:uid="{BD50A14E-3C2B-43E8-8C9C-06CEF0EA9C9B}"/>
    <cellStyle name="Normal 3 2 4 2 2 2 2 3" xfId="797" xr:uid="{5F8EB8A4-970E-4E81-BD91-C96F8FCBC35A}"/>
    <cellStyle name="Normal 3 2 4 2 2 2 3" xfId="407" xr:uid="{6E5CD0CC-EA84-42CB-AAC4-D69E40DA723F}"/>
    <cellStyle name="Normal 3 2 4 2 2 2 3 2" xfId="925" xr:uid="{361EBCA6-1A08-4AD9-B094-6494CF70D514}"/>
    <cellStyle name="Normal 3 2 4 2 2 2 4" xfId="669" xr:uid="{01D89B62-E898-409A-8DEC-C29C5819D4C9}"/>
    <cellStyle name="Normal 3 2 4 2 2 3" xfId="215" xr:uid="{BA16AA12-D6FC-40AD-84E7-EAB55A6012D3}"/>
    <cellStyle name="Normal 3 2 4 2 2 3 2" xfId="471" xr:uid="{0744954C-E5C9-4194-8B20-007285991A09}"/>
    <cellStyle name="Normal 3 2 4 2 2 3 2 2" xfId="989" xr:uid="{400A1391-BA61-43EC-8BC3-85B0DA167292}"/>
    <cellStyle name="Normal 3 2 4 2 2 3 3" xfId="733" xr:uid="{9F4C160C-FCCE-4766-A235-6A4E21A8A6B5}"/>
    <cellStyle name="Normal 3 2 4 2 2 4" xfId="343" xr:uid="{92A6EF75-75C0-4312-AEE7-3674A3F6B64E}"/>
    <cellStyle name="Normal 3 2 4 2 2 4 2" xfId="861" xr:uid="{6B1B21F7-66A6-4C90-851A-73B86877B0B0}"/>
    <cellStyle name="Normal 3 2 4 2 2 5" xfId="605" xr:uid="{66AEA093-3DB4-4E34-A992-F02BD86052EC}"/>
    <cellStyle name="Normal 3 2 4 2 3" xfId="119" xr:uid="{9D17E915-8628-414C-BE8F-72A9B8DCCF96}"/>
    <cellStyle name="Normal 3 2 4 2 3 2" xfId="247" xr:uid="{0713A8E9-F918-427D-8F19-03308D44A088}"/>
    <cellStyle name="Normal 3 2 4 2 3 2 2" xfId="503" xr:uid="{EBCA58D3-8515-4860-8465-A418FD0E5800}"/>
    <cellStyle name="Normal 3 2 4 2 3 2 2 2" xfId="1021" xr:uid="{781110E9-53E5-4901-95D1-20D217387B69}"/>
    <cellStyle name="Normal 3 2 4 2 3 2 3" xfId="765" xr:uid="{439B9070-F742-42F7-8875-B207655E9461}"/>
    <cellStyle name="Normal 3 2 4 2 3 3" xfId="375" xr:uid="{6B045C51-AF76-491F-B44D-3FE128056488}"/>
    <cellStyle name="Normal 3 2 4 2 3 3 2" xfId="893" xr:uid="{82BCDC77-EF6F-49B3-A0F4-27DD6DFB11E4}"/>
    <cellStyle name="Normal 3 2 4 2 3 4" xfId="637" xr:uid="{5FEE4C4F-39B1-4DBE-AEBA-5A70066213BA}"/>
    <cellStyle name="Normal 3 2 4 2 4" xfId="183" xr:uid="{248D3C35-97B8-429A-A563-9194BBD32A32}"/>
    <cellStyle name="Normal 3 2 4 2 4 2" xfId="439" xr:uid="{5B271A5C-F7CE-47CB-A280-21CF8CB9259A}"/>
    <cellStyle name="Normal 3 2 4 2 4 2 2" xfId="957" xr:uid="{5EE04334-54D8-4462-ADDC-C63BE12BBD34}"/>
    <cellStyle name="Normal 3 2 4 2 4 3" xfId="701" xr:uid="{B1E20B77-D7F2-4901-9496-0C34FE8DB9E0}"/>
    <cellStyle name="Normal 3 2 4 2 5" xfId="311" xr:uid="{420288D6-3FF7-49D6-AE58-882FEDE4DB58}"/>
    <cellStyle name="Normal 3 2 4 2 5 2" xfId="829" xr:uid="{1A97F9A0-C5C5-4093-99C5-A6A4E8F389D0}"/>
    <cellStyle name="Normal 3 2 4 2 6" xfId="573" xr:uid="{C9188AF1-8CAE-48FC-AC4D-1E3928D2E3C5}"/>
    <cellStyle name="Normal 3 2 4 3" xfId="71" xr:uid="{B16543AA-E591-4146-BD6A-55E599D8B6AD}"/>
    <cellStyle name="Normal 3 2 4 3 2" xfId="135" xr:uid="{4A3E1EAE-BF78-465F-A18C-87F8CEED6561}"/>
    <cellStyle name="Normal 3 2 4 3 2 2" xfId="263" xr:uid="{0E4B3158-2431-45F5-B38C-D825062BF43B}"/>
    <cellStyle name="Normal 3 2 4 3 2 2 2" xfId="519" xr:uid="{7A122730-142B-4FEF-BA08-C5AA31A557C4}"/>
    <cellStyle name="Normal 3 2 4 3 2 2 2 2" xfId="1037" xr:uid="{1EE098B4-8B0C-4D74-9678-92F67D43349B}"/>
    <cellStyle name="Normal 3 2 4 3 2 2 3" xfId="781" xr:uid="{5078CFF3-85B9-4ED6-9A7F-83E0A4995539}"/>
    <cellStyle name="Normal 3 2 4 3 2 3" xfId="391" xr:uid="{218F519F-6ADB-41A5-9520-B666DDBBF08B}"/>
    <cellStyle name="Normal 3 2 4 3 2 3 2" xfId="909" xr:uid="{BB91C9FB-D900-4336-92F8-C70E7DDD11EA}"/>
    <cellStyle name="Normal 3 2 4 3 2 4" xfId="653" xr:uid="{8CC2C6CF-4869-4741-8C85-A31F4534542F}"/>
    <cellStyle name="Normal 3 2 4 3 3" xfId="199" xr:uid="{B74E9F96-7CF0-437C-9B28-6CB3CB546E6A}"/>
    <cellStyle name="Normal 3 2 4 3 3 2" xfId="455" xr:uid="{8F77E6B3-6293-42B7-8094-FFD798CFD029}"/>
    <cellStyle name="Normal 3 2 4 3 3 2 2" xfId="973" xr:uid="{0FFA819A-69B1-4B5A-A3D6-6F336F913393}"/>
    <cellStyle name="Normal 3 2 4 3 3 3" xfId="717" xr:uid="{E1CF9AF1-6639-43C5-9191-6506A8C6D50E}"/>
    <cellStyle name="Normal 3 2 4 3 4" xfId="327" xr:uid="{A0A167F3-3E3A-431B-8D3D-316A9C26251D}"/>
    <cellStyle name="Normal 3 2 4 3 4 2" xfId="845" xr:uid="{75CE53B2-BAC5-46D8-8303-DB912971CC50}"/>
    <cellStyle name="Normal 3 2 4 3 5" xfId="589" xr:uid="{27763D4F-3CE3-4291-80A7-3257E6C75172}"/>
    <cellStyle name="Normal 3 2 4 4" xfId="103" xr:uid="{77873ED8-2995-405E-9BEB-7F58A4C57224}"/>
    <cellStyle name="Normal 3 2 4 4 2" xfId="231" xr:uid="{6164C91B-509D-4EE8-8ADE-9BE54622218F}"/>
    <cellStyle name="Normal 3 2 4 4 2 2" xfId="487" xr:uid="{DE564A70-8BAE-4715-911C-286FD5A3DD9D}"/>
    <cellStyle name="Normal 3 2 4 4 2 2 2" xfId="1005" xr:uid="{1362C1AD-EBC0-49B5-83A1-FE43AF935CE7}"/>
    <cellStyle name="Normal 3 2 4 4 2 3" xfId="749" xr:uid="{7F52A0BF-BD50-48E2-85F0-4651563CF075}"/>
    <cellStyle name="Normal 3 2 4 4 3" xfId="359" xr:uid="{F802DB02-E523-448E-8513-D66C52C25B70}"/>
    <cellStyle name="Normal 3 2 4 4 3 2" xfId="877" xr:uid="{89958BB1-37EE-4547-957F-1659DE0987FD}"/>
    <cellStyle name="Normal 3 2 4 4 4" xfId="621" xr:uid="{60AD49A6-77D1-422E-ADF6-8C759541447F}"/>
    <cellStyle name="Normal 3 2 4 5" xfId="167" xr:uid="{B7A54025-300B-44A9-ADFF-E5FE3D817409}"/>
    <cellStyle name="Normal 3 2 4 5 2" xfId="423" xr:uid="{AEBA85ED-8F70-4F74-947D-D177D1827FF4}"/>
    <cellStyle name="Normal 3 2 4 5 2 2" xfId="941" xr:uid="{854CB65D-01E4-4114-AADC-B651A8A4D1C6}"/>
    <cellStyle name="Normal 3 2 4 5 3" xfId="685" xr:uid="{F13A7852-90D8-4D46-B7BD-AA6A9BC7CABD}"/>
    <cellStyle name="Normal 3 2 4 6" xfId="295" xr:uid="{68289CFB-E140-4ABD-8304-F958A21A37BE}"/>
    <cellStyle name="Normal 3 2 4 6 2" xfId="813" xr:uid="{C757148F-41A8-40D6-AF95-B5CFF4E4E319}"/>
    <cellStyle name="Normal 3 2 4 7" xfId="557" xr:uid="{3610A312-962E-446F-ABA0-D6442009CE9D}"/>
    <cellStyle name="Normal 3 2 5" xfId="47" xr:uid="{14874436-E9AB-482B-9BA3-F7222DADCFE6}"/>
    <cellStyle name="Normal 3 2 5 2" xfId="79" xr:uid="{04D5A159-E597-4AAD-9DE8-B207B2758AC2}"/>
    <cellStyle name="Normal 3 2 5 2 2" xfId="143" xr:uid="{DAE42A3A-B7BA-4AF1-83E5-07E5B6975D17}"/>
    <cellStyle name="Normal 3 2 5 2 2 2" xfId="271" xr:uid="{04C72312-0544-4137-A10D-477B4414D33E}"/>
    <cellStyle name="Normal 3 2 5 2 2 2 2" xfId="527" xr:uid="{8850A789-D9BD-4909-ACB4-80E87833D8A2}"/>
    <cellStyle name="Normal 3 2 5 2 2 2 2 2" xfId="1045" xr:uid="{3C8A0C57-516F-42EE-81A2-AE5D7600FA59}"/>
    <cellStyle name="Normal 3 2 5 2 2 2 3" xfId="789" xr:uid="{E2C733F4-1246-47A6-BF84-7757584E2CE8}"/>
    <cellStyle name="Normal 3 2 5 2 2 3" xfId="399" xr:uid="{B17D18EE-FBB0-466D-AD10-4407AD36F95A}"/>
    <cellStyle name="Normal 3 2 5 2 2 3 2" xfId="917" xr:uid="{98C5FCE9-7B03-467A-B7B3-3B1BBA962773}"/>
    <cellStyle name="Normal 3 2 5 2 2 4" xfId="661" xr:uid="{FC5FB600-567C-43C4-9C3D-AFF978639E73}"/>
    <cellStyle name="Normal 3 2 5 2 3" xfId="207" xr:uid="{AAB4AF4F-DBEC-42D8-8E35-3F16EAB4A0F1}"/>
    <cellStyle name="Normal 3 2 5 2 3 2" xfId="463" xr:uid="{E133D403-B0AB-4702-9A15-C3448A523CAA}"/>
    <cellStyle name="Normal 3 2 5 2 3 2 2" xfId="981" xr:uid="{98D8C4E6-23C2-4904-AE74-3E8EACA63A77}"/>
    <cellStyle name="Normal 3 2 5 2 3 3" xfId="725" xr:uid="{E4663CBB-0CBA-41BB-A7C6-5E016CE10DED}"/>
    <cellStyle name="Normal 3 2 5 2 4" xfId="335" xr:uid="{03E8F004-88EF-400B-900D-33B03CB5FF13}"/>
    <cellStyle name="Normal 3 2 5 2 4 2" xfId="853" xr:uid="{2B49A801-2AC3-4F49-AD0C-57CD992154DA}"/>
    <cellStyle name="Normal 3 2 5 2 5" xfId="597" xr:uid="{78B52EC6-E9A6-4CD3-BC92-9656375EE70F}"/>
    <cellStyle name="Normal 3 2 5 3" xfId="111" xr:uid="{703845AB-6254-4D82-AD7C-B10E734693B9}"/>
    <cellStyle name="Normal 3 2 5 3 2" xfId="239" xr:uid="{4F7C47CE-A1CD-4330-8514-D6458C99688F}"/>
    <cellStyle name="Normal 3 2 5 3 2 2" xfId="495" xr:uid="{3BB74BE4-765A-43F3-BB15-7304E1AF6F84}"/>
    <cellStyle name="Normal 3 2 5 3 2 2 2" xfId="1013" xr:uid="{4B66E6A4-0DEE-4C09-A1EF-DECC3E183F77}"/>
    <cellStyle name="Normal 3 2 5 3 2 3" xfId="757" xr:uid="{1FA6D5E6-D13E-461B-B455-02D927EAC7C9}"/>
    <cellStyle name="Normal 3 2 5 3 3" xfId="367" xr:uid="{ACB6AD21-5E36-4AD9-A9AA-36C8064AA75F}"/>
    <cellStyle name="Normal 3 2 5 3 3 2" xfId="885" xr:uid="{AFA1490F-E601-489B-8DCA-E1F654FCCC56}"/>
    <cellStyle name="Normal 3 2 5 3 4" xfId="629" xr:uid="{738FC5C6-2E3B-4B9A-97AE-8B53E6DA0CD9}"/>
    <cellStyle name="Normal 3 2 5 4" xfId="175" xr:uid="{BC02905F-E9F1-4611-8D2A-31AF58C668F1}"/>
    <cellStyle name="Normal 3 2 5 4 2" xfId="431" xr:uid="{C1D0E0A0-CE89-4F55-B17D-3A6DDC0CFDF4}"/>
    <cellStyle name="Normal 3 2 5 4 2 2" xfId="949" xr:uid="{41863500-EDD1-470F-B634-08ECACE835E4}"/>
    <cellStyle name="Normal 3 2 5 4 3" xfId="693" xr:uid="{137E84A5-5E56-4880-8F87-7A902A745D0F}"/>
    <cellStyle name="Normal 3 2 5 5" xfId="303" xr:uid="{65A94818-65F5-4EF5-A341-75A7E6207EE0}"/>
    <cellStyle name="Normal 3 2 5 5 2" xfId="821" xr:uid="{58204B9D-0416-48A3-B6AE-02D83E0E78B7}"/>
    <cellStyle name="Normal 3 2 5 6" xfId="565" xr:uid="{7463C6A2-618A-4020-B2F9-F65A102DAE53}"/>
    <cellStyle name="Normal 3 2 6" xfId="63" xr:uid="{8EED684C-6E05-4DAF-A995-193B947E6928}"/>
    <cellStyle name="Normal 3 2 6 2" xfId="127" xr:uid="{9BC2C3FC-829C-4677-AEE0-A10B97C30253}"/>
    <cellStyle name="Normal 3 2 6 2 2" xfId="255" xr:uid="{9DE6881A-2FF5-4316-97A4-EA1217E49AF5}"/>
    <cellStyle name="Normal 3 2 6 2 2 2" xfId="511" xr:uid="{B4732C82-256E-41A4-B66A-5EFF88877A5E}"/>
    <cellStyle name="Normal 3 2 6 2 2 2 2" xfId="1029" xr:uid="{C9D54EBC-AA61-4919-B7B3-5B162D857F7D}"/>
    <cellStyle name="Normal 3 2 6 2 2 3" xfId="773" xr:uid="{7D758335-68E6-4AEC-8717-21122C5CC127}"/>
    <cellStyle name="Normal 3 2 6 2 3" xfId="383" xr:uid="{34CFC715-F94A-4F4A-9D78-B2EA2BB1CEF3}"/>
    <cellStyle name="Normal 3 2 6 2 3 2" xfId="901" xr:uid="{8D4B8F82-4066-490A-97DA-C59EADAC6FEE}"/>
    <cellStyle name="Normal 3 2 6 2 4" xfId="645" xr:uid="{CC0B67A1-1A27-41E7-A259-9FED97531663}"/>
    <cellStyle name="Normal 3 2 6 3" xfId="191" xr:uid="{3F6FF35D-3FBE-4242-A445-563F38576B82}"/>
    <cellStyle name="Normal 3 2 6 3 2" xfId="447" xr:uid="{2DDF24E7-21B3-43DA-BD68-6E6DA21D32AB}"/>
    <cellStyle name="Normal 3 2 6 3 2 2" xfId="965" xr:uid="{636541DE-F7BC-4926-9993-768367313B81}"/>
    <cellStyle name="Normal 3 2 6 3 3" xfId="709" xr:uid="{2DBCAF80-465E-4D51-A598-C7B6DBB9D1A7}"/>
    <cellStyle name="Normal 3 2 6 4" xfId="319" xr:uid="{AEAAF356-CD0A-4619-8C26-06742A8D0700}"/>
    <cellStyle name="Normal 3 2 6 4 2" xfId="837" xr:uid="{B8DEF2CE-6C59-4524-A512-E9E5BAFEAAF9}"/>
    <cellStyle name="Normal 3 2 6 5" xfId="581" xr:uid="{10162C59-FC37-441A-964A-CC5554E01496}"/>
    <cellStyle name="Normal 3 2 7" xfId="95" xr:uid="{B81AD17E-ED53-4127-BE0F-AE926A13B569}"/>
    <cellStyle name="Normal 3 2 7 2" xfId="223" xr:uid="{0C7260B5-ECA5-43C6-8FF9-569DA1F5C725}"/>
    <cellStyle name="Normal 3 2 7 2 2" xfId="479" xr:uid="{78C76569-968D-4B3D-A0CE-FF5EB6BE4413}"/>
    <cellStyle name="Normal 3 2 7 2 2 2" xfId="997" xr:uid="{D5006756-9AB5-42D3-825F-B65E489231D4}"/>
    <cellStyle name="Normal 3 2 7 2 3" xfId="741" xr:uid="{AB5382B7-7041-4C55-B216-AC8CEFF4C294}"/>
    <cellStyle name="Normal 3 2 7 3" xfId="351" xr:uid="{8CEFB30D-6CE8-4402-B8C3-8D92FF6A36AE}"/>
    <cellStyle name="Normal 3 2 7 3 2" xfId="869" xr:uid="{D3B7A934-FBF2-4A1A-A25E-68E46E94CBE3}"/>
    <cellStyle name="Normal 3 2 7 4" xfId="613" xr:uid="{6C98FD47-E70A-49E7-8487-5100FA244E1E}"/>
    <cellStyle name="Normal 3 2 8" xfId="159" xr:uid="{C6DCAC1D-3705-45B2-96C3-3960B1A54C1B}"/>
    <cellStyle name="Normal 3 2 8 2" xfId="415" xr:uid="{5315E6F0-DAB9-491B-99DC-C7378AE5F588}"/>
    <cellStyle name="Normal 3 2 8 2 2" xfId="933" xr:uid="{214E87C1-AFCF-4E67-9644-CF004F7C00A4}"/>
    <cellStyle name="Normal 3 2 8 3" xfId="677" xr:uid="{64D0A74E-0B60-4ADA-AEA8-50F93F70C19C}"/>
    <cellStyle name="Normal 3 2 9" xfId="287" xr:uid="{D21AD8F3-A061-4D3A-8A53-19BAD3A476DA}"/>
    <cellStyle name="Normal 3 2 9 2" xfId="805" xr:uid="{13B79C93-50B1-497C-8D33-CDADFB946711}"/>
    <cellStyle name="Normal 3 3" xfId="32" xr:uid="{A34DF3D5-1FBD-4196-9BD9-4EF3B52A4424}"/>
    <cellStyle name="Normal 3 3 2" xfId="36" xr:uid="{6D33DEA0-EF27-4CA7-A4DE-E084E89CF642}"/>
    <cellStyle name="Normal 3 3 2 2" xfId="44" xr:uid="{D21C2936-5270-4EDA-A161-C7B263FE299D}"/>
    <cellStyle name="Normal 3 3 2 2 2" xfId="60" xr:uid="{4A95B57E-0E65-428F-9408-214198A265DB}"/>
    <cellStyle name="Normal 3 3 2 2 2 2" xfId="92" xr:uid="{DB04285C-C3F3-4606-9A13-636EF71CFAEA}"/>
    <cellStyle name="Normal 3 3 2 2 2 2 2" xfId="156" xr:uid="{45B9D2E0-3006-4DB2-8C8A-C4013F793E39}"/>
    <cellStyle name="Normal 3 3 2 2 2 2 2 2" xfId="284" xr:uid="{31047279-DA61-43F1-B90C-3D744AFF2B51}"/>
    <cellStyle name="Normal 3 3 2 2 2 2 2 2 2" xfId="540" xr:uid="{6FCC5A4D-72C2-4A3A-989E-57BB1B4AB21A}"/>
    <cellStyle name="Normal 3 3 2 2 2 2 2 2 2 2" xfId="1058" xr:uid="{971B5D1E-DF28-4124-A1C2-EB8BFE868734}"/>
    <cellStyle name="Normal 3 3 2 2 2 2 2 2 3" xfId="802" xr:uid="{93F50BD9-615D-4864-B0D3-8C9B7486B7CC}"/>
    <cellStyle name="Normal 3 3 2 2 2 2 2 3" xfId="412" xr:uid="{D38430ED-F547-4805-8C4B-C27DC198AB61}"/>
    <cellStyle name="Normal 3 3 2 2 2 2 2 3 2" xfId="930" xr:uid="{2DAB9FC7-6B75-400C-AB4F-87E2EBEEBF5F}"/>
    <cellStyle name="Normal 3 3 2 2 2 2 2 4" xfId="674" xr:uid="{CF459EC1-924D-4EF3-9F5E-9928170DCEB6}"/>
    <cellStyle name="Normal 3 3 2 2 2 2 3" xfId="220" xr:uid="{53969291-8BA1-49E0-B70A-F635FA3E2067}"/>
    <cellStyle name="Normal 3 3 2 2 2 2 3 2" xfId="476" xr:uid="{FD1639D1-25EE-4903-AF86-AD733EE66F23}"/>
    <cellStyle name="Normal 3 3 2 2 2 2 3 2 2" xfId="994" xr:uid="{C9C4856D-7903-4347-94D0-DB6C31F8413E}"/>
    <cellStyle name="Normal 3 3 2 2 2 2 3 3" xfId="738" xr:uid="{A10FFE83-6479-42E0-AC42-A83FBCF4CAD8}"/>
    <cellStyle name="Normal 3 3 2 2 2 2 4" xfId="348" xr:uid="{C9ECA80E-557B-4AF1-88DD-7C3094958CB6}"/>
    <cellStyle name="Normal 3 3 2 2 2 2 4 2" xfId="866" xr:uid="{575C4569-4125-4305-BEF4-5FF92F046973}"/>
    <cellStyle name="Normal 3 3 2 2 2 2 5" xfId="610" xr:uid="{88D0078D-5D03-4ED5-9210-7A8884176672}"/>
    <cellStyle name="Normal 3 3 2 2 2 3" xfId="124" xr:uid="{B62D6B62-1C74-414C-BB82-B5E0A5BFCA71}"/>
    <cellStyle name="Normal 3 3 2 2 2 3 2" xfId="252" xr:uid="{3EF5A9ED-8B2B-4ABC-AB0B-178292EAA662}"/>
    <cellStyle name="Normal 3 3 2 2 2 3 2 2" xfId="508" xr:uid="{ACB8BDBD-922E-4EBE-9FA9-4032EE9BFEF8}"/>
    <cellStyle name="Normal 3 3 2 2 2 3 2 2 2" xfId="1026" xr:uid="{0809CE28-DE3B-4711-A81B-E99F14D324AB}"/>
    <cellStyle name="Normal 3 3 2 2 2 3 2 3" xfId="770" xr:uid="{0ADE4CB7-9018-4C8D-9780-5CB3600052EB}"/>
    <cellStyle name="Normal 3 3 2 2 2 3 3" xfId="380" xr:uid="{9E4E1F2A-6B31-4B3C-8A5A-60C23BFBA09B}"/>
    <cellStyle name="Normal 3 3 2 2 2 3 3 2" xfId="898" xr:uid="{D471B7FE-F3CA-4FAC-B23B-B37F475266B3}"/>
    <cellStyle name="Normal 3 3 2 2 2 3 4" xfId="642" xr:uid="{03E17612-1E42-4EDF-8B47-6967973552E0}"/>
    <cellStyle name="Normal 3 3 2 2 2 4" xfId="188" xr:uid="{76D5EE5F-37A8-48D6-92B4-371F4A78BA4C}"/>
    <cellStyle name="Normal 3 3 2 2 2 4 2" xfId="444" xr:uid="{5E459954-F315-4036-8956-AAD5E7BD30AE}"/>
    <cellStyle name="Normal 3 3 2 2 2 4 2 2" xfId="962" xr:uid="{B38AAABE-B05C-4AA3-B46E-B15F66EFDA91}"/>
    <cellStyle name="Normal 3 3 2 2 2 4 3" xfId="706" xr:uid="{F7A8A8CD-326D-4B1F-8D49-8231E9AE77F2}"/>
    <cellStyle name="Normal 3 3 2 2 2 5" xfId="316" xr:uid="{5B830DDB-43B8-4A6F-A0CE-BDF7F402977D}"/>
    <cellStyle name="Normal 3 3 2 2 2 5 2" xfId="834" xr:uid="{F8A086D6-19A3-47AA-9315-A6089BFF63B1}"/>
    <cellStyle name="Normal 3 3 2 2 2 6" xfId="578" xr:uid="{C6EBC346-6C3D-4118-8FBE-B05B804ACE91}"/>
    <cellStyle name="Normal 3 3 2 2 3" xfId="76" xr:uid="{A085C9F5-5AB6-4A47-9BBB-A0E5F59025F1}"/>
    <cellStyle name="Normal 3 3 2 2 3 2" xfId="140" xr:uid="{E68A33E9-AC32-4834-8ECF-32158AB41EE7}"/>
    <cellStyle name="Normal 3 3 2 2 3 2 2" xfId="268" xr:uid="{BA9329A9-7DC4-44CA-813D-416B64825EA8}"/>
    <cellStyle name="Normal 3 3 2 2 3 2 2 2" xfId="524" xr:uid="{3243DEC7-069C-4C4F-A9A0-7CEF81495F92}"/>
    <cellStyle name="Normal 3 3 2 2 3 2 2 2 2" xfId="1042" xr:uid="{23A599C4-F84E-496F-987B-570320EB2072}"/>
    <cellStyle name="Normal 3 3 2 2 3 2 2 3" xfId="786" xr:uid="{B0883D7D-9374-480B-968A-B49AE34D3F7A}"/>
    <cellStyle name="Normal 3 3 2 2 3 2 3" xfId="396" xr:uid="{691F6321-82A7-4226-A3FD-82A00525CF08}"/>
    <cellStyle name="Normal 3 3 2 2 3 2 3 2" xfId="914" xr:uid="{656883C4-3029-402A-ACDA-E404E44DA3C8}"/>
    <cellStyle name="Normal 3 3 2 2 3 2 4" xfId="658" xr:uid="{B44E9C08-EC95-49AD-90D4-BAFB7353DCDA}"/>
    <cellStyle name="Normal 3 3 2 2 3 3" xfId="204" xr:uid="{231ED882-244F-45E7-B1C3-8BF117A3BE8A}"/>
    <cellStyle name="Normal 3 3 2 2 3 3 2" xfId="460" xr:uid="{93A4F27A-5477-42DE-861F-C822DB086B52}"/>
    <cellStyle name="Normal 3 3 2 2 3 3 2 2" xfId="978" xr:uid="{114BAA77-040A-415C-A69C-57A30F9EC7C3}"/>
    <cellStyle name="Normal 3 3 2 2 3 3 3" xfId="722" xr:uid="{060C3584-C714-48C9-82AB-64D9B44FC209}"/>
    <cellStyle name="Normal 3 3 2 2 3 4" xfId="332" xr:uid="{70F17CFB-4881-4254-93A6-AB6111C5D3C6}"/>
    <cellStyle name="Normal 3 3 2 2 3 4 2" xfId="850" xr:uid="{4E842CA0-82C2-4C60-AB53-6D6FD140AD67}"/>
    <cellStyle name="Normal 3 3 2 2 3 5" xfId="594" xr:uid="{29DF11E4-4A85-4515-B3A4-C213AA5F8D0C}"/>
    <cellStyle name="Normal 3 3 2 2 4" xfId="108" xr:uid="{7461CA0C-DAD5-4B03-9F32-4B172F3AA3DE}"/>
    <cellStyle name="Normal 3 3 2 2 4 2" xfId="236" xr:uid="{C899C0E5-2B1A-4BF8-AEFC-AFFEB20CD475}"/>
    <cellStyle name="Normal 3 3 2 2 4 2 2" xfId="492" xr:uid="{E9884C08-D494-4BB1-82D0-1C5B552395D5}"/>
    <cellStyle name="Normal 3 3 2 2 4 2 2 2" xfId="1010" xr:uid="{724299E6-DDBC-4F89-9285-6ED3C29FBF2F}"/>
    <cellStyle name="Normal 3 3 2 2 4 2 3" xfId="754" xr:uid="{2D06C93B-83AC-4D08-8749-2447E7767166}"/>
    <cellStyle name="Normal 3 3 2 2 4 3" xfId="364" xr:uid="{63F26990-1281-4CEC-AB7A-09C7A938340E}"/>
    <cellStyle name="Normal 3 3 2 2 4 3 2" xfId="882" xr:uid="{E7A7B2D5-CCF8-4495-A0DB-63F01E77909A}"/>
    <cellStyle name="Normal 3 3 2 2 4 4" xfId="626" xr:uid="{960122B8-B9D2-4362-ABBA-A059B83FA94C}"/>
    <cellStyle name="Normal 3 3 2 2 5" xfId="172" xr:uid="{D50F0481-1F92-4658-9E21-F3A2A7B238E4}"/>
    <cellStyle name="Normal 3 3 2 2 5 2" xfId="428" xr:uid="{08C884CF-D6C6-4DD9-9212-B686DF2D4C00}"/>
    <cellStyle name="Normal 3 3 2 2 5 2 2" xfId="946" xr:uid="{E74A69E2-2A8D-4AF6-8351-6A7DAFCED0A4}"/>
    <cellStyle name="Normal 3 3 2 2 5 3" xfId="690" xr:uid="{82514A29-1015-4278-859D-2F0269EC700E}"/>
    <cellStyle name="Normal 3 3 2 2 6" xfId="300" xr:uid="{E30D41FD-F4FC-4D84-9FBB-05B05B1639A2}"/>
    <cellStyle name="Normal 3 3 2 2 6 2" xfId="818" xr:uid="{7D93F163-3BFE-4ABD-97AE-E45E7A1D1A1E}"/>
    <cellStyle name="Normal 3 3 2 2 7" xfId="562" xr:uid="{2BD3103A-91B1-46CE-9AE4-FFC1ED2A4E45}"/>
    <cellStyle name="Normal 3 3 2 3" xfId="52" xr:uid="{99987F07-CCDF-470F-85D0-199DC13F391A}"/>
    <cellStyle name="Normal 3 3 2 3 2" xfId="84" xr:uid="{4FB23FFB-6FBB-4498-95BB-9BE547153585}"/>
    <cellStyle name="Normal 3 3 2 3 2 2" xfId="148" xr:uid="{DFF27178-3524-4820-B743-9E5D6EF64609}"/>
    <cellStyle name="Normal 3 3 2 3 2 2 2" xfId="276" xr:uid="{7167AF4C-7692-4B49-8184-55E2EEA03E35}"/>
    <cellStyle name="Normal 3 3 2 3 2 2 2 2" xfId="532" xr:uid="{82A4EF5D-7F3E-4CED-8400-312323568AE1}"/>
    <cellStyle name="Normal 3 3 2 3 2 2 2 2 2" xfId="1050" xr:uid="{014D1513-DDA2-4443-9575-CB960ADB5C3A}"/>
    <cellStyle name="Normal 3 3 2 3 2 2 2 3" xfId="794" xr:uid="{5894C2CD-3269-4818-8686-7F74E92546AA}"/>
    <cellStyle name="Normal 3 3 2 3 2 2 3" xfId="404" xr:uid="{CFDBD18E-C61B-4A26-989A-2A72138871C9}"/>
    <cellStyle name="Normal 3 3 2 3 2 2 3 2" xfId="922" xr:uid="{0B58BECE-9C15-4DB2-A50A-8DC0264251DF}"/>
    <cellStyle name="Normal 3 3 2 3 2 2 4" xfId="666" xr:uid="{D4066532-26AC-407F-8565-32A2A0DEBFEF}"/>
    <cellStyle name="Normal 3 3 2 3 2 3" xfId="212" xr:uid="{2A790B08-6D4D-441A-899C-DE723FFCD2B7}"/>
    <cellStyle name="Normal 3 3 2 3 2 3 2" xfId="468" xr:uid="{9B3F332E-0568-4D43-B101-F77A9B167A81}"/>
    <cellStyle name="Normal 3 3 2 3 2 3 2 2" xfId="986" xr:uid="{A0912A35-07B6-46C9-9DC5-CF1ACC93691E}"/>
    <cellStyle name="Normal 3 3 2 3 2 3 3" xfId="730" xr:uid="{F7956A96-7B29-4922-A79D-1688CC14A13E}"/>
    <cellStyle name="Normal 3 3 2 3 2 4" xfId="340" xr:uid="{C7A3519E-6510-4A22-B3A5-A262AC9DF3E7}"/>
    <cellStyle name="Normal 3 3 2 3 2 4 2" xfId="858" xr:uid="{79DD6BD9-6BF4-4A4F-B4A9-B6AF1B2740E6}"/>
    <cellStyle name="Normal 3 3 2 3 2 5" xfId="602" xr:uid="{18F80BAD-1322-4D40-A29F-B39F64DC4640}"/>
    <cellStyle name="Normal 3 3 2 3 3" xfId="116" xr:uid="{61952E12-B06B-40E9-826D-BF86CADC68D9}"/>
    <cellStyle name="Normal 3 3 2 3 3 2" xfId="244" xr:uid="{24A22F60-6E17-4725-9C29-703C48BA2BAD}"/>
    <cellStyle name="Normal 3 3 2 3 3 2 2" xfId="500" xr:uid="{7CEBD31E-F207-455A-9A10-6D90E1AE7263}"/>
    <cellStyle name="Normal 3 3 2 3 3 2 2 2" xfId="1018" xr:uid="{0CEE68F5-1E74-40E1-A34B-766B93B72BC4}"/>
    <cellStyle name="Normal 3 3 2 3 3 2 3" xfId="762" xr:uid="{79AA71DF-C0E3-4DCB-A901-1451ED2C7F29}"/>
    <cellStyle name="Normal 3 3 2 3 3 3" xfId="372" xr:uid="{AFD8F950-8AB9-49AA-95A6-4B670D7D2172}"/>
    <cellStyle name="Normal 3 3 2 3 3 3 2" xfId="890" xr:uid="{D8B83063-1107-4DD2-9B2F-8969C10ABF57}"/>
    <cellStyle name="Normal 3 3 2 3 3 4" xfId="634" xr:uid="{2B385C7F-0CBD-4D9D-8E7B-9F579926F126}"/>
    <cellStyle name="Normal 3 3 2 3 4" xfId="180" xr:uid="{80102613-21A2-4763-964E-A822256C2E7B}"/>
    <cellStyle name="Normal 3 3 2 3 4 2" xfId="436" xr:uid="{A285E39B-6CFE-4B93-A9A3-14D8EFDBB266}"/>
    <cellStyle name="Normal 3 3 2 3 4 2 2" xfId="954" xr:uid="{A241FE48-1D24-4FE4-9205-DC88B99068A2}"/>
    <cellStyle name="Normal 3 3 2 3 4 3" xfId="698" xr:uid="{9A0269B9-1928-42FE-B8F7-0CB1DB549C5A}"/>
    <cellStyle name="Normal 3 3 2 3 5" xfId="308" xr:uid="{DB3FF673-03B0-4B94-9B65-6358A83D18C9}"/>
    <cellStyle name="Normal 3 3 2 3 5 2" xfId="826" xr:uid="{3995B61D-C067-4064-A93B-BD4E718714EC}"/>
    <cellStyle name="Normal 3 3 2 3 6" xfId="570" xr:uid="{3B251A77-0138-4CF1-9414-B0E2E0D61DF7}"/>
    <cellStyle name="Normal 3 3 2 4" xfId="68" xr:uid="{4F135C36-7205-480D-9769-DDF78A92FC92}"/>
    <cellStyle name="Normal 3 3 2 4 2" xfId="132" xr:uid="{7162C68D-0E09-4B4A-8AA0-33BA6A17C461}"/>
    <cellStyle name="Normal 3 3 2 4 2 2" xfId="260" xr:uid="{7DF37E79-7881-49F3-8431-BD9D2FA559BE}"/>
    <cellStyle name="Normal 3 3 2 4 2 2 2" xfId="516" xr:uid="{FA9E7E6B-B1E5-4684-AED5-AC7CB4937B46}"/>
    <cellStyle name="Normal 3 3 2 4 2 2 2 2" xfId="1034" xr:uid="{23684662-7BF4-444B-967E-16B39FD8E289}"/>
    <cellStyle name="Normal 3 3 2 4 2 2 3" xfId="778" xr:uid="{1C37B2DF-6DAB-4A09-B745-AF252A7C0EA1}"/>
    <cellStyle name="Normal 3 3 2 4 2 3" xfId="388" xr:uid="{2A0F401C-46C9-413E-ADDF-7F634AF6E0ED}"/>
    <cellStyle name="Normal 3 3 2 4 2 3 2" xfId="906" xr:uid="{725F2253-FEAD-4A77-8883-880B4B4E26B0}"/>
    <cellStyle name="Normal 3 3 2 4 2 4" xfId="650" xr:uid="{8E2CF134-5E49-4AA7-B30A-7D0E57392CEC}"/>
    <cellStyle name="Normal 3 3 2 4 3" xfId="196" xr:uid="{124F8E62-6BAC-4A67-ABCE-5EC9BEA523B3}"/>
    <cellStyle name="Normal 3 3 2 4 3 2" xfId="452" xr:uid="{23F6166D-FF72-4144-B84E-A9BAF99B1214}"/>
    <cellStyle name="Normal 3 3 2 4 3 2 2" xfId="970" xr:uid="{9C454257-DF22-4E13-B073-D67A51CCB85D}"/>
    <cellStyle name="Normal 3 3 2 4 3 3" xfId="714" xr:uid="{F71B0137-C85C-47D9-8EA5-2B733117828B}"/>
    <cellStyle name="Normal 3 3 2 4 4" xfId="324" xr:uid="{008D666C-96C1-4EC3-B43C-A4F825E1DBBA}"/>
    <cellStyle name="Normal 3 3 2 4 4 2" xfId="842" xr:uid="{43B1A78D-C18B-41C7-95FC-B221BC541ED3}"/>
    <cellStyle name="Normal 3 3 2 4 5" xfId="586" xr:uid="{A7E365CA-9AA8-4871-A2FA-EA5657B17AB4}"/>
    <cellStyle name="Normal 3 3 2 5" xfId="100" xr:uid="{54C3A236-3C44-446B-817F-0129D27079B1}"/>
    <cellStyle name="Normal 3 3 2 5 2" xfId="228" xr:uid="{39169C89-191E-4C8F-8238-4FABA41471FC}"/>
    <cellStyle name="Normal 3 3 2 5 2 2" xfId="484" xr:uid="{DC289182-DE4F-4854-AB50-11EA7071939F}"/>
    <cellStyle name="Normal 3 3 2 5 2 2 2" xfId="1002" xr:uid="{CDF3F914-5702-4E50-A123-C41AC122A421}"/>
    <cellStyle name="Normal 3 3 2 5 2 3" xfId="746" xr:uid="{C9CA042F-528D-4CC4-ABF5-55BC059AC881}"/>
    <cellStyle name="Normal 3 3 2 5 3" xfId="356" xr:uid="{1F09E2E3-1A28-49D1-8735-25282C35561D}"/>
    <cellStyle name="Normal 3 3 2 5 3 2" xfId="874" xr:uid="{7F5C1323-2D68-4E1E-B99A-5866B8FBA56F}"/>
    <cellStyle name="Normal 3 3 2 5 4" xfId="618" xr:uid="{C849264B-C458-4296-9F0D-17BBD757DD06}"/>
    <cellStyle name="Normal 3 3 2 6" xfId="164" xr:uid="{944960DA-A9A4-408F-80DC-C447ECBAE1BC}"/>
    <cellStyle name="Normal 3 3 2 6 2" xfId="420" xr:uid="{6808FDD6-5236-4840-96AF-3A8B682237F8}"/>
    <cellStyle name="Normal 3 3 2 6 2 2" xfId="938" xr:uid="{3530DD46-4868-42FE-8CB6-41FABB50DC76}"/>
    <cellStyle name="Normal 3 3 2 6 3" xfId="682" xr:uid="{6EC13526-7299-4AED-92AE-4F3DE43EE3B2}"/>
    <cellStyle name="Normal 3 3 2 7" xfId="292" xr:uid="{31395647-7185-4414-9D70-E022C864ED10}"/>
    <cellStyle name="Normal 3 3 2 7 2" xfId="810" xr:uid="{086EBB01-B7D1-4FE1-BC7D-F08DA536B85D}"/>
    <cellStyle name="Normal 3 3 2 8" xfId="554" xr:uid="{251FE5D5-8FDC-40AE-B86B-CD6327392CF9}"/>
    <cellStyle name="Normal 3 3 3" xfId="40" xr:uid="{BE15CD73-D58F-4680-B3F0-15539FB37E88}"/>
    <cellStyle name="Normal 3 3 3 2" xfId="56" xr:uid="{BEA43FF7-9EB7-4A8B-AC81-883776B6072C}"/>
    <cellStyle name="Normal 3 3 3 2 2" xfId="88" xr:uid="{0F22572C-3C72-4A8A-A160-70BC59B5801B}"/>
    <cellStyle name="Normal 3 3 3 2 2 2" xfId="152" xr:uid="{553289A4-F10E-4B89-86A4-0EA51CAA8EEA}"/>
    <cellStyle name="Normal 3 3 3 2 2 2 2" xfId="280" xr:uid="{B52EF3B2-8C62-4D67-9186-53947F3F7605}"/>
    <cellStyle name="Normal 3 3 3 2 2 2 2 2" xfId="536" xr:uid="{68BB099A-D0B2-4F70-A745-5B3C1A900CBF}"/>
    <cellStyle name="Normal 3 3 3 2 2 2 2 2 2" xfId="1054" xr:uid="{091B114D-EB00-4DB2-9F85-4BC44ADBCDA1}"/>
    <cellStyle name="Normal 3 3 3 2 2 2 2 3" xfId="798" xr:uid="{F82319CA-0973-421D-B6E8-21832273C424}"/>
    <cellStyle name="Normal 3 3 3 2 2 2 3" xfId="408" xr:uid="{84FB0B2A-000E-4F38-843F-EF043D9A1BF3}"/>
    <cellStyle name="Normal 3 3 3 2 2 2 3 2" xfId="926" xr:uid="{B69F1402-7228-4D0A-8E18-6214D3BF5040}"/>
    <cellStyle name="Normal 3 3 3 2 2 2 4" xfId="670" xr:uid="{688A6768-55E8-46D0-B14A-8354788CED4E}"/>
    <cellStyle name="Normal 3 3 3 2 2 3" xfId="216" xr:uid="{684495F2-A4E2-46C4-9A6A-D60406EE65A7}"/>
    <cellStyle name="Normal 3 3 3 2 2 3 2" xfId="472" xr:uid="{8C9B1052-E3D3-4B89-85E6-2C484B513938}"/>
    <cellStyle name="Normal 3 3 3 2 2 3 2 2" xfId="990" xr:uid="{43375433-BD1D-4038-9646-C06C97B40769}"/>
    <cellStyle name="Normal 3 3 3 2 2 3 3" xfId="734" xr:uid="{E00CAC37-6620-4655-8B9B-F0FE81F1667F}"/>
    <cellStyle name="Normal 3 3 3 2 2 4" xfId="344" xr:uid="{DC4F7B87-F930-456D-9182-D02E4190C1CD}"/>
    <cellStyle name="Normal 3 3 3 2 2 4 2" xfId="862" xr:uid="{3BF724EA-6CFC-427C-9974-A1119E55801D}"/>
    <cellStyle name="Normal 3 3 3 2 2 5" xfId="606" xr:uid="{04C10D56-4209-4A2D-B837-4BD03CDCA525}"/>
    <cellStyle name="Normal 3 3 3 2 3" xfId="120" xr:uid="{11D08E2B-25AB-4BB9-B47B-ED7B6B532EED}"/>
    <cellStyle name="Normal 3 3 3 2 3 2" xfId="248" xr:uid="{8445DED1-A646-4B7F-9FDC-136CD60F0BC0}"/>
    <cellStyle name="Normal 3 3 3 2 3 2 2" xfId="504" xr:uid="{8F99B22E-B1BF-4DB6-B579-F5926B8773EB}"/>
    <cellStyle name="Normal 3 3 3 2 3 2 2 2" xfId="1022" xr:uid="{8995CA99-BA16-4E74-98C2-D312BC9EB07F}"/>
    <cellStyle name="Normal 3 3 3 2 3 2 3" xfId="766" xr:uid="{D34D2BF0-CDE0-4DA2-AC70-F79133939C7B}"/>
    <cellStyle name="Normal 3 3 3 2 3 3" xfId="376" xr:uid="{805F5761-8817-498C-92B5-964AD85E38F0}"/>
    <cellStyle name="Normal 3 3 3 2 3 3 2" xfId="894" xr:uid="{2380965A-4B51-4077-9118-9EA2D465BF6E}"/>
    <cellStyle name="Normal 3 3 3 2 3 4" xfId="638" xr:uid="{979E2157-6857-4CFC-8FAC-AFE0D74483A1}"/>
    <cellStyle name="Normal 3 3 3 2 4" xfId="184" xr:uid="{DF7A2479-8C47-41E9-ACFB-015578DE4E03}"/>
    <cellStyle name="Normal 3 3 3 2 4 2" xfId="440" xr:uid="{B417C138-CEDD-40B9-8153-874297B35664}"/>
    <cellStyle name="Normal 3 3 3 2 4 2 2" xfId="958" xr:uid="{28D878F0-C1AE-42A0-9724-1628FB13291F}"/>
    <cellStyle name="Normal 3 3 3 2 4 3" xfId="702" xr:uid="{6E1C444F-5350-4F59-890C-2AC178F39748}"/>
    <cellStyle name="Normal 3 3 3 2 5" xfId="312" xr:uid="{ACDA5007-3A52-4DE1-B4DE-68BFCD1CBC7E}"/>
    <cellStyle name="Normal 3 3 3 2 5 2" xfId="830" xr:uid="{EA2D3FA6-DCE2-43C0-8655-E1912E7B5551}"/>
    <cellStyle name="Normal 3 3 3 2 6" xfId="574" xr:uid="{77BEF4D8-9CD2-40C5-B133-89E427B1BB3F}"/>
    <cellStyle name="Normal 3 3 3 3" xfId="72" xr:uid="{0956A949-82DC-41AE-9B76-2CCD0D34A67B}"/>
    <cellStyle name="Normal 3 3 3 3 2" xfId="136" xr:uid="{BF0B54E3-2811-46FF-9766-3E4A3768FE19}"/>
    <cellStyle name="Normal 3 3 3 3 2 2" xfId="264" xr:uid="{38C7E97D-2F11-49B2-9DB6-96614B87B29F}"/>
    <cellStyle name="Normal 3 3 3 3 2 2 2" xfId="520" xr:uid="{248DBF09-F4A3-43AE-B2B1-B9D9E5F202F7}"/>
    <cellStyle name="Normal 3 3 3 3 2 2 2 2" xfId="1038" xr:uid="{E3D03FF5-1332-4E5F-9A48-D7B5319CC50E}"/>
    <cellStyle name="Normal 3 3 3 3 2 2 3" xfId="782" xr:uid="{CEC037D2-7CF6-44A1-B30D-4113846AD8CC}"/>
    <cellStyle name="Normal 3 3 3 3 2 3" xfId="392" xr:uid="{F35E1071-C303-4794-9EF5-9396FF5AC601}"/>
    <cellStyle name="Normal 3 3 3 3 2 3 2" xfId="910" xr:uid="{D4CA8862-2AD6-4694-A158-DAFB2ABBA48C}"/>
    <cellStyle name="Normal 3 3 3 3 2 4" xfId="654" xr:uid="{DBE1AE12-F80A-4F54-9CE3-B0CAFE03363A}"/>
    <cellStyle name="Normal 3 3 3 3 3" xfId="200" xr:uid="{C6A13F75-D329-48E0-B926-3DBC985EF28A}"/>
    <cellStyle name="Normal 3 3 3 3 3 2" xfId="456" xr:uid="{1FC60ECE-A859-486D-8AB3-A3D8FA5B6D45}"/>
    <cellStyle name="Normal 3 3 3 3 3 2 2" xfId="974" xr:uid="{6BE5B62F-E422-4321-BA9F-976163D673D6}"/>
    <cellStyle name="Normal 3 3 3 3 3 3" xfId="718" xr:uid="{CC8086EB-EAE8-4555-AF7E-217847410592}"/>
    <cellStyle name="Normal 3 3 3 3 4" xfId="328" xr:uid="{6F61484E-D7D1-474F-ACFF-5B6E6DC1C036}"/>
    <cellStyle name="Normal 3 3 3 3 4 2" xfId="846" xr:uid="{E31C97E6-14D7-40BD-BC13-9035CCB86660}"/>
    <cellStyle name="Normal 3 3 3 3 5" xfId="590" xr:uid="{C4373C87-7B40-4078-8758-230A985ADE38}"/>
    <cellStyle name="Normal 3 3 3 4" xfId="104" xr:uid="{00C83408-8628-4D5E-A99E-C2BA712F4084}"/>
    <cellStyle name="Normal 3 3 3 4 2" xfId="232" xr:uid="{9B47F34B-FDF3-440D-A27D-E2E3495FC49B}"/>
    <cellStyle name="Normal 3 3 3 4 2 2" xfId="488" xr:uid="{331F4130-69A9-475F-8458-C3824233219C}"/>
    <cellStyle name="Normal 3 3 3 4 2 2 2" xfId="1006" xr:uid="{DE84613E-A86D-4355-85FF-A95458FF7969}"/>
    <cellStyle name="Normal 3 3 3 4 2 3" xfId="750" xr:uid="{77C77335-61CE-4117-AB14-22B55F3D7375}"/>
    <cellStyle name="Normal 3 3 3 4 3" xfId="360" xr:uid="{485D21C1-B4A2-4ED9-8794-FAA7A08D9358}"/>
    <cellStyle name="Normal 3 3 3 4 3 2" xfId="878" xr:uid="{FEF0A6BB-B6EE-4FDB-9D95-BA9FF383CD9B}"/>
    <cellStyle name="Normal 3 3 3 4 4" xfId="622" xr:uid="{4C80C4B0-FE5F-4D8E-BE77-3C6246B03FDB}"/>
    <cellStyle name="Normal 3 3 3 5" xfId="168" xr:uid="{73E670CF-52A8-4728-8480-94E44D843DFA}"/>
    <cellStyle name="Normal 3 3 3 5 2" xfId="424" xr:uid="{1D94A392-A767-49B4-9160-2BDAF1D36443}"/>
    <cellStyle name="Normal 3 3 3 5 2 2" xfId="942" xr:uid="{7E7B9AEC-B45A-4EF6-920E-BD525C72A3A0}"/>
    <cellStyle name="Normal 3 3 3 5 3" xfId="686" xr:uid="{B482C81F-BA07-414D-8E62-94576EF2F0FE}"/>
    <cellStyle name="Normal 3 3 3 6" xfId="296" xr:uid="{4C6475F3-4306-46A2-9E19-A7BDFB57E934}"/>
    <cellStyle name="Normal 3 3 3 6 2" xfId="814" xr:uid="{8272D9EC-23B8-4253-8B35-7BE52DB31FE5}"/>
    <cellStyle name="Normal 3 3 3 7" xfId="558" xr:uid="{A6838625-2B33-442B-AA69-EC6BDF006C30}"/>
    <cellStyle name="Normal 3 3 4" xfId="48" xr:uid="{DA331A93-CBF2-4B9E-A282-0289AA6F8CA9}"/>
    <cellStyle name="Normal 3 3 4 2" xfId="80" xr:uid="{319D3A87-939C-4689-9D34-F56EDC82AAD8}"/>
    <cellStyle name="Normal 3 3 4 2 2" xfId="144" xr:uid="{4DACC6AF-815D-46B4-9D6E-8F729AF7F2A8}"/>
    <cellStyle name="Normal 3 3 4 2 2 2" xfId="272" xr:uid="{408FDFBF-2511-4521-A095-528FC858E220}"/>
    <cellStyle name="Normal 3 3 4 2 2 2 2" xfId="528" xr:uid="{A189E3D1-54AA-4DF3-A386-333DE7621227}"/>
    <cellStyle name="Normal 3 3 4 2 2 2 2 2" xfId="1046" xr:uid="{F4E4C394-1EA9-404A-9E92-1D3F4FDA3C4C}"/>
    <cellStyle name="Normal 3 3 4 2 2 2 3" xfId="790" xr:uid="{E8EE1733-598A-4F19-956A-1539C800A7F6}"/>
    <cellStyle name="Normal 3 3 4 2 2 3" xfId="400" xr:uid="{1E3E7FC7-7D6A-43E2-8AE9-6F6CDDF04608}"/>
    <cellStyle name="Normal 3 3 4 2 2 3 2" xfId="918" xr:uid="{ED0EAFD6-41A9-4223-AAC6-5364A90B54E9}"/>
    <cellStyle name="Normal 3 3 4 2 2 4" xfId="662" xr:uid="{F57874A2-0AC4-42C7-85BB-E0338A8FDB93}"/>
    <cellStyle name="Normal 3 3 4 2 3" xfId="208" xr:uid="{F38E73BF-8863-4A9C-A8C7-FA198007C44D}"/>
    <cellStyle name="Normal 3 3 4 2 3 2" xfId="464" xr:uid="{097BA66A-2FF8-4652-8E9E-EB08AA9CFA92}"/>
    <cellStyle name="Normal 3 3 4 2 3 2 2" xfId="982" xr:uid="{9E294FA0-02C8-48E0-9F0D-5FCCFAAF8792}"/>
    <cellStyle name="Normal 3 3 4 2 3 3" xfId="726" xr:uid="{47C2CFB4-EDD2-40D9-B169-4E79050590A1}"/>
    <cellStyle name="Normal 3 3 4 2 4" xfId="336" xr:uid="{271FC33A-2183-43BA-BED1-9D1269FD8BDB}"/>
    <cellStyle name="Normal 3 3 4 2 4 2" xfId="854" xr:uid="{363EE2AB-8CA4-4DF3-96A0-4E2B194AB255}"/>
    <cellStyle name="Normal 3 3 4 2 5" xfId="598" xr:uid="{7C2FD3DC-2DFA-44BC-914C-4D8DD7D48505}"/>
    <cellStyle name="Normal 3 3 4 3" xfId="112" xr:uid="{3C425000-4C93-456E-ACF1-558E73AE5B30}"/>
    <cellStyle name="Normal 3 3 4 3 2" xfId="240" xr:uid="{65AEFAC7-360D-42C6-BD7C-A6FAC8D111EE}"/>
    <cellStyle name="Normal 3 3 4 3 2 2" xfId="496" xr:uid="{37212748-6334-467B-9D11-BE31F3913BFF}"/>
    <cellStyle name="Normal 3 3 4 3 2 2 2" xfId="1014" xr:uid="{8AD48843-9A7D-42A0-9AD9-83FCCFF0EB58}"/>
    <cellStyle name="Normal 3 3 4 3 2 3" xfId="758" xr:uid="{EEB09C92-F190-4B8B-BE77-FA0DB431AB26}"/>
    <cellStyle name="Normal 3 3 4 3 3" xfId="368" xr:uid="{45821CE4-C411-4B03-9435-870970350902}"/>
    <cellStyle name="Normal 3 3 4 3 3 2" xfId="886" xr:uid="{F0A29877-253F-4716-993F-2D059F158597}"/>
    <cellStyle name="Normal 3 3 4 3 4" xfId="630" xr:uid="{80928F8B-9377-4E18-A6EB-64BF4970F909}"/>
    <cellStyle name="Normal 3 3 4 4" xfId="176" xr:uid="{9DC19082-41C8-41CE-94DB-A44E220BAE27}"/>
    <cellStyle name="Normal 3 3 4 4 2" xfId="432" xr:uid="{9ED79598-A7F7-4571-BB21-4AE8E53F7E31}"/>
    <cellStyle name="Normal 3 3 4 4 2 2" xfId="950" xr:uid="{24EA397F-B47C-4195-8DA7-9670CE32B37E}"/>
    <cellStyle name="Normal 3 3 4 4 3" xfId="694" xr:uid="{90008741-3D31-4058-BD00-6141A41389AE}"/>
    <cellStyle name="Normal 3 3 4 5" xfId="304" xr:uid="{26C21C47-0494-4694-96FC-930842FB7EB2}"/>
    <cellStyle name="Normal 3 3 4 5 2" xfId="822" xr:uid="{1EA61AD3-7940-4023-A715-3951499A5813}"/>
    <cellStyle name="Normal 3 3 4 6" xfId="566" xr:uid="{0C853D77-B631-4CC6-BDBA-682F3ADBDD98}"/>
    <cellStyle name="Normal 3 3 5" xfId="64" xr:uid="{8E04E369-17AB-40B9-A15C-19B5AC5C2F32}"/>
    <cellStyle name="Normal 3 3 5 2" xfId="128" xr:uid="{18C4F831-0E34-4CFC-B6C9-6ADCDEDED46D}"/>
    <cellStyle name="Normal 3 3 5 2 2" xfId="256" xr:uid="{64485297-B753-4AE0-907E-41B87AC60134}"/>
    <cellStyle name="Normal 3 3 5 2 2 2" xfId="512" xr:uid="{9C6EA03B-D79C-4AF3-B35D-5D67E89AD099}"/>
    <cellStyle name="Normal 3 3 5 2 2 2 2" xfId="1030" xr:uid="{555F6AA5-73D3-4E6F-9E87-E12835C5EC13}"/>
    <cellStyle name="Normal 3 3 5 2 2 3" xfId="774" xr:uid="{0E32BE6F-7097-4F06-B2B6-850FBE51B886}"/>
    <cellStyle name="Normal 3 3 5 2 3" xfId="384" xr:uid="{0129F155-5029-4417-9872-11EDFB7E8F00}"/>
    <cellStyle name="Normal 3 3 5 2 3 2" xfId="902" xr:uid="{A2A32D4C-1CD8-445F-B4E7-96BF37934513}"/>
    <cellStyle name="Normal 3 3 5 2 4" xfId="646" xr:uid="{E6B99ED2-5BBC-4BA0-8EA9-82B0CA36366E}"/>
    <cellStyle name="Normal 3 3 5 3" xfId="192" xr:uid="{F2326E50-9B67-48F5-BDEF-4C6BD6D01D72}"/>
    <cellStyle name="Normal 3 3 5 3 2" xfId="448" xr:uid="{D4E2224C-E74E-4CEA-9755-87BEAEC79C1C}"/>
    <cellStyle name="Normal 3 3 5 3 2 2" xfId="966" xr:uid="{CB70ED70-1B86-4984-90B6-D34D57F3D724}"/>
    <cellStyle name="Normal 3 3 5 3 3" xfId="710" xr:uid="{264936FC-C709-4513-A17E-B528782FEF17}"/>
    <cellStyle name="Normal 3 3 5 4" xfId="320" xr:uid="{A5464988-322D-4362-8773-BA523240BB81}"/>
    <cellStyle name="Normal 3 3 5 4 2" xfId="838" xr:uid="{28E90267-85C8-4F51-B9B4-8FE2C85F8DA5}"/>
    <cellStyle name="Normal 3 3 5 5" xfId="582" xr:uid="{8B00018E-8FF9-4122-B8E6-DB4832C6C3D0}"/>
    <cellStyle name="Normal 3 3 6" xfId="96" xr:uid="{064F8813-B150-47F5-ACDD-F7BBD7027E82}"/>
    <cellStyle name="Normal 3 3 6 2" xfId="224" xr:uid="{C90498C4-BD9E-4B42-9EB4-BFB84CCB9CDB}"/>
    <cellStyle name="Normal 3 3 6 2 2" xfId="480" xr:uid="{B41ED7DE-5C0A-4375-B1C5-2A541AA27764}"/>
    <cellStyle name="Normal 3 3 6 2 2 2" xfId="998" xr:uid="{605FCED1-EEAB-4FE8-90F2-01E98054DFAF}"/>
    <cellStyle name="Normal 3 3 6 2 3" xfId="742" xr:uid="{46518393-7BE0-4FB7-820A-83892AE3379D}"/>
    <cellStyle name="Normal 3 3 6 3" xfId="352" xr:uid="{0F9707F1-2B2B-43DB-99DC-1BD07C4DE69B}"/>
    <cellStyle name="Normal 3 3 6 3 2" xfId="870" xr:uid="{3AE316D2-AAC5-49DC-BBEA-ED1B5DF4C980}"/>
    <cellStyle name="Normal 3 3 6 4" xfId="614" xr:uid="{E6E52818-B6F9-43A6-80F7-93BD4A297147}"/>
    <cellStyle name="Normal 3 3 7" xfId="160" xr:uid="{6C4A80F7-1E62-47A4-BC3E-34074246FA4B}"/>
    <cellStyle name="Normal 3 3 7 2" xfId="416" xr:uid="{B4BCCAB5-BE80-4F38-A59D-E6FA3284BD31}"/>
    <cellStyle name="Normal 3 3 7 2 2" xfId="934" xr:uid="{A47F2FF0-C773-41C7-9BD8-444008B78545}"/>
    <cellStyle name="Normal 3 3 7 3" xfId="678" xr:uid="{73108E10-6EC9-4D6C-8881-48E73FA3CB9F}"/>
    <cellStyle name="Normal 3 3 8" xfId="288" xr:uid="{D382FBAC-A113-4587-8BFD-ABD8DBB60B79}"/>
    <cellStyle name="Normal 3 3 8 2" xfId="806" xr:uid="{6343FCFE-D343-43A8-BA3D-02C350F84C82}"/>
    <cellStyle name="Normal 3 3 9" xfId="550" xr:uid="{768317C6-6255-47D0-9234-3D382B236DEE}"/>
    <cellStyle name="Normal 3 4" xfId="34" xr:uid="{7B63E1CD-2BE5-4DCB-97EA-51B8A698D0B7}"/>
    <cellStyle name="Normal 3 4 2" xfId="42" xr:uid="{662749CB-7946-4B12-8BEF-8A293028582E}"/>
    <cellStyle name="Normal 3 4 2 2" xfId="58" xr:uid="{0065963F-12DD-46CB-A37E-AFBE7D8B151F}"/>
    <cellStyle name="Normal 3 4 2 2 2" xfId="90" xr:uid="{F04472A6-0CF0-4D0E-85FD-FDE81877827A}"/>
    <cellStyle name="Normal 3 4 2 2 2 2" xfId="154" xr:uid="{035D51AB-5C2D-4B8C-83BE-B4E7C8B1FFE4}"/>
    <cellStyle name="Normal 3 4 2 2 2 2 2" xfId="282" xr:uid="{017D9EBB-A33B-4311-9357-29C6C6A42406}"/>
    <cellStyle name="Normal 3 4 2 2 2 2 2 2" xfId="538" xr:uid="{95703BE1-2F9B-42CC-8F03-4696B4835D49}"/>
    <cellStyle name="Normal 3 4 2 2 2 2 2 2 2" xfId="1056" xr:uid="{5DAE5158-9027-4D76-8105-9575F9703A53}"/>
    <cellStyle name="Normal 3 4 2 2 2 2 2 3" xfId="800" xr:uid="{FB2E16A4-1D37-4EFB-906C-419EE0F4EBBB}"/>
    <cellStyle name="Normal 3 4 2 2 2 2 3" xfId="410" xr:uid="{BCACC62D-89AD-4F05-A526-97B1DEF5454F}"/>
    <cellStyle name="Normal 3 4 2 2 2 2 3 2" xfId="928" xr:uid="{D4032974-F551-4680-AABC-4FBE4AEA83FE}"/>
    <cellStyle name="Normal 3 4 2 2 2 2 4" xfId="672" xr:uid="{136FCFBE-39F3-4FFA-93D4-60B48A379321}"/>
    <cellStyle name="Normal 3 4 2 2 2 3" xfId="218" xr:uid="{3F837001-2989-453D-BCB6-DD7480099448}"/>
    <cellStyle name="Normal 3 4 2 2 2 3 2" xfId="474" xr:uid="{F02B8640-E927-4399-AAB0-0D0DD798B4A4}"/>
    <cellStyle name="Normal 3 4 2 2 2 3 2 2" xfId="992" xr:uid="{DECECDC3-692E-4096-BD40-0A570A6FF328}"/>
    <cellStyle name="Normal 3 4 2 2 2 3 3" xfId="736" xr:uid="{3A19362D-C72B-4320-8829-86D074E37942}"/>
    <cellStyle name="Normal 3 4 2 2 2 4" xfId="346" xr:uid="{8CE91D88-CB88-4569-9E2B-82E30A6B2618}"/>
    <cellStyle name="Normal 3 4 2 2 2 4 2" xfId="864" xr:uid="{20A5D93B-5ABB-4B23-9A90-4E9925DBCCC2}"/>
    <cellStyle name="Normal 3 4 2 2 2 5" xfId="608" xr:uid="{D29907E0-46D2-41C0-9A4B-85472B2DCB37}"/>
    <cellStyle name="Normal 3 4 2 2 3" xfId="122" xr:uid="{94A23F4C-3328-4FBC-B441-83B0E54BD6BC}"/>
    <cellStyle name="Normal 3 4 2 2 3 2" xfId="250" xr:uid="{B79BCAD2-4A17-4F94-BC2A-EC0DBEFE452E}"/>
    <cellStyle name="Normal 3 4 2 2 3 2 2" xfId="506" xr:uid="{75CF4C91-E298-4682-A501-EC32A8846CC8}"/>
    <cellStyle name="Normal 3 4 2 2 3 2 2 2" xfId="1024" xr:uid="{D2A79056-7C59-40E4-8C1F-1CCA836A4336}"/>
    <cellStyle name="Normal 3 4 2 2 3 2 3" xfId="768" xr:uid="{BAE5AEE5-289A-47DE-B75F-B9C3599FA3B2}"/>
    <cellStyle name="Normal 3 4 2 2 3 3" xfId="378" xr:uid="{3B50495C-E063-4F7D-8C7B-B94DBF7AD154}"/>
    <cellStyle name="Normal 3 4 2 2 3 3 2" xfId="896" xr:uid="{EBA6D051-E20A-4F2F-9214-E22FCC9C055E}"/>
    <cellStyle name="Normal 3 4 2 2 3 4" xfId="640" xr:uid="{86650A16-6F6D-4AEE-9B9F-D3372211FDB4}"/>
    <cellStyle name="Normal 3 4 2 2 4" xfId="186" xr:uid="{0BBC9962-6366-45FE-8622-25CA8120BD52}"/>
    <cellStyle name="Normal 3 4 2 2 4 2" xfId="442" xr:uid="{7815B7B8-30CA-4166-841F-9ADC2C64AE17}"/>
    <cellStyle name="Normal 3 4 2 2 4 2 2" xfId="960" xr:uid="{6C10C9C6-D084-4A16-8787-AE06F281A9D2}"/>
    <cellStyle name="Normal 3 4 2 2 4 3" xfId="704" xr:uid="{37F855A2-ADE2-4D9C-98F3-D5F2A16C9CD3}"/>
    <cellStyle name="Normal 3 4 2 2 5" xfId="314" xr:uid="{3C7BE23A-4051-43D7-9707-A4018FF31D09}"/>
    <cellStyle name="Normal 3 4 2 2 5 2" xfId="832" xr:uid="{E891499F-FA2E-4294-84F5-D4C3487B5C21}"/>
    <cellStyle name="Normal 3 4 2 2 6" xfId="576" xr:uid="{B1BA8E30-7D7F-43A5-BC53-830B751CE47A}"/>
    <cellStyle name="Normal 3 4 2 3" xfId="74" xr:uid="{42894F8D-86C2-4BD6-B652-773E684A3BBC}"/>
    <cellStyle name="Normal 3 4 2 3 2" xfId="138" xr:uid="{4BE157B4-B0CA-4A78-84AD-EA7E8058DE11}"/>
    <cellStyle name="Normal 3 4 2 3 2 2" xfId="266" xr:uid="{6CA18ED1-B6AB-439D-8E0A-F474B6CFA573}"/>
    <cellStyle name="Normal 3 4 2 3 2 2 2" xfId="522" xr:uid="{4D3B51FD-E6FA-46D3-ADF2-5FBEA07850B8}"/>
    <cellStyle name="Normal 3 4 2 3 2 2 2 2" xfId="1040" xr:uid="{C97AEA9B-F06D-4932-98EC-6FBFC50CD7CF}"/>
    <cellStyle name="Normal 3 4 2 3 2 2 3" xfId="784" xr:uid="{E4FA1713-CFBF-4E30-B515-996916CB8F82}"/>
    <cellStyle name="Normal 3 4 2 3 2 3" xfId="394" xr:uid="{56E25DC3-F860-4DEA-AF90-FB2D76F9A291}"/>
    <cellStyle name="Normal 3 4 2 3 2 3 2" xfId="912" xr:uid="{5CCB140E-5198-4CC3-95AE-343474E747FF}"/>
    <cellStyle name="Normal 3 4 2 3 2 4" xfId="656" xr:uid="{55CF9088-30C1-4606-8767-26B983CA03CB}"/>
    <cellStyle name="Normal 3 4 2 3 3" xfId="202" xr:uid="{E66EADCA-24C2-4DFD-9CBD-B83FDC2FBEA6}"/>
    <cellStyle name="Normal 3 4 2 3 3 2" xfId="458" xr:uid="{13285B7E-AF4E-48EF-B82D-AE333CF506B0}"/>
    <cellStyle name="Normal 3 4 2 3 3 2 2" xfId="976" xr:uid="{036A10B0-5BE9-48BA-BAF8-55702CC23D0A}"/>
    <cellStyle name="Normal 3 4 2 3 3 3" xfId="720" xr:uid="{5DD7E8B1-73EF-4ECA-9D5B-FC3E397E7DCE}"/>
    <cellStyle name="Normal 3 4 2 3 4" xfId="330" xr:uid="{5CC1F34D-9F20-4513-A72E-1602EB4EC568}"/>
    <cellStyle name="Normal 3 4 2 3 4 2" xfId="848" xr:uid="{E39F4E80-23CA-49C1-B8B4-949DDD430EB5}"/>
    <cellStyle name="Normal 3 4 2 3 5" xfId="592" xr:uid="{893D8BF3-4695-44D8-ABD1-25DBDCA1ED9F}"/>
    <cellStyle name="Normal 3 4 2 4" xfId="106" xr:uid="{AD19AD60-B685-49D9-ACA1-CF818147E871}"/>
    <cellStyle name="Normal 3 4 2 4 2" xfId="234" xr:uid="{670AD21E-CD5D-410A-8091-D0525F12983C}"/>
    <cellStyle name="Normal 3 4 2 4 2 2" xfId="490" xr:uid="{1DECFB1C-20B6-4D1C-96ED-D0CE79514D50}"/>
    <cellStyle name="Normal 3 4 2 4 2 2 2" xfId="1008" xr:uid="{DDB26E43-928A-4FC0-B0AE-50440BCB3405}"/>
    <cellStyle name="Normal 3 4 2 4 2 3" xfId="752" xr:uid="{21DDE587-AE4E-4A53-B566-654CF5B2AD10}"/>
    <cellStyle name="Normal 3 4 2 4 3" xfId="362" xr:uid="{3A19FC49-A726-4CFF-9998-ACD6D8443825}"/>
    <cellStyle name="Normal 3 4 2 4 3 2" xfId="880" xr:uid="{DBD3FBF6-BB68-42AC-9720-8B279222438C}"/>
    <cellStyle name="Normal 3 4 2 4 4" xfId="624" xr:uid="{FE63D5EB-5C1B-4441-B59A-91C762A1CEFD}"/>
    <cellStyle name="Normal 3 4 2 5" xfId="170" xr:uid="{8FDC2E21-93E4-4289-88C1-786F6E225BD8}"/>
    <cellStyle name="Normal 3 4 2 5 2" xfId="426" xr:uid="{8702AD74-E8DF-4AC5-8E46-3ED75C3E0CE3}"/>
    <cellStyle name="Normal 3 4 2 5 2 2" xfId="944" xr:uid="{E595033B-78A2-49F1-AA9D-1F06D3F330E8}"/>
    <cellStyle name="Normal 3 4 2 5 3" xfId="688" xr:uid="{26A66850-B959-4442-9BDC-9EF83192792D}"/>
    <cellStyle name="Normal 3 4 2 6" xfId="298" xr:uid="{E0378C40-6333-45E0-97B6-04B72E09BB8A}"/>
    <cellStyle name="Normal 3 4 2 6 2" xfId="816" xr:uid="{3C0D8FED-C571-44FB-83F1-DAC1EC9D9CCD}"/>
    <cellStyle name="Normal 3 4 2 7" xfId="560" xr:uid="{33F8F26A-1518-43A8-8021-BEF55C1198B7}"/>
    <cellStyle name="Normal 3 4 3" xfId="50" xr:uid="{755D00D7-2309-40F5-8373-430EAC87DF56}"/>
    <cellStyle name="Normal 3 4 3 2" xfId="82" xr:uid="{4538F2E2-5DCA-4133-9FC9-21D3DD26CE1B}"/>
    <cellStyle name="Normal 3 4 3 2 2" xfId="146" xr:uid="{CE12BE53-2220-4747-A97A-C27C6DE04DEC}"/>
    <cellStyle name="Normal 3 4 3 2 2 2" xfId="274" xr:uid="{F5000CA8-AC6D-42D2-9806-7D9A49280A5A}"/>
    <cellStyle name="Normal 3 4 3 2 2 2 2" xfId="530" xr:uid="{1CB92964-D5FB-4520-8B0D-2F56E1AA0ABB}"/>
    <cellStyle name="Normal 3 4 3 2 2 2 2 2" xfId="1048" xr:uid="{A3E85A49-FE0B-4F9A-A870-31C103E10EEF}"/>
    <cellStyle name="Normal 3 4 3 2 2 2 3" xfId="792" xr:uid="{70FB0B63-74C0-41C0-A37F-50FCE046A1C8}"/>
    <cellStyle name="Normal 3 4 3 2 2 3" xfId="402" xr:uid="{6A16D6E4-E133-4584-87B9-934169D5765A}"/>
    <cellStyle name="Normal 3 4 3 2 2 3 2" xfId="920" xr:uid="{8C534140-06C7-4727-B423-8AF9A518443C}"/>
    <cellStyle name="Normal 3 4 3 2 2 4" xfId="664" xr:uid="{9F1AAFB8-7397-4998-B06B-81AF5EC04862}"/>
    <cellStyle name="Normal 3 4 3 2 3" xfId="210" xr:uid="{283A912E-D93B-464F-9033-B232CD43C826}"/>
    <cellStyle name="Normal 3 4 3 2 3 2" xfId="466" xr:uid="{CF625DB6-8168-46AD-A42B-09A08D40D951}"/>
    <cellStyle name="Normal 3 4 3 2 3 2 2" xfId="984" xr:uid="{23319263-0075-42D1-8005-24EDDB23BFA0}"/>
    <cellStyle name="Normal 3 4 3 2 3 3" xfId="728" xr:uid="{01078279-7B86-4E67-92C5-72F8CAD90105}"/>
    <cellStyle name="Normal 3 4 3 2 4" xfId="338" xr:uid="{3AB5AE1E-FEDA-4E04-BDFC-51D21EC8D558}"/>
    <cellStyle name="Normal 3 4 3 2 4 2" xfId="856" xr:uid="{72D05D0A-9443-4265-9591-11B141C7CFD4}"/>
    <cellStyle name="Normal 3 4 3 2 5" xfId="600" xr:uid="{E0166DCC-CC29-421F-9996-E8FE340EAA36}"/>
    <cellStyle name="Normal 3 4 3 3" xfId="114" xr:uid="{CD86EFE3-5B12-4E78-B375-88063DF22826}"/>
    <cellStyle name="Normal 3 4 3 3 2" xfId="242" xr:uid="{DBEDE749-A7B6-4AFC-8908-04BB77623C50}"/>
    <cellStyle name="Normal 3 4 3 3 2 2" xfId="498" xr:uid="{C323E833-E027-474C-B89E-41AF1D540492}"/>
    <cellStyle name="Normal 3 4 3 3 2 2 2" xfId="1016" xr:uid="{D5305D92-ACC9-48D4-B6C2-04BDC7981BC1}"/>
    <cellStyle name="Normal 3 4 3 3 2 3" xfId="760" xr:uid="{BCD4B8E7-971C-4876-98D8-53855847315F}"/>
    <cellStyle name="Normal 3 4 3 3 3" xfId="370" xr:uid="{AA12A725-948A-4BEF-AE41-2BDDEBBC7D2F}"/>
    <cellStyle name="Normal 3 4 3 3 3 2" xfId="888" xr:uid="{24895A61-7C62-4091-BD5C-2DB127BA8AC5}"/>
    <cellStyle name="Normal 3 4 3 3 4" xfId="632" xr:uid="{88D1D6DB-8C1D-44A9-A254-4EC6C81EFE0F}"/>
    <cellStyle name="Normal 3 4 3 4" xfId="178" xr:uid="{C19AC4DB-98EA-447A-B53C-9F1F9C05F75A}"/>
    <cellStyle name="Normal 3 4 3 4 2" xfId="434" xr:uid="{FD25230B-FC16-47C6-9F9D-0830459D1620}"/>
    <cellStyle name="Normal 3 4 3 4 2 2" xfId="952" xr:uid="{D3FF8B09-FFDF-4C71-97C9-A7026D95A8BA}"/>
    <cellStyle name="Normal 3 4 3 4 3" xfId="696" xr:uid="{10CCE724-2F85-4F39-B160-369FD0269EBD}"/>
    <cellStyle name="Normal 3 4 3 5" xfId="306" xr:uid="{45793E61-52CE-45F3-BC2F-EB330CA82414}"/>
    <cellStyle name="Normal 3 4 3 5 2" xfId="824" xr:uid="{E7BE551D-7DDE-49CB-B7E9-93E02F33DC12}"/>
    <cellStyle name="Normal 3 4 3 6" xfId="568" xr:uid="{2DE062CA-878E-4A1D-83E1-A2ED876B339C}"/>
    <cellStyle name="Normal 3 4 4" xfId="66" xr:uid="{455F2697-05DB-452C-8681-C3C54451D3C0}"/>
    <cellStyle name="Normal 3 4 4 2" xfId="130" xr:uid="{58EE87F1-C355-44FB-A482-CB07D28B0232}"/>
    <cellStyle name="Normal 3 4 4 2 2" xfId="258" xr:uid="{00B504CD-0C08-4175-912F-C142257E19C9}"/>
    <cellStyle name="Normal 3 4 4 2 2 2" xfId="514" xr:uid="{0707965B-EB26-4FCA-BDE0-FA81DE99DDC5}"/>
    <cellStyle name="Normal 3 4 4 2 2 2 2" xfId="1032" xr:uid="{F3E28069-C88E-4849-A71B-A5D348C7CEE2}"/>
    <cellStyle name="Normal 3 4 4 2 2 3" xfId="776" xr:uid="{02404A98-E7A1-493F-9F2B-332209D6A037}"/>
    <cellStyle name="Normal 3 4 4 2 3" xfId="386" xr:uid="{26C421B6-1690-4639-AD44-571DCBECDA0E}"/>
    <cellStyle name="Normal 3 4 4 2 3 2" xfId="904" xr:uid="{6DF54C4E-4022-49DF-BB53-75161D540FA1}"/>
    <cellStyle name="Normal 3 4 4 2 4" xfId="648" xr:uid="{0FBECE7B-5315-4F45-983D-7F89A20F7330}"/>
    <cellStyle name="Normal 3 4 4 3" xfId="194" xr:uid="{17CCD10E-156C-4C38-8675-80E40ADD0D0E}"/>
    <cellStyle name="Normal 3 4 4 3 2" xfId="450" xr:uid="{7DF447B6-4137-422D-9558-1CCD57379543}"/>
    <cellStyle name="Normal 3 4 4 3 2 2" xfId="968" xr:uid="{5678708E-CBA9-4383-8A83-2621172C2067}"/>
    <cellStyle name="Normal 3 4 4 3 3" xfId="712" xr:uid="{9E7175A2-68D1-40C4-A32A-F08127571C1E}"/>
    <cellStyle name="Normal 3 4 4 4" xfId="322" xr:uid="{3A5D5019-FBA3-4900-B406-0F64D7CE4FB0}"/>
    <cellStyle name="Normal 3 4 4 4 2" xfId="840" xr:uid="{2569E4B3-5CE5-45EE-B6CF-F8FA871DF791}"/>
    <cellStyle name="Normal 3 4 4 5" xfId="584" xr:uid="{51F11650-34B3-4898-B3B2-42353157114A}"/>
    <cellStyle name="Normal 3 4 5" xfId="98" xr:uid="{ADE149A4-6C30-4EF5-A828-65D3663CEF9B}"/>
    <cellStyle name="Normal 3 4 5 2" xfId="226" xr:uid="{958A4500-38F5-4E68-AF2A-AE30AECD995A}"/>
    <cellStyle name="Normal 3 4 5 2 2" xfId="482" xr:uid="{9D4E05CF-D081-49D4-AF70-75E5C8B14860}"/>
    <cellStyle name="Normal 3 4 5 2 2 2" xfId="1000" xr:uid="{EE8BD1A8-78DD-49CC-8AF5-7506F9B4DD7B}"/>
    <cellStyle name="Normal 3 4 5 2 3" xfId="744" xr:uid="{BE5FF332-3F80-42E1-8910-34427959415A}"/>
    <cellStyle name="Normal 3 4 5 3" xfId="354" xr:uid="{096B4FC8-AFC0-47EC-BFA9-C4A8AAD76FE2}"/>
    <cellStyle name="Normal 3 4 5 3 2" xfId="872" xr:uid="{90FB9DA3-BDFF-4597-8E66-D50F6F412365}"/>
    <cellStyle name="Normal 3 4 5 4" xfId="616" xr:uid="{45FFEBCF-F861-4FE2-8C94-564E2AD7ADA8}"/>
    <cellStyle name="Normal 3 4 6" xfId="162" xr:uid="{8F648969-CAC2-455E-A77E-31FC62CDE673}"/>
    <cellStyle name="Normal 3 4 6 2" xfId="418" xr:uid="{9A502585-B2D5-4084-92CB-B8FB0D1376BB}"/>
    <cellStyle name="Normal 3 4 6 2 2" xfId="936" xr:uid="{25C2DB7C-C49C-45A8-91B6-770B3C999983}"/>
    <cellStyle name="Normal 3 4 6 3" xfId="680" xr:uid="{EED674AD-ECBA-4D6D-95FD-1BD04AEBB14A}"/>
    <cellStyle name="Normal 3 4 7" xfId="290" xr:uid="{64A3C66A-8376-4799-80B5-53825B4673F0}"/>
    <cellStyle name="Normal 3 4 7 2" xfId="808" xr:uid="{960AC8A2-2730-4383-9652-A5FCB684AA18}"/>
    <cellStyle name="Normal 3 4 8" xfId="552" xr:uid="{C27F7FEB-868A-41B3-B8DA-E4E20D67F83E}"/>
    <cellStyle name="Normal 3 5" xfId="38" xr:uid="{66027D2E-D602-4BA2-BB58-F05A0C720BD0}"/>
    <cellStyle name="Normal 3 5 2" xfId="54" xr:uid="{AC331AFA-D6C7-41D6-976F-2BCAB0D3A872}"/>
    <cellStyle name="Normal 3 5 2 2" xfId="86" xr:uid="{268212A9-5BAE-48D1-9A4D-236E18583C67}"/>
    <cellStyle name="Normal 3 5 2 2 2" xfId="150" xr:uid="{361256D4-9910-46B6-B0B6-879995866B69}"/>
    <cellStyle name="Normal 3 5 2 2 2 2" xfId="278" xr:uid="{0CBE4FB0-C2AE-4BED-B728-997331AC9954}"/>
    <cellStyle name="Normal 3 5 2 2 2 2 2" xfId="534" xr:uid="{DFCBF8DA-089D-47C7-A864-BA8803428BE6}"/>
    <cellStyle name="Normal 3 5 2 2 2 2 2 2" xfId="1052" xr:uid="{523D744B-8E81-4D36-9CFD-59A40E4D24EC}"/>
    <cellStyle name="Normal 3 5 2 2 2 2 3" xfId="796" xr:uid="{1173AAE9-E767-4C97-A38B-C4460D5CA92B}"/>
    <cellStyle name="Normal 3 5 2 2 2 3" xfId="406" xr:uid="{ECD8C933-C8E5-4410-8CC6-C201E77822EA}"/>
    <cellStyle name="Normal 3 5 2 2 2 3 2" xfId="924" xr:uid="{8B0B726E-1BC8-42E9-B0C6-6B33130E4327}"/>
    <cellStyle name="Normal 3 5 2 2 2 4" xfId="668" xr:uid="{669FAFC6-56BF-4549-995D-C3EABEE72833}"/>
    <cellStyle name="Normal 3 5 2 2 3" xfId="214" xr:uid="{907B1D44-8A7E-4E34-990E-9E9C68F0A269}"/>
    <cellStyle name="Normal 3 5 2 2 3 2" xfId="470" xr:uid="{FC45CC22-F177-4F2D-9E2E-BBD69088A1E2}"/>
    <cellStyle name="Normal 3 5 2 2 3 2 2" xfId="988" xr:uid="{9DB3052E-566D-42C6-9E96-B79E1F000CF1}"/>
    <cellStyle name="Normal 3 5 2 2 3 3" xfId="732" xr:uid="{6D7AC5F2-F0C3-4025-ADF1-C700F8383055}"/>
    <cellStyle name="Normal 3 5 2 2 4" xfId="342" xr:uid="{E272F176-6752-49E6-ABF0-F7917066092D}"/>
    <cellStyle name="Normal 3 5 2 2 4 2" xfId="860" xr:uid="{6FE887EC-4BEC-4F9D-98A8-680F1DEB9B51}"/>
    <cellStyle name="Normal 3 5 2 2 5" xfId="604" xr:uid="{535CFEB0-4CCF-411A-AB1B-11925315FCAD}"/>
    <cellStyle name="Normal 3 5 2 3" xfId="118" xr:uid="{60289FE2-0341-4795-94D9-921D5D721D6E}"/>
    <cellStyle name="Normal 3 5 2 3 2" xfId="246" xr:uid="{115C4AE0-7C37-43DF-9742-3C7BAA05FCF6}"/>
    <cellStyle name="Normal 3 5 2 3 2 2" xfId="502" xr:uid="{9778632C-615A-48D7-BA47-468281AEDB22}"/>
    <cellStyle name="Normal 3 5 2 3 2 2 2" xfId="1020" xr:uid="{DC6E758F-CD20-49FC-8B24-C4AC40B8C31A}"/>
    <cellStyle name="Normal 3 5 2 3 2 3" xfId="764" xr:uid="{F294D405-808E-4671-BFD7-C22A2ACA8158}"/>
    <cellStyle name="Normal 3 5 2 3 3" xfId="374" xr:uid="{A39823B5-E533-4241-95B8-DA2842E262DA}"/>
    <cellStyle name="Normal 3 5 2 3 3 2" xfId="892" xr:uid="{54DBF99C-ECB6-4938-8B81-EBE63E7CB90C}"/>
    <cellStyle name="Normal 3 5 2 3 4" xfId="636" xr:uid="{7C356F57-315C-4EEB-BEA3-C65B8E1AD5BE}"/>
    <cellStyle name="Normal 3 5 2 4" xfId="182" xr:uid="{BF042ECF-1741-407C-BD54-39F7EDD7942A}"/>
    <cellStyle name="Normal 3 5 2 4 2" xfId="438" xr:uid="{B4B2490E-7275-4497-8A47-EF4A045F50C1}"/>
    <cellStyle name="Normal 3 5 2 4 2 2" xfId="956" xr:uid="{E8091AB6-FFF3-46E9-AEF8-7E6A28E8C6C1}"/>
    <cellStyle name="Normal 3 5 2 4 3" xfId="700" xr:uid="{E5977976-0A7E-492C-929B-D3C2E67933FB}"/>
    <cellStyle name="Normal 3 5 2 5" xfId="310" xr:uid="{2B10DDCE-5243-411D-BD16-08280EB930BF}"/>
    <cellStyle name="Normal 3 5 2 5 2" xfId="828" xr:uid="{E6F0A77A-29B1-47CE-8D94-5C9131A72F4D}"/>
    <cellStyle name="Normal 3 5 2 6" xfId="572" xr:uid="{CE7E8865-014D-4683-B119-BCBEF351E597}"/>
    <cellStyle name="Normal 3 5 3" xfId="70" xr:uid="{790BC058-061C-487C-9F0E-BC39266D54D6}"/>
    <cellStyle name="Normal 3 5 3 2" xfId="134" xr:uid="{191F5BE3-6E9E-4B2C-BC1E-6F74D3138326}"/>
    <cellStyle name="Normal 3 5 3 2 2" xfId="262" xr:uid="{0468254A-2B35-4931-A4E6-9C16DA043F79}"/>
    <cellStyle name="Normal 3 5 3 2 2 2" xfId="518" xr:uid="{CFFB8FC2-F181-443A-B8A3-B7A09089D8CE}"/>
    <cellStyle name="Normal 3 5 3 2 2 2 2" xfId="1036" xr:uid="{EF05F1B5-E9A2-4476-AA01-0DBE969446A0}"/>
    <cellStyle name="Normal 3 5 3 2 2 3" xfId="780" xr:uid="{DD8C0F22-C591-4881-AEA2-59F6981B9A2E}"/>
    <cellStyle name="Normal 3 5 3 2 3" xfId="390" xr:uid="{3C300AF2-AA60-4C5D-A031-79F3A653F98E}"/>
    <cellStyle name="Normal 3 5 3 2 3 2" xfId="908" xr:uid="{C3A42E44-C200-4174-8F3C-4B51D08AA2A4}"/>
    <cellStyle name="Normal 3 5 3 2 4" xfId="652" xr:uid="{CCEDDC90-0EAB-4EF2-AD5A-17A28D815FA3}"/>
    <cellStyle name="Normal 3 5 3 3" xfId="198" xr:uid="{0F17E48D-B157-4C94-A743-A3F2B7423E45}"/>
    <cellStyle name="Normal 3 5 3 3 2" xfId="454" xr:uid="{08AC5D42-82C4-4E3F-B026-78C22F47C9C1}"/>
    <cellStyle name="Normal 3 5 3 3 2 2" xfId="972" xr:uid="{21D6CB78-E55F-4F27-BF07-3C2AC8DDA014}"/>
    <cellStyle name="Normal 3 5 3 3 3" xfId="716" xr:uid="{D38F2EBE-69A3-4994-A2A5-F827689C3E32}"/>
    <cellStyle name="Normal 3 5 3 4" xfId="326" xr:uid="{32D844D0-E3B4-4EF9-B1FE-15CA1141E349}"/>
    <cellStyle name="Normal 3 5 3 4 2" xfId="844" xr:uid="{A2948B89-EE5B-4A06-8313-30EC7970DE90}"/>
    <cellStyle name="Normal 3 5 3 5" xfId="588" xr:uid="{F95457CB-6491-455D-B5DF-90347DB1DFA1}"/>
    <cellStyle name="Normal 3 5 4" xfId="102" xr:uid="{66C898CB-4A35-4224-AF39-11BF525D1ED2}"/>
    <cellStyle name="Normal 3 5 4 2" xfId="230" xr:uid="{CBC6478F-A696-4304-9782-1060BBB731AF}"/>
    <cellStyle name="Normal 3 5 4 2 2" xfId="486" xr:uid="{B8E7E359-3874-44B6-BB0B-E7B928C7F2E7}"/>
    <cellStyle name="Normal 3 5 4 2 2 2" xfId="1004" xr:uid="{0302E18D-95C3-4FC9-895B-2DB9A1F45ED0}"/>
    <cellStyle name="Normal 3 5 4 2 3" xfId="748" xr:uid="{2623B5AD-F0EB-4760-B7C3-A2E9F46087FF}"/>
    <cellStyle name="Normal 3 5 4 3" xfId="358" xr:uid="{FE7E17B7-B1A5-4047-9908-5B68A6790684}"/>
    <cellStyle name="Normal 3 5 4 3 2" xfId="876" xr:uid="{5A1AF93F-F1A9-4398-8B32-8B51238A3DE3}"/>
    <cellStyle name="Normal 3 5 4 4" xfId="620" xr:uid="{5005A0FC-ECB8-48A2-9EF7-CDC313F29550}"/>
    <cellStyle name="Normal 3 5 5" xfId="166" xr:uid="{C7A65C42-BDB6-479E-926F-C7C7A1672ACB}"/>
    <cellStyle name="Normal 3 5 5 2" xfId="422" xr:uid="{3ED25F47-6D0C-4C35-97AE-993A8DF69892}"/>
    <cellStyle name="Normal 3 5 5 2 2" xfId="940" xr:uid="{9C35B5E1-13EC-420B-B9F3-FF706D5808B2}"/>
    <cellStyle name="Normal 3 5 5 3" xfId="684" xr:uid="{00140171-E6B9-4247-B223-9432FDE68C81}"/>
    <cellStyle name="Normal 3 5 6" xfId="294" xr:uid="{B8B9789B-99EB-42F0-B420-AFABAA3FAEED}"/>
    <cellStyle name="Normal 3 5 6 2" xfId="812" xr:uid="{47458C21-69CA-47A2-AFC5-DB5CA53E6314}"/>
    <cellStyle name="Normal 3 5 7" xfId="556" xr:uid="{4966C6CD-4160-4F7E-BFCB-70DDECC4DC45}"/>
    <cellStyle name="Normal 3 6" xfId="46" xr:uid="{CB3DBFB3-0676-4926-AB36-CD8AD3492889}"/>
    <cellStyle name="Normal 3 6 2" xfId="78" xr:uid="{0CC730D5-3AEF-4971-98FD-282AA8197BD2}"/>
    <cellStyle name="Normal 3 6 2 2" xfId="142" xr:uid="{59426E53-CA55-4DE9-B6B1-CB5062C5C3B3}"/>
    <cellStyle name="Normal 3 6 2 2 2" xfId="270" xr:uid="{EDF43AFB-B9C6-48DC-979B-2601C586C111}"/>
    <cellStyle name="Normal 3 6 2 2 2 2" xfId="526" xr:uid="{8F0931BE-3692-459F-A179-FE27BE06DD6C}"/>
    <cellStyle name="Normal 3 6 2 2 2 2 2" xfId="1044" xr:uid="{6FF943FD-5B08-44EA-92F8-FB05AC7BD0B5}"/>
    <cellStyle name="Normal 3 6 2 2 2 3" xfId="788" xr:uid="{F1CBCAD9-9D21-476E-AC36-50B9468BE93D}"/>
    <cellStyle name="Normal 3 6 2 2 3" xfId="398" xr:uid="{85555B62-F472-4228-AA38-1FE2C58E30BC}"/>
    <cellStyle name="Normal 3 6 2 2 3 2" xfId="916" xr:uid="{AA7AED07-8F73-408B-A247-C82104C7FF52}"/>
    <cellStyle name="Normal 3 6 2 2 4" xfId="660" xr:uid="{B2D220B5-86ED-4B17-9922-08171B28C654}"/>
    <cellStyle name="Normal 3 6 2 3" xfId="206" xr:uid="{FA9F32E4-AA7B-48D4-989A-4C8875407B0F}"/>
    <cellStyle name="Normal 3 6 2 3 2" xfId="462" xr:uid="{56ACF219-9CEF-4F30-B5F2-D90B1A1A85D6}"/>
    <cellStyle name="Normal 3 6 2 3 2 2" xfId="980" xr:uid="{D5868E72-5A31-4ECE-9468-C9CC5A3FB538}"/>
    <cellStyle name="Normal 3 6 2 3 3" xfId="724" xr:uid="{47FFBAA2-11AC-430E-A5F0-C14C6633CC13}"/>
    <cellStyle name="Normal 3 6 2 4" xfId="334" xr:uid="{C1D9E372-EE07-48C1-B4D0-09BDB21FED56}"/>
    <cellStyle name="Normal 3 6 2 4 2" xfId="852" xr:uid="{D5ADB543-584F-4718-83EE-C7AFDF941CF5}"/>
    <cellStyle name="Normal 3 6 2 5" xfId="596" xr:uid="{5885396A-8A63-45C2-BF81-6B71F6C55232}"/>
    <cellStyle name="Normal 3 6 3" xfId="110" xr:uid="{CB3FCE04-3132-4564-A04B-DB3A05A8A83B}"/>
    <cellStyle name="Normal 3 6 3 2" xfId="238" xr:uid="{598B6F78-665D-42DC-BD00-45B86E471266}"/>
    <cellStyle name="Normal 3 6 3 2 2" xfId="494" xr:uid="{44C84B6B-8315-4C2B-A768-696A93D539F7}"/>
    <cellStyle name="Normal 3 6 3 2 2 2" xfId="1012" xr:uid="{077C3672-FFC6-4890-A727-CBD598F7F6DA}"/>
    <cellStyle name="Normal 3 6 3 2 3" xfId="756" xr:uid="{1AC8168E-65DA-45B8-B157-F036D453DE58}"/>
    <cellStyle name="Normal 3 6 3 3" xfId="366" xr:uid="{DABE6DBD-AE35-405E-9447-DA76E126FD45}"/>
    <cellStyle name="Normal 3 6 3 3 2" xfId="884" xr:uid="{D0C54749-B217-4E1F-8828-65002B8F0F8A}"/>
    <cellStyle name="Normal 3 6 3 4" xfId="628" xr:uid="{5948BA4C-071E-43D1-9180-3DA3431360D3}"/>
    <cellStyle name="Normal 3 6 4" xfId="174" xr:uid="{3D0E20BA-4FF4-4249-95C4-58B906BDB667}"/>
    <cellStyle name="Normal 3 6 4 2" xfId="430" xr:uid="{9225723D-7DAD-4226-8761-52E6D91273DA}"/>
    <cellStyle name="Normal 3 6 4 2 2" xfId="948" xr:uid="{8DD77963-A758-4CF8-A443-47E259B54A23}"/>
    <cellStyle name="Normal 3 6 4 3" xfId="692" xr:uid="{C177974A-9268-4DA8-B799-BE09E09256EA}"/>
    <cellStyle name="Normal 3 6 5" xfId="302" xr:uid="{3D297F54-DE29-4D6B-BC66-22EAC72B947F}"/>
    <cellStyle name="Normal 3 6 5 2" xfId="820" xr:uid="{78CEC16B-D92C-4BDB-B4BE-54C32AB3565F}"/>
    <cellStyle name="Normal 3 6 6" xfId="564" xr:uid="{5305BDE6-75BA-423C-9016-B4194CB3F6CE}"/>
    <cellStyle name="Normal 3 7" xfId="62" xr:uid="{5DF3C4ED-17FB-4D1D-9AA5-BC7A80CF1B51}"/>
    <cellStyle name="Normal 3 7 2" xfId="126" xr:uid="{F1AA30EA-3911-43C5-8121-8E49E53E6F56}"/>
    <cellStyle name="Normal 3 7 2 2" xfId="254" xr:uid="{7876C098-0A2E-4779-AFAC-9AF3EB1FB1F0}"/>
    <cellStyle name="Normal 3 7 2 2 2" xfId="510" xr:uid="{564C1283-1AAE-415A-9A48-F2E908C87387}"/>
    <cellStyle name="Normal 3 7 2 2 2 2" xfId="1028" xr:uid="{AB219965-8756-4A3B-A663-3777C9C6A4A7}"/>
    <cellStyle name="Normal 3 7 2 2 3" xfId="772" xr:uid="{A202F0B6-7D33-4843-B8B2-7B4769179335}"/>
    <cellStyle name="Normal 3 7 2 3" xfId="382" xr:uid="{2A1EC411-7FA5-4A8D-8BE6-5F3C03B9BB53}"/>
    <cellStyle name="Normal 3 7 2 3 2" xfId="900" xr:uid="{CB594F68-885E-4662-8849-A083CAC2D2FF}"/>
    <cellStyle name="Normal 3 7 2 4" xfId="644" xr:uid="{E6B29645-021D-451D-9F9D-839D6BC20D93}"/>
    <cellStyle name="Normal 3 7 3" xfId="190" xr:uid="{5A290805-00B8-4038-B25D-CAD2FDDD9C7D}"/>
    <cellStyle name="Normal 3 7 3 2" xfId="446" xr:uid="{7328F2B3-98EC-4C08-B490-639B3EB724A2}"/>
    <cellStyle name="Normal 3 7 3 2 2" xfId="964" xr:uid="{0B4D6DF4-CB91-4C85-B0D5-4DD21FEF789C}"/>
    <cellStyle name="Normal 3 7 3 3" xfId="708" xr:uid="{38FDFABB-456B-4A41-B52E-1D8B6F576B84}"/>
    <cellStyle name="Normal 3 7 4" xfId="318" xr:uid="{CE8C582F-DA52-40FD-8AE8-E0C0DE55359E}"/>
    <cellStyle name="Normal 3 7 4 2" xfId="836" xr:uid="{E7AAC585-9FF1-47DF-A266-1CDCB691A587}"/>
    <cellStyle name="Normal 3 7 5" xfId="580" xr:uid="{E79F424A-EC76-41DD-A482-20BCCB5649F2}"/>
    <cellStyle name="Normal 3 8" xfId="94" xr:uid="{CEC862F5-51BA-47E9-BEF3-97E8D9D32C1F}"/>
    <cellStyle name="Normal 3 8 2" xfId="222" xr:uid="{80F4506B-E1CA-468E-B8BE-9D7AF8639FB3}"/>
    <cellStyle name="Normal 3 8 2 2" xfId="478" xr:uid="{340115D9-B4AA-4A8D-822F-A6E32EE84011}"/>
    <cellStyle name="Normal 3 8 2 2 2" xfId="996" xr:uid="{AA829490-DB8B-4B18-93C7-909ABC83B262}"/>
    <cellStyle name="Normal 3 8 2 3" xfId="740" xr:uid="{B020F20C-38BB-4C4F-9131-97FF260D81BC}"/>
    <cellStyle name="Normal 3 8 3" xfId="350" xr:uid="{04D617EA-FE6B-4B62-B445-5D26E4640EDE}"/>
    <cellStyle name="Normal 3 8 3 2" xfId="868" xr:uid="{7FA85716-AFFB-43C0-B23E-266156246788}"/>
    <cellStyle name="Normal 3 8 4" xfId="612" xr:uid="{88F85741-3677-49E4-9D63-502B8E7E7CB0}"/>
    <cellStyle name="Normal 3 9" xfId="158" xr:uid="{23BE54F5-3046-40CD-9000-5BFA5BDCB6A9}"/>
    <cellStyle name="Normal 3 9 2" xfId="414" xr:uid="{9898E220-AC9F-4AE6-8DA4-BEB4433835E2}"/>
    <cellStyle name="Normal 3 9 2 2" xfId="932" xr:uid="{AAD58AAC-11EE-4E79-B476-DB809EB164D7}"/>
    <cellStyle name="Normal 3 9 3" xfId="676" xr:uid="{695751F5-3F1A-4100-BAA3-1307FC09727F}"/>
    <cellStyle name="Normal 4" xfId="18" xr:uid="{61EBD5DD-C710-4010-8BC9-524F409FFCB9}"/>
    <cellStyle name="Normal 5" xfId="542" xr:uid="{086AB22D-DA5D-4781-A087-CA1CD3DBD0F2}"/>
    <cellStyle name="Normal 5 2" xfId="1060" xr:uid="{B5D7603B-D7FA-4686-8298-737EC28ED137}"/>
    <cellStyle name="Normal 6" xfId="545" xr:uid="{0777D32A-A0C9-4B07-9E6C-463AF99EEE43}"/>
    <cellStyle name="Normal 6 2" xfId="1063" xr:uid="{8C4213CA-7470-4D9B-A46E-B7E30F891E06}"/>
    <cellStyle name="Percent" xfId="10" builtinId="5"/>
    <cellStyle name="Percent 2" xfId="11" xr:uid="{00000000-0005-0000-0000-00000B000000}"/>
    <cellStyle name="Percent 2 2" xfId="12" xr:uid="{00000000-0005-0000-0000-00000C000000}"/>
    <cellStyle name="Percent 2 2 2" xfId="26" xr:uid="{4479F696-9113-4F5E-A73E-278C33B3A7EA}"/>
    <cellStyle name="Percent 2 3" xfId="25" xr:uid="{85475FAF-8D16-4300-A3BA-1951F0A306E0}"/>
    <cellStyle name="Percent 3" xfId="13" xr:uid="{00000000-0005-0000-0000-00000D000000}"/>
    <cellStyle name="Percent 3 2" xfId="27" xr:uid="{F1E84C08-6886-4D51-9DB4-BD4385593F3C}"/>
    <cellStyle name="Percent 4" xfId="16" xr:uid="{C72443F8-1CB6-4DC8-8A0A-38A894B9703F}"/>
    <cellStyle name="Percent 4 2" xfId="30" xr:uid="{32795FD5-E5F0-463D-9071-87DDBD43E677}"/>
    <cellStyle name="Percent 5" xfId="544" xr:uid="{3934CC71-B83D-4796-9E18-960D41B22A97}"/>
    <cellStyle name="Percent 5 2" xfId="1062" xr:uid="{2152D89D-73F4-40DF-9B3F-13061A15E7EB}"/>
    <cellStyle name="Percent 6" xfId="547" xr:uid="{D6F08EC6-77B6-40CF-A02E-3BA7C74C4F15}"/>
    <cellStyle name="Percent 6 2" xfId="1065" xr:uid="{E37CC0CD-721F-4EC5-AE7E-E184C719896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66675</xdr:rowOff>
    </xdr:from>
    <xdr:to>
      <xdr:col>0</xdr:col>
      <xdr:colOff>2505075</xdr:colOff>
      <xdr:row>3</xdr:row>
      <xdr:rowOff>76200</xdr:rowOff>
    </xdr:to>
    <xdr:pic>
      <xdr:nvPicPr>
        <xdr:cNvPr id="9561" name="Picture 2">
          <a:extLst>
            <a:ext uri="{FF2B5EF4-FFF2-40B4-BE49-F238E27FC236}">
              <a16:creationId xmlns:a16="http://schemas.microsoft.com/office/drawing/2014/main" id="{FADBEDC3-6590-4B5D-8060-B10AEF010D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66675"/>
          <a:ext cx="241935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1270</xdr:colOff>
      <xdr:row>3</xdr:row>
      <xdr:rowOff>76200</xdr:rowOff>
    </xdr:to>
    <xdr:pic>
      <xdr:nvPicPr>
        <xdr:cNvPr id="8179" name="Picture 2">
          <a:extLst>
            <a:ext uri="{FF2B5EF4-FFF2-40B4-BE49-F238E27FC236}">
              <a16:creationId xmlns:a16="http://schemas.microsoft.com/office/drawing/2014/main" id="{F29B0E2D-BF73-4997-9695-66F4CBA519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66675"/>
          <a:ext cx="21526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66675</xdr:rowOff>
    </xdr:from>
    <xdr:to>
      <xdr:col>1</xdr:col>
      <xdr:colOff>1270</xdr:colOff>
      <xdr:row>3</xdr:row>
      <xdr:rowOff>76200</xdr:rowOff>
    </xdr:to>
    <xdr:pic>
      <xdr:nvPicPr>
        <xdr:cNvPr id="8180" name="Picture 2">
          <a:extLst>
            <a:ext uri="{FF2B5EF4-FFF2-40B4-BE49-F238E27FC236}">
              <a16:creationId xmlns:a16="http://schemas.microsoft.com/office/drawing/2014/main" id="{AF9E09E6-36D7-4B58-BC95-639E298C29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66675"/>
          <a:ext cx="215265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1</xdr:col>
      <xdr:colOff>89694</xdr:colOff>
      <xdr:row>3</xdr:row>
      <xdr:rowOff>47625</xdr:rowOff>
    </xdr:to>
    <xdr:pic>
      <xdr:nvPicPr>
        <xdr:cNvPr id="9" name="Picture 8">
          <a:extLst>
            <a:ext uri="{FF2B5EF4-FFF2-40B4-BE49-F238E27FC236}">
              <a16:creationId xmlns:a16="http://schemas.microsoft.com/office/drawing/2014/main" id="{AE53F3B5-D0DF-47BA-B873-5CBCBBAB6E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8100"/>
          <a:ext cx="204787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85725</xdr:colOff>
      <xdr:row>0</xdr:row>
      <xdr:rowOff>66675</xdr:rowOff>
    </xdr:from>
    <xdr:to>
      <xdr:col>1</xdr:col>
      <xdr:colOff>542925</xdr:colOff>
      <xdr:row>3</xdr:row>
      <xdr:rowOff>66675</xdr:rowOff>
    </xdr:to>
    <xdr:pic>
      <xdr:nvPicPr>
        <xdr:cNvPr id="2" name="Picture 2">
          <a:extLst>
            <a:ext uri="{FF2B5EF4-FFF2-40B4-BE49-F238E27FC236}">
              <a16:creationId xmlns:a16="http://schemas.microsoft.com/office/drawing/2014/main" id="{D1F528D4-835B-43AD-A389-47F84C21D4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66675"/>
          <a:ext cx="241935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95250</xdr:rowOff>
    </xdr:from>
    <xdr:ext cx="1943100" cy="619125"/>
    <xdr:pic>
      <xdr:nvPicPr>
        <xdr:cNvPr id="2" name="Picture 2">
          <a:extLst>
            <a:ext uri="{FF2B5EF4-FFF2-40B4-BE49-F238E27FC236}">
              <a16:creationId xmlns:a16="http://schemas.microsoft.com/office/drawing/2014/main" id="{23C8A736-4DDB-47F7-9C3B-874CE3832D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5250"/>
          <a:ext cx="194310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95250</xdr:rowOff>
    </xdr:from>
    <xdr:ext cx="1943100" cy="619125"/>
    <xdr:pic>
      <xdr:nvPicPr>
        <xdr:cNvPr id="2" name="Picture 2">
          <a:extLst>
            <a:ext uri="{FF2B5EF4-FFF2-40B4-BE49-F238E27FC236}">
              <a16:creationId xmlns:a16="http://schemas.microsoft.com/office/drawing/2014/main" id="{6F39BCA1-7B9A-4A98-976D-05DD27CBEA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5250"/>
          <a:ext cx="194310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4</xdr:col>
      <xdr:colOff>1447800</xdr:colOff>
      <xdr:row>23</xdr:row>
      <xdr:rowOff>85725</xdr:rowOff>
    </xdr:from>
    <xdr:to>
      <xdr:col>20</xdr:col>
      <xdr:colOff>486957</xdr:colOff>
      <xdr:row>42</xdr:row>
      <xdr:rowOff>114733</xdr:rowOff>
    </xdr:to>
    <xdr:pic>
      <xdr:nvPicPr>
        <xdr:cNvPr id="3" name="Picture 2">
          <a:extLst>
            <a:ext uri="{FF2B5EF4-FFF2-40B4-BE49-F238E27FC236}">
              <a16:creationId xmlns:a16="http://schemas.microsoft.com/office/drawing/2014/main" id="{9173E1FE-8E20-3880-4B33-2295E581D3E9}"/>
            </a:ext>
          </a:extLst>
        </xdr:cNvPr>
        <xdr:cNvPicPr>
          <a:picLocks noChangeAspect="1"/>
        </xdr:cNvPicPr>
      </xdr:nvPicPr>
      <xdr:blipFill>
        <a:blip xmlns:r="http://schemas.openxmlformats.org/officeDocument/2006/relationships" r:embed="rId2"/>
        <a:stretch>
          <a:fillRect/>
        </a:stretch>
      </xdr:blipFill>
      <xdr:spPr>
        <a:xfrm>
          <a:off x="9191625" y="3771900"/>
          <a:ext cx="8468907" cy="310558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95250</xdr:rowOff>
    </xdr:from>
    <xdr:ext cx="1943100" cy="619125"/>
    <xdr:pic>
      <xdr:nvPicPr>
        <xdr:cNvPr id="2" name="Picture 2">
          <a:extLst>
            <a:ext uri="{FF2B5EF4-FFF2-40B4-BE49-F238E27FC236}">
              <a16:creationId xmlns:a16="http://schemas.microsoft.com/office/drawing/2014/main" id="{3D198F46-4CD8-417E-8C4E-EF3ABC875F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5250"/>
          <a:ext cx="194310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58"/>
  <sheetViews>
    <sheetView view="pageBreakPreview" topLeftCell="A3" zoomScale="130" zoomScaleNormal="130" zoomScaleSheetLayoutView="130" workbookViewId="0">
      <selection activeCell="A22" sqref="A22:I22"/>
    </sheetView>
  </sheetViews>
  <sheetFormatPr defaultColWidth="9.140625" defaultRowHeight="12" x14ac:dyDescent="0.2"/>
  <cols>
    <col min="1" max="1" width="46.85546875" style="1" customWidth="1"/>
    <col min="2" max="2" width="13.7109375" style="14" customWidth="1"/>
    <col min="3" max="3" width="16.140625" style="14" customWidth="1"/>
    <col min="4" max="4" width="14.5703125" style="14" bestFit="1" customWidth="1"/>
    <col min="5" max="5" width="12.42578125" style="14" customWidth="1"/>
    <col min="6" max="6" width="16.28515625" style="14" customWidth="1"/>
    <col min="7" max="7" width="15.5703125" style="14" bestFit="1" customWidth="1"/>
    <col min="8" max="8" width="16.5703125" style="14" customWidth="1"/>
    <col min="9" max="9" width="11.5703125" style="14" bestFit="1" customWidth="1"/>
    <col min="10" max="10" width="61.140625" style="1" customWidth="1"/>
    <col min="11" max="11" width="9.85546875" style="1" bestFit="1" customWidth="1"/>
    <col min="12" max="12" width="9" style="1" bestFit="1" customWidth="1"/>
    <col min="13" max="15" width="9.140625" style="1"/>
    <col min="16" max="16" width="10.140625" style="1" bestFit="1" customWidth="1"/>
    <col min="17" max="16384" width="9.140625" style="1"/>
  </cols>
  <sheetData>
    <row r="1" spans="1:16" ht="15" x14ac:dyDescent="0.25">
      <c r="A1" s="232" t="s">
        <v>0</v>
      </c>
      <c r="B1" s="232"/>
      <c r="C1" s="232"/>
      <c r="D1" s="232"/>
      <c r="E1" s="232"/>
      <c r="F1" s="232"/>
      <c r="G1" s="232"/>
      <c r="H1" s="232"/>
      <c r="I1" s="232"/>
    </row>
    <row r="2" spans="1:16" ht="17.25" customHeight="1" x14ac:dyDescent="0.25">
      <c r="A2" s="234" t="s">
        <v>1</v>
      </c>
      <c r="B2" s="234"/>
      <c r="C2" s="234"/>
      <c r="D2" s="234"/>
      <c r="E2" s="234"/>
      <c r="F2" s="234"/>
      <c r="G2" s="234"/>
      <c r="H2" s="234"/>
      <c r="I2" s="234"/>
    </row>
    <row r="3" spans="1:16" ht="15" x14ac:dyDescent="0.25">
      <c r="A3" s="236" t="s">
        <v>118</v>
      </c>
      <c r="B3" s="236"/>
      <c r="C3" s="236"/>
      <c r="D3" s="236"/>
      <c r="E3" s="236"/>
      <c r="F3" s="236"/>
      <c r="G3" s="236"/>
      <c r="H3" s="236"/>
      <c r="I3" s="236"/>
    </row>
    <row r="4" spans="1:16" ht="10.5" customHeight="1" x14ac:dyDescent="0.2">
      <c r="A4" s="237"/>
      <c r="B4" s="237"/>
      <c r="C4" s="237"/>
      <c r="D4" s="237"/>
      <c r="E4" s="237"/>
      <c r="F4" s="237"/>
      <c r="G4" s="237"/>
      <c r="H4" s="237"/>
      <c r="I4" s="237"/>
      <c r="P4" s="26"/>
    </row>
    <row r="5" spans="1:16" s="2" customFormat="1" ht="9.75" customHeight="1" x14ac:dyDescent="0.2">
      <c r="A5" s="17"/>
      <c r="B5" s="18"/>
      <c r="C5" s="18"/>
      <c r="D5" s="18"/>
      <c r="E5" s="18"/>
      <c r="F5" s="18"/>
      <c r="G5" s="18"/>
      <c r="H5" s="18"/>
      <c r="I5" s="19"/>
      <c r="J5" s="1"/>
      <c r="K5" s="26"/>
      <c r="L5" s="26"/>
      <c r="M5" s="26"/>
      <c r="N5" s="26"/>
      <c r="O5" s="26"/>
      <c r="P5" s="26"/>
    </row>
    <row r="6" spans="1:16" s="2" customFormat="1" ht="12.75" customHeight="1" x14ac:dyDescent="0.2">
      <c r="A6" s="125" t="s">
        <v>2</v>
      </c>
      <c r="B6" s="244" t="s">
        <v>3</v>
      </c>
      <c r="C6" s="244"/>
      <c r="D6" s="124"/>
      <c r="E6" s="124"/>
      <c r="F6" s="124"/>
      <c r="G6" s="124"/>
      <c r="H6" s="124"/>
      <c r="I6" s="21"/>
      <c r="J6" s="1"/>
      <c r="K6" s="26"/>
      <c r="L6" s="26"/>
      <c r="M6" s="26"/>
      <c r="N6" s="26"/>
      <c r="O6" s="26"/>
      <c r="P6" s="26"/>
    </row>
    <row r="7" spans="1:16" s="2" customFormat="1" ht="12.75" x14ac:dyDescent="0.2">
      <c r="A7" s="125" t="s">
        <v>4</v>
      </c>
      <c r="B7" s="244" t="s">
        <v>5</v>
      </c>
      <c r="C7" s="244"/>
      <c r="D7" s="245"/>
      <c r="E7" s="245"/>
      <c r="F7" s="105"/>
      <c r="G7" s="162" t="s">
        <v>6</v>
      </c>
      <c r="H7" s="163">
        <v>50133</v>
      </c>
      <c r="I7" s="21"/>
      <c r="J7" s="1"/>
      <c r="K7" s="26"/>
      <c r="L7" s="26"/>
      <c r="M7" s="26"/>
      <c r="N7" s="26"/>
      <c r="O7" s="26"/>
      <c r="P7" s="26"/>
    </row>
    <row r="8" spans="1:16" s="2" customFormat="1" ht="12.75" x14ac:dyDescent="0.2">
      <c r="A8" s="20"/>
      <c r="B8" s="253"/>
      <c r="C8" s="253"/>
      <c r="D8" s="106"/>
      <c r="E8" s="106"/>
      <c r="F8" s="106"/>
      <c r="G8" s="162" t="s">
        <v>7</v>
      </c>
      <c r="H8" s="164">
        <v>0.81410000000000005</v>
      </c>
      <c r="I8" s="21"/>
      <c r="J8" s="26"/>
      <c r="K8" s="26"/>
      <c r="L8" s="1"/>
      <c r="M8" s="26"/>
      <c r="N8" s="26"/>
      <c r="O8" s="26"/>
      <c r="P8" s="26"/>
    </row>
    <row r="9" spans="1:16" s="2" customFormat="1" ht="12.75" x14ac:dyDescent="0.2">
      <c r="A9" s="134"/>
      <c r="B9" s="135"/>
      <c r="C9" s="135"/>
      <c r="D9" s="135"/>
      <c r="E9" s="135"/>
      <c r="F9" s="135"/>
      <c r="G9" s="165" t="s">
        <v>8</v>
      </c>
      <c r="H9" s="164">
        <v>0.81410000000000005</v>
      </c>
      <c r="I9" s="83"/>
      <c r="J9" s="26"/>
      <c r="K9" s="26"/>
      <c r="L9" s="1"/>
      <c r="M9" s="26"/>
      <c r="N9" s="26"/>
      <c r="O9" s="26"/>
      <c r="P9" s="26"/>
    </row>
    <row r="10" spans="1:16" s="6" customFormat="1" ht="13.5" customHeight="1" x14ac:dyDescent="0.2">
      <c r="A10" s="3"/>
      <c r="B10" s="26"/>
      <c r="C10" s="4"/>
      <c r="D10" s="4"/>
      <c r="E10" s="4"/>
      <c r="F10" s="4"/>
      <c r="G10" s="107"/>
      <c r="H10" s="108"/>
      <c r="I10" s="5"/>
    </row>
    <row r="11" spans="1:16" ht="13.5" customHeight="1" x14ac:dyDescent="0.2">
      <c r="A11" s="254"/>
      <c r="B11" s="254"/>
      <c r="C11" s="254"/>
      <c r="D11" s="254"/>
      <c r="E11" s="254"/>
      <c r="F11" s="254"/>
      <c r="G11" s="254"/>
      <c r="H11" s="254"/>
      <c r="I11" s="254"/>
    </row>
    <row r="12" spans="1:16" ht="30" x14ac:dyDescent="0.25">
      <c r="A12" s="7" t="s">
        <v>9</v>
      </c>
      <c r="B12" s="8" t="s">
        <v>10</v>
      </c>
      <c r="C12" s="8" t="s">
        <v>11</v>
      </c>
      <c r="D12" s="9" t="s">
        <v>12</v>
      </c>
      <c r="E12" s="9" t="s">
        <v>13</v>
      </c>
      <c r="F12" s="8" t="s">
        <v>14</v>
      </c>
      <c r="G12" s="8" t="s">
        <v>15</v>
      </c>
      <c r="H12" s="9" t="s">
        <v>12</v>
      </c>
      <c r="I12" s="10" t="s">
        <v>13</v>
      </c>
    </row>
    <row r="13" spans="1:16" ht="15.75" customHeight="1" x14ac:dyDescent="0.2">
      <c r="A13" s="45" t="s">
        <v>16</v>
      </c>
      <c r="B13" s="46">
        <v>352489.67</v>
      </c>
      <c r="C13" s="46">
        <v>312627</v>
      </c>
      <c r="D13" s="46">
        <f>+B13-C13</f>
        <v>39862.669999999984</v>
      </c>
      <c r="E13" s="47">
        <f t="shared" ref="E13:E18" si="0">IF(C13=0,"N/A",D13/C13)</f>
        <v>0.12750872445438169</v>
      </c>
      <c r="F13" s="46">
        <v>943201.72</v>
      </c>
      <c r="G13" s="46">
        <v>937277</v>
      </c>
      <c r="H13" s="46">
        <f>+F13-G13</f>
        <v>5924.7199999999721</v>
      </c>
      <c r="I13" s="47">
        <f t="shared" ref="I13:I17" si="1">IF(G13=0,"N/A",H13/G13)</f>
        <v>6.3212049372810518E-3</v>
      </c>
    </row>
    <row r="14" spans="1:16" ht="15.75" customHeight="1" x14ac:dyDescent="0.2">
      <c r="A14" s="45" t="s">
        <v>17</v>
      </c>
      <c r="B14" s="46">
        <v>113264.03</v>
      </c>
      <c r="C14" s="46">
        <v>114768.91</v>
      </c>
      <c r="D14" s="46">
        <f>+C14-B14</f>
        <v>1504.8800000000047</v>
      </c>
      <c r="E14" s="47">
        <f t="shared" si="0"/>
        <v>1.3112261848613921E-2</v>
      </c>
      <c r="F14" s="46">
        <v>412739.25</v>
      </c>
      <c r="G14" s="46">
        <v>454327.83</v>
      </c>
      <c r="H14" s="46">
        <f>+G14-F14</f>
        <v>41588.580000000016</v>
      </c>
      <c r="I14" s="47">
        <f t="shared" si="1"/>
        <v>9.1538702350679277E-2</v>
      </c>
    </row>
    <row r="15" spans="1:16" ht="15.75" customHeight="1" x14ac:dyDescent="0.2">
      <c r="A15" s="48" t="s">
        <v>18</v>
      </c>
      <c r="B15" s="49">
        <f>+B13-B14</f>
        <v>239225.63999999998</v>
      </c>
      <c r="C15" s="49">
        <f>+C13-C14</f>
        <v>197858.09</v>
      </c>
      <c r="D15" s="49">
        <f>+B15-C15</f>
        <v>41367.549999999988</v>
      </c>
      <c r="E15" s="50">
        <f t="shared" si="0"/>
        <v>0.20907686918437346</v>
      </c>
      <c r="F15" s="49">
        <f>+F13-F14</f>
        <v>530462.47</v>
      </c>
      <c r="G15" s="49">
        <f>+G13-G14</f>
        <v>482949.17</v>
      </c>
      <c r="H15" s="49">
        <f>+F15-G15</f>
        <v>47513.299999999988</v>
      </c>
      <c r="I15" s="50">
        <f t="shared" si="1"/>
        <v>9.8381575021652873E-2</v>
      </c>
    </row>
    <row r="16" spans="1:16" ht="15.75" customHeight="1" x14ac:dyDescent="0.2">
      <c r="A16" s="51" t="s">
        <v>19</v>
      </c>
      <c r="B16" s="46">
        <v>-728448.65</v>
      </c>
      <c r="C16" s="46">
        <v>7175</v>
      </c>
      <c r="D16" s="46">
        <f>C16-B16</f>
        <v>735623.65</v>
      </c>
      <c r="E16" s="47">
        <f t="shared" si="0"/>
        <v>102.52594425087108</v>
      </c>
      <c r="F16" s="46">
        <v>-709164.27</v>
      </c>
      <c r="G16" s="46">
        <v>15825</v>
      </c>
      <c r="H16" s="46">
        <f>G16-F16</f>
        <v>724989.27</v>
      </c>
      <c r="I16" s="47">
        <f>IF(G16=0,"N/A",H16/G16)</f>
        <v>45.81290805687204</v>
      </c>
    </row>
    <row r="17" spans="1:18" ht="15.75" customHeight="1" x14ac:dyDescent="0.2">
      <c r="A17" s="52" t="s">
        <v>20</v>
      </c>
      <c r="B17" s="49">
        <f>+B15-B16</f>
        <v>967674.29</v>
      </c>
      <c r="C17" s="49">
        <f>+C15-C16</f>
        <v>190683.09</v>
      </c>
      <c r="D17" s="49">
        <f>+D15+D16</f>
        <v>776991.2</v>
      </c>
      <c r="E17" s="50">
        <f t="shared" si="0"/>
        <v>4.0747776847962758</v>
      </c>
      <c r="F17" s="49">
        <f>+F15-F16</f>
        <v>1239626.74</v>
      </c>
      <c r="G17" s="49">
        <f>+G15-G16</f>
        <v>467124.17</v>
      </c>
      <c r="H17" s="49">
        <f>+H15+H16</f>
        <v>772502.57000000007</v>
      </c>
      <c r="I17" s="50">
        <f t="shared" si="1"/>
        <v>1.6537413810122479</v>
      </c>
    </row>
    <row r="18" spans="1:18" s="2" customFormat="1" ht="15.75" customHeight="1" x14ac:dyDescent="0.2">
      <c r="A18" s="51" t="s">
        <v>21</v>
      </c>
      <c r="B18" s="46">
        <v>24080.69</v>
      </c>
      <c r="C18" s="46">
        <v>16936</v>
      </c>
      <c r="D18" s="46">
        <f>C18-B18</f>
        <v>-7144.6899999999987</v>
      </c>
      <c r="E18" s="47">
        <f t="shared" si="0"/>
        <v>-0.42186407652338209</v>
      </c>
      <c r="F18" s="46">
        <v>55327.67</v>
      </c>
      <c r="G18" s="46">
        <v>50774</v>
      </c>
      <c r="H18" s="46">
        <f>+G18-F18</f>
        <v>-4553.6699999999983</v>
      </c>
      <c r="I18" s="47">
        <f>IF(G18=0,"N/A",H18/G18)</f>
        <v>-8.9685075038405448E-2</v>
      </c>
      <c r="J18" s="27"/>
      <c r="K18" s="27"/>
      <c r="L18" s="27"/>
      <c r="M18" s="27"/>
      <c r="N18" s="1"/>
      <c r="O18" s="26"/>
      <c r="P18" s="26"/>
      <c r="Q18" s="26"/>
      <c r="R18" s="26"/>
    </row>
    <row r="19" spans="1:18" s="2" customFormat="1" ht="15.75" customHeight="1" x14ac:dyDescent="0.2">
      <c r="A19" s="51" t="s">
        <v>22</v>
      </c>
      <c r="B19" s="46">
        <v>132418.95000000001</v>
      </c>
      <c r="C19" s="46">
        <v>160833</v>
      </c>
      <c r="D19" s="46">
        <f>C19-B19</f>
        <v>28414.049999999988</v>
      </c>
      <c r="E19" s="47">
        <f>IF(C19=0,"N/A",D19/C19)</f>
        <v>0.17666803454514923</v>
      </c>
      <c r="F19" s="46">
        <v>431956.33</v>
      </c>
      <c r="G19" s="46">
        <v>482499</v>
      </c>
      <c r="H19" s="46">
        <f>+G19-F19</f>
        <v>50542.669999999984</v>
      </c>
      <c r="I19" s="47">
        <f>IF(G19=0,"N/A",H19/G19)</f>
        <v>0.10475186477070415</v>
      </c>
      <c r="J19" s="28"/>
      <c r="K19" s="28"/>
      <c r="L19" s="28"/>
      <c r="M19" s="28"/>
      <c r="N19" s="1"/>
      <c r="O19" s="26"/>
      <c r="P19" s="26"/>
      <c r="Q19" s="26"/>
      <c r="R19" s="26"/>
    </row>
    <row r="20" spans="1:18" s="2" customFormat="1" ht="15" customHeight="1" thickBot="1" x14ac:dyDescent="0.25">
      <c r="A20" s="53" t="s">
        <v>23</v>
      </c>
      <c r="B20" s="54">
        <f>+B17-B18-B19</f>
        <v>811174.65000000014</v>
      </c>
      <c r="C20" s="54">
        <f>+C17-C18-C19</f>
        <v>12914.089999999997</v>
      </c>
      <c r="D20" s="54">
        <f>+D17+D18+D19</f>
        <v>798260.56</v>
      </c>
      <c r="E20" s="131">
        <f>IF(C20=0,"N/A",D20/C20)</f>
        <v>61.813148274481613</v>
      </c>
      <c r="F20" s="54">
        <f>+F17-F18-F19</f>
        <v>752342.74</v>
      </c>
      <c r="G20" s="54">
        <f>+G17-G18-G19</f>
        <v>-66148.830000000016</v>
      </c>
      <c r="H20" s="54">
        <f>+H17+H18+H19</f>
        <v>818491.57000000007</v>
      </c>
      <c r="I20" s="131">
        <f>IF(G20=0,"N/A",H20/G20)</f>
        <v>-12.373485215082411</v>
      </c>
      <c r="J20" s="28"/>
      <c r="K20" s="28"/>
      <c r="L20" s="28"/>
      <c r="M20" s="28"/>
      <c r="N20" s="26"/>
      <c r="O20" s="26"/>
      <c r="P20" s="26"/>
      <c r="Q20" s="26"/>
      <c r="R20" s="26"/>
    </row>
    <row r="21" spans="1:18" s="11" customFormat="1" ht="15" customHeight="1" thickTop="1" x14ac:dyDescent="0.25">
      <c r="A21" s="102" t="s">
        <v>24</v>
      </c>
      <c r="B21" s="103"/>
      <c r="C21" s="103"/>
      <c r="D21" s="103"/>
      <c r="E21" s="103"/>
      <c r="F21" s="103"/>
      <c r="G21" s="103"/>
      <c r="H21" s="103"/>
      <c r="I21" s="104"/>
      <c r="J21" s="22"/>
      <c r="K21" s="22"/>
      <c r="L21" s="22"/>
      <c r="M21" s="22"/>
      <c r="N21" s="15"/>
      <c r="O21" s="15"/>
      <c r="P21" s="15"/>
      <c r="Q21" s="15"/>
      <c r="R21" s="15"/>
    </row>
    <row r="22" spans="1:18" s="11" customFormat="1" ht="137.25" customHeight="1" x14ac:dyDescent="0.2">
      <c r="A22" s="248" t="s">
        <v>128</v>
      </c>
      <c r="B22" s="269"/>
      <c r="C22" s="269"/>
      <c r="D22" s="269"/>
      <c r="E22" s="269"/>
      <c r="F22" s="269"/>
      <c r="G22" s="269"/>
      <c r="H22" s="269"/>
      <c r="I22" s="270"/>
      <c r="J22" s="22"/>
      <c r="K22" s="22"/>
      <c r="L22" s="22"/>
      <c r="M22" s="22"/>
      <c r="N22" s="15"/>
      <c r="O22" s="15"/>
      <c r="P22" s="15"/>
      <c r="Q22" s="15"/>
      <c r="R22" s="15"/>
    </row>
    <row r="23" spans="1:18" s="11" customFormat="1" ht="96.75" customHeight="1" x14ac:dyDescent="0.2">
      <c r="A23" s="248" t="s">
        <v>129</v>
      </c>
      <c r="B23" s="269"/>
      <c r="C23" s="269"/>
      <c r="D23" s="269"/>
      <c r="E23" s="269"/>
      <c r="F23" s="269"/>
      <c r="G23" s="269"/>
      <c r="H23" s="269"/>
      <c r="I23" s="270"/>
      <c r="J23" s="23"/>
      <c r="K23" s="23"/>
      <c r="L23" s="23"/>
      <c r="M23" s="23"/>
      <c r="N23" s="23"/>
      <c r="O23" s="23"/>
      <c r="P23" s="23"/>
      <c r="Q23" s="23"/>
      <c r="R23" s="23"/>
    </row>
    <row r="24" spans="1:18" s="11" customFormat="1" ht="15.6" customHeight="1" x14ac:dyDescent="0.25">
      <c r="A24" s="30" t="s">
        <v>25</v>
      </c>
      <c r="B24" s="31"/>
      <c r="C24" s="31"/>
      <c r="D24" s="31"/>
      <c r="E24" s="31"/>
      <c r="F24" s="31"/>
      <c r="G24" s="31"/>
      <c r="H24" s="31"/>
      <c r="I24" s="32"/>
      <c r="J24" s="15"/>
      <c r="K24" s="15"/>
      <c r="L24" s="15"/>
      <c r="M24" s="15"/>
      <c r="N24" s="15"/>
      <c r="O24" s="15"/>
      <c r="P24" s="15"/>
      <c r="Q24" s="15"/>
      <c r="R24" s="15"/>
    </row>
    <row r="25" spans="1:18" s="11" customFormat="1" ht="45.75" customHeight="1" x14ac:dyDescent="0.2">
      <c r="A25" s="255" t="s">
        <v>123</v>
      </c>
      <c r="B25" s="256"/>
      <c r="C25" s="256"/>
      <c r="D25" s="256"/>
      <c r="E25" s="256"/>
      <c r="F25" s="256"/>
      <c r="G25" s="256"/>
      <c r="H25" s="256"/>
      <c r="I25" s="257"/>
      <c r="J25" s="15"/>
      <c r="K25" s="15"/>
      <c r="L25" s="15"/>
      <c r="M25" s="15"/>
      <c r="N25" s="15"/>
      <c r="O25" s="15"/>
      <c r="P25" s="15"/>
      <c r="Q25" s="15"/>
      <c r="R25" s="15"/>
    </row>
    <row r="26" spans="1:18" s="11" customFormat="1" ht="141" customHeight="1" x14ac:dyDescent="0.2">
      <c r="A26" s="255" t="s">
        <v>126</v>
      </c>
      <c r="B26" s="256"/>
      <c r="C26" s="256"/>
      <c r="D26" s="256"/>
      <c r="E26" s="256"/>
      <c r="F26" s="256"/>
      <c r="G26" s="256"/>
      <c r="H26" s="256"/>
      <c r="I26" s="257"/>
      <c r="J26" s="198"/>
      <c r="K26" s="15">
        <f>31.8+34+74-47</f>
        <v>92.800000000000011</v>
      </c>
      <c r="L26" s="15">
        <f>4+3.3+8.2+37+13.5</f>
        <v>66</v>
      </c>
      <c r="M26" s="15">
        <f>43652+159+9294+4177+16851</f>
        <v>74133</v>
      </c>
      <c r="N26" s="15">
        <f>26+24+10+23-13-15+4+5</f>
        <v>64</v>
      </c>
      <c r="O26" s="15"/>
      <c r="P26" s="15">
        <f>43652+1559.45+9294.52+4177.85+5166.54</f>
        <v>63850.36</v>
      </c>
      <c r="Q26" s="15"/>
      <c r="R26" s="15"/>
    </row>
    <row r="27" spans="1:18" s="11" customFormat="1" ht="15" x14ac:dyDescent="0.25">
      <c r="A27" s="29" t="s">
        <v>26</v>
      </c>
      <c r="B27" s="73"/>
      <c r="C27" s="73"/>
      <c r="D27" s="73"/>
      <c r="E27" s="73"/>
      <c r="F27" s="73"/>
      <c r="G27" s="73"/>
      <c r="H27" s="73"/>
      <c r="I27" s="74"/>
      <c r="J27" s="15"/>
      <c r="K27" s="15"/>
      <c r="L27" s="15"/>
      <c r="M27" s="15"/>
      <c r="N27" s="15"/>
      <c r="O27" s="15"/>
      <c r="P27" s="15"/>
      <c r="Q27" s="15"/>
      <c r="R27" s="15"/>
    </row>
    <row r="28" spans="1:18" s="12" customFormat="1" ht="76.5" customHeight="1" x14ac:dyDescent="0.2">
      <c r="A28" s="255" t="s">
        <v>124</v>
      </c>
      <c r="B28" s="256"/>
      <c r="C28" s="256"/>
      <c r="D28" s="256"/>
      <c r="E28" s="256"/>
      <c r="F28" s="256"/>
      <c r="G28" s="256"/>
      <c r="H28" s="256"/>
      <c r="I28" s="257"/>
      <c r="J28" s="24"/>
      <c r="K28" s="24"/>
      <c r="L28" s="24"/>
      <c r="M28" s="24"/>
      <c r="N28" s="24"/>
      <c r="O28" s="24"/>
      <c r="P28" s="24"/>
      <c r="Q28" s="24"/>
      <c r="R28" s="24"/>
    </row>
    <row r="29" spans="1:18" s="12" customFormat="1" ht="86.25" customHeight="1" x14ac:dyDescent="0.2">
      <c r="A29" s="255" t="s">
        <v>125</v>
      </c>
      <c r="B29" s="256"/>
      <c r="C29" s="256"/>
      <c r="D29" s="256"/>
      <c r="E29" s="256"/>
      <c r="F29" s="256"/>
      <c r="G29" s="256"/>
      <c r="H29" s="256"/>
      <c r="I29" s="257"/>
      <c r="J29" s="24"/>
      <c r="K29" s="24"/>
      <c r="L29" s="24"/>
      <c r="M29" s="24"/>
      <c r="N29" s="24"/>
      <c r="O29" s="24"/>
      <c r="P29" s="24"/>
      <c r="Q29" s="24"/>
      <c r="R29" s="24"/>
    </row>
    <row r="30" spans="1:18" s="12" customFormat="1" ht="14.25" hidden="1" x14ac:dyDescent="0.2">
      <c r="A30" s="141"/>
      <c r="B30" s="142"/>
      <c r="C30" s="142"/>
      <c r="D30" s="142"/>
      <c r="E30" s="142"/>
      <c r="F30" s="142"/>
      <c r="G30" s="142"/>
      <c r="H30" s="142"/>
      <c r="I30" s="143"/>
      <c r="J30" s="24"/>
      <c r="K30" s="24"/>
      <c r="L30" s="24"/>
      <c r="M30" s="24"/>
      <c r="N30" s="24"/>
      <c r="O30" s="24"/>
      <c r="P30" s="24"/>
      <c r="Q30" s="24"/>
      <c r="R30" s="24"/>
    </row>
    <row r="31" spans="1:18" s="11" customFormat="1" ht="14.25" hidden="1" x14ac:dyDescent="0.2">
      <c r="A31" s="148"/>
      <c r="B31" s="144"/>
      <c r="C31" s="144"/>
      <c r="D31" s="144"/>
      <c r="E31" s="144"/>
      <c r="F31" s="144"/>
      <c r="G31" s="144"/>
      <c r="H31" s="144"/>
      <c r="I31" s="145"/>
      <c r="J31" s="15"/>
      <c r="K31" s="15"/>
      <c r="L31" s="15"/>
      <c r="M31" s="15"/>
      <c r="N31" s="15"/>
      <c r="O31" s="15"/>
      <c r="P31" s="15"/>
      <c r="Q31" s="15"/>
      <c r="R31" s="15"/>
    </row>
    <row r="32" spans="1:18" s="11" customFormat="1" ht="14.25" customHeight="1" x14ac:dyDescent="0.25">
      <c r="A32" s="96" t="s">
        <v>27</v>
      </c>
      <c r="B32" s="93"/>
      <c r="C32" s="93"/>
      <c r="D32" s="93"/>
      <c r="E32" s="93"/>
      <c r="F32" s="93"/>
      <c r="G32" s="93"/>
      <c r="H32" s="93"/>
      <c r="I32" s="94"/>
      <c r="J32" s="15"/>
      <c r="K32" s="15"/>
      <c r="L32" s="15"/>
      <c r="M32" s="15"/>
      <c r="N32" s="15"/>
      <c r="O32" s="15"/>
      <c r="P32" s="15"/>
      <c r="Q32" s="15"/>
      <c r="R32" s="15"/>
    </row>
    <row r="33" spans="1:18" s="13" customFormat="1" ht="180.75" customHeight="1" x14ac:dyDescent="0.2">
      <c r="A33" s="197" t="s">
        <v>28</v>
      </c>
      <c r="B33" s="250" t="s">
        <v>120</v>
      </c>
      <c r="C33" s="251"/>
      <c r="D33" s="251"/>
      <c r="E33" s="251"/>
      <c r="F33" s="251"/>
      <c r="G33" s="251"/>
      <c r="H33" s="251"/>
      <c r="I33" s="252"/>
      <c r="J33" s="25"/>
      <c r="K33" s="25"/>
      <c r="L33" s="25"/>
      <c r="M33" s="25"/>
      <c r="N33" s="25"/>
      <c r="O33" s="25"/>
      <c r="P33" s="25"/>
      <c r="Q33" s="25"/>
      <c r="R33" s="25"/>
    </row>
    <row r="34" spans="1:18" s="13" customFormat="1" ht="97.5" customHeight="1" x14ac:dyDescent="0.2">
      <c r="A34" s="197" t="s">
        <v>29</v>
      </c>
      <c r="B34" s="250" t="s">
        <v>30</v>
      </c>
      <c r="C34" s="251"/>
      <c r="D34" s="251"/>
      <c r="E34" s="251"/>
      <c r="F34" s="251"/>
      <c r="G34" s="251"/>
      <c r="H34" s="251"/>
      <c r="I34" s="252"/>
      <c r="J34" s="25"/>
      <c r="K34" s="25"/>
      <c r="L34" s="25"/>
      <c r="M34" s="25"/>
      <c r="N34" s="25"/>
      <c r="O34" s="25"/>
      <c r="P34" s="25"/>
      <c r="Q34" s="25"/>
      <c r="R34" s="25"/>
    </row>
    <row r="35" spans="1:18" s="25" customFormat="1" ht="17.25" customHeight="1" x14ac:dyDescent="0.2">
      <c r="A35" s="246" t="s">
        <v>31</v>
      </c>
      <c r="B35" s="246"/>
      <c r="C35" s="246"/>
      <c r="D35" s="246"/>
      <c r="E35" s="246"/>
      <c r="F35" s="246"/>
      <c r="G35" s="246"/>
      <c r="H35" s="246"/>
      <c r="I35" s="246"/>
      <c r="J35" s="247"/>
    </row>
    <row r="36" spans="1:18" s="25" customFormat="1" ht="79.5" customHeight="1" x14ac:dyDescent="0.2">
      <c r="A36" s="195" t="s">
        <v>32</v>
      </c>
      <c r="B36" s="248" t="s">
        <v>110</v>
      </c>
      <c r="C36" s="240"/>
      <c r="D36" s="240"/>
      <c r="E36" s="240"/>
      <c r="F36" s="240"/>
      <c r="G36" s="240"/>
      <c r="H36" s="240"/>
      <c r="I36" s="240"/>
      <c r="J36" s="249"/>
    </row>
    <row r="37" spans="1:18" s="13" customFormat="1" ht="106.5" customHeight="1" x14ac:dyDescent="0.2">
      <c r="A37" s="196" t="s">
        <v>33</v>
      </c>
      <c r="B37" s="240" t="s">
        <v>112</v>
      </c>
      <c r="C37" s="241"/>
      <c r="D37" s="241"/>
      <c r="E37" s="241"/>
      <c r="F37" s="241"/>
      <c r="G37" s="241"/>
      <c r="H37" s="241"/>
      <c r="I37" s="242"/>
      <c r="J37" s="25"/>
      <c r="K37" s="25"/>
      <c r="L37" s="25"/>
      <c r="M37" s="25"/>
      <c r="N37" s="25"/>
      <c r="O37" s="25"/>
      <c r="P37" s="25"/>
      <c r="Q37" s="25"/>
      <c r="R37" s="25"/>
    </row>
    <row r="38" spans="1:18" s="13" customFormat="1" ht="16.5" customHeight="1" x14ac:dyDescent="0.2">
      <c r="A38" s="243" t="s">
        <v>34</v>
      </c>
      <c r="B38" s="243"/>
      <c r="C38" s="243"/>
      <c r="D38" s="243"/>
      <c r="E38" s="243"/>
      <c r="F38" s="243"/>
      <c r="G38" s="243"/>
      <c r="H38" s="243"/>
      <c r="I38" s="243"/>
      <c r="J38" s="25"/>
      <c r="K38" s="25"/>
      <c r="L38" s="25"/>
      <c r="M38" s="25"/>
      <c r="N38" s="25"/>
      <c r="O38" s="25"/>
      <c r="P38" s="25"/>
      <c r="Q38" s="25"/>
      <c r="R38" s="25"/>
    </row>
    <row r="39" spans="1:18" s="13" customFormat="1" ht="101.25" hidden="1" customHeight="1" x14ac:dyDescent="0.2">
      <c r="A39" s="149" t="s">
        <v>35</v>
      </c>
      <c r="B39" s="271" t="s">
        <v>36</v>
      </c>
      <c r="C39" s="272"/>
      <c r="D39" s="272"/>
      <c r="E39" s="272"/>
      <c r="F39" s="272"/>
      <c r="G39" s="272"/>
      <c r="H39" s="272"/>
      <c r="I39" s="273"/>
      <c r="J39" s="25"/>
      <c r="K39" s="25"/>
      <c r="L39" s="25"/>
      <c r="M39" s="25"/>
      <c r="N39" s="25"/>
      <c r="O39" s="25"/>
      <c r="P39" s="25"/>
      <c r="Q39" s="25"/>
      <c r="R39" s="25"/>
    </row>
    <row r="40" spans="1:18" s="13" customFormat="1" ht="84.75" customHeight="1" x14ac:dyDescent="0.2">
      <c r="A40" s="196" t="s">
        <v>37</v>
      </c>
      <c r="B40" s="240" t="s">
        <v>113</v>
      </c>
      <c r="C40" s="241"/>
      <c r="D40" s="241"/>
      <c r="E40" s="241"/>
      <c r="F40" s="241"/>
      <c r="G40" s="241"/>
      <c r="H40" s="241"/>
      <c r="I40" s="242"/>
      <c r="J40" s="25"/>
      <c r="K40" s="25"/>
      <c r="L40" s="25"/>
      <c r="M40" s="25"/>
      <c r="N40" s="25"/>
      <c r="O40" s="25"/>
      <c r="P40" s="25"/>
      <c r="Q40" s="25"/>
      <c r="R40" s="25"/>
    </row>
    <row r="41" spans="1:18" s="11" customFormat="1" ht="13.5" customHeight="1" x14ac:dyDescent="0.2">
      <c r="A41" s="274" t="s">
        <v>38</v>
      </c>
      <c r="B41" s="275"/>
      <c r="C41" s="275"/>
      <c r="D41" s="275"/>
      <c r="E41" s="275"/>
      <c r="F41" s="275"/>
      <c r="G41" s="275"/>
      <c r="H41" s="275"/>
      <c r="I41" s="276"/>
      <c r="J41" s="15"/>
      <c r="K41" s="15"/>
      <c r="L41" s="15"/>
      <c r="M41" s="15"/>
      <c r="N41" s="15"/>
      <c r="O41" s="15"/>
      <c r="P41" s="15"/>
      <c r="Q41" s="15"/>
      <c r="R41" s="15"/>
    </row>
    <row r="42" spans="1:18" s="13" customFormat="1" ht="212.25" customHeight="1" x14ac:dyDescent="0.2">
      <c r="A42" s="277" t="s">
        <v>130</v>
      </c>
      <c r="B42" s="278"/>
      <c r="C42" s="278"/>
      <c r="D42" s="278"/>
      <c r="E42" s="278"/>
      <c r="F42" s="278"/>
      <c r="G42" s="278"/>
      <c r="H42" s="278"/>
      <c r="I42" s="279"/>
      <c r="J42" s="25"/>
      <c r="K42" s="25"/>
      <c r="L42" s="25"/>
      <c r="M42" s="25"/>
      <c r="N42" s="25"/>
      <c r="O42" s="25"/>
      <c r="P42" s="25"/>
      <c r="Q42" s="25"/>
      <c r="R42" s="25"/>
    </row>
    <row r="43" spans="1:18" s="13" customFormat="1" ht="13.5" customHeight="1" x14ac:dyDescent="0.2">
      <c r="A43" s="258" t="s">
        <v>39</v>
      </c>
      <c r="B43" s="259"/>
      <c r="C43" s="259"/>
      <c r="D43" s="259"/>
      <c r="E43" s="259"/>
      <c r="F43" s="259"/>
      <c r="G43" s="259"/>
      <c r="H43" s="259"/>
      <c r="I43" s="260"/>
      <c r="J43" s="25"/>
      <c r="K43" s="25"/>
      <c r="L43" s="25"/>
      <c r="M43" s="25"/>
      <c r="N43" s="25"/>
      <c r="O43" s="25"/>
      <c r="P43" s="25"/>
      <c r="Q43" s="25"/>
      <c r="R43" s="25"/>
    </row>
    <row r="44" spans="1:18" s="13" customFormat="1" ht="273.75" customHeight="1" x14ac:dyDescent="0.2">
      <c r="A44" s="261" t="s">
        <v>114</v>
      </c>
      <c r="B44" s="262"/>
      <c r="C44" s="262"/>
      <c r="D44" s="262"/>
      <c r="E44" s="262"/>
      <c r="F44" s="262"/>
      <c r="G44" s="262"/>
      <c r="H44" s="262"/>
      <c r="I44" s="263"/>
      <c r="J44" s="25"/>
      <c r="K44" s="25"/>
      <c r="L44" s="25"/>
      <c r="M44" s="25"/>
      <c r="N44" s="25"/>
      <c r="O44" s="25"/>
      <c r="P44" s="25"/>
      <c r="Q44" s="25"/>
      <c r="R44" s="25"/>
    </row>
    <row r="45" spans="1:18" s="13" customFormat="1" ht="13.5" customHeight="1" x14ac:dyDescent="0.2">
      <c r="A45" s="258" t="s">
        <v>40</v>
      </c>
      <c r="B45" s="259"/>
      <c r="C45" s="259"/>
      <c r="D45" s="259"/>
      <c r="E45" s="259"/>
      <c r="F45" s="259"/>
      <c r="G45" s="259"/>
      <c r="H45" s="259"/>
      <c r="I45" s="260"/>
      <c r="J45" s="25"/>
      <c r="K45" s="25"/>
      <c r="L45" s="25"/>
      <c r="M45" s="25"/>
      <c r="N45" s="25"/>
      <c r="O45" s="25"/>
      <c r="P45" s="25"/>
      <c r="Q45" s="25"/>
      <c r="R45" s="25"/>
    </row>
    <row r="46" spans="1:18" s="13" customFormat="1" ht="61.5" customHeight="1" x14ac:dyDescent="0.2">
      <c r="A46" s="261" t="s">
        <v>121</v>
      </c>
      <c r="B46" s="262"/>
      <c r="C46" s="262"/>
      <c r="D46" s="262"/>
      <c r="E46" s="262"/>
      <c r="F46" s="262"/>
      <c r="G46" s="262"/>
      <c r="H46" s="262"/>
      <c r="I46" s="263"/>
      <c r="J46" s="25"/>
      <c r="K46" s="25"/>
      <c r="L46" s="25"/>
      <c r="M46" s="25"/>
      <c r="N46" s="25"/>
      <c r="O46" s="25"/>
      <c r="P46" s="25"/>
      <c r="Q46" s="25"/>
      <c r="R46" s="25"/>
    </row>
    <row r="47" spans="1:18" s="13" customFormat="1" ht="13.5" customHeight="1" x14ac:dyDescent="0.2">
      <c r="A47" s="258" t="s">
        <v>41</v>
      </c>
      <c r="B47" s="259"/>
      <c r="C47" s="259"/>
      <c r="D47" s="259"/>
      <c r="E47" s="259"/>
      <c r="F47" s="259"/>
      <c r="G47" s="259"/>
      <c r="H47" s="259"/>
      <c r="I47" s="260"/>
      <c r="J47" s="25"/>
      <c r="K47" s="25"/>
      <c r="L47" s="25"/>
      <c r="M47" s="25"/>
      <c r="N47" s="25"/>
      <c r="O47" s="25"/>
      <c r="P47" s="25"/>
      <c r="Q47" s="25"/>
      <c r="R47" s="25"/>
    </row>
    <row r="48" spans="1:18" s="13" customFormat="1" ht="369" customHeight="1" x14ac:dyDescent="0.2">
      <c r="A48" s="264" t="s">
        <v>122</v>
      </c>
      <c r="B48" s="265"/>
      <c r="C48" s="265"/>
      <c r="D48" s="265"/>
      <c r="E48" s="265"/>
      <c r="F48" s="265"/>
      <c r="G48" s="265"/>
      <c r="H48" s="265"/>
      <c r="I48" s="266"/>
      <c r="J48" s="194"/>
      <c r="K48" s="25"/>
      <c r="L48" s="25"/>
      <c r="M48" s="25"/>
      <c r="N48" s="25"/>
      <c r="O48" s="25"/>
      <c r="P48" s="25"/>
      <c r="Q48" s="25"/>
      <c r="R48" s="25"/>
    </row>
    <row r="49" spans="1:18" s="13" customFormat="1" ht="9" hidden="1" customHeight="1" x14ac:dyDescent="0.2">
      <c r="A49" s="140"/>
      <c r="B49" s="146"/>
      <c r="C49" s="146"/>
      <c r="D49" s="146"/>
      <c r="E49" s="146"/>
      <c r="F49" s="146"/>
      <c r="G49" s="146"/>
      <c r="H49" s="146"/>
      <c r="I49" s="147"/>
      <c r="J49" s="25"/>
      <c r="K49" s="25"/>
      <c r="L49" s="25"/>
      <c r="M49" s="25"/>
      <c r="N49" s="25"/>
      <c r="O49" s="25"/>
      <c r="P49" s="25"/>
      <c r="Q49" s="25"/>
      <c r="R49" s="25"/>
    </row>
    <row r="50" spans="1:18" s="13" customFormat="1" ht="15.75" customHeight="1" x14ac:dyDescent="0.2">
      <c r="A50" s="99" t="s">
        <v>42</v>
      </c>
      <c r="B50" s="100"/>
      <c r="C50" s="100"/>
      <c r="D50" s="100"/>
      <c r="E50" s="100"/>
      <c r="F50" s="100"/>
      <c r="G50" s="100"/>
      <c r="H50" s="100"/>
      <c r="I50" s="101"/>
      <c r="J50" s="25"/>
      <c r="K50" s="25"/>
      <c r="L50" s="25"/>
      <c r="M50" s="25"/>
      <c r="N50" s="25"/>
      <c r="O50" s="25"/>
      <c r="P50" s="25"/>
      <c r="Q50" s="25"/>
      <c r="R50" s="25"/>
    </row>
    <row r="51" spans="1:18" s="98" customFormat="1" ht="84" customHeight="1" x14ac:dyDescent="0.2">
      <c r="A51" s="261" t="s">
        <v>127</v>
      </c>
      <c r="B51" s="267"/>
      <c r="C51" s="267"/>
      <c r="D51" s="267"/>
      <c r="E51" s="267"/>
      <c r="F51" s="267"/>
      <c r="G51" s="267"/>
      <c r="H51" s="267"/>
      <c r="I51" s="268"/>
      <c r="J51" s="97"/>
      <c r="K51" s="97"/>
      <c r="L51" s="97"/>
      <c r="M51" s="97"/>
      <c r="N51" s="97"/>
      <c r="O51" s="97"/>
      <c r="P51" s="97"/>
      <c r="Q51" s="97"/>
      <c r="R51" s="97"/>
    </row>
    <row r="52" spans="1:18" ht="15" x14ac:dyDescent="0.2">
      <c r="A52" s="95"/>
      <c r="B52" s="95"/>
      <c r="C52" s="95"/>
      <c r="D52" s="95"/>
      <c r="E52" s="95"/>
      <c r="F52" s="95"/>
      <c r="G52" s="95"/>
      <c r="H52" s="95"/>
      <c r="I52" s="95"/>
    </row>
    <row r="53" spans="1:18" ht="15" x14ac:dyDescent="0.2">
      <c r="A53" s="91"/>
    </row>
    <row r="54" spans="1:18" ht="15" x14ac:dyDescent="0.2">
      <c r="A54" s="92"/>
    </row>
    <row r="55" spans="1:18" ht="15" x14ac:dyDescent="0.2">
      <c r="A55" s="91"/>
    </row>
    <row r="56" spans="1:18" ht="15" x14ac:dyDescent="0.2">
      <c r="A56" s="92"/>
    </row>
    <row r="58" spans="1:18" x14ac:dyDescent="0.2">
      <c r="A58" s="1" t="s">
        <v>43</v>
      </c>
    </row>
  </sheetData>
  <mergeCells count="32">
    <mergeCell ref="A45:I45"/>
    <mergeCell ref="A46:I46"/>
    <mergeCell ref="A48:I48"/>
    <mergeCell ref="A51:I51"/>
    <mergeCell ref="A22:I22"/>
    <mergeCell ref="A23:I23"/>
    <mergeCell ref="B39:I39"/>
    <mergeCell ref="A25:I25"/>
    <mergeCell ref="A47:I47"/>
    <mergeCell ref="A41:I41"/>
    <mergeCell ref="A42:I42"/>
    <mergeCell ref="B34:I34"/>
    <mergeCell ref="A44:I44"/>
    <mergeCell ref="A43:I43"/>
    <mergeCell ref="A28:I28"/>
    <mergeCell ref="A29:I29"/>
    <mergeCell ref="B40:I40"/>
    <mergeCell ref="A38:I38"/>
    <mergeCell ref="A1:I1"/>
    <mergeCell ref="A2:I2"/>
    <mergeCell ref="A3:I3"/>
    <mergeCell ref="B7:C7"/>
    <mergeCell ref="D7:E7"/>
    <mergeCell ref="A4:I4"/>
    <mergeCell ref="B6:C6"/>
    <mergeCell ref="B37:I37"/>
    <mergeCell ref="A35:J35"/>
    <mergeCell ref="B36:J36"/>
    <mergeCell ref="B33:I33"/>
    <mergeCell ref="B8:C8"/>
    <mergeCell ref="A11:I11"/>
    <mergeCell ref="A26:I26"/>
  </mergeCells>
  <phoneticPr fontId="15" type="noConversion"/>
  <printOptions horizontalCentered="1"/>
  <pageMargins left="0" right="0" top="0" bottom="0" header="0" footer="0"/>
  <pageSetup scale="58" fitToHeight="2" orientation="portrait" r:id="rId1"/>
  <headerFooter alignWithMargins="0">
    <oddFooter>&amp;C&amp;8Executive Summary&amp;R&amp;8Page &amp;P</oddFooter>
  </headerFooter>
  <rowBreaks count="1" manualBreakCount="1">
    <brk id="34" max="8"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P44"/>
  <sheetViews>
    <sheetView view="pageBreakPreview" zoomScaleNormal="100" zoomScaleSheetLayoutView="100" workbookViewId="0">
      <selection activeCell="A22" sqref="A22:I22"/>
    </sheetView>
  </sheetViews>
  <sheetFormatPr defaultColWidth="9.140625" defaultRowHeight="12" x14ac:dyDescent="0.2"/>
  <cols>
    <col min="1" max="1" width="34.5703125" style="1" bestFit="1" customWidth="1"/>
    <col min="2" max="2" width="20.85546875" style="14" customWidth="1"/>
    <col min="3" max="5" width="9.140625" style="14"/>
    <col min="6" max="6" width="12.85546875" style="14" customWidth="1"/>
    <col min="7" max="7" width="11.5703125" style="14" customWidth="1"/>
    <col min="8" max="8" width="9.140625" style="14"/>
    <col min="9" max="9" width="8.85546875" style="14" customWidth="1"/>
    <col min="10" max="10" width="12" style="1" bestFit="1" customWidth="1"/>
    <col min="11" max="11" width="9.140625" style="1"/>
    <col min="12" max="12" width="12" style="1" bestFit="1" customWidth="1"/>
    <col min="13" max="14" width="9.140625" style="1"/>
    <col min="15" max="15" width="12" style="33" bestFit="1" customWidth="1"/>
    <col min="16" max="16" width="11" style="1" bestFit="1" customWidth="1"/>
    <col min="17" max="16384" width="9.140625" style="1"/>
  </cols>
  <sheetData>
    <row r="1" spans="1:16" ht="15" x14ac:dyDescent="0.25">
      <c r="A1" s="284" t="s">
        <v>0</v>
      </c>
      <c r="B1" s="285"/>
      <c r="C1" s="285"/>
      <c r="D1" s="285"/>
      <c r="E1" s="285"/>
      <c r="F1" s="285"/>
      <c r="G1" s="285"/>
      <c r="H1" s="285"/>
      <c r="I1" s="286"/>
    </row>
    <row r="2" spans="1:16" ht="18" x14ac:dyDescent="0.25">
      <c r="A2" s="289" t="s">
        <v>44</v>
      </c>
      <c r="B2" s="234"/>
      <c r="C2" s="234"/>
      <c r="D2" s="234"/>
      <c r="E2" s="234"/>
      <c r="F2" s="234"/>
      <c r="G2" s="234"/>
      <c r="H2" s="234"/>
      <c r="I2" s="290"/>
    </row>
    <row r="3" spans="1:16" ht="15" x14ac:dyDescent="0.25">
      <c r="A3" s="291" t="str">
        <f>'Executive Summary'!A3</f>
        <v>March 2026</v>
      </c>
      <c r="B3" s="232"/>
      <c r="C3" s="232"/>
      <c r="D3" s="232"/>
      <c r="E3" s="232"/>
      <c r="F3" s="232"/>
      <c r="G3" s="232"/>
      <c r="H3" s="232"/>
      <c r="I3" s="292"/>
    </row>
    <row r="4" spans="1:16" x14ac:dyDescent="0.2">
      <c r="A4" s="109"/>
      <c r="B4" s="110"/>
      <c r="C4" s="110"/>
      <c r="D4" s="110"/>
      <c r="E4" s="110"/>
      <c r="F4" s="110"/>
      <c r="G4" s="110"/>
      <c r="H4" s="110"/>
      <c r="I4" s="118"/>
    </row>
    <row r="5" spans="1:16" s="15" customFormat="1" ht="15" x14ac:dyDescent="0.25">
      <c r="A5" s="122"/>
      <c r="B5" s="121"/>
      <c r="C5" s="76"/>
      <c r="D5" s="76"/>
      <c r="E5" s="76"/>
      <c r="F5" s="76"/>
      <c r="G5" s="76"/>
      <c r="H5" s="76"/>
      <c r="I5" s="77"/>
      <c r="O5" s="35"/>
    </row>
    <row r="6" spans="1:16" s="15" customFormat="1" ht="12.75" customHeight="1" x14ac:dyDescent="0.25">
      <c r="A6" s="179" t="s">
        <v>45</v>
      </c>
      <c r="B6" s="153" t="s">
        <v>3</v>
      </c>
      <c r="C6" s="293"/>
      <c r="D6" s="293"/>
      <c r="E6" s="293"/>
      <c r="F6" s="111"/>
      <c r="G6" s="111" t="s">
        <v>6</v>
      </c>
      <c r="H6" s="112">
        <f>'Executive Summary'!H7</f>
        <v>50133</v>
      </c>
      <c r="I6" s="78"/>
      <c r="O6" s="35"/>
    </row>
    <row r="7" spans="1:16" s="15" customFormat="1" ht="15" x14ac:dyDescent="0.25">
      <c r="A7" s="179" t="s">
        <v>4</v>
      </c>
      <c r="B7" s="153" t="s">
        <v>5</v>
      </c>
      <c r="C7" s="113"/>
      <c r="D7" s="113"/>
      <c r="E7" s="113"/>
      <c r="F7" s="113"/>
      <c r="G7" s="111" t="s">
        <v>7</v>
      </c>
      <c r="H7" s="114">
        <v>0.81410000000000005</v>
      </c>
      <c r="I7" s="78"/>
      <c r="O7" s="35"/>
    </row>
    <row r="8" spans="1:16" ht="15" x14ac:dyDescent="0.25">
      <c r="A8" s="79"/>
      <c r="B8" s="80"/>
      <c r="C8" s="80"/>
      <c r="D8" s="80"/>
      <c r="E8" s="80"/>
      <c r="F8" s="80"/>
      <c r="G8" s="81" t="s">
        <v>46</v>
      </c>
      <c r="H8" s="82">
        <v>0.81410000000000005</v>
      </c>
      <c r="I8" s="83"/>
    </row>
    <row r="9" spans="1:16" ht="12.75" x14ac:dyDescent="0.2">
      <c r="A9" s="115"/>
      <c r="B9" s="116"/>
      <c r="C9" s="116"/>
      <c r="D9" s="116"/>
      <c r="E9" s="116"/>
      <c r="F9" s="116"/>
      <c r="G9" s="116"/>
      <c r="H9" s="116"/>
      <c r="I9" s="119"/>
    </row>
    <row r="10" spans="1:16" s="16" customFormat="1" ht="18.75" customHeight="1" x14ac:dyDescent="0.2">
      <c r="A10" s="84" t="s">
        <v>47</v>
      </c>
      <c r="B10" s="85"/>
      <c r="C10" s="86"/>
      <c r="D10" s="86"/>
      <c r="E10" s="86"/>
      <c r="F10" s="86"/>
      <c r="G10" s="86"/>
      <c r="H10" s="86"/>
      <c r="I10" s="87"/>
      <c r="O10" s="36"/>
    </row>
    <row r="11" spans="1:16" ht="12.75" x14ac:dyDescent="0.2">
      <c r="A11" s="115"/>
      <c r="B11" s="117"/>
      <c r="C11" s="88"/>
      <c r="D11" s="117"/>
      <c r="E11" s="117"/>
      <c r="F11" s="117"/>
      <c r="G11" s="117"/>
      <c r="H11" s="117"/>
      <c r="I11" s="119"/>
    </row>
    <row r="12" spans="1:16" s="15" customFormat="1" ht="15" customHeight="1" x14ac:dyDescent="0.2">
      <c r="A12" s="136" t="s">
        <v>48</v>
      </c>
      <c r="B12" s="137" t="s">
        <v>49</v>
      </c>
      <c r="C12" s="287" t="s">
        <v>50</v>
      </c>
      <c r="D12" s="287"/>
      <c r="E12" s="287"/>
      <c r="F12" s="287"/>
      <c r="G12" s="287"/>
      <c r="H12" s="287"/>
      <c r="I12" s="288"/>
      <c r="O12" s="35"/>
    </row>
    <row r="13" spans="1:16" s="15" customFormat="1" ht="55.5" customHeight="1" x14ac:dyDescent="0.2">
      <c r="A13" s="151" t="s">
        <v>51</v>
      </c>
      <c r="B13" s="174">
        <v>5326.26</v>
      </c>
      <c r="C13" s="281" t="s">
        <v>111</v>
      </c>
      <c r="D13" s="282"/>
      <c r="E13" s="282"/>
      <c r="F13" s="282"/>
      <c r="G13" s="282"/>
      <c r="H13" s="282"/>
      <c r="I13" s="283"/>
      <c r="O13" s="35"/>
      <c r="P13" s="15">
        <v>39</v>
      </c>
    </row>
    <row r="14" spans="1:16" s="15" customFormat="1" ht="48" customHeight="1" x14ac:dyDescent="0.2">
      <c r="A14" s="151" t="s">
        <v>52</v>
      </c>
      <c r="B14" s="174">
        <f>8874.14+280.79+5959.05</f>
        <v>15113.98</v>
      </c>
      <c r="C14" s="281" t="s">
        <v>115</v>
      </c>
      <c r="D14" s="282"/>
      <c r="E14" s="282"/>
      <c r="F14" s="282"/>
      <c r="G14" s="282"/>
      <c r="H14" s="282"/>
      <c r="I14" s="283"/>
      <c r="O14" s="35"/>
    </row>
    <row r="15" spans="1:16" ht="62.25" customHeight="1" x14ac:dyDescent="0.2">
      <c r="A15" s="151" t="s">
        <v>53</v>
      </c>
      <c r="B15" s="174">
        <v>4613.6000000000004</v>
      </c>
      <c r="C15" s="281" t="s">
        <v>54</v>
      </c>
      <c r="D15" s="294"/>
      <c r="E15" s="294"/>
      <c r="F15" s="294"/>
      <c r="G15" s="294"/>
      <c r="H15" s="294"/>
      <c r="I15" s="295"/>
    </row>
    <row r="16" spans="1:16" ht="48.75" customHeight="1" x14ac:dyDescent="0.2">
      <c r="A16" s="151" t="s">
        <v>55</v>
      </c>
      <c r="B16" s="174">
        <v>6958.31</v>
      </c>
      <c r="C16" s="281" t="s">
        <v>119</v>
      </c>
      <c r="D16" s="282"/>
      <c r="E16" s="282"/>
      <c r="F16" s="282"/>
      <c r="G16" s="282"/>
      <c r="H16" s="282"/>
      <c r="I16" s="283"/>
      <c r="P16" s="34"/>
    </row>
    <row r="17" spans="1:9" ht="36.75" customHeight="1" x14ac:dyDescent="0.2">
      <c r="A17" s="138" t="s">
        <v>56</v>
      </c>
      <c r="B17" s="139">
        <f>SUM(B13:B16)</f>
        <v>32012.149999999998</v>
      </c>
      <c r="C17" s="154"/>
      <c r="D17" s="154"/>
      <c r="E17" s="154"/>
      <c r="F17" s="154"/>
      <c r="G17" s="154" t="s">
        <v>57</v>
      </c>
      <c r="H17" s="154"/>
      <c r="I17" s="155"/>
    </row>
    <row r="18" spans="1:9" x14ac:dyDescent="0.2">
      <c r="A18" s="89"/>
      <c r="B18" s="90"/>
      <c r="C18" s="89"/>
      <c r="D18" s="89"/>
      <c r="E18" s="89"/>
      <c r="F18" s="89"/>
      <c r="G18" s="89"/>
      <c r="H18" s="89"/>
      <c r="I18" s="1"/>
    </row>
    <row r="20" spans="1:9" ht="122.25" customHeight="1" x14ac:dyDescent="0.2">
      <c r="A20" s="161"/>
    </row>
    <row r="21" spans="1:9" ht="192" customHeight="1" x14ac:dyDescent="0.2">
      <c r="A21" s="161"/>
    </row>
    <row r="22" spans="1:9" x14ac:dyDescent="0.2">
      <c r="A22" s="161"/>
    </row>
    <row r="23" spans="1:9" ht="66" customHeight="1" x14ac:dyDescent="0.2">
      <c r="A23" s="161"/>
    </row>
    <row r="24" spans="1:9" x14ac:dyDescent="0.2">
      <c r="A24" s="161"/>
    </row>
    <row r="25" spans="1:9" ht="119.25" customHeight="1" x14ac:dyDescent="0.2">
      <c r="A25" s="161"/>
    </row>
    <row r="26" spans="1:9" ht="219" customHeight="1" x14ac:dyDescent="0.2">
      <c r="A26" s="161"/>
    </row>
    <row r="37" spans="1:9" ht="77.25" customHeight="1" x14ac:dyDescent="0.2">
      <c r="B37" s="173"/>
    </row>
    <row r="40" spans="1:9" ht="132.75" customHeight="1" x14ac:dyDescent="0.2"/>
    <row r="42" spans="1:9" ht="159.75" customHeight="1" x14ac:dyDescent="0.2">
      <c r="A42" s="280" t="s">
        <v>108</v>
      </c>
      <c r="B42" s="280"/>
      <c r="C42" s="280"/>
      <c r="D42" s="280"/>
      <c r="E42" s="280"/>
      <c r="F42" s="280"/>
      <c r="G42" s="280"/>
      <c r="H42" s="280"/>
      <c r="I42" s="280"/>
    </row>
    <row r="44" spans="1:9" ht="345" customHeight="1" x14ac:dyDescent="0.2">
      <c r="A44" s="161" t="s">
        <v>107</v>
      </c>
    </row>
  </sheetData>
  <mergeCells count="10">
    <mergeCell ref="A42:I42"/>
    <mergeCell ref="C16:I16"/>
    <mergeCell ref="A1:I1"/>
    <mergeCell ref="C12:I12"/>
    <mergeCell ref="A2:I2"/>
    <mergeCell ref="A3:I3"/>
    <mergeCell ref="C6:E6"/>
    <mergeCell ref="C14:I14"/>
    <mergeCell ref="C13:I13"/>
    <mergeCell ref="C15:I15"/>
  </mergeCells>
  <phoneticPr fontId="15" type="noConversion"/>
  <printOptions horizontalCentered="1"/>
  <pageMargins left="0" right="0" top="0" bottom="0" header="0" footer="0"/>
  <pageSetup scale="84" fitToHeight="0" orientation="portrait" r:id="rId1"/>
  <headerFooter alignWithMargins="0">
    <oddFooter>&amp;C&amp;8Executive Summary&amp;R&amp;8Page &amp;P</oddFooter>
  </headerFooter>
  <colBreaks count="1" manualBreakCount="1">
    <brk id="9" max="1048575" man="1"/>
  </col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903F2-89B4-4698-94BC-F25EFEE91CA8}">
  <sheetPr>
    <pageSetUpPr fitToPage="1"/>
  </sheetPr>
  <dimension ref="A1:R44"/>
  <sheetViews>
    <sheetView view="pageBreakPreview" zoomScale="96" zoomScaleNormal="100" zoomScaleSheetLayoutView="96" workbookViewId="0">
      <selection activeCell="A22" sqref="A22:I22"/>
    </sheetView>
  </sheetViews>
  <sheetFormatPr defaultRowHeight="12.75" x14ac:dyDescent="0.2"/>
  <cols>
    <col min="1" max="1" width="29.85546875" customWidth="1"/>
    <col min="3" max="3" width="12" customWidth="1"/>
    <col min="11" max="11" width="17.28515625" customWidth="1"/>
    <col min="13" max="13" width="13.85546875" customWidth="1"/>
  </cols>
  <sheetData>
    <row r="1" spans="1:18" ht="14.25" x14ac:dyDescent="0.2">
      <c r="A1" s="55"/>
      <c r="B1" s="56"/>
      <c r="C1" s="56"/>
      <c r="D1" s="56"/>
      <c r="E1" s="56"/>
      <c r="F1" s="56"/>
      <c r="G1" s="56"/>
      <c r="H1" s="56"/>
      <c r="I1" s="56"/>
      <c r="J1" s="56"/>
      <c r="K1" s="56"/>
    </row>
    <row r="2" spans="1:18" ht="15" x14ac:dyDescent="0.25">
      <c r="A2" s="297" t="s">
        <v>58</v>
      </c>
      <c r="B2" s="297"/>
      <c r="C2" s="297"/>
      <c r="D2" s="297"/>
      <c r="E2" s="297"/>
      <c r="F2" s="297"/>
      <c r="G2" s="297"/>
      <c r="H2" s="297"/>
      <c r="I2" s="297"/>
      <c r="J2" s="297"/>
      <c r="K2" s="297"/>
    </row>
    <row r="3" spans="1:18" ht="15" customHeight="1" x14ac:dyDescent="0.25">
      <c r="A3" s="298" t="s">
        <v>1</v>
      </c>
      <c r="B3" s="298"/>
      <c r="C3" s="298"/>
      <c r="D3" s="298"/>
      <c r="E3" s="298"/>
      <c r="F3" s="298"/>
      <c r="G3" s="298"/>
      <c r="H3" s="298"/>
      <c r="I3" s="298"/>
      <c r="J3" s="298"/>
      <c r="K3" s="298"/>
    </row>
    <row r="4" spans="1:18" ht="15" x14ac:dyDescent="0.25">
      <c r="A4" s="299" t="str">
        <f>'Executive Summary'!A3</f>
        <v>March 2026</v>
      </c>
      <c r="B4" s="297"/>
      <c r="C4" s="297"/>
      <c r="D4" s="297"/>
      <c r="E4" s="297"/>
      <c r="F4" s="297"/>
      <c r="G4" s="297"/>
      <c r="H4" s="297"/>
      <c r="I4" s="297"/>
      <c r="J4" s="297"/>
      <c r="K4" s="297"/>
    </row>
    <row r="5" spans="1:18" ht="15" x14ac:dyDescent="0.25">
      <c r="A5" s="57"/>
      <c r="B5" s="57"/>
      <c r="C5" s="57"/>
      <c r="D5" s="57"/>
      <c r="E5" s="57"/>
      <c r="F5" s="57"/>
      <c r="G5" s="57"/>
      <c r="H5" s="57"/>
      <c r="I5" s="57"/>
      <c r="J5" s="57"/>
      <c r="K5" s="57"/>
    </row>
    <row r="6" spans="1:18" ht="15" customHeight="1" x14ac:dyDescent="0.25">
      <c r="A6" s="123"/>
      <c r="B6" s="301"/>
      <c r="C6" s="301"/>
      <c r="D6" s="58"/>
      <c r="E6" s="58"/>
      <c r="F6" s="58"/>
      <c r="G6" s="58"/>
      <c r="H6" s="58"/>
      <c r="I6" s="58"/>
      <c r="J6" s="58"/>
      <c r="K6" s="59"/>
    </row>
    <row r="7" spans="1:18" ht="15" x14ac:dyDescent="0.25">
      <c r="A7" s="180" t="s">
        <v>45</v>
      </c>
      <c r="B7" s="300" t="s">
        <v>3</v>
      </c>
      <c r="C7" s="300"/>
      <c r="D7" s="60"/>
      <c r="E7" s="60"/>
      <c r="F7" s="61"/>
      <c r="G7" s="61" t="s">
        <v>6</v>
      </c>
      <c r="H7" s="62">
        <v>50133</v>
      </c>
      <c r="I7" s="62"/>
      <c r="J7" s="62"/>
      <c r="K7" s="63"/>
    </row>
    <row r="8" spans="1:18" ht="15" x14ac:dyDescent="0.25">
      <c r="A8" s="180" t="s">
        <v>4</v>
      </c>
      <c r="B8" s="300" t="s">
        <v>5</v>
      </c>
      <c r="C8" s="300"/>
      <c r="D8" s="60"/>
      <c r="E8" s="60"/>
      <c r="F8" s="60"/>
      <c r="G8" s="61" t="s">
        <v>7</v>
      </c>
      <c r="H8" s="64">
        <f>'Executive Summary'!H8</f>
        <v>0.81410000000000005</v>
      </c>
      <c r="I8" s="64"/>
      <c r="J8" s="64"/>
      <c r="K8" s="63"/>
    </row>
    <row r="9" spans="1:18" ht="15" x14ac:dyDescent="0.25">
      <c r="A9" s="65"/>
      <c r="B9" s="66"/>
      <c r="C9" s="66"/>
      <c r="D9" s="67"/>
      <c r="E9" s="68"/>
      <c r="F9" s="68"/>
      <c r="G9" s="68"/>
      <c r="H9" s="69"/>
      <c r="I9" s="69"/>
      <c r="J9" s="69"/>
      <c r="K9" s="70"/>
    </row>
    <row r="10" spans="1:18" ht="14.25" x14ac:dyDescent="0.2">
      <c r="A10" s="55"/>
      <c r="B10" s="55"/>
      <c r="C10" s="56"/>
      <c r="D10" s="56"/>
      <c r="E10" s="56"/>
      <c r="F10" s="56"/>
      <c r="G10" s="56"/>
      <c r="H10" s="56"/>
      <c r="I10" s="56"/>
      <c r="J10" s="56"/>
      <c r="K10" s="56"/>
    </row>
    <row r="11" spans="1:18" ht="14.25" x14ac:dyDescent="0.2">
      <c r="A11" s="55"/>
      <c r="B11" s="55"/>
      <c r="C11" s="56"/>
      <c r="D11" s="56"/>
      <c r="E11" s="56"/>
      <c r="F11" s="56"/>
      <c r="G11" s="56"/>
      <c r="H11" s="56"/>
      <c r="I11" s="56"/>
      <c r="J11" s="56"/>
      <c r="K11" s="56"/>
    </row>
    <row r="12" spans="1:18" ht="15" x14ac:dyDescent="0.2">
      <c r="A12" s="71" t="s">
        <v>48</v>
      </c>
      <c r="B12" s="302" t="s">
        <v>59</v>
      </c>
      <c r="C12" s="302"/>
      <c r="D12" s="303" t="s">
        <v>60</v>
      </c>
      <c r="E12" s="303"/>
      <c r="F12" s="303"/>
      <c r="G12" s="303"/>
      <c r="H12" s="303"/>
      <c r="I12" s="303"/>
      <c r="J12" s="303"/>
      <c r="K12" s="303"/>
    </row>
    <row r="13" spans="1:18" ht="57.75" customHeight="1" x14ac:dyDescent="0.2">
      <c r="A13" s="75" t="s">
        <v>61</v>
      </c>
      <c r="B13" s="304">
        <f>R13</f>
        <v>9303.5250000000015</v>
      </c>
      <c r="C13" s="304"/>
      <c r="D13" s="305" t="s">
        <v>62</v>
      </c>
      <c r="E13" s="305"/>
      <c r="F13" s="305"/>
      <c r="G13" s="305"/>
      <c r="H13" s="305"/>
      <c r="I13" s="305"/>
      <c r="J13" s="305"/>
      <c r="K13" s="305"/>
      <c r="M13" s="133" t="s">
        <v>63</v>
      </c>
      <c r="N13" s="132">
        <v>26581.5</v>
      </c>
      <c r="O13" s="132">
        <f>N13/60</f>
        <v>443.02499999999998</v>
      </c>
      <c r="P13" s="150">
        <v>39</v>
      </c>
      <c r="Q13" s="132">
        <f>O13*P13</f>
        <v>17277.974999999999</v>
      </c>
      <c r="R13" s="132">
        <f>N13-Q13</f>
        <v>9303.5250000000015</v>
      </c>
    </row>
    <row r="14" spans="1:18" ht="15" x14ac:dyDescent="0.2">
      <c r="A14" s="72" t="s">
        <v>64</v>
      </c>
      <c r="B14" s="306">
        <f>SUM(B13:B13)</f>
        <v>9303.5250000000015</v>
      </c>
      <c r="C14" s="307"/>
    </row>
    <row r="22" spans="1:1" ht="122.25" customHeight="1" x14ac:dyDescent="0.2">
      <c r="A22" s="160"/>
    </row>
    <row r="23" spans="1:1" ht="192" customHeight="1" x14ac:dyDescent="0.2">
      <c r="A23" s="160"/>
    </row>
    <row r="25" spans="1:1" ht="119.25" customHeight="1" x14ac:dyDescent="0.2">
      <c r="A25" s="160"/>
    </row>
    <row r="26" spans="1:1" ht="219" customHeight="1" x14ac:dyDescent="0.2">
      <c r="A26" s="160"/>
    </row>
    <row r="40" spans="1:9" ht="77.25" customHeight="1" x14ac:dyDescent="0.2">
      <c r="B40" s="160"/>
    </row>
    <row r="42" spans="1:9" ht="159.75" customHeight="1" x14ac:dyDescent="0.2">
      <c r="A42" s="296"/>
      <c r="B42" s="296"/>
      <c r="C42" s="296"/>
      <c r="D42" s="296"/>
      <c r="E42" s="296"/>
      <c r="F42" s="296"/>
      <c r="G42" s="296"/>
      <c r="H42" s="296"/>
      <c r="I42" s="296"/>
    </row>
    <row r="44" spans="1:9" ht="345" customHeight="1" x14ac:dyDescent="0.2">
      <c r="A44" s="160"/>
    </row>
  </sheetData>
  <mergeCells count="12">
    <mergeCell ref="A42:I42"/>
    <mergeCell ref="A2:K2"/>
    <mergeCell ref="A3:K3"/>
    <mergeCell ref="A4:K4"/>
    <mergeCell ref="B7:C7"/>
    <mergeCell ref="B8:C8"/>
    <mergeCell ref="B6:C6"/>
    <mergeCell ref="B12:C12"/>
    <mergeCell ref="D12:K12"/>
    <mergeCell ref="B13:C13"/>
    <mergeCell ref="D13:K13"/>
    <mergeCell ref="B14:C14"/>
  </mergeCells>
  <pageMargins left="0" right="0" top="0" bottom="0" header="0" footer="0"/>
  <pageSetup scale="80"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1FEE2-CE25-477D-90EB-2DB2EDF44AA0}">
  <sheetPr>
    <pageSetUpPr fitToPage="1"/>
  </sheetPr>
  <dimension ref="A1:I44"/>
  <sheetViews>
    <sheetView view="pageBreakPreview" zoomScaleNormal="100" zoomScaleSheetLayoutView="100" workbookViewId="0">
      <selection activeCell="A22" sqref="A22:I22"/>
    </sheetView>
  </sheetViews>
  <sheetFormatPr defaultRowHeight="12.75" x14ac:dyDescent="0.2"/>
  <cols>
    <col min="1" max="1" width="29.42578125" customWidth="1"/>
    <col min="2" max="2" width="33.7109375" customWidth="1"/>
    <col min="3" max="3" width="13.85546875" customWidth="1"/>
    <col min="4" max="4" width="21.140625" customWidth="1"/>
    <col min="5" max="5" width="16.85546875" customWidth="1"/>
    <col min="6" max="6" width="21.7109375" customWidth="1"/>
    <col min="7" max="7" width="34.5703125" customWidth="1"/>
  </cols>
  <sheetData>
    <row r="1" spans="1:9" ht="15" x14ac:dyDescent="0.25">
      <c r="A1" s="310" t="s">
        <v>0</v>
      </c>
      <c r="B1" s="310"/>
      <c r="C1" s="310"/>
      <c r="D1" s="310"/>
      <c r="E1" s="310"/>
      <c r="F1" s="310"/>
      <c r="G1" s="310"/>
      <c r="H1" s="37"/>
      <c r="I1" s="37"/>
    </row>
    <row r="2" spans="1:9" ht="18" x14ac:dyDescent="0.25">
      <c r="A2" s="311" t="s">
        <v>1</v>
      </c>
      <c r="B2" s="311"/>
      <c r="C2" s="311"/>
      <c r="D2" s="311"/>
      <c r="E2" s="311"/>
      <c r="F2" s="311"/>
      <c r="G2" s="311"/>
      <c r="H2" s="37"/>
      <c r="I2" s="37"/>
    </row>
    <row r="3" spans="1:9" ht="15" x14ac:dyDescent="0.25">
      <c r="A3" s="312" t="str">
        <f>'Executive Summary'!A3</f>
        <v>March 2026</v>
      </c>
      <c r="B3" s="310"/>
      <c r="C3" s="310"/>
      <c r="D3" s="310"/>
      <c r="E3" s="310"/>
      <c r="F3" s="310"/>
      <c r="G3" s="310"/>
      <c r="H3" s="37"/>
      <c r="I3" s="37"/>
    </row>
    <row r="4" spans="1:9" x14ac:dyDescent="0.2">
      <c r="A4" s="313"/>
      <c r="B4" s="313"/>
      <c r="C4" s="313"/>
      <c r="D4" s="313"/>
      <c r="E4" s="313"/>
      <c r="F4" s="313"/>
      <c r="G4" s="313"/>
      <c r="H4" s="37"/>
      <c r="I4" s="37"/>
    </row>
    <row r="5" spans="1:9" x14ac:dyDescent="0.2">
      <c r="A5" s="120"/>
      <c r="B5" s="120"/>
      <c r="C5" s="120"/>
      <c r="D5" s="120"/>
      <c r="E5" s="120"/>
      <c r="F5" s="120"/>
      <c r="G5" s="120"/>
      <c r="H5" s="37"/>
      <c r="I5" s="37"/>
    </row>
    <row r="6" spans="1:9" x14ac:dyDescent="0.2">
      <c r="A6" s="120"/>
      <c r="B6" s="120"/>
      <c r="C6" s="120"/>
      <c r="D6" s="120"/>
      <c r="E6" s="120"/>
      <c r="F6" s="120"/>
      <c r="G6" s="120"/>
      <c r="H6" s="37"/>
      <c r="I6" s="37"/>
    </row>
    <row r="7" spans="1:9" x14ac:dyDescent="0.2">
      <c r="A7" s="182"/>
      <c r="B7" s="183"/>
      <c r="C7" s="184"/>
      <c r="D7" s="184"/>
      <c r="E7" s="184"/>
      <c r="F7" s="184"/>
      <c r="G7" s="185"/>
      <c r="H7" s="37"/>
      <c r="I7" s="37"/>
    </row>
    <row r="8" spans="1:9" ht="15" x14ac:dyDescent="0.25">
      <c r="A8" s="180" t="s">
        <v>45</v>
      </c>
      <c r="B8" s="300" t="s">
        <v>3</v>
      </c>
      <c r="C8" s="300"/>
      <c r="D8" s="38"/>
      <c r="E8" s="308" t="s">
        <v>6</v>
      </c>
      <c r="F8" s="308"/>
      <c r="G8" s="39">
        <v>50133</v>
      </c>
      <c r="H8" s="37"/>
      <c r="I8" s="37"/>
    </row>
    <row r="9" spans="1:9" ht="15" x14ac:dyDescent="0.25">
      <c r="A9" s="180" t="s">
        <v>4</v>
      </c>
      <c r="B9" s="300" t="s">
        <v>5</v>
      </c>
      <c r="C9" s="300"/>
      <c r="D9" s="181"/>
      <c r="E9" s="308" t="s">
        <v>7</v>
      </c>
      <c r="F9" s="308"/>
      <c r="G9" s="40">
        <v>0.81410000000000005</v>
      </c>
      <c r="H9" s="37"/>
      <c r="I9" s="37"/>
    </row>
    <row r="10" spans="1:9" x14ac:dyDescent="0.2">
      <c r="A10" s="41"/>
      <c r="B10" s="42"/>
      <c r="C10" s="42"/>
      <c r="D10" s="42"/>
      <c r="E10" s="309" t="s">
        <v>8</v>
      </c>
      <c r="F10" s="309"/>
      <c r="G10" s="43">
        <v>0.81410000000000005</v>
      </c>
      <c r="H10" s="37"/>
      <c r="I10" s="37"/>
    </row>
    <row r="11" spans="1:9" x14ac:dyDescent="0.2">
      <c r="A11" s="37"/>
      <c r="B11" s="37"/>
      <c r="C11" s="37"/>
      <c r="D11" s="37"/>
      <c r="E11" s="37"/>
      <c r="F11" s="37"/>
      <c r="G11" s="37"/>
      <c r="H11" s="37"/>
      <c r="I11" s="37"/>
    </row>
    <row r="12" spans="1:9" x14ac:dyDescent="0.2">
      <c r="A12" s="129" t="s">
        <v>65</v>
      </c>
      <c r="B12" s="130" t="s">
        <v>66</v>
      </c>
      <c r="C12" s="129" t="s">
        <v>67</v>
      </c>
      <c r="D12" s="129" t="s">
        <v>68</v>
      </c>
      <c r="E12" s="129" t="s">
        <v>69</v>
      </c>
      <c r="F12" s="129" t="s">
        <v>70</v>
      </c>
      <c r="G12" s="129" t="s">
        <v>71</v>
      </c>
      <c r="H12" s="37"/>
      <c r="I12" s="37"/>
    </row>
    <row r="13" spans="1:9" hidden="1" x14ac:dyDescent="0.2">
      <c r="A13" s="44"/>
      <c r="B13" s="44"/>
      <c r="C13" s="44"/>
      <c r="D13" s="44"/>
      <c r="E13" s="44"/>
      <c r="F13" s="44"/>
      <c r="G13" s="44"/>
      <c r="H13" s="37"/>
      <c r="I13" s="37"/>
    </row>
    <row r="14" spans="1:9" ht="19.5" customHeight="1" x14ac:dyDescent="0.2">
      <c r="A14" s="126" t="s">
        <v>72</v>
      </c>
      <c r="B14" s="126" t="s">
        <v>73</v>
      </c>
      <c r="C14" s="126" t="s">
        <v>74</v>
      </c>
      <c r="D14" s="126" t="s">
        <v>74</v>
      </c>
      <c r="E14" s="126" t="s">
        <v>74</v>
      </c>
      <c r="F14" s="127" t="s">
        <v>74</v>
      </c>
      <c r="G14" s="128"/>
      <c r="H14" s="37"/>
      <c r="I14" s="37"/>
    </row>
    <row r="15" spans="1:9" x14ac:dyDescent="0.2">
      <c r="A15" s="126" t="s">
        <v>72</v>
      </c>
      <c r="B15" s="126" t="s">
        <v>76</v>
      </c>
      <c r="C15" s="126" t="s">
        <v>74</v>
      </c>
      <c r="D15" s="126" t="s">
        <v>74</v>
      </c>
      <c r="E15" s="126" t="s">
        <v>74</v>
      </c>
      <c r="F15" s="127" t="s">
        <v>74</v>
      </c>
      <c r="G15" s="152"/>
      <c r="H15" s="37"/>
      <c r="I15" s="37"/>
    </row>
    <row r="16" spans="1:9" x14ac:dyDescent="0.2">
      <c r="A16" s="126" t="s">
        <v>72</v>
      </c>
      <c r="B16" s="127" t="s">
        <v>77</v>
      </c>
      <c r="C16" s="126" t="s">
        <v>74</v>
      </c>
      <c r="D16" s="126" t="s">
        <v>74</v>
      </c>
      <c r="E16" s="126" t="s">
        <v>74</v>
      </c>
      <c r="F16" s="126" t="s">
        <v>74</v>
      </c>
      <c r="G16" s="128"/>
      <c r="H16" s="37"/>
      <c r="I16" s="37"/>
    </row>
    <row r="17" spans="1:9" hidden="1" x14ac:dyDescent="0.2">
      <c r="A17" s="126" t="s">
        <v>72</v>
      </c>
      <c r="B17" s="126" t="s">
        <v>78</v>
      </c>
      <c r="C17" s="126" t="s">
        <v>79</v>
      </c>
      <c r="D17" s="127" t="s">
        <v>79</v>
      </c>
      <c r="E17" s="126" t="s">
        <v>79</v>
      </c>
      <c r="F17" s="127" t="s">
        <v>79</v>
      </c>
      <c r="G17" s="128"/>
      <c r="H17" s="37"/>
      <c r="I17" s="37"/>
    </row>
    <row r="18" spans="1:9" x14ac:dyDescent="0.2">
      <c r="A18" s="126" t="s">
        <v>72</v>
      </c>
      <c r="B18" s="126" t="s">
        <v>80</v>
      </c>
      <c r="C18" s="126" t="s">
        <v>74</v>
      </c>
      <c r="D18" s="127" t="s">
        <v>74</v>
      </c>
      <c r="E18" s="126" t="s">
        <v>74</v>
      </c>
      <c r="F18" s="127" t="s">
        <v>74</v>
      </c>
      <c r="G18" s="128"/>
      <c r="H18" s="37"/>
      <c r="I18" s="37"/>
    </row>
    <row r="19" spans="1:9" x14ac:dyDescent="0.2">
      <c r="A19" s="126" t="s">
        <v>72</v>
      </c>
      <c r="B19" s="127" t="s">
        <v>82</v>
      </c>
      <c r="C19" s="126" t="s">
        <v>74</v>
      </c>
      <c r="D19" s="126" t="s">
        <v>74</v>
      </c>
      <c r="E19" s="126" t="s">
        <v>74</v>
      </c>
      <c r="F19" s="126" t="s">
        <v>74</v>
      </c>
      <c r="G19" s="128"/>
      <c r="H19" s="37"/>
      <c r="I19" s="37"/>
    </row>
    <row r="20" spans="1:9" x14ac:dyDescent="0.2">
      <c r="A20" s="126" t="s">
        <v>72</v>
      </c>
      <c r="B20" s="126" t="s">
        <v>83</v>
      </c>
      <c r="C20" s="126" t="s">
        <v>74</v>
      </c>
      <c r="D20" s="126" t="s">
        <v>74</v>
      </c>
      <c r="E20" s="126" t="s">
        <v>74</v>
      </c>
      <c r="F20" s="126" t="s">
        <v>74</v>
      </c>
      <c r="G20" s="128"/>
      <c r="H20" s="37"/>
      <c r="I20" s="37"/>
    </row>
    <row r="21" spans="1:9" ht="38.25" x14ac:dyDescent="0.2">
      <c r="A21" s="126" t="s">
        <v>72</v>
      </c>
      <c r="B21" s="127" t="s">
        <v>84</v>
      </c>
      <c r="C21" s="126" t="s">
        <v>74</v>
      </c>
      <c r="D21" s="127" t="s">
        <v>75</v>
      </c>
      <c r="E21" s="126" t="s">
        <v>74</v>
      </c>
      <c r="F21" s="127" t="s">
        <v>75</v>
      </c>
      <c r="G21" s="128" t="s">
        <v>81</v>
      </c>
      <c r="H21" s="37"/>
      <c r="I21" s="37"/>
    </row>
    <row r="22" spans="1:9" x14ac:dyDescent="0.2">
      <c r="A22" s="175" t="s">
        <v>72</v>
      </c>
      <c r="B22" s="127" t="s">
        <v>85</v>
      </c>
      <c r="C22" s="126" t="s">
        <v>74</v>
      </c>
      <c r="D22" s="126" t="s">
        <v>74</v>
      </c>
      <c r="E22" s="126" t="s">
        <v>74</v>
      </c>
      <c r="F22" s="127" t="s">
        <v>74</v>
      </c>
      <c r="G22" s="128"/>
      <c r="H22" s="37"/>
      <c r="I22" s="37"/>
    </row>
    <row r="23" spans="1:9" ht="38.25" x14ac:dyDescent="0.2">
      <c r="A23" s="159" t="s">
        <v>72</v>
      </c>
      <c r="B23" s="157" t="s">
        <v>86</v>
      </c>
      <c r="C23" s="126" t="s">
        <v>74</v>
      </c>
      <c r="D23" s="126" t="s">
        <v>75</v>
      </c>
      <c r="E23" s="126" t="s">
        <v>74</v>
      </c>
      <c r="F23" s="127" t="s">
        <v>74</v>
      </c>
      <c r="G23" s="158" t="s">
        <v>87</v>
      </c>
    </row>
    <row r="24" spans="1:9" ht="25.5" x14ac:dyDescent="0.2">
      <c r="A24" s="159" t="s">
        <v>72</v>
      </c>
      <c r="B24" s="157" t="s">
        <v>88</v>
      </c>
      <c r="C24" s="126" t="s">
        <v>74</v>
      </c>
      <c r="D24" s="126" t="s">
        <v>75</v>
      </c>
      <c r="E24" s="126" t="s">
        <v>74</v>
      </c>
      <c r="F24" s="127" t="s">
        <v>75</v>
      </c>
      <c r="G24" s="158" t="s">
        <v>89</v>
      </c>
    </row>
    <row r="25" spans="1:9" ht="25.5" x14ac:dyDescent="0.2">
      <c r="A25" s="175" t="s">
        <v>72</v>
      </c>
      <c r="B25" s="126" t="s">
        <v>90</v>
      </c>
      <c r="C25" s="126" t="s">
        <v>74</v>
      </c>
      <c r="D25" s="126" t="s">
        <v>74</v>
      </c>
      <c r="E25" s="126" t="s">
        <v>74</v>
      </c>
      <c r="F25" s="126" t="s">
        <v>75</v>
      </c>
      <c r="G25" s="128" t="s">
        <v>116</v>
      </c>
      <c r="H25" s="37"/>
      <c r="I25" s="37"/>
    </row>
    <row r="26" spans="1:9" ht="38.25" x14ac:dyDescent="0.2">
      <c r="A26" s="175" t="s">
        <v>72</v>
      </c>
      <c r="B26" s="127" t="s">
        <v>91</v>
      </c>
      <c r="C26" s="126" t="s">
        <v>74</v>
      </c>
      <c r="D26" s="127" t="s">
        <v>75</v>
      </c>
      <c r="E26" s="126" t="s">
        <v>74</v>
      </c>
      <c r="F26" s="126" t="s">
        <v>74</v>
      </c>
      <c r="G26" s="128" t="s">
        <v>92</v>
      </c>
      <c r="H26" s="37"/>
      <c r="I26" s="37"/>
    </row>
    <row r="27" spans="1:9" ht="38.25" x14ac:dyDescent="0.2">
      <c r="A27" s="159" t="s">
        <v>72</v>
      </c>
      <c r="B27" s="157" t="s">
        <v>93</v>
      </c>
      <c r="C27" s="126" t="s">
        <v>74</v>
      </c>
      <c r="D27" s="127" t="s">
        <v>75</v>
      </c>
      <c r="E27" s="126" t="s">
        <v>74</v>
      </c>
      <c r="F27" s="127" t="s">
        <v>75</v>
      </c>
      <c r="G27" s="128" t="s">
        <v>81</v>
      </c>
    </row>
    <row r="28" spans="1:9" x14ac:dyDescent="0.2">
      <c r="A28" s="156" t="s">
        <v>72</v>
      </c>
      <c r="B28" s="157" t="s">
        <v>94</v>
      </c>
      <c r="C28" s="126" t="s">
        <v>74</v>
      </c>
      <c r="D28" s="127" t="s">
        <v>74</v>
      </c>
      <c r="E28" s="156" t="s">
        <v>74</v>
      </c>
      <c r="F28" s="127" t="s">
        <v>74</v>
      </c>
      <c r="G28" s="158"/>
    </row>
    <row r="29" spans="1:9" x14ac:dyDescent="0.2">
      <c r="A29" s="126" t="s">
        <v>72</v>
      </c>
      <c r="B29" s="127" t="s">
        <v>95</v>
      </c>
      <c r="C29" s="126" t="s">
        <v>74</v>
      </c>
      <c r="D29" s="126" t="s">
        <v>74</v>
      </c>
      <c r="E29" s="126" t="s">
        <v>74</v>
      </c>
      <c r="F29" s="126" t="s">
        <v>74</v>
      </c>
      <c r="G29" s="128"/>
      <c r="H29" s="37"/>
      <c r="I29" s="37"/>
    </row>
    <row r="30" spans="1:9" ht="38.25" x14ac:dyDescent="0.2">
      <c r="A30" s="126" t="s">
        <v>72</v>
      </c>
      <c r="B30" s="127" t="s">
        <v>61</v>
      </c>
      <c r="C30" s="126" t="s">
        <v>74</v>
      </c>
      <c r="D30" s="126" t="s">
        <v>75</v>
      </c>
      <c r="E30" s="126" t="s">
        <v>74</v>
      </c>
      <c r="F30" s="127" t="s">
        <v>75</v>
      </c>
      <c r="G30" s="128" t="s">
        <v>117</v>
      </c>
      <c r="H30" s="37"/>
      <c r="I30" s="37"/>
    </row>
    <row r="33" spans="1:9" x14ac:dyDescent="0.2">
      <c r="A33" s="37"/>
      <c r="B33" s="37"/>
      <c r="C33" s="37"/>
      <c r="D33" s="37"/>
      <c r="E33" s="37"/>
      <c r="F33" s="37"/>
      <c r="G33" s="37"/>
      <c r="H33" s="37"/>
      <c r="I33" s="37"/>
    </row>
    <row r="34" spans="1:9" x14ac:dyDescent="0.2">
      <c r="A34" s="37"/>
      <c r="B34" s="37"/>
      <c r="C34" s="37"/>
      <c r="D34" s="37"/>
      <c r="E34" s="37"/>
      <c r="F34" s="37"/>
      <c r="G34" s="37"/>
      <c r="H34" s="37"/>
      <c r="I34" s="37"/>
    </row>
    <row r="41" spans="1:9" ht="77.25" customHeight="1" x14ac:dyDescent="0.2">
      <c r="B41" s="160"/>
    </row>
    <row r="42" spans="1:9" ht="159.75" customHeight="1" x14ac:dyDescent="0.2">
      <c r="A42" s="296"/>
      <c r="B42" s="296"/>
      <c r="C42" s="296"/>
      <c r="D42" s="296"/>
      <c r="E42" s="296"/>
      <c r="F42" s="296"/>
      <c r="G42" s="296"/>
      <c r="H42" s="296"/>
      <c r="I42" s="296"/>
    </row>
    <row r="43" spans="1:9" ht="132.75" customHeight="1" x14ac:dyDescent="0.2"/>
    <row r="44" spans="1:9" ht="345" customHeight="1" x14ac:dyDescent="0.2">
      <c r="A44" s="160" t="s">
        <v>107</v>
      </c>
    </row>
  </sheetData>
  <mergeCells count="10">
    <mergeCell ref="A42:I42"/>
    <mergeCell ref="E9:F9"/>
    <mergeCell ref="E10:F10"/>
    <mergeCell ref="A1:G1"/>
    <mergeCell ref="A2:G2"/>
    <mergeCell ref="A3:G3"/>
    <mergeCell ref="A4:G4"/>
    <mergeCell ref="B8:C8"/>
    <mergeCell ref="E8:F8"/>
    <mergeCell ref="B9:C9"/>
  </mergeCells>
  <pageMargins left="0" right="0" top="0" bottom="0" header="0" footer="0"/>
  <pageSetup scale="6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E4B86-9321-42A5-80AA-3DEF96340D4B}">
  <sheetPr>
    <pageSetUpPr fitToPage="1"/>
  </sheetPr>
  <dimension ref="A1:I49"/>
  <sheetViews>
    <sheetView view="pageBreakPreview" zoomScaleNormal="100" zoomScaleSheetLayoutView="100" workbookViewId="0">
      <selection activeCell="A22" sqref="A22:I22"/>
    </sheetView>
  </sheetViews>
  <sheetFormatPr defaultRowHeight="12.75" x14ac:dyDescent="0.2"/>
  <cols>
    <col min="1" max="1" width="32.140625" bestFit="1" customWidth="1"/>
    <col min="2" max="2" width="28.42578125" bestFit="1" customWidth="1"/>
    <col min="3" max="3" width="11.7109375" bestFit="1" customWidth="1"/>
    <col min="4" max="4" width="17.5703125" bestFit="1" customWidth="1"/>
    <col min="5" max="5" width="48.140625" customWidth="1"/>
    <col min="6" max="7" width="0" hidden="1" customWidth="1"/>
  </cols>
  <sheetData>
    <row r="1" spans="1:5" ht="15" x14ac:dyDescent="0.25">
      <c r="A1" s="232" t="s">
        <v>0</v>
      </c>
      <c r="B1" s="232"/>
      <c r="C1" s="232"/>
      <c r="D1" s="232"/>
      <c r="E1" s="232"/>
    </row>
    <row r="2" spans="1:5" ht="18" x14ac:dyDescent="0.25">
      <c r="A2" s="314" t="s">
        <v>1</v>
      </c>
      <c r="B2" s="234"/>
      <c r="C2" s="234"/>
      <c r="D2" s="234"/>
      <c r="E2" s="234"/>
    </row>
    <row r="3" spans="1:5" ht="15" x14ac:dyDescent="0.25">
      <c r="A3" s="235" t="s">
        <v>118</v>
      </c>
      <c r="B3" s="236"/>
      <c r="C3" s="236"/>
      <c r="D3" s="236"/>
      <c r="E3" s="236"/>
    </row>
    <row r="4" spans="1:5" x14ac:dyDescent="0.2">
      <c r="A4" s="237"/>
      <c r="B4" s="237"/>
      <c r="C4" s="237"/>
      <c r="D4" s="237"/>
      <c r="E4" s="237"/>
    </row>
    <row r="5" spans="1:5" x14ac:dyDescent="0.2">
      <c r="A5" s="17"/>
      <c r="B5" s="18"/>
      <c r="C5" s="18"/>
      <c r="D5" s="18"/>
      <c r="E5" s="19"/>
    </row>
    <row r="6" spans="1:5" x14ac:dyDescent="0.2">
      <c r="A6" s="20" t="s">
        <v>45</v>
      </c>
      <c r="B6" s="177" t="s">
        <v>3</v>
      </c>
      <c r="C6" s="105" t="s">
        <v>6</v>
      </c>
      <c r="D6" s="192">
        <v>50133</v>
      </c>
      <c r="E6" s="21"/>
    </row>
    <row r="7" spans="1:5" x14ac:dyDescent="0.2">
      <c r="A7" s="20" t="s">
        <v>4</v>
      </c>
      <c r="B7" s="106" t="s">
        <v>5</v>
      </c>
      <c r="C7" s="105" t="s">
        <v>7</v>
      </c>
      <c r="D7" s="193">
        <v>0.81410000000000005</v>
      </c>
      <c r="E7" s="21"/>
    </row>
    <row r="8" spans="1:5" x14ac:dyDescent="0.2">
      <c r="A8" s="189"/>
      <c r="B8" s="178"/>
      <c r="C8" s="4" t="s">
        <v>96</v>
      </c>
      <c r="D8" s="190">
        <v>0.81410000000000005</v>
      </c>
      <c r="E8" s="191" t="s">
        <v>131</v>
      </c>
    </row>
    <row r="10" spans="1:5" x14ac:dyDescent="0.2">
      <c r="A10" s="188" t="s">
        <v>48</v>
      </c>
      <c r="B10" s="170" t="s">
        <v>97</v>
      </c>
      <c r="C10" s="169" t="s">
        <v>98</v>
      </c>
      <c r="D10" s="169" t="s">
        <v>99</v>
      </c>
      <c r="E10" s="169" t="s">
        <v>71</v>
      </c>
    </row>
    <row r="11" spans="1:5" hidden="1" x14ac:dyDescent="0.2">
      <c r="A11" s="168"/>
      <c r="B11" s="168"/>
      <c r="C11" s="168"/>
      <c r="D11" s="168"/>
      <c r="E11" s="168"/>
    </row>
    <row r="12" spans="1:5" ht="12.75" customHeight="1" x14ac:dyDescent="0.2">
      <c r="A12" s="156" t="s">
        <v>100</v>
      </c>
      <c r="B12" s="45" t="s">
        <v>101</v>
      </c>
      <c r="C12" s="168" t="s">
        <v>75</v>
      </c>
      <c r="D12" s="168" t="s">
        <v>75</v>
      </c>
      <c r="E12" s="167" t="s">
        <v>102</v>
      </c>
    </row>
    <row r="13" spans="1:5" ht="12.75" customHeight="1" x14ac:dyDescent="0.2">
      <c r="A13" s="157" t="s">
        <v>103</v>
      </c>
      <c r="B13" s="45" t="s">
        <v>104</v>
      </c>
      <c r="C13" s="176" t="s">
        <v>75</v>
      </c>
      <c r="D13" s="176" t="s">
        <v>75</v>
      </c>
      <c r="E13" s="167" t="s">
        <v>102</v>
      </c>
    </row>
    <row r="14" spans="1:5" ht="12.75" customHeight="1" x14ac:dyDescent="0.2">
      <c r="A14" s="172" t="s">
        <v>80</v>
      </c>
      <c r="B14" s="45" t="s">
        <v>105</v>
      </c>
      <c r="C14" s="168" t="s">
        <v>75</v>
      </c>
      <c r="D14" s="168" t="s">
        <v>75</v>
      </c>
      <c r="E14" s="167" t="s">
        <v>102</v>
      </c>
    </row>
    <row r="15" spans="1:5" ht="12.75" customHeight="1" x14ac:dyDescent="0.2">
      <c r="A15" s="156" t="s">
        <v>80</v>
      </c>
      <c r="B15" s="45" t="s">
        <v>101</v>
      </c>
      <c r="C15" s="168" t="s">
        <v>75</v>
      </c>
      <c r="D15" s="168" t="s">
        <v>75</v>
      </c>
      <c r="E15" s="167" t="s">
        <v>102</v>
      </c>
    </row>
    <row r="16" spans="1:5" s="171" customFormat="1" ht="12.75" customHeight="1" x14ac:dyDescent="0.2">
      <c r="A16" s="176" t="s">
        <v>82</v>
      </c>
      <c r="B16" s="45" t="s">
        <v>105</v>
      </c>
      <c r="C16" s="176" t="s">
        <v>75</v>
      </c>
      <c r="D16" s="176" t="s">
        <v>75</v>
      </c>
      <c r="E16" s="167" t="s">
        <v>102</v>
      </c>
    </row>
    <row r="17" spans="1:8" ht="12.75" customHeight="1" x14ac:dyDescent="0.2">
      <c r="A17" s="158" t="s">
        <v>84</v>
      </c>
      <c r="B17" s="45" t="s">
        <v>105</v>
      </c>
      <c r="C17" s="168" t="s">
        <v>75</v>
      </c>
      <c r="D17" s="168" t="s">
        <v>75</v>
      </c>
      <c r="E17" s="167" t="s">
        <v>102</v>
      </c>
    </row>
    <row r="18" spans="1:8" ht="12.75" customHeight="1" x14ac:dyDescent="0.2">
      <c r="A18" s="157" t="s">
        <v>84</v>
      </c>
      <c r="B18" s="45" t="s">
        <v>101</v>
      </c>
      <c r="C18" s="168" t="s">
        <v>75</v>
      </c>
      <c r="D18" s="168" t="s">
        <v>75</v>
      </c>
      <c r="E18" s="167" t="s">
        <v>102</v>
      </c>
    </row>
    <row r="19" spans="1:8" ht="12.75" customHeight="1" x14ac:dyDescent="0.2">
      <c r="A19" s="158" t="s">
        <v>85</v>
      </c>
      <c r="B19" s="45" t="s">
        <v>101</v>
      </c>
      <c r="C19" s="168" t="s">
        <v>75</v>
      </c>
      <c r="D19" s="168" t="s">
        <v>75</v>
      </c>
      <c r="E19" s="167" t="s">
        <v>102</v>
      </c>
    </row>
    <row r="20" spans="1:8" ht="12.75" customHeight="1" x14ac:dyDescent="0.2">
      <c r="A20" s="157" t="s">
        <v>88</v>
      </c>
      <c r="B20" s="45" t="s">
        <v>105</v>
      </c>
      <c r="C20" s="168" t="s">
        <v>75</v>
      </c>
      <c r="D20" s="168" t="s">
        <v>75</v>
      </c>
      <c r="E20" s="167" t="s">
        <v>102</v>
      </c>
    </row>
    <row r="21" spans="1:8" ht="12.75" customHeight="1" x14ac:dyDescent="0.2">
      <c r="A21" s="157" t="s">
        <v>93</v>
      </c>
      <c r="B21" s="45" t="s">
        <v>105</v>
      </c>
      <c r="C21" s="168" t="s">
        <v>75</v>
      </c>
      <c r="D21" s="168" t="s">
        <v>75</v>
      </c>
      <c r="E21" s="167" t="s">
        <v>102</v>
      </c>
    </row>
    <row r="22" spans="1:8" x14ac:dyDescent="0.2">
      <c r="A22" s="158" t="s">
        <v>93</v>
      </c>
      <c r="B22" s="45" t="s">
        <v>101</v>
      </c>
      <c r="C22" s="168" t="s">
        <v>75</v>
      </c>
      <c r="D22" s="168" t="s">
        <v>75</v>
      </c>
      <c r="E22" s="167" t="s">
        <v>102</v>
      </c>
    </row>
    <row r="23" spans="1:8" x14ac:dyDescent="0.2">
      <c r="A23" s="186" t="s">
        <v>106</v>
      </c>
      <c r="B23" s="45" t="s">
        <v>105</v>
      </c>
      <c r="C23" s="176" t="s">
        <v>75</v>
      </c>
      <c r="D23" s="176" t="s">
        <v>75</v>
      </c>
      <c r="E23" s="167" t="s">
        <v>102</v>
      </c>
    </row>
    <row r="24" spans="1:8" x14ac:dyDescent="0.2">
      <c r="A24" s="187" t="s">
        <v>106</v>
      </c>
      <c r="B24" s="45" t="s">
        <v>104</v>
      </c>
      <c r="C24" s="176" t="s">
        <v>75</v>
      </c>
      <c r="D24" s="176" t="s">
        <v>75</v>
      </c>
      <c r="E24" s="167" t="s">
        <v>102</v>
      </c>
    </row>
    <row r="25" spans="1:8" x14ac:dyDescent="0.2">
      <c r="A25" s="158" t="s">
        <v>109</v>
      </c>
      <c r="B25" s="45" t="s">
        <v>105</v>
      </c>
      <c r="C25" s="168" t="s">
        <v>75</v>
      </c>
      <c r="D25" s="168" t="s">
        <v>75</v>
      </c>
      <c r="E25" s="167" t="s">
        <v>102</v>
      </c>
    </row>
    <row r="26" spans="1:8" x14ac:dyDescent="0.2">
      <c r="A26" s="158" t="s">
        <v>109</v>
      </c>
      <c r="B26" s="45" t="s">
        <v>101</v>
      </c>
      <c r="C26" s="168" t="s">
        <v>75</v>
      </c>
      <c r="D26" s="168" t="s">
        <v>75</v>
      </c>
      <c r="E26" s="167" t="s">
        <v>102</v>
      </c>
    </row>
    <row r="27" spans="1:8" x14ac:dyDescent="0.2">
      <c r="A27" s="157" t="s">
        <v>61</v>
      </c>
      <c r="B27" s="45" t="s">
        <v>105</v>
      </c>
      <c r="C27" s="176" t="s">
        <v>75</v>
      </c>
      <c r="D27" s="176" t="s">
        <v>75</v>
      </c>
      <c r="E27" s="167" t="s">
        <v>102</v>
      </c>
    </row>
    <row r="28" spans="1:8" x14ac:dyDescent="0.2">
      <c r="A28" s="157" t="s">
        <v>61</v>
      </c>
      <c r="B28" s="45" t="s">
        <v>101</v>
      </c>
      <c r="C28" s="176" t="s">
        <v>75</v>
      </c>
      <c r="D28" s="176" t="s">
        <v>75</v>
      </c>
      <c r="E28" s="167" t="s">
        <v>102</v>
      </c>
    </row>
    <row r="29" spans="1:8" x14ac:dyDescent="0.2">
      <c r="H29" s="166"/>
    </row>
    <row r="30" spans="1:8" ht="132.75" customHeight="1" x14ac:dyDescent="0.2"/>
    <row r="36" spans="1:9" x14ac:dyDescent="0.2">
      <c r="A36" s="160"/>
    </row>
    <row r="37" spans="1:9" ht="130.5" customHeight="1" x14ac:dyDescent="0.2">
      <c r="A37" s="160"/>
    </row>
    <row r="38" spans="1:9" ht="24.75" customHeight="1" x14ac:dyDescent="0.2"/>
    <row r="42" spans="1:9" ht="159.75" customHeight="1" x14ac:dyDescent="0.2">
      <c r="A42" s="296" t="s">
        <v>108</v>
      </c>
      <c r="B42" s="296"/>
      <c r="C42" s="296"/>
      <c r="D42" s="296"/>
      <c r="E42" s="296"/>
      <c r="F42" s="296"/>
      <c r="G42" s="296"/>
      <c r="H42" s="296"/>
      <c r="I42" s="296"/>
    </row>
    <row r="44" spans="1:9" ht="345" customHeight="1" x14ac:dyDescent="0.2">
      <c r="A44" s="160" t="s">
        <v>107</v>
      </c>
    </row>
    <row r="49" spans="2:2" x14ac:dyDescent="0.2">
      <c r="B49" s="160"/>
    </row>
  </sheetData>
  <mergeCells count="5">
    <mergeCell ref="A1:E1"/>
    <mergeCell ref="A2:E2"/>
    <mergeCell ref="A3:E3"/>
    <mergeCell ref="A4:E4"/>
    <mergeCell ref="A42:I42"/>
  </mergeCells>
  <printOptions horizontalCentered="1"/>
  <pageMargins left="0.5" right="0.5" top="0.49" bottom="0.68" header="0.25" footer="0.5"/>
  <pageSetup scale="70" fitToHeight="0" orientation="portrait" r:id="rId1"/>
  <headerFooter alignWithMargins="0">
    <oddFooter>&amp;C&amp;8Executive Summary&amp;R&amp;8Page &amp;P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98489-5E3C-4F2F-9914-142F20A4F5B9}">
  <sheetPr>
    <pageSetUpPr fitToPage="1"/>
  </sheetPr>
  <dimension ref="A1:I85"/>
  <sheetViews>
    <sheetView tabSelected="1" topLeftCell="A18" zoomScaleNormal="100" zoomScaleSheetLayoutView="136" workbookViewId="0">
      <selection activeCell="B45" sqref="B45"/>
    </sheetView>
  </sheetViews>
  <sheetFormatPr defaultRowHeight="12.75" x14ac:dyDescent="0.2"/>
  <cols>
    <col min="1" max="1" width="40" customWidth="1"/>
    <col min="2" max="2" width="28.42578125" style="220" bestFit="1" customWidth="1"/>
    <col min="3" max="3" width="5.28515625" customWidth="1"/>
    <col min="4" max="4" width="42.42578125" customWidth="1"/>
    <col min="5" max="5" width="22.5703125" customWidth="1"/>
    <col min="6" max="7" width="0" hidden="1" customWidth="1"/>
  </cols>
  <sheetData>
    <row r="1" spans="1:5" ht="15" x14ac:dyDescent="0.25">
      <c r="A1" s="232" t="s">
        <v>149</v>
      </c>
      <c r="B1" s="232"/>
      <c r="C1" s="232"/>
      <c r="D1" s="232"/>
      <c r="E1" s="232"/>
    </row>
    <row r="2" spans="1:5" ht="18" x14ac:dyDescent="0.25">
      <c r="A2" s="233" t="s">
        <v>1</v>
      </c>
      <c r="B2" s="234"/>
      <c r="C2" s="234"/>
      <c r="D2" s="234"/>
      <c r="E2" s="234"/>
    </row>
    <row r="3" spans="1:5" ht="15" x14ac:dyDescent="0.25">
      <c r="A3" s="235" t="s">
        <v>152</v>
      </c>
      <c r="B3" s="236"/>
      <c r="C3" s="236"/>
      <c r="D3" s="236"/>
      <c r="E3" s="236"/>
    </row>
    <row r="4" spans="1:5" x14ac:dyDescent="0.2">
      <c r="A4" s="237"/>
      <c r="B4" s="237"/>
      <c r="C4" s="237"/>
      <c r="D4" s="237"/>
      <c r="E4" s="237"/>
    </row>
    <row r="5" spans="1:5" x14ac:dyDescent="0.2">
      <c r="A5" s="17"/>
      <c r="B5" s="215"/>
      <c r="C5" s="18"/>
      <c r="D5" s="18"/>
      <c r="E5" s="19"/>
    </row>
    <row r="6" spans="1:5" x14ac:dyDescent="0.2">
      <c r="A6" s="20"/>
      <c r="B6" s="216"/>
      <c r="C6" s="105"/>
      <c r="D6" s="192"/>
      <c r="E6" s="21"/>
    </row>
    <row r="7" spans="1:5" x14ac:dyDescent="0.2">
      <c r="A7" s="20"/>
      <c r="B7" s="217"/>
      <c r="C7" s="105"/>
      <c r="D7" s="193"/>
      <c r="E7" s="21"/>
    </row>
    <row r="8" spans="1:5" x14ac:dyDescent="0.2">
      <c r="A8" s="189"/>
      <c r="B8" s="218"/>
      <c r="C8" s="4"/>
      <c r="D8" s="190"/>
      <c r="E8" s="191"/>
    </row>
    <row r="9" spans="1:5" x14ac:dyDescent="0.2">
      <c r="A9" s="110"/>
      <c r="B9" s="219"/>
      <c r="C9" s="205"/>
      <c r="D9" s="206"/>
      <c r="E9" s="110"/>
    </row>
    <row r="11" spans="1:5" x14ac:dyDescent="0.2">
      <c r="A11" s="238" t="s">
        <v>132</v>
      </c>
      <c r="B11" s="239"/>
      <c r="D11" s="225" t="s">
        <v>71</v>
      </c>
      <c r="E11" s="204"/>
    </row>
    <row r="12" spans="1:5" hidden="1" x14ac:dyDescent="0.2">
      <c r="A12" s="168"/>
      <c r="B12" s="199"/>
    </row>
    <row r="13" spans="1:5" ht="12.75" customHeight="1" x14ac:dyDescent="0.2">
      <c r="A13" s="207">
        <v>45964</v>
      </c>
      <c r="B13" s="199">
        <v>250000</v>
      </c>
      <c r="D13" s="26"/>
      <c r="E13" s="210"/>
    </row>
    <row r="14" spans="1:5" ht="12.75" customHeight="1" x14ac:dyDescent="0.2">
      <c r="A14" s="207">
        <v>46080</v>
      </c>
      <c r="B14" s="199">
        <v>190223.76</v>
      </c>
      <c r="C14" s="26"/>
      <c r="D14" s="26"/>
      <c r="E14" s="210"/>
    </row>
    <row r="15" spans="1:5" ht="12.75" customHeight="1" x14ac:dyDescent="0.2">
      <c r="A15" s="207">
        <v>46090</v>
      </c>
      <c r="B15" s="199">
        <v>861186.79</v>
      </c>
      <c r="D15" s="26"/>
      <c r="E15" s="210"/>
    </row>
    <row r="16" spans="1:5" ht="12.75" customHeight="1" x14ac:dyDescent="0.2">
      <c r="A16" s="207" t="s">
        <v>157</v>
      </c>
      <c r="B16" s="199">
        <v>94192.24</v>
      </c>
      <c r="D16" s="26" t="s">
        <v>158</v>
      </c>
      <c r="E16" s="210"/>
    </row>
    <row r="17" spans="1:5" ht="12.75" customHeight="1" x14ac:dyDescent="0.25">
      <c r="A17" s="200" t="s">
        <v>56</v>
      </c>
      <c r="B17" s="214">
        <f>SUM(B13:B16)</f>
        <v>1395602.79</v>
      </c>
      <c r="D17" s="26"/>
      <c r="E17" s="210"/>
    </row>
    <row r="18" spans="1:5" ht="12.75" customHeight="1" x14ac:dyDescent="0.25">
      <c r="A18" s="202"/>
      <c r="D18" s="106"/>
      <c r="E18" s="211"/>
    </row>
    <row r="19" spans="1:5" s="171" customFormat="1" ht="12.75" customHeight="1" x14ac:dyDescent="0.2">
      <c r="A19" s="26"/>
      <c r="B19" s="221"/>
      <c r="C19" s="26"/>
      <c r="D19" s="226">
        <f>B16+B14</f>
        <v>284416</v>
      </c>
      <c r="E19" s="27"/>
    </row>
    <row r="20" spans="1:5" ht="12.75" customHeight="1" x14ac:dyDescent="0.2">
      <c r="A20" s="228" t="s">
        <v>144</v>
      </c>
      <c r="B20" s="229"/>
      <c r="E20" s="27"/>
    </row>
    <row r="21" spans="1:5" ht="12.75" customHeight="1" x14ac:dyDescent="0.2">
      <c r="A21" s="208" t="s">
        <v>137</v>
      </c>
      <c r="B21" s="222">
        <v>2094.2399999999998</v>
      </c>
      <c r="D21" s="227">
        <f>B13+B15</f>
        <v>1111186.79</v>
      </c>
      <c r="E21" s="211"/>
    </row>
    <row r="22" spans="1:5" ht="12.75" customHeight="1" x14ac:dyDescent="0.2">
      <c r="A22" s="208" t="s">
        <v>138</v>
      </c>
      <c r="B22" s="222">
        <v>16906.75</v>
      </c>
      <c r="E22" s="27"/>
    </row>
    <row r="23" spans="1:5" ht="12.75" customHeight="1" x14ac:dyDescent="0.2">
      <c r="A23" s="208" t="s">
        <v>139</v>
      </c>
      <c r="B23" s="222">
        <v>393.4</v>
      </c>
      <c r="E23" s="27"/>
    </row>
    <row r="24" spans="1:5" x14ac:dyDescent="0.2">
      <c r="A24" s="208" t="s">
        <v>140</v>
      </c>
      <c r="B24" s="222">
        <v>1947.64</v>
      </c>
      <c r="E24" s="27"/>
    </row>
    <row r="25" spans="1:5" x14ac:dyDescent="0.2">
      <c r="A25" s="208" t="s">
        <v>151</v>
      </c>
      <c r="B25" s="222">
        <v>68652</v>
      </c>
      <c r="D25" s="26"/>
      <c r="E25" s="27"/>
    </row>
    <row r="26" spans="1:5" x14ac:dyDescent="0.2">
      <c r="A26" s="208" t="s">
        <v>141</v>
      </c>
      <c r="B26" s="222">
        <v>3597.72</v>
      </c>
      <c r="D26" s="26"/>
      <c r="E26" s="27"/>
    </row>
    <row r="27" spans="1:5" x14ac:dyDescent="0.2">
      <c r="A27" s="208" t="s">
        <v>142</v>
      </c>
      <c r="B27" s="222">
        <v>8609.08</v>
      </c>
      <c r="E27" s="27"/>
    </row>
    <row r="28" spans="1:5" x14ac:dyDescent="0.2">
      <c r="A28" s="209" t="s">
        <v>143</v>
      </c>
      <c r="B28" s="222">
        <v>1162.3</v>
      </c>
      <c r="E28" s="27"/>
    </row>
    <row r="29" spans="1:5" x14ac:dyDescent="0.2">
      <c r="A29" s="208" t="s">
        <v>150</v>
      </c>
      <c r="B29" s="222">
        <v>129574.83</v>
      </c>
      <c r="D29" s="26"/>
      <c r="E29" s="27"/>
    </row>
    <row r="30" spans="1:5" x14ac:dyDescent="0.2">
      <c r="A30" s="208" t="s">
        <v>147</v>
      </c>
      <c r="B30" s="222">
        <v>197088.93</v>
      </c>
      <c r="D30" s="26"/>
      <c r="E30" s="27"/>
    </row>
    <row r="31" spans="1:5" x14ac:dyDescent="0.2">
      <c r="A31" s="208" t="s">
        <v>150</v>
      </c>
      <c r="B31" s="222">
        <v>18717.43</v>
      </c>
      <c r="D31" s="26"/>
      <c r="E31" s="27"/>
    </row>
    <row r="32" spans="1:5" x14ac:dyDescent="0.2">
      <c r="A32" s="208" t="s">
        <v>148</v>
      </c>
      <c r="B32" s="222">
        <f>54338.32+55661.68</f>
        <v>110000</v>
      </c>
      <c r="D32" s="26"/>
      <c r="E32" s="27"/>
    </row>
    <row r="33" spans="1:5" x14ac:dyDescent="0.2">
      <c r="A33" s="208" t="s">
        <v>150</v>
      </c>
      <c r="B33" s="222">
        <v>6500</v>
      </c>
      <c r="D33" s="26"/>
      <c r="E33" s="27"/>
    </row>
    <row r="34" spans="1:5" x14ac:dyDescent="0.2">
      <c r="A34" s="208" t="s">
        <v>154</v>
      </c>
      <c r="B34" s="222">
        <v>2855.5</v>
      </c>
      <c r="D34" s="26"/>
      <c r="E34" s="27"/>
    </row>
    <row r="35" spans="1:5" x14ac:dyDescent="0.2">
      <c r="A35" s="208" t="s">
        <v>155</v>
      </c>
      <c r="B35" s="222">
        <v>230591.1</v>
      </c>
      <c r="D35" s="26"/>
      <c r="E35" s="27"/>
    </row>
    <row r="36" spans="1:5" x14ac:dyDescent="0.2">
      <c r="A36" s="208" t="s">
        <v>150</v>
      </c>
      <c r="B36" s="222">
        <v>54543.25</v>
      </c>
      <c r="D36" s="26"/>
      <c r="E36" s="27"/>
    </row>
    <row r="37" spans="1:5" x14ac:dyDescent="0.2">
      <c r="A37" s="208" t="s">
        <v>156</v>
      </c>
      <c r="B37" s="222">
        <v>13089</v>
      </c>
      <c r="D37" s="26"/>
      <c r="E37" s="27"/>
    </row>
    <row r="38" spans="1:5" x14ac:dyDescent="0.2">
      <c r="A38" s="208" t="s">
        <v>153</v>
      </c>
      <c r="B38" s="222">
        <v>416.98</v>
      </c>
      <c r="D38" s="26"/>
      <c r="E38" s="27"/>
    </row>
    <row r="39" spans="1:5" x14ac:dyDescent="0.2">
      <c r="A39" s="168" t="s">
        <v>163</v>
      </c>
      <c r="B39" s="199">
        <v>57580</v>
      </c>
      <c r="D39" s="208"/>
    </row>
    <row r="40" spans="1:5" x14ac:dyDescent="0.2">
      <c r="A40" s="168"/>
      <c r="B40" s="199"/>
    </row>
    <row r="41" spans="1:5" x14ac:dyDescent="0.2">
      <c r="A41" s="168"/>
      <c r="B41" s="199"/>
    </row>
    <row r="42" spans="1:5" x14ac:dyDescent="0.2">
      <c r="A42" s="168"/>
      <c r="B42" s="199"/>
    </row>
    <row r="43" spans="1:5" x14ac:dyDescent="0.2">
      <c r="A43" s="168"/>
      <c r="B43" s="199"/>
    </row>
    <row r="44" spans="1:5" x14ac:dyDescent="0.2">
      <c r="A44" s="168"/>
      <c r="B44" s="199"/>
    </row>
    <row r="45" spans="1:5" ht="15" x14ac:dyDescent="0.25">
      <c r="A45" s="200" t="s">
        <v>56</v>
      </c>
      <c r="B45" s="214">
        <f>SUM(B21:B42)</f>
        <v>924320.15</v>
      </c>
      <c r="D45" s="204">
        <f>D21-B45</f>
        <v>186866.64</v>
      </c>
    </row>
    <row r="46" spans="1:5" ht="15" x14ac:dyDescent="0.25">
      <c r="A46" s="202"/>
      <c r="B46" s="203"/>
    </row>
    <row r="47" spans="1:5" ht="12.75" customHeight="1" x14ac:dyDescent="0.2">
      <c r="A47" s="228" t="s">
        <v>145</v>
      </c>
      <c r="B47" s="229"/>
      <c r="E47" s="27"/>
    </row>
    <row r="48" spans="1:5" ht="12.75" customHeight="1" x14ac:dyDescent="0.2">
      <c r="A48" s="208" t="s">
        <v>155</v>
      </c>
      <c r="B48" s="222">
        <f>57580+29633.5</f>
        <v>87213.5</v>
      </c>
      <c r="E48" s="27"/>
    </row>
    <row r="49" spans="1:9" ht="12.75" customHeight="1" x14ac:dyDescent="0.2">
      <c r="A49" s="208" t="s">
        <v>155</v>
      </c>
      <c r="B49" s="222">
        <f>172944.33*2</f>
        <v>345888.66</v>
      </c>
      <c r="E49" s="27"/>
    </row>
    <row r="50" spans="1:9" x14ac:dyDescent="0.2">
      <c r="A50" s="208" t="s">
        <v>133</v>
      </c>
      <c r="B50" s="222">
        <f>B45*0.05</f>
        <v>46216.007500000007</v>
      </c>
      <c r="E50" s="27"/>
    </row>
    <row r="51" spans="1:9" x14ac:dyDescent="0.2">
      <c r="A51" s="208"/>
      <c r="B51" s="222"/>
      <c r="D51" s="26"/>
      <c r="E51" s="27"/>
    </row>
    <row r="52" spans="1:9" ht="15" x14ac:dyDescent="0.25">
      <c r="A52" s="200" t="s">
        <v>56</v>
      </c>
      <c r="B52" s="214">
        <f>SUM(B48:B51)</f>
        <v>479318.16749999998</v>
      </c>
      <c r="D52" s="204">
        <f>B52-D45</f>
        <v>292451.52749999997</v>
      </c>
    </row>
    <row r="54" spans="1:9" ht="15" x14ac:dyDescent="0.25">
      <c r="A54" s="230" t="s">
        <v>136</v>
      </c>
      <c r="B54" s="231"/>
    </row>
    <row r="55" spans="1:9" x14ac:dyDescent="0.2">
      <c r="A55" s="201">
        <v>45809</v>
      </c>
      <c r="B55" s="199">
        <v>25907.06</v>
      </c>
    </row>
    <row r="56" spans="1:9" x14ac:dyDescent="0.2">
      <c r="A56" s="201">
        <v>45839</v>
      </c>
      <c r="B56" s="199">
        <v>25907.06</v>
      </c>
    </row>
    <row r="57" spans="1:9" x14ac:dyDescent="0.2">
      <c r="A57" s="201">
        <v>45870</v>
      </c>
      <c r="B57" s="199">
        <v>25907.06</v>
      </c>
    </row>
    <row r="58" spans="1:9" x14ac:dyDescent="0.2">
      <c r="A58" s="201">
        <v>45901</v>
      </c>
      <c r="B58" s="199">
        <v>25907.06</v>
      </c>
    </row>
    <row r="59" spans="1:9" x14ac:dyDescent="0.2">
      <c r="A59" s="201">
        <v>45931</v>
      </c>
      <c r="B59" s="199">
        <v>25907.06</v>
      </c>
    </row>
    <row r="60" spans="1:9" x14ac:dyDescent="0.2">
      <c r="A60" s="201">
        <v>45962</v>
      </c>
      <c r="B60" s="199">
        <v>25907.06</v>
      </c>
    </row>
    <row r="61" spans="1:9" x14ac:dyDescent="0.2">
      <c r="A61" s="201">
        <v>45992</v>
      </c>
      <c r="B61" s="199">
        <v>25907.06</v>
      </c>
    </row>
    <row r="62" spans="1:9" x14ac:dyDescent="0.2">
      <c r="A62" s="201">
        <v>46023</v>
      </c>
      <c r="B62" s="199">
        <v>23777.97</v>
      </c>
    </row>
    <row r="63" spans="1:9" x14ac:dyDescent="0.2">
      <c r="A63" s="201">
        <v>46054</v>
      </c>
      <c r="B63" s="199">
        <v>23777.97</v>
      </c>
      <c r="C63" s="160"/>
      <c r="D63" s="160"/>
      <c r="E63" s="160"/>
      <c r="F63" s="160"/>
      <c r="G63" s="160"/>
      <c r="H63" s="160"/>
      <c r="I63" s="160"/>
    </row>
    <row r="64" spans="1:9" x14ac:dyDescent="0.2">
      <c r="A64" s="201">
        <v>46082</v>
      </c>
      <c r="B64" s="199">
        <v>23777.97</v>
      </c>
    </row>
    <row r="65" spans="1:5" x14ac:dyDescent="0.2">
      <c r="A65" s="201">
        <v>46113</v>
      </c>
      <c r="B65" s="199">
        <v>23777.97</v>
      </c>
    </row>
    <row r="66" spans="1:5" x14ac:dyDescent="0.2">
      <c r="A66" s="201">
        <v>46143</v>
      </c>
      <c r="B66" s="199">
        <v>23777.97</v>
      </c>
      <c r="D66" s="204">
        <f>SUM(B55:B66)</f>
        <v>300239.27</v>
      </c>
    </row>
    <row r="67" spans="1:5" x14ac:dyDescent="0.2">
      <c r="A67" s="201">
        <v>46174</v>
      </c>
      <c r="B67" s="199">
        <v>23777.97</v>
      </c>
    </row>
    <row r="68" spans="1:5" x14ac:dyDescent="0.2">
      <c r="A68" s="201">
        <v>46204</v>
      </c>
      <c r="B68" s="199">
        <v>24151.97</v>
      </c>
    </row>
    <row r="69" spans="1:5" x14ac:dyDescent="0.2">
      <c r="A69" s="201">
        <v>46235</v>
      </c>
      <c r="B69" s="199">
        <v>24151.97</v>
      </c>
    </row>
    <row r="70" spans="1:5" x14ac:dyDescent="0.2">
      <c r="A70" s="201">
        <v>46266</v>
      </c>
      <c r="B70" s="199">
        <v>24151.97</v>
      </c>
    </row>
    <row r="71" spans="1:5" x14ac:dyDescent="0.2">
      <c r="A71" s="201">
        <v>46296</v>
      </c>
      <c r="B71" s="199">
        <v>24151.97</v>
      </c>
    </row>
    <row r="72" spans="1:5" ht="15" x14ac:dyDescent="0.25">
      <c r="A72" s="200" t="s">
        <v>56</v>
      </c>
      <c r="B72" s="214">
        <f>SUM(B55:B71)</f>
        <v>420625.11999999988</v>
      </c>
    </row>
    <row r="75" spans="1:5" ht="15" x14ac:dyDescent="0.25">
      <c r="A75" s="230" t="s">
        <v>134</v>
      </c>
      <c r="B75" s="231"/>
    </row>
    <row r="76" spans="1:5" x14ac:dyDescent="0.2">
      <c r="A76" s="201">
        <v>46327</v>
      </c>
      <c r="B76" s="199">
        <v>24151.97</v>
      </c>
    </row>
    <row r="77" spans="1:5" x14ac:dyDescent="0.2">
      <c r="A77" s="201">
        <v>46357</v>
      </c>
      <c r="B77" s="199">
        <v>24151.97</v>
      </c>
    </row>
    <row r="78" spans="1:5" x14ac:dyDescent="0.2">
      <c r="A78" s="201"/>
      <c r="B78" s="199"/>
    </row>
    <row r="79" spans="1:5" ht="15" x14ac:dyDescent="0.25">
      <c r="A79" s="200" t="s">
        <v>56</v>
      </c>
      <c r="B79" s="214">
        <f>SUM(B76:B77)</f>
        <v>48303.94</v>
      </c>
      <c r="D79" s="204">
        <f>B79+B72</f>
        <v>468929.05999999988</v>
      </c>
      <c r="E79" s="204">
        <f>D79-D19</f>
        <v>184513.05999999988</v>
      </c>
    </row>
    <row r="80" spans="1:5" ht="15" x14ac:dyDescent="0.25">
      <c r="A80" s="202"/>
    </row>
    <row r="82" spans="1:2" ht="15" x14ac:dyDescent="0.25">
      <c r="A82" s="212" t="s">
        <v>146</v>
      </c>
      <c r="B82" s="223">
        <f>B45+B52+B72+B79</f>
        <v>1872567.3774999997</v>
      </c>
    </row>
    <row r="85" spans="1:2" ht="15" x14ac:dyDescent="0.25">
      <c r="A85" s="213" t="s">
        <v>135</v>
      </c>
      <c r="B85" s="224">
        <f>B17-B82</f>
        <v>-476964.58749999967</v>
      </c>
    </row>
  </sheetData>
  <mergeCells count="9">
    <mergeCell ref="A20:B20"/>
    <mergeCell ref="A54:B54"/>
    <mergeCell ref="A75:B75"/>
    <mergeCell ref="A47:B47"/>
    <mergeCell ref="A1:E1"/>
    <mergeCell ref="A2:E2"/>
    <mergeCell ref="A3:E3"/>
    <mergeCell ref="A4:E4"/>
    <mergeCell ref="A11:B11"/>
  </mergeCells>
  <printOptions horizontalCentered="1"/>
  <pageMargins left="0.5" right="0.5" top="0.49" bottom="0.68" header="0.25" footer="0.5"/>
  <pageSetup scale="70" fitToHeight="0" orientation="portrait" r:id="rId1"/>
  <headerFooter alignWithMargins="0">
    <oddFooter>&amp;C&amp;8Executive Summary&amp;R&amp;8Page &amp;P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43366-8B19-443E-BA65-F90C3078F68D}">
  <dimension ref="A1:E17"/>
  <sheetViews>
    <sheetView workbookViewId="0">
      <selection activeCell="D20" sqref="D20"/>
    </sheetView>
  </sheetViews>
  <sheetFormatPr defaultRowHeight="12.75" x14ac:dyDescent="0.2"/>
  <cols>
    <col min="1" max="1" width="25.7109375" customWidth="1"/>
    <col min="2" max="2" width="36.42578125" customWidth="1"/>
    <col min="4" max="4" width="48.28515625" customWidth="1"/>
  </cols>
  <sheetData>
    <row r="1" spans="1:5" ht="15" x14ac:dyDescent="0.25">
      <c r="A1" s="232" t="s">
        <v>149</v>
      </c>
      <c r="B1" s="232"/>
      <c r="C1" s="232"/>
      <c r="D1" s="232"/>
      <c r="E1" s="232"/>
    </row>
    <row r="2" spans="1:5" ht="18" x14ac:dyDescent="0.25">
      <c r="A2" s="233" t="s">
        <v>1</v>
      </c>
      <c r="B2" s="234"/>
      <c r="C2" s="234"/>
      <c r="D2" s="234"/>
      <c r="E2" s="234"/>
    </row>
    <row r="3" spans="1:5" ht="15" x14ac:dyDescent="0.25">
      <c r="A3" s="235" t="s">
        <v>152</v>
      </c>
      <c r="B3" s="236"/>
      <c r="C3" s="236"/>
      <c r="D3" s="236"/>
      <c r="E3" s="236"/>
    </row>
    <row r="4" spans="1:5" x14ac:dyDescent="0.2">
      <c r="A4" s="237"/>
      <c r="B4" s="237"/>
      <c r="C4" s="237"/>
      <c r="D4" s="237"/>
      <c r="E4" s="237"/>
    </row>
    <row r="5" spans="1:5" x14ac:dyDescent="0.2">
      <c r="A5" s="17"/>
      <c r="B5" s="215"/>
      <c r="C5" s="18"/>
      <c r="D5" s="18"/>
      <c r="E5" s="19"/>
    </row>
    <row r="6" spans="1:5" x14ac:dyDescent="0.2">
      <c r="A6" s="20"/>
      <c r="B6" s="216"/>
      <c r="C6" s="105"/>
      <c r="D6" s="192"/>
      <c r="E6" s="21"/>
    </row>
    <row r="7" spans="1:5" x14ac:dyDescent="0.2">
      <c r="A7" s="20"/>
      <c r="B7" s="217"/>
      <c r="C7" s="105"/>
      <c r="D7" s="193"/>
      <c r="E7" s="21"/>
    </row>
    <row r="8" spans="1:5" x14ac:dyDescent="0.2">
      <c r="A8" s="189"/>
      <c r="B8" s="218"/>
      <c r="C8" s="4"/>
      <c r="D8" s="190"/>
      <c r="E8" s="191"/>
    </row>
    <row r="9" spans="1:5" x14ac:dyDescent="0.2">
      <c r="A9" s="110"/>
      <c r="B9" s="219"/>
      <c r="C9" s="205"/>
      <c r="D9" s="206"/>
      <c r="E9" s="110"/>
    </row>
    <row r="10" spans="1:5" x14ac:dyDescent="0.2">
      <c r="B10" s="220"/>
    </row>
    <row r="11" spans="1:5" x14ac:dyDescent="0.2">
      <c r="A11" s="238" t="s">
        <v>132</v>
      </c>
      <c r="B11" s="239"/>
      <c r="D11" s="225" t="s">
        <v>71</v>
      </c>
      <c r="E11" s="204"/>
    </row>
    <row r="12" spans="1:5" x14ac:dyDescent="0.2">
      <c r="A12" s="168"/>
      <c r="B12" s="199"/>
    </row>
    <row r="13" spans="1:5" x14ac:dyDescent="0.2">
      <c r="A13" s="207">
        <v>45964</v>
      </c>
      <c r="B13" s="199">
        <v>250000</v>
      </c>
      <c r="D13" s="26" t="s">
        <v>161</v>
      </c>
      <c r="E13" s="210"/>
    </row>
    <row r="14" spans="1:5" x14ac:dyDescent="0.2">
      <c r="A14" s="207">
        <v>46080</v>
      </c>
      <c r="B14" s="199">
        <v>190223.76</v>
      </c>
      <c r="C14" s="26"/>
      <c r="D14" s="26" t="s">
        <v>159</v>
      </c>
      <c r="E14" s="210"/>
    </row>
    <row r="15" spans="1:5" x14ac:dyDescent="0.2">
      <c r="A15" s="207">
        <v>46090</v>
      </c>
      <c r="B15" s="199">
        <v>861186.79</v>
      </c>
      <c r="D15" s="26" t="s">
        <v>160</v>
      </c>
      <c r="E15" s="210"/>
    </row>
    <row r="16" spans="1:5" x14ac:dyDescent="0.2">
      <c r="A16" s="207" t="s">
        <v>157</v>
      </c>
      <c r="B16" s="199">
        <v>94192.24</v>
      </c>
      <c r="D16" s="26" t="s">
        <v>162</v>
      </c>
      <c r="E16" s="210"/>
    </row>
    <row r="17" spans="1:5" ht="15" x14ac:dyDescent="0.25">
      <c r="A17" s="200" t="s">
        <v>56</v>
      </c>
      <c r="B17" s="214">
        <f>SUM(B13:B16)</f>
        <v>1395602.79</v>
      </c>
      <c r="D17" s="26"/>
      <c r="E17" s="210"/>
    </row>
  </sheetData>
  <mergeCells count="5">
    <mergeCell ref="A1:E1"/>
    <mergeCell ref="A2:E2"/>
    <mergeCell ref="A3:E3"/>
    <mergeCell ref="A4:E4"/>
    <mergeCell ref="A11:B1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22CF68C055114DA97EF8D138719082" ma:contentTypeVersion="20" ma:contentTypeDescription="Create a new document." ma:contentTypeScope="" ma:versionID="b5c0750b72c46c851de52cf1d6b36029">
  <xsd:schema xmlns:xsd="http://www.w3.org/2001/XMLSchema" xmlns:xs="http://www.w3.org/2001/XMLSchema" xmlns:p="http://schemas.microsoft.com/office/2006/metadata/properties" xmlns:ns2="069880a5-8f46-414f-ac65-5519fcf06b35" xmlns:ns3="3f9c4c49-468b-4537-8750-498022e10f14" targetNamespace="http://schemas.microsoft.com/office/2006/metadata/properties" ma:root="true" ma:fieldsID="5f9bc3218f61d724115d45943e1be625" ns2:_="" ns3:_="">
    <xsd:import namespace="069880a5-8f46-414f-ac65-5519fcf06b35"/>
    <xsd:import namespace="3f9c4c49-468b-4537-8750-498022e10f1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9880a5-8f46-414f-ac65-5519fcf06b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0971a3b6-96de-4df1-a824-c11b637850d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f9c4c49-468b-4537-8750-498022e10f14"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4055440-4ea0-421c-ac8c-ae1343c94cdc}" ma:internalName="TaxCatchAll" ma:showField="CatchAllData" ma:web="3f9c4c49-468b-4537-8750-498022e10f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069880a5-8f46-414f-ac65-5519fcf06b35">
      <Terms xmlns="http://schemas.microsoft.com/office/infopath/2007/PartnerControls"/>
    </lcf76f155ced4ddcb4097134ff3c332f>
    <TaxCatchAll xmlns="3f9c4c49-468b-4537-8750-498022e10f14" xsi:nil="true"/>
  </documentManagement>
</p:properties>
</file>

<file path=customXml/itemProps1.xml><?xml version="1.0" encoding="utf-8"?>
<ds:datastoreItem xmlns:ds="http://schemas.openxmlformats.org/officeDocument/2006/customXml" ds:itemID="{05CF7394-780D-45D3-A328-10F217FCE4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9880a5-8f46-414f-ac65-5519fcf06b35"/>
    <ds:schemaRef ds:uri="3f9c4c49-468b-4537-8750-498022e10f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E8B533B-1148-4C41-9B97-431ED87D1BC7}">
  <ds:schemaRefs>
    <ds:schemaRef ds:uri="http://schemas.microsoft.com/office/2006/metadata/longProperties"/>
  </ds:schemaRefs>
</ds:datastoreItem>
</file>

<file path=customXml/itemProps3.xml><?xml version="1.0" encoding="utf-8"?>
<ds:datastoreItem xmlns:ds="http://schemas.openxmlformats.org/officeDocument/2006/customXml" ds:itemID="{C716B2F4-EAA5-4621-A952-3B866E45A67E}">
  <ds:schemaRefs>
    <ds:schemaRef ds:uri="http://schemas.microsoft.com/sharepoint/v3/contenttype/forms"/>
  </ds:schemaRefs>
</ds:datastoreItem>
</file>

<file path=customXml/itemProps4.xml><?xml version="1.0" encoding="utf-8"?>
<ds:datastoreItem xmlns:ds="http://schemas.openxmlformats.org/officeDocument/2006/customXml" ds:itemID="{A87FBF4C-D704-4C8C-9C39-5FEC6AF312BC}">
  <ds:schemaRefs>
    <ds:schemaRef ds:uri="http://schemas.microsoft.com/office/2006/metadata/properties"/>
    <ds:schemaRef ds:uri="http://schemas.microsoft.com/office/infopath/2007/PartnerControls"/>
    <ds:schemaRef ds:uri="069880a5-8f46-414f-ac65-5519fcf06b35"/>
    <ds:schemaRef ds:uri="3f9c4c49-468b-4537-8750-498022e10f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Executive Summary</vt:lpstr>
      <vt:lpstr>Tenant Delinquency</vt:lpstr>
      <vt:lpstr>COVID 19-Rent Recovery</vt:lpstr>
      <vt:lpstr>Tenant COI Tracking </vt:lpstr>
      <vt:lpstr>Tenant Maintenance Tracking</vt:lpstr>
      <vt:lpstr>Fosters Rebuild Costs</vt:lpstr>
      <vt:lpstr>Distributions</vt:lpstr>
      <vt:lpstr>'COVID 19-Rent Recovery'!Print_Area</vt:lpstr>
      <vt:lpstr>'Executive Summary'!Print_Area</vt:lpstr>
      <vt:lpstr>'Fosters Rebuild Costs'!Print_Area</vt:lpstr>
      <vt:lpstr>'Tenant COI Tracking '!Print_Area</vt:lpstr>
      <vt:lpstr>'Tenant Delinquency'!Print_Area</vt:lpstr>
      <vt:lpstr>'Tenant Maintenance Tracking'!Print_Area</vt:lpstr>
    </vt:vector>
  </TitlesOfParts>
  <Manager/>
  <Company>DRC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IT</dc:creator>
  <cp:keywords/>
  <dc:description/>
  <cp:lastModifiedBy>Mike Garner</cp:lastModifiedBy>
  <cp:revision/>
  <cp:lastPrinted>2026-04-17T20:45:56Z</cp:lastPrinted>
  <dcterms:created xsi:type="dcterms:W3CDTF">2011-10-06T15:30:24Z</dcterms:created>
  <dcterms:modified xsi:type="dcterms:W3CDTF">2026-10-19T17:40:47Z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Holly Leonhard</vt:lpwstr>
  </property>
  <property fmtid="{D5CDD505-2E9C-101B-9397-08002B2CF9AE}" pid="3" name="Order">
    <vt:lpwstr>32126400.0000000</vt:lpwstr>
  </property>
  <property fmtid="{D5CDD505-2E9C-101B-9397-08002B2CF9AE}" pid="4" name="display_urn:schemas-microsoft-com:office:office#Author">
    <vt:lpwstr>Holly Leonhard</vt:lpwstr>
  </property>
  <property fmtid="{D5CDD505-2E9C-101B-9397-08002B2CF9AE}" pid="5" name="ContentTypeId">
    <vt:lpwstr>0x010100E822CF68C055114DA97EF8D138719082</vt:lpwstr>
  </property>
  <property fmtid="{D5CDD505-2E9C-101B-9397-08002B2CF9AE}" pid="6" name="MediaServiceImageTags">
    <vt:lpwstr/>
  </property>
</Properties>
</file>