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J:\JH PROPERTIES\COCONUT GROVE\MONTHLY REPORTS\2026\07.26\"/>
    </mc:Choice>
  </mc:AlternateContent>
  <xr:revisionPtr revIDLastSave="0" documentId="13_ncr:1_{610C5B1B-BFD9-455D-A99D-42C676B0062A}" xr6:coauthVersionLast="47" xr6:coauthVersionMax="47" xr10:uidLastSave="{00000000-0000-0000-0000-000000000000}"/>
  <bookViews>
    <workbookView xWindow="-28920" yWindow="-120" windowWidth="29040" windowHeight="15720" xr2:uid="{00000000-000D-0000-FFFF-FFFF00000000}"/>
  </bookViews>
  <sheets>
    <sheet name="Executive Summary" sheetId="1" r:id="rId1"/>
    <sheet name="Tenant Delinquency" sheetId="2" r:id="rId2"/>
    <sheet name="COVID 19-Rent Recovery" sheetId="4" r:id="rId3"/>
    <sheet name="Tenant COI Tracking " sheetId="3" r:id="rId4"/>
    <sheet name="Tenant Maintenance Tracking" sheetId="5" r:id="rId5"/>
    <sheet name="Fosters Rebuild Costs" sheetId="7" r:id="rId6"/>
  </sheets>
  <definedNames>
    <definedName name="_xlnm.Print_Area" localSheetId="2">'COVID 19-Rent Recovery'!$A$1:$K$16</definedName>
    <definedName name="_xlnm.Print_Area" localSheetId="0">'Executive Summary'!$A$1:$I$50</definedName>
    <definedName name="_xlnm.Print_Area" localSheetId="5">'Fosters Rebuild Costs'!$A$1:$E$74</definedName>
    <definedName name="_xlnm.Print_Area" localSheetId="3">'Tenant COI Tracking '!$A$1:$G$32</definedName>
    <definedName name="_xlnm.Print_Area" localSheetId="1">'Tenant Delinquency'!$A$1:$I$19</definedName>
    <definedName name="_xlnm.Print_Area" localSheetId="4">'Tenant Maintenance Tracking'!$A$1:$E$28</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0" i="7" l="1"/>
  <c r="B73" i="7"/>
  <c r="B59" i="7"/>
  <c r="J26" i="1" l="1"/>
  <c r="L26" i="1"/>
  <c r="K26" i="1"/>
  <c r="J23" i="1"/>
  <c r="A3" i="7"/>
  <c r="A3" i="5"/>
  <c r="B34" i="7"/>
  <c r="B15" i="7" l="1"/>
  <c r="B67" i="7"/>
  <c r="B42" i="7"/>
  <c r="M26" i="1"/>
  <c r="P26" i="1"/>
  <c r="A3" i="3"/>
  <c r="A4" i="4"/>
  <c r="A3" i="2"/>
  <c r="B17" i="2"/>
  <c r="N26" i="1"/>
  <c r="D13" i="1" l="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<sst xmlns="http://schemas.openxmlformats.org/spreadsheetml/2006/main" count="371" uniqueCount="155">
  <si>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</si>
  <si>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</si>
  <si>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</si>
  <si>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</si>
  <si>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</si>
  <si>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</si>
  <si>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</si>
  <si>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</si>
  <si>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</si>
  <si>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</si>
  <si>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</si>
  <si>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</si>
  <si>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</si>
  <si>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</si>
  <si>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</si>
  <si>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</si>
  <si>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</si>
  <si>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</si>
  <si>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</si>
  <si>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</si>
  <si>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</si>
  <si>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</si>
  <si>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</si>
  <si>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</si>
  <si>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</si>
  <si>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</si>
  <si>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</si>
  <si>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</si>
  <si>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</si>
  <si>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</si>
  <si>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</si>
  <si>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</si>
  <si>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</si>
  <si>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</si>
  <si>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</si>
  <si>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</si>
  <si>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</si>
  <si>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</si>
  <si>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</si>
  <si>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</si>
  <si>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</si>
  <si>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</si>
  <si>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</si>
  <si>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</si>
  <si>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</si>
  <si>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</si>
  <si>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</si>
  <si>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</si>
  <si>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</si>
  <si>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</si>
  <si>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</si>
  <si>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</si>
  <si>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</si>
  <si>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</si>
  <si>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</si>
  <si>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</si>
  <si>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</si>
  <si>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</si>
  <si>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</si>
  <si>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</si>
  <si>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</si>
  <si>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</si>
  <si>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</si>
  <si>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</si>
  <si>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</si>
  <si>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</si>
  <si>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</si>
  <si>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</si>
  <si>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</si>
  <si>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</si>
  <si>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</si>
  <si>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</si>
  <si>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</si>
  <si>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</si>
  <si>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</si>
  <si>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</si>
  <si>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</si>
  <si>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</si>
  <si>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</si>
  <si>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</si>
  <si>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</si>
  <si>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</si>
  <si>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</si>
  <si>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</si>
  <si>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</si>
  <si>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</si>
  <si>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</si>
  <si>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</si>
  <si>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</si>
  <si>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</si>
  <si>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</si>
  <si>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</si>
  <si>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</si>
  <si>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</si>
  <si>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</si>
  <si>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</si>
  <si>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</si>
  <si>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</si>
  <si>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</si>
  <si>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</si>
  <si>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</si>
  <si>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</si>
  <si>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</si>
  <si>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</si>
  <si>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 xml:space="preserve">Tenant DOC/ WOS expired. Management following up on renewal.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</si>
  <si>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</si>
  <si>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</si>
  <si>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</si>
  <si>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</si>
  <si>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</si>
  <si>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</si>
  <si>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</si>
  <si>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</si>
  <si>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</si>
  <si>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</si>
  <si>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</si>
  <si>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</si>
  <si>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</si>
  <si>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</si>
  <si>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</si>
  <si>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Balance of Initial Contract</t>
  </si>
  <si>
    <t>Anticipated Additional Work</t>
  </si>
  <si>
    <t>Total Paid Expenses to Date and Forecasted</t>
  </si>
  <si>
    <t xml:space="preserve">Tenant DOC expired. Management following up on renewal. </t>
  </si>
  <si>
    <t xml:space="preserve">Additional endorsement pages expired. Management following up on renewal. </t>
  </si>
  <si>
    <t>Kitchen Equipment</t>
  </si>
  <si>
    <t>Additional Kitchen Equipment</t>
  </si>
  <si>
    <t>Humpy's</t>
  </si>
  <si>
    <t>Gypsea Gelato (SF 500)</t>
  </si>
  <si>
    <t xml:space="preserve">Lease Expiration Date: 5/31/2027
Rent: $5.46 PSF                                                                                                                          
Option: Tenant has zero (0) remaining options.
Notes: Management reached out to tenant to discuss renewal. </t>
  </si>
  <si>
    <t xml:space="preserve">Credit reflects 2025 PYC reversal . The balance is being deferred as part of the amendment. </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</si>
  <si>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New lease term commenced 4/1/2026.</t>
  </si>
  <si>
    <t>Lease Expiration Date: 8/31/2031
Rent: $3.85 PSF until Foster's opens (approximately 10/26), then increases 3%.                                                                                                                 
Option: Tenant has one (1) remaining, five (5) year option at FMV. Notice due 180 days prior to expiration.  
Notes: New lease term commences 9/1/2026.
- 5 year option - Landlord approved FMV Rent - flat until Foster's open, then 3% increase w/annual increases thereafter.
- Parking - Landlord denied request to have his customers to get 1 hour free with validation then half-off and no complimentary parking for owner's vehicles.
 - Eric Kim would like to be added to the lease (all guarantors remain in place). Landlord approved and management requesting his financials.
- Waive 2024 PYC - $7K - 2025 PYC is a credit of $3,700 - Management will tell him we are waiving billing for both and clear it up internally.
- Exclusive Use as a tenant that "operates a primary coffee shop or cafe concept" - Landlord approved primary coffee shop, no other tenant with more than 50% sales from coffee, we will NOT agree to the word "cafe" in the exclusion.</t>
  </si>
  <si>
    <t>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 parking ordinance (Bill 133) did not pass and City Council will not be limiting parking rates. Parklinq has added parking rates to all entrance signs.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Roof work has been completed. Estimated reopening date is November 2026.</t>
  </si>
  <si>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payments have been mailed to Premier Hawaii Restoration, BH Properties and Bargreen. Roof work has been completed. We have received a new bid and are awaiting one more, and we will revise the estimates after receipt and review of the new bids. Estimated reopening date is November 2026.</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</si>
  <si>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Bee infestation - This seems to be resolved now. New trash cans will be delivered in June. 
Monument Sign Kuakini - Sign was damaged during the recent storms. Management reviewed design specs of new sign and approved. Waiting on pricing from SVN.
Concrete Curbing to be replaced - contractor has been delayed. SVN to provide update on scheduling. 
Paid Parking w. Parklinq -   In May 2026, Coconut Grove Marketplace generated $35,429.50 in net revenue, reflecting a 10% increase from April’s $32,117.71. Year-over-year, revenue increased 90% compared to May 2025’s $18,654.12, continuing the property's strong growth trend. A total of 3,935 paid vehicles parked in May, generating $35,429.50 in parking revenue.  Each parking stall produced an average of $528.80 in revenue, and the average length of stay remained at 2 hours. Sunday remained the busiest day of the week, while peak activity occurred between 10:00 AM and 1:00 PM. This represents a notable shift from the property's typical evening demand pattern observed throughout much of the past year. Compliance &amp; Tenant Parking: Compliance improved to 97%, up from 96% in April, with 0 vehicles towed after repeated violations. Employee and permit parking activity remained stable at 580 registered license plates. Overall, May reflected another strong month for the Coconut Grove Marketplace, with double-digit month-over-month revenue growth, continued year-over-year gains, improved compliance, and healthy participation across both paid and kamaʻāina parking programs. The property continues to demonstrate strong demand while maintaining balanced utilization across standard, validated, and free parking users.
</t>
    </r>
    <r>
      <rPr>
        <b/>
        <sz val="11"/>
        <color rgb="FFFF0000"/>
        <rFont val="Arial"/>
        <family val="2"/>
      </rPr>
      <t xml:space="preserve">Parking rates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color rgb="FFFF0000"/>
        <rFont val="Arial"/>
        <family val="2"/>
      </rPr>
      <t xml:space="preserve">
Tourism: Overall air count down up by 6.7% island wide. West Hawaii was up 4.5%. Hotel occupancy is about 76% which is 1.4 % down from 2025 in West Hawaii and 0.4% down in the Kohala Coast. University of Hawaii Economic Office is projecting Hawaii will be in a recession in 2026.</t>
    </r>
  </si>
  <si>
    <t>MTD Revenue variance is over budget due to:
- $12K Parking Rent higher than anticipated
This is offset by:
-($3.5K) PCR slightly less than anticipated</t>
  </si>
  <si>
    <t xml:space="preserve">YTD Revenue variance is under budget due to:
- ($65.5k) Humpy's PYC deferral
- ($22K) PYC credits
- ($5K) PCR less than anticipated
Offset by:
- $51K Parking Rent higher than anticipated  
</t>
  </si>
  <si>
    <t>MTD Expenses variance is under budget due to:
- ($14K) Site Furnishing (unbudgeted repair/replacement of trash receptacles)
This is offset by:
-$10K Timing of Trash and Electric invoices</t>
  </si>
  <si>
    <r>
      <t xml:space="preserve">Term: 10 years w/2 5-yr Options
Rent: $13,000 YR 1-2 with increases in years 3 &amp; 6
Possession Date: 10/28/25
RCD: 6/25/26 (240 days after possession date)
Lease has been fully executed and tenant is designing space for permitting. Tenant has finalized plans and submitting to County for permits. Satisfaction of Contingencies letter sent 10/28/25. </t>
    </r>
    <r>
      <rPr>
        <b/>
        <sz val="11"/>
        <color theme="1"/>
        <rFont val="Arial"/>
        <family val="2"/>
      </rPr>
      <t>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submitted revised plans to the County and structural and fire comments were received back. Tenant is addressing both issues with their architect.</t>
    </r>
  </si>
  <si>
    <t>1) Parking Lot Sealing and Striping - SVN received bids slurry/seal and stipe of the parking lot, but the original set came in high. SVN obtaining additional bids for Landlord review.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November 2026.
5) Q Pot building - Roof work completed. 
6) Exterior Painting - all buildings are due for exterior painting. SVN obtaining bids for 2027 budget</t>
  </si>
  <si>
    <t>Balance due reflects 2026 NNN short pays and 2025 PYC offset by 2024 PYC credit. Working with Nir Levav to pay the remaining balance.</t>
  </si>
  <si>
    <t>Chong Hot Pot</t>
  </si>
  <si>
    <t xml:space="preserve">Balance due reflects June and July charges offset by Pre-paid Rent. Tenant has not paid August either. They are disputing their Rent Commencement Date. Management continues to follow up. </t>
  </si>
  <si>
    <t>Lavernes</t>
  </si>
  <si>
    <r>
      <t xml:space="preserve">
</t>
    </r>
    <r>
      <rPr>
        <b/>
        <sz val="11"/>
        <rFont val="Arial"/>
        <family val="2"/>
      </rPr>
      <t xml:space="preserve">Gross Sales increased for the following tenants:
</t>
    </r>
    <r>
      <rPr>
        <sz val="11"/>
        <rFont val="Arial"/>
        <family val="2"/>
      </rPr>
      <t xml:space="preserve">- Big Island Running: In July 2026, tenant generated $57,003 in sales, reflecting a 23% increase over June and 14% over prior year 
- ABC Stores: In July 2026, tenant generated $600,118 in sales, reflecting an 11% increase over June and 3% over prior year 
- Ocean's: In July 2026, tenant generated $136,150 in sales, reflecting an 8% increase over June and 16% over prior year 
- Gypsea Gelato: In July 2026, tenant generated $59,806 in sales, reflecting a 3% increase from June, but a 1% decrease from prior year
- Taka Sushi: n July 2026, tenant generated $59,432 in sales, reflecting a 9% increase over June and 14.5% over prior year 
</t>
    </r>
    <r>
      <rPr>
        <b/>
        <sz val="11"/>
        <rFont val="Arial"/>
        <family val="2"/>
      </rPr>
      <t xml:space="preserve">Gross Sales decreased for the following tenants:
</t>
    </r>
    <r>
      <rPr>
        <sz val="11"/>
        <rFont val="Arial"/>
        <family val="2"/>
      </rPr>
      <t>- Kona Gear: In July 2026, tenant generated $98,254 in sales, reflecting an 6% decrease from June and 3% less than prior year</t>
    </r>
    <r>
      <rPr>
        <b/>
        <sz val="11"/>
        <rFont val="Arial"/>
        <family val="2"/>
      </rPr>
      <t xml:space="preserve">
</t>
    </r>
    <r>
      <rPr>
        <sz val="11"/>
        <rFont val="Arial"/>
        <family val="2"/>
      </rPr>
      <t xml:space="preserve">- Island Lava Java: In July 2026, tenant generated $409,811 in sales, reflecting a 3% increase from June, but an 18% decrease from prior year
</t>
    </r>
  </si>
  <si>
    <t xml:space="preserve">YTD Expenses are under budget due to:
- $26K Timing of Security invoices. Management is holding payment due to non-compliant insurance. Release in July and August
- $27K Timing of Parking Lot Repairs - SVN is gathering bids 
- $21K Timing of Trash Invoices due to change in vendor
- $27K Unused contingency for Plumbing, Landscape Consumables
- $26K Water/Sewer less than anticipated 
Offset by:
- ($10.3K) Property Insurance higher than allocated
- ($17K) Site Furnishing (unbudgeted repair/replacement of trash receptacles) </t>
  </si>
  <si>
    <t>August 2026</t>
  </si>
  <si>
    <t>Bargreen Ellingson</t>
  </si>
  <si>
    <t>SCL Builders Deposit</t>
  </si>
  <si>
    <t>Premier Restoration</t>
  </si>
  <si>
    <t>Balance due reflects July rents paid in August. Tenant has a $0.00 balance</t>
  </si>
  <si>
    <r>
      <t xml:space="preserve">Parking Lot - SVN received bids slurry/seal and stipe of the parking lot, but the original set came in high. SVN obtaining additional bids for Landlord review. 
Elevator Lava Java - Elevator mod has been completed all deficiencies have been addressed. Pending final state re-inspection before the permit is issued and final payment released. 
Monument Sign Kuakini - Sign was damaged during the recent storms. Management reviewed design specs of new sign and approved. One proposal was received ($12.6k), SVN obtaining second bid before work is approved. Management continues to follow up.
Concrete Curbing replacement was completed in June 2026.
Paid Parking w. Parklinq -    In July 2026, Coconut Grove Marketplace generated $44,202.54 in net revenue, reflecting a 5% increase from June's $42,007.06. Year-over-year, revenue increased 60% compared to $27,700.51 in July 2025, continuing the property’s strong growth trend. A total of 4,423 paid vehicles parked in July, a 2% increase from June. Each parking stall produced an average of $659.74 in revenue, while the average length of stay remained at 3 hours. Friday was the busiest day of the week, while peak activity occurred between 10:00 AM and 1:00 PM. Reservation Distribution: A total of 8,287 vehicle reservations were recorded in July, approximately 2% more than June. Compliance &amp; Tenant Parking: Compliance remained strong at 96%. Employee and permit parking registrations increased to 601 license plates, compared to 598 in June. Overall, July reflected another strong month for Coconut Grove Marketplace, with steady month-over-month revenue, and revenue more than doubling year-over-year, higher paid parking activity, and healthy participation across the property’s standard, validated, and kamaʻāina parking programs. The property continues to demonstrate strong demand while maintaining balanced utilization across standard, validated, and free parking users.
</t>
    </r>
    <r>
      <rPr>
        <b/>
        <sz val="11"/>
        <rFont val="Arial"/>
        <family val="2"/>
      </rPr>
      <t xml:space="preserve">Parking rates were updated as of April 2026: 3 hours free parking for locals with validation and $3/hr after first 3 hours; $12 max/day. Tourist rates are $6/hr with validation; $18 max/day. Parking rates are also prorated, so if a customer buys 30 minutes of parking at $6/hr, they will receive a refund and only pay $3/hr with validation plus they receive an hour of free parking. Parklinq has also added parking rates at entrance signs and is working with the county's improvement district for sign permits. Bill 133 for the Parking Ordinance did not pass. 
</t>
    </r>
    <r>
      <rPr>
        <sz val="11"/>
        <rFont val="Arial"/>
        <family val="2"/>
      </rPr>
      <t xml:space="preserve">
Tourism: Tourism is up 6.8% in Kona. Hotel occupancy is 72.6% which is 1.6% down from 2025 in West Hawaii and 2.7% down in the Kohala Coast. University of Hawaii Economic Office is projecting Hawaii will be in a recession in 2026. Air traffic numbers are still unavailable.</t>
    </r>
  </si>
  <si>
    <t xml:space="preserve">MTD Owner expenses are over budget due to:
-($3K) Legal Fees - Fosters
-($4K) Professional Fees
Please see the "Fosters Rebuild Costs" tab for more details. </t>
  </si>
  <si>
    <t xml:space="preserve">YTD Owner expenses are over budget due to:
-($5K) Legal Fees - Fosters
-($10K) Professional Fees - Paracorp, Tax Prep, and ICSC
This is offset by:
-$4K Marketing
-$5K Utilities and Licensing
Please see the "Fosters Rebuild Costs" tab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</si>
</sst>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4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0"/>
      <name val="Arial"/>
      <family val="2"/>
    </font>
    <font>
      <b/>
      <sz val="12"/>
      <name val="Arial"/>
      <family val="2"/>
    </font>
    <font>
      <sz val="11"/>
      <color rgb="FFFF0000"/>
      <name val="Calibri"/>
      <family val="2"/>
      <scheme val="minor"/>
    </font>
    <font>
      <i/>
      <sz val="10"/>
      <name val="Arial"/>
      <family val="2"/>
    </font>
    <font>
      <b/>
      <u/>
      <sz val="10"/>
      <name val="Arial"/>
      <family val="2"/>
    </font>
    <font>
      <b/>
      <u/>
      <sz val="11"/>
      <color rgb="FF000000"/>
      <name val="Calibri"/>
      <family val="2"/>
    </font>
    <font>
      <sz val="10"/>
      <color theme="1"/>
      <name val="Arial"/>
      <family val="2"/>
    </font>
    <font>
      <b/>
      <sz val="11"/>
      <color rgb="FFFF0000"/>
      <name val="Arial"/>
      <family val="2"/>
    </font>
    <font>
      <b/>
      <sz val="10"/>
      <color rgb="FFFF0000"/>
      <name val="Arial"/>
      <family val="2"/>
    </font>
    <font>
      <sz val="11"/>
      <color rgb="FFFF0000"/>
      <name val="Calibri"/>
      <family val="2"/>
    </font>
    <font>
      <b/>
      <sz val="11"/>
      <color theme="1"/>
      <name val="Arial"/>
      <family val="2"/>
    </font>
    <font>
      <b/>
      <sz val="14"/>
      <color theme="1"/>
      <name val="Arial"/>
      <family val="2"/>
    </font>
    <font>
      <b/>
      <sz val="9"/>
      <color theme="1"/>
      <name val="Arial"/>
      <family val="2"/>
    </font>
    <font>
      <b/>
      <sz val="10"/>
      <color theme="1"/>
      <name val="Arial"/>
      <family val="2"/>
    </font>
    <font>
      <b/>
      <i/>
      <sz val="11"/>
      <color theme="1"/>
      <name val="Arial"/>
      <family val="2"/>
    </font>
    <font>
      <b/>
      <i/>
      <sz val="10"/>
      <color theme="1"/>
      <name val="Arial"/>
      <family val="2"/>
    </font>
    <font>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D9D9D9"/>
        <bgColor rgb="FF000000"/>
      </patternFill>
    </fill>
    <fill>
      <patternFill patternType="solid">
        <fgColor rgb="FFFFFFFF"/>
        <bgColor rgb="FF000000"/>
      </patternFill>
    </fill>
    <fill>
      <patternFill patternType="solid">
        <fgColor rgb="FFFFFF00"/>
        <bgColor rgb="FF000000"/>
      </patternFill>
    </fill>
    <fill>
      <patternFill patternType="solid">
        <fgColor rgb="FF92D05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6">
    <xf numFmtId="0" fontId="0" fillId="0" borderId="0"/>
    <xf numFmtId="43" fontId="14" fillId="0" borderId="0" applyFont="0" applyFill="0" applyBorder="0" applyAlignment="0" applyProtection="0"/>
    <xf numFmtId="43" fontId="25" fillId="0" borderId="0" applyFont="0" applyFill="0" applyBorder="0" applyAlignment="0" applyProtection="0"/>
    <xf numFmtId="43" fontId="16" fillId="0" borderId="0" applyFont="0" applyFill="0" applyBorder="0" applyAlignment="0" applyProtection="0"/>
    <xf numFmtId="43" fontId="26" fillId="0" borderId="0" applyFont="0" applyFill="0" applyBorder="0" applyAlignment="0" applyProtection="0"/>
    <xf numFmtId="44" fontId="14" fillId="0" borderId="0" applyFont="0" applyFill="0" applyBorder="0" applyAlignment="0" applyProtection="0"/>
    <xf numFmtId="44" fontId="25" fillId="0" borderId="0" applyFont="0" applyFill="0" applyBorder="0" applyAlignment="0" applyProtection="0"/>
    <xf numFmtId="44" fontId="16" fillId="0" borderId="0" applyFont="0" applyFill="0" applyBorder="0" applyAlignment="0" applyProtection="0"/>
    <xf numFmtId="44" fontId="26" fillId="0" borderId="0" applyFont="0" applyFill="0" applyBorder="0" applyAlignment="0" applyProtection="0"/>
    <xf numFmtId="0" fontId="27" fillId="0" borderId="0"/>
    <xf numFmtId="9" fontId="14" fillId="0" borderId="0" applyFont="0" applyFill="0" applyBorder="0" applyAlignment="0" applyProtection="0"/>
    <xf numFmtId="9" fontId="25" fillId="0" borderId="0" applyFont="0" applyFill="0" applyBorder="0" applyAlignment="0" applyProtection="0"/>
    <xf numFmtId="9" fontId="16" fillId="0" borderId="0" applyFont="0" applyFill="0" applyBorder="0" applyAlignment="0" applyProtection="0"/>
    <xf numFmtId="9" fontId="26" fillId="0" borderId="0" applyFont="0" applyFill="0" applyBorder="0" applyAlignment="0" applyProtection="0"/>
    <xf numFmtId="43" fontId="31" fillId="0" borderId="0" applyFont="0" applyFill="0" applyBorder="0" applyAlignment="0" applyProtection="0"/>
    <xf numFmtId="44" fontId="31" fillId="0" borderId="0" applyFont="0" applyFill="0" applyBorder="0" applyAlignment="0" applyProtection="0"/>
    <xf numFmtId="9" fontId="31"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320">
    <xf numFmtId="0" fontId="0" fillId="0" borderId="0" xfId="0"/>
    <xf numFmtId="0" fontId="22" fillId="0" borderId="0" xfId="0" applyFont="1"/>
    <xf numFmtId="49" fontId="24" fillId="0" borderId="7" xfId="0" applyNumberFormat="1" applyFont="1" applyBorder="1" applyAlignment="1">
      <alignment horizontal="right"/>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4" fillId="0" borderId="0" xfId="0" applyFont="1"/>
    <xf numFmtId="0" fontId="14" fillId="0" borderId="0" xfId="0" applyFont="1" applyAlignment="1">
      <alignment wrapText="1"/>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0" fillId="0" borderId="0" xfId="0" applyFont="1"/>
    <xf numFmtId="0" fontId="30" fillId="0" borderId="0" xfId="0" applyFont="1" applyAlignment="1">
      <alignment horizontal="center"/>
    </xf>
    <xf numFmtId="0" fontId="33" fillId="0" borderId="0" xfId="0" applyFont="1" applyAlignment="1">
      <alignment horizontal="left" vertical="top" wrapText="1"/>
    </xf>
    <xf numFmtId="0" fontId="17" fillId="3" borderId="9" xfId="0" applyFont="1" applyFill="1" applyBorder="1"/>
    <xf numFmtId="0" fontId="17" fillId="0" borderId="0" xfId="0" applyFont="1" applyAlignment="1">
      <alignment horizontal="right"/>
    </xf>
    <xf numFmtId="0" fontId="17" fillId="0" borderId="0" xfId="0" applyFont="1"/>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28"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0" fontId="0" fillId="0" borderId="0" xfId="0" applyAlignment="1">
      <alignment vertical="center"/>
    </xf>
    <xf numFmtId="0" fontId="14" fillId="0" borderId="0" xfId="0" applyFont="1" applyAlignment="1">
      <alignment vertical="center"/>
    </xf>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28" fillId="0" borderId="0" xfId="0" applyFont="1" applyAlignment="1">
      <alignment vertical="center"/>
    </xf>
    <xf numFmtId="0" fontId="21" fillId="2" borderId="1" xfId="0" applyFont="1" applyFill="1" applyBorder="1" applyAlignment="1">
      <alignment horizontal="center" vertical="center"/>
    </xf>
    <xf numFmtId="49" fontId="21" fillId="0" borderId="0" xfId="0" applyNumberFormat="1" applyFont="1" applyAlignment="1">
      <alignment horizontal="left"/>
    </xf>
    <xf numFmtId="0" fontId="29" fillId="8" borderId="7" xfId="0" applyFont="1" applyFill="1" applyBorder="1"/>
    <xf numFmtId="0" fontId="29"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34"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49" fontId="24" fillId="0" borderId="2" xfId="0" applyNumberFormat="1" applyFont="1" applyBorder="1" applyAlignment="1">
      <alignment horizontal="center"/>
    </xf>
    <xf numFmtId="14" fontId="0" fillId="0" borderId="12" xfId="0" applyNumberFormat="1" applyBorder="1" applyAlignment="1">
      <alignment horizontal="left"/>
    </xf>
    <xf numFmtId="0" fontId="27" fillId="0" borderId="12" xfId="0" applyFont="1" applyBorder="1" applyAlignment="1">
      <alignment horizontal="left" vertical="top" wrapText="1"/>
    </xf>
    <xf numFmtId="0" fontId="27" fillId="0" borderId="12" xfId="0" applyFont="1" applyBorder="1" applyAlignment="1">
      <alignment horizontal="left" vertical="top"/>
    </xf>
    <xf numFmtId="8" fontId="0" fillId="0" borderId="12" xfId="0" applyNumberFormat="1" applyBorder="1"/>
    <xf numFmtId="0" fontId="36" fillId="0" borderId="12" xfId="0" applyFont="1" applyBorder="1" applyAlignment="1">
      <alignment horizontal="center"/>
    </xf>
    <xf numFmtId="8" fontId="17" fillId="0" borderId="12" xfId="0" applyNumberFormat="1" applyFont="1" applyBorder="1"/>
    <xf numFmtId="0" fontId="36" fillId="0" borderId="0" xfId="0" applyFont="1" applyAlignment="1">
      <alignment horizontal="center"/>
    </xf>
    <xf numFmtId="0" fontId="14" fillId="12" borderId="0" xfId="0" applyFont="1" applyFill="1"/>
    <xf numFmtId="4" fontId="27" fillId="0" borderId="12" xfId="0" applyNumberFormat="1" applyFont="1" applyBorder="1" applyAlignment="1">
      <alignment horizontal="left" vertical="top"/>
    </xf>
    <xf numFmtId="16" fontId="0" fillId="0" borderId="12" xfId="0" applyNumberFormat="1" applyBorder="1"/>
    <xf numFmtId="0" fontId="36" fillId="11" borderId="12" xfId="0" applyFont="1" applyFill="1" applyBorder="1" applyAlignment="1">
      <alignment horizontal="center"/>
    </xf>
    <xf numFmtId="8" fontId="0" fillId="11" borderId="12" xfId="0" applyNumberFormat="1" applyFill="1" applyBorder="1"/>
    <xf numFmtId="0" fontId="36" fillId="13" borderId="12" xfId="0" applyFont="1" applyFill="1" applyBorder="1" applyAlignment="1">
      <alignment horizontal="center"/>
    </xf>
    <xf numFmtId="8" fontId="17" fillId="13" borderId="12" xfId="0" applyNumberFormat="1" applyFont="1" applyFill="1" applyBorder="1"/>
    <xf numFmtId="4" fontId="0" fillId="0" borderId="12" xfId="0" applyNumberFormat="1" applyBorder="1" applyAlignment="1">
      <alignment horizontal="right"/>
    </xf>
    <xf numFmtId="8" fontId="0" fillId="0" borderId="12" xfId="0" applyNumberFormat="1" applyBorder="1" applyAlignment="1">
      <alignment horizontal="right"/>
    </xf>
    <xf numFmtId="8" fontId="17" fillId="0" borderId="12" xfId="0" applyNumberFormat="1" applyFont="1" applyBorder="1" applyAlignment="1">
      <alignment horizontal="right"/>
    </xf>
    <xf numFmtId="0" fontId="28" fillId="0" borderId="0" xfId="0" applyFont="1"/>
    <xf numFmtId="0" fontId="30" fillId="0" borderId="0" xfId="0" applyFont="1" applyAlignment="1">
      <alignment horizontal="right"/>
    </xf>
    <xf numFmtId="0" fontId="28" fillId="0" borderId="0" xfId="0" applyFont="1" applyAlignment="1">
      <alignment wrapText="1"/>
    </xf>
    <xf numFmtId="0" fontId="28" fillId="0" borderId="0" xfId="0" applyFont="1" applyAlignment="1">
      <alignment horizontal="left" wrapText="1"/>
    </xf>
    <xf numFmtId="0" fontId="29" fillId="0" borderId="0" xfId="0" applyFont="1" applyAlignment="1">
      <alignment horizontal="left" wrapText="1"/>
    </xf>
    <xf numFmtId="0" fontId="29" fillId="0" borderId="0" xfId="0" applyFont="1"/>
    <xf numFmtId="0" fontId="29" fillId="0" borderId="0" xfId="0" applyFont="1" applyAlignment="1">
      <alignment horizontal="left" vertical="center" wrapText="1"/>
    </xf>
    <xf numFmtId="0" fontId="29" fillId="3" borderId="10" xfId="0" applyFont="1" applyFill="1" applyBorder="1" applyAlignment="1">
      <alignment horizontal="center"/>
    </xf>
    <xf numFmtId="0" fontId="29" fillId="3" borderId="11" xfId="0" applyFont="1" applyFill="1" applyBorder="1" applyAlignment="1">
      <alignment horizontal="center"/>
    </xf>
    <xf numFmtId="0" fontId="29" fillId="0" borderId="0" xfId="0" applyFont="1" applyAlignment="1">
      <alignment horizontal="left"/>
    </xf>
    <xf numFmtId="0" fontId="29" fillId="2" borderId="0" xfId="0" applyFont="1" applyFill="1"/>
    <xf numFmtId="0" fontId="29" fillId="2" borderId="6"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0" borderId="0" xfId="0" applyFont="1" applyAlignment="1">
      <alignment vertical="center"/>
    </xf>
    <xf numFmtId="0" fontId="29" fillId="0" borderId="0" xfId="0" applyFont="1" applyAlignment="1">
      <alignment vertical="center" wrapText="1"/>
    </xf>
    <xf numFmtId="0" fontId="39" fillId="3" borderId="10" xfId="0" applyFont="1" applyFill="1" applyBorder="1" applyAlignment="1">
      <alignment horizontal="center"/>
    </xf>
    <xf numFmtId="0" fontId="39" fillId="3" borderId="11" xfId="0" applyFont="1" applyFill="1" applyBorder="1" applyAlignment="1">
      <alignment horizontal="center"/>
    </xf>
    <xf numFmtId="0" fontId="29" fillId="0" borderId="0" xfId="0" applyFont="1" applyAlignment="1">
      <alignment vertical="top"/>
    </xf>
    <xf numFmtId="0" fontId="40" fillId="0" borderId="0" xfId="0" applyFont="1" applyAlignment="1">
      <alignment vertical="center" wrapText="1"/>
    </xf>
    <xf numFmtId="49" fontId="44" fillId="0" borderId="1" xfId="0" applyNumberFormat="1" applyFont="1" applyBorder="1" applyAlignment="1">
      <alignment horizontal="center"/>
    </xf>
    <xf numFmtId="49" fontId="44" fillId="0" borderId="2" xfId="0" applyNumberFormat="1" applyFont="1" applyBorder="1" applyAlignment="1">
      <alignment horizontal="center"/>
    </xf>
    <xf numFmtId="49" fontId="44" fillId="0" borderId="3" xfId="0" applyNumberFormat="1" applyFont="1" applyBorder="1" applyAlignment="1">
      <alignment horizontal="center"/>
    </xf>
    <xf numFmtId="49" fontId="44" fillId="0" borderId="4" xfId="0" applyNumberFormat="1" applyFont="1" applyBorder="1" applyAlignment="1">
      <alignment horizontal="right"/>
    </xf>
    <xf numFmtId="49" fontId="44" fillId="0" borderId="0" xfId="0" applyNumberFormat="1" applyFont="1" applyAlignment="1">
      <alignment horizontal="center"/>
    </xf>
    <xf numFmtId="49" fontId="44" fillId="0" borderId="5" xfId="0" applyNumberFormat="1" applyFont="1" applyBorder="1" applyAlignment="1">
      <alignment horizontal="center"/>
    </xf>
    <xf numFmtId="0" fontId="44" fillId="0" borderId="0" xfId="0" applyFont="1" applyAlignment="1">
      <alignment horizontal="right"/>
    </xf>
    <xf numFmtId="0" fontId="44" fillId="0" borderId="12" xfId="0" applyFont="1" applyBorder="1" applyAlignment="1">
      <alignment horizontal="right"/>
    </xf>
    <xf numFmtId="3" fontId="44" fillId="0" borderId="12" xfId="0" applyNumberFormat="1" applyFont="1" applyBorder="1" applyAlignment="1">
      <alignment horizontal="left"/>
    </xf>
    <xf numFmtId="0" fontId="44" fillId="0" borderId="4" xfId="0" applyFont="1" applyBorder="1" applyAlignment="1">
      <alignment horizontal="right"/>
    </xf>
    <xf numFmtId="0" fontId="44" fillId="0" borderId="0" xfId="0" applyFont="1"/>
    <xf numFmtId="10" fontId="44" fillId="0" borderId="12" xfId="0" applyNumberFormat="1" applyFont="1" applyBorder="1" applyAlignment="1">
      <alignment horizontal="left"/>
    </xf>
    <xf numFmtId="0" fontId="44" fillId="0" borderId="6" xfId="0" applyFont="1" applyBorder="1" applyAlignment="1">
      <alignment horizontal="right"/>
    </xf>
    <xf numFmtId="0" fontId="44" fillId="0" borderId="7" xfId="0" applyFont="1" applyBorder="1"/>
    <xf numFmtId="49" fontId="44" fillId="0" borderId="12" xfId="0" applyNumberFormat="1" applyFont="1" applyBorder="1" applyAlignment="1">
      <alignment horizontal="right"/>
    </xf>
    <xf numFmtId="49" fontId="44" fillId="0" borderId="8" xfId="0" applyNumberFormat="1" applyFont="1" applyBorder="1" applyAlignment="1">
      <alignment horizontal="center"/>
    </xf>
    <xf numFmtId="49" fontId="43" fillId="0" borderId="6" xfId="0" applyNumberFormat="1" applyFont="1" applyBorder="1" applyAlignment="1">
      <alignment horizontal="right"/>
    </xf>
    <xf numFmtId="0" fontId="37" fillId="0" borderId="0" xfId="0" applyFont="1"/>
    <xf numFmtId="49" fontId="43" fillId="0" borderId="7" xfId="0" applyNumberFormat="1" applyFont="1" applyBorder="1" applyAlignment="1">
      <alignment horizontal="right"/>
    </xf>
    <xf numFmtId="0" fontId="43" fillId="2" borderId="7" xfId="0" applyFont="1" applyFill="1" applyBorder="1" applyAlignment="1">
      <alignment horizontal="right"/>
    </xf>
    <xf numFmtId="10" fontId="43" fillId="2" borderId="7" xfId="0" applyNumberFormat="1" applyFont="1" applyFill="1" applyBorder="1" applyAlignment="1">
      <alignment horizontal="left"/>
    </xf>
    <xf numFmtId="49" fontId="43" fillId="0" borderId="8" xfId="0" applyNumberFormat="1" applyFont="1" applyBorder="1" applyAlignment="1">
      <alignment horizontal="right"/>
    </xf>
    <xf numFmtId="0" fontId="45" fillId="2" borderId="9" xfId="0" applyFont="1" applyFill="1" applyBorder="1"/>
    <xf numFmtId="0" fontId="41" fillId="2" borderId="10" xfId="0" applyFont="1" applyFill="1" applyBorder="1" applyAlignment="1">
      <alignment horizontal="center" wrapText="1"/>
    </xf>
    <xf numFmtId="0" fontId="41" fillId="2" borderId="10" xfId="0" applyFont="1" applyFill="1" applyBorder="1" applyAlignment="1">
      <alignment horizontal="center"/>
    </xf>
    <xf numFmtId="0" fontId="41" fillId="2" borderId="11" xfId="0" applyFont="1" applyFill="1" applyBorder="1" applyAlignment="1">
      <alignment horizontal="center"/>
    </xf>
    <xf numFmtId="0" fontId="37" fillId="2" borderId="12" xfId="0" applyFont="1" applyFill="1" applyBorder="1"/>
    <xf numFmtId="164" fontId="37" fillId="2" borderId="12" xfId="1" applyNumberFormat="1" applyFont="1" applyFill="1" applyBorder="1" applyAlignment="1">
      <alignment horizontal="center"/>
    </xf>
    <xf numFmtId="10" fontId="37" fillId="2" borderId="12" xfId="1" applyNumberFormat="1" applyFont="1" applyFill="1" applyBorder="1" applyAlignment="1">
      <alignment horizontal="right"/>
    </xf>
    <xf numFmtId="0" fontId="46" fillId="2" borderId="12" xfId="0" applyFont="1" applyFill="1" applyBorder="1"/>
    <xf numFmtId="164" fontId="46" fillId="2" borderId="12" xfId="1" applyNumberFormat="1" applyFont="1" applyFill="1" applyBorder="1" applyAlignment="1">
      <alignment horizontal="center"/>
    </xf>
    <xf numFmtId="10" fontId="46" fillId="2" borderId="12" xfId="1" applyNumberFormat="1" applyFont="1" applyFill="1" applyBorder="1" applyAlignment="1">
      <alignment horizontal="right"/>
    </xf>
    <xf numFmtId="0" fontId="37" fillId="2" borderId="12" xfId="0" applyFont="1" applyFill="1" applyBorder="1" applyAlignment="1">
      <alignment horizontal="left"/>
    </xf>
    <xf numFmtId="0" fontId="46" fillId="2" borderId="12" xfId="0" applyFont="1" applyFill="1" applyBorder="1" applyAlignment="1">
      <alignment horizontal="left"/>
    </xf>
    <xf numFmtId="0" fontId="46" fillId="2" borderId="14" xfId="0" applyFont="1" applyFill="1" applyBorder="1" applyAlignment="1">
      <alignment horizontal="left"/>
    </xf>
    <xf numFmtId="164" fontId="46" fillId="2" borderId="14" xfId="1" applyNumberFormat="1" applyFont="1" applyFill="1" applyBorder="1" applyAlignment="1">
      <alignment horizontal="center"/>
    </xf>
    <xf numFmtId="10" fontId="44" fillId="2" borderId="12" xfId="1" applyNumberFormat="1" applyFont="1" applyFill="1" applyBorder="1" applyAlignment="1">
      <alignment horizontal="right"/>
    </xf>
    <xf numFmtId="0" fontId="41" fillId="3" borderId="20" xfId="0" applyFont="1" applyFill="1" applyBorder="1"/>
    <xf numFmtId="0" fontId="47" fillId="3" borderId="21" xfId="0" applyFont="1" applyFill="1" applyBorder="1" applyAlignment="1">
      <alignment horizontal="center"/>
    </xf>
    <xf numFmtId="0" fontId="47" fillId="3" borderId="22" xfId="0" applyFont="1" applyFill="1" applyBorder="1" applyAlignment="1">
      <alignment horizontal="center"/>
    </xf>
    <xf numFmtId="0" fontId="41" fillId="3" borderId="9" xfId="0" applyFont="1" applyFill="1" applyBorder="1"/>
    <xf numFmtId="0" fontId="41" fillId="3" borderId="1" xfId="0" applyFont="1" applyFill="1" applyBorder="1"/>
    <xf numFmtId="0" fontId="47" fillId="3" borderId="2" xfId="0" applyFont="1" applyFill="1" applyBorder="1" applyAlignment="1">
      <alignment horizontal="center"/>
    </xf>
    <xf numFmtId="0" fontId="47" fillId="3" borderId="3" xfId="0" applyFont="1" applyFill="1" applyBorder="1" applyAlignment="1">
      <alignment horizontal="center"/>
    </xf>
    <xf numFmtId="0" fontId="41" fillId="3" borderId="1" xfId="0" applyFont="1" applyFill="1" applyBorder="1" applyAlignment="1">
      <alignment vertical="top"/>
    </xf>
    <xf numFmtId="0" fontId="41" fillId="3" borderId="10" xfId="0" applyFont="1" applyFill="1" applyBorder="1" applyAlignment="1">
      <alignment horizontal="center"/>
    </xf>
    <xf numFmtId="0" fontId="41" fillId="3" borderId="11" xfId="0" applyFont="1" applyFill="1" applyBorder="1" applyAlignment="1">
      <alignment horizontal="center"/>
    </xf>
    <xf numFmtId="0" fontId="47" fillId="0" borderId="12" xfId="0" applyFont="1" applyBorder="1" applyAlignment="1">
      <alignment vertical="center" wrapText="1"/>
    </xf>
    <xf numFmtId="0" fontId="41" fillId="0" borderId="13" xfId="0" applyFont="1" applyBorder="1" applyAlignment="1">
      <alignment vertical="center"/>
    </xf>
    <xf numFmtId="0" fontId="41" fillId="0" borderId="12" xfId="0" applyFont="1" applyBorder="1" applyAlignment="1">
      <alignment horizontal="left" vertical="center" wrapText="1"/>
    </xf>
    <xf numFmtId="0" fontId="47" fillId="0" borderId="0" xfId="0" applyFont="1" applyAlignment="1">
      <alignment vertical="center"/>
    </xf>
    <xf numFmtId="0" fontId="47" fillId="14" borderId="0" xfId="0" applyFont="1" applyFill="1" applyAlignment="1">
      <alignment vertical="center"/>
    </xf>
    <xf numFmtId="0" fontId="41" fillId="4" borderId="12" xfId="0" applyFont="1" applyFill="1" applyBorder="1" applyAlignment="1">
      <alignment horizontal="left" vertical="top" wrapText="1"/>
    </xf>
    <xf numFmtId="0" fontId="47" fillId="0" borderId="0" xfId="0" applyFont="1"/>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47" fillId="0" borderId="10" xfId="0" applyFont="1" applyBorder="1" applyAlignment="1">
      <alignment horizontal="left" vertical="center" wrapText="1"/>
    </xf>
    <xf numFmtId="0" fontId="37" fillId="0" borderId="10" xfId="0" applyFont="1" applyBorder="1" applyAlignment="1">
      <alignment horizontal="left" vertical="center" wrapText="1"/>
    </xf>
    <xf numFmtId="0" fontId="37" fillId="0" borderId="11" xfId="0" applyFont="1" applyBorder="1" applyAlignment="1">
      <alignment horizontal="left" vertical="center" wrapText="1"/>
    </xf>
    <xf numFmtId="0" fontId="29" fillId="0" borderId="9" xfId="18" applyFont="1" applyBorder="1" applyAlignment="1">
      <alignment horizontal="left" vertical="center" wrapText="1"/>
    </xf>
    <xf numFmtId="0" fontId="29" fillId="0" borderId="10" xfId="18" applyFont="1" applyBorder="1" applyAlignment="1">
      <alignment horizontal="left" vertical="center" wrapText="1"/>
    </xf>
    <xf numFmtId="0" fontId="29" fillId="0" borderId="11" xfId="18" applyFont="1" applyBorder="1" applyAlignment="1">
      <alignment horizontal="left" vertical="center" wrapText="1"/>
    </xf>
    <xf numFmtId="0" fontId="47" fillId="0" borderId="9" xfId="18" applyFont="1" applyBorder="1" applyAlignment="1">
      <alignment horizontal="left" vertical="center" wrapText="1"/>
    </xf>
    <xf numFmtId="0" fontId="41" fillId="0" borderId="10" xfId="18" applyFont="1" applyBorder="1" applyAlignment="1">
      <alignment horizontal="left" vertical="center" wrapText="1"/>
    </xf>
    <xf numFmtId="0" fontId="41" fillId="0" borderId="11" xfId="18" applyFont="1" applyBorder="1" applyAlignment="1">
      <alignment horizontal="left" vertical="center" wrapText="1"/>
    </xf>
    <xf numFmtId="0" fontId="41" fillId="7" borderId="12" xfId="0" applyFont="1" applyFill="1" applyBorder="1" applyAlignment="1">
      <alignment horizontal="left" vertical="top" wrapText="1"/>
    </xf>
    <xf numFmtId="0" fontId="47" fillId="4" borderId="10" xfId="0" applyFont="1" applyFill="1" applyBorder="1" applyAlignment="1">
      <alignment horizontal="left" vertical="top" wrapText="1"/>
    </xf>
    <xf numFmtId="0" fontId="37" fillId="2" borderId="10" xfId="0" applyFont="1" applyFill="1" applyBorder="1" applyAlignment="1">
      <alignment horizontal="left" vertical="top" wrapText="1"/>
    </xf>
    <xf numFmtId="0" fontId="37" fillId="2" borderId="11" xfId="0" applyFont="1" applyFill="1" applyBorder="1" applyAlignment="1">
      <alignment horizontal="left" vertical="top"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18" fillId="0" borderId="9"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47" fillId="0" borderId="10" xfId="18" applyFont="1" applyBorder="1" applyAlignment="1">
      <alignment horizontal="left" vertical="center" wrapText="1"/>
    </xf>
    <xf numFmtId="0" fontId="47" fillId="0" borderId="11" xfId="18" applyFont="1" applyBorder="1" applyAlignment="1">
      <alignment horizontal="left" vertical="center" wrapText="1"/>
    </xf>
    <xf numFmtId="0" fontId="44" fillId="5" borderId="9" xfId="0" applyFont="1" applyFill="1" applyBorder="1" applyAlignment="1">
      <alignment horizontal="left" vertical="top" wrapText="1"/>
    </xf>
    <xf numFmtId="0" fontId="44" fillId="5" borderId="10" xfId="0" applyFont="1" applyFill="1" applyBorder="1" applyAlignment="1">
      <alignment horizontal="left" vertical="top" wrapText="1"/>
    </xf>
    <xf numFmtId="0" fontId="44" fillId="5" borderId="11" xfId="0" applyFont="1" applyFill="1" applyBorder="1" applyAlignment="1">
      <alignment horizontal="left" vertical="top" wrapText="1"/>
    </xf>
    <xf numFmtId="0" fontId="41" fillId="0" borderId="0" xfId="0" applyFont="1" applyAlignment="1">
      <alignment horizontal="center"/>
    </xf>
    <xf numFmtId="0" fontId="42" fillId="0" borderId="0" xfId="0" applyFont="1" applyAlignment="1">
      <alignment horizontal="center"/>
    </xf>
    <xf numFmtId="49" fontId="41" fillId="0" borderId="0" xfId="0" applyNumberFormat="1" applyFont="1" applyAlignment="1">
      <alignment horizontal="center"/>
    </xf>
    <xf numFmtId="49" fontId="44" fillId="0" borderId="0" xfId="0" applyNumberFormat="1" applyFont="1" applyAlignment="1">
      <alignment horizontal="left"/>
    </xf>
    <xf numFmtId="0" fontId="44" fillId="0" borderId="0" xfId="0" applyFont="1" applyAlignment="1">
      <alignment horizontal="center" vertical="center"/>
    </xf>
    <xf numFmtId="49" fontId="43" fillId="0" borderId="7" xfId="0" applyNumberFormat="1" applyFont="1" applyBorder="1" applyAlignment="1">
      <alignment horizontal="center"/>
    </xf>
    <xf numFmtId="0" fontId="41" fillId="10" borderId="0" xfId="0" applyFont="1" applyFill="1" applyAlignment="1">
      <alignment horizontal="left" vertical="center"/>
    </xf>
    <xf numFmtId="0" fontId="41" fillId="10" borderId="5" xfId="0" applyFont="1" applyFill="1" applyBorder="1" applyAlignment="1">
      <alignment horizontal="left" vertical="center"/>
    </xf>
    <xf numFmtId="0" fontId="47" fillId="0" borderId="9" xfId="0" applyFont="1" applyBorder="1" applyAlignment="1">
      <alignment horizontal="left" vertical="center" wrapText="1"/>
    </xf>
    <xf numFmtId="0" fontId="47" fillId="0" borderId="11" xfId="0" applyFont="1" applyBorder="1" applyAlignment="1">
      <alignment horizontal="left" vertical="center" wrapText="1"/>
    </xf>
    <xf numFmtId="0" fontId="47" fillId="0" borderId="18" xfId="9" applyFont="1" applyBorder="1" applyAlignment="1">
      <alignment horizontal="left" vertical="center" wrapText="1"/>
    </xf>
    <xf numFmtId="0" fontId="37" fillId="0" borderId="18" xfId="9" applyFont="1" applyBorder="1" applyAlignment="1">
      <alignment vertical="center"/>
    </xf>
    <xf numFmtId="0" fontId="37" fillId="0" borderId="23" xfId="9" applyFont="1" applyBorder="1" applyAlignment="1">
      <alignment vertical="center"/>
    </xf>
    <xf numFmtId="0" fontId="44" fillId="0" borderId="0" xfId="0" applyFont="1" applyAlignment="1">
      <alignment horizontal="left"/>
    </xf>
    <xf numFmtId="49" fontId="43" fillId="0" borderId="10" xfId="0" applyNumberFormat="1" applyFont="1" applyBorder="1" applyAlignment="1">
      <alignment horizont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47" fillId="0" borderId="1" xfId="0" applyFont="1" applyBorder="1" applyAlignment="1">
      <alignment horizontal="left" vertical="center" wrapText="1"/>
    </xf>
    <xf numFmtId="0" fontId="47" fillId="0" borderId="2" xfId="0" applyFont="1" applyBorder="1" applyAlignment="1">
      <alignment horizontal="left" vertical="center" wrapText="1"/>
    </xf>
    <xf numFmtId="0" fontId="47" fillId="0" borderId="3" xfId="0" applyFont="1" applyBorder="1" applyAlignment="1">
      <alignment horizontal="left" vertical="center" wrapText="1"/>
    </xf>
    <xf numFmtId="0" fontId="22" fillId="0" borderId="0" xfId="0" applyFont="1" applyAlignment="1">
      <alignment horizontal="left" wrapText="1"/>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0" xfId="0" applyFont="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0" xfId="0" applyFont="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2"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xf numFmtId="2" fontId="21" fillId="0" borderId="0" xfId="0" quotePrefix="1" applyNumberFormat="1" applyFont="1" applyAlignment="1">
      <alignment horizontal="center"/>
    </xf>
    <xf numFmtId="2" fontId="21" fillId="0" borderId="0" xfId="0" applyNumberFormat="1" applyFont="1" applyAlignment="1">
      <alignment horizontal="center"/>
    </xf>
    <xf numFmtId="49" fontId="24" fillId="0" borderId="7" xfId="0" applyNumberFormat="1" applyFont="1" applyBorder="1" applyAlignment="1">
      <alignment horizontal="center"/>
    </xf>
    <xf numFmtId="0" fontId="35" fillId="11" borderId="9" xfId="0" applyFont="1" applyFill="1" applyBorder="1" applyAlignment="1">
      <alignment horizontal="center" vertical="center"/>
    </xf>
    <xf numFmtId="0" fontId="35" fillId="11" borderId="10" xfId="0" applyFont="1" applyFill="1" applyBorder="1" applyAlignment="1">
      <alignment horizontal="center" vertical="center"/>
    </xf>
    <xf numFmtId="0" fontId="36" fillId="11" borderId="9" xfId="0" applyFont="1" applyFill="1" applyBorder="1" applyAlignment="1">
      <alignment horizontal="center"/>
    </xf>
    <xf numFmtId="0" fontId="36" fillId="11" borderId="10" xfId="0" applyFont="1" applyFill="1" applyBorder="1" applyAlignment="1">
      <alignment horizontal="center"/>
    </xf>
    <xf numFmtId="49" fontId="23" fillId="0" borderId="0" xfId="0" quotePrefix="1" applyNumberFormat="1" applyFont="1" applyAlignment="1">
      <alignment horizontal="center"/>
    </xf>
    <xf numFmtId="0" fontId="35" fillId="11" borderId="9" xfId="0" applyFont="1" applyFill="1" applyBorder="1" applyAlignment="1">
      <alignment horizontal="center"/>
    </xf>
    <xf numFmtId="0" fontId="35" fillId="11" borderId="10" xfId="0" applyFont="1" applyFill="1" applyBorder="1" applyAlignment="1">
      <alignment horizontal="center"/>
    </xf>
  </cellXfs>
  <cellStyles count="1066">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57"/>
  <sheetViews>
    <sheetView tabSelected="1" view="pageBreakPreview" zoomScale="130" zoomScaleNormal="130" zoomScaleSheetLayoutView="130" workbookViewId="0">
      <selection activeCell="K29" sqref="K29"/>
    </sheetView>
  </sheetViews>
  <sheetFormatPr defaultColWidth="9.140625" defaultRowHeight="12" x14ac:dyDescent="0.2"/>
  <cols>
    <col min="1" max="1" width="46.85546875" style="58" customWidth="1"/>
    <col min="2" max="2" width="13.7109375" style="59" customWidth="1"/>
    <col min="3" max="3" width="16.140625" style="59" customWidth="1"/>
    <col min="4" max="4" width="14.5703125" style="59" bestFit="1" customWidth="1"/>
    <col min="5" max="5" width="12.42578125" style="59" customWidth="1"/>
    <col min="6" max="6" width="16.28515625" style="59" customWidth="1"/>
    <col min="7" max="7" width="15.5703125" style="59" bestFit="1" customWidth="1"/>
    <col min="8" max="8" width="16.5703125" style="59" customWidth="1"/>
    <col min="9" max="9" width="11.5703125" style="59" bestFit="1" customWidth="1"/>
    <col min="10" max="10" width="8.42578125" style="58" customWidth="1"/>
    <col min="11" max="11" width="9.85546875" style="58" bestFit="1" customWidth="1"/>
    <col min="12" max="12" width="9" style="58" bestFit="1" customWidth="1"/>
    <col min="13" max="15" width="9.140625" style="58"/>
    <col min="16" max="16" width="10.140625" style="58" bestFit="1" customWidth="1"/>
    <col min="17" max="16384" width="9.140625" style="58"/>
  </cols>
  <sheetData>
    <row r="1" spans="1:16" ht="15" x14ac:dyDescent="0.25">
      <c r="A1" s="253" t="s">
        <v>0</v>
      </c>
      <c r="B1" s="253"/>
      <c r="C1" s="253"/>
      <c r="D1" s="253"/>
      <c r="E1" s="253"/>
      <c r="F1" s="253"/>
      <c r="G1" s="253"/>
      <c r="H1" s="253"/>
      <c r="I1" s="253"/>
    </row>
    <row r="2" spans="1:16" ht="17.25" customHeight="1" x14ac:dyDescent="0.25">
      <c r="A2" s="254" t="s">
        <v>1</v>
      </c>
      <c r="B2" s="254"/>
      <c r="C2" s="254"/>
      <c r="D2" s="254"/>
      <c r="E2" s="254"/>
      <c r="F2" s="254"/>
      <c r="G2" s="254"/>
      <c r="H2" s="254"/>
      <c r="I2" s="254"/>
    </row>
    <row r="3" spans="1:16" ht="15" x14ac:dyDescent="0.25">
      <c r="A3" s="255" t="s">
        <v>147</v>
      </c>
      <c r="B3" s="255"/>
      <c r="C3" s="255"/>
      <c r="D3" s="255"/>
      <c r="E3" s="255"/>
      <c r="F3" s="255"/>
      <c r="G3" s="255"/>
      <c r="H3" s="255"/>
      <c r="I3" s="255"/>
    </row>
    <row r="4" spans="1:16" ht="10.5" customHeight="1" x14ac:dyDescent="0.2">
      <c r="A4" s="258"/>
      <c r="B4" s="258"/>
      <c r="C4" s="258"/>
      <c r="D4" s="258"/>
      <c r="E4" s="258"/>
      <c r="F4" s="258"/>
      <c r="G4" s="258"/>
      <c r="H4" s="258"/>
      <c r="I4" s="258"/>
      <c r="P4" s="149"/>
    </row>
    <row r="5" spans="1:16" s="149" customFormat="1" ht="9.75" customHeight="1" x14ac:dyDescent="0.2">
      <c r="A5" s="169"/>
      <c r="B5" s="170"/>
      <c r="C5" s="170"/>
      <c r="D5" s="170"/>
      <c r="E5" s="170"/>
      <c r="F5" s="170"/>
      <c r="G5" s="170"/>
      <c r="H5" s="170"/>
      <c r="I5" s="171"/>
      <c r="J5" s="58"/>
    </row>
    <row r="6" spans="1:16" s="149" customFormat="1" ht="12.75" customHeight="1" x14ac:dyDescent="0.2">
      <c r="A6" s="172" t="s">
        <v>2</v>
      </c>
      <c r="B6" s="256" t="s">
        <v>3</v>
      </c>
      <c r="C6" s="256"/>
      <c r="D6" s="173"/>
      <c r="E6" s="173"/>
      <c r="F6" s="173"/>
      <c r="G6" s="173"/>
      <c r="H6" s="173"/>
      <c r="I6" s="174"/>
      <c r="J6" s="58"/>
    </row>
    <row r="7" spans="1:16" s="149" customFormat="1" ht="12.75" x14ac:dyDescent="0.2">
      <c r="A7" s="172" t="s">
        <v>4</v>
      </c>
      <c r="B7" s="256"/>
      <c r="C7" s="256"/>
      <c r="D7" s="257"/>
      <c r="E7" s="257"/>
      <c r="F7" s="175"/>
      <c r="G7" s="176" t="s">
        <v>6</v>
      </c>
      <c r="H7" s="177">
        <v>51058</v>
      </c>
      <c r="I7" s="174"/>
      <c r="J7" s="58"/>
    </row>
    <row r="8" spans="1:16" s="149" customFormat="1" ht="12.75" x14ac:dyDescent="0.2">
      <c r="A8" s="178"/>
      <c r="B8" s="266"/>
      <c r="C8" s="266"/>
      <c r="D8" s="179"/>
      <c r="E8" s="179"/>
      <c r="F8" s="179"/>
      <c r="G8" s="176" t="s">
        <v>7</v>
      </c>
      <c r="H8" s="180">
        <v>0.9414</v>
      </c>
      <c r="I8" s="174"/>
      <c r="L8" s="58"/>
    </row>
    <row r="9" spans="1:16" s="149" customFormat="1" ht="12.75" x14ac:dyDescent="0.2">
      <c r="A9" s="181"/>
      <c r="B9" s="182"/>
      <c r="C9" s="182"/>
      <c r="D9" s="182"/>
      <c r="E9" s="182"/>
      <c r="F9" s="182"/>
      <c r="G9" s="183" t="s">
        <v>8</v>
      </c>
      <c r="H9" s="180">
        <v>0.9414</v>
      </c>
      <c r="I9" s="184"/>
      <c r="L9" s="58"/>
    </row>
    <row r="10" spans="1:16" s="150" customFormat="1" ht="13.5" customHeight="1" x14ac:dyDescent="0.2">
      <c r="A10" s="185"/>
      <c r="B10" s="186"/>
      <c r="C10" s="187"/>
      <c r="D10" s="187"/>
      <c r="E10" s="187"/>
      <c r="F10" s="187"/>
      <c r="G10" s="188"/>
      <c r="H10" s="189"/>
      <c r="I10" s="190"/>
    </row>
    <row r="11" spans="1:16" ht="13.5" customHeight="1" x14ac:dyDescent="0.2">
      <c r="A11" s="267"/>
      <c r="B11" s="267"/>
      <c r="C11" s="267"/>
      <c r="D11" s="267"/>
      <c r="E11" s="267"/>
      <c r="F11" s="267"/>
      <c r="G11" s="267"/>
      <c r="H11" s="267"/>
      <c r="I11" s="267"/>
    </row>
    <row r="12" spans="1:16" ht="30" x14ac:dyDescent="0.25">
      <c r="A12" s="191" t="s">
        <v>9</v>
      </c>
      <c r="B12" s="192" t="s">
        <v>10</v>
      </c>
      <c r="C12" s="192" t="s">
        <v>11</v>
      </c>
      <c r="D12" s="193" t="s">
        <v>12</v>
      </c>
      <c r="E12" s="193" t="s">
        <v>13</v>
      </c>
      <c r="F12" s="192" t="s">
        <v>14</v>
      </c>
      <c r="G12" s="192" t="s">
        <v>15</v>
      </c>
      <c r="H12" s="193" t="s">
        <v>12</v>
      </c>
      <c r="I12" s="194" t="s">
        <v>13</v>
      </c>
    </row>
    <row r="13" spans="1:16" ht="15.75" customHeight="1" x14ac:dyDescent="0.2">
      <c r="A13" s="195" t="s">
        <v>16</v>
      </c>
      <c r="B13" s="196">
        <v>397197.44</v>
      </c>
      <c r="C13" s="196">
        <v>345519.0</v>
      </c>
      <c r="D13" s="196">
        <f>+B13-C13</f>
        <v>51678.44</v>
      </c>
      <c r="E13" s="197">
        <f t="shared" ref="E13:E18" si="0">IF(C13=0,"N/A",D13/C13)</f>
        <v>0.14956757804925344</v>
      </c>
      <c r="F13" s="196">
        <v>2481097.1</v>
      </c>
      <c r="G13" s="196">
        <v>2561840.0</v>
      </c>
      <c r="H13" s="196">
        <f>+F13-G13</f>
        <v>-80742.9</v>
      </c>
      <c r="I13" s="197">
        <f t="shared" ref="I13:I17" si="1">IF(G13=0,"N/A",H13/G13)</f>
        <v>-0.03151754207913062</v>
      </c>
    </row>
    <row r="14" spans="1:16" ht="15.75" customHeight="1" x14ac:dyDescent="0.2">
      <c r="A14" s="195" t="s">
        <v>17</v>
      </c>
      <c r="B14" s="196">
        <v>190317.04</v>
      </c>
      <c r="C14" s="196">
        <v>212157.91</v>
      </c>
      <c r="D14" s="196">
        <f>+C14-B14</f>
        <v>21840.87</v>
      </c>
      <c r="E14" s="197">
        <f t="shared" si="0"/>
        <v>0.10294629127898176</v>
      </c>
      <c r="F14" s="196">
        <v>1143248.46</v>
      </c>
      <c r="G14" s="196">
        <v>1245121.38</v>
      </c>
      <c r="H14" s="196">
        <f>+G14-F14</f>
        <v>101872.92</v>
      </c>
      <c r="I14" s="197">
        <f t="shared" si="1"/>
        <v>0.0818176618250664</v>
      </c>
    </row>
    <row r="15" spans="1:16" ht="15.75" customHeight="1" x14ac:dyDescent="0.2">
      <c r="A15" s="198" t="s">
        <v>18</v>
      </c>
      <c r="B15" s="199">
        <f>+B13-B14</f>
        <v>206880.4</v>
      </c>
      <c r="C15" s="199">
        <f>+C13-C14</f>
        <v>133361.09</v>
      </c>
      <c r="D15" s="199">
        <f>+B15-C15</f>
        <v>73519.31</v>
      </c>
      <c r="E15" s="200">
        <f t="shared" si="0"/>
        <v>0.5512800622730363</v>
      </c>
      <c r="F15" s="199">
        <f>+F13-F14</f>
        <v>1337848.64</v>
      </c>
      <c r="G15" s="199">
        <f>+G13-G14</f>
        <v>1316718.62</v>
      </c>
      <c r="H15" s="199">
        <f>+F15-G15</f>
        <v>21130.02</v>
      </c>
      <c r="I15" s="200">
        <f t="shared" si="1"/>
        <v>0.016047483250445718</v>
      </c>
    </row>
    <row r="16" spans="1:16" ht="15.75" customHeight="1" x14ac:dyDescent="0.2">
      <c r="A16" s="201" t="s">
        <v>19</v>
      </c>
      <c r="B16" s="196">
        <v>71937.25</v>
      </c>
      <c r="C16" s="196">
        <v>7325.0</v>
      </c>
      <c r="D16" s="196">
        <f>C16-B16</f>
        <v>-64612.25</v>
      </c>
      <c r="E16" s="197">
        <f t="shared" si="0"/>
        <v>-8.820784982935153</v>
      </c>
      <c r="F16" s="196">
        <v>-33691.71</v>
      </c>
      <c r="G16" s="196">
        <v>52400.0</v>
      </c>
      <c r="H16" s="196">
        <f>G16-F16</f>
        <v>86091.71</v>
      </c>
      <c r="I16" s="197">
        <f>IF(G16=0,"N/A",H16/G16)</f>
        <v>1.6429715648854963</v>
      </c>
    </row>
    <row r="17" spans="1:18" ht="15.75" customHeight="1" x14ac:dyDescent="0.2">
      <c r="A17" s="202" t="s">
        <v>20</v>
      </c>
      <c r="B17" s="199">
        <f>+B15-B16</f>
        <v>134943.15</v>
      </c>
      <c r="C17" s="199">
        <f>+C15-C16</f>
        <v>126036.09</v>
      </c>
      <c r="D17" s="199">
        <f>+D15+D16</f>
        <v>8907.06</v>
      </c>
      <c r="E17" s="200">
        <f t="shared" si="0"/>
        <v>0.0706707102703678</v>
      </c>
      <c r="F17" s="199">
        <f>+F15-F16</f>
        <v>1371540.35</v>
      </c>
      <c r="G17" s="199">
        <f>+G15-G16</f>
        <v>1264318.62</v>
      </c>
      <c r="H17" s="199">
        <f>+H15+H16</f>
        <v>107221.73</v>
      </c>
      <c r="I17" s="200">
        <f t="shared" si="1"/>
        <v>0.08480594076831675</v>
      </c>
    </row>
    <row r="18" spans="1:18" s="149" customFormat="1" ht="15.75" customHeight="1" x14ac:dyDescent="0.2">
      <c r="A18" s="201" t="s">
        <v>21</v>
      </c>
      <c r="B18" s="196">
        <v>14183.85</v>
      </c>
      <c r="C18" s="196">
        <v>18712.0</v>
      </c>
      <c r="D18" s="196">
        <f>C18-B18</f>
        <v>4528.15</v>
      </c>
      <c r="E18" s="197">
        <f t="shared" si="0"/>
        <v>0.24199176998717398</v>
      </c>
      <c r="F18" s="196">
        <v>125505.37</v>
      </c>
      <c r="G18" s="196">
        <v>139570.0</v>
      </c>
      <c r="H18" s="196">
        <f>+G18-F18</f>
        <v>14064.63</v>
      </c>
      <c r="I18" s="197">
        <f>IF(G18=0,"N/A",H18/G18)</f>
        <v>0.10077115425951134</v>
      </c>
      <c r="J18" s="151"/>
      <c r="K18" s="151"/>
      <c r="L18" s="151"/>
      <c r="M18" s="151"/>
      <c r="N18" s="58"/>
    </row>
    <row r="19" spans="1:18" s="149" customFormat="1" ht="15.75" customHeight="1" x14ac:dyDescent="0.2">
      <c r="A19" s="201" t="s">
        <v>22</v>
      </c>
      <c r="B19" s="196">
        <v>145075.09</v>
      </c>
      <c r="C19" s="196">
        <v>160833.0</v>
      </c>
      <c r="D19" s="196">
        <f>C19-B19</f>
        <v>15757.91</v>
      </c>
      <c r="E19" s="197">
        <f>IF(C19=0,"N/A",D19/C19)</f>
        <v>0.09797684554786643</v>
      </c>
      <c r="F19" s="196">
        <v>1149461.75</v>
      </c>
      <c r="G19" s="196">
        <v>1286664.0</v>
      </c>
      <c r="H19" s="196">
        <f>+G19-F19</f>
        <v>137202.25</v>
      </c>
      <c r="I19" s="197">
        <f>IF(G19=0,"N/A",H19/G19)</f>
        <v>0.10663409406029857</v>
      </c>
      <c r="J19" s="152"/>
      <c r="K19" s="152"/>
      <c r="L19" s="152"/>
      <c r="M19" s="152"/>
      <c r="N19" s="58"/>
    </row>
    <row r="20" spans="1:18" s="149" customFormat="1" ht="15" customHeight="1" thickBot="1" x14ac:dyDescent="0.25">
      <c r="A20" s="203" t="s">
        <v>23</v>
      </c>
      <c r="B20" s="204">
        <f>+B17-B18-B19</f>
        <v>-24315.79</v>
      </c>
      <c r="C20" s="204">
        <f>+C17-C18-C19</f>
        <v>-53508.91</v>
      </c>
      <c r="D20" s="204">
        <f>+D17+D18+D19</f>
        <v>29193.12</v>
      </c>
      <c r="E20" s="205">
        <f>IF(C20=0,"N/A",D20/C20)</f>
        <v>-0.5455749332214017</v>
      </c>
      <c r="F20" s="204">
        <f>+F17-F18-F19</f>
        <v>96573.23</v>
      </c>
      <c r="G20" s="204">
        <f>+G17-G18-G19</f>
        <v>-161915.38</v>
      </c>
      <c r="H20" s="204">
        <f>+H17+H18+H19</f>
        <v>258488.61</v>
      </c>
      <c r="I20" s="205">
        <f>IF(G20=0,"N/A",H20/G20)</f>
        <v>-1.596442598596872</v>
      </c>
      <c r="J20" s="152"/>
      <c r="K20" s="152"/>
      <c r="L20" s="152"/>
      <c r="M20" s="152"/>
    </row>
    <row r="21" spans="1:18" s="154" customFormat="1" ht="15" customHeight="1" thickTop="1" x14ac:dyDescent="0.25">
      <c r="A21" s="206" t="s">
        <v>24</v>
      </c>
      <c r="B21" s="207"/>
      <c r="C21" s="207"/>
      <c r="D21" s="207"/>
      <c r="E21" s="207"/>
      <c r="F21" s="207"/>
      <c r="G21" s="207"/>
      <c r="H21" s="207"/>
      <c r="I21" s="208"/>
      <c r="J21" s="153"/>
      <c r="K21" s="153"/>
      <c r="L21" s="153"/>
      <c r="M21" s="153"/>
    </row>
    <row r="22" spans="1:18" s="154" customFormat="1" ht="91.5" customHeight="1" x14ac:dyDescent="0.2">
      <c r="A22" s="261" t="inlineStr">
        <is>
          <t xml:space="preserve">MTD Revenue variance is over budget by $51,678.44 or 14.96% due to:
- $24.7K Humpy's Big Island Alehouse, base rent past due paid
- $18.7K Foster's Kitchen, base rent past due paid
- $18.4K Laverne's, July base rent paid in August
- $14.2K Parking Income, ParkLinq reservation payout
- $8.6K ABC Store #75
- $3.1K Gecko Girlz, Kona Gear, Big Island Running, Gypsea Gelato and other small variances
This is offset by:
- ($27.7K) Q Pot, no payment
- ($8.4K) Island Lava Java, percentage rent budget vs payment</t>
        </is>
      </c>
      <c r="B22" s="268"/>
      <c r="C22" s="268"/>
      <c r="D22" s="268"/>
      <c r="E22" s="268"/>
      <c r="F22" s="268"/>
      <c r="G22" s="268"/>
      <c r="H22" s="268"/>
      <c r="I22" s="269"/>
      <c r="J22" s="153"/>
      <c r="K22" s="153"/>
      <c r="L22" s="153"/>
      <c r="M22" s="153"/>
    </row>
    <row r="23" spans="1:18" s="154" customFormat="1" ht="129" customHeight="1" x14ac:dyDescent="0.2">
      <c r="A23" s="261" t="inlineStr">
        <is>
          <t xml:space="preserve">YTD Revenue variance is under budget by ($80,742.90) or -3.15% due to:
- ($65.5K) Rent Deferral, Humpy's prior year CAM deferral
- ($25.9K) Base Rental Income
- ($15.4K) Common Area Income
- ($14.5K) Other Income
- ($14.4K) Food Court CAM, Insurance Income, Property Tax Income
- ($10.9K) Prior Year CAM
- ($10.2K) Percentage Rent
This is offset by:
- $66K Parking Rent
- $10.1K Marketing Income, Other Recoveries, Deferred Rent Recovery</t>
        </is>
      </c>
      <c r="B23" s="268"/>
      <c r="C23" s="268"/>
      <c r="D23" s="268"/>
      <c r="E23" s="268"/>
      <c r="F23" s="268"/>
      <c r="G23" s="268"/>
      <c r="H23" s="268"/>
      <c r="I23" s="269"/>
      <c r="J23" s="155">
        <f>65+22-51</f>
        <v>36</v>
      </c>
      <c r="K23" s="155"/>
      <c r="L23" s="155"/>
      <c r="M23" s="155"/>
      <c r="N23" s="155"/>
      <c r="O23" s="155"/>
      <c r="P23" s="155"/>
      <c r="Q23" s="155"/>
      <c r="R23" s="155"/>
    </row>
    <row r="24" spans="1:18" s="154" customFormat="1" ht="15.6" customHeight="1" x14ac:dyDescent="0.25">
      <c r="A24" s="209" t="s">
        <v>25</v>
      </c>
      <c r="B24" s="156"/>
      <c r="C24" s="156"/>
      <c r="D24" s="156"/>
      <c r="E24" s="156"/>
      <c r="F24" s="156"/>
      <c r="G24" s="156"/>
      <c r="H24" s="156"/>
      <c r="I24" s="157"/>
    </row>
    <row r="25" spans="1:18" s="154" customFormat="1" ht="101.25" customHeight="1" x14ac:dyDescent="0.2">
      <c r="A25" s="270" t="inlineStr">
        <is>
          <t xml:space="preserve">MTD Expenses variance is under budget by $21,840.87 or 10.29% due to:
- $9.8K Security
- $5.4K Food Court Trash
- $5.3K General Excise Tax Payments
- $2.8K Electric/Common Area
- $2.3K On Site Management Fees
- $2.1K Water/Common Area
- $2.1K Parking Lot Maintenance, Food Court Janitorial, Landscape Maintenance, Fire Protection Repairs, Pest Control, Gas, Food Court Gas, Sweeping, Ground Rent
- $2K Janitorial Supplies
- $1.9K Food Court Security
- $1.4K Trash Removal
- $1.1K Elevator Maintenance
This is offset by:
- ($5.9K) Landscape Sprinkler Repairs
- ($2.5K) Landscape Consumables
- ($2.4K) Parking Lot Repairs
- ($1.9K) General Maintenance, Janitorial, Insurance Property, Insurance Liability
- ($1.6K) Property Tax</t>
        </is>
      </c>
      <c r="B25" s="271"/>
      <c r="C25" s="271"/>
      <c r="D25" s="271"/>
      <c r="E25" s="271"/>
      <c r="F25" s="271"/>
      <c r="G25" s="271"/>
      <c r="H25" s="271"/>
      <c r="I25" s="272"/>
    </row>
    <row r="26" spans="1:18" s="154" customFormat="1" ht="166.5" customHeight="1" x14ac:dyDescent="0.2">
      <c r="A26" s="270" t="inlineStr">
        <is>
          <t xml:space="preserve">YTD Expenses are under budget by $101,872.92 or 8.18% due to:
- $26.5K Security
- $24.7K Parking Lot Repairs
- $18.5K Food Court Trash
- $17.5K Landscape Consumables
- $10.8K Food Court Security
- $7.1K Plumbing Repairs
- $6.1K Water/Common Area
- $5.9K Water/Sewer
- $5.5K Janitorial Supplies
- $4.6K Electric/Common Area
- $4.2K Trash Removal
- $3.6K Monitor Fire Sprinklers
- $2.8K General Excise Tax Payments
- $2.4K Sign Repairs, General Maintenance, Fire Protection Repairs, Backflow Repairs, Gas, Sweeping, Food Court Gas
- $1.7K Food Court Janitorial and Supplies
- $1.7K On Site Management Fees
- $1.5K Parking Lot Maintenance
This is offset by:
- ($17.6K) Site Furnishing Repairs
- ($10.7K) Insurance Property
- ($5.2K) Landscape Sprinkler Repairs
- ($3.1K) Roof Repairs
- ($2.4K) Pest Control Maintenance
- ($1.8K) Elevator Maintenance, Landscape Maintenance, Ground Rent, Parking Lot Light Repairs, Backflow Maintenance, Roof Maintenance, Insurance Liability
- ($1.6K) Property Tax
- ($1K) Janitorial</t>
        </is>
      </c>
      <c r="B26" s="271"/>
      <c r="C26" s="271"/>
      <c r="D26" s="271"/>
      <c r="E26" s="271"/>
      <c r="F26" s="271"/>
      <c r="G26" s="271"/>
      <c r="H26" s="271"/>
      <c r="I26" s="272"/>
      <c r="J26" s="158">
        <f>26+27+21+27+26-10-17</f>
        <v>100</v>
      </c>
      <c r="K26" s="154">
        <f>16+27+21+20+26-10-17</f>
        <v>83</v>
      </c>
      <c r="L26" s="154">
        <f>83-128</f>
        <v>-45</v>
      </c>
      <c r="M26" s="154">
        <f>43652+159+9294+4177+16851</f>
        <v>74133</v>
      </c>
      <c r="N26" s="154">
        <f>26+24+10+23-13-15+4+5</f>
        <v>64</v>
      </c>
      <c r="P26" s="154">
        <f>43652+1559.45+9294.52+4177.85+5166.54</f>
        <v>63850.36</v>
      </c>
    </row>
    <row r="27" spans="1:18" s="154" customFormat="1" ht="15" x14ac:dyDescent="0.25">
      <c r="A27" s="210" t="s">
        <v>26</v>
      </c>
      <c r="B27" s="211"/>
      <c r="C27" s="211"/>
      <c r="D27" s="211"/>
      <c r="E27" s="211"/>
      <c r="F27" s="211"/>
      <c r="G27" s="211"/>
      <c r="H27" s="211"/>
      <c r="I27" s="212"/>
    </row>
    <row r="28" spans="1:18" s="159" customFormat="1" ht="75.75" customHeight="1" x14ac:dyDescent="0.2">
      <c r="A28" s="270" t="inlineStr">
        <is>
          <t xml:space="preserve">MTD Owner expenses are over budget by ($64,612.25) due to:
- ($67.6K) Loss Against Insurance Claims, nothing budgeted this period
This is offset by:
- $3K Legal Fees, Advertising/Marketing, Utilities, Postage and Shipping, Bank Charges
Please see the "Fosters Rebuild Costs" tab for more details.</t>
        </is>
      </c>
      <c r="B28" s="271"/>
      <c r="C28" s="271"/>
      <c r="D28" s="271"/>
      <c r="E28" s="271"/>
      <c r="F28" s="271"/>
      <c r="G28" s="271"/>
      <c r="H28" s="271"/>
      <c r="I28" s="272"/>
    </row>
    <row r="29" spans="1:18" s="159" customFormat="1" ht="146.25" customHeight="1" x14ac:dyDescent="0.2">
      <c r="A29" s="270" t="inlineStr">
        <is>
          <t xml:space="preserve">YTD Owner expenses are under budget by $86,091.71 due to:
- $89.4K Loss Against Insurance Claims
- $5.2K Advertising/Marketing
- $3.9K Utilities Expense
- $2.3K License and Permit Fees
- $1.4K General Repairs and Maintenance
This is offset by:
- ($10.3K) Other Professional Fees
- ($4K) Legal Fees
- ($1.9K) Bond, Bank Charges, Postage and Shipping
Please see the "Fosters Rebuild Costs" tab for more details.</t>
        </is>
      </c>
      <c r="B29" s="271"/>
      <c r="C29" s="271"/>
      <c r="D29" s="271"/>
      <c r="E29" s="271"/>
      <c r="F29" s="271"/>
      <c r="G29" s="271"/>
      <c r="H29" s="271"/>
      <c r="I29" s="272"/>
    </row>
    <row r="30" spans="1:18" s="159" customFormat="1" ht="6" customHeight="1" x14ac:dyDescent="0.2">
      <c r="A30" s="160"/>
      <c r="B30" s="161"/>
      <c r="C30" s="161"/>
      <c r="D30" s="161"/>
      <c r="E30" s="161"/>
      <c r="F30" s="161"/>
      <c r="G30" s="161"/>
      <c r="H30" s="161"/>
      <c r="I30" s="162"/>
    </row>
    <row r="31" spans="1:18" s="154" customFormat="1" ht="14.25" customHeight="1" x14ac:dyDescent="0.25">
      <c r="A31" s="213" t="s">
        <v>27</v>
      </c>
      <c r="B31" s="214"/>
      <c r="C31" s="214"/>
      <c r="D31" s="214"/>
      <c r="E31" s="214"/>
      <c r="F31" s="214"/>
      <c r="G31" s="214"/>
      <c r="H31" s="214"/>
      <c r="I31" s="215"/>
    </row>
    <row r="32" spans="1:18" s="163" customFormat="1" ht="195.75" customHeight="1" x14ac:dyDescent="0.2">
      <c r="A32" s="216" t="s">
        <v>28</v>
      </c>
      <c r="B32" s="263" t="s">
        <v>139</v>
      </c>
      <c r="C32" s="264"/>
      <c r="D32" s="264"/>
      <c r="E32" s="264"/>
      <c r="F32" s="264"/>
      <c r="G32" s="264"/>
      <c r="H32" s="264"/>
      <c r="I32" s="265"/>
    </row>
    <row r="33" spans="1:10" s="163" customFormat="1" ht="17.25" customHeight="1" x14ac:dyDescent="0.2">
      <c r="A33" s="259" t="s">
        <v>29</v>
      </c>
      <c r="B33" s="259"/>
      <c r="C33" s="259"/>
      <c r="D33" s="259"/>
      <c r="E33" s="259"/>
      <c r="F33" s="259"/>
      <c r="G33" s="259"/>
      <c r="H33" s="259"/>
      <c r="I33" s="259"/>
      <c r="J33" s="260"/>
    </row>
    <row r="34" spans="1:10" s="163" customFormat="1" ht="79.5" customHeight="1" x14ac:dyDescent="0.2">
      <c r="A34" s="217" t="s">
        <v>30</v>
      </c>
      <c r="B34" s="261" t="s">
        <v>103</v>
      </c>
      <c r="C34" s="226"/>
      <c r="D34" s="226"/>
      <c r="E34" s="226"/>
      <c r="F34" s="226"/>
      <c r="G34" s="226"/>
      <c r="H34" s="226"/>
      <c r="I34" s="226"/>
      <c r="J34" s="262"/>
    </row>
    <row r="35" spans="1:10" s="163" customFormat="1" ht="106.5" customHeight="1" x14ac:dyDescent="0.2">
      <c r="A35" s="218" t="s">
        <v>31</v>
      </c>
      <c r="B35" s="226" t="s">
        <v>131</v>
      </c>
      <c r="C35" s="227"/>
      <c r="D35" s="227"/>
      <c r="E35" s="227"/>
      <c r="F35" s="227"/>
      <c r="G35" s="227"/>
      <c r="H35" s="227"/>
      <c r="I35" s="228"/>
      <c r="J35" s="219"/>
    </row>
    <row r="36" spans="1:10" s="163" customFormat="1" ht="218.25" customHeight="1" x14ac:dyDescent="0.2">
      <c r="A36" s="218" t="s">
        <v>35</v>
      </c>
      <c r="B36" s="226" t="s">
        <v>132</v>
      </c>
      <c r="C36" s="227"/>
      <c r="D36" s="227"/>
      <c r="E36" s="227"/>
      <c r="F36" s="227"/>
      <c r="G36" s="227"/>
      <c r="H36" s="227"/>
      <c r="I36" s="228"/>
      <c r="J36" s="220"/>
    </row>
    <row r="37" spans="1:10" s="163" customFormat="1" ht="16.5" customHeight="1" x14ac:dyDescent="0.2">
      <c r="A37" s="235" t="s">
        <v>32</v>
      </c>
      <c r="B37" s="235"/>
      <c r="C37" s="235"/>
      <c r="D37" s="235"/>
      <c r="E37" s="235"/>
      <c r="F37" s="235"/>
      <c r="G37" s="235"/>
      <c r="H37" s="235"/>
      <c r="I37" s="235"/>
      <c r="J37" s="219"/>
    </row>
    <row r="38" spans="1:10" s="163" customFormat="1" ht="101.25" hidden="1" customHeight="1" x14ac:dyDescent="0.2">
      <c r="A38" s="221" t="s">
        <v>33</v>
      </c>
      <c r="B38" s="236" t="s">
        <v>34</v>
      </c>
      <c r="C38" s="237"/>
      <c r="D38" s="237"/>
      <c r="E38" s="237"/>
      <c r="F38" s="237"/>
      <c r="G38" s="237"/>
      <c r="H38" s="237"/>
      <c r="I38" s="238"/>
      <c r="J38" s="219"/>
    </row>
    <row r="39" spans="1:10" s="154" customFormat="1" ht="84.75" customHeight="1" x14ac:dyDescent="0.2">
      <c r="A39" s="218" t="s">
        <v>128</v>
      </c>
      <c r="B39" s="226" t="s">
        <v>129</v>
      </c>
      <c r="C39" s="227"/>
      <c r="D39" s="227"/>
      <c r="E39" s="227"/>
      <c r="F39" s="227"/>
      <c r="G39" s="227"/>
      <c r="H39" s="227"/>
      <c r="I39" s="228"/>
      <c r="J39" s="222"/>
    </row>
    <row r="40" spans="1:10" s="163" customFormat="1" ht="22.5" customHeight="1" x14ac:dyDescent="0.2">
      <c r="A40" s="242" t="s">
        <v>36</v>
      </c>
      <c r="B40" s="243"/>
      <c r="C40" s="243"/>
      <c r="D40" s="243"/>
      <c r="E40" s="243"/>
      <c r="F40" s="243"/>
      <c r="G40" s="243"/>
      <c r="H40" s="243"/>
      <c r="I40" s="244"/>
    </row>
    <row r="41" spans="1:10" s="163" customFormat="1" ht="175.5" customHeight="1" x14ac:dyDescent="0.2">
      <c r="A41" s="245" t="s">
        <v>145</v>
      </c>
      <c r="B41" s="246"/>
      <c r="C41" s="246"/>
      <c r="D41" s="246"/>
      <c r="E41" s="246"/>
      <c r="F41" s="246"/>
      <c r="G41" s="246"/>
      <c r="H41" s="246"/>
      <c r="I41" s="247"/>
    </row>
    <row r="42" spans="1:10" s="163" customFormat="1" ht="14.25" x14ac:dyDescent="0.2">
      <c r="A42" s="250" t="s">
        <v>37</v>
      </c>
      <c r="B42" s="251"/>
      <c r="C42" s="251"/>
      <c r="D42" s="251"/>
      <c r="E42" s="251"/>
      <c r="F42" s="251"/>
      <c r="G42" s="251"/>
      <c r="H42" s="251"/>
      <c r="I42" s="252"/>
    </row>
    <row r="43" spans="1:10" s="163" customFormat="1" ht="295.5" customHeight="1" x14ac:dyDescent="0.2">
      <c r="A43" s="232" t="s">
        <v>133</v>
      </c>
      <c r="B43" s="248"/>
      <c r="C43" s="248"/>
      <c r="D43" s="248"/>
      <c r="E43" s="248"/>
      <c r="F43" s="248"/>
      <c r="G43" s="248"/>
      <c r="H43" s="248"/>
      <c r="I43" s="249"/>
    </row>
    <row r="44" spans="1:10" s="163" customFormat="1" ht="14.25" x14ac:dyDescent="0.2">
      <c r="A44" s="250" t="s">
        <v>38</v>
      </c>
      <c r="B44" s="251"/>
      <c r="C44" s="251"/>
      <c r="D44" s="251"/>
      <c r="E44" s="251"/>
      <c r="F44" s="251"/>
      <c r="G44" s="251"/>
      <c r="H44" s="251"/>
      <c r="I44" s="252"/>
    </row>
    <row r="45" spans="1:10" s="163" customFormat="1" ht="89.25" customHeight="1" x14ac:dyDescent="0.2">
      <c r="A45" s="232" t="s">
        <v>134</v>
      </c>
      <c r="B45" s="248"/>
      <c r="C45" s="248"/>
      <c r="D45" s="248"/>
      <c r="E45" s="248"/>
      <c r="F45" s="248"/>
      <c r="G45" s="248"/>
      <c r="H45" s="248"/>
      <c r="I45" s="249"/>
    </row>
    <row r="46" spans="1:10" s="163" customFormat="1" ht="14.25" x14ac:dyDescent="0.2">
      <c r="A46" s="239" t="s">
        <v>39</v>
      </c>
      <c r="B46" s="240"/>
      <c r="C46" s="240"/>
      <c r="D46" s="240"/>
      <c r="E46" s="240"/>
      <c r="F46" s="240"/>
      <c r="G46" s="240"/>
      <c r="H46" s="240"/>
      <c r="I46" s="241"/>
      <c r="J46" s="164"/>
    </row>
    <row r="47" spans="1:10" s="163" customFormat="1" ht="9" hidden="1" customHeight="1" x14ac:dyDescent="0.2">
      <c r="A47" s="229" t="s">
        <v>135</v>
      </c>
      <c r="B47" s="230"/>
      <c r="C47" s="230"/>
      <c r="D47" s="230"/>
      <c r="E47" s="230"/>
      <c r="F47" s="230"/>
      <c r="G47" s="230"/>
      <c r="H47" s="230"/>
      <c r="I47" s="231"/>
    </row>
    <row r="48" spans="1:10" s="163" customFormat="1" ht="409.5" customHeight="1" x14ac:dyDescent="0.2">
      <c r="A48" s="223" t="s">
        <v>152</v>
      </c>
      <c r="B48" s="224"/>
      <c r="C48" s="224"/>
      <c r="D48" s="224"/>
      <c r="E48" s="224"/>
      <c r="F48" s="224"/>
      <c r="G48" s="224"/>
      <c r="H48" s="224"/>
      <c r="I48" s="225"/>
      <c r="J48" s="164"/>
    </row>
    <row r="49" spans="1:9" s="167" customFormat="1" ht="14.25" x14ac:dyDescent="0.2">
      <c r="A49" s="61" t="s">
        <v>40</v>
      </c>
      <c r="B49" s="165"/>
      <c r="C49" s="165"/>
      <c r="D49" s="165"/>
      <c r="E49" s="165"/>
      <c r="F49" s="165"/>
      <c r="G49" s="165"/>
      <c r="H49" s="165"/>
      <c r="I49" s="166"/>
    </row>
    <row r="50" spans="1:9" ht="129" customHeight="1" x14ac:dyDescent="0.2">
      <c r="A50" s="232" t="s">
        <v>140</v>
      </c>
      <c r="B50" s="233"/>
      <c r="C50" s="233"/>
      <c r="D50" s="233"/>
      <c r="E50" s="233"/>
      <c r="F50" s="233"/>
      <c r="G50" s="233"/>
      <c r="H50" s="233"/>
      <c r="I50" s="234"/>
    </row>
    <row r="51" spans="1:9" ht="15" x14ac:dyDescent="0.2">
      <c r="A51" s="60"/>
      <c r="B51" s="60"/>
      <c r="C51" s="60"/>
      <c r="D51" s="60"/>
      <c r="E51" s="60"/>
      <c r="F51" s="60"/>
      <c r="G51" s="60"/>
      <c r="H51" s="60"/>
      <c r="I51" s="60"/>
    </row>
    <row r="52" spans="1:9" ht="15" x14ac:dyDescent="0.2">
      <c r="A52" s="168"/>
    </row>
    <row r="53" spans="1:9" ht="15" x14ac:dyDescent="0.2">
      <c r="A53" s="168"/>
    </row>
    <row r="54" spans="1:9" ht="15" x14ac:dyDescent="0.2">
      <c r="A54" s="168"/>
    </row>
    <row r="55" spans="1:9" ht="15" x14ac:dyDescent="0.2">
      <c r="A55" s="168"/>
    </row>
    <row r="57" spans="1:9" x14ac:dyDescent="0.2">
      <c r="A57" s="58" t="s">
        <v>41</v>
      </c>
    </row>
  </sheetData>
  <mergeCells count="33">
    <mergeCell ref="A33:J33"/>
    <mergeCell ref="B34:J34"/>
    <mergeCell ref="B32:I32"/>
    <mergeCell ref="B8:C8"/>
    <mergeCell ref="A11:I11"/>
    <mergeCell ref="A22:I22"/>
    <mergeCell ref="A23:I23"/>
    <mergeCell ref="A25:I25"/>
    <mergeCell ref="A28:I28"/>
    <mergeCell ref="A29:I29"/>
    <mergeCell ref="A26:I26"/>
    <mergeCell ref="A1:I1"/>
    <mergeCell ref="A2:I2"/>
    <mergeCell ref="A3:I3"/>
    <mergeCell ref="B7:C7"/>
    <mergeCell ref="D7:E7"/>
    <mergeCell ref="A4:I4"/>
    <mergeCell ref="B6:C6"/>
    <mergeCell ref="A48:I48"/>
    <mergeCell ref="B35:I35"/>
    <mergeCell ref="A47:I47"/>
    <mergeCell ref="A50:I50"/>
    <mergeCell ref="B39:I39"/>
    <mergeCell ref="A37:I37"/>
    <mergeCell ref="B38:I38"/>
    <mergeCell ref="A46:I46"/>
    <mergeCell ref="A40:I40"/>
    <mergeCell ref="A41:I41"/>
    <mergeCell ref="A43:I43"/>
    <mergeCell ref="A42:I42"/>
    <mergeCell ref="A44:I44"/>
    <mergeCell ref="A45:I45"/>
    <mergeCell ref="B36:I36"/>
  </mergeCells>
  <phoneticPr fontId="15" type="noConversion"/>
  <printOptions horizontalCentered="1"/>
  <pageMargins left="0.7" right="0.7" top="0.75" bottom="0.75" header="0.3" footer="0.3"/>
  <pageSetup scale="56" fitToHeight="0" orientation="portrait" r:id="rId1"/>
  <headerFooter alignWithMargins="0">
    <oddFooter>&amp;C&amp;8Executive Summary&amp;R&amp;8Page &amp;P</oddFooter>
  </headerFooter>
  <rowBreaks count="2" manualBreakCount="2">
    <brk id="29" max="8" man="1"/>
    <brk id="41" max="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4"/>
  <sheetViews>
    <sheetView view="pageBreakPreview" zoomScaleNormal="100" zoomScaleSheetLayoutView="100" workbookViewId="0">
      <selection activeCell="B16" sqref="B16"/>
    </sheetView>
  </sheetViews>
  <sheetFormatPr defaultColWidth="9.140625" defaultRowHeight="12" x14ac:dyDescent="0.2"/>
  <cols>
    <col min="1" max="1" width="34.5703125" style="1" bestFit="1" customWidth="1"/>
    <col min="2" max="2" width="20.85546875" style="3" customWidth="1"/>
    <col min="3" max="5" width="9.140625" style="3"/>
    <col min="6" max="6" width="12.85546875" style="3" customWidth="1"/>
    <col min="7" max="7" width="11.5703125" style="3" customWidth="1"/>
    <col min="8" max="8" width="9.140625" style="3"/>
    <col min="9" max="9" width="8.85546875" style="3" customWidth="1"/>
    <col min="10" max="10" width="12" style="1" bestFit="1" customWidth="1"/>
    <col min="11" max="11" width="9.140625" style="1"/>
    <col min="12" max="12" width="12" style="1" bestFit="1" customWidth="1"/>
    <col min="13" max="14" width="9.140625" style="1"/>
    <col min="15" max="15" width="12" style="13" bestFit="1" customWidth="1"/>
    <col min="16" max="16" width="11" style="1" bestFit="1" customWidth="1"/>
    <col min="17" max="16384" width="9.140625" style="1"/>
  </cols>
  <sheetData>
    <row r="1" spans="1:16" ht="15" x14ac:dyDescent="0.25">
      <c r="A1" s="277" t="s">
        <v>0</v>
      </c>
      <c r="B1" s="278"/>
      <c r="C1" s="278"/>
      <c r="D1" s="278"/>
      <c r="E1" s="278"/>
      <c r="F1" s="278"/>
      <c r="G1" s="278"/>
      <c r="H1" s="278"/>
      <c r="I1" s="279"/>
    </row>
    <row r="2" spans="1:16" ht="18" x14ac:dyDescent="0.25">
      <c r="A2" s="282" t="s">
        <v>42</v>
      </c>
      <c r="B2" s="283"/>
      <c r="C2" s="283"/>
      <c r="D2" s="283"/>
      <c r="E2" s="283"/>
      <c r="F2" s="283"/>
      <c r="G2" s="283"/>
      <c r="H2" s="283"/>
      <c r="I2" s="284"/>
    </row>
    <row r="3" spans="1:16" ht="15" x14ac:dyDescent="0.25">
      <c r="A3" s="285" t="str">
        <f>'Executive Summary'!A3</f>
        <v>August 2026</v>
      </c>
      <c r="B3" s="286"/>
      <c r="C3" s="286"/>
      <c r="D3" s="286"/>
      <c r="E3" s="286"/>
      <c r="F3" s="286"/>
      <c r="G3" s="286"/>
      <c r="H3" s="286"/>
      <c r="I3" s="287"/>
    </row>
    <row r="4" spans="1:16" x14ac:dyDescent="0.2">
      <c r="A4" s="64"/>
      <c r="B4" s="65"/>
      <c r="C4" s="65"/>
      <c r="D4" s="65"/>
      <c r="E4" s="65"/>
      <c r="F4" s="65"/>
      <c r="G4" s="65"/>
      <c r="H4" s="65"/>
      <c r="I4" s="73"/>
    </row>
    <row r="5" spans="1:16" s="4" customFormat="1" ht="15" x14ac:dyDescent="0.25">
      <c r="A5" s="77"/>
      <c r="B5" s="76"/>
      <c r="C5" s="45"/>
      <c r="D5" s="45"/>
      <c r="E5" s="45"/>
      <c r="F5" s="45"/>
      <c r="G5" s="45"/>
      <c r="H5" s="45"/>
      <c r="I5" s="46"/>
      <c r="O5" s="15"/>
    </row>
    <row r="6" spans="1:16" s="4" customFormat="1" ht="12.75" customHeight="1" x14ac:dyDescent="0.25">
      <c r="A6" s="114" t="s">
        <v>43</v>
      </c>
      <c r="B6" s="92" t="s">
        <v>3</v>
      </c>
      <c r="C6" s="288"/>
      <c r="D6" s="288"/>
      <c r="E6" s="288"/>
      <c r="F6" s="66"/>
      <c r="G6" s="66" t="s">
        <v>6</v>
      </c>
      <c r="H6" s="67">
        <f>'Executive Summary'!H7</f>
        <v>51058</v>
      </c>
      <c r="I6" s="47"/>
      <c r="O6" s="15"/>
    </row>
    <row r="7" spans="1:16" s="4" customFormat="1" ht="15" x14ac:dyDescent="0.25">
      <c r="A7" s="114" t="s">
        <v>4</v>
      </c>
      <c r="B7" s="92" t="s">
        <v>5</v>
      </c>
      <c r="C7" s="68"/>
      <c r="D7" s="68"/>
      <c r="E7" s="68"/>
      <c r="F7" s="68"/>
      <c r="G7" s="66" t="s">
        <v>7</v>
      </c>
      <c r="H7" s="69">
        <v>0.9414</v>
      </c>
      <c r="I7" s="47"/>
      <c r="O7" s="15"/>
    </row>
    <row r="8" spans="1:16" ht="15" x14ac:dyDescent="0.25">
      <c r="A8" s="48"/>
      <c r="B8" s="49"/>
      <c r="C8" s="49"/>
      <c r="D8" s="49"/>
      <c r="E8" s="49"/>
      <c r="F8" s="49"/>
      <c r="G8" s="50" t="s">
        <v>44</v>
      </c>
      <c r="H8" s="51">
        <v>0.9414</v>
      </c>
      <c r="I8" s="52"/>
    </row>
    <row r="9" spans="1:16" ht="12.75" x14ac:dyDescent="0.2">
      <c r="A9" s="70"/>
      <c r="B9" s="71"/>
      <c r="C9" s="71"/>
      <c r="D9" s="71"/>
      <c r="E9" s="71"/>
      <c r="F9" s="71"/>
      <c r="G9" s="71"/>
      <c r="H9" s="71"/>
      <c r="I9" s="74"/>
    </row>
    <row r="10" spans="1:16" s="5" customFormat="1" ht="18.75" customHeight="1" x14ac:dyDescent="0.2">
      <c r="A10" s="53" t="s">
        <v>45</v>
      </c>
      <c r="B10" s="54"/>
      <c r="C10" s="55"/>
      <c r="D10" s="55"/>
      <c r="E10" s="55"/>
      <c r="F10" s="55"/>
      <c r="G10" s="55"/>
      <c r="H10" s="55"/>
      <c r="I10" s="56"/>
      <c r="O10" s="16"/>
    </row>
    <row r="11" spans="1:16" ht="12.75" x14ac:dyDescent="0.2">
      <c r="A11" s="70"/>
      <c r="B11" s="72"/>
      <c r="C11" s="57"/>
      <c r="D11" s="72"/>
      <c r="E11" s="72"/>
      <c r="F11" s="72"/>
      <c r="G11" s="72"/>
      <c r="H11" s="72"/>
      <c r="I11" s="74"/>
    </row>
    <row r="12" spans="1:16" s="4" customFormat="1" ht="15" customHeight="1" x14ac:dyDescent="0.2">
      <c r="A12" s="86" t="s">
        <v>46</v>
      </c>
      <c r="B12" s="87" t="s">
        <v>47</v>
      </c>
      <c r="C12" s="280" t="s">
        <v>48</v>
      </c>
      <c r="D12" s="280"/>
      <c r="E12" s="280"/>
      <c r="F12" s="280"/>
      <c r="G12" s="280"/>
      <c r="H12" s="280"/>
      <c r="I12" s="281"/>
      <c r="O12" s="15"/>
    </row>
    <row r="13" spans="1:16" s="4" customFormat="1" ht="55.5" customHeight="1" x14ac:dyDescent="0.2">
      <c r="A13" s="91" t="inlineStr">
        <is>
          <t xml:space="preserve">Chong Qing Hot Pot</t>
        </is>
      </c>
      <c r="B13" s="109">
        <v>33287.79</v>
      </c>
      <c r="C13" s="274" t="inlineStr">
        <is>
          <t xml:space="preserve">Balance is June, July and August charges less prepaid rent. Tenant is disputing its Rent Commencement Date and has not paid since. Management continues to follow up.</t>
        </is>
      </c>
      <c r="D13" s="275"/>
      <c r="E13" s="275"/>
      <c r="F13" s="275"/>
      <c r="G13" s="275"/>
      <c r="H13" s="275"/>
      <c r="I13" s="276"/>
      <c r="O13" s="15"/>
      <c r="P13" s="4">
        <v>39</v>
      </c>
    </row>
    <row r="14" spans="1:16" ht="62.25" customHeight="1" x14ac:dyDescent="0.2">
      <c r="A14" s="91" t="inlineStr">
        <is>
          <t xml:space="preserve">Foster's Kitchen</t>
        </is>
      </c>
      <c r="B14" s="109">
        <v>9311.61</v>
      </c>
      <c r="C14" s="274" t="inlineStr">
        <is>
          <t xml:space="preserve">Balance is 2024 and 2025 prior year CAM and general excise tax, less a May 2026 credit, plus August CAM of $748.00. Last payment 2/27/2026, $190,223.76. See the Fosters Rebuild Costs tab.</t>
        </is>
      </c>
      <c r="D14" s="289"/>
      <c r="E14" s="289"/>
      <c r="F14" s="289"/>
      <c r="G14" s="289"/>
      <c r="H14" s="289"/>
      <c r="I14" s="290"/>
    </row>
    <row r="15" spans="1:16" ht="48.75" customHeight="1" x14ac:dyDescent="0.2">
      <c r="A15" s="91" t="inlineStr">
        <is>
          <t xml:space="preserve">Kona Heaven Coffee</t>
        </is>
      </c>
      <c r="B15" s="109">
        <v>6958.31</v>
      </c>
      <c r="C15" s="274" t="inlineStr">
        <is>
          <t xml:space="preserve">Balance is 2025 prior year CAM charged 5/1/2025. Last payment 8/18/2026, $7,048.35.</t>
        </is>
      </c>
      <c r="D15" s="275"/>
      <c r="E15" s="275"/>
      <c r="F15" s="275"/>
      <c r="G15" s="275"/>
      <c r="H15" s="275"/>
      <c r="I15" s="276"/>
      <c r="P15" s="14"/>
    </row>
    <row r="16" spans="1:16" ht="48.75" customHeight="1" x14ac:dyDescent="0.2">
      <c r="A16" s="91" t="inlineStr">
        <is>
          <t xml:space="preserve">Lucasie Ltd</t>
        </is>
      </c>
      <c r="B16" s="109">
        <v>3120.13</v>
      </c>
      <c r="C16" s="274" t="inlineStr">
        <is>
          <t xml:space="preserve">Balance is 2026 CAM and general excise tax short pays and 2025 prior year CAM, offset by a 2024 prior year CAM credit. Unchanged since July. Working with Nir Levav to clear it.</t>
        </is>
      </c>
      <c r="D16" s="275"/>
      <c r="E16" s="275"/>
      <c r="F16" s="275"/>
      <c r="G16" s="275"/>
      <c r="H16" s="275"/>
      <c r="I16" s="276"/>
      <c r="P16" s="14"/>
    </row>
    <row r="17" spans="1:9" ht="48.75" customHeight="1" x14ac:dyDescent="0.2">
      <c r="A17" s="91" t="inlineStr">
        <is>
          <t xml:space="preserve">Gecko Girlz Shave Ice Shack</t>
        </is>
      </c>
      <c r="B17" s="109">
        <v>3103.86</v>
      </c>
      <c r="C17" s="274" t="inlineStr">
        <is>
          <t xml:space="preserve">Balance is August percentage rent of $2,964.19 and general excise tax of $139.67, both charged 8/18/2026 and current. Last payment 8/24/2026, $3,103.86.</t>
        </is>
      </c>
      <c r="D17" s="275"/>
      <c r="E17" s="275"/>
      <c r="F17" s="275"/>
      <c r="G17" s="275">
        <v>51</v>
      </c>
      <c r="H17" s="275"/>
      <c r="I17" s="276"/>
    </row>
    <row r="18" spans="1:9" ht="36.75" customHeight="1" x14ac:dyDescent="0.2">
      <c r="A18" s="88" t="inlineStr">
        <is>
          <t xml:space="preserve">Total</t>
        </is>
      </c>
      <c r="B18" s="89">
        <f>SUM(B13:B17)</f>
        <v>55781.7</v>
      </c>
      <c r="C18" s="93"/>
      <c r="D18" s="93"/>
      <c r="E18" s="93"/>
      <c r="F18" s="93"/>
      <c r="G18" s="93"/>
      <c r="H18" s="93"/>
      <c r="I18" s="94"/>
    </row>
    <row r="20" spans="1:9" ht="122.25" customHeight="1" x14ac:dyDescent="0.2">
      <c r="A20" s="100"/>
    </row>
    <row r="21" spans="1:9" ht="192" customHeight="1" x14ac:dyDescent="0.2">
      <c r="A21" s="100"/>
    </row>
    <row r="22" spans="1:9" x14ac:dyDescent="0.2">
      <c r="A22" s="100"/>
    </row>
    <row r="23" spans="1:9" ht="66" customHeight="1" x14ac:dyDescent="0.2">
      <c r="A23" s="100"/>
    </row>
    <row r="24" spans="1:9" x14ac:dyDescent="0.2">
      <c r="A24" s="100"/>
    </row>
    <row r="25" spans="1:9" ht="119.25" customHeight="1" x14ac:dyDescent="0.2">
      <c r="A25" s="100"/>
    </row>
    <row r="26" spans="1:9" ht="219" customHeight="1" x14ac:dyDescent="0.2">
      <c r="A26" s="100"/>
    </row>
    <row r="37" spans="1:9" ht="77.25" customHeight="1" x14ac:dyDescent="0.2">
      <c r="B37" s="108"/>
    </row>
    <row r="40" spans="1:9" ht="132.75" customHeight="1" x14ac:dyDescent="0.2"/>
    <row r="42" spans="1:9" ht="159.75" customHeight="1" x14ac:dyDescent="0.2">
      <c r="A42" s="273" t="s">
        <v>101</v>
      </c>
      <c r="B42" s="273"/>
      <c r="C42" s="273"/>
      <c r="D42" s="273"/>
      <c r="E42" s="273"/>
      <c r="F42" s="273"/>
      <c r="G42" s="273"/>
      <c r="H42" s="273"/>
      <c r="I42" s="273"/>
    </row>
    <row r="44" spans="1:9" ht="345" customHeight="1" x14ac:dyDescent="0.2">
      <c r="A44" s="100" t="s">
        <v>100</v>
      </c>
    </row>
  </sheetData>
  <mergeCells count="10">
    <mergeCell ref="A42:I42"/>
    <mergeCell ref="C15:I15"/>
    <mergeCell ref="A1:I1"/>
    <mergeCell ref="C12:I12"/>
    <mergeCell ref="A2:I2"/>
    <mergeCell ref="A3:I3"/>
    <mergeCell ref="C6:E6"/>
    <mergeCell ref="C13:I13"/>
    <mergeCell ref="C14:I14"/>
    <mergeCell ref="C16:I16"/>
  </mergeCells>
  <phoneticPr fontId="15" type="noConversion"/>
  <printOptions horizontalCentered="1"/>
  <pageMargins left="0" right="0" top="0" bottom="0" header="0" footer="0"/>
  <pageSetup scale="84"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F22" sqref="F22"/>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26"/>
      <c r="B1" s="27"/>
      <c r="C1" s="27"/>
      <c r="D1" s="27"/>
      <c r="E1" s="27"/>
      <c r="F1" s="27"/>
      <c r="G1" s="27"/>
      <c r="H1" s="27"/>
      <c r="I1" s="27"/>
      <c r="J1" s="27"/>
      <c r="K1" s="27"/>
    </row>
    <row r="2" spans="1:18" ht="15" x14ac:dyDescent="0.25">
      <c r="A2" s="292" t="s">
        <v>52</v>
      </c>
      <c r="B2" s="292"/>
      <c r="C2" s="292"/>
      <c r="D2" s="292"/>
      <c r="E2" s="292"/>
      <c r="F2" s="292"/>
      <c r="G2" s="292"/>
      <c r="H2" s="292"/>
      <c r="I2" s="292"/>
      <c r="J2" s="292"/>
      <c r="K2" s="292"/>
    </row>
    <row r="3" spans="1:18" ht="15" customHeight="1" x14ac:dyDescent="0.25">
      <c r="A3" s="293" t="s">
        <v>1</v>
      </c>
      <c r="B3" s="293"/>
      <c r="C3" s="293"/>
      <c r="D3" s="293"/>
      <c r="E3" s="293"/>
      <c r="F3" s="293"/>
      <c r="G3" s="293"/>
      <c r="H3" s="293"/>
      <c r="I3" s="293"/>
      <c r="J3" s="293"/>
      <c r="K3" s="293"/>
    </row>
    <row r="4" spans="1:18" ht="15" x14ac:dyDescent="0.25">
      <c r="A4" s="294" t="str">
        <f>'Executive Summary'!A3</f>
        <v>August 2026</v>
      </c>
      <c r="B4" s="292"/>
      <c r="C4" s="292"/>
      <c r="D4" s="292"/>
      <c r="E4" s="292"/>
      <c r="F4" s="292"/>
      <c r="G4" s="292"/>
      <c r="H4" s="292"/>
      <c r="I4" s="292"/>
      <c r="J4" s="292"/>
      <c r="K4" s="292"/>
    </row>
    <row r="5" spans="1:18" ht="15" x14ac:dyDescent="0.25">
      <c r="A5" s="28"/>
      <c r="B5" s="28"/>
      <c r="C5" s="28"/>
      <c r="D5" s="28"/>
      <c r="E5" s="28"/>
      <c r="F5" s="28"/>
      <c r="G5" s="28"/>
      <c r="H5" s="28"/>
      <c r="I5" s="28"/>
      <c r="J5" s="28"/>
      <c r="K5" s="28"/>
    </row>
    <row r="6" spans="1:18" ht="15" customHeight="1" x14ac:dyDescent="0.25">
      <c r="A6" s="78"/>
      <c r="B6" s="296"/>
      <c r="C6" s="296"/>
      <c r="D6" s="29"/>
      <c r="E6" s="29"/>
      <c r="F6" s="29"/>
      <c r="G6" s="29"/>
      <c r="H6" s="29"/>
      <c r="I6" s="29"/>
      <c r="J6" s="29"/>
      <c r="K6" s="30"/>
    </row>
    <row r="7" spans="1:18" ht="15" x14ac:dyDescent="0.25">
      <c r="A7" s="115" t="s">
        <v>43</v>
      </c>
      <c r="B7" s="295" t="s">
        <v>3</v>
      </c>
      <c r="C7" s="295"/>
      <c r="D7" s="31"/>
      <c r="E7" s="31"/>
      <c r="F7" s="32"/>
      <c r="G7" s="32" t="s">
        <v>6</v>
      </c>
      <c r="H7" s="33">
        <v>51058</v>
      </c>
      <c r="I7" s="33"/>
      <c r="J7" s="33"/>
      <c r="K7" s="34"/>
    </row>
    <row r="8" spans="1:18" ht="15" x14ac:dyDescent="0.25">
      <c r="A8" s="115" t="s">
        <v>4</v>
      </c>
      <c r="B8" s="295" t="s">
        <v>5</v>
      </c>
      <c r="C8" s="295"/>
      <c r="D8" s="31"/>
      <c r="E8" s="31"/>
      <c r="F8" s="31"/>
      <c r="G8" s="32" t="s">
        <v>7</v>
      </c>
      <c r="H8" s="35">
        <f>'Executive Summary'!H8</f>
        <v>0.9414</v>
      </c>
      <c r="I8" s="35"/>
      <c r="J8" s="35"/>
      <c r="K8" s="34"/>
    </row>
    <row r="9" spans="1:18" ht="15" x14ac:dyDescent="0.25">
      <c r="A9" s="36"/>
      <c r="B9" s="37"/>
      <c r="C9" s="37"/>
      <c r="D9" s="38"/>
      <c r="E9" s="39"/>
      <c r="F9" s="39"/>
      <c r="G9" s="39"/>
      <c r="H9" s="40"/>
      <c r="I9" s="40"/>
      <c r="J9" s="40"/>
      <c r="K9" s="41"/>
    </row>
    <row r="10" spans="1:18" ht="14.25" x14ac:dyDescent="0.2">
      <c r="A10" s="26"/>
      <c r="B10" s="26"/>
      <c r="C10" s="27"/>
      <c r="D10" s="27"/>
      <c r="E10" s="27"/>
      <c r="F10" s="27"/>
      <c r="G10" s="27"/>
      <c r="H10" s="27"/>
      <c r="I10" s="27"/>
      <c r="J10" s="27"/>
      <c r="K10" s="27"/>
    </row>
    <row r="11" spans="1:18" ht="14.25" x14ac:dyDescent="0.2">
      <c r="A11" s="26"/>
      <c r="B11" s="26"/>
      <c r="C11" s="27"/>
      <c r="D11" s="27"/>
      <c r="E11" s="27"/>
      <c r="F11" s="27"/>
      <c r="G11" s="27"/>
      <c r="H11" s="27"/>
      <c r="I11" s="27"/>
      <c r="J11" s="27"/>
      <c r="K11" s="27"/>
    </row>
    <row r="12" spans="1:18" ht="15" x14ac:dyDescent="0.2">
      <c r="A12" s="42" t="s">
        <v>46</v>
      </c>
      <c r="B12" s="297" t="s">
        <v>53</v>
      </c>
      <c r="C12" s="297"/>
      <c r="D12" s="298" t="s">
        <v>54</v>
      </c>
      <c r="E12" s="298"/>
      <c r="F12" s="298"/>
      <c r="G12" s="298"/>
      <c r="H12" s="298"/>
      <c r="I12" s="298"/>
      <c r="J12" s="298"/>
      <c r="K12" s="298"/>
    </row>
    <row r="13" spans="1:18" ht="57.75" customHeight="1" x14ac:dyDescent="0.2">
      <c r="A13" s="44" t="s">
        <v>55</v>
      </c>
      <c r="B13" s="299">
        <f>R13</f>
        <v>7974.4500000000007</v>
      </c>
      <c r="C13" s="299"/>
      <c r="D13" s="300" t="s">
        <v>56</v>
      </c>
      <c r="E13" s="300"/>
      <c r="F13" s="300"/>
      <c r="G13" s="300"/>
      <c r="H13" s="300"/>
      <c r="I13" s="300"/>
      <c r="J13" s="300"/>
      <c r="K13" s="300"/>
      <c r="M13" s="85" t="s">
        <v>57</v>
      </c>
      <c r="N13" s="84">
        <v>26581.5</v>
      </c>
      <c r="O13" s="84">
        <f>N13/60</f>
        <v>443.02499999999998</v>
      </c>
      <c r="P13" s="90">
        <v>42</v>
      </c>
      <c r="Q13" s="84">
        <f>O13*P13</f>
        <v>18607.05</v>
      </c>
      <c r="R13" s="84">
        <f>N13-Q13</f>
        <v>7974.4500000000007</v>
      </c>
    </row>
    <row r="14" spans="1:18" ht="15" x14ac:dyDescent="0.2">
      <c r="A14" s="43" t="s">
        <v>58</v>
      </c>
      <c r="B14" s="301">
        <f>SUM(B13:B13)</f>
        <v>7974.4500000000007</v>
      </c>
      <c r="C14" s="302"/>
    </row>
    <row r="22" spans="1:1" ht="122.25" customHeight="1" x14ac:dyDescent="0.2">
      <c r="A22" s="99"/>
    </row>
    <row r="23" spans="1:1" ht="192" customHeight="1" x14ac:dyDescent="0.2">
      <c r="A23" s="99"/>
    </row>
    <row r="25" spans="1:1" ht="119.25" customHeight="1" x14ac:dyDescent="0.2">
      <c r="A25" s="99"/>
    </row>
    <row r="26" spans="1:1" ht="219" customHeight="1" x14ac:dyDescent="0.2">
      <c r="A26" s="99"/>
    </row>
    <row r="40" spans="1:9" ht="77.25" customHeight="1" x14ac:dyDescent="0.2">
      <c r="B40" s="99"/>
    </row>
    <row r="42" spans="1:9" ht="159.75" customHeight="1" x14ac:dyDescent="0.2">
      <c r="A42" s="291"/>
      <c r="B42" s="291"/>
      <c r="C42" s="291"/>
      <c r="D42" s="291"/>
      <c r="E42" s="291"/>
      <c r="F42" s="291"/>
      <c r="G42" s="291"/>
      <c r="H42" s="291"/>
      <c r="I42" s="291"/>
    </row>
    <row r="44" spans="1:9" ht="345" customHeight="1" x14ac:dyDescent="0.2">
      <c r="A44" s="99"/>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topLeftCell="A3" zoomScaleNormal="100" zoomScaleSheetLayoutView="100" workbookViewId="0">
      <selection activeCell="G11" sqref="G11"/>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05" t="s">
        <v>0</v>
      </c>
      <c r="B1" s="305"/>
      <c r="C1" s="305"/>
      <c r="D1" s="305"/>
      <c r="E1" s="305"/>
      <c r="F1" s="305"/>
      <c r="G1" s="305"/>
      <c r="H1" s="17"/>
      <c r="I1" s="17"/>
    </row>
    <row r="2" spans="1:9" ht="18" x14ac:dyDescent="0.25">
      <c r="A2" s="306" t="s">
        <v>1</v>
      </c>
      <c r="B2" s="306"/>
      <c r="C2" s="306"/>
      <c r="D2" s="306"/>
      <c r="E2" s="306"/>
      <c r="F2" s="306"/>
      <c r="G2" s="306"/>
      <c r="H2" s="17"/>
      <c r="I2" s="17"/>
    </row>
    <row r="3" spans="1:9" ht="15" x14ac:dyDescent="0.25">
      <c r="A3" s="307" t="str">
        <f>'Executive Summary'!A3</f>
        <v>August 2026</v>
      </c>
      <c r="B3" s="305"/>
      <c r="C3" s="305"/>
      <c r="D3" s="305"/>
      <c r="E3" s="305"/>
      <c r="F3" s="305"/>
      <c r="G3" s="305"/>
      <c r="H3" s="17"/>
      <c r="I3" s="17"/>
    </row>
    <row r="4" spans="1:9" x14ac:dyDescent="0.2">
      <c r="A4" s="308"/>
      <c r="B4" s="308"/>
      <c r="C4" s="308"/>
      <c r="D4" s="308"/>
      <c r="E4" s="308"/>
      <c r="F4" s="308"/>
      <c r="G4" s="308"/>
      <c r="H4" s="17"/>
      <c r="I4" s="17"/>
    </row>
    <row r="5" spans="1:9" x14ac:dyDescent="0.2">
      <c r="A5" s="75"/>
      <c r="B5" s="75"/>
      <c r="C5" s="75"/>
      <c r="D5" s="75"/>
      <c r="E5" s="75"/>
      <c r="F5" s="75"/>
      <c r="G5" s="75"/>
      <c r="H5" s="17"/>
      <c r="I5" s="17"/>
    </row>
    <row r="6" spans="1:9" x14ac:dyDescent="0.2">
      <c r="A6" s="75"/>
      <c r="B6" s="75"/>
      <c r="C6" s="75"/>
      <c r="D6" s="75"/>
      <c r="E6" s="75"/>
      <c r="F6" s="75"/>
      <c r="G6" s="75"/>
      <c r="H6" s="17"/>
      <c r="I6" s="17"/>
    </row>
    <row r="7" spans="1:9" x14ac:dyDescent="0.2">
      <c r="A7" s="117"/>
      <c r="B7" s="118"/>
      <c r="C7" s="119"/>
      <c r="D7" s="119"/>
      <c r="E7" s="119"/>
      <c r="F7" s="119"/>
      <c r="G7" s="120"/>
      <c r="H7" s="17"/>
      <c r="I7" s="17"/>
    </row>
    <row r="8" spans="1:9" ht="15" x14ac:dyDescent="0.25">
      <c r="A8" s="115" t="s">
        <v>43</v>
      </c>
      <c r="B8" s="295" t="s">
        <v>3</v>
      </c>
      <c r="C8" s="295"/>
      <c r="D8" s="18"/>
      <c r="E8" s="303" t="s">
        <v>6</v>
      </c>
      <c r="F8" s="303"/>
      <c r="G8" s="19">
        <v>51058</v>
      </c>
      <c r="H8" s="17"/>
      <c r="I8" s="17"/>
    </row>
    <row r="9" spans="1:9" ht="15" x14ac:dyDescent="0.25">
      <c r="A9" s="115" t="s">
        <v>4</v>
      </c>
      <c r="B9" s="295" t="s">
        <v>5</v>
      </c>
      <c r="C9" s="295"/>
      <c r="D9" s="116"/>
      <c r="E9" s="303" t="s">
        <v>7</v>
      </c>
      <c r="F9" s="303"/>
      <c r="G9" s="20">
        <v>0.9414</v>
      </c>
      <c r="H9" s="17"/>
      <c r="I9" s="17"/>
    </row>
    <row r="10" spans="1:9" x14ac:dyDescent="0.2">
      <c r="A10" s="21"/>
      <c r="B10" s="22"/>
      <c r="C10" s="22"/>
      <c r="D10" s="22"/>
      <c r="E10" s="304" t="s">
        <v>8</v>
      </c>
      <c r="F10" s="304"/>
      <c r="G10" s="23">
        <v>0.9414</v>
      </c>
      <c r="H10" s="17"/>
      <c r="I10" s="17"/>
    </row>
    <row r="11" spans="1:9" x14ac:dyDescent="0.2">
      <c r="A11" s="17"/>
      <c r="B11" s="17"/>
      <c r="C11" s="17"/>
      <c r="D11" s="17"/>
      <c r="E11" s="17"/>
      <c r="F11" s="17"/>
      <c r="G11" s="17"/>
      <c r="H11" s="17"/>
      <c r="I11" s="17"/>
    </row>
    <row r="12" spans="1:9" x14ac:dyDescent="0.2">
      <c r="A12" s="82" t="s">
        <v>59</v>
      </c>
      <c r="B12" s="83" t="s">
        <v>60</v>
      </c>
      <c r="C12" s="82" t="s">
        <v>61</v>
      </c>
      <c r="D12" s="82" t="s">
        <v>62</v>
      </c>
      <c r="E12" s="82" t="s">
        <v>63</v>
      </c>
      <c r="F12" s="82" t="s">
        <v>64</v>
      </c>
      <c r="G12" s="82" t="s">
        <v>65</v>
      </c>
      <c r="H12" s="17"/>
      <c r="I12" s="17"/>
    </row>
    <row r="13" spans="1:9" hidden="1" x14ac:dyDescent="0.2">
      <c r="A13" s="24"/>
      <c r="B13" s="24"/>
      <c r="C13" s="24"/>
      <c r="D13" s="24"/>
      <c r="E13" s="24"/>
      <c r="F13" s="24"/>
      <c r="G13" s="24"/>
      <c r="H13" s="17"/>
      <c r="I13" s="17"/>
    </row>
    <row r="14" spans="1:9" ht="19.5" customHeight="1" x14ac:dyDescent="0.2">
      <c r="A14" s="79" t="s">
        <v>66</v>
      </c>
      <c r="B14" s="79" t="s">
        <v>67</v>
      </c>
      <c r="C14" s="79" t="s">
        <v>68</v>
      </c>
      <c r="D14" s="79" t="s">
        <v>68</v>
      </c>
      <c r="E14" s="79" t="s">
        <v>68</v>
      </c>
      <c r="F14" s="80" t="s">
        <v>68</v>
      </c>
      <c r="G14" s="81"/>
      <c r="H14" s="17"/>
      <c r="I14" s="17"/>
    </row>
    <row r="15" spans="1:9" ht="25.5" x14ac:dyDescent="0.2">
      <c r="A15" s="79" t="s">
        <v>66</v>
      </c>
      <c r="B15" s="79" t="s">
        <v>70</v>
      </c>
      <c r="C15" s="79" t="s">
        <v>68</v>
      </c>
      <c r="D15" s="79" t="s">
        <v>68</v>
      </c>
      <c r="E15" s="79" t="s">
        <v>68</v>
      </c>
      <c r="F15" s="80" t="s">
        <v>69</v>
      </c>
      <c r="G15" s="81" t="s">
        <v>123</v>
      </c>
      <c r="H15" s="17"/>
      <c r="I15" s="17"/>
    </row>
    <row r="16" spans="1:9" ht="25.5" x14ac:dyDescent="0.2">
      <c r="A16" s="79" t="s">
        <v>66</v>
      </c>
      <c r="B16" s="80" t="s">
        <v>71</v>
      </c>
      <c r="C16" s="79" t="s">
        <v>68</v>
      </c>
      <c r="D16" s="79" t="s">
        <v>68</v>
      </c>
      <c r="E16" s="79" t="s">
        <v>68</v>
      </c>
      <c r="F16" s="79" t="s">
        <v>69</v>
      </c>
      <c r="G16" s="97" t="s">
        <v>123</v>
      </c>
      <c r="H16" s="17"/>
      <c r="I16" s="17"/>
    </row>
    <row r="17" spans="1:9" hidden="1" x14ac:dyDescent="0.2">
      <c r="A17" s="79" t="s">
        <v>66</v>
      </c>
      <c r="B17" s="79" t="s">
        <v>72</v>
      </c>
      <c r="C17" s="79" t="s">
        <v>73</v>
      </c>
      <c r="D17" s="80" t="s">
        <v>73</v>
      </c>
      <c r="E17" s="79" t="s">
        <v>73</v>
      </c>
      <c r="F17" s="80" t="s">
        <v>73</v>
      </c>
      <c r="G17" s="81"/>
      <c r="H17" s="17"/>
      <c r="I17" s="17"/>
    </row>
    <row r="18" spans="1:9" x14ac:dyDescent="0.2">
      <c r="A18" s="79" t="s">
        <v>66</v>
      </c>
      <c r="B18" s="79" t="s">
        <v>74</v>
      </c>
      <c r="C18" s="79" t="s">
        <v>68</v>
      </c>
      <c r="D18" s="80" t="s">
        <v>68</v>
      </c>
      <c r="E18" s="79" t="s">
        <v>68</v>
      </c>
      <c r="F18" s="80" t="s">
        <v>68</v>
      </c>
      <c r="G18" s="81"/>
      <c r="H18" s="17"/>
      <c r="I18" s="17"/>
    </row>
    <row r="19" spans="1:9" ht="25.5" x14ac:dyDescent="0.2">
      <c r="A19" s="79" t="s">
        <v>66</v>
      </c>
      <c r="B19" s="80" t="s">
        <v>76</v>
      </c>
      <c r="C19" s="79" t="s">
        <v>68</v>
      </c>
      <c r="D19" s="79" t="s">
        <v>68</v>
      </c>
      <c r="E19" s="79" t="s">
        <v>68</v>
      </c>
      <c r="F19" s="79" t="s">
        <v>69</v>
      </c>
      <c r="G19" s="81" t="s">
        <v>123</v>
      </c>
      <c r="H19" s="17"/>
      <c r="I19" s="17"/>
    </row>
    <row r="20" spans="1:9" x14ac:dyDescent="0.2">
      <c r="A20" s="79" t="s">
        <v>66</v>
      </c>
      <c r="B20" s="79" t="s">
        <v>77</v>
      </c>
      <c r="C20" s="79" t="s">
        <v>68</v>
      </c>
      <c r="D20" s="79" t="s">
        <v>68</v>
      </c>
      <c r="E20" s="79" t="s">
        <v>68</v>
      </c>
      <c r="F20" s="79" t="s">
        <v>68</v>
      </c>
      <c r="G20" s="81"/>
      <c r="H20" s="17"/>
      <c r="I20" s="17"/>
    </row>
    <row r="21" spans="1:9" ht="38.25" x14ac:dyDescent="0.2">
      <c r="A21" s="79" t="s">
        <v>66</v>
      </c>
      <c r="B21" s="80" t="s">
        <v>78</v>
      </c>
      <c r="C21" s="79" t="s">
        <v>68</v>
      </c>
      <c r="D21" s="80" t="s">
        <v>69</v>
      </c>
      <c r="E21" s="79" t="s">
        <v>68</v>
      </c>
      <c r="F21" s="80" t="s">
        <v>69</v>
      </c>
      <c r="G21" s="81" t="s">
        <v>75</v>
      </c>
      <c r="H21" s="17"/>
      <c r="I21" s="17"/>
    </row>
    <row r="22" spans="1:9" x14ac:dyDescent="0.2">
      <c r="A22" s="110" t="s">
        <v>66</v>
      </c>
      <c r="B22" s="80" t="s">
        <v>79</v>
      </c>
      <c r="C22" s="79" t="s">
        <v>68</v>
      </c>
      <c r="D22" s="79" t="s">
        <v>68</v>
      </c>
      <c r="E22" s="79" t="s">
        <v>68</v>
      </c>
      <c r="F22" s="80" t="s">
        <v>68</v>
      </c>
      <c r="G22" s="81"/>
      <c r="H22" s="17"/>
      <c r="I22" s="17"/>
    </row>
    <row r="23" spans="1:9" ht="25.5" x14ac:dyDescent="0.2">
      <c r="A23" s="98" t="s">
        <v>66</v>
      </c>
      <c r="B23" s="96" t="s">
        <v>80</v>
      </c>
      <c r="C23" s="79" t="s">
        <v>68</v>
      </c>
      <c r="D23" s="79" t="s">
        <v>69</v>
      </c>
      <c r="E23" s="79" t="s">
        <v>68</v>
      </c>
      <c r="F23" s="80" t="s">
        <v>68</v>
      </c>
      <c r="G23" s="97" t="s">
        <v>82</v>
      </c>
    </row>
    <row r="24" spans="1:9" ht="25.5" x14ac:dyDescent="0.2">
      <c r="A24" s="98" t="s">
        <v>66</v>
      </c>
      <c r="B24" s="96" t="s">
        <v>81</v>
      </c>
      <c r="C24" s="79" t="s">
        <v>68</v>
      </c>
      <c r="D24" s="79" t="s">
        <v>69</v>
      </c>
      <c r="E24" s="79" t="s">
        <v>68</v>
      </c>
      <c r="F24" s="80" t="s">
        <v>69</v>
      </c>
      <c r="G24" s="97" t="s">
        <v>82</v>
      </c>
    </row>
    <row r="25" spans="1:9" ht="25.5" x14ac:dyDescent="0.2">
      <c r="A25" s="110" t="s">
        <v>66</v>
      </c>
      <c r="B25" s="79" t="s">
        <v>83</v>
      </c>
      <c r="C25" s="79" t="s">
        <v>68</v>
      </c>
      <c r="D25" s="79" t="s">
        <v>68</v>
      </c>
      <c r="E25" s="79" t="s">
        <v>68</v>
      </c>
      <c r="F25" s="79" t="s">
        <v>69</v>
      </c>
      <c r="G25" s="81" t="s">
        <v>104</v>
      </c>
      <c r="H25" s="17"/>
      <c r="I25" s="17"/>
    </row>
    <row r="26" spans="1:9" ht="38.25" x14ac:dyDescent="0.2">
      <c r="A26" s="110" t="s">
        <v>66</v>
      </c>
      <c r="B26" s="80" t="s">
        <v>84</v>
      </c>
      <c r="C26" s="79" t="s">
        <v>68</v>
      </c>
      <c r="D26" s="80" t="s">
        <v>69</v>
      </c>
      <c r="E26" s="79" t="s">
        <v>68</v>
      </c>
      <c r="F26" s="79" t="s">
        <v>68</v>
      </c>
      <c r="G26" s="81" t="s">
        <v>85</v>
      </c>
      <c r="H26" s="17"/>
      <c r="I26" s="17"/>
    </row>
    <row r="27" spans="1:9" ht="38.25" x14ac:dyDescent="0.2">
      <c r="A27" s="98" t="s">
        <v>66</v>
      </c>
      <c r="B27" s="96" t="s">
        <v>86</v>
      </c>
      <c r="C27" s="79" t="s">
        <v>68</v>
      </c>
      <c r="D27" s="80" t="s">
        <v>69</v>
      </c>
      <c r="E27" s="79" t="s">
        <v>68</v>
      </c>
      <c r="F27" s="80" t="s">
        <v>69</v>
      </c>
      <c r="G27" s="81" t="s">
        <v>75</v>
      </c>
    </row>
    <row r="28" spans="1:9" x14ac:dyDescent="0.2">
      <c r="A28" s="95" t="s">
        <v>66</v>
      </c>
      <c r="B28" s="96" t="s">
        <v>87</v>
      </c>
      <c r="C28" s="79" t="s">
        <v>68</v>
      </c>
      <c r="D28" s="80" t="s">
        <v>68</v>
      </c>
      <c r="E28" s="95" t="s">
        <v>68</v>
      </c>
      <c r="F28" s="80" t="s">
        <v>68</v>
      </c>
      <c r="G28" s="81"/>
    </row>
    <row r="29" spans="1:9" x14ac:dyDescent="0.2">
      <c r="A29" s="79" t="s">
        <v>66</v>
      </c>
      <c r="B29" s="80" t="s">
        <v>88</v>
      </c>
      <c r="C29" s="79" t="s">
        <v>68</v>
      </c>
      <c r="D29" s="79" t="s">
        <v>68</v>
      </c>
      <c r="E29" s="79" t="s">
        <v>68</v>
      </c>
      <c r="F29" s="79" t="s">
        <v>68</v>
      </c>
      <c r="G29" s="81"/>
      <c r="H29" s="17"/>
      <c r="I29" s="17"/>
    </row>
    <row r="30" spans="1:9" ht="25.5" x14ac:dyDescent="0.2">
      <c r="A30" s="79" t="s">
        <v>66</v>
      </c>
      <c r="B30" s="80" t="s">
        <v>55</v>
      </c>
      <c r="C30" s="79" t="s">
        <v>68</v>
      </c>
      <c r="D30" s="79" t="s">
        <v>68</v>
      </c>
      <c r="E30" s="79" t="s">
        <v>68</v>
      </c>
      <c r="F30" s="80" t="s">
        <v>69</v>
      </c>
      <c r="G30" s="81" t="s">
        <v>124</v>
      </c>
      <c r="H30" s="17"/>
      <c r="I30" s="17"/>
    </row>
    <row r="33" spans="1:9" x14ac:dyDescent="0.2">
      <c r="A33" s="17"/>
      <c r="B33" s="17"/>
      <c r="C33" s="17"/>
      <c r="D33" s="17"/>
      <c r="E33" s="17"/>
      <c r="F33" s="17"/>
      <c r="G33" s="17"/>
      <c r="H33" s="17"/>
      <c r="I33" s="17"/>
    </row>
    <row r="34" spans="1:9" x14ac:dyDescent="0.2">
      <c r="A34" s="17"/>
      <c r="B34" s="17"/>
      <c r="C34" s="17"/>
      <c r="D34" s="17"/>
      <c r="E34" s="17"/>
      <c r="F34" s="17"/>
      <c r="G34" s="17"/>
      <c r="H34" s="17"/>
      <c r="I34" s="17"/>
    </row>
    <row r="41" spans="1:9" ht="77.25" customHeight="1" x14ac:dyDescent="0.2">
      <c r="B41" s="99"/>
    </row>
    <row r="42" spans="1:9" ht="159.75" customHeight="1" x14ac:dyDescent="0.2">
      <c r="A42" s="291"/>
      <c r="B42" s="291"/>
      <c r="C42" s="291"/>
      <c r="D42" s="291"/>
      <c r="E42" s="291"/>
      <c r="F42" s="291"/>
      <c r="G42" s="291"/>
      <c r="H42" s="291"/>
      <c r="I42" s="291"/>
    </row>
    <row r="43" spans="1:9" ht="132.75" customHeight="1" x14ac:dyDescent="0.2"/>
    <row r="44" spans="1:9" ht="345" customHeight="1" x14ac:dyDescent="0.2">
      <c r="A44" s="99" t="s">
        <v>100</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A23" sqref="A23:I23"/>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86" t="s">
        <v>0</v>
      </c>
      <c r="B1" s="286"/>
      <c r="C1" s="286"/>
      <c r="D1" s="286"/>
      <c r="E1" s="286"/>
    </row>
    <row r="2" spans="1:5" ht="18" x14ac:dyDescent="0.25">
      <c r="A2" s="309" t="s">
        <v>1</v>
      </c>
      <c r="B2" s="283"/>
      <c r="C2" s="283"/>
      <c r="D2" s="283"/>
      <c r="E2" s="283"/>
    </row>
    <row r="3" spans="1:5" ht="15" x14ac:dyDescent="0.25">
      <c r="A3" s="310" t="str">
        <f>'Executive Summary'!A3</f>
        <v>August 2026</v>
      </c>
      <c r="B3" s="311"/>
      <c r="C3" s="311"/>
      <c r="D3" s="311"/>
      <c r="E3" s="311"/>
    </row>
    <row r="4" spans="1:5" x14ac:dyDescent="0.2">
      <c r="A4" s="312"/>
      <c r="B4" s="312"/>
      <c r="C4" s="312"/>
      <c r="D4" s="312"/>
      <c r="E4" s="312"/>
    </row>
    <row r="5" spans="1:5" x14ac:dyDescent="0.2">
      <c r="A5" s="6"/>
      <c r="B5" s="7"/>
      <c r="C5" s="7"/>
      <c r="D5" s="7"/>
      <c r="E5" s="8"/>
    </row>
    <row r="6" spans="1:5" x14ac:dyDescent="0.2">
      <c r="A6" s="9" t="s">
        <v>43</v>
      </c>
      <c r="B6" s="112" t="s">
        <v>3</v>
      </c>
      <c r="C6" s="62" t="s">
        <v>6</v>
      </c>
      <c r="D6" s="127">
        <v>51058</v>
      </c>
      <c r="E6" s="10"/>
    </row>
    <row r="7" spans="1:5" x14ac:dyDescent="0.2">
      <c r="A7" s="9" t="s">
        <v>4</v>
      </c>
      <c r="B7" s="63" t="s">
        <v>5</v>
      </c>
      <c r="C7" s="62" t="s">
        <v>7</v>
      </c>
      <c r="D7" s="128">
        <v>0.8141</v>
      </c>
      <c r="E7" s="10"/>
    </row>
    <row r="8" spans="1:5" x14ac:dyDescent="0.2">
      <c r="A8" s="124"/>
      <c r="B8" s="113"/>
      <c r="C8" s="2" t="s">
        <v>89</v>
      </c>
      <c r="D8" s="125">
        <v>0.8141</v>
      </c>
      <c r="E8" s="126" t="s">
        <v>105</v>
      </c>
    </row>
    <row r="10" spans="1:5" x14ac:dyDescent="0.2">
      <c r="A10" s="123" t="s">
        <v>46</v>
      </c>
      <c r="B10" s="105" t="s">
        <v>90</v>
      </c>
      <c r="C10" s="104" t="s">
        <v>91</v>
      </c>
      <c r="D10" s="104" t="s">
        <v>92</v>
      </c>
      <c r="E10" s="104" t="s">
        <v>65</v>
      </c>
    </row>
    <row r="11" spans="1:5" hidden="1" x14ac:dyDescent="0.2">
      <c r="A11" s="103"/>
      <c r="B11" s="103"/>
      <c r="C11" s="103"/>
      <c r="D11" s="103"/>
      <c r="E11" s="103"/>
    </row>
    <row r="12" spans="1:5" ht="12.75" customHeight="1" x14ac:dyDescent="0.2">
      <c r="A12" s="95" t="s">
        <v>93</v>
      </c>
      <c r="B12" s="25" t="s">
        <v>94</v>
      </c>
      <c r="C12" s="103" t="s">
        <v>69</v>
      </c>
      <c r="D12" s="103" t="s">
        <v>69</v>
      </c>
      <c r="E12" s="102" t="s">
        <v>95</v>
      </c>
    </row>
    <row r="13" spans="1:5" ht="12.75" customHeight="1" x14ac:dyDescent="0.2">
      <c r="A13" s="96" t="s">
        <v>96</v>
      </c>
      <c r="B13" s="25" t="s">
        <v>97</v>
      </c>
      <c r="C13" s="111" t="s">
        <v>68</v>
      </c>
      <c r="D13" s="111" t="s">
        <v>69</v>
      </c>
      <c r="E13" s="102" t="s">
        <v>95</v>
      </c>
    </row>
    <row r="14" spans="1:5" ht="12.75" customHeight="1" x14ac:dyDescent="0.2">
      <c r="A14" s="107" t="s">
        <v>74</v>
      </c>
      <c r="B14" s="25" t="s">
        <v>98</v>
      </c>
      <c r="C14" s="103" t="s">
        <v>69</v>
      </c>
      <c r="D14" s="103" t="s">
        <v>69</v>
      </c>
      <c r="E14" s="102" t="s">
        <v>95</v>
      </c>
    </row>
    <row r="15" spans="1:5" ht="12.75" customHeight="1" x14ac:dyDescent="0.2">
      <c r="A15" s="95" t="s">
        <v>74</v>
      </c>
      <c r="B15" s="25" t="s">
        <v>94</v>
      </c>
      <c r="C15" s="103" t="s">
        <v>69</v>
      </c>
      <c r="D15" s="103" t="s">
        <v>69</v>
      </c>
      <c r="E15" s="102" t="s">
        <v>95</v>
      </c>
    </row>
    <row r="16" spans="1:5" s="106" customFormat="1" ht="12.75" customHeight="1" x14ac:dyDescent="0.2">
      <c r="A16" s="111" t="s">
        <v>76</v>
      </c>
      <c r="B16" s="25" t="s">
        <v>98</v>
      </c>
      <c r="C16" s="111" t="s">
        <v>68</v>
      </c>
      <c r="D16" s="111" t="s">
        <v>69</v>
      </c>
      <c r="E16" s="102" t="s">
        <v>95</v>
      </c>
    </row>
    <row r="17" spans="1:8" ht="12.75" customHeight="1" x14ac:dyDescent="0.2">
      <c r="A17" s="97" t="s">
        <v>78</v>
      </c>
      <c r="B17" s="25" t="s">
        <v>98</v>
      </c>
      <c r="C17" s="103" t="s">
        <v>69</v>
      </c>
      <c r="D17" s="103" t="s">
        <v>69</v>
      </c>
      <c r="E17" s="102" t="s">
        <v>95</v>
      </c>
    </row>
    <row r="18" spans="1:8" ht="12.75" customHeight="1" x14ac:dyDescent="0.2">
      <c r="A18" s="96" t="s">
        <v>78</v>
      </c>
      <c r="B18" s="25" t="s">
        <v>94</v>
      </c>
      <c r="C18" s="103" t="s">
        <v>69</v>
      </c>
      <c r="D18" s="103" t="s">
        <v>69</v>
      </c>
      <c r="E18" s="102" t="s">
        <v>95</v>
      </c>
    </row>
    <row r="19" spans="1:8" ht="12.75" customHeight="1" x14ac:dyDescent="0.2">
      <c r="A19" s="97" t="s">
        <v>79</v>
      </c>
      <c r="B19" s="25" t="s">
        <v>94</v>
      </c>
      <c r="C19" s="103" t="s">
        <v>69</v>
      </c>
      <c r="D19" s="103" t="s">
        <v>69</v>
      </c>
      <c r="E19" s="102" t="s">
        <v>95</v>
      </c>
    </row>
    <row r="20" spans="1:8" ht="12.75" customHeight="1" x14ac:dyDescent="0.2">
      <c r="A20" s="96" t="s">
        <v>81</v>
      </c>
      <c r="B20" s="25" t="s">
        <v>98</v>
      </c>
      <c r="C20" s="103" t="s">
        <v>69</v>
      </c>
      <c r="D20" s="103" t="s">
        <v>69</v>
      </c>
      <c r="E20" s="102" t="s">
        <v>95</v>
      </c>
    </row>
    <row r="21" spans="1:8" ht="12.75" customHeight="1" x14ac:dyDescent="0.2">
      <c r="A21" s="96" t="s">
        <v>86</v>
      </c>
      <c r="B21" s="25" t="s">
        <v>98</v>
      </c>
      <c r="C21" s="103" t="s">
        <v>69</v>
      </c>
      <c r="D21" s="103" t="s">
        <v>69</v>
      </c>
      <c r="E21" s="102" t="s">
        <v>95</v>
      </c>
    </row>
    <row r="22" spans="1:8" x14ac:dyDescent="0.2">
      <c r="A22" s="97" t="s">
        <v>86</v>
      </c>
      <c r="B22" s="25" t="s">
        <v>94</v>
      </c>
      <c r="C22" s="103" t="s">
        <v>69</v>
      </c>
      <c r="D22" s="103" t="s">
        <v>69</v>
      </c>
      <c r="E22" s="102" t="s">
        <v>95</v>
      </c>
    </row>
    <row r="23" spans="1:8" x14ac:dyDescent="0.2">
      <c r="A23" s="121" t="s">
        <v>99</v>
      </c>
      <c r="B23" s="25" t="s">
        <v>98</v>
      </c>
      <c r="C23" s="111" t="s">
        <v>69</v>
      </c>
      <c r="D23" s="111" t="s">
        <v>69</v>
      </c>
      <c r="E23" s="102" t="s">
        <v>95</v>
      </c>
    </row>
    <row r="24" spans="1:8" x14ac:dyDescent="0.2">
      <c r="A24" s="122" t="s">
        <v>99</v>
      </c>
      <c r="B24" s="25" t="s">
        <v>97</v>
      </c>
      <c r="C24" s="111" t="s">
        <v>68</v>
      </c>
      <c r="D24" s="111" t="s">
        <v>69</v>
      </c>
      <c r="E24" s="102" t="s">
        <v>95</v>
      </c>
    </row>
    <row r="25" spans="1:8" x14ac:dyDescent="0.2">
      <c r="A25" s="97" t="s">
        <v>102</v>
      </c>
      <c r="B25" s="25" t="s">
        <v>98</v>
      </c>
      <c r="C25" s="103" t="s">
        <v>68</v>
      </c>
      <c r="D25" s="103" t="s">
        <v>69</v>
      </c>
      <c r="E25" s="102" t="s">
        <v>95</v>
      </c>
    </row>
    <row r="26" spans="1:8" x14ac:dyDescent="0.2">
      <c r="A26" s="97" t="s">
        <v>102</v>
      </c>
      <c r="B26" s="25" t="s">
        <v>94</v>
      </c>
      <c r="C26" s="103" t="s">
        <v>69</v>
      </c>
      <c r="D26" s="103" t="s">
        <v>69</v>
      </c>
      <c r="E26" s="102" t="s">
        <v>95</v>
      </c>
    </row>
    <row r="27" spans="1:8" x14ac:dyDescent="0.2">
      <c r="A27" s="96" t="s">
        <v>55</v>
      </c>
      <c r="B27" s="25" t="s">
        <v>98</v>
      </c>
      <c r="C27" s="111" t="s">
        <v>68</v>
      </c>
      <c r="D27" s="111" t="s">
        <v>69</v>
      </c>
      <c r="E27" s="102" t="s">
        <v>95</v>
      </c>
    </row>
    <row r="28" spans="1:8" x14ac:dyDescent="0.2">
      <c r="A28" s="96" t="s">
        <v>55</v>
      </c>
      <c r="B28" s="25" t="s">
        <v>94</v>
      </c>
      <c r="C28" s="111" t="s">
        <v>68</v>
      </c>
      <c r="D28" s="111" t="s">
        <v>69</v>
      </c>
      <c r="E28" s="102" t="s">
        <v>95</v>
      </c>
    </row>
    <row r="29" spans="1:8" x14ac:dyDescent="0.2">
      <c r="H29" s="101"/>
    </row>
    <row r="30" spans="1:8" ht="132.75" customHeight="1" x14ac:dyDescent="0.2"/>
    <row r="36" spans="1:9" x14ac:dyDescent="0.2">
      <c r="A36" s="99"/>
    </row>
    <row r="37" spans="1:9" ht="130.5" customHeight="1" x14ac:dyDescent="0.2">
      <c r="A37" s="99"/>
    </row>
    <row r="38" spans="1:9" ht="24.75" customHeight="1" x14ac:dyDescent="0.2"/>
    <row r="42" spans="1:9" ht="159.75" customHeight="1" x14ac:dyDescent="0.2">
      <c r="A42" s="291" t="s">
        <v>101</v>
      </c>
      <c r="B42" s="291"/>
      <c r="C42" s="291"/>
      <c r="D42" s="291"/>
      <c r="E42" s="291"/>
      <c r="F42" s="291"/>
      <c r="G42" s="291"/>
      <c r="H42" s="291"/>
      <c r="I42" s="291"/>
    </row>
    <row r="44" spans="1:9" ht="345" customHeight="1" x14ac:dyDescent="0.2">
      <c r="A44" s="99" t="s">
        <v>100</v>
      </c>
    </row>
    <row r="49" spans="2:2" x14ac:dyDescent="0.2">
      <c r="B49" s="99"/>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73"/>
  <sheetViews>
    <sheetView zoomScaleNormal="100" zoomScaleSheetLayoutView="100" workbookViewId="0">
      <selection activeCell="D55" sqref="D55"/>
    </sheetView>
  </sheetViews>
  <sheetFormatPr defaultRowHeight="12.75" x14ac:dyDescent="0.2"/>
  <cols>
    <col min="1" max="1" width="55.425781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86" t="s">
        <v>0</v>
      </c>
      <c r="B1" s="286"/>
      <c r="C1" s="286"/>
      <c r="D1" s="286"/>
      <c r="E1" s="286"/>
    </row>
    <row r="2" spans="1:5" ht="18" x14ac:dyDescent="0.25">
      <c r="A2" s="317" t="s">
        <v>1</v>
      </c>
      <c r="B2" s="283"/>
      <c r="C2" s="283"/>
      <c r="D2" s="283"/>
      <c r="E2" s="283"/>
    </row>
    <row r="3" spans="1:5" ht="15" x14ac:dyDescent="0.25">
      <c r="A3" s="310" t="str">
        <f>'Executive Summary'!A3</f>
        <v>August 2026</v>
      </c>
      <c r="B3" s="311"/>
      <c r="C3" s="311"/>
      <c r="D3" s="311"/>
      <c r="E3" s="311"/>
    </row>
    <row r="4" spans="1:5" x14ac:dyDescent="0.2">
      <c r="A4" s="312"/>
      <c r="B4" s="312"/>
      <c r="C4" s="312"/>
      <c r="D4" s="312"/>
      <c r="E4" s="312"/>
    </row>
    <row r="5" spans="1:5" x14ac:dyDescent="0.2">
      <c r="A5" s="6"/>
      <c r="B5" s="7"/>
      <c r="C5" s="7"/>
      <c r="D5" s="7"/>
      <c r="E5" s="8"/>
    </row>
    <row r="6" spans="1:5" x14ac:dyDescent="0.2">
      <c r="A6" s="9" t="s">
        <v>43</v>
      </c>
      <c r="B6" s="112" t="s">
        <v>3</v>
      </c>
      <c r="C6" s="62" t="s">
        <v>6</v>
      </c>
      <c r="D6" s="127">
        <v>51058</v>
      </c>
      <c r="E6" s="10"/>
    </row>
    <row r="7" spans="1:5" x14ac:dyDescent="0.2">
      <c r="A7" s="9" t="s">
        <v>4</v>
      </c>
      <c r="B7" s="63"/>
      <c r="C7" s="62" t="s">
        <v>7</v>
      </c>
      <c r="D7" s="128">
        <v>0.9414</v>
      </c>
      <c r="E7" s="10"/>
    </row>
    <row r="8" spans="1:5" x14ac:dyDescent="0.2">
      <c r="A8" s="124"/>
      <c r="B8" s="65"/>
      <c r="C8" s="2" t="s">
        <v>89</v>
      </c>
      <c r="D8" s="125">
        <v>0.9414</v>
      </c>
      <c r="E8" s="126"/>
    </row>
    <row r="9" spans="1:5" x14ac:dyDescent="0.2">
      <c r="A9" s="65"/>
      <c r="B9" s="131"/>
      <c r="C9" s="129"/>
      <c r="D9" s="130"/>
      <c r="E9" s="65"/>
    </row>
    <row r="11" spans="1:5" x14ac:dyDescent="0.2">
      <c r="A11" s="318" t="s">
        <v>106</v>
      </c>
      <c r="B11" s="319"/>
    </row>
    <row r="12" spans="1:5" x14ac:dyDescent="0.2">
      <c r="A12" s="132">
        <v>45964</v>
      </c>
      <c r="B12" s="135">
        <v>250000</v>
      </c>
    </row>
    <row r="13" spans="1:5" ht="12.75" customHeight="1" x14ac:dyDescent="0.2">
      <c r="A13" s="132">
        <v>46080</v>
      </c>
      <c r="B13" s="146">
        <v>190223.76</v>
      </c>
      <c r="E13" s="12"/>
    </row>
    <row r="14" spans="1:5" ht="12.75" customHeight="1" x14ac:dyDescent="0.2">
      <c r="A14" s="132">
        <v>46090</v>
      </c>
      <c r="B14" s="147">
        <v>861186.79</v>
      </c>
      <c r="C14" s="11"/>
      <c r="D14" s="11"/>
      <c r="E14" s="12"/>
    </row>
    <row r="15" spans="1:5" ht="12.75" customHeight="1" x14ac:dyDescent="0.25">
      <c r="A15" s="136" t="s">
        <v>50</v>
      </c>
      <c r="B15" s="148">
        <f>SUM(B12:B14)</f>
        <v>1301410.55</v>
      </c>
      <c r="E15" s="12"/>
    </row>
    <row r="16" spans="1:5" ht="12.75" customHeight="1" x14ac:dyDescent="0.25">
      <c r="A16" s="138"/>
      <c r="E16" s="12"/>
    </row>
    <row r="17" spans="1:5" ht="12.75" customHeight="1" x14ac:dyDescent="0.2">
      <c r="A17" s="11"/>
      <c r="B17" s="139"/>
      <c r="E17" s="12"/>
    </row>
    <row r="18" spans="1:5" s="106" customFormat="1" ht="12.75" customHeight="1" x14ac:dyDescent="0.2">
      <c r="A18" s="313" t="s">
        <v>118</v>
      </c>
      <c r="B18" s="314"/>
      <c r="C18" s="11"/>
      <c r="D18" s="11"/>
      <c r="E18" s="12"/>
    </row>
    <row r="19" spans="1:5" ht="12.75" customHeight="1" x14ac:dyDescent="0.2">
      <c r="A19" s="133" t="s">
        <v>111</v>
      </c>
      <c r="B19" s="140">
        <v>2094.2399999999998</v>
      </c>
      <c r="E19" s="12"/>
    </row>
    <row r="20" spans="1:5" ht="12.75" customHeight="1" x14ac:dyDescent="0.2">
      <c r="A20" s="133" t="s">
        <v>112</v>
      </c>
      <c r="B20" s="140">
        <v>16906.75</v>
      </c>
      <c r="E20" s="12"/>
    </row>
    <row r="21" spans="1:5" ht="12.75" customHeight="1" x14ac:dyDescent="0.2">
      <c r="A21" s="133" t="s">
        <v>113</v>
      </c>
      <c r="B21" s="134">
        <v>393.4</v>
      </c>
      <c r="E21" s="12"/>
    </row>
    <row r="22" spans="1:5" ht="12.75" customHeight="1" x14ac:dyDescent="0.2">
      <c r="A22" s="133" t="s">
        <v>114</v>
      </c>
      <c r="B22" s="140">
        <v>1947.64</v>
      </c>
      <c r="E22" s="12"/>
    </row>
    <row r="23" spans="1:5" x14ac:dyDescent="0.2">
      <c r="A23" s="133" t="s">
        <v>115</v>
      </c>
      <c r="B23" s="140">
        <v>68652</v>
      </c>
      <c r="E23" s="12"/>
    </row>
    <row r="24" spans="1:5" x14ac:dyDescent="0.2">
      <c r="A24" s="133" t="s">
        <v>115</v>
      </c>
      <c r="B24" s="140">
        <v>3597.72</v>
      </c>
      <c r="D24" s="11"/>
      <c r="E24" s="12"/>
    </row>
    <row r="25" spans="1:5" x14ac:dyDescent="0.2">
      <c r="A25" s="133" t="s">
        <v>116</v>
      </c>
      <c r="B25" s="140">
        <v>8609.08</v>
      </c>
      <c r="D25" s="11"/>
      <c r="E25" s="12"/>
    </row>
    <row r="26" spans="1:5" x14ac:dyDescent="0.2">
      <c r="A26" s="134" t="s">
        <v>117</v>
      </c>
      <c r="B26" s="140">
        <v>1162.3</v>
      </c>
      <c r="E26" s="12"/>
    </row>
    <row r="27" spans="1:5" x14ac:dyDescent="0.2">
      <c r="A27" s="133" t="s">
        <v>115</v>
      </c>
      <c r="B27" s="140">
        <v>129574.83</v>
      </c>
      <c r="E27" s="12"/>
    </row>
    <row r="28" spans="1:5" x14ac:dyDescent="0.2">
      <c r="A28" s="133" t="s">
        <v>125</v>
      </c>
      <c r="B28" s="140">
        <v>197088.93</v>
      </c>
      <c r="E28" s="12"/>
    </row>
    <row r="29" spans="1:5" x14ac:dyDescent="0.2">
      <c r="A29" s="133" t="s">
        <v>150</v>
      </c>
      <c r="B29" s="140">
        <v>18717.43</v>
      </c>
      <c r="D29" s="11"/>
      <c r="E29" s="12"/>
    </row>
    <row r="30" spans="1:5" x14ac:dyDescent="0.2">
      <c r="A30" s="133" t="s">
        <v>126</v>
      </c>
      <c r="B30" s="140">
        <v>110000</v>
      </c>
      <c r="D30" s="11"/>
      <c r="E30" s="12"/>
    </row>
    <row r="31" spans="1:5" x14ac:dyDescent="0.2">
      <c r="A31" s="133" t="s">
        <v>150</v>
      </c>
      <c r="B31" s="140">
        <v>6500</v>
      </c>
      <c r="D31" s="11"/>
      <c r="E31" s="12"/>
    </row>
    <row r="32" spans="1:5" x14ac:dyDescent="0.2">
      <c r="A32" s="133" t="s">
        <v>148</v>
      </c>
      <c r="B32" s="140">
        <v>2855</v>
      </c>
      <c r="D32" s="11"/>
      <c r="E32" s="12"/>
    </row>
    <row r="33" spans="1:8" x14ac:dyDescent="0.2">
      <c r="A33" s="133" t="s">
        <v>149</v>
      </c>
      <c r="B33" s="140">
        <v>230591.1</v>
      </c>
      <c r="D33" s="11"/>
      <c r="E33" s="12"/>
    </row>
    <row r="34" spans="1:8" ht="15" x14ac:dyDescent="0.25">
      <c r="A34" s="136" t="s">
        <v>50</v>
      </c>
      <c r="B34" s="137">
        <f>SUM(B19:B33)</f>
        <v>798690.42</v>
      </c>
      <c r="D34" s="11"/>
      <c r="E34" s="12"/>
    </row>
    <row r="35" spans="1:8" ht="15" x14ac:dyDescent="0.25">
      <c r="A35" s="138"/>
      <c r="H35" s="101"/>
    </row>
    <row r="36" spans="1:8" x14ac:dyDescent="0.2">
      <c r="A36" s="313" t="s">
        <v>119</v>
      </c>
      <c r="B36" s="314"/>
    </row>
    <row r="37" spans="1:8" x14ac:dyDescent="0.2">
      <c r="A37" s="133" t="s">
        <v>120</v>
      </c>
      <c r="B37" s="140">
        <v>138028.21</v>
      </c>
    </row>
    <row r="38" spans="1:8" x14ac:dyDescent="0.2">
      <c r="A38" s="133" t="s">
        <v>121</v>
      </c>
      <c r="B38" s="140">
        <v>125000</v>
      </c>
    </row>
    <row r="39" spans="1:8" x14ac:dyDescent="0.2">
      <c r="A39" s="133" t="s">
        <v>107</v>
      </c>
      <c r="B39" s="140">
        <v>32471.29</v>
      </c>
    </row>
    <row r="40" spans="1:8" x14ac:dyDescent="0.2">
      <c r="A40" s="133"/>
      <c r="B40" s="140"/>
    </row>
    <row r="41" spans="1:8" x14ac:dyDescent="0.2">
      <c r="A41" s="133"/>
      <c r="B41" s="134"/>
    </row>
    <row r="42" spans="1:8" ht="15" x14ac:dyDescent="0.25">
      <c r="A42" s="136" t="s">
        <v>50</v>
      </c>
      <c r="B42" s="137">
        <f>SUM(B37:B40)</f>
        <v>295499.49999999994</v>
      </c>
    </row>
    <row r="44" spans="1:8" ht="15" x14ac:dyDescent="0.25">
      <c r="A44" s="315" t="s">
        <v>110</v>
      </c>
      <c r="B44" s="316"/>
    </row>
    <row r="45" spans="1:8" x14ac:dyDescent="0.2">
      <c r="A45" s="141">
        <v>46198</v>
      </c>
      <c r="B45" s="135">
        <v>25907.06</v>
      </c>
    </row>
    <row r="46" spans="1:8" x14ac:dyDescent="0.2">
      <c r="A46" s="141">
        <v>46228</v>
      </c>
      <c r="B46" s="135">
        <v>25907.06</v>
      </c>
    </row>
    <row r="47" spans="1:8" x14ac:dyDescent="0.2">
      <c r="A47" s="141">
        <v>46259</v>
      </c>
      <c r="B47" s="135">
        <v>25907.06</v>
      </c>
    </row>
    <row r="48" spans="1:8" x14ac:dyDescent="0.2">
      <c r="A48" s="141">
        <v>46290</v>
      </c>
      <c r="B48" s="135">
        <v>25907.06</v>
      </c>
    </row>
    <row r="49" spans="1:9" x14ac:dyDescent="0.2">
      <c r="A49" s="141">
        <v>46320</v>
      </c>
      <c r="B49" s="135">
        <v>25907.06</v>
      </c>
      <c r="C49" s="99"/>
      <c r="D49" s="99"/>
      <c r="E49" s="99"/>
      <c r="F49" s="99"/>
      <c r="G49" s="99"/>
      <c r="H49" s="99"/>
      <c r="I49" s="99"/>
    </row>
    <row r="50" spans="1:9" x14ac:dyDescent="0.2">
      <c r="A50" s="141">
        <v>46351</v>
      </c>
      <c r="B50" s="135">
        <v>25907.06</v>
      </c>
    </row>
    <row r="51" spans="1:9" x14ac:dyDescent="0.2">
      <c r="A51" s="141">
        <v>46381</v>
      </c>
      <c r="B51" s="135">
        <v>25907.06</v>
      </c>
    </row>
    <row r="52" spans="1:9" x14ac:dyDescent="0.2">
      <c r="A52" s="141">
        <v>46048</v>
      </c>
      <c r="B52" s="135">
        <v>23777.97</v>
      </c>
    </row>
    <row r="53" spans="1:9" x14ac:dyDescent="0.2">
      <c r="A53" s="141">
        <v>46079</v>
      </c>
      <c r="B53" s="135">
        <v>23777.97</v>
      </c>
    </row>
    <row r="54" spans="1:9" x14ac:dyDescent="0.2">
      <c r="A54" s="141">
        <v>46107</v>
      </c>
      <c r="B54" s="135">
        <v>23777.97</v>
      </c>
    </row>
    <row r="55" spans="1:9" x14ac:dyDescent="0.2">
      <c r="A55" s="141">
        <v>46138</v>
      </c>
      <c r="B55" s="135">
        <v>23777.97</v>
      </c>
    </row>
    <row r="56" spans="1:9" x14ac:dyDescent="0.2">
      <c r="A56" s="141">
        <v>46168</v>
      </c>
      <c r="B56" s="135">
        <v>23777.97</v>
      </c>
    </row>
    <row r="57" spans="1:9" x14ac:dyDescent="0.2">
      <c r="A57" s="141">
        <v>46199</v>
      </c>
      <c r="B57" s="135">
        <v>23777.97</v>
      </c>
    </row>
    <row r="58" spans="1:9" x14ac:dyDescent="0.2">
      <c r="A58" s="141">
        <v>46229</v>
      </c>
      <c r="B58" s="135">
        <v>23777.97</v>
      </c>
    </row>
    <row r="59" spans="1:9" ht="15" x14ac:dyDescent="0.25">
      <c r="A59" s="136" t="s">
        <v>50</v>
      </c>
      <c r="B59" s="137">
        <f>SUM(B45:B58)</f>
        <v>347795.20999999996</v>
      </c>
    </row>
    <row r="62" spans="1:9" ht="15" x14ac:dyDescent="0.25">
      <c r="A62" s="315" t="s">
        <v>108</v>
      </c>
      <c r="B62" s="316"/>
    </row>
    <row r="63" spans="1:9" x14ac:dyDescent="0.2">
      <c r="A63" s="141"/>
      <c r="B63" s="135"/>
    </row>
    <row r="64" spans="1:9" x14ac:dyDescent="0.2">
      <c r="A64" s="141">
        <v>46260</v>
      </c>
      <c r="B64" s="135">
        <v>24135.34</v>
      </c>
    </row>
    <row r="65" spans="1:2" x14ac:dyDescent="0.2">
      <c r="A65" s="141">
        <v>46291</v>
      </c>
      <c r="B65" s="135">
        <v>24135.34</v>
      </c>
    </row>
    <row r="66" spans="1:2" x14ac:dyDescent="0.2">
      <c r="A66" s="141"/>
      <c r="B66" s="135"/>
    </row>
    <row r="67" spans="1:2" ht="15" x14ac:dyDescent="0.25">
      <c r="A67" s="136" t="s">
        <v>50</v>
      </c>
      <c r="B67" s="137">
        <f>SUM(B63:B66)</f>
        <v>48270.68</v>
      </c>
    </row>
    <row r="68" spans="1:2" ht="15" x14ac:dyDescent="0.25">
      <c r="A68" s="138"/>
    </row>
    <row r="70" spans="1:2" ht="15" x14ac:dyDescent="0.25">
      <c r="A70" s="142" t="s">
        <v>122</v>
      </c>
      <c r="B70" s="143">
        <f>B34+B42+B59+B67</f>
        <v>1490255.8099999998</v>
      </c>
    </row>
    <row r="73" spans="1:2" ht="15" x14ac:dyDescent="0.25">
      <c r="A73" s="144" t="s">
        <v>109</v>
      </c>
      <c r="B73" s="145">
        <f>B15-B70</f>
        <v>-188845.25999999978</v>
      </c>
    </row>
  </sheetData>
  <mergeCells count="9">
    <mergeCell ref="A18:B18"/>
    <mergeCell ref="A36:B36"/>
    <mergeCell ref="A44:B44"/>
    <mergeCell ref="A62:B62"/>
    <mergeCell ref="A1:E1"/>
    <mergeCell ref="A2:E2"/>
    <mergeCell ref="A3:E3"/>
    <mergeCell ref="A4:E4"/>
    <mergeCell ref="A11:B11"/>
  </mergeCells>
  <printOptions horizontalCentered="1"/>
  <pageMargins left="0.5" right="0.5" top="0.49" bottom="0.68" header="0.25" footer="0.5"/>
  <pageSetup scale="60" fitToHeight="0" orientation="portrait" r:id="rId1"/>
  <headerFooter alignWithMargins="0">
    <oddFooter>&amp;C&amp;8Executive Summary&amp;R&amp;8Page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Props1.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2.xml><?xml version="1.0" encoding="utf-8"?>
<ds:datastoreItem xmlns:ds="http://schemas.openxmlformats.org/officeDocument/2006/customXml" ds:itemID="{EE8B533B-1148-4C41-9B97-431ED87D1BC7}">
  <ds:schemaRefs>
    <ds:schemaRef ds:uri="http://schemas.microsoft.com/office/2006/metadata/longProperties"/>
  </ds:schemaRefs>
</ds:datastoreItem>
</file>

<file path=customXml/itemProps3.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Executive Summary</vt:lpstr>
      <vt:lpstr>Tenant Delinquency</vt:lpstr>
      <vt:lpstr>COVID 19-Rent Recovery</vt:lpstr>
      <vt:lpstr>Tenant COI Tracking </vt:lpstr>
      <vt:lpstr>Tenant Maintenance Tracking</vt:lpstr>
      <vt:lpstr>Fosters Rebuild Costs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Danielle Cebrero</cp:lastModifiedBy>
  <cp:revision/>
  <cp:lastPrinted>2026-07-15T15:53:40Z</cp:lastPrinted>
  <dcterms:created xsi:type="dcterms:W3CDTF">2011-10-06T15:30:24Z</dcterms:created>
  <dcterms:modified xsi:type="dcterms:W3CDTF">2026-08-17T22:34:30Z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