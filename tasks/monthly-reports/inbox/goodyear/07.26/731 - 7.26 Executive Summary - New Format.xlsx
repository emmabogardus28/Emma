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GOODYEAR ARIZONA\MONTHLY REPORT\2026\07.26\"/>
    </mc:Choice>
  </mc:AlternateContent>
  <xr:revisionPtr revIDLastSave="0" documentId="13_ncr:1_{08DF4346-F8D1-473D-9A69-01621BEF851E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Title Sheet" sheetId="1" r:id="rId1"/>
    <sheet name="Executive Summary" sheetId="2" r:id="rId2"/>
    <sheet name="Tenant Delinquency" sheetId="3" r:id="rId3"/>
    <sheet name="Photos" sheetId="4" r:id="rId4"/>
    <sheet name="Tenant COI Tracking" sheetId="5" r:id="rId5"/>
    <sheet name="Tenant Maintenance Tracking. " sheetId="6" r:id="rId6"/>
  </sheets>
  <definedNames>
    <definedName name="_xlnm.Print_Area" localSheetId="1">'Executive Summary'!$A$1:$I$53</definedName>
    <definedName name="_xlnm.Print_Area" localSheetId="4">'Tenant COI Tracking'!$A$1:$I$54</definedName>
    <definedName name="_xlnm.Print_Area" localSheetId="2">'Tenant Delinquency'!$A$1:$I$15</definedName>
    <definedName name="_xlnm.Print_Area" localSheetId="0">'Title Sheet'!$B$6:$H$26</definedName>
    <definedName name="_xlnm.Print_Titles" localSheetId="1">'Executive Summary'!$2:$10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2" l="1"/>
  <c r="D14" i="2"/>
  <c r="E14" i="2" s="1"/>
  <c r="C14" i="2"/>
  <c r="B14" i="2"/>
  <c r="J28" i="2"/>
  <c r="I13" i="2"/>
  <c r="D7" i="6"/>
  <c r="B7" i="6"/>
  <c r="D6" i="6"/>
  <c r="B6" i="6"/>
  <c r="A3" i="6"/>
  <c r="A2" i="6"/>
  <c r="H8" i="4"/>
  <c r="B8" i="4"/>
  <c r="H7" i="4"/>
  <c r="B7" i="4"/>
  <c r="A4" i="4"/>
  <c r="A3" i="4"/>
  <c r="H16" i="2"/>
  <c r="I16" i="2" s="1"/>
  <c r="D16" i="2"/>
  <c r="E16" i="2" s="1"/>
  <c r="H15" i="2"/>
  <c r="I15" i="2" s="1"/>
  <c r="D15" i="2"/>
  <c r="E15" i="2" s="1"/>
  <c r="G14" i="2"/>
  <c r="F14" i="2"/>
  <c r="D13" i="2"/>
  <c r="E13" i="2" s="1"/>
  <c r="H12" i="2"/>
  <c r="I12" i="2" s="1"/>
  <c r="E12" i="2"/>
  <c r="B15" i="3"/>
  <c r="G8" i="3"/>
  <c r="A3" i="3"/>
  <c r="G17" i="2" l="1"/>
  <c r="F17" i="2"/>
  <c r="H14" i="2"/>
  <c r="I14" i="2" s="1"/>
  <c r="C17" i="2"/>
  <c r="H17" i="2" l="1"/>
  <c r="I17" i="2" s="1"/>
  <c r="D17" i="2"/>
  <c r="E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9" authorId="0" shapeId="0" xr:uid="{00000000-0006-0000-0100-000001000000}">
      <text>
        <r>
          <rPr>
            <sz val="10"/>
            <rFont val="Arial"/>
            <family val="2"/>
          </rPr>
          <t xml:space="preserve">Morgan Hickle:
total found in balance sheet - "total current assets" #
</t>
        </r>
      </text>
    </comment>
    <comment ref="A31" authorId="0" shapeId="0" xr:uid="{00000000-0006-0000-0100-000002000000}">
      <text>
        <r>
          <rPr>
            <sz val="10"/>
            <rFont val="Arial"/>
            <family val="2"/>
          </rPr>
          <t xml:space="preserve">Morgan Hickle:
Found on the mortgage statement
</t>
        </r>
      </text>
    </comment>
  </commentList>
</comments>
</file>

<file path=xl/sharedStrings.xml><?xml version="1.0" encoding="utf-8"?>
<sst xmlns="http://schemas.openxmlformats.org/spreadsheetml/2006/main" count="111" uniqueCount="79">
  <si>
    <t>Goodyear</t>
  </si>
  <si>
    <t>Monthly Report</t>
  </si>
  <si>
    <t>Prepared By:</t>
  </si>
  <si>
    <t>Athena Property Management</t>
  </si>
  <si>
    <t>Executive Summary</t>
  </si>
  <si>
    <t>Property Manager:</t>
  </si>
  <si>
    <t>Danielle Cebrero</t>
  </si>
  <si>
    <t>Square Feet:</t>
  </si>
  <si>
    <t>Assistant Property Manager</t>
  </si>
  <si>
    <t>Jaie Benson</t>
  </si>
  <si>
    <t>% Leased:</t>
  </si>
  <si>
    <t>Cash</t>
  </si>
  <si>
    <t>Monthly
Actual</t>
  </si>
  <si>
    <t>Monthly
Budget</t>
  </si>
  <si>
    <t>Variance</t>
  </si>
  <si>
    <t>% Change</t>
  </si>
  <si>
    <t>YTD                    Actual</t>
  </si>
  <si>
    <t>YTD                                         Budget</t>
  </si>
  <si>
    <t>Total Income</t>
  </si>
  <si>
    <t>Total Operating Expenses</t>
  </si>
  <si>
    <t>Gross Cash Flow</t>
  </si>
  <si>
    <t>Total Owners Expense</t>
  </si>
  <si>
    <t>Total Interest Expense</t>
  </si>
  <si>
    <t>Net Income</t>
  </si>
  <si>
    <t>Income Revenue</t>
  </si>
  <si>
    <t>Operating Expenses</t>
  </si>
  <si>
    <t>Owner Expenses</t>
  </si>
  <si>
    <t>Loan Status</t>
  </si>
  <si>
    <t>Tenant Issues</t>
  </si>
  <si>
    <t>None at this time</t>
  </si>
  <si>
    <t>Operational Issues</t>
  </si>
  <si>
    <t>Renewals (12 months from current period)</t>
  </si>
  <si>
    <t xml:space="preserve">None at this time. </t>
  </si>
  <si>
    <t>Leasing</t>
  </si>
  <si>
    <t>Legal</t>
  </si>
  <si>
    <t>Property Highlights and Trends</t>
  </si>
  <si>
    <t>None.</t>
  </si>
  <si>
    <t>Capital Projects / Tenant Improvements</t>
  </si>
  <si>
    <t xml:space="preserve">None. </t>
  </si>
  <si>
    <t>Tenant Delinquency</t>
  </si>
  <si>
    <t>Tenant</t>
  </si>
  <si>
    <t>Balances over $2,000</t>
  </si>
  <si>
    <t>Action Taken / Legal Update</t>
  </si>
  <si>
    <t>Planet Fitness</t>
  </si>
  <si>
    <t xml:space="preserve">Outstanding charges for PYC ($15K - likely revised to $4K) and sales tax assessments ($500). Working with Senior Accountant to satisfy PF's questions in order to make payment. </t>
  </si>
  <si>
    <t>TOTAL</t>
  </si>
  <si>
    <t>NOTES</t>
  </si>
  <si>
    <t>Manager:</t>
  </si>
  <si>
    <t>Assistant Manager:</t>
  </si>
  <si>
    <t>% Occupied:</t>
  </si>
  <si>
    <t>Photos</t>
  </si>
  <si>
    <t>Paste photos of any recent work - slurry, tree trimming, paint, new tenants, etc</t>
  </si>
  <si>
    <t>Include any other updates or areas of concern</t>
  </si>
  <si>
    <t>COI Tracking</t>
  </si>
  <si>
    <t xml:space="preserve">Tracked Tenants </t>
  </si>
  <si>
    <t>COI on File</t>
  </si>
  <si>
    <t xml:space="preserve">COI in Compliance </t>
  </si>
  <si>
    <t>Notes</t>
  </si>
  <si>
    <t>Evgo Services, LLC</t>
  </si>
  <si>
    <t>Yes</t>
  </si>
  <si>
    <t>Sr. Property Manager</t>
  </si>
  <si>
    <t>Assistant Property Manager:</t>
  </si>
  <si>
    <t>Service</t>
  </si>
  <si>
    <t>Doc on File</t>
  </si>
  <si>
    <t>Doc in Compliance</t>
  </si>
  <si>
    <t>MTD Income Revenue is within budget this period</t>
  </si>
  <si>
    <t xml:space="preserve">SuperPlay (Former Big Lots) </t>
  </si>
  <si>
    <t>YTD Income is over budget by $22,940.75 or 12.43% due to:
-$21.1K Spirit Halloween - $21,086.29 Utilities charged and received during short trm rent in Jan
-$1.5K Utilities Income - $1,504.93 Budget vs pmt for regular utilities in Jan'26 - May'26</t>
  </si>
  <si>
    <t>MTD Operating Expenses are within budget this period</t>
  </si>
  <si>
    <t>No</t>
  </si>
  <si>
    <t>Missing Additional Insurance - tenant has been contacted</t>
  </si>
  <si>
    <t>Term: 10 years
Expiration: 03/31/2037
Current Rent: $29,369.79 (to commence April 2027) 
Termination Option:  None
Option Period: Two 5-year optons (4/1/2037-3/31/2042 and 4/1/2042-3/31/2047) 
Option:  2 successive 5-yr renewals; written notice 210-360 days prior to expiration.</t>
  </si>
  <si>
    <t>July 2026</t>
  </si>
  <si>
    <t>July  2026</t>
  </si>
  <si>
    <t>This month's ending operating cash balance is $535,214.84</t>
  </si>
  <si>
    <t>YTD Operating Expenses are under budget by $21,252.51 or 20.84% due to:
-$18.9K Common Area Association
-$4K General Maintenance
Offset by:
-($1.8K) Fire Protection Repairs</t>
  </si>
  <si>
    <t xml:space="preserve">MTD Owner Expenses are over budget by ($3,850.12) or -209.47% due to:
-($1.8K) Utilities Expense
-($1.8K) Legal Fees, General Repairs &amp; Maint </t>
  </si>
  <si>
    <t>YTD Owner Expenses are over budget by ($32,029.74) or -233.98% due to:
-($15.5K) Utilities Expense
-($8.8K) Legal Fees
-($3.2K) Other Professional Fees
-($2.8K) General Repairs &amp; Maint
-($2.1K) HVAC Repair/Labor, City Sales Tax</t>
  </si>
  <si>
    <t>Loan is current and the ending statement balance is $2,138,006.57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</si>
</sst>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(* #,##0_);_(* \(#,##0\);_(* \-??_);_(@_)"/>
    <numFmt numFmtId="166" formatCode="_(\$* #,##0.00_);_(\$* \(#,##0.00\);_(\$* \-??_);_(@_)"/>
    <numFmt numFmtId="167" formatCode="\$#,##0.00_);[Red]&quot;($&quot;#,##0.00\)"/>
  </numFmts>
  <fonts count="21" x14ac:knownFonts="1">
    <font>
      <sz val="10"/>
      <name val="Arial"/>
      <charset val="1"/>
    </font>
    <font>
      <sz val="10"/>
      <name val="Arial"/>
      <family val="2"/>
      <charset val="1"/>
    </font>
    <font>
      <b/>
      <sz val="18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9"/>
      <name val="Arial"/>
      <family val="2"/>
      <charset val="1"/>
    </font>
    <font>
      <b/>
      <sz val="11"/>
      <name val="Arial"/>
      <family val="2"/>
      <charset val="1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11.5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rgb="FFFF0000"/>
      <name val="Arial"/>
      <family val="2"/>
      <charset val="1"/>
    </font>
    <font>
      <sz val="9"/>
      <color rgb="FFDD0806"/>
      <name val="Arial"/>
      <family val="2"/>
      <charset val="1"/>
    </font>
    <font>
      <sz val="9"/>
      <color rgb="FF0000D4"/>
      <name val="Arial"/>
      <family val="2"/>
      <charset val="1"/>
    </font>
    <font>
      <sz val="11"/>
      <color theme="1"/>
      <name val="Arial"/>
      <family val="2"/>
      <charset val="1"/>
    </font>
    <font>
      <sz val="20"/>
      <color rgb="FFDD0806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C0C0C0"/>
        <bgColor rgb="FFBFBFBF"/>
      </patternFill>
    </fill>
    <fill>
      <patternFill patternType="solid">
        <fgColor rgb="FFD9D9D9"/>
        <bgColor rgb="FFC0C0C0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" fillId="0" borderId="0"/>
    <xf numFmtId="166" fontId="1" fillId="0" borderId="0"/>
    <xf numFmtId="9" fontId="1" fillId="0" borderId="0"/>
    <xf numFmtId="164" fontId="1" fillId="0" borderId="0"/>
    <xf numFmtId="0" fontId="1" fillId="0" borderId="0"/>
    <xf numFmtId="9" fontId="1" fillId="0" borderId="0"/>
  </cellStyleXfs>
  <cellXfs count="146">
    <xf numFmtId="0" fontId="0" fillId="0" borderId="0" xfId="0"/>
    <xf numFmtId="0" fontId="6" fillId="4" borderId="10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10" fontId="6" fillId="0" borderId="0" xfId="0" applyNumberFormat="1" applyFont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165" fontId="11" fillId="0" borderId="10" xfId="1" applyNumberFormat="1" applyFont="1" applyBorder="1" applyAlignment="1">
      <alignment horizontal="center" vertical="center"/>
    </xf>
    <xf numFmtId="165" fontId="8" fillId="0" borderId="10" xfId="1" applyNumberFormat="1" applyFont="1" applyBorder="1" applyAlignment="1">
      <alignment horizontal="center" vertical="center"/>
    </xf>
    <xf numFmtId="10" fontId="8" fillId="0" borderId="10" xfId="1" applyNumberFormat="1" applyFont="1" applyBorder="1" applyAlignment="1">
      <alignment horizontal="right" vertical="center"/>
    </xf>
    <xf numFmtId="165" fontId="6" fillId="0" borderId="10" xfId="1" applyNumberFormat="1" applyFont="1" applyBorder="1" applyAlignment="1">
      <alignment horizontal="center" vertical="center"/>
    </xf>
    <xf numFmtId="10" fontId="6" fillId="0" borderId="10" xfId="1" applyNumberFormat="1" applyFont="1" applyBorder="1" applyAlignment="1">
      <alignment horizontal="right" vertical="center"/>
    </xf>
    <xf numFmtId="165" fontId="11" fillId="0" borderId="11" xfId="1" applyNumberFormat="1" applyFont="1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9" fontId="5" fillId="0" borderId="0" xfId="3" applyFont="1" applyAlignment="1">
      <alignment vertical="center"/>
    </xf>
    <xf numFmtId="2" fontId="1" fillId="0" borderId="0" xfId="0" applyNumberFormat="1" applyFont="1"/>
    <xf numFmtId="0" fontId="1" fillId="0" borderId="0" xfId="0" applyFont="1"/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2" xfId="0" applyFont="1" applyBorder="1" applyAlignment="1">
      <alignment horizontal="justify" vertical="center"/>
    </xf>
    <xf numFmtId="0" fontId="8" fillId="0" borderId="3" xfId="0" applyFont="1" applyBorder="1" applyAlignment="1">
      <alignment horizontal="justify" vertical="center"/>
    </xf>
    <xf numFmtId="0" fontId="8" fillId="0" borderId="4" xfId="0" applyFont="1" applyBorder="1" applyAlignment="1">
      <alignment horizontal="justify" vertical="center"/>
    </xf>
    <xf numFmtId="0" fontId="8" fillId="0" borderId="13" xfId="0" applyFont="1" applyBorder="1" applyAlignment="1">
      <alignment horizontal="justify" vertical="center" wrapText="1"/>
    </xf>
    <xf numFmtId="0" fontId="8" fillId="0" borderId="9" xfId="0" applyFont="1" applyBorder="1" applyAlignment="1">
      <alignment horizontal="justify" vertical="center" wrapText="1"/>
    </xf>
    <xf numFmtId="0" fontId="8" fillId="0" borderId="14" xfId="0" applyFont="1" applyBorder="1" applyAlignment="1">
      <alignment horizontal="justify" vertical="center" wrapText="1"/>
    </xf>
    <xf numFmtId="0" fontId="17" fillId="0" borderId="0" xfId="0" applyFont="1" applyAlignment="1">
      <alignment vertical="center"/>
    </xf>
    <xf numFmtId="0" fontId="8" fillId="0" borderId="13" xfId="0" applyFont="1" applyBorder="1" applyAlignment="1">
      <alignment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8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49" fontId="6" fillId="0" borderId="2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0" fontId="9" fillId="0" borderId="0" xfId="0" applyFont="1"/>
    <xf numFmtId="0" fontId="6" fillId="0" borderId="5" xfId="0" applyFont="1" applyBorder="1" applyAlignment="1">
      <alignment horizontal="righ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left"/>
    </xf>
    <xf numFmtId="3" fontId="6" fillId="0" borderId="6" xfId="0" applyNumberFormat="1" applyFont="1" applyBorder="1" applyAlignment="1">
      <alignment horizontal="left"/>
    </xf>
    <xf numFmtId="10" fontId="6" fillId="0" borderId="0" xfId="0" applyNumberFormat="1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0" fontId="6" fillId="0" borderId="1" xfId="0" applyNumberFormat="1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8" fillId="0" borderId="5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6" fillId="4" borderId="2" xfId="0" applyFont="1" applyFill="1" applyBorder="1"/>
    <xf numFmtId="0" fontId="6" fillId="4" borderId="3" xfId="0" applyFont="1" applyFill="1" applyBorder="1"/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167" fontId="8" fillId="0" borderId="10" xfId="2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7" fontId="6" fillId="0" borderId="10" xfId="2" applyNumberFormat="1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20" fillId="0" borderId="0" xfId="0" applyFon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top" wrapText="1"/>
    </xf>
    <xf numFmtId="0" fontId="8" fillId="0" borderId="2" xfId="0" applyFont="1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3" fontId="6" fillId="0" borderId="6" xfId="1" applyNumberFormat="1" applyFont="1" applyBorder="1" applyAlignment="1">
      <alignment horizontal="left" vertical="center"/>
    </xf>
    <xf numFmtId="10" fontId="6" fillId="0" borderId="6" xfId="0" applyNumberFormat="1" applyFont="1" applyBorder="1" applyAlignment="1">
      <alignment horizontal="left"/>
    </xf>
    <xf numFmtId="0" fontId="6" fillId="0" borderId="7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0" fillId="5" borderId="9" xfId="0" applyFont="1" applyFill="1" applyBorder="1"/>
    <xf numFmtId="0" fontId="1" fillId="0" borderId="13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1" xfId="0" applyFont="1" applyBorder="1"/>
    <xf numFmtId="0" fontId="20" fillId="5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6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6" fillId="3" borderId="10" xfId="0" applyFont="1" applyFill="1" applyBorder="1" applyAlignment="1">
      <alignment horizontal="justify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5" applyFont="1" applyBorder="1" applyAlignment="1">
      <alignment horizontal="left" vertical="center" wrapText="1"/>
    </xf>
    <xf numFmtId="0" fontId="8" fillId="0" borderId="10" xfId="0" applyFont="1" applyBorder="1" applyAlignment="1">
      <alignment horizontal="justify" vertical="center" wrapText="1"/>
    </xf>
    <xf numFmtId="0" fontId="6" fillId="3" borderId="12" xfId="0" applyFont="1" applyFill="1" applyBorder="1" applyAlignment="1">
      <alignment horizontal="justify" vertical="center"/>
    </xf>
    <xf numFmtId="0" fontId="8" fillId="0" borderId="10" xfId="5" applyFont="1" applyBorder="1" applyAlignment="1">
      <alignment vertical="center" wrapText="1"/>
    </xf>
    <xf numFmtId="0" fontId="16" fillId="0" borderId="10" xfId="0" applyFont="1" applyBorder="1" applyAlignment="1">
      <alignment horizontal="justify" vertical="center"/>
    </xf>
    <xf numFmtId="0" fontId="6" fillId="3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justify" vertical="top" wrapText="1"/>
    </xf>
    <xf numFmtId="0" fontId="11" fillId="0" borderId="10" xfId="0" applyFont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0" fillId="5" borderId="13" xfId="0" applyFont="1" applyFill="1" applyBorder="1" applyAlignment="1">
      <alignment horizontal="left"/>
    </xf>
    <xf numFmtId="0" fontId="10" fillId="5" borderId="14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</cellXfs>
  <cellStyles count="7">
    <cellStyle name="Comma" xfId="1" builtinId="3"/>
    <cellStyle name="Comma 2" xfId="4" xr:uid="{00000000-0005-0000-0000-000006000000}"/>
    <cellStyle name="Currency" xfId="2" builtinId="4"/>
    <cellStyle name="Normal" xfId="0" builtinId="0"/>
    <cellStyle name="Normal 2" xfId="5" xr:uid="{00000000-0005-0000-0000-000007000000}"/>
    <cellStyle name="Percent" xfId="3" builtinId="5"/>
    <cellStyle name="Percent 2" xfId="6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D08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27</xdr:row>
      <xdr:rowOff>28575</xdr:rowOff>
    </xdr:from>
    <xdr:to>
      <xdr:col>5</xdr:col>
      <xdr:colOff>138660</xdr:colOff>
      <xdr:row>32</xdr:row>
      <xdr:rowOff>28155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95600" y="4886325"/>
          <a:ext cx="910185" cy="80920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1</xdr:row>
      <xdr:rowOff>9360</xdr:rowOff>
    </xdr:from>
    <xdr:to>
      <xdr:col>0</xdr:col>
      <xdr:colOff>826200</xdr:colOff>
      <xdr:row>4</xdr:row>
      <xdr:rowOff>140400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95040"/>
          <a:ext cx="778680" cy="74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162000</xdr:colOff>
      <xdr:row>1</xdr:row>
      <xdr:rowOff>104760</xdr:rowOff>
    </xdr:from>
    <xdr:to>
      <xdr:col>0</xdr:col>
      <xdr:colOff>856800</xdr:colOff>
      <xdr:row>4</xdr:row>
      <xdr:rowOff>190080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2000" y="152280"/>
          <a:ext cx="694800" cy="69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10</xdr:col>
      <xdr:colOff>479520</xdr:colOff>
      <xdr:row>3</xdr:row>
      <xdr:rowOff>116640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297920" y="0"/>
          <a:ext cx="76176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49680</xdr:colOff>
      <xdr:row>0</xdr:row>
      <xdr:rowOff>15120</xdr:rowOff>
    </xdr:from>
    <xdr:to>
      <xdr:col>1</xdr:col>
      <xdr:colOff>948600</xdr:colOff>
      <xdr:row>5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1480" y="15120"/>
          <a:ext cx="898920" cy="1156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761760</xdr:colOff>
      <xdr:row>3</xdr:row>
      <xdr:rowOff>79920</xdr:rowOff>
    </xdr:to>
    <xdr:pic>
      <xdr:nvPicPr>
        <xdr:cNvPr id="5" name="Image 1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92520" y="0"/>
          <a:ext cx="76176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26"/>
  <sheetViews>
    <sheetView zoomScaleNormal="100" workbookViewId="0">
      <selection activeCell="J26" sqref="J26"/>
    </sheetView>
  </sheetViews>
  <sheetFormatPr defaultColWidth="8.7109375" defaultRowHeight="12.75" x14ac:dyDescent="0.2"/>
  <cols>
    <col min="1" max="7" width="11" customWidth="1"/>
    <col min="8" max="8" width="17.42578125" customWidth="1"/>
  </cols>
  <sheetData>
    <row r="6" spans="2:8" ht="22.5" customHeight="1" x14ac:dyDescent="0.2">
      <c r="B6" s="124" t="s">
        <v>0</v>
      </c>
      <c r="C6" s="124"/>
      <c r="D6" s="124"/>
      <c r="E6" s="124"/>
      <c r="F6" s="124"/>
      <c r="G6" s="124"/>
      <c r="H6" s="124"/>
    </row>
    <row r="9" spans="2:8" ht="22.5" customHeight="1" x14ac:dyDescent="0.2">
      <c r="B9" s="125" t="s">
        <v>72</v>
      </c>
      <c r="C9" s="125"/>
      <c r="D9" s="125"/>
      <c r="E9" s="125"/>
      <c r="F9" s="125"/>
      <c r="G9" s="125"/>
      <c r="H9" s="125"/>
    </row>
    <row r="12" spans="2:8" ht="22.5" customHeight="1" x14ac:dyDescent="0.2">
      <c r="B12" s="126" t="s">
        <v>1</v>
      </c>
      <c r="C12" s="126"/>
      <c r="D12" s="126"/>
      <c r="E12" s="126"/>
      <c r="F12" s="126"/>
      <c r="G12" s="126"/>
      <c r="H12" s="126"/>
    </row>
    <row r="24" spans="2:8" ht="15.75" customHeight="1" x14ac:dyDescent="0.2">
      <c r="B24" s="127" t="s">
        <v>2</v>
      </c>
      <c r="C24" s="127"/>
      <c r="D24" s="127"/>
      <c r="E24" s="127"/>
      <c r="F24" s="127"/>
      <c r="G24" s="127"/>
      <c r="H24" s="127"/>
    </row>
    <row r="26" spans="2:8" ht="18.75" customHeight="1" x14ac:dyDescent="0.2">
      <c r="B26" s="128" t="s">
        <v>3</v>
      </c>
      <c r="C26" s="128"/>
      <c r="D26" s="128"/>
      <c r="E26" s="128"/>
      <c r="F26" s="128"/>
      <c r="G26" s="128"/>
      <c r="H26" s="128"/>
    </row>
  </sheetData>
  <mergeCells count="5">
    <mergeCell ref="B6:H6"/>
    <mergeCell ref="B9:H9"/>
    <mergeCell ref="B12:H12"/>
    <mergeCell ref="B24:H24"/>
    <mergeCell ref="B26:H26"/>
  </mergeCells>
  <printOptions horizontalCentered="1" verticalCentered="1"/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3"/>
  <sheetViews>
    <sheetView topLeftCell="A29" zoomScale="120" zoomScaleNormal="120" zoomScalePageLayoutView="80" workbookViewId="0">
      <selection activeCell="A34" sqref="A34:I34"/>
    </sheetView>
  </sheetViews>
  <sheetFormatPr defaultColWidth="11.42578125" defaultRowHeight="12" x14ac:dyDescent="0.2"/>
  <cols>
    <col min="1" max="1" width="33.5703125" style="4" customWidth="1"/>
    <col min="2" max="5" width="11.7109375" style="5" customWidth="1"/>
    <col min="6" max="6" width="13.28515625" style="5" customWidth="1"/>
    <col min="7" max="7" width="11.7109375" style="5" customWidth="1"/>
    <col min="8" max="8" width="11.85546875" style="5" customWidth="1"/>
    <col min="9" max="9" width="20.7109375" style="5" customWidth="1"/>
    <col min="10" max="10" width="43.28515625" style="4" customWidth="1"/>
    <col min="11" max="11" width="21" style="4" customWidth="1"/>
    <col min="12" max="16384" width="11.42578125" style="4"/>
  </cols>
  <sheetData>
    <row r="1" spans="1:9" ht="6.75" customHeight="1" x14ac:dyDescent="0.2"/>
    <row r="2" spans="1:9" ht="15" customHeight="1" x14ac:dyDescent="0.2">
      <c r="A2" s="106" t="s">
        <v>4</v>
      </c>
      <c r="B2" s="106"/>
      <c r="C2" s="106"/>
      <c r="D2" s="106"/>
      <c r="E2" s="106"/>
      <c r="F2" s="106"/>
      <c r="G2" s="106"/>
      <c r="H2" s="106"/>
      <c r="I2" s="106"/>
    </row>
    <row r="3" spans="1:9" ht="18" customHeight="1" x14ac:dyDescent="0.2">
      <c r="A3" s="107" t="s">
        <v>0</v>
      </c>
      <c r="B3" s="107"/>
      <c r="C3" s="107"/>
      <c r="D3" s="107"/>
      <c r="E3" s="107"/>
      <c r="F3" s="107"/>
      <c r="G3" s="107"/>
      <c r="H3" s="107"/>
      <c r="I3" s="107"/>
    </row>
    <row r="4" spans="1:9" ht="15" customHeight="1" x14ac:dyDescent="0.2">
      <c r="A4" s="108" t="s">
        <v>72</v>
      </c>
      <c r="B4" s="108"/>
      <c r="C4" s="108"/>
      <c r="D4" s="108"/>
      <c r="E4" s="108"/>
      <c r="F4" s="108"/>
      <c r="G4" s="108"/>
      <c r="H4" s="108"/>
      <c r="I4" s="108"/>
    </row>
    <row r="5" spans="1:9" ht="15" customHeight="1" x14ac:dyDescent="0.2">
      <c r="A5" s="6"/>
      <c r="B5" s="6"/>
      <c r="C5" s="6"/>
      <c r="D5" s="6"/>
      <c r="E5" s="6"/>
      <c r="F5" s="6"/>
      <c r="G5" s="6"/>
      <c r="H5" s="6"/>
      <c r="I5" s="6"/>
    </row>
    <row r="6" spans="1:9" ht="14.25" customHeight="1" x14ac:dyDescent="0.2">
      <c r="A6" s="7"/>
      <c r="B6" s="8"/>
      <c r="C6" s="8"/>
      <c r="D6" s="8"/>
      <c r="E6" s="8"/>
      <c r="F6" s="8"/>
      <c r="G6" s="8"/>
      <c r="H6" s="8"/>
      <c r="I6" s="9"/>
    </row>
    <row r="7" spans="1:9" s="13" customFormat="1" ht="15" customHeight="1" x14ac:dyDescent="0.2">
      <c r="A7" s="10" t="s">
        <v>5</v>
      </c>
      <c r="B7" s="109" t="s">
        <v>6</v>
      </c>
      <c r="C7" s="109"/>
      <c r="D7" s="11"/>
      <c r="E7" s="11"/>
      <c r="F7" s="12"/>
      <c r="G7" s="12" t="s">
        <v>7</v>
      </c>
      <c r="H7" s="110">
        <v>51159</v>
      </c>
      <c r="I7" s="110"/>
    </row>
    <row r="8" spans="1:9" s="13" customFormat="1" ht="15" customHeight="1" x14ac:dyDescent="0.2">
      <c r="A8" s="10" t="s">
        <v>8</v>
      </c>
      <c r="B8" s="11" t="s">
        <v>9</v>
      </c>
      <c r="C8" s="11"/>
      <c r="D8" s="11"/>
      <c r="E8" s="11"/>
      <c r="F8" s="11"/>
      <c r="G8" s="12" t="s">
        <v>10</v>
      </c>
      <c r="H8" s="14">
        <v>0.44119999999999998</v>
      </c>
      <c r="I8" s="15"/>
    </row>
    <row r="9" spans="1:9" s="13" customFormat="1" ht="15" customHeight="1" x14ac:dyDescent="0.2">
      <c r="A9" s="16" t="s">
        <v>11</v>
      </c>
      <c r="B9" s="17"/>
      <c r="C9" s="17"/>
      <c r="D9" s="18"/>
      <c r="E9" s="19"/>
      <c r="F9" s="19"/>
      <c r="G9" s="19"/>
      <c r="H9" s="19"/>
      <c r="I9" s="20"/>
    </row>
    <row r="10" spans="1:9" ht="9.75" customHeight="1" x14ac:dyDescent="0.2">
      <c r="A10" s="111"/>
      <c r="B10" s="111"/>
      <c r="C10" s="111"/>
      <c r="D10" s="111"/>
      <c r="E10" s="111"/>
      <c r="F10" s="111"/>
      <c r="G10" s="111"/>
      <c r="H10" s="111"/>
      <c r="I10" s="111"/>
    </row>
    <row r="11" spans="1:9" s="25" customFormat="1" ht="27" customHeight="1" x14ac:dyDescent="0.2">
      <c r="A11" s="21"/>
      <c r="B11" s="22" t="s">
        <v>12</v>
      </c>
      <c r="C11" s="22" t="s">
        <v>13</v>
      </c>
      <c r="D11" s="23" t="s">
        <v>14</v>
      </c>
      <c r="E11" s="23" t="s">
        <v>15</v>
      </c>
      <c r="F11" s="22" t="s">
        <v>16</v>
      </c>
      <c r="G11" s="22" t="s">
        <v>17</v>
      </c>
      <c r="H11" s="23" t="s">
        <v>14</v>
      </c>
      <c r="I11" s="24" t="s">
        <v>15</v>
      </c>
    </row>
    <row r="12" spans="1:9" ht="13.5" customHeight="1" x14ac:dyDescent="0.2">
      <c r="A12" s="26" t="s">
        <v>18</v>
      </c>
      <c r="B12" s="27">
        <v>31004.57</v>
      </c>
      <c r="C12" s="27">
        <v>30771</v>
      </c>
      <c r="D12" s="28">
        <v>233.57</v>
      </c>
      <c r="E12" s="29">
        <f t="shared" ref="E12:E17" si="0">IF(C12=0,"N/A",D12/C12)</f>
        <v>7.590588541158883E-3</v>
      </c>
      <c r="F12" s="27">
        <v>238463.32</v>
      </c>
      <c r="G12" s="27">
        <v>215289</v>
      </c>
      <c r="H12" s="28">
        <f>+F12-G12</f>
        <v>23174.320000000007</v>
      </c>
      <c r="I12" s="29">
        <f t="shared" ref="I12:I17" si="1">IF(G12=0,"N/A",H12/G12)</f>
        <v>0.10764284287631977</v>
      </c>
    </row>
    <row r="13" spans="1:9" ht="13.5" customHeight="1" x14ac:dyDescent="0.2">
      <c r="A13" s="26" t="s">
        <v>19</v>
      </c>
      <c r="B13" s="27">
        <v>7629.1</v>
      </c>
      <c r="C13" s="27">
        <v>8785</v>
      </c>
      <c r="D13" s="28">
        <f>+C13-B13</f>
        <v>1155.8999999999996</v>
      </c>
      <c r="E13" s="29">
        <f t="shared" si="0"/>
        <v>0.1315765509391007</v>
      </c>
      <c r="F13" s="27">
        <v>80737.490000000005</v>
      </c>
      <c r="G13" s="27">
        <v>101990</v>
      </c>
      <c r="H13" s="28">
        <v>21252.51</v>
      </c>
      <c r="I13" s="29">
        <f t="shared" si="1"/>
        <v>0.20837837042847338</v>
      </c>
    </row>
    <row r="14" spans="1:9" ht="13.5" customHeight="1" x14ac:dyDescent="0.2">
      <c r="A14" s="26" t="s">
        <v>20</v>
      </c>
      <c r="B14" s="30">
        <f>+B12-B13</f>
        <v>23375.47</v>
      </c>
      <c r="C14" s="30">
        <f>+C12-C13</f>
        <v>21986</v>
      </c>
      <c r="D14" s="30">
        <f>+B14-C14</f>
        <v>1389.4700000000012</v>
      </c>
      <c r="E14" s="31">
        <f t="shared" si="0"/>
        <v>6.3197944146274956E-2</v>
      </c>
      <c r="F14" s="30">
        <f>+F12-F13</f>
        <v>157725.83000000002</v>
      </c>
      <c r="G14" s="30">
        <f>+G12-G13</f>
        <v>113299</v>
      </c>
      <c r="H14" s="30">
        <f>+F14-G14</f>
        <v>44426.830000000016</v>
      </c>
      <c r="I14" s="31">
        <f t="shared" si="1"/>
        <v>0.39212023054042855</v>
      </c>
    </row>
    <row r="15" spans="1:9" ht="13.5" customHeight="1" x14ac:dyDescent="0.2">
      <c r="A15" s="26" t="s">
        <v>21</v>
      </c>
      <c r="B15" s="32">
        <v>5688.12</v>
      </c>
      <c r="C15" s="32">
        <v>1838</v>
      </c>
      <c r="D15" s="28">
        <f>+C15-B15</f>
        <v>-3850.12</v>
      </c>
      <c r="E15" s="29">
        <f t="shared" si="0"/>
        <v>-2.0947334058759521</v>
      </c>
      <c r="F15" s="32">
        <v>45718.74</v>
      </c>
      <c r="G15" s="32">
        <v>13689</v>
      </c>
      <c r="H15" s="28">
        <f>+G15-F15</f>
        <v>-32029.739999999998</v>
      </c>
      <c r="I15" s="29">
        <f t="shared" si="1"/>
        <v>-2.3398159105851413</v>
      </c>
    </row>
    <row r="16" spans="1:9" ht="13.5" customHeight="1" x14ac:dyDescent="0.2">
      <c r="A16" s="26" t="s">
        <v>22</v>
      </c>
      <c r="B16" s="27">
        <v>11514</v>
      </c>
      <c r="C16" s="27">
        <v>13000</v>
      </c>
      <c r="D16" s="28">
        <f>+C16-B16</f>
        <v>1486</v>
      </c>
      <c r="E16" s="29">
        <f t="shared" si="0"/>
        <v>0.1143076923076923</v>
      </c>
      <c r="F16" s="27">
        <v>82577.98</v>
      </c>
      <c r="G16" s="27">
        <v>91000</v>
      </c>
      <c r="H16" s="28">
        <f>+G16-F16</f>
        <v>8422.0200000000041</v>
      </c>
      <c r="I16" s="29">
        <f t="shared" si="1"/>
        <v>9.2549670329670375E-2</v>
      </c>
    </row>
    <row r="17" spans="1:19" ht="13.5" customHeight="1" x14ac:dyDescent="0.2">
      <c r="A17" s="26" t="s">
        <v>23</v>
      </c>
      <c r="B17" s="30">
        <f>+B14-B15-B16</f>
        <v>6173.3500000000022</v>
      </c>
      <c r="C17" s="30">
        <f>+C14-C15-C16</f>
        <v>7148</v>
      </c>
      <c r="D17" s="30">
        <f>+B17-C17</f>
        <v>-974.64999999999782</v>
      </c>
      <c r="E17" s="31">
        <f t="shared" si="0"/>
        <v>-0.13635282596530468</v>
      </c>
      <c r="F17" s="30">
        <f>+F14-F15-F16</f>
        <v>29429.11000000003</v>
      </c>
      <c r="G17" s="30">
        <f>+G14-G15-G16</f>
        <v>8610</v>
      </c>
      <c r="H17" s="30">
        <f>+F17-G17</f>
        <v>20819.11000000003</v>
      </c>
      <c r="I17" s="31">
        <f t="shared" si="1"/>
        <v>2.4180150987224192</v>
      </c>
      <c r="L17" s="33"/>
    </row>
    <row r="18" spans="1:19" ht="9.75" customHeight="1" x14ac:dyDescent="0.2">
      <c r="A18" s="111"/>
      <c r="B18" s="111"/>
      <c r="C18" s="111"/>
      <c r="D18" s="111"/>
      <c r="E18" s="111"/>
      <c r="F18" s="111"/>
      <c r="G18" s="111"/>
      <c r="H18" s="111"/>
      <c r="I18" s="111"/>
      <c r="K18" s="34"/>
    </row>
    <row r="19" spans="1:19" s="36" customFormat="1" ht="12.75" customHeight="1" x14ac:dyDescent="0.2">
      <c r="A19" s="112" t="s">
        <v>74</v>
      </c>
      <c r="B19" s="112"/>
      <c r="C19" s="112"/>
      <c r="D19" s="112"/>
      <c r="E19" s="112"/>
      <c r="F19" s="112"/>
      <c r="G19" s="112"/>
      <c r="H19" s="112"/>
      <c r="I19" s="112"/>
      <c r="J19" s="35"/>
      <c r="M19" s="35"/>
    </row>
    <row r="20" spans="1:19" ht="2.25" customHeight="1" x14ac:dyDescent="0.2">
      <c r="A20" s="111"/>
      <c r="B20" s="111"/>
      <c r="C20" s="111"/>
      <c r="D20" s="111"/>
      <c r="E20" s="111"/>
      <c r="F20" s="111"/>
      <c r="G20" s="111"/>
      <c r="H20" s="111"/>
      <c r="I20" s="111"/>
      <c r="K20" s="34"/>
    </row>
    <row r="21" spans="1:19" ht="24.75" customHeight="1" x14ac:dyDescent="0.2">
      <c r="A21" s="113" t="s">
        <v>24</v>
      </c>
      <c r="B21" s="113"/>
      <c r="C21" s="113"/>
      <c r="D21" s="113"/>
      <c r="E21" s="113"/>
      <c r="F21" s="113"/>
      <c r="G21" s="113"/>
      <c r="H21" s="113"/>
      <c r="I21" s="113"/>
      <c r="L21" s="33"/>
    </row>
    <row r="22" spans="1:19" ht="37.5" customHeight="1" x14ac:dyDescent="0.2">
      <c r="A22" s="114" t="s">
        <v>65</v>
      </c>
      <c r="B22" s="114"/>
      <c r="C22" s="114"/>
      <c r="D22" s="114"/>
      <c r="E22" s="114"/>
      <c r="F22" s="114"/>
      <c r="G22" s="114"/>
      <c r="H22" s="114"/>
      <c r="I22" s="114"/>
      <c r="J22" s="37"/>
      <c r="K22" s="37"/>
      <c r="L22" s="38"/>
      <c r="M22" s="38"/>
      <c r="N22" s="38"/>
      <c r="O22" s="38"/>
      <c r="P22" s="38"/>
      <c r="Q22" s="38"/>
      <c r="R22" s="38"/>
      <c r="S22" s="38"/>
    </row>
    <row r="23" spans="1:19" ht="51" customHeight="1" x14ac:dyDescent="0.2">
      <c r="A23" s="114" t="s">
        <v>67</v>
      </c>
      <c r="B23" s="114"/>
      <c r="C23" s="114"/>
      <c r="D23" s="114"/>
      <c r="E23" s="114"/>
      <c r="F23" s="114"/>
      <c r="G23" s="114"/>
      <c r="H23" s="114"/>
      <c r="I23" s="114"/>
      <c r="S23" s="38"/>
    </row>
    <row r="24" spans="1:19" ht="13.5" customHeight="1" x14ac:dyDescent="0.2">
      <c r="A24" s="113" t="s">
        <v>25</v>
      </c>
      <c r="B24" s="113"/>
      <c r="C24" s="113"/>
      <c r="D24" s="113"/>
      <c r="E24" s="113"/>
      <c r="F24" s="113"/>
      <c r="G24" s="113"/>
      <c r="H24" s="113"/>
      <c r="I24" s="113"/>
      <c r="L24" s="33"/>
    </row>
    <row r="25" spans="1:19" ht="39.75" customHeight="1" x14ac:dyDescent="0.2">
      <c r="A25" s="115" t="s">
        <v>68</v>
      </c>
      <c r="B25" s="115"/>
      <c r="C25" s="115"/>
      <c r="D25" s="115"/>
      <c r="E25" s="115"/>
      <c r="F25" s="115"/>
      <c r="G25" s="115"/>
      <c r="H25" s="115"/>
      <c r="I25" s="115"/>
      <c r="J25" s="39"/>
      <c r="K25" s="37"/>
      <c r="L25" s="38"/>
      <c r="M25" s="38"/>
      <c r="N25" s="38"/>
      <c r="O25" s="38"/>
      <c r="P25" s="38"/>
      <c r="Q25" s="38"/>
      <c r="R25" s="38"/>
      <c r="S25" s="38"/>
    </row>
    <row r="26" spans="1:19" ht="102" customHeight="1" x14ac:dyDescent="0.2">
      <c r="A26" s="116" t="s">
        <v>75</v>
      </c>
      <c r="B26" s="116"/>
      <c r="C26" s="116"/>
      <c r="D26" s="116"/>
      <c r="E26" s="116"/>
      <c r="F26" s="116"/>
      <c r="G26" s="116"/>
      <c r="H26" s="116"/>
      <c r="I26" s="116"/>
      <c r="J26" s="37"/>
      <c r="K26" s="37"/>
      <c r="L26" s="38"/>
      <c r="M26" s="38"/>
      <c r="N26" s="38"/>
      <c r="O26" s="38"/>
      <c r="P26" s="38"/>
      <c r="Q26" s="38"/>
      <c r="R26" s="38"/>
      <c r="S26" s="38"/>
    </row>
    <row r="27" spans="1:19" ht="15.75" customHeight="1" x14ac:dyDescent="0.2">
      <c r="A27" s="117" t="s">
        <v>26</v>
      </c>
      <c r="B27" s="117"/>
      <c r="C27" s="117"/>
      <c r="D27" s="117"/>
      <c r="E27" s="117"/>
      <c r="F27" s="117"/>
      <c r="G27" s="117"/>
      <c r="H27" s="117"/>
      <c r="I27" s="117"/>
      <c r="J27" s="40"/>
      <c r="L27" s="33"/>
    </row>
    <row r="28" spans="1:19" ht="79.5" customHeight="1" x14ac:dyDescent="0.2">
      <c r="A28" s="116" t="s">
        <v>76</v>
      </c>
      <c r="B28" s="116"/>
      <c r="C28" s="116"/>
      <c r="D28" s="116"/>
      <c r="E28" s="116"/>
      <c r="F28" s="116"/>
      <c r="G28" s="116"/>
      <c r="H28" s="116"/>
      <c r="I28" s="116"/>
      <c r="J28" s="37">
        <f>42675/5</f>
        <v>8535</v>
      </c>
      <c r="K28" s="37"/>
      <c r="L28" s="37"/>
      <c r="M28" s="37"/>
      <c r="N28" s="37"/>
      <c r="O28" s="37"/>
      <c r="P28" s="37"/>
      <c r="Q28" s="37"/>
      <c r="R28" s="37"/>
      <c r="S28" s="37"/>
    </row>
    <row r="29" spans="1:19" ht="105.75" customHeight="1" x14ac:dyDescent="0.2">
      <c r="A29" s="118" t="s">
        <v>77</v>
      </c>
      <c r="B29" s="118"/>
      <c r="C29" s="118"/>
      <c r="D29" s="118"/>
      <c r="E29" s="118"/>
      <c r="F29" s="118"/>
      <c r="G29" s="118"/>
      <c r="H29" s="118"/>
      <c r="I29" s="118"/>
      <c r="J29" s="37"/>
      <c r="K29" s="37"/>
      <c r="L29" s="37"/>
      <c r="M29" s="37"/>
      <c r="N29" s="37"/>
      <c r="O29" s="37"/>
      <c r="P29" s="37"/>
      <c r="Q29" s="37"/>
      <c r="R29" s="37"/>
      <c r="S29" s="37"/>
    </row>
    <row r="30" spans="1:19" ht="15" customHeight="1" x14ac:dyDescent="0.2">
      <c r="A30" s="117" t="s">
        <v>27</v>
      </c>
      <c r="B30" s="117"/>
      <c r="C30" s="117"/>
      <c r="D30" s="117"/>
      <c r="E30" s="117"/>
      <c r="F30" s="117"/>
      <c r="G30" s="117"/>
      <c r="H30" s="117"/>
      <c r="I30" s="117"/>
      <c r="J30" s="41"/>
    </row>
    <row r="31" spans="1:19" ht="23.25" customHeight="1" x14ac:dyDescent="0.2">
      <c r="A31" s="119" t="s">
        <v>78</v>
      </c>
      <c r="B31" s="119"/>
      <c r="C31" s="119"/>
      <c r="D31" s="119"/>
      <c r="E31" s="119"/>
      <c r="F31" s="119"/>
      <c r="G31" s="119"/>
      <c r="H31" s="119"/>
      <c r="I31" s="119"/>
      <c r="J31" s="41"/>
    </row>
    <row r="32" spans="1:19" ht="8.25" customHeight="1" x14ac:dyDescent="0.2">
      <c r="A32" s="42"/>
      <c r="B32" s="43"/>
      <c r="C32" s="43"/>
      <c r="D32" s="43"/>
      <c r="E32" s="43"/>
      <c r="F32" s="43"/>
      <c r="G32" s="43"/>
      <c r="H32" s="43"/>
      <c r="I32" s="44"/>
      <c r="J32" s="41"/>
    </row>
    <row r="33" spans="1:11" ht="15" customHeight="1" x14ac:dyDescent="0.2">
      <c r="A33" s="117" t="s">
        <v>28</v>
      </c>
      <c r="B33" s="117"/>
      <c r="C33" s="117"/>
      <c r="D33" s="117"/>
      <c r="E33" s="117"/>
      <c r="F33" s="117"/>
      <c r="G33" s="117"/>
      <c r="H33" s="117"/>
      <c r="I33" s="117"/>
      <c r="J33" s="41"/>
    </row>
    <row r="34" spans="1:11" ht="32.25" customHeight="1" x14ac:dyDescent="0.2">
      <c r="A34" s="116" t="s">
        <v>29</v>
      </c>
      <c r="B34" s="116"/>
      <c r="C34" s="116"/>
      <c r="D34" s="116"/>
      <c r="E34" s="116"/>
      <c r="F34" s="116"/>
      <c r="G34" s="116"/>
      <c r="H34" s="116"/>
      <c r="I34" s="116"/>
      <c r="J34" s="41"/>
    </row>
    <row r="35" spans="1:11" ht="9" customHeight="1" x14ac:dyDescent="0.2">
      <c r="A35" s="45"/>
      <c r="B35" s="46"/>
      <c r="C35" s="46"/>
      <c r="D35" s="46"/>
      <c r="E35" s="46"/>
      <c r="F35" s="46"/>
      <c r="G35" s="46"/>
      <c r="H35" s="46"/>
      <c r="I35" s="47"/>
      <c r="J35" s="41"/>
    </row>
    <row r="36" spans="1:11" ht="15" customHeight="1" x14ac:dyDescent="0.2">
      <c r="A36" s="113" t="s">
        <v>30</v>
      </c>
      <c r="B36" s="113"/>
      <c r="C36" s="113"/>
      <c r="D36" s="113"/>
      <c r="E36" s="113"/>
      <c r="F36" s="113"/>
      <c r="G36" s="113"/>
      <c r="H36" s="113"/>
      <c r="I36" s="113"/>
      <c r="J36" s="48"/>
      <c r="K36" s="48"/>
    </row>
    <row r="37" spans="1:11" ht="24" customHeight="1" x14ac:dyDescent="0.2">
      <c r="A37" s="116" t="s">
        <v>29</v>
      </c>
      <c r="B37" s="116"/>
      <c r="C37" s="116"/>
      <c r="D37" s="116"/>
      <c r="E37" s="116"/>
      <c r="F37" s="116"/>
      <c r="G37" s="116"/>
      <c r="H37" s="116"/>
      <c r="I37" s="116"/>
      <c r="J37" s="48"/>
      <c r="K37" s="48"/>
    </row>
    <row r="38" spans="1:11" ht="9" customHeight="1" x14ac:dyDescent="0.2">
      <c r="A38" s="45"/>
      <c r="B38" s="46"/>
      <c r="C38" s="46"/>
      <c r="D38" s="46"/>
      <c r="E38" s="46"/>
      <c r="F38" s="46"/>
      <c r="G38" s="46"/>
      <c r="H38" s="46"/>
      <c r="I38" s="47"/>
      <c r="J38" s="48"/>
      <c r="K38" s="48"/>
    </row>
    <row r="39" spans="1:11" ht="15" customHeight="1" x14ac:dyDescent="0.2">
      <c r="A39" s="113" t="s">
        <v>31</v>
      </c>
      <c r="B39" s="113"/>
      <c r="C39" s="113"/>
      <c r="D39" s="113"/>
      <c r="E39" s="113"/>
      <c r="F39" s="113"/>
      <c r="G39" s="113"/>
      <c r="H39" s="113"/>
      <c r="I39" s="113"/>
    </row>
    <row r="40" spans="1:11" ht="24.75" customHeight="1" x14ac:dyDescent="0.2">
      <c r="A40" s="49" t="s">
        <v>32</v>
      </c>
      <c r="B40" s="122"/>
      <c r="C40" s="122"/>
      <c r="D40" s="122"/>
      <c r="E40" s="122"/>
      <c r="F40" s="122"/>
      <c r="G40" s="122"/>
      <c r="H40" s="122"/>
      <c r="I40" s="122"/>
      <c r="J40" s="48"/>
      <c r="K40" s="48"/>
    </row>
    <row r="41" spans="1:11" ht="9" customHeight="1" x14ac:dyDescent="0.2">
      <c r="A41" s="49"/>
      <c r="B41" s="50"/>
      <c r="C41" s="50"/>
      <c r="D41" s="50"/>
      <c r="E41" s="50"/>
      <c r="F41" s="50"/>
      <c r="G41" s="50"/>
      <c r="H41" s="50"/>
      <c r="I41" s="51"/>
      <c r="J41" s="48"/>
      <c r="K41" s="48"/>
    </row>
    <row r="42" spans="1:11" ht="15" customHeight="1" x14ac:dyDescent="0.2">
      <c r="A42" s="123" t="s">
        <v>33</v>
      </c>
      <c r="B42" s="123"/>
      <c r="C42" s="123"/>
      <c r="D42" s="123"/>
      <c r="E42" s="123"/>
      <c r="F42" s="123"/>
      <c r="G42" s="123"/>
      <c r="H42" s="123"/>
      <c r="I42" s="123"/>
      <c r="J42" s="48"/>
      <c r="K42" s="48"/>
    </row>
    <row r="43" spans="1:11" ht="97.5" customHeight="1" x14ac:dyDescent="0.2">
      <c r="A43" s="49" t="s">
        <v>66</v>
      </c>
      <c r="B43" s="122" t="s">
        <v>71</v>
      </c>
      <c r="C43" s="122"/>
      <c r="D43" s="122"/>
      <c r="E43" s="122"/>
      <c r="F43" s="122"/>
      <c r="G43" s="122"/>
      <c r="H43" s="122"/>
      <c r="I43" s="122"/>
      <c r="J43" s="48"/>
      <c r="K43" s="48"/>
    </row>
    <row r="44" spans="1:11" ht="10.5" customHeight="1" x14ac:dyDescent="0.2">
      <c r="A44" s="49"/>
      <c r="B44" s="50"/>
      <c r="C44" s="50"/>
      <c r="D44" s="50"/>
      <c r="E44" s="50"/>
      <c r="F44" s="50"/>
      <c r="G44" s="50"/>
      <c r="H44" s="50"/>
      <c r="I44" s="51"/>
      <c r="J44" s="48"/>
      <c r="K44" s="48"/>
    </row>
    <row r="45" spans="1:11" ht="15" customHeight="1" x14ac:dyDescent="0.2">
      <c r="A45" s="113" t="s">
        <v>34</v>
      </c>
      <c r="B45" s="113"/>
      <c r="C45" s="113"/>
      <c r="D45" s="113"/>
      <c r="E45" s="113"/>
      <c r="F45" s="113"/>
      <c r="G45" s="113"/>
      <c r="H45" s="113"/>
      <c r="I45" s="113"/>
    </row>
    <row r="46" spans="1:11" ht="22.5" customHeight="1" x14ac:dyDescent="0.2">
      <c r="A46" s="116" t="s">
        <v>32</v>
      </c>
      <c r="B46" s="116"/>
      <c r="C46" s="116"/>
      <c r="D46" s="116"/>
      <c r="E46" s="116"/>
      <c r="F46" s="116"/>
      <c r="G46" s="116"/>
      <c r="H46" s="116"/>
      <c r="I46" s="116"/>
    </row>
    <row r="47" spans="1:11" ht="9" customHeight="1" x14ac:dyDescent="0.2">
      <c r="A47" s="45"/>
      <c r="B47" s="46"/>
      <c r="C47" s="46"/>
      <c r="D47" s="46"/>
      <c r="E47" s="46"/>
      <c r="F47" s="46"/>
      <c r="G47" s="46"/>
      <c r="H47" s="46"/>
      <c r="I47" s="47"/>
    </row>
    <row r="48" spans="1:11" ht="15" customHeight="1" x14ac:dyDescent="0.2">
      <c r="A48" s="113" t="s">
        <v>35</v>
      </c>
      <c r="B48" s="113"/>
      <c r="C48" s="113"/>
      <c r="D48" s="113"/>
      <c r="E48" s="113"/>
      <c r="F48" s="113"/>
      <c r="G48" s="113"/>
      <c r="H48" s="113"/>
      <c r="I48" s="113"/>
    </row>
    <row r="49" spans="1:9" ht="25.5" customHeight="1" x14ac:dyDescent="0.2">
      <c r="A49" s="116" t="s">
        <v>36</v>
      </c>
      <c r="B49" s="116"/>
      <c r="C49" s="116"/>
      <c r="D49" s="116"/>
      <c r="E49" s="116"/>
      <c r="F49" s="116"/>
      <c r="G49" s="116"/>
      <c r="H49" s="116"/>
      <c r="I49" s="116"/>
    </row>
    <row r="50" spans="1:9" ht="11.25" customHeight="1" x14ac:dyDescent="0.2">
      <c r="A50" s="45"/>
      <c r="B50" s="46"/>
      <c r="C50" s="46"/>
      <c r="D50" s="46"/>
      <c r="E50" s="46"/>
      <c r="F50" s="46"/>
      <c r="G50" s="46"/>
      <c r="H50" s="46"/>
      <c r="I50" s="47"/>
    </row>
    <row r="51" spans="1:9" ht="15" customHeight="1" x14ac:dyDescent="0.2">
      <c r="A51" s="120" t="s">
        <v>37</v>
      </c>
      <c r="B51" s="120"/>
      <c r="C51" s="120"/>
      <c r="D51" s="120"/>
      <c r="E51" s="120"/>
      <c r="F51" s="120"/>
      <c r="G51" s="120"/>
      <c r="H51" s="120"/>
      <c r="I51" s="120"/>
    </row>
    <row r="52" spans="1:9" ht="20.25" customHeight="1" x14ac:dyDescent="0.2">
      <c r="A52" s="121" t="s">
        <v>38</v>
      </c>
      <c r="B52" s="121"/>
      <c r="C52" s="121"/>
      <c r="D52" s="121"/>
      <c r="E52" s="121"/>
      <c r="F52" s="121"/>
      <c r="G52" s="121"/>
      <c r="H52" s="121"/>
      <c r="I52" s="121"/>
    </row>
    <row r="53" spans="1:9" ht="15" customHeight="1" x14ac:dyDescent="0.25">
      <c r="C53" s="52"/>
    </row>
  </sheetData>
  <mergeCells count="34">
    <mergeCell ref="A48:I48"/>
    <mergeCell ref="A49:I49"/>
    <mergeCell ref="A51:I51"/>
    <mergeCell ref="A52:I52"/>
    <mergeCell ref="B40:I40"/>
    <mergeCell ref="A42:I42"/>
    <mergeCell ref="B43:I43"/>
    <mergeCell ref="A45:I45"/>
    <mergeCell ref="A46:I46"/>
    <mergeCell ref="A33:I33"/>
    <mergeCell ref="A34:I34"/>
    <mergeCell ref="A36:I36"/>
    <mergeCell ref="A37:I37"/>
    <mergeCell ref="A39:I39"/>
    <mergeCell ref="A27:I27"/>
    <mergeCell ref="A28:I28"/>
    <mergeCell ref="A29:I29"/>
    <mergeCell ref="A30:I30"/>
    <mergeCell ref="A31:I31"/>
    <mergeCell ref="A22:I22"/>
    <mergeCell ref="A23:I23"/>
    <mergeCell ref="A24:I24"/>
    <mergeCell ref="A25:I25"/>
    <mergeCell ref="A26:I26"/>
    <mergeCell ref="A10:I10"/>
    <mergeCell ref="A18:I18"/>
    <mergeCell ref="A19:I19"/>
    <mergeCell ref="A20:I20"/>
    <mergeCell ref="A21:I21"/>
    <mergeCell ref="A2:I2"/>
    <mergeCell ref="A3:I3"/>
    <mergeCell ref="A4:I4"/>
    <mergeCell ref="B7:C7"/>
    <mergeCell ref="H7:I7"/>
  </mergeCells>
  <printOptions horizontalCentered="1"/>
  <pageMargins left="0.25" right="0.25" top="0.75" bottom="0.75" header="0.511811023622047" footer="0.3"/>
  <pageSetup scale="75" fitToHeight="2" orientation="portrait" horizontalDpi="300" verticalDpi="300" r:id="rId1"/>
  <headerFooter>
    <oddFooter>&amp;C&amp;8 Executive Summary</oddFooter>
  </headerFooter>
  <rowBreaks count="1" manualBreakCount="1">
    <brk id="28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3"/>
  <sheetViews>
    <sheetView zoomScaleNormal="100" workbookViewId="0">
      <selection activeCell="A4" sqref="A4:H4"/>
    </sheetView>
  </sheetViews>
  <sheetFormatPr defaultColWidth="11.42578125" defaultRowHeight="12" x14ac:dyDescent="0.2"/>
  <cols>
    <col min="1" max="1" width="28.7109375" style="53" customWidth="1"/>
    <col min="2" max="2" width="27" style="53" customWidth="1"/>
    <col min="3" max="5" width="11.7109375" style="54" customWidth="1"/>
    <col min="6" max="6" width="14.42578125" style="54" customWidth="1"/>
    <col min="7" max="7" width="11.7109375" style="54" customWidth="1"/>
    <col min="8" max="8" width="33" style="54" customWidth="1"/>
    <col min="9" max="9" width="9.85546875" style="53" customWidth="1"/>
    <col min="10" max="16384" width="11.42578125" style="53"/>
  </cols>
  <sheetData>
    <row r="1" spans="1:8" ht="3.75" customHeight="1" x14ac:dyDescent="0.2">
      <c r="B1" s="54"/>
    </row>
    <row r="2" spans="1:8" ht="15" customHeight="1" x14ac:dyDescent="0.25">
      <c r="A2" s="131" t="s">
        <v>4</v>
      </c>
      <c r="B2" s="131"/>
      <c r="C2" s="131"/>
      <c r="D2" s="131"/>
      <c r="E2" s="131"/>
      <c r="F2" s="131"/>
      <c r="G2" s="131"/>
      <c r="H2" s="131"/>
    </row>
    <row r="3" spans="1:8" ht="18" customHeight="1" x14ac:dyDescent="0.25">
      <c r="A3" s="132" t="str">
        <f>+'Executive Summary'!A3:I3</f>
        <v>Goodyear</v>
      </c>
      <c r="B3" s="132"/>
      <c r="C3" s="132"/>
      <c r="D3" s="132"/>
      <c r="E3" s="132"/>
      <c r="F3" s="132"/>
      <c r="G3" s="132"/>
      <c r="H3" s="132"/>
    </row>
    <row r="4" spans="1:8" ht="15" customHeight="1" x14ac:dyDescent="0.25">
      <c r="A4" s="133" t="s">
        <v>72</v>
      </c>
      <c r="B4" s="133"/>
      <c r="C4" s="133"/>
      <c r="D4" s="133"/>
      <c r="E4" s="133"/>
      <c r="F4" s="133"/>
      <c r="G4" s="133"/>
      <c r="H4" s="133"/>
    </row>
    <row r="5" spans="1:8" ht="15" customHeight="1" x14ac:dyDescent="0.25">
      <c r="A5" s="2"/>
      <c r="B5" s="2"/>
      <c r="C5" s="2"/>
      <c r="D5" s="2"/>
      <c r="E5" s="2"/>
      <c r="F5" s="2"/>
      <c r="G5" s="2"/>
      <c r="H5" s="2"/>
    </row>
    <row r="6" spans="1:8" s="58" customFormat="1" ht="15" customHeight="1" x14ac:dyDescent="0.25">
      <c r="A6" s="55"/>
      <c r="B6" s="56"/>
      <c r="C6" s="56"/>
      <c r="D6" s="56"/>
      <c r="E6" s="56"/>
      <c r="F6" s="56"/>
      <c r="G6" s="56"/>
      <c r="H6" s="57"/>
    </row>
    <row r="7" spans="1:8" s="58" customFormat="1" ht="15" customHeight="1" x14ac:dyDescent="0.25">
      <c r="A7" s="59" t="s">
        <v>5</v>
      </c>
      <c r="B7" s="109" t="s">
        <v>6</v>
      </c>
      <c r="C7" s="109"/>
      <c r="D7" s="60"/>
      <c r="E7" s="60"/>
      <c r="F7" s="60" t="s">
        <v>7</v>
      </c>
      <c r="G7" s="61">
        <v>51159</v>
      </c>
      <c r="H7" s="62"/>
    </row>
    <row r="8" spans="1:8" s="58" customFormat="1" ht="15" customHeight="1" x14ac:dyDescent="0.25">
      <c r="A8" s="59" t="s">
        <v>8</v>
      </c>
      <c r="B8" s="60" t="s">
        <v>9</v>
      </c>
      <c r="C8" s="60"/>
      <c r="D8" s="60"/>
      <c r="E8" s="60"/>
      <c r="F8" s="60" t="s">
        <v>10</v>
      </c>
      <c r="G8" s="63">
        <f>'Executive Summary'!H8</f>
        <v>0.44119999999999998</v>
      </c>
      <c r="H8" s="64"/>
    </row>
    <row r="9" spans="1:8" s="58" customFormat="1" ht="15" customHeight="1" x14ac:dyDescent="0.25">
      <c r="A9" s="65"/>
      <c r="B9" s="66"/>
      <c r="C9" s="67"/>
      <c r="D9" s="66"/>
      <c r="E9" s="66"/>
      <c r="F9" s="66"/>
      <c r="G9" s="66"/>
      <c r="H9" s="68"/>
    </row>
    <row r="10" spans="1:8" ht="14.25" customHeight="1" x14ac:dyDescent="0.2">
      <c r="A10" s="69"/>
      <c r="B10" s="70"/>
      <c r="C10" s="71"/>
      <c r="D10" s="71"/>
      <c r="E10" s="71"/>
      <c r="F10" s="71"/>
      <c r="G10" s="71"/>
      <c r="H10" s="72"/>
    </row>
    <row r="11" spans="1:8" ht="15" customHeight="1" x14ac:dyDescent="0.25">
      <c r="A11" s="73" t="s">
        <v>39</v>
      </c>
      <c r="B11" s="74"/>
      <c r="C11" s="75"/>
      <c r="D11" s="75"/>
      <c r="E11" s="75"/>
      <c r="F11" s="75"/>
      <c r="G11" s="75"/>
      <c r="H11" s="76"/>
    </row>
    <row r="12" spans="1:8" ht="14.25" customHeight="1" x14ac:dyDescent="0.2">
      <c r="A12" s="134"/>
      <c r="B12" s="134"/>
      <c r="C12" s="134"/>
      <c r="D12" s="134"/>
      <c r="E12" s="134"/>
      <c r="F12" s="134"/>
      <c r="G12" s="134"/>
      <c r="H12" s="134"/>
    </row>
    <row r="13" spans="1:8" ht="22.5" customHeight="1" x14ac:dyDescent="0.2">
      <c r="A13" s="77" t="s">
        <v>40</v>
      </c>
      <c r="B13" s="1" t="s">
        <v>41</v>
      </c>
      <c r="C13" s="129" t="s">
        <v>42</v>
      </c>
      <c r="D13" s="129"/>
      <c r="E13" s="129"/>
      <c r="F13" s="129"/>
      <c r="G13" s="129"/>
      <c r="H13" s="129"/>
    </row>
    <row r="14" spans="1:8" ht="70.5" customHeight="1" x14ac:dyDescent="0.2">
      <c r="A14" s="78" t="s">
        <v>43</v>
      </c>
      <c r="B14" s="79">
        <v>15437.96</v>
      </c>
      <c r="C14" s="114" t="s">
        <v>44</v>
      </c>
      <c r="D14" s="114"/>
      <c r="E14" s="114"/>
      <c r="F14" s="114"/>
      <c r="G14" s="114"/>
      <c r="H14" s="114"/>
    </row>
    <row r="15" spans="1:8" ht="39.75" customHeight="1" x14ac:dyDescent="0.2">
      <c r="A15" s="80" t="s">
        <v>45</v>
      </c>
      <c r="B15" s="81">
        <f>SUM(B14:B14)</f>
        <v>15437.96</v>
      </c>
      <c r="C15" s="130"/>
      <c r="D15" s="130"/>
      <c r="E15" s="130"/>
      <c r="F15" s="130"/>
      <c r="G15" s="130"/>
      <c r="H15" s="130"/>
    </row>
    <row r="18" ht="29.25" customHeight="1" x14ac:dyDescent="0.2"/>
    <row r="53" spans="1:9" ht="21.75" customHeight="1" x14ac:dyDescent="0.2">
      <c r="A53" s="82"/>
      <c r="B53" s="83"/>
      <c r="C53" s="84"/>
      <c r="D53" s="84"/>
      <c r="E53" s="84"/>
      <c r="F53" s="84"/>
      <c r="G53" s="84"/>
      <c r="H53" s="84"/>
      <c r="I53" s="83"/>
    </row>
  </sheetData>
  <mergeCells count="8">
    <mergeCell ref="C13:H13"/>
    <mergeCell ref="C14:H14"/>
    <mergeCell ref="C15:H15"/>
    <mergeCell ref="A2:H2"/>
    <mergeCell ref="A3:H3"/>
    <mergeCell ref="A4:H4"/>
    <mergeCell ref="B7:C7"/>
    <mergeCell ref="A12:H12"/>
  </mergeCells>
  <printOptions horizontalCentered="1"/>
  <pageMargins left="0.25" right="0.25" top="0.5" bottom="0.5" header="0.511811023622047" footer="0"/>
  <pageSetup orientation="portrait" horizontalDpi="300" verticalDpi="300" r:id="rId1"/>
  <headerFooter>
    <oddFooter>&amp;C&amp;8 Executive Summary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3"/>
  <sheetViews>
    <sheetView zoomScaleNormal="100" workbookViewId="0"/>
  </sheetViews>
  <sheetFormatPr defaultColWidth="8.7109375" defaultRowHeight="12.75" x14ac:dyDescent="0.2"/>
  <cols>
    <col min="1" max="9" width="11.42578125" customWidth="1"/>
    <col min="10" max="10" width="4" customWidth="1"/>
    <col min="11" max="11" width="50" customWidth="1"/>
  </cols>
  <sheetData>
    <row r="2" spans="1:11" ht="17.850000000000001" customHeight="1" x14ac:dyDescent="0.2">
      <c r="A2" s="128" t="s">
        <v>4</v>
      </c>
      <c r="B2" s="128"/>
      <c r="C2" s="128"/>
      <c r="D2" s="128"/>
      <c r="E2" s="128"/>
      <c r="F2" s="128"/>
      <c r="G2" s="128"/>
      <c r="H2" s="128"/>
      <c r="I2" s="128"/>
    </row>
    <row r="3" spans="1:11" ht="18" x14ac:dyDescent="0.2">
      <c r="A3" s="128" t="str">
        <f>'Executive Summary'!A3</f>
        <v>Goodyear</v>
      </c>
      <c r="B3" s="128"/>
      <c r="C3" s="128"/>
      <c r="D3" s="128"/>
      <c r="E3" s="128"/>
      <c r="F3" s="128"/>
      <c r="G3" s="128"/>
      <c r="H3" s="128"/>
      <c r="I3" s="128"/>
    </row>
    <row r="4" spans="1:11" ht="18" x14ac:dyDescent="0.2">
      <c r="A4" s="128" t="str">
        <f>'Executive Summary'!A4</f>
        <v>July 2026</v>
      </c>
      <c r="B4" s="128"/>
      <c r="C4" s="128"/>
      <c r="D4" s="128"/>
      <c r="E4" s="128"/>
      <c r="F4" s="128"/>
      <c r="G4" s="128"/>
      <c r="H4" s="128"/>
      <c r="I4" s="128"/>
      <c r="K4" s="85" t="s">
        <v>46</v>
      </c>
    </row>
    <row r="7" spans="1:11" ht="14.25" x14ac:dyDescent="0.2">
      <c r="A7" s="85" t="s">
        <v>47</v>
      </c>
      <c r="B7" s="135" t="str">
        <f>'Executive Summary'!B7</f>
        <v>Danielle Cebrero</v>
      </c>
      <c r="C7" s="135"/>
      <c r="G7" s="85" t="s">
        <v>7</v>
      </c>
      <c r="H7" s="86">
        <f>'Executive Summary'!H7</f>
        <v>51159</v>
      </c>
    </row>
    <row r="8" spans="1:11" ht="14.25" x14ac:dyDescent="0.2">
      <c r="A8" s="85" t="s">
        <v>48</v>
      </c>
      <c r="B8" t="str">
        <f>'Executive Summary'!B8</f>
        <v>Jaie Benson</v>
      </c>
      <c r="G8" s="85" t="s">
        <v>10</v>
      </c>
      <c r="H8" s="87">
        <f>'Executive Summary'!H8</f>
        <v>0.44119999999999998</v>
      </c>
    </row>
    <row r="9" spans="1:11" ht="14.25" x14ac:dyDescent="0.2">
      <c r="G9" s="85" t="s">
        <v>49</v>
      </c>
    </row>
    <row r="12" spans="1:11" ht="23.85" customHeight="1" x14ac:dyDescent="0.2">
      <c r="A12" s="136" t="s">
        <v>50</v>
      </c>
      <c r="B12" s="136"/>
      <c r="C12" s="136"/>
      <c r="D12" s="136"/>
      <c r="E12" s="136"/>
      <c r="F12" s="136"/>
      <c r="G12" s="136"/>
      <c r="H12" s="136"/>
      <c r="I12" s="136"/>
      <c r="K12" s="88" t="s">
        <v>51</v>
      </c>
    </row>
    <row r="13" spans="1:11" x14ac:dyDescent="0.2">
      <c r="K13" s="88" t="s">
        <v>52</v>
      </c>
    </row>
  </sheetData>
  <mergeCells count="5">
    <mergeCell ref="A2:I2"/>
    <mergeCell ref="A3:I3"/>
    <mergeCell ref="A4:I4"/>
    <mergeCell ref="B7:C7"/>
    <mergeCell ref="A12:I1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7"/>
  <sheetViews>
    <sheetView tabSelected="1" zoomScaleNormal="100" workbookViewId="0">
      <selection activeCell="B4" sqref="B4:J4"/>
    </sheetView>
  </sheetViews>
  <sheetFormatPr defaultColWidth="8.7109375" defaultRowHeight="12.75" x14ac:dyDescent="0.2"/>
  <cols>
    <col min="1" max="1" width="3.85546875" customWidth="1"/>
    <col min="2" max="2" width="30.140625" customWidth="1"/>
    <col min="4" max="4" width="21.7109375" customWidth="1"/>
    <col min="5" max="5" width="20.42578125" customWidth="1"/>
    <col min="6" max="6" width="21.5703125" customWidth="1"/>
    <col min="9" max="9" width="41.85546875" customWidth="1"/>
    <col min="10" max="10" width="7.85546875" customWidth="1"/>
  </cols>
  <sheetData>
    <row r="1" spans="2:10" ht="14.25" customHeight="1" x14ac:dyDescent="0.2">
      <c r="B1" s="70"/>
      <c r="C1" s="71"/>
      <c r="D1" s="71"/>
      <c r="E1" s="71"/>
      <c r="F1" s="71"/>
      <c r="G1" s="71"/>
      <c r="H1" s="71"/>
      <c r="I1" s="71"/>
      <c r="J1" s="71"/>
    </row>
    <row r="2" spans="2:10" ht="15" customHeight="1" x14ac:dyDescent="0.2">
      <c r="B2" s="106" t="s">
        <v>53</v>
      </c>
      <c r="C2" s="106"/>
      <c r="D2" s="106"/>
      <c r="E2" s="106"/>
      <c r="F2" s="106"/>
      <c r="G2" s="106"/>
      <c r="H2" s="106"/>
      <c r="I2" s="106"/>
      <c r="J2" s="106"/>
    </row>
    <row r="3" spans="2:10" ht="15" customHeight="1" x14ac:dyDescent="0.2">
      <c r="B3" s="137" t="s">
        <v>0</v>
      </c>
      <c r="C3" s="137"/>
      <c r="D3" s="137"/>
      <c r="E3" s="137"/>
      <c r="F3" s="137"/>
      <c r="G3" s="137"/>
      <c r="H3" s="137"/>
      <c r="I3" s="137"/>
      <c r="J3" s="137"/>
    </row>
    <row r="4" spans="2:10" ht="15" customHeight="1" x14ac:dyDescent="0.2">
      <c r="B4" s="108" t="s">
        <v>73</v>
      </c>
      <c r="C4" s="108"/>
      <c r="D4" s="108"/>
      <c r="E4" s="108"/>
      <c r="F4" s="108"/>
      <c r="G4" s="108"/>
      <c r="H4" s="108"/>
      <c r="I4" s="108"/>
      <c r="J4" s="108"/>
    </row>
    <row r="5" spans="2:10" ht="15" customHeight="1" x14ac:dyDescent="0.25">
      <c r="B5" s="3"/>
      <c r="C5" s="3"/>
      <c r="D5" s="3"/>
      <c r="E5" s="3"/>
      <c r="F5" s="3"/>
      <c r="G5" s="3"/>
      <c r="H5" s="3"/>
      <c r="I5" s="3"/>
      <c r="J5" s="3"/>
    </row>
    <row r="6" spans="2:10" ht="31.5" customHeight="1" x14ac:dyDescent="0.25">
      <c r="B6" s="3"/>
      <c r="C6" s="3"/>
      <c r="D6" s="3"/>
      <c r="E6" s="3"/>
      <c r="F6" s="3"/>
      <c r="G6" s="3"/>
      <c r="H6" s="3"/>
      <c r="I6" s="3"/>
      <c r="J6" s="3"/>
    </row>
    <row r="7" spans="2:10" ht="14.25" customHeight="1" x14ac:dyDescent="0.2">
      <c r="B7" s="89"/>
      <c r="C7" s="90"/>
      <c r="D7" s="90"/>
      <c r="E7" s="90"/>
      <c r="F7" s="90"/>
      <c r="G7" s="90"/>
      <c r="H7" s="90"/>
      <c r="I7" s="91"/>
      <c r="J7" s="71"/>
    </row>
    <row r="8" spans="2:10" ht="15" customHeight="1" x14ac:dyDescent="0.25">
      <c r="B8" s="59" t="s">
        <v>5</v>
      </c>
      <c r="C8" s="60" t="s">
        <v>6</v>
      </c>
      <c r="D8" s="60"/>
      <c r="E8" s="92"/>
      <c r="F8" s="92"/>
      <c r="G8" s="93"/>
      <c r="H8" s="93" t="s">
        <v>7</v>
      </c>
      <c r="I8" s="94">
        <v>51159</v>
      </c>
      <c r="J8" s="3"/>
    </row>
    <row r="9" spans="2:10" ht="15" customHeight="1" x14ac:dyDescent="0.25">
      <c r="B9" s="59" t="s">
        <v>8</v>
      </c>
      <c r="C9" s="138" t="s">
        <v>9</v>
      </c>
      <c r="D9" s="138"/>
      <c r="E9" s="92"/>
      <c r="F9" s="92"/>
      <c r="G9" s="92"/>
      <c r="H9" s="93" t="s">
        <v>10</v>
      </c>
      <c r="I9" s="95">
        <v>1</v>
      </c>
      <c r="J9" s="3"/>
    </row>
    <row r="10" spans="2:10" ht="15" customHeight="1" x14ac:dyDescent="0.25">
      <c r="B10" s="59"/>
      <c r="C10" s="138"/>
      <c r="D10" s="138"/>
      <c r="E10" s="92"/>
      <c r="F10" s="92"/>
      <c r="G10" s="92"/>
      <c r="H10" s="93"/>
      <c r="I10" s="95"/>
      <c r="J10" s="3"/>
    </row>
    <row r="11" spans="2:10" ht="15" customHeight="1" x14ac:dyDescent="0.25">
      <c r="B11" s="96"/>
      <c r="C11" s="97"/>
      <c r="D11" s="97"/>
      <c r="E11" s="97"/>
      <c r="F11" s="98"/>
      <c r="G11" s="98"/>
      <c r="H11" s="98"/>
      <c r="I11" s="99"/>
      <c r="J11" s="3"/>
    </row>
    <row r="12" spans="2:10" ht="15" customHeight="1" x14ac:dyDescent="0.25">
      <c r="B12" s="93"/>
      <c r="C12" s="92"/>
      <c r="D12" s="92"/>
      <c r="E12" s="92"/>
      <c r="F12" s="3"/>
      <c r="G12" s="3"/>
      <c r="H12" s="3"/>
      <c r="I12" s="3"/>
      <c r="J12" s="3"/>
    </row>
    <row r="13" spans="2:10" ht="15" customHeight="1" x14ac:dyDescent="0.25">
      <c r="B13" s="97"/>
      <c r="C13" s="97"/>
      <c r="D13" s="97"/>
      <c r="E13" s="98"/>
      <c r="F13" s="98"/>
      <c r="G13" s="98"/>
      <c r="H13" s="98"/>
      <c r="I13" s="98"/>
    </row>
    <row r="14" spans="2:10" x14ac:dyDescent="0.2">
      <c r="B14" s="139" t="s">
        <v>54</v>
      </c>
      <c r="C14" s="139"/>
      <c r="D14" s="100" t="s">
        <v>55</v>
      </c>
      <c r="E14" s="100" t="s">
        <v>56</v>
      </c>
      <c r="F14" s="140" t="s">
        <v>57</v>
      </c>
      <c r="G14" s="140"/>
      <c r="H14" s="140"/>
      <c r="I14" s="140"/>
    </row>
    <row r="15" spans="2:10" ht="14.25" customHeight="1" x14ac:dyDescent="0.2">
      <c r="B15" s="141" t="s">
        <v>58</v>
      </c>
      <c r="C15" s="141"/>
      <c r="D15" s="36" t="s">
        <v>59</v>
      </c>
      <c r="E15" s="36" t="s">
        <v>59</v>
      </c>
      <c r="F15" s="142"/>
      <c r="G15" s="142"/>
      <c r="H15" s="142"/>
      <c r="I15" s="142"/>
    </row>
    <row r="16" spans="2:10" ht="14.25" customHeight="1" x14ac:dyDescent="0.2">
      <c r="B16" s="101" t="s">
        <v>43</v>
      </c>
      <c r="C16" s="102"/>
      <c r="D16" s="102" t="s">
        <v>59</v>
      </c>
      <c r="E16" s="102" t="s">
        <v>69</v>
      </c>
      <c r="F16" s="144" t="s">
        <v>70</v>
      </c>
      <c r="G16" s="144"/>
      <c r="H16" s="144"/>
      <c r="I16" s="145"/>
    </row>
    <row r="17" spans="2:9" x14ac:dyDescent="0.2">
      <c r="B17" s="103"/>
      <c r="C17" s="104"/>
      <c r="D17" s="104"/>
      <c r="E17" s="104"/>
      <c r="F17" s="143"/>
      <c r="G17" s="143"/>
      <c r="H17" s="143"/>
      <c r="I17" s="143"/>
    </row>
  </sheetData>
  <mergeCells count="11">
    <mergeCell ref="B14:C14"/>
    <mergeCell ref="F14:I14"/>
    <mergeCell ref="B15:C15"/>
    <mergeCell ref="F15:I15"/>
    <mergeCell ref="F17:I17"/>
    <mergeCell ref="F16:I16"/>
    <mergeCell ref="B2:J2"/>
    <mergeCell ref="B3:J3"/>
    <mergeCell ref="B4:J4"/>
    <mergeCell ref="C9:D9"/>
    <mergeCell ref="C10:D10"/>
  </mergeCells>
  <pageMargins left="0.7" right="0.7" top="0.75" bottom="0.75" header="0.511811023622047" footer="0.511811023622047"/>
  <pageSetup scale="51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zoomScaleNormal="100" workbookViewId="0">
      <selection sqref="A1:E1"/>
    </sheetView>
  </sheetViews>
  <sheetFormatPr defaultColWidth="8.7109375" defaultRowHeight="12.75" x14ac:dyDescent="0.2"/>
  <cols>
    <col min="1" max="1" width="22" customWidth="1"/>
    <col min="2" max="2" width="18" customWidth="1"/>
    <col min="3" max="3" width="14" customWidth="1"/>
    <col min="4" max="4" width="18" customWidth="1"/>
    <col min="5" max="5" width="35" customWidth="1"/>
    <col min="6" max="9" width="11" customWidth="1"/>
  </cols>
  <sheetData>
    <row r="1" spans="1:7" ht="17.850000000000001" customHeight="1" x14ac:dyDescent="0.2">
      <c r="A1" s="128" t="s">
        <v>4</v>
      </c>
      <c r="B1" s="128"/>
      <c r="C1" s="128"/>
      <c r="D1" s="128"/>
      <c r="E1" s="128"/>
    </row>
    <row r="2" spans="1:7" ht="18" x14ac:dyDescent="0.2">
      <c r="A2" s="128" t="str">
        <f>'Executive Summary'!A3</f>
        <v>Goodyear</v>
      </c>
      <c r="B2" s="128"/>
      <c r="C2" s="128"/>
      <c r="D2" s="128"/>
      <c r="E2" s="128"/>
      <c r="F2" s="128"/>
      <c r="G2" s="128"/>
    </row>
    <row r="3" spans="1:7" ht="18" x14ac:dyDescent="0.2">
      <c r="A3" s="128" t="str">
        <f>'Executive Summary'!A4</f>
        <v>July 2026</v>
      </c>
      <c r="B3" s="128"/>
      <c r="C3" s="128"/>
      <c r="D3" s="128"/>
      <c r="E3" s="128"/>
      <c r="F3" s="128"/>
      <c r="G3" s="128"/>
    </row>
    <row r="4" spans="1:7" x14ac:dyDescent="0.2">
      <c r="A4" s="135"/>
      <c r="B4" s="135"/>
      <c r="C4" s="135"/>
      <c r="D4" s="135"/>
      <c r="E4" s="135"/>
    </row>
    <row r="6" spans="1:7" ht="14.25" x14ac:dyDescent="0.2">
      <c r="A6" s="85" t="s">
        <v>60</v>
      </c>
      <c r="B6" t="str">
        <f>'Executive Summary'!B7</f>
        <v>Danielle Cebrero</v>
      </c>
      <c r="C6" s="85" t="s">
        <v>7</v>
      </c>
      <c r="D6" s="86">
        <f>'Executive Summary'!H7</f>
        <v>51159</v>
      </c>
    </row>
    <row r="7" spans="1:7" ht="14.25" x14ac:dyDescent="0.2">
      <c r="A7" s="85" t="s">
        <v>61</v>
      </c>
      <c r="B7" t="str">
        <f>'Executive Summary'!B8</f>
        <v>Jaie Benson</v>
      </c>
      <c r="C7" s="85" t="s">
        <v>10</v>
      </c>
      <c r="D7" s="87">
        <f>'Executive Summary'!H8</f>
        <v>0.44119999999999998</v>
      </c>
    </row>
    <row r="10" spans="1:7" ht="28.5" x14ac:dyDescent="0.2">
      <c r="A10" s="105" t="s">
        <v>40</v>
      </c>
      <c r="B10" s="105" t="s">
        <v>62</v>
      </c>
      <c r="C10" s="105" t="s">
        <v>63</v>
      </c>
      <c r="D10" s="105" t="s">
        <v>64</v>
      </c>
      <c r="E10" s="105" t="s">
        <v>57</v>
      </c>
    </row>
  </sheetData>
  <mergeCells count="4">
    <mergeCell ref="A1:E1"/>
    <mergeCell ref="A2:G2"/>
    <mergeCell ref="A3:G3"/>
    <mergeCell ref="A4:E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Title Sheet</vt:lpstr>
      <vt:lpstr>Executive Summary</vt:lpstr>
      <vt:lpstr>Tenant Delinquency</vt:lpstr>
      <vt:lpstr>Photos</vt:lpstr>
      <vt:lpstr>Tenant COI Tracking</vt:lpstr>
      <vt:lpstr>Tenant Maintenance Tracking. </vt:lpstr>
      <vt:lpstr>'Executive Summary'!Print_Area</vt:lpstr>
      <vt:lpstr>'Tenant COI Tracking'!Print_Area</vt:lpstr>
      <vt:lpstr>'Tenant Delinquency'!Print_Area</vt:lpstr>
      <vt:lpstr>'Title Sheet'!Print_Area</vt:lpstr>
      <vt:lpstr>'Executive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</dc:creator>
  <dc:description/>
  <cp:lastModifiedBy>Jaie Benson</cp:lastModifiedBy>
  <cp:revision>0</cp:revision>
  <cp:lastPrinted>2026-05-20T21:43:42Z</cp:lastPrinted>
  <dcterms:created xsi:type="dcterms:W3CDTF">2011-10-06T15:30:24Z</dcterms:created>
  <dcterms:modified xsi:type="dcterms:W3CDTF">2026-08-17T17:36:24Z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0x01010003B82F5A695F354EA1EA57F8147C47D4</vt:lpwstr>
  </property>
  <property fmtid="{D5CDD505-2E9C-101B-9397-08002B2CF9AE}" pid="3" name="Numerical Order">
    <vt:lpwstr/>
  </property>
  <property fmtid="{D5CDD505-2E9C-101B-9397-08002B2CF9AE}" pid="4" name="Order">
    <vt:lpwstr>41120200.0000000</vt:lpwstr>
  </property>
  <property fmtid="{D5CDD505-2E9C-101B-9397-08002B2CF9AE}" pid="5" name="display_urn:schemas-microsoft-com:office:office#Author">
    <vt:lpwstr>Ashley Olson</vt:lpwstr>
  </property>
  <property fmtid="{D5CDD505-2E9C-101B-9397-08002B2CF9AE}" pid="6" name="display_urn:schemas-microsoft-com:office:office#Editor">
    <vt:lpwstr>Ashley Olson</vt:lpwstr>
  </property>
</Properties>
</file>