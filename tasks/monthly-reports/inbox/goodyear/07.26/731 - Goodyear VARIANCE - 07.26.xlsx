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drawings/drawing11.xml" ContentType="application/vnd.openxmlformats-officedocument.drawing+xml"/>
  <Override PartName="/xl/comments3.xml" ContentType="application/vnd.openxmlformats-officedocument.spreadsheetml.comments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thenapropertymanagement.sharepoint.com/sites/athenasharepoint/Shared Documents/VARIANCE/2026/Newmark/07.26/"/>
    </mc:Choice>
  </mc:AlternateContent>
  <xr:revisionPtr revIDLastSave="49" documentId="13_ncr:1_{05EE348E-70A3-4307-89C0-E34A94D411D8}" xr6:coauthVersionLast="47" xr6:coauthVersionMax="47" xr10:uidLastSave="{CCC36730-6B2A-4E0B-8187-3672AD868B24}"/>
  <bookViews>
    <workbookView xWindow="-110" yWindow="-110" windowWidth="19420" windowHeight="10300" tabRatio="850" xr2:uid="{7EA8C742-4968-468C-BAAC-FEA7787B2E83}"/>
  </bookViews>
  <sheets>
    <sheet name="Variance" sheetId="23" r:id="rId1"/>
    <sheet name="Summary" sheetId="9" r:id="rId2"/>
    <sheet name="Rent" sheetId="8" r:id="rId3"/>
    <sheet name="CAM" sheetId="2" r:id="rId4"/>
    <sheet name="Ins." sheetId="4" r:id="rId5"/>
    <sheet name="RE Tax" sheetId="3" r:id="rId6"/>
    <sheet name="Admin. Fee" sheetId="6" r:id="rId7"/>
    <sheet name="Occup." sheetId="1" r:id="rId8"/>
    <sheet name="Sales Tax" sheetId="22" r:id="rId9"/>
    <sheet name="CAM Majors" sheetId="16" r:id="rId10"/>
    <sheet name="TENANT CHARGES" sheetId="19" r:id="rId11"/>
    <sheet name="CAM CAPS" sheetId="20" r:id="rId12"/>
    <sheet name="Slippage" sheetId="14" r:id="rId13"/>
  </sheets>
  <definedNames>
    <definedName name="_Builtin0">#N/A</definedName>
    <definedName name="_xlnm.Print_Area" localSheetId="6">'Admin. Fee'!$A$1:$Q$31</definedName>
    <definedName name="_xlnm.Print_Area" localSheetId="3">CAM!$A$1:$Q$27</definedName>
    <definedName name="_xlnm.Print_Area" localSheetId="9">'CAM Majors'!$J$1:$R$68</definedName>
    <definedName name="_xlnm.Print_Area" localSheetId="4">Ins.!$A$1:$Q$36</definedName>
    <definedName name="_xlnm.Print_Area" localSheetId="7">Occup.!$A$1:$P$25</definedName>
    <definedName name="_xlnm.Print_Area" localSheetId="5">'RE Tax'!$A$1:$R$39</definedName>
    <definedName name="_xlnm.Print_Area" localSheetId="2">Rent!$A$1:$S$24</definedName>
    <definedName name="_xlnm.Print_Area" localSheetId="8">'Sales Tax'!$A$1:$S$42</definedName>
    <definedName name="_xlnm.Print_Area" localSheetId="12">Slippage!$A$1:$H$50</definedName>
    <definedName name="_xlnm.Print_Area" localSheetId="1">Summary!$A$1:$S$114</definedName>
    <definedName name="_xlnm.Print_Area" localSheetId="10">'TENANT CHARGES'!$A$1:$W$31</definedName>
    <definedName name="_xlnm.Print_Titles" localSheetId="7">Occup.!$1:$11</definedName>
    <definedName name="_xlnm.Print_Titles" localSheetId="1">Summary!$1:$11</definedName>
    <definedName name="Z_7691FA39_7EA9_407C_9567_49BEFD6339F8_.wvu.PrintArea" localSheetId="3" hidden="1">CAM!$A$1:$Q$27</definedName>
    <definedName name="Z_7691FA39_7EA9_407C_9567_49BEFD6339F8_.wvu.PrintArea" localSheetId="7" hidden="1">Occup.!$A$12:$P$51</definedName>
    <definedName name="Z_7691FA39_7EA9_407C_9567_49BEFD6339F8_.wvu.PrintArea" localSheetId="12" hidden="1">Slippage!$A$3:$H$54</definedName>
    <definedName name="Z_7691FA39_7EA9_407C_9567_49BEFD6339F8_.wvu.PrintArea" localSheetId="1" hidden="1">Summary!$A$1:$O$108</definedName>
    <definedName name="Z_7691FA39_7EA9_407C_9567_49BEFD6339F8_.wvu.PrintTitles" localSheetId="7" hidden="1">Occup.!$1:$11</definedName>
    <definedName name="Z_7691FA39_7EA9_407C_9567_49BEFD6339F8_.wvu.PrintTitles" localSheetId="1" hidden="1">Summary!$1:$11</definedName>
  </definedNames>
  <calcPr calcId="191028"/>
  <customWorkbookViews>
    <customWorkbookView name="Rose - Personal View" guid="{7691FA39-7EA9-407C-9567-49BEFD6339F8}" mergeInterval="0" personalView="1" maximized="1" windowWidth="1020" windowHeight="631" tabRatio="906" activeSheetId="2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12" i="23" l="1"/>
  <c r="AH17" i="23"/>
  <c r="AF8" i="23"/>
  <c r="BK8" i="23" s="1"/>
  <c r="BL9" i="23"/>
  <c r="BK9" i="23"/>
  <c r="BL8" i="23"/>
  <c r="AA11" i="23"/>
  <c r="AA13" i="23"/>
  <c r="AA10" i="23"/>
  <c r="AA12" i="23"/>
  <c r="AA8" i="23"/>
  <c r="BL11" i="23"/>
  <c r="BL10" i="23"/>
  <c r="R15" i="23"/>
  <c r="V9" i="23"/>
  <c r="W15" i="23"/>
  <c r="V10" i="23" l="1"/>
  <c r="V8" i="23"/>
  <c r="S11" i="23"/>
  <c r="S10" i="23"/>
  <c r="M15" i="23" l="1"/>
  <c r="H15" i="23"/>
  <c r="G9" i="23"/>
  <c r="Q9" i="23"/>
  <c r="Q8" i="23"/>
  <c r="M17" i="23" l="1"/>
  <c r="L9" i="23"/>
  <c r="N9" i="23" s="1"/>
  <c r="L11" i="23"/>
  <c r="L10" i="23"/>
  <c r="N11" i="23"/>
  <c r="L12" i="23"/>
  <c r="N12" i="23" s="1"/>
  <c r="L13" i="23"/>
  <c r="L8" i="23"/>
  <c r="G8" i="23"/>
  <c r="I8" i="23" s="1"/>
  <c r="B9" i="23"/>
  <c r="BK10" i="23"/>
  <c r="G7" i="23"/>
  <c r="BK7" i="23" s="1"/>
  <c r="B8" i="23"/>
  <c r="B7" i="23"/>
  <c r="D9" i="23"/>
  <c r="BF15" i="23"/>
  <c r="BA15" i="23"/>
  <c r="AV15" i="23"/>
  <c r="AQ15" i="23"/>
  <c r="AL15" i="23"/>
  <c r="AB15" i="23"/>
  <c r="AB17" i="23" s="1"/>
  <c r="W17" i="23"/>
  <c r="R17" i="23"/>
  <c r="H17" i="23"/>
  <c r="C15" i="23"/>
  <c r="BG14" i="23"/>
  <c r="BB14" i="23"/>
  <c r="AW14" i="23"/>
  <c r="AR14" i="23"/>
  <c r="AM14" i="23"/>
  <c r="AH14" i="23"/>
  <c r="AC14" i="23"/>
  <c r="X14" i="23"/>
  <c r="S14" i="23"/>
  <c r="BG13" i="23"/>
  <c r="BB13" i="23"/>
  <c r="AW13" i="23"/>
  <c r="AR13" i="23"/>
  <c r="AM13" i="23"/>
  <c r="AH13" i="23"/>
  <c r="AC13" i="23"/>
  <c r="X13" i="23"/>
  <c r="S13" i="23"/>
  <c r="N13" i="23"/>
  <c r="BL15" i="23"/>
  <c r="BG12" i="23"/>
  <c r="BB12" i="23"/>
  <c r="AW12" i="23"/>
  <c r="AR12" i="23"/>
  <c r="AM12" i="23"/>
  <c r="AH12" i="23"/>
  <c r="AC12" i="23"/>
  <c r="X12" i="23"/>
  <c r="BK11" i="23"/>
  <c r="BM11" i="23" s="1"/>
  <c r="BJ11" i="23"/>
  <c r="BG11" i="23"/>
  <c r="BB11" i="23"/>
  <c r="AW11" i="23"/>
  <c r="AR11" i="23"/>
  <c r="AM11" i="23"/>
  <c r="AH11" i="23"/>
  <c r="AC11" i="23"/>
  <c r="X11" i="23"/>
  <c r="I11" i="23"/>
  <c r="D11" i="23"/>
  <c r="BJ10" i="23"/>
  <c r="BG10" i="23"/>
  <c r="BB10" i="23"/>
  <c r="AR10" i="23"/>
  <c r="AM10" i="23"/>
  <c r="AH10" i="23"/>
  <c r="AC10" i="23"/>
  <c r="X10" i="23"/>
  <c r="N10" i="23"/>
  <c r="I10" i="23"/>
  <c r="D10" i="23"/>
  <c r="BJ9" i="23"/>
  <c r="BG9" i="23"/>
  <c r="BB9" i="23"/>
  <c r="AW9" i="23"/>
  <c r="AR9" i="23"/>
  <c r="AM9" i="23"/>
  <c r="AH9" i="23"/>
  <c r="AC9" i="23"/>
  <c r="AC15" i="23" s="1"/>
  <c r="AC17" i="23" s="1"/>
  <c r="X9" i="23"/>
  <c r="S9" i="23"/>
  <c r="BJ8" i="23"/>
  <c r="BG8" i="23"/>
  <c r="BB8" i="23"/>
  <c r="AW8" i="23"/>
  <c r="AR8" i="23"/>
  <c r="AM8" i="23"/>
  <c r="AH8" i="23"/>
  <c r="AC8" i="23"/>
  <c r="X8" i="23"/>
  <c r="S8" i="23"/>
  <c r="BL7" i="23"/>
  <c r="BJ7" i="23"/>
  <c r="BG7" i="23"/>
  <c r="BE15" i="23"/>
  <c r="AZ15" i="23"/>
  <c r="AW7" i="23"/>
  <c r="AR7" i="23"/>
  <c r="AM7" i="23"/>
  <c r="AF15" i="23"/>
  <c r="AF17" i="23" s="1"/>
  <c r="AA15" i="23"/>
  <c r="AA17" i="23" s="1"/>
  <c r="V15" i="23"/>
  <c r="V17" i="23" s="1"/>
  <c r="Q15" i="23"/>
  <c r="Q17" i="23" s="1"/>
  <c r="N7" i="23"/>
  <c r="I7" i="23"/>
  <c r="D103" i="9"/>
  <c r="E103" i="9"/>
  <c r="F103" i="9"/>
  <c r="G103" i="9"/>
  <c r="H103" i="9"/>
  <c r="I103" i="9"/>
  <c r="J103" i="9"/>
  <c r="K103" i="9"/>
  <c r="L103" i="9"/>
  <c r="M103" i="9"/>
  <c r="N103" i="9"/>
  <c r="C103" i="9"/>
  <c r="E99" i="9"/>
  <c r="F99" i="9"/>
  <c r="G99" i="9"/>
  <c r="H99" i="9"/>
  <c r="I99" i="9"/>
  <c r="J99" i="9"/>
  <c r="K99" i="9"/>
  <c r="L99" i="9"/>
  <c r="M99" i="9"/>
  <c r="N99" i="9"/>
  <c r="D99" i="9"/>
  <c r="E86" i="9"/>
  <c r="F86" i="9"/>
  <c r="G86" i="9"/>
  <c r="H86" i="9"/>
  <c r="I86" i="9"/>
  <c r="J86" i="9"/>
  <c r="K86" i="9"/>
  <c r="L86" i="9"/>
  <c r="M86" i="9"/>
  <c r="N86" i="9"/>
  <c r="D86" i="9"/>
  <c r="G42" i="16"/>
  <c r="L42" i="16"/>
  <c r="G31" i="16"/>
  <c r="G47" i="16"/>
  <c r="G27" i="16"/>
  <c r="L27" i="16"/>
  <c r="C28" i="9"/>
  <c r="C55" i="9"/>
  <c r="C42" i="16"/>
  <c r="B42" i="16"/>
  <c r="B47" i="16"/>
  <c r="C47" i="16"/>
  <c r="B45" i="16"/>
  <c r="C45" i="16"/>
  <c r="B46" i="16"/>
  <c r="C46" i="16"/>
  <c r="L28" i="16"/>
  <c r="L29" i="16"/>
  <c r="L31" i="16"/>
  <c r="M31" i="16"/>
  <c r="N31" i="16"/>
  <c r="L32" i="16"/>
  <c r="L34" i="16"/>
  <c r="L38" i="16"/>
  <c r="V38" i="16"/>
  <c r="L39" i="16"/>
  <c r="L43" i="16"/>
  <c r="L46" i="16"/>
  <c r="M46" i="16"/>
  <c r="L47" i="16"/>
  <c r="V47" i="16"/>
  <c r="X47" i="16"/>
  <c r="L50" i="16"/>
  <c r="D81" i="9"/>
  <c r="E81" i="9" s="1"/>
  <c r="F81" i="9" s="1"/>
  <c r="G81" i="9" s="1"/>
  <c r="H81" i="9" s="1"/>
  <c r="I81" i="9" s="1"/>
  <c r="J81" i="9" s="1"/>
  <c r="K81" i="9" s="1"/>
  <c r="L81" i="9" s="1"/>
  <c r="M81" i="9" s="1"/>
  <c r="N81" i="9" s="1"/>
  <c r="P55" i="9"/>
  <c r="D48" i="9"/>
  <c r="L59" i="9"/>
  <c r="D28" i="9"/>
  <c r="D55" i="9" s="1"/>
  <c r="E28" i="9"/>
  <c r="F14" i="6"/>
  <c r="G14" i="6"/>
  <c r="H14" i="6"/>
  <c r="I14" i="6"/>
  <c r="J14" i="6"/>
  <c r="K14" i="6"/>
  <c r="L14" i="6"/>
  <c r="M14" i="6"/>
  <c r="N14" i="6"/>
  <c r="O14" i="6"/>
  <c r="P14" i="6"/>
  <c r="E14" i="6"/>
  <c r="F13" i="2"/>
  <c r="G13" i="2"/>
  <c r="H13" i="2"/>
  <c r="I13" i="2"/>
  <c r="J13" i="2"/>
  <c r="K13" i="2"/>
  <c r="L13" i="2"/>
  <c r="M13" i="2"/>
  <c r="N13" i="2"/>
  <c r="O13" i="2"/>
  <c r="P13" i="2"/>
  <c r="E13" i="2"/>
  <c r="F15" i="8"/>
  <c r="AF19" i="16"/>
  <c r="V64" i="16"/>
  <c r="W64" i="16"/>
  <c r="E22" i="22"/>
  <c r="O99" i="9"/>
  <c r="A41" i="14"/>
  <c r="E33" i="9"/>
  <c r="N67" i="9"/>
  <c r="L19" i="19"/>
  <c r="O38" i="9"/>
  <c r="R38" i="9"/>
  <c r="A6" i="8"/>
  <c r="F33" i="22"/>
  <c r="G33" i="22"/>
  <c r="H33" i="22"/>
  <c r="I33" i="22"/>
  <c r="J33" i="22"/>
  <c r="K33" i="22"/>
  <c r="L33" i="22"/>
  <c r="M33" i="22"/>
  <c r="N33" i="22"/>
  <c r="O33" i="22"/>
  <c r="P33" i="22"/>
  <c r="E33" i="22"/>
  <c r="Q33" i="22"/>
  <c r="F32" i="22"/>
  <c r="G32" i="22"/>
  <c r="H32" i="22"/>
  <c r="I32" i="22"/>
  <c r="J32" i="22"/>
  <c r="K32" i="22"/>
  <c r="L32" i="22"/>
  <c r="M32" i="22"/>
  <c r="N32" i="22"/>
  <c r="O32" i="22"/>
  <c r="P32" i="22"/>
  <c r="E32" i="22"/>
  <c r="Q32" i="22"/>
  <c r="F31" i="22"/>
  <c r="G31" i="22"/>
  <c r="H31" i="22"/>
  <c r="I31" i="22"/>
  <c r="J31" i="22"/>
  <c r="K31" i="22"/>
  <c r="L31" i="22"/>
  <c r="M31" i="22"/>
  <c r="N31" i="22"/>
  <c r="O31" i="22"/>
  <c r="P31" i="22"/>
  <c r="E31" i="22"/>
  <c r="F30" i="22"/>
  <c r="G30" i="22"/>
  <c r="E30" i="22"/>
  <c r="F22" i="22"/>
  <c r="G22" i="22"/>
  <c r="H22" i="22"/>
  <c r="I22" i="22"/>
  <c r="J22" i="22"/>
  <c r="K22" i="22"/>
  <c r="L22" i="22"/>
  <c r="M22" i="22"/>
  <c r="N22" i="22"/>
  <c r="O22" i="22"/>
  <c r="P22" i="22"/>
  <c r="E17" i="22"/>
  <c r="H17" i="22"/>
  <c r="I17" i="22"/>
  <c r="J17" i="22"/>
  <c r="P17" i="22"/>
  <c r="E14" i="22"/>
  <c r="F14" i="22"/>
  <c r="P14" i="22"/>
  <c r="G14" i="22"/>
  <c r="H14" i="22"/>
  <c r="I14" i="22"/>
  <c r="J14" i="22"/>
  <c r="K14" i="22"/>
  <c r="L14" i="22"/>
  <c r="M14" i="22"/>
  <c r="N14" i="22"/>
  <c r="O14" i="22"/>
  <c r="G16" i="22"/>
  <c r="H16" i="22"/>
  <c r="I16" i="22"/>
  <c r="J16" i="22"/>
  <c r="K16" i="22"/>
  <c r="L16" i="22"/>
  <c r="M16" i="22"/>
  <c r="O16" i="22"/>
  <c r="P16" i="22"/>
  <c r="F16" i="22"/>
  <c r="E16" i="22"/>
  <c r="D11" i="22"/>
  <c r="A6" i="22"/>
  <c r="A5" i="22"/>
  <c r="A3" i="22"/>
  <c r="A2" i="22"/>
  <c r="P101" i="9"/>
  <c r="P58" i="9"/>
  <c r="P62" i="9"/>
  <c r="P64" i="9" s="1"/>
  <c r="Q101" i="9"/>
  <c r="R78" i="9"/>
  <c r="R79" i="9"/>
  <c r="R80" i="9"/>
  <c r="R81" i="9"/>
  <c r="R82" i="9"/>
  <c r="R83" i="9"/>
  <c r="R84" i="9"/>
  <c r="R85" i="9"/>
  <c r="R86" i="9"/>
  <c r="R87" i="9"/>
  <c r="R88" i="9"/>
  <c r="R77" i="9"/>
  <c r="V51" i="16"/>
  <c r="F27" i="6"/>
  <c r="D20" i="9"/>
  <c r="H26" i="22"/>
  <c r="J26" i="22"/>
  <c r="K26" i="22"/>
  <c r="L26" i="22"/>
  <c r="M26" i="22"/>
  <c r="N26" i="22"/>
  <c r="O26" i="22"/>
  <c r="P26" i="22"/>
  <c r="P27" i="6"/>
  <c r="N20" i="9"/>
  <c r="F34" i="22"/>
  <c r="F35" i="22"/>
  <c r="G34" i="22"/>
  <c r="G35" i="22"/>
  <c r="H34" i="22"/>
  <c r="I34" i="22"/>
  <c r="J34" i="22"/>
  <c r="K34" i="22"/>
  <c r="L34" i="22"/>
  <c r="M34" i="22"/>
  <c r="N34" i="22"/>
  <c r="O34" i="22"/>
  <c r="P34" i="22"/>
  <c r="E27" i="6"/>
  <c r="C20" i="9"/>
  <c r="Q15" i="6"/>
  <c r="Q55" i="9"/>
  <c r="O44" i="9"/>
  <c r="V9" i="16"/>
  <c r="C57" i="16"/>
  <c r="B57" i="16"/>
  <c r="B6" i="16"/>
  <c r="B5" i="16"/>
  <c r="J5" i="16"/>
  <c r="U5" i="16"/>
  <c r="J4" i="16"/>
  <c r="U4" i="16"/>
  <c r="H41" i="16"/>
  <c r="H50" i="16"/>
  <c r="H40" i="16"/>
  <c r="H49" i="16"/>
  <c r="H39" i="16"/>
  <c r="H48" i="16"/>
  <c r="H35" i="16"/>
  <c r="H44" i="16"/>
  <c r="H43" i="16"/>
  <c r="H42" i="16"/>
  <c r="H38" i="16"/>
  <c r="H47" i="16"/>
  <c r="H37" i="16"/>
  <c r="H46" i="16"/>
  <c r="H36" i="16"/>
  <c r="H45" i="16"/>
  <c r="C27" i="16"/>
  <c r="U27" i="16"/>
  <c r="C28" i="16"/>
  <c r="U28" i="16"/>
  <c r="C29" i="16"/>
  <c r="K29" i="16"/>
  <c r="C30" i="16"/>
  <c r="U30" i="16"/>
  <c r="C31" i="16"/>
  <c r="K31" i="16"/>
  <c r="C32" i="16"/>
  <c r="U32" i="16"/>
  <c r="C33" i="16"/>
  <c r="K33" i="16"/>
  <c r="C34" i="16"/>
  <c r="C35" i="16"/>
  <c r="K35" i="16"/>
  <c r="C36" i="16"/>
  <c r="K36" i="16"/>
  <c r="C37" i="16"/>
  <c r="C38" i="16"/>
  <c r="K38" i="16"/>
  <c r="C39" i="16"/>
  <c r="U39" i="16"/>
  <c r="C40" i="16"/>
  <c r="U40" i="16"/>
  <c r="C41" i="16"/>
  <c r="U41" i="16"/>
  <c r="K42" i="16"/>
  <c r="C43" i="16"/>
  <c r="K43" i="16"/>
  <c r="C44" i="16"/>
  <c r="U45" i="16"/>
  <c r="U47" i="16"/>
  <c r="C48" i="16"/>
  <c r="K48" i="16"/>
  <c r="C49" i="16"/>
  <c r="U49" i="16"/>
  <c r="C50" i="16"/>
  <c r="K50" i="16"/>
  <c r="C26" i="16"/>
  <c r="K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3" i="16"/>
  <c r="B44" i="16"/>
  <c r="B48" i="16"/>
  <c r="B49" i="16"/>
  <c r="B50" i="16"/>
  <c r="B26" i="16"/>
  <c r="C18" i="16"/>
  <c r="C19" i="16"/>
  <c r="C20" i="16"/>
  <c r="C21" i="16"/>
  <c r="C17" i="16"/>
  <c r="B21" i="16"/>
  <c r="B20" i="16"/>
  <c r="B19" i="16"/>
  <c r="B18" i="16"/>
  <c r="B17" i="16"/>
  <c r="B3" i="16"/>
  <c r="B4" i="16"/>
  <c r="A6" i="19"/>
  <c r="A5" i="19"/>
  <c r="A4" i="19"/>
  <c r="A3" i="19"/>
  <c r="A2" i="19"/>
  <c r="D12" i="19"/>
  <c r="D13" i="19"/>
  <c r="D11" i="19"/>
  <c r="B15" i="6"/>
  <c r="A15" i="6"/>
  <c r="Q15" i="3"/>
  <c r="C14" i="3"/>
  <c r="C15" i="3"/>
  <c r="B15" i="3"/>
  <c r="A15" i="3"/>
  <c r="Q15" i="4"/>
  <c r="C14" i="4"/>
  <c r="C15" i="4"/>
  <c r="B14" i="4"/>
  <c r="B15" i="4"/>
  <c r="A14" i="4"/>
  <c r="A15" i="4"/>
  <c r="Q15" i="2"/>
  <c r="B14" i="2"/>
  <c r="B15" i="2"/>
  <c r="A15" i="2"/>
  <c r="B12" i="19"/>
  <c r="B13" i="19"/>
  <c r="B11" i="19"/>
  <c r="C12" i="19"/>
  <c r="L107" i="19"/>
  <c r="K107" i="19"/>
  <c r="J107" i="19"/>
  <c r="H107" i="19"/>
  <c r="E107" i="19"/>
  <c r="D107" i="19"/>
  <c r="C107" i="19"/>
  <c r="H19" i="19"/>
  <c r="G19" i="19"/>
  <c r="O12" i="19"/>
  <c r="O11" i="19"/>
  <c r="D27" i="6"/>
  <c r="O62" i="9"/>
  <c r="R62" i="9"/>
  <c r="O84" i="9"/>
  <c r="O58" i="9"/>
  <c r="R58" i="9"/>
  <c r="K16" i="16"/>
  <c r="E20" i="8"/>
  <c r="C13" i="8"/>
  <c r="C11" i="19" s="1"/>
  <c r="D13" i="8"/>
  <c r="C13" i="4"/>
  <c r="H15" i="8"/>
  <c r="H30" i="22"/>
  <c r="O96" i="9"/>
  <c r="R96" i="9"/>
  <c r="O97" i="9"/>
  <c r="R97" i="9"/>
  <c r="O98" i="9"/>
  <c r="R98" i="9"/>
  <c r="D21" i="9"/>
  <c r="E21" i="9"/>
  <c r="F21" i="9"/>
  <c r="G21" i="9"/>
  <c r="H21" i="9"/>
  <c r="I21" i="9"/>
  <c r="J21" i="9"/>
  <c r="K21" i="9"/>
  <c r="L21" i="9"/>
  <c r="M21" i="9"/>
  <c r="N21" i="9"/>
  <c r="C21" i="9"/>
  <c r="O81" i="9"/>
  <c r="H13" i="1"/>
  <c r="P69" i="9"/>
  <c r="Q69" i="9"/>
  <c r="P90" i="9"/>
  <c r="Q90" i="9"/>
  <c r="A7" i="14"/>
  <c r="A15" i="1"/>
  <c r="B15" i="1"/>
  <c r="D15" i="1"/>
  <c r="F15" i="1"/>
  <c r="J26" i="16"/>
  <c r="T26" i="16"/>
  <c r="C101" i="9"/>
  <c r="O95" i="9"/>
  <c r="O94" i="9"/>
  <c r="R94" i="9"/>
  <c r="V10" i="16"/>
  <c r="V8" i="16"/>
  <c r="U56" i="16"/>
  <c r="AA59" i="16"/>
  <c r="W59" i="16"/>
  <c r="U55" i="16"/>
  <c r="A14" i="1"/>
  <c r="B14" i="1"/>
  <c r="L14" i="1"/>
  <c r="D14" i="1"/>
  <c r="E14" i="1"/>
  <c r="F14" i="1"/>
  <c r="G14" i="1"/>
  <c r="H14" i="1"/>
  <c r="I14" i="1"/>
  <c r="J14" i="1"/>
  <c r="K14" i="1"/>
  <c r="O14" i="1"/>
  <c r="A14" i="6"/>
  <c r="B14" i="6"/>
  <c r="C14" i="6"/>
  <c r="A14" i="3"/>
  <c r="B14" i="3"/>
  <c r="A14" i="2"/>
  <c r="C14" i="2"/>
  <c r="D14" i="8"/>
  <c r="Q25" i="9"/>
  <c r="Q103" i="9"/>
  <c r="O1" i="9"/>
  <c r="O30" i="9"/>
  <c r="O31" i="9"/>
  <c r="M29" i="16"/>
  <c r="O32" i="9"/>
  <c r="G30" i="16" s="1"/>
  <c r="L30" i="16" s="1"/>
  <c r="O34" i="9"/>
  <c r="R34" i="9" s="1"/>
  <c r="V32" i="16"/>
  <c r="X32" i="16"/>
  <c r="O35" i="9"/>
  <c r="G33" i="16" s="1"/>
  <c r="L33" i="16" s="1"/>
  <c r="R35" i="9"/>
  <c r="B14" i="14"/>
  <c r="O36" i="9"/>
  <c r="O37" i="9"/>
  <c r="R37" i="9" s="1"/>
  <c r="G35" i="16"/>
  <c r="L35" i="16" s="1"/>
  <c r="O39" i="9"/>
  <c r="R39" i="9" s="1"/>
  <c r="O40" i="9"/>
  <c r="G37" i="16"/>
  <c r="L37" i="16" s="1"/>
  <c r="O42" i="9"/>
  <c r="R42" i="9"/>
  <c r="O43" i="9"/>
  <c r="B21" i="14"/>
  <c r="O45" i="9"/>
  <c r="O46" i="9"/>
  <c r="R46" i="9"/>
  <c r="O47" i="9"/>
  <c r="B25" i="14"/>
  <c r="O49" i="9"/>
  <c r="O50" i="9"/>
  <c r="B28" i="14"/>
  <c r="O51" i="9"/>
  <c r="R51" i="9"/>
  <c r="O52" i="9"/>
  <c r="R52" i="9"/>
  <c r="O53" i="9"/>
  <c r="O61" i="9"/>
  <c r="J19" i="16"/>
  <c r="T19" i="16"/>
  <c r="K19" i="16"/>
  <c r="U19" i="16"/>
  <c r="J20" i="16"/>
  <c r="T20" i="16"/>
  <c r="K20" i="16"/>
  <c r="U20" i="16"/>
  <c r="J21" i="16"/>
  <c r="K21" i="16"/>
  <c r="U21" i="16"/>
  <c r="M69" i="9"/>
  <c r="O67" i="9"/>
  <c r="O69" i="9"/>
  <c r="G57" i="16"/>
  <c r="G59" i="16"/>
  <c r="R67" i="9"/>
  <c r="O88" i="9"/>
  <c r="D85" i="9"/>
  <c r="E85" i="9"/>
  <c r="F85" i="9"/>
  <c r="G85" i="9"/>
  <c r="H85" i="9"/>
  <c r="I85" i="9"/>
  <c r="J85" i="9"/>
  <c r="K85" i="9"/>
  <c r="L85" i="9"/>
  <c r="M85" i="9"/>
  <c r="N85" i="9"/>
  <c r="O87" i="9"/>
  <c r="A2" i="1"/>
  <c r="A13" i="2"/>
  <c r="J35" i="16"/>
  <c r="T35" i="16"/>
  <c r="A25" i="14"/>
  <c r="A22" i="14"/>
  <c r="A21" i="14"/>
  <c r="A16" i="14"/>
  <c r="A5" i="8"/>
  <c r="O16" i="9"/>
  <c r="R16" i="9"/>
  <c r="O22" i="9"/>
  <c r="R22" i="9"/>
  <c r="J3" i="16"/>
  <c r="U3" i="16"/>
  <c r="O29" i="9"/>
  <c r="F69" i="9"/>
  <c r="A5" i="1"/>
  <c r="L69" i="9"/>
  <c r="K69" i="9"/>
  <c r="J69" i="9"/>
  <c r="I69" i="9"/>
  <c r="H69" i="9"/>
  <c r="G69" i="9"/>
  <c r="E69" i="9"/>
  <c r="D69" i="9"/>
  <c r="C69" i="9"/>
  <c r="C13" i="9"/>
  <c r="K57" i="16"/>
  <c r="U57" i="16"/>
  <c r="J57" i="16"/>
  <c r="T57" i="16"/>
  <c r="J50" i="16"/>
  <c r="T50" i="16"/>
  <c r="J49" i="16"/>
  <c r="T49" i="16"/>
  <c r="J48" i="16"/>
  <c r="T48" i="16"/>
  <c r="J47" i="16"/>
  <c r="T47" i="16"/>
  <c r="J46" i="16"/>
  <c r="T46" i="16"/>
  <c r="J45" i="16"/>
  <c r="T45" i="16"/>
  <c r="J44" i="16"/>
  <c r="T44" i="16"/>
  <c r="J43" i="16"/>
  <c r="T43" i="16"/>
  <c r="J42" i="16"/>
  <c r="T42" i="16"/>
  <c r="J41" i="16"/>
  <c r="T41" i="16"/>
  <c r="J40" i="16"/>
  <c r="T40" i="16"/>
  <c r="J39" i="16"/>
  <c r="T39" i="16"/>
  <c r="J38" i="16"/>
  <c r="T38" i="16"/>
  <c r="J37" i="16"/>
  <c r="T37" i="16"/>
  <c r="J36" i="16"/>
  <c r="T36" i="16"/>
  <c r="J34" i="16"/>
  <c r="T34" i="16"/>
  <c r="J33" i="16"/>
  <c r="T33" i="16"/>
  <c r="J32" i="16"/>
  <c r="T32" i="16"/>
  <c r="J31" i="16"/>
  <c r="J30" i="16"/>
  <c r="T30" i="16"/>
  <c r="J29" i="16"/>
  <c r="J28" i="16"/>
  <c r="T28" i="16"/>
  <c r="J27" i="16"/>
  <c r="T27" i="16"/>
  <c r="K18" i="16"/>
  <c r="U18" i="16"/>
  <c r="J18" i="16"/>
  <c r="T18" i="16"/>
  <c r="K17" i="16"/>
  <c r="U17" i="16"/>
  <c r="J17" i="16"/>
  <c r="T17" i="16"/>
  <c r="K55" i="16"/>
  <c r="K25" i="16"/>
  <c r="U25" i="16"/>
  <c r="L9" i="16"/>
  <c r="L8" i="16"/>
  <c r="C20" i="8"/>
  <c r="Y17" i="16" s="1"/>
  <c r="S54" i="9"/>
  <c r="B13" i="1"/>
  <c r="A13" i="1"/>
  <c r="B2" i="14"/>
  <c r="B1" i="14"/>
  <c r="D3" i="14"/>
  <c r="A31" i="14"/>
  <c r="A30" i="14"/>
  <c r="A29" i="14"/>
  <c r="A28" i="14"/>
  <c r="A27" i="14"/>
  <c r="A26" i="14"/>
  <c r="A24" i="14"/>
  <c r="A23" i="14"/>
  <c r="A20" i="14"/>
  <c r="A19" i="14"/>
  <c r="A18" i="14"/>
  <c r="A17" i="14"/>
  <c r="A15" i="14"/>
  <c r="A14" i="14"/>
  <c r="A13" i="14"/>
  <c r="A12" i="14"/>
  <c r="A11" i="14"/>
  <c r="A10" i="14"/>
  <c r="A9" i="14"/>
  <c r="B13" i="6"/>
  <c r="A13" i="6"/>
  <c r="B13" i="3"/>
  <c r="A13" i="3"/>
  <c r="B13" i="4"/>
  <c r="A13" i="4"/>
  <c r="B13" i="2"/>
  <c r="A2" i="2"/>
  <c r="A3" i="2"/>
  <c r="A5" i="2"/>
  <c r="A6" i="2"/>
  <c r="A2" i="4"/>
  <c r="A3" i="4"/>
  <c r="A5" i="4"/>
  <c r="A6" i="4"/>
  <c r="A2" i="6"/>
  <c r="A3" i="6"/>
  <c r="A5" i="6"/>
  <c r="A6" i="6"/>
  <c r="A3" i="1"/>
  <c r="A6" i="1"/>
  <c r="A2" i="3"/>
  <c r="A3" i="3"/>
  <c r="A5" i="3"/>
  <c r="A6" i="3"/>
  <c r="A2" i="8"/>
  <c r="A3" i="8"/>
  <c r="A36" i="14"/>
  <c r="A37" i="14"/>
  <c r="A38" i="14"/>
  <c r="A39" i="14"/>
  <c r="A40" i="14"/>
  <c r="A43" i="14"/>
  <c r="A45" i="14"/>
  <c r="A46" i="14"/>
  <c r="A48" i="14"/>
  <c r="A50" i="14"/>
  <c r="A34" i="14"/>
  <c r="A8" i="14"/>
  <c r="A5" i="14"/>
  <c r="O78" i="9"/>
  <c r="O82" i="9"/>
  <c r="G20" i="8"/>
  <c r="E13" i="9"/>
  <c r="C64" i="9"/>
  <c r="C71" i="9" s="1"/>
  <c r="O79" i="9"/>
  <c r="Q14" i="8"/>
  <c r="R14" i="8"/>
  <c r="S14" i="8"/>
  <c r="Q13" i="8"/>
  <c r="R13" i="8"/>
  <c r="S13" i="8"/>
  <c r="Q16" i="8"/>
  <c r="D112" i="9"/>
  <c r="D32" i="3"/>
  <c r="N69" i="9"/>
  <c r="F13" i="3"/>
  <c r="G13" i="3"/>
  <c r="G17" i="22"/>
  <c r="K13" i="3"/>
  <c r="K17" i="22" s="1"/>
  <c r="D13" i="1"/>
  <c r="O86" i="9"/>
  <c r="B9" i="14"/>
  <c r="M13" i="1"/>
  <c r="K13" i="1"/>
  <c r="N14" i="1"/>
  <c r="N13" i="1"/>
  <c r="M14" i="1"/>
  <c r="L13" i="1"/>
  <c r="G13" i="1"/>
  <c r="F13" i="1"/>
  <c r="F24" i="1" s="1"/>
  <c r="I13" i="1"/>
  <c r="E13" i="1"/>
  <c r="J13" i="1"/>
  <c r="O13" i="1"/>
  <c r="O17" i="9"/>
  <c r="S53" i="9"/>
  <c r="E15" i="1"/>
  <c r="D64" i="9"/>
  <c r="V28" i="16"/>
  <c r="L13" i="3"/>
  <c r="L17" i="22" s="1"/>
  <c r="M13" i="3"/>
  <c r="C13" i="2"/>
  <c r="E64" i="9"/>
  <c r="F64" i="9"/>
  <c r="G64" i="9"/>
  <c r="H64" i="9"/>
  <c r="I64" i="9"/>
  <c r="K64" i="9"/>
  <c r="N64" i="9"/>
  <c r="J64" i="9"/>
  <c r="O60" i="9"/>
  <c r="R60" i="9"/>
  <c r="Q60" i="9"/>
  <c r="M13" i="19"/>
  <c r="O19" i="19"/>
  <c r="M64" i="9"/>
  <c r="D101" i="9"/>
  <c r="B29" i="14"/>
  <c r="E101" i="9"/>
  <c r="U59" i="16"/>
  <c r="F101" i="9"/>
  <c r="G101" i="9"/>
  <c r="H101" i="9"/>
  <c r="I101" i="9"/>
  <c r="J101" i="9"/>
  <c r="K101" i="9"/>
  <c r="L101" i="9"/>
  <c r="M101" i="9"/>
  <c r="O13" i="3"/>
  <c r="B41" i="14"/>
  <c r="M43" i="16"/>
  <c r="N43" i="16"/>
  <c r="B30" i="14"/>
  <c r="L21" i="16"/>
  <c r="V21" i="16"/>
  <c r="X21" i="16"/>
  <c r="B39" i="14"/>
  <c r="B20" i="14"/>
  <c r="V39" i="16"/>
  <c r="X39" i="16"/>
  <c r="B11" i="14"/>
  <c r="G21" i="16"/>
  <c r="G17" i="16"/>
  <c r="L19" i="16"/>
  <c r="V19" i="16"/>
  <c r="B10" i="14"/>
  <c r="R31" i="9"/>
  <c r="R49" i="9"/>
  <c r="B40" i="14"/>
  <c r="L20" i="16"/>
  <c r="V20" i="16"/>
  <c r="Q61" i="9"/>
  <c r="G20" i="16"/>
  <c r="R61" i="9"/>
  <c r="O59" i="9"/>
  <c r="B38" i="14"/>
  <c r="L64" i="9"/>
  <c r="Q13" i="4"/>
  <c r="R53" i="9"/>
  <c r="B31" i="14"/>
  <c r="R47" i="9"/>
  <c r="G44" i="16"/>
  <c r="L44" i="16" s="1"/>
  <c r="R95" i="9"/>
  <c r="R30" i="9"/>
  <c r="B24" i="14"/>
  <c r="G49" i="16"/>
  <c r="L49" i="16" s="1"/>
  <c r="G36" i="16"/>
  <c r="L36" i="16" s="1"/>
  <c r="V36" i="16" s="1"/>
  <c r="X36" i="16" s="1"/>
  <c r="Q62" i="9"/>
  <c r="G48" i="16"/>
  <c r="L48" i="16" s="1"/>
  <c r="Q21" i="22"/>
  <c r="Q13" i="22"/>
  <c r="Q29" i="22"/>
  <c r="I26" i="22"/>
  <c r="U29" i="16"/>
  <c r="K45" i="16"/>
  <c r="P18" i="22"/>
  <c r="T21" i="16"/>
  <c r="K30" i="16"/>
  <c r="T31" i="16"/>
  <c r="U33" i="16"/>
  <c r="U36" i="16"/>
  <c r="O85" i="9"/>
  <c r="P25" i="9"/>
  <c r="R17" i="9"/>
  <c r="T29" i="16"/>
  <c r="B16" i="14"/>
  <c r="G19" i="16"/>
  <c r="B15" i="14"/>
  <c r="R36" i="9"/>
  <c r="L17" i="16"/>
  <c r="B37" i="14"/>
  <c r="B43" i="14" s="1"/>
  <c r="Q58" i="9"/>
  <c r="Q64" i="9"/>
  <c r="R50" i="9"/>
  <c r="R29" i="9"/>
  <c r="B8" i="14"/>
  <c r="U16" i="16"/>
  <c r="B27" i="14"/>
  <c r="K41" i="16"/>
  <c r="B13" i="14"/>
  <c r="R45" i="9"/>
  <c r="B17" i="14"/>
  <c r="B23" i="14"/>
  <c r="N101" i="9"/>
  <c r="R99" i="9"/>
  <c r="O101" i="9"/>
  <c r="R101" i="9" s="1"/>
  <c r="F20" i="8"/>
  <c r="D13" i="9"/>
  <c r="D38" i="14"/>
  <c r="N16" i="22"/>
  <c r="Q16" i="22" s="1"/>
  <c r="E15" i="22"/>
  <c r="R67" i="16"/>
  <c r="R68" i="16"/>
  <c r="O41" i="9"/>
  <c r="R41" i="9"/>
  <c r="Q29" i="6"/>
  <c r="B19" i="14"/>
  <c r="E18" i="22"/>
  <c r="E19" i="22" s="1"/>
  <c r="F18" i="22"/>
  <c r="G18" i="22"/>
  <c r="K11" i="19"/>
  <c r="R11" i="19" s="1"/>
  <c r="J11" i="19"/>
  <c r="P11" i="19"/>
  <c r="M11" i="19"/>
  <c r="N11" i="19"/>
  <c r="N19" i="19"/>
  <c r="S11" i="19"/>
  <c r="Q11" i="19"/>
  <c r="B46" i="14"/>
  <c r="B48" i="14"/>
  <c r="S69" i="9"/>
  <c r="S58" i="9"/>
  <c r="S62" i="9"/>
  <c r="S49" i="9"/>
  <c r="R32" i="9"/>
  <c r="B22" i="14"/>
  <c r="G41" i="16"/>
  <c r="L41" i="16" s="1"/>
  <c r="V41" i="16" s="1"/>
  <c r="X41" i="16" s="1"/>
  <c r="R44" i="9"/>
  <c r="K37" i="16"/>
  <c r="U37" i="16"/>
  <c r="K40" i="16"/>
  <c r="V35" i="16"/>
  <c r="X35" i="16"/>
  <c r="M35" i="16"/>
  <c r="N35" i="16"/>
  <c r="K46" i="16"/>
  <c r="U46" i="16"/>
  <c r="U31" i="16"/>
  <c r="K34" i="16"/>
  <c r="U34" i="16"/>
  <c r="M41" i="16"/>
  <c r="N41" i="16"/>
  <c r="M34" i="16"/>
  <c r="N34" i="16"/>
  <c r="U44" i="16"/>
  <c r="K44" i="16"/>
  <c r="V34" i="16"/>
  <c r="X34" i="16"/>
  <c r="M32" i="16"/>
  <c r="H18" i="22"/>
  <c r="M17" i="22"/>
  <c r="N13" i="3"/>
  <c r="N17" i="22"/>
  <c r="F17" i="22"/>
  <c r="Q31" i="22"/>
  <c r="C13" i="3"/>
  <c r="C32" i="3"/>
  <c r="G15" i="1"/>
  <c r="G24" i="1"/>
  <c r="C13" i="1"/>
  <c r="C24" i="1"/>
  <c r="G25" i="1" s="1"/>
  <c r="S56" i="9"/>
  <c r="S61" i="9"/>
  <c r="H20" i="8"/>
  <c r="F13" i="9"/>
  <c r="C13" i="6"/>
  <c r="L10" i="16"/>
  <c r="I15" i="8"/>
  <c r="O17" i="22"/>
  <c r="C24" i="2"/>
  <c r="D14" i="2"/>
  <c r="C26" i="4"/>
  <c r="D14" i="4"/>
  <c r="S35" i="9"/>
  <c r="S48" i="9"/>
  <c r="S43" i="9"/>
  <c r="S42" i="9"/>
  <c r="S52" i="9"/>
  <c r="S57" i="9"/>
  <c r="S64" i="9"/>
  <c r="S37" i="9"/>
  <c r="S59" i="9"/>
  <c r="S30" i="9"/>
  <c r="S45" i="9"/>
  <c r="S60" i="9"/>
  <c r="S46" i="9"/>
  <c r="S50" i="9"/>
  <c r="S67" i="9"/>
  <c r="S65" i="9"/>
  <c r="S44" i="9"/>
  <c r="S29" i="9"/>
  <c r="S31" i="9"/>
  <c r="S34" i="9"/>
  <c r="S66" i="9"/>
  <c r="S40" i="9"/>
  <c r="S55" i="9"/>
  <c r="S41" i="9"/>
  <c r="S68" i="9"/>
  <c r="S47" i="9"/>
  <c r="S33" i="9"/>
  <c r="S51" i="9"/>
  <c r="S39" i="9"/>
  <c r="S32" i="9"/>
  <c r="S36" i="9"/>
  <c r="R13" i="4"/>
  <c r="F112" i="9"/>
  <c r="F15" i="22"/>
  <c r="Q14" i="22"/>
  <c r="D19" i="19"/>
  <c r="E24" i="1"/>
  <c r="E25" i="1"/>
  <c r="P13" i="1"/>
  <c r="P14" i="1"/>
  <c r="D24" i="1"/>
  <c r="D25" i="1"/>
  <c r="I27" i="6"/>
  <c r="G20" i="9"/>
  <c r="I18" i="22"/>
  <c r="Q17" i="22"/>
  <c r="Q13" i="3"/>
  <c r="C27" i="6"/>
  <c r="I20" i="8"/>
  <c r="G13" i="9"/>
  <c r="J15" i="8"/>
  <c r="K15" i="8"/>
  <c r="H15" i="1"/>
  <c r="H24" i="1"/>
  <c r="H25" i="1"/>
  <c r="I30" i="22"/>
  <c r="D13" i="2"/>
  <c r="D24" i="2"/>
  <c r="D13" i="4"/>
  <c r="D26" i="4"/>
  <c r="J18" i="22"/>
  <c r="D46" i="14"/>
  <c r="D48" i="14"/>
  <c r="R13" i="3"/>
  <c r="I15" i="1"/>
  <c r="I24" i="1"/>
  <c r="I25" i="1"/>
  <c r="J30" i="22"/>
  <c r="J20" i="8"/>
  <c r="H13" i="9"/>
  <c r="K18" i="22"/>
  <c r="L18" i="22"/>
  <c r="L27" i="6"/>
  <c r="J20" i="9"/>
  <c r="M27" i="6"/>
  <c r="K20" i="9"/>
  <c r="M18" i="22"/>
  <c r="N18" i="22"/>
  <c r="N27" i="6"/>
  <c r="L20" i="9"/>
  <c r="Q13" i="6"/>
  <c r="O27" i="6"/>
  <c r="M20" i="9"/>
  <c r="O18" i="22"/>
  <c r="O21" i="9"/>
  <c r="R21" i="9"/>
  <c r="Q71" i="9"/>
  <c r="Q73" i="9"/>
  <c r="P103" i="9"/>
  <c r="Q34" i="3"/>
  <c r="L57" i="16"/>
  <c r="M57" i="16"/>
  <c r="M59" i="16"/>
  <c r="R69" i="9"/>
  <c r="R43" i="9"/>
  <c r="G40" i="16"/>
  <c r="L40" i="16" s="1"/>
  <c r="V40" i="16"/>
  <c r="X40" i="16"/>
  <c r="R59" i="9"/>
  <c r="O64" i="9"/>
  <c r="L18" i="16"/>
  <c r="V18" i="16"/>
  <c r="X18" i="16"/>
  <c r="G18" i="16"/>
  <c r="B18" i="14"/>
  <c r="V37" i="16"/>
  <c r="X37" i="16"/>
  <c r="R40" i="9"/>
  <c r="O33" i="9"/>
  <c r="F19" i="22"/>
  <c r="K20" i="8"/>
  <c r="I13" i="9"/>
  <c r="J15" i="1"/>
  <c r="J24" i="1"/>
  <c r="J25" i="1"/>
  <c r="L15" i="8"/>
  <c r="K30" i="22"/>
  <c r="I35" i="22"/>
  <c r="J35" i="22"/>
  <c r="H35" i="22"/>
  <c r="K35" i="22"/>
  <c r="R13" i="6"/>
  <c r="M39" i="16"/>
  <c r="N39" i="16"/>
  <c r="Y18" i="16"/>
  <c r="Z18" i="16"/>
  <c r="AB18" i="16"/>
  <c r="K27" i="16"/>
  <c r="M20" i="16"/>
  <c r="K28" i="16"/>
  <c r="U38" i="16"/>
  <c r="K32" i="16"/>
  <c r="M19" i="16"/>
  <c r="U43" i="16"/>
  <c r="G23" i="16"/>
  <c r="K49" i="16"/>
  <c r="V29" i="16"/>
  <c r="X29" i="16"/>
  <c r="O17" i="16"/>
  <c r="O19" i="16"/>
  <c r="O26" i="16"/>
  <c r="L23" i="16"/>
  <c r="Y20" i="16"/>
  <c r="U26" i="16"/>
  <c r="E34" i="22"/>
  <c r="K39" i="16"/>
  <c r="U50" i="16"/>
  <c r="V49" i="16"/>
  <c r="X49" i="16"/>
  <c r="U48" i="16"/>
  <c r="U35" i="16"/>
  <c r="M21" i="16"/>
  <c r="N21" i="16"/>
  <c r="M17" i="16"/>
  <c r="V17" i="16"/>
  <c r="X17" i="16"/>
  <c r="Z17" i="16"/>
  <c r="AA17" i="16"/>
  <c r="K27" i="6"/>
  <c r="I20" i="9"/>
  <c r="J27" i="6"/>
  <c r="H20" i="9"/>
  <c r="H27" i="6"/>
  <c r="F20" i="9"/>
  <c r="Y21" i="16"/>
  <c r="N19" i="16"/>
  <c r="V43" i="16"/>
  <c r="X43" i="16"/>
  <c r="M18" i="16"/>
  <c r="N18" i="16"/>
  <c r="V48" i="16"/>
  <c r="X48" i="16"/>
  <c r="W20" i="16"/>
  <c r="W23" i="16"/>
  <c r="X19" i="16"/>
  <c r="E38" i="14"/>
  <c r="F38" i="14"/>
  <c r="G38" i="14"/>
  <c r="H38" i="14"/>
  <c r="X28" i="16"/>
  <c r="N32" i="16"/>
  <c r="K47" i="16"/>
  <c r="E26" i="22"/>
  <c r="M36" i="16"/>
  <c r="N36" i="16"/>
  <c r="N29" i="16"/>
  <c r="Y19" i="16"/>
  <c r="M28" i="16"/>
  <c r="N28" i="16"/>
  <c r="N20" i="16"/>
  <c r="M44" i="16"/>
  <c r="N44" i="16"/>
  <c r="U42" i="16"/>
  <c r="V44" i="16"/>
  <c r="X44" i="16"/>
  <c r="F26" i="22"/>
  <c r="L59" i="16"/>
  <c r="V57" i="16"/>
  <c r="V59" i="16"/>
  <c r="N57" i="16"/>
  <c r="M40" i="16"/>
  <c r="N40" i="16"/>
  <c r="Q28" i="4"/>
  <c r="R64" i="9"/>
  <c r="M37" i="16"/>
  <c r="N37" i="16"/>
  <c r="R33" i="9"/>
  <c r="B12" i="14"/>
  <c r="G15" i="22"/>
  <c r="M15" i="8"/>
  <c r="L20" i="8"/>
  <c r="L30" i="22"/>
  <c r="K15" i="1"/>
  <c r="AB17" i="16"/>
  <c r="X57" i="16"/>
  <c r="X59" i="16"/>
  <c r="Y27" i="16"/>
  <c r="Y49" i="16"/>
  <c r="Z49" i="16" s="1"/>
  <c r="AA49" i="16" s="1"/>
  <c r="AB49" i="16" s="1"/>
  <c r="E30" i="14" s="1"/>
  <c r="Z21" i="16"/>
  <c r="AA21" i="16"/>
  <c r="AB21" i="16"/>
  <c r="E41" i="14"/>
  <c r="Y26" i="16"/>
  <c r="Z19" i="16"/>
  <c r="AA19" i="16"/>
  <c r="AB19" i="16"/>
  <c r="E39" i="14"/>
  <c r="V23" i="16"/>
  <c r="O21" i="16"/>
  <c r="P21" i="16" s="1"/>
  <c r="Q21" i="16" s="1"/>
  <c r="R21" i="16" s="1"/>
  <c r="D41" i="14"/>
  <c r="O20" i="16"/>
  <c r="P20" i="16" s="1"/>
  <c r="Q20" i="16" s="1"/>
  <c r="R20" i="16" s="1"/>
  <c r="O27" i="16"/>
  <c r="O34" i="16"/>
  <c r="P34" i="16" s="1"/>
  <c r="Q34" i="16" s="1"/>
  <c r="R34" i="16" s="1"/>
  <c r="D15" i="14" s="1"/>
  <c r="O18" i="16"/>
  <c r="P18" i="16" s="1"/>
  <c r="Q18" i="16" s="1"/>
  <c r="R18" i="16" s="1"/>
  <c r="Y35" i="16"/>
  <c r="Q34" i="22"/>
  <c r="E35" i="22"/>
  <c r="O46" i="16"/>
  <c r="O30" i="16"/>
  <c r="O38" i="16"/>
  <c r="O45" i="16"/>
  <c r="O39" i="16"/>
  <c r="P39" i="16" s="1"/>
  <c r="Q39" i="16" s="1"/>
  <c r="R39" i="16" s="1"/>
  <c r="D20" i="14" s="1"/>
  <c r="Y45" i="16"/>
  <c r="Y34" i="16"/>
  <c r="Z34" i="16" s="1"/>
  <c r="AA34" i="16" s="1"/>
  <c r="AB34" i="16" s="1"/>
  <c r="E15" i="14" s="1"/>
  <c r="Y36" i="16"/>
  <c r="Z36" i="16" s="1"/>
  <c r="AA36" i="16" s="1"/>
  <c r="AB36" i="16" s="1"/>
  <c r="E17" i="14" s="1"/>
  <c r="Y29" i="16"/>
  <c r="Z29" i="16" s="1"/>
  <c r="AA29" i="16" s="1"/>
  <c r="AB29" i="16" s="1"/>
  <c r="E10" i="14" s="1"/>
  <c r="Y30" i="16"/>
  <c r="Y46" i="16"/>
  <c r="M23" i="16"/>
  <c r="N17" i="16"/>
  <c r="N23" i="16"/>
  <c r="E37" i="14"/>
  <c r="X20" i="16"/>
  <c r="Z20" i="16"/>
  <c r="AA20" i="16"/>
  <c r="AB20" i="16"/>
  <c r="N59" i="16"/>
  <c r="G19" i="22"/>
  <c r="H15" i="22"/>
  <c r="H19" i="22"/>
  <c r="K24" i="1"/>
  <c r="K25" i="1"/>
  <c r="J13" i="9"/>
  <c r="L15" i="1"/>
  <c r="L24" i="1"/>
  <c r="L25" i="1"/>
  <c r="M20" i="8"/>
  <c r="K13" i="9"/>
  <c r="N15" i="8"/>
  <c r="M30" i="22"/>
  <c r="M35" i="22"/>
  <c r="L35" i="22"/>
  <c r="O28" i="16"/>
  <c r="P28" i="16" s="1"/>
  <c r="Q28" i="16" s="1"/>
  <c r="R28" i="16" s="1"/>
  <c r="D9" i="14" s="1"/>
  <c r="Z35" i="16"/>
  <c r="AA35" i="16"/>
  <c r="AB35" i="16"/>
  <c r="E16" i="14"/>
  <c r="Y44" i="16"/>
  <c r="Z44" i="16" s="1"/>
  <c r="AA44" i="16" s="1"/>
  <c r="AB44" i="16" s="1"/>
  <c r="E25" i="14" s="1"/>
  <c r="Y39" i="16"/>
  <c r="Z39" i="16" s="1"/>
  <c r="AA39" i="16" s="1"/>
  <c r="AB39" i="16" s="1"/>
  <c r="E20" i="14" s="1"/>
  <c r="Y38" i="16"/>
  <c r="Y28" i="16"/>
  <c r="Z28" i="16" s="1"/>
  <c r="AA28" i="16" s="1"/>
  <c r="AB28" i="16" s="1"/>
  <c r="E9" i="14" s="1"/>
  <c r="Y48" i="16"/>
  <c r="Z48" i="16"/>
  <c r="AA48" i="16"/>
  <c r="AB48" i="16"/>
  <c r="E29" i="14"/>
  <c r="Y43" i="16"/>
  <c r="Z43" i="16" s="1"/>
  <c r="AA43" i="16" s="1"/>
  <c r="AB43" i="16" s="1"/>
  <c r="E24" i="14" s="1"/>
  <c r="Y33" i="16"/>
  <c r="Y47" i="16"/>
  <c r="Z47" i="16" s="1"/>
  <c r="AA47" i="16" s="1"/>
  <c r="AB47" i="16" s="1"/>
  <c r="E28" i="14" s="1"/>
  <c r="Y50" i="16"/>
  <c r="Y31" i="16"/>
  <c r="Y37" i="16"/>
  <c r="Z37" i="16" s="1"/>
  <c r="AA37" i="16" s="1"/>
  <c r="AB37" i="16" s="1"/>
  <c r="E18" i="14" s="1"/>
  <c r="F41" i="14"/>
  <c r="G41" i="14"/>
  <c r="H41" i="14"/>
  <c r="AA23" i="16"/>
  <c r="Y32" i="16"/>
  <c r="Z32" i="16" s="1"/>
  <c r="AA32" i="16" s="1"/>
  <c r="AB32" i="16" s="1"/>
  <c r="E13" i="14" s="1"/>
  <c r="O43" i="16"/>
  <c r="P43" i="16" s="1"/>
  <c r="Q43" i="16" s="1"/>
  <c r="R43" i="16" s="1"/>
  <c r="D24" i="14" s="1"/>
  <c r="O48" i="16"/>
  <c r="O47" i="16"/>
  <c r="O36" i="16"/>
  <c r="P36" i="16" s="1"/>
  <c r="Q36" i="16" s="1"/>
  <c r="R36" i="16" s="1"/>
  <c r="D17" i="14" s="1"/>
  <c r="F17" i="14" s="1"/>
  <c r="G17" i="14" s="1"/>
  <c r="H17" i="14" s="1"/>
  <c r="O37" i="16"/>
  <c r="P37" i="16" s="1"/>
  <c r="Q37" i="16" s="1"/>
  <c r="R37" i="16" s="1"/>
  <c r="D18" i="14" s="1"/>
  <c r="F18" i="14" s="1"/>
  <c r="G18" i="14" s="1"/>
  <c r="H18" i="14" s="1"/>
  <c r="O49" i="16"/>
  <c r="O50" i="16"/>
  <c r="O57" i="16"/>
  <c r="P57" i="16" s="1"/>
  <c r="O41" i="16"/>
  <c r="P41" i="16" s="1"/>
  <c r="Q41" i="16" s="1"/>
  <c r="R41" i="16" s="1"/>
  <c r="D22" i="14" s="1"/>
  <c r="O42" i="16"/>
  <c r="O29" i="16"/>
  <c r="P29" i="16" s="1"/>
  <c r="Q29" i="16" s="1"/>
  <c r="R29" i="16" s="1"/>
  <c r="D10" i="14" s="1"/>
  <c r="O31" i="16"/>
  <c r="P31" i="16" s="1"/>
  <c r="Q31" i="16" s="1"/>
  <c r="R31" i="16" s="1"/>
  <c r="D12" i="14" s="1"/>
  <c r="O35" i="16"/>
  <c r="P35" i="16" s="1"/>
  <c r="Q35" i="16" s="1"/>
  <c r="R35" i="16" s="1"/>
  <c r="D16" i="14" s="1"/>
  <c r="F16" i="14" s="1"/>
  <c r="G16" i="14" s="1"/>
  <c r="H16" i="14" s="1"/>
  <c r="O44" i="16"/>
  <c r="P44" i="16" s="1"/>
  <c r="Q44" i="16" s="1"/>
  <c r="R44" i="16" s="1"/>
  <c r="D25" i="14" s="1"/>
  <c r="O33" i="16"/>
  <c r="O32" i="16"/>
  <c r="P32" i="16" s="1"/>
  <c r="Q32" i="16" s="1"/>
  <c r="R32" i="16" s="1"/>
  <c r="D13" i="14" s="1"/>
  <c r="I13" i="19"/>
  <c r="J13" i="19"/>
  <c r="O40" i="16"/>
  <c r="P40" i="16" s="1"/>
  <c r="Q40" i="16" s="1"/>
  <c r="R40" i="16" s="1"/>
  <c r="D21" i="14" s="1"/>
  <c r="X23" i="16"/>
  <c r="G26" i="22"/>
  <c r="G27" i="6"/>
  <c r="E20" i="9"/>
  <c r="O20" i="9"/>
  <c r="R20" i="9"/>
  <c r="Q14" i="6"/>
  <c r="Q27" i="6" s="1"/>
  <c r="Q30" i="6" s="1"/>
  <c r="R14" i="6"/>
  <c r="I15" i="22"/>
  <c r="I19" i="22"/>
  <c r="O15" i="8"/>
  <c r="M15" i="1"/>
  <c r="M24" i="1"/>
  <c r="M25" i="1"/>
  <c r="N30" i="22"/>
  <c r="N20" i="8"/>
  <c r="L13" i="9"/>
  <c r="Y40" i="16"/>
  <c r="Z40" i="16" s="1"/>
  <c r="AA40" i="16" s="1"/>
  <c r="AB40" i="16" s="1"/>
  <c r="E21" i="14" s="1"/>
  <c r="Y57" i="16"/>
  <c r="D40" i="14"/>
  <c r="Z23" i="16"/>
  <c r="Q26" i="22"/>
  <c r="J15" i="22"/>
  <c r="N35" i="22"/>
  <c r="P15" i="8"/>
  <c r="N15" i="1"/>
  <c r="O30" i="22"/>
  <c r="O35" i="22"/>
  <c r="O20" i="8"/>
  <c r="Q15" i="8"/>
  <c r="Z57" i="16"/>
  <c r="Y41" i="16"/>
  <c r="Z41" i="16" s="1"/>
  <c r="AA41" i="16" s="1"/>
  <c r="AB41" i="16" s="1"/>
  <c r="E22" i="14" s="1"/>
  <c r="F40" i="14"/>
  <c r="E40" i="14"/>
  <c r="E43" i="14"/>
  <c r="AB23" i="16"/>
  <c r="K15" i="22"/>
  <c r="K19" i="22"/>
  <c r="J19" i="22"/>
  <c r="M13" i="9"/>
  <c r="O15" i="1"/>
  <c r="O24" i="1"/>
  <c r="O25" i="1"/>
  <c r="P20" i="8"/>
  <c r="N13" i="9"/>
  <c r="P30" i="22"/>
  <c r="P35" i="22"/>
  <c r="Q35" i="22"/>
  <c r="N24" i="1"/>
  <c r="N25" i="1"/>
  <c r="P15" i="1"/>
  <c r="Q30" i="22"/>
  <c r="Y42" i="16"/>
  <c r="AB57" i="16"/>
  <c r="Z59" i="16"/>
  <c r="G40" i="14"/>
  <c r="AC23" i="16"/>
  <c r="F12" i="19"/>
  <c r="F19" i="19"/>
  <c r="K14" i="4"/>
  <c r="L14" i="4"/>
  <c r="M14" i="4"/>
  <c r="N14" i="4"/>
  <c r="O14" i="4"/>
  <c r="P14" i="4"/>
  <c r="E14" i="4"/>
  <c r="F14" i="4"/>
  <c r="G14" i="4"/>
  <c r="H14" i="4"/>
  <c r="I14" i="4"/>
  <c r="J14" i="4"/>
  <c r="L15" i="22"/>
  <c r="Q20" i="8"/>
  <c r="O13" i="9"/>
  <c r="E46" i="14"/>
  <c r="AB59" i="16"/>
  <c r="H40" i="14"/>
  <c r="E24" i="22"/>
  <c r="Q14" i="4"/>
  <c r="E26" i="4"/>
  <c r="C18" i="9"/>
  <c r="P26" i="4"/>
  <c r="N18" i="9"/>
  <c r="P24" i="22"/>
  <c r="I26" i="4"/>
  <c r="G18" i="9"/>
  <c r="I24" i="22"/>
  <c r="O24" i="22"/>
  <c r="O26" i="4"/>
  <c r="M18" i="9"/>
  <c r="G24" i="22"/>
  <c r="G26" i="4"/>
  <c r="E18" i="9"/>
  <c r="L24" i="22"/>
  <c r="L26" i="4"/>
  <c r="J18" i="9"/>
  <c r="F24" i="22"/>
  <c r="F26" i="4"/>
  <c r="D18" i="9"/>
  <c r="N26" i="4"/>
  <c r="L18" i="9"/>
  <c r="N24" i="22"/>
  <c r="M24" i="22"/>
  <c r="M26" i="4"/>
  <c r="K18" i="9"/>
  <c r="K24" i="22"/>
  <c r="K26" i="4"/>
  <c r="I18" i="9"/>
  <c r="H24" i="22"/>
  <c r="H26" i="4"/>
  <c r="F18" i="9"/>
  <c r="J26" i="4"/>
  <c r="H18" i="9"/>
  <c r="J24" i="22"/>
  <c r="M15" i="22"/>
  <c r="M19" i="22"/>
  <c r="L19" i="22"/>
  <c r="R13" i="9"/>
  <c r="AC59" i="16"/>
  <c r="H12" i="19"/>
  <c r="E48" i="14"/>
  <c r="F46" i="14"/>
  <c r="L14" i="3"/>
  <c r="M14" i="3"/>
  <c r="N14" i="3"/>
  <c r="O14" i="3"/>
  <c r="P14" i="3"/>
  <c r="Q14" i="3"/>
  <c r="F14" i="3"/>
  <c r="E14" i="3"/>
  <c r="G14" i="3"/>
  <c r="H14" i="3"/>
  <c r="I14" i="3"/>
  <c r="K14" i="3"/>
  <c r="J14" i="3"/>
  <c r="Q24" i="22"/>
  <c r="O18" i="9"/>
  <c r="R18" i="9"/>
  <c r="R14" i="4"/>
  <c r="Q26" i="4"/>
  <c r="Q29" i="4"/>
  <c r="N15" i="22"/>
  <c r="N19" i="22"/>
  <c r="G46" i="14"/>
  <c r="F48" i="14"/>
  <c r="J25" i="22"/>
  <c r="J32" i="3"/>
  <c r="H19" i="9"/>
  <c r="K25" i="22"/>
  <c r="K32" i="3"/>
  <c r="I19" i="9"/>
  <c r="I25" i="22"/>
  <c r="I32" i="3"/>
  <c r="G19" i="9"/>
  <c r="H25" i="22"/>
  <c r="H32" i="3"/>
  <c r="F19" i="9"/>
  <c r="G25" i="22"/>
  <c r="G32" i="3"/>
  <c r="E19" i="9"/>
  <c r="E32" i="3"/>
  <c r="C19" i="9"/>
  <c r="E25" i="22"/>
  <c r="F25" i="22"/>
  <c r="F32" i="3"/>
  <c r="D19" i="9"/>
  <c r="Q32" i="3"/>
  <c r="Q35" i="3"/>
  <c r="R14" i="3"/>
  <c r="E112" i="9"/>
  <c r="P32" i="3"/>
  <c r="N19" i="9"/>
  <c r="P25" i="22"/>
  <c r="O32" i="3"/>
  <c r="M19" i="9"/>
  <c r="O25" i="22"/>
  <c r="N32" i="3"/>
  <c r="L19" i="9"/>
  <c r="N25" i="22"/>
  <c r="M32" i="3"/>
  <c r="K19" i="9"/>
  <c r="M25" i="22"/>
  <c r="L32" i="3"/>
  <c r="J19" i="9"/>
  <c r="L25" i="22"/>
  <c r="O15" i="22"/>
  <c r="O19" i="22"/>
  <c r="G48" i="14"/>
  <c r="H46" i="14"/>
  <c r="H48" i="14"/>
  <c r="O19" i="9"/>
  <c r="R19" i="9"/>
  <c r="Q25" i="22"/>
  <c r="R13" i="2"/>
  <c r="P15" i="22"/>
  <c r="Q13" i="2"/>
  <c r="P19" i="22"/>
  <c r="Q15" i="22"/>
  <c r="Q19" i="22"/>
  <c r="F25" i="14"/>
  <c r="G25" i="14"/>
  <c r="H25" i="14"/>
  <c r="M38" i="16"/>
  <c r="N38" i="16"/>
  <c r="P38" i="16"/>
  <c r="Q38" i="16"/>
  <c r="R38" i="16"/>
  <c r="D19" i="14"/>
  <c r="M50" i="16"/>
  <c r="AF20" i="16"/>
  <c r="W38" i="16"/>
  <c r="X38" i="16" s="1"/>
  <c r="Z38" i="16" s="1"/>
  <c r="AA38" i="16" s="1"/>
  <c r="AB38" i="16" s="1"/>
  <c r="E19" i="14" s="1"/>
  <c r="F19" i="14" s="1"/>
  <c r="G19" i="14" s="1"/>
  <c r="H19" i="14" s="1"/>
  <c r="V42" i="16"/>
  <c r="M42" i="16"/>
  <c r="N42" i="16"/>
  <c r="P42" i="16"/>
  <c r="Q42" i="16"/>
  <c r="R42" i="16"/>
  <c r="D23" i="14"/>
  <c r="V31" i="16"/>
  <c r="X31" i="16"/>
  <c r="Z31" i="16"/>
  <c r="AA31" i="16"/>
  <c r="AB31" i="16"/>
  <c r="E12" i="14"/>
  <c r="F12" i="14"/>
  <c r="G12" i="14"/>
  <c r="H12" i="14"/>
  <c r="F24" i="14"/>
  <c r="G24" i="14"/>
  <c r="H24" i="14"/>
  <c r="F15" i="14"/>
  <c r="G15" i="14"/>
  <c r="H15" i="14"/>
  <c r="M47" i="16"/>
  <c r="N47" i="16"/>
  <c r="P47" i="16"/>
  <c r="Q47" i="16"/>
  <c r="R47" i="16"/>
  <c r="D28" i="14"/>
  <c r="F28" i="14"/>
  <c r="G28" i="14"/>
  <c r="H28" i="14"/>
  <c r="F13" i="14"/>
  <c r="G13" i="14"/>
  <c r="H13" i="14"/>
  <c r="M30" i="16"/>
  <c r="N30" i="16"/>
  <c r="P30" i="16"/>
  <c r="Q30" i="16"/>
  <c r="R30" i="16"/>
  <c r="D11" i="14"/>
  <c r="V30" i="16"/>
  <c r="X30" i="16"/>
  <c r="Z30" i="16"/>
  <c r="AA30" i="16"/>
  <c r="AB30" i="16"/>
  <c r="E11" i="14"/>
  <c r="F11" i="14" s="1"/>
  <c r="G11" i="14" s="1"/>
  <c r="H11" i="14" s="1"/>
  <c r="F10" i="14"/>
  <c r="G10" i="14"/>
  <c r="H10" i="14"/>
  <c r="F9" i="14"/>
  <c r="G9" i="14"/>
  <c r="H9" i="14"/>
  <c r="M27" i="16"/>
  <c r="V27" i="16"/>
  <c r="X27" i="16"/>
  <c r="Z27" i="16"/>
  <c r="AA27" i="16"/>
  <c r="AB27" i="16"/>
  <c r="E8" i="14"/>
  <c r="N27" i="16"/>
  <c r="P27" i="16"/>
  <c r="Q27" i="16"/>
  <c r="R27" i="16"/>
  <c r="D8" i="14"/>
  <c r="F8" i="14"/>
  <c r="G8" i="14"/>
  <c r="F28" i="9"/>
  <c r="W42" i="16"/>
  <c r="W53" i="16"/>
  <c r="W61" i="16"/>
  <c r="X42" i="16"/>
  <c r="Z42" i="16"/>
  <c r="AA42" i="16"/>
  <c r="AB42" i="16"/>
  <c r="E23" i="14"/>
  <c r="F23" i="14"/>
  <c r="G23" i="14"/>
  <c r="H8" i="14"/>
  <c r="G28" i="9"/>
  <c r="H23" i="14"/>
  <c r="H28" i="9"/>
  <c r="I28" i="9"/>
  <c r="J28" i="9"/>
  <c r="K28" i="9"/>
  <c r="L28" i="9"/>
  <c r="M28" i="9"/>
  <c r="N28" i="9"/>
  <c r="O28" i="9"/>
  <c r="G26" i="16" s="1"/>
  <c r="L26" i="16" s="1"/>
  <c r="R28" i="9"/>
  <c r="B7" i="14"/>
  <c r="Z26" i="16"/>
  <c r="AA26" i="16"/>
  <c r="AB26" i="16"/>
  <c r="E7" i="14"/>
  <c r="F22" i="14"/>
  <c r="G22" i="14"/>
  <c r="H22" i="14"/>
  <c r="E48" i="9"/>
  <c r="M33" i="16"/>
  <c r="N33" i="16"/>
  <c r="P33" i="16"/>
  <c r="Q33" i="16"/>
  <c r="R33" i="16"/>
  <c r="D14" i="14"/>
  <c r="V33" i="16"/>
  <c r="X33" i="16"/>
  <c r="Z33" i="16"/>
  <c r="AA33" i="16"/>
  <c r="AB33" i="16"/>
  <c r="E14" i="14"/>
  <c r="N50" i="16"/>
  <c r="P50" i="16"/>
  <c r="Q50" i="16"/>
  <c r="R50" i="16"/>
  <c r="D31" i="14"/>
  <c r="V50" i="16"/>
  <c r="X50" i="16"/>
  <c r="Z50" i="16"/>
  <c r="AA50" i="16"/>
  <c r="AB50" i="16"/>
  <c r="E31" i="14"/>
  <c r="F31" i="14"/>
  <c r="G31" i="14"/>
  <c r="H31" i="14"/>
  <c r="M26" i="16"/>
  <c r="V46" i="16"/>
  <c r="X46" i="16"/>
  <c r="N46" i="16"/>
  <c r="P46" i="16"/>
  <c r="Q46" i="16"/>
  <c r="R46" i="16"/>
  <c r="D27" i="14"/>
  <c r="V26" i="16"/>
  <c r="E55" i="9"/>
  <c r="E71" i="9"/>
  <c r="F48" i="9"/>
  <c r="F14" i="14"/>
  <c r="G14" i="14"/>
  <c r="H14" i="14"/>
  <c r="N26" i="16"/>
  <c r="P26" i="16"/>
  <c r="Z46" i="16"/>
  <c r="F55" i="9"/>
  <c r="F71" i="9"/>
  <c r="G48" i="9"/>
  <c r="AA46" i="16"/>
  <c r="Q26" i="16"/>
  <c r="G55" i="9"/>
  <c r="G71" i="9"/>
  <c r="H48" i="9"/>
  <c r="R26" i="16"/>
  <c r="AB46" i="16"/>
  <c r="I48" i="9"/>
  <c r="H55" i="9"/>
  <c r="H71" i="9"/>
  <c r="E27" i="14"/>
  <c r="D7" i="14"/>
  <c r="J48" i="9"/>
  <c r="I55" i="9"/>
  <c r="I71" i="9"/>
  <c r="F7" i="14"/>
  <c r="F27" i="14"/>
  <c r="G27" i="14"/>
  <c r="K48" i="9"/>
  <c r="J55" i="9"/>
  <c r="J71" i="9"/>
  <c r="H27" i="14"/>
  <c r="G7" i="14"/>
  <c r="H7" i="14"/>
  <c r="L48" i="9"/>
  <c r="K55" i="9"/>
  <c r="K71" i="9"/>
  <c r="L55" i="9"/>
  <c r="L71" i="9"/>
  <c r="M48" i="9"/>
  <c r="M55" i="9"/>
  <c r="M71" i="9"/>
  <c r="N48" i="9"/>
  <c r="N55" i="9"/>
  <c r="N71" i="9"/>
  <c r="O48" i="9"/>
  <c r="G45" i="16"/>
  <c r="R48" i="9"/>
  <c r="B26" i="14"/>
  <c r="B34" i="14"/>
  <c r="B50" i="14"/>
  <c r="O55" i="9"/>
  <c r="Q26" i="2"/>
  <c r="R55" i="9"/>
  <c r="O71" i="9"/>
  <c r="G53" i="16"/>
  <c r="G61" i="16"/>
  <c r="L45" i="16"/>
  <c r="V45" i="16"/>
  <c r="L53" i="16"/>
  <c r="L61" i="16"/>
  <c r="M45" i="16"/>
  <c r="G63" i="16"/>
  <c r="G64" i="16"/>
  <c r="V53" i="16"/>
  <c r="V61" i="16"/>
  <c r="X45" i="16"/>
  <c r="N45" i="16"/>
  <c r="P45" i="16"/>
  <c r="Z45" i="16"/>
  <c r="X53" i="16"/>
  <c r="X61" i="16"/>
  <c r="AA45" i="16"/>
  <c r="Z53" i="16"/>
  <c r="Z61" i="16"/>
  <c r="Q45" i="16"/>
  <c r="R45" i="16"/>
  <c r="AA53" i="16"/>
  <c r="AA61" i="16"/>
  <c r="AB45" i="16"/>
  <c r="AB53" i="16"/>
  <c r="AB64" i="16"/>
  <c r="E26" i="14"/>
  <c r="D26" i="14"/>
  <c r="F26" i="14"/>
  <c r="AB61" i="16"/>
  <c r="AC53" i="16"/>
  <c r="AB63" i="16"/>
  <c r="AB66" i="16"/>
  <c r="G26" i="14"/>
  <c r="H26" i="14"/>
  <c r="AB69" i="16"/>
  <c r="E33" i="14"/>
  <c r="E34" i="14"/>
  <c r="E50" i="14"/>
  <c r="E12" i="19"/>
  <c r="AB67" i="16"/>
  <c r="I14" i="2"/>
  <c r="N14" i="2"/>
  <c r="O14" i="2"/>
  <c r="J14" i="2"/>
  <c r="E19" i="19"/>
  <c r="J12" i="19"/>
  <c r="J19" i="19"/>
  <c r="K14" i="2"/>
  <c r="F14" i="2"/>
  <c r="H14" i="2"/>
  <c r="P14" i="2"/>
  <c r="E14" i="2"/>
  <c r="K12" i="19"/>
  <c r="L14" i="2"/>
  <c r="M14" i="2"/>
  <c r="G14" i="2"/>
  <c r="L23" i="22"/>
  <c r="L27" i="22"/>
  <c r="L37" i="22"/>
  <c r="L40" i="22"/>
  <c r="J15" i="9"/>
  <c r="J80" i="9"/>
  <c r="L24" i="2"/>
  <c r="J14" i="9"/>
  <c r="K24" i="2"/>
  <c r="I14" i="9"/>
  <c r="K23" i="22"/>
  <c r="K27" i="22"/>
  <c r="K37" i="22"/>
  <c r="K40" i="22"/>
  <c r="I15" i="9"/>
  <c r="I80" i="9"/>
  <c r="G23" i="22"/>
  <c r="G27" i="22"/>
  <c r="G37" i="22"/>
  <c r="G40" i="22"/>
  <c r="E15" i="9"/>
  <c r="E80" i="9"/>
  <c r="G24" i="2"/>
  <c r="E14" i="9"/>
  <c r="M23" i="22"/>
  <c r="M27" i="22"/>
  <c r="M37" i="22"/>
  <c r="M40" i="22"/>
  <c r="K15" i="9"/>
  <c r="K80" i="9"/>
  <c r="M24" i="2"/>
  <c r="K14" i="9"/>
  <c r="M12" i="19"/>
  <c r="R12" i="19"/>
  <c r="S12" i="19"/>
  <c r="N12" i="19"/>
  <c r="P12" i="19"/>
  <c r="K19" i="19"/>
  <c r="M19" i="19"/>
  <c r="Q14" i="2"/>
  <c r="Q24" i="2"/>
  <c r="Q27" i="2"/>
  <c r="E24" i="2"/>
  <c r="C14" i="9"/>
  <c r="E23" i="22"/>
  <c r="P23" i="22"/>
  <c r="P27" i="22"/>
  <c r="P37" i="22"/>
  <c r="P40" i="22"/>
  <c r="N15" i="9"/>
  <c r="N80" i="9"/>
  <c r="R14" i="2"/>
  <c r="C112" i="9"/>
  <c r="G112" i="9"/>
  <c r="P24" i="2"/>
  <c r="N14" i="9"/>
  <c r="H23" i="22"/>
  <c r="H27" i="22"/>
  <c r="H37" i="22"/>
  <c r="H40" i="22"/>
  <c r="F15" i="9"/>
  <c r="F80" i="9"/>
  <c r="H24" i="2"/>
  <c r="F14" i="9"/>
  <c r="F23" i="22"/>
  <c r="F27" i="22"/>
  <c r="F37" i="22"/>
  <c r="F40" i="22"/>
  <c r="D15" i="9"/>
  <c r="D80" i="9"/>
  <c r="F24" i="2"/>
  <c r="D14" i="9"/>
  <c r="J24" i="2"/>
  <c r="H14" i="9"/>
  <c r="J23" i="22"/>
  <c r="J27" i="22"/>
  <c r="J37" i="22"/>
  <c r="J40" i="22"/>
  <c r="H15" i="9"/>
  <c r="H80" i="9"/>
  <c r="O23" i="22"/>
  <c r="O27" i="22"/>
  <c r="O37" i="22"/>
  <c r="O40" i="22"/>
  <c r="M15" i="9"/>
  <c r="M80" i="9"/>
  <c r="O24" i="2"/>
  <c r="M14" i="9"/>
  <c r="N24" i="2"/>
  <c r="L14" i="9"/>
  <c r="N23" i="22"/>
  <c r="N27" i="22"/>
  <c r="N37" i="22"/>
  <c r="N40" i="22"/>
  <c r="L15" i="9"/>
  <c r="L80" i="9"/>
  <c r="I24" i="2"/>
  <c r="G14" i="9"/>
  <c r="I23" i="22"/>
  <c r="I27" i="22"/>
  <c r="I37" i="22"/>
  <c r="I40" i="22"/>
  <c r="G15" i="9"/>
  <c r="G80" i="9"/>
  <c r="J25" i="9"/>
  <c r="N25" i="9"/>
  <c r="F25" i="9"/>
  <c r="K25" i="9"/>
  <c r="E25" i="9"/>
  <c r="F106" i="9"/>
  <c r="F107" i="9"/>
  <c r="F73" i="9"/>
  <c r="N106" i="9"/>
  <c r="N107" i="9"/>
  <c r="N73" i="9"/>
  <c r="D25" i="9"/>
  <c r="L25" i="9"/>
  <c r="Q12" i="19"/>
  <c r="P19" i="19"/>
  <c r="Q23" i="22"/>
  <c r="E27" i="22"/>
  <c r="K106" i="9"/>
  <c r="K107" i="9"/>
  <c r="K73" i="9"/>
  <c r="J73" i="9"/>
  <c r="J106" i="9"/>
  <c r="J107" i="9"/>
  <c r="O14" i="9"/>
  <c r="G25" i="9"/>
  <c r="E106" i="9"/>
  <c r="E107" i="9"/>
  <c r="E73" i="9"/>
  <c r="M25" i="9"/>
  <c r="I25" i="9"/>
  <c r="H25" i="9"/>
  <c r="R14" i="9"/>
  <c r="I12" i="19"/>
  <c r="I19" i="19"/>
  <c r="E37" i="22"/>
  <c r="H73" i="9"/>
  <c r="H106" i="9"/>
  <c r="H107" i="9"/>
  <c r="G73" i="9"/>
  <c r="G106" i="9"/>
  <c r="G107" i="9"/>
  <c r="M73" i="9"/>
  <c r="M106" i="9"/>
  <c r="M107" i="9"/>
  <c r="L73" i="9"/>
  <c r="L106" i="9"/>
  <c r="L107" i="9"/>
  <c r="I106" i="9"/>
  <c r="I107" i="9"/>
  <c r="I73" i="9"/>
  <c r="D106" i="9"/>
  <c r="D107" i="9"/>
  <c r="E40" i="22"/>
  <c r="C15" i="9"/>
  <c r="Q37" i="22"/>
  <c r="Q40" i="22"/>
  <c r="O15" i="9"/>
  <c r="C80" i="9"/>
  <c r="C25" i="9"/>
  <c r="O80" i="9"/>
  <c r="C73" i="9"/>
  <c r="C106" i="9"/>
  <c r="R15" i="9"/>
  <c r="O25" i="9"/>
  <c r="R25" i="9"/>
  <c r="O106" i="9"/>
  <c r="C107" i="9"/>
  <c r="C83" i="9"/>
  <c r="O107" i="9"/>
  <c r="D83" i="9"/>
  <c r="C90" i="9"/>
  <c r="D90" i="9"/>
  <c r="E83" i="9"/>
  <c r="E90" i="9"/>
  <c r="F83" i="9"/>
  <c r="G83" i="9"/>
  <c r="F90" i="9"/>
  <c r="G90" i="9"/>
  <c r="H83" i="9"/>
  <c r="I83" i="9"/>
  <c r="H90" i="9"/>
  <c r="I90" i="9"/>
  <c r="J83" i="9"/>
  <c r="K83" i="9"/>
  <c r="J90" i="9"/>
  <c r="L83" i="9"/>
  <c r="K90" i="9"/>
  <c r="M83" i="9"/>
  <c r="L90" i="9"/>
  <c r="N83" i="9"/>
  <c r="M90" i="9"/>
  <c r="N90" i="9"/>
  <c r="O83" i="9"/>
  <c r="O90" i="9"/>
  <c r="R90" i="9"/>
  <c r="BM12" i="23" l="1"/>
  <c r="X15" i="23"/>
  <c r="BL17" i="23"/>
  <c r="L15" i="23"/>
  <c r="L17" i="23" s="1"/>
  <c r="N8" i="23"/>
  <c r="BM8" i="23"/>
  <c r="G15" i="23"/>
  <c r="G17" i="23" s="1"/>
  <c r="B15" i="23"/>
  <c r="BM10" i="23"/>
  <c r="BM7" i="23"/>
  <c r="N15" i="23"/>
  <c r="N17" i="23" s="1"/>
  <c r="AM15" i="23"/>
  <c r="AR15" i="23"/>
  <c r="BG15" i="23"/>
  <c r="AK15" i="23"/>
  <c r="I9" i="23"/>
  <c r="I15" i="23" s="1"/>
  <c r="I17" i="23" s="1"/>
  <c r="BB7" i="23"/>
  <c r="BB15" i="23" s="1"/>
  <c r="AP15" i="23"/>
  <c r="D8" i="23"/>
  <c r="D7" i="23"/>
  <c r="AU15" i="23"/>
  <c r="AW10" i="23"/>
  <c r="AW15" i="23" s="1"/>
  <c r="S7" i="23"/>
  <c r="S15" i="23" s="1"/>
  <c r="S17" i="23" s="1"/>
  <c r="X7" i="23"/>
  <c r="AC7" i="23"/>
  <c r="AH7" i="23"/>
  <c r="AH15" i="23" s="1"/>
  <c r="AG15" i="23"/>
  <c r="AG17" i="23" s="1"/>
  <c r="F21" i="14"/>
  <c r="G21" i="14" s="1"/>
  <c r="H21" i="14" s="1"/>
  <c r="Q57" i="16"/>
  <c r="P59" i="16"/>
  <c r="F20" i="14"/>
  <c r="P19" i="16"/>
  <c r="Q19" i="16" s="1"/>
  <c r="R19" i="16" s="1"/>
  <c r="D39" i="14" s="1"/>
  <c r="F39" i="14" s="1"/>
  <c r="G39" i="14" s="1"/>
  <c r="H39" i="14" s="1"/>
  <c r="P17" i="16"/>
  <c r="M48" i="16"/>
  <c r="N48" i="16"/>
  <c r="M49" i="16"/>
  <c r="N49" i="16"/>
  <c r="P49" i="16" s="1"/>
  <c r="Q49" i="16" s="1"/>
  <c r="R49" i="16" s="1"/>
  <c r="D30" i="14" s="1"/>
  <c r="F30" i="14" s="1"/>
  <c r="G30" i="14" s="1"/>
  <c r="H30" i="14" s="1"/>
  <c r="F25" i="1"/>
  <c r="Q22" i="22"/>
  <c r="Q27" i="22" s="1"/>
  <c r="D71" i="9"/>
  <c r="D73" i="9" s="1"/>
  <c r="P71" i="9"/>
  <c r="BM9" i="23" l="1"/>
  <c r="BK15" i="23"/>
  <c r="BK17" i="23" s="1"/>
  <c r="X17" i="23"/>
  <c r="D15" i="23"/>
  <c r="P73" i="9"/>
  <c r="R71" i="9"/>
  <c r="O103" i="9"/>
  <c r="R103" i="9" s="1"/>
  <c r="O73" i="9"/>
  <c r="R73" i="9" s="1"/>
  <c r="N53" i="16"/>
  <c r="N61" i="16" s="1"/>
  <c r="P48" i="16"/>
  <c r="M53" i="16"/>
  <c r="M61" i="16" s="1"/>
  <c r="Q17" i="16"/>
  <c r="P23" i="16"/>
  <c r="G20" i="14"/>
  <c r="R57" i="16"/>
  <c r="R59" i="16" s="1"/>
  <c r="S59" i="16" s="1"/>
  <c r="Q59" i="16"/>
  <c r="BM15" i="23" l="1"/>
  <c r="BM17" i="23" s="1"/>
  <c r="H20" i="14"/>
  <c r="R17" i="16"/>
  <c r="Q23" i="16"/>
  <c r="Q48" i="16"/>
  <c r="P53" i="16"/>
  <c r="P61" i="16" s="1"/>
  <c r="R48" i="16" l="1"/>
  <c r="Q53" i="16"/>
  <c r="Q61" i="16"/>
  <c r="D37" i="14"/>
  <c r="R23" i="16"/>
  <c r="S23" i="16" l="1"/>
  <c r="F37" i="14"/>
  <c r="D43" i="14"/>
  <c r="D29" i="14"/>
  <c r="R53" i="16"/>
  <c r="S53" i="16" l="1"/>
  <c r="R61" i="16"/>
  <c r="S61" i="16" s="1"/>
  <c r="F29" i="14"/>
  <c r="D34" i="14"/>
  <c r="D50" i="14" s="1"/>
  <c r="F50" i="14" s="1"/>
  <c r="G50" i="14" s="1"/>
  <c r="H50" i="14" s="1"/>
  <c r="G37" i="14"/>
  <c r="F43" i="14"/>
  <c r="H37" i="14" l="1"/>
  <c r="G43" i="14"/>
  <c r="H43" i="14" s="1"/>
  <c r="G29" i="14"/>
  <c r="F34" i="14"/>
  <c r="H29" i="14" l="1"/>
  <c r="G34" i="14"/>
  <c r="H34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Morgan Hickle</author>
  </authors>
  <commentList>
    <comment ref="S28" authorId="0" shapeId="0" xr:uid="{40FF609E-3AF1-473A-8231-A08909F6D330}">
      <text>
        <r>
          <rPr>
            <b/>
            <sz val="9"/>
            <color indexed="81"/>
            <rFont val="Tahoma"/>
            <family val="2"/>
          </rPr>
          <t>Morgan Hickle:</t>
        </r>
        <r>
          <rPr>
            <sz val="9"/>
            <color indexed="81"/>
            <rFont val="Tahoma"/>
            <family val="2"/>
          </rPr>
          <t xml:space="preserve">
Parcel 2 is
239,262 sqft</t>
        </r>
      </text>
    </comment>
    <comment ref="N67" authorId="0" shapeId="0" xr:uid="{DBDC7CBC-DFF5-457A-A257-9B8DB909D495}">
      <text>
        <r>
          <rPr>
            <b/>
            <sz val="9"/>
            <color indexed="81"/>
            <rFont val="Tahoma"/>
            <family val="2"/>
          </rPr>
          <t>Morgan Hickle:</t>
        </r>
        <r>
          <rPr>
            <sz val="9"/>
            <color indexed="81"/>
            <rFont val="Tahoma"/>
            <family val="2"/>
          </rPr>
          <t xml:space="preserve">
Increase by 2%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Kimberly Low</author>
    <author>Morgan Hickle</author>
  </authors>
  <commentList>
    <comment ref="Y9" authorId="0" shapeId="0" xr:uid="{F16CDB60-A632-44F4-AA52-C56ED9FA41A1}">
      <text>
        <r>
          <rPr>
            <b/>
            <sz val="9"/>
            <color indexed="81"/>
            <rFont val="Tahoma"/>
            <family val="2"/>
          </rPr>
          <t>Morgan Hickle:</t>
        </r>
        <r>
          <rPr>
            <sz val="9"/>
            <color indexed="81"/>
            <rFont val="Tahoma"/>
            <family val="2"/>
          </rPr>
          <t xml:space="preserve">
In no event will Controllable Operating Expenses increase by more than 3% over the previous year calculated on a cumulative, compounding basis. Cumulative Cap will be reset at the commencement of each option term. 
Controllable Expenses : Opx other than utilities, trash, security costs, and expenses not incurred on an annual basis and costs incurred to comply with new laws.
</t>
        </r>
      </text>
    </comment>
    <comment ref="AA14" authorId="0" shapeId="0" xr:uid="{3040A34A-D0D4-4731-B080-96FF82CBB5CC}">
      <text>
        <r>
          <rPr>
            <b/>
            <sz val="9"/>
            <color indexed="81"/>
            <rFont val="Tahoma"/>
            <family val="2"/>
          </rPr>
          <t>Morgan Hickle:</t>
        </r>
        <r>
          <rPr>
            <sz val="9"/>
            <color indexed="81"/>
            <rFont val="Tahoma"/>
            <family val="2"/>
          </rPr>
          <t xml:space="preserve">
Together with admin or managemetn charge by landlord equal to no more than 5% of all operating expenses excluding tax and ins.
</t>
        </r>
      </text>
    </comment>
    <comment ref="K16" authorId="1" shapeId="0" xr:uid="{07162ED9-4670-483D-9F50-2F0EDACC0DF9}">
      <text>
        <r>
          <rPr>
            <b/>
            <sz val="9"/>
            <color indexed="81"/>
            <rFont val="Tahoma"/>
            <family val="2"/>
          </rPr>
          <t>Morgan Hickle:</t>
        </r>
        <r>
          <rPr>
            <sz val="9"/>
            <color indexed="81"/>
            <rFont val="Tahoma"/>
            <family val="2"/>
          </rPr>
          <t xml:space="preserve">
Tenant pays Insurance based off Actuals - budgeted to bill in October</t>
        </r>
      </text>
    </comment>
    <comment ref="M45" authorId="1" shapeId="0" xr:uid="{1BAF6136-9BDE-4F95-B601-4A5B43FF5D43}">
      <text>
        <r>
          <rPr>
            <b/>
            <sz val="9"/>
            <color indexed="81"/>
            <rFont val="Tahoma"/>
            <family val="2"/>
          </rPr>
          <t>Morgan Hickle:</t>
        </r>
        <r>
          <rPr>
            <sz val="9"/>
            <color indexed="81"/>
            <rFont val="Tahoma"/>
            <family val="2"/>
          </rPr>
          <t xml:space="preserve">
Removed from association expense and added as actual</t>
        </r>
      </text>
    </comment>
    <comment ref="M50" authorId="1" shapeId="0" xr:uid="{8E85D471-CF48-4AF1-A8BC-36CBC3B742C4}">
      <text>
        <r>
          <rPr>
            <b/>
            <sz val="9"/>
            <color indexed="81"/>
            <rFont val="Tahoma"/>
            <family val="2"/>
          </rPr>
          <t>Morgan Hickle:</t>
        </r>
        <r>
          <rPr>
            <sz val="9"/>
            <color indexed="81"/>
            <rFont val="Tahoma"/>
            <family val="2"/>
          </rPr>
          <t xml:space="preserve">
Removed from association expense and added as actual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Morgan Hickle</author>
  </authors>
  <commentList>
    <comment ref="I9" authorId="0" shapeId="0" xr:uid="{9DD2B1D8-1319-4109-937F-44F34578DCCF}">
      <text>
        <r>
          <rPr>
            <b/>
            <sz val="9"/>
            <color indexed="81"/>
            <rFont val="Tahoma"/>
            <family val="2"/>
          </rPr>
          <t>Morgan Hickle:</t>
        </r>
        <r>
          <rPr>
            <sz val="9"/>
            <color indexed="81"/>
            <rFont val="Tahoma"/>
            <family val="2"/>
          </rPr>
          <t xml:space="preserve">
3% per charge
</t>
        </r>
      </text>
    </comment>
    <comment ref="L9" authorId="0" shapeId="0" xr:uid="{EDEA8CB2-31E0-4472-A435-C7629EB675DA}">
      <text>
        <r>
          <rPr>
            <b/>
            <sz val="9"/>
            <color indexed="81"/>
            <rFont val="Tahoma"/>
            <family val="2"/>
          </rPr>
          <t>Morgan Hickle:</t>
        </r>
        <r>
          <rPr>
            <sz val="9"/>
            <color indexed="81"/>
            <rFont val="Tahoma"/>
            <family val="2"/>
          </rPr>
          <t xml:space="preserve">
Updated with 09/23 financial report</t>
        </r>
      </text>
    </comment>
    <comment ref="G12" authorId="0" shapeId="0" xr:uid="{7A3442B1-AA34-4E8D-BF3F-E5254FC8B02B}">
      <text>
        <r>
          <rPr>
            <b/>
            <sz val="9"/>
            <color indexed="81"/>
            <rFont val="Tahoma"/>
            <family val="2"/>
          </rPr>
          <t>Morgan Hickle:</t>
        </r>
        <r>
          <rPr>
            <sz val="9"/>
            <color indexed="81"/>
            <rFont val="Tahoma"/>
            <family val="2"/>
          </rPr>
          <t xml:space="preserve">
Included in CAM</t>
        </r>
      </text>
    </comment>
  </commentList>
</comments>
</file>

<file path=xl/sharedStrings.xml><?xml version="1.0" encoding="utf-8"?>
<sst xmlns="http://schemas.openxmlformats.org/spreadsheetml/2006/main" count="613" uniqueCount="281">
  <si>
    <t>VARIANCE REPORT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</si>
  <si>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</si>
  <si>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</si>
  <si>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</si>
  <si>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</si>
  <si>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</si>
  <si>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</si>
  <si>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</si>
  <si>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</si>
  <si>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</si>
  <si>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</si>
  <si>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</si>
  <si>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</si>
  <si>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</si>
  <si>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 xml:space="preserve">Budget </t>
  </si>
  <si>
    <t>Cash Receipts</t>
  </si>
  <si>
    <t>Variance</t>
  </si>
  <si>
    <t>Comments</t>
  </si>
  <si>
    <t>VACANT (old Big Lots)</t>
  </si>
  <si>
    <t>Planet Fitness</t>
  </si>
  <si>
    <t>EV Charging Station</t>
  </si>
  <si>
    <t>BAS $54.02 Over Pmt</t>
  </si>
  <si>
    <t>SIRIT HALLOWEEN</t>
  </si>
  <si>
    <t>Utilities charged and received during short trm rent</t>
  </si>
  <si>
    <t>$21,086.29 Utilities charged and received during short trm rent in Jan'26 &amp; Apr'26</t>
  </si>
  <si>
    <t>UTILITIES INCOME</t>
  </si>
  <si>
    <t>Budget vs pmt for regular utilities</t>
  </si>
  <si>
    <t>$1,504.93 Budget vs pmt for regular utilities in Jan'26 - May'26</t>
  </si>
  <si>
    <t>CAM UTILITY REIMBURSEMENT</t>
  </si>
  <si>
    <t xml:space="preserve">Totals </t>
  </si>
  <si>
    <t>i/s</t>
  </si>
  <si>
    <t>Date Revised</t>
  </si>
  <si>
    <t>ATHENA PROPERTY MANAGEMENT</t>
  </si>
  <si>
    <t>Goodyear Arizona Big Lots</t>
  </si>
  <si>
    <t>Property Number: 731</t>
  </si>
  <si>
    <t>01/01/2026  TO   12/31/2026</t>
  </si>
  <si>
    <t>2026 OPERATING BUDGET</t>
  </si>
  <si>
    <t>CODE</t>
  </si>
  <si>
    <t>DESCRIPTION</t>
  </si>
  <si>
    <t>JAN</t>
  </si>
  <si>
    <t>FEB</t>
  </si>
  <si>
    <t>SEPT</t>
  </si>
  <si>
    <t>OCT</t>
  </si>
  <si>
    <t>NOV</t>
  </si>
  <si>
    <t>DEC</t>
  </si>
  <si>
    <t>2026
TOTALS</t>
  </si>
  <si>
    <t>2025
FORECAST</t>
  </si>
  <si>
    <t xml:space="preserve">2025 Budget </t>
  </si>
  <si>
    <t>SF</t>
  </si>
  <si>
    <t>INCOME</t>
  </si>
  <si>
    <t>Base Income</t>
  </si>
  <si>
    <t xml:space="preserve">Common Area Income </t>
  </si>
  <si>
    <t>Per Planet Fitness, Admin fee added in CAM</t>
  </si>
  <si>
    <t xml:space="preserve">State and County Rental Tax </t>
  </si>
  <si>
    <t>County 0.5% + State 2.5% - See Sales Tax Tab</t>
  </si>
  <si>
    <t>Prior Year CAMS</t>
  </si>
  <si>
    <t>Rent Concessions</t>
  </si>
  <si>
    <t>Planet Fitness Free Rent 4 months of term</t>
  </si>
  <si>
    <t>Insurance Income</t>
  </si>
  <si>
    <t>Big Lots pays on actuals</t>
  </si>
  <si>
    <t>Property Tax Income</t>
  </si>
  <si>
    <t>Administrative Fees</t>
  </si>
  <si>
    <t>Miscellaneous Income</t>
  </si>
  <si>
    <t>Offsets water owner's expense</t>
  </si>
  <si>
    <t>Late Charge Income</t>
  </si>
  <si>
    <t>TOTAL INCOME</t>
  </si>
  <si>
    <t>COMMON AREA EXPENSES</t>
  </si>
  <si>
    <t>Common Area Association</t>
  </si>
  <si>
    <t>Assume Association costs increase by 10% over 2025 year (less asphalt &amp; hydrants)…. Pending receipt from Eloni's 2026 Budget</t>
  </si>
  <si>
    <t>Landscape Consumables</t>
  </si>
  <si>
    <t>Sprinkler Repairs</t>
  </si>
  <si>
    <t>Landscape Maintenance</t>
  </si>
  <si>
    <t>Parking Lot Lights Maintenance</t>
  </si>
  <si>
    <t>Contingency for building exterior lighting repairs</t>
  </si>
  <si>
    <t>Parking Lot Maintenance</t>
  </si>
  <si>
    <t>Parking Lot Lights Repairs</t>
  </si>
  <si>
    <t>General Maintenance</t>
  </si>
  <si>
    <t>Contingency $500  (backflow repairs included in this)</t>
  </si>
  <si>
    <t xml:space="preserve">Janitorial </t>
  </si>
  <si>
    <t>Backflow Maintenance</t>
  </si>
  <si>
    <t>Backflow Repairs</t>
  </si>
  <si>
    <t>Roof Maintenance</t>
  </si>
  <si>
    <t>Roof Repairs</t>
  </si>
  <si>
    <t>Contingency $450 for roof repairs</t>
  </si>
  <si>
    <t>Onsite Management</t>
  </si>
  <si>
    <t>Management Fee 3% of Sales - See Other Professional Fees GL Below in Owner's Expense</t>
  </si>
  <si>
    <t>Sidewalk Maintenance</t>
  </si>
  <si>
    <t>Monitor Fire Sprinklers</t>
  </si>
  <si>
    <t>Fire Protection Repairs</t>
  </si>
  <si>
    <t>Misc Expense</t>
  </si>
  <si>
    <t>Sweeping</t>
  </si>
  <si>
    <t>Security</t>
  </si>
  <si>
    <t>Electric/Common Area</t>
  </si>
  <si>
    <t>Electric/Association</t>
  </si>
  <si>
    <t>Pest Control</t>
  </si>
  <si>
    <t>Trash Removal</t>
  </si>
  <si>
    <t>Water/Building</t>
  </si>
  <si>
    <t xml:space="preserve">Moved to Owners expense. AWS bills, collects, and reimburses. Should not be included in CAM. AWS is booked as misc income. </t>
  </si>
  <si>
    <t>Water/Common Area</t>
  </si>
  <si>
    <t>SUBTOTAL COMMON AREA</t>
  </si>
  <si>
    <t>INSURANCE</t>
  </si>
  <si>
    <t xml:space="preserve">Insurance - Liability </t>
  </si>
  <si>
    <t>N/A</t>
  </si>
  <si>
    <t>Insurance - Property/General</t>
  </si>
  <si>
    <t>Increased by 10% from actual insurance billed in 2025</t>
  </si>
  <si>
    <t>Insurance - Business Owners Policy</t>
  </si>
  <si>
    <t>Insurance - Flood &amp; Earthquake</t>
  </si>
  <si>
    <t xml:space="preserve">Umbrella - Insurance </t>
  </si>
  <si>
    <t>SUBTOTAL INSURANCE</t>
  </si>
  <si>
    <t>PROPERTY TAXES</t>
  </si>
  <si>
    <t xml:space="preserve">Property Tax </t>
  </si>
  <si>
    <t>Parcel #500-03-359 - LL responsible for Big Lot's portion since TT vacating</t>
  </si>
  <si>
    <t>SUBTOTAL TAXES</t>
  </si>
  <si>
    <t>TOTAL COMMON AREA</t>
  </si>
  <si>
    <t>NET OPERATING INCOME</t>
  </si>
  <si>
    <t>OWNER EXPENSE</t>
  </si>
  <si>
    <t>General Repairs and Maintenance</t>
  </si>
  <si>
    <t xml:space="preserve">Legal Fees -  Contingency </t>
  </si>
  <si>
    <t>Owner/City Sales Tax</t>
  </si>
  <si>
    <t>County of Maricopa and State of AZ rental sales tax collected from tenants and paid monthly</t>
  </si>
  <si>
    <t>AWS Water Billing/Utilities Expense</t>
  </si>
  <si>
    <t xml:space="preserve">General and Administrative  </t>
  </si>
  <si>
    <t>FedEX Reimbursements</t>
  </si>
  <si>
    <t>Other Professional Fees</t>
  </si>
  <si>
    <t>Reference Management Fee calculation below</t>
  </si>
  <si>
    <t>Bank Charges</t>
  </si>
  <si>
    <t>Bank Charges $20 per month per Accounting</t>
  </si>
  <si>
    <t>Management Fees</t>
  </si>
  <si>
    <t xml:space="preserve">Interest Expense </t>
  </si>
  <si>
    <t>Updated 2026 interest payment per Chi</t>
  </si>
  <si>
    <t>State Franchise Taxes</t>
  </si>
  <si>
    <t>License &amp; Permit Fees</t>
  </si>
  <si>
    <t>TOTAL OWNER EXPENSE</t>
  </si>
  <si>
    <t>CAPITAL EXPENSES</t>
  </si>
  <si>
    <t>Tenant Improvements</t>
  </si>
  <si>
    <t>Building Improvements</t>
  </si>
  <si>
    <t>Leasing Commissions</t>
  </si>
  <si>
    <t>Capital Distribution</t>
  </si>
  <si>
    <t>Captial Contribution</t>
  </si>
  <si>
    <t>Principal Payment</t>
  </si>
  <si>
    <t>Updated 2026 principal payment per Chi</t>
  </si>
  <si>
    <t>TOTAL CAPITAL EXPENSES</t>
  </si>
  <si>
    <t>NET CASH FLOW</t>
  </si>
  <si>
    <t>Mangement Fee Calculation - 3%</t>
  </si>
  <si>
    <t xml:space="preserve"> </t>
  </si>
  <si>
    <t>RECAP OF COSTS PER SQUARE FOOT</t>
  </si>
  <si>
    <t>CAM</t>
  </si>
  <si>
    <t>MGMT</t>
  </si>
  <si>
    <t>RE TAX</t>
  </si>
  <si>
    <t>INSUR.</t>
  </si>
  <si>
    <t>TOTAL</t>
  </si>
  <si>
    <t>INLINE TENANT</t>
  </si>
  <si>
    <t>TENANT</t>
  </si>
  <si>
    <t>SUITE</t>
  </si>
  <si>
    <t>SQUARE</t>
  </si>
  <si>
    <t>RATE</t>
  </si>
  <si>
    <t>TOTALS</t>
  </si>
  <si>
    <t>ANN</t>
  </si>
  <si>
    <t>MON</t>
  </si>
  <si>
    <t>#</t>
  </si>
  <si>
    <t>FOOTAGE</t>
  </si>
  <si>
    <t>BASE RENT</t>
  </si>
  <si>
    <t>409-117</t>
  </si>
  <si>
    <t>409-112</t>
  </si>
  <si>
    <t>Next Base Rent increase is 2028</t>
  </si>
  <si>
    <t>PKG</t>
  </si>
  <si>
    <t>Base Rent Increase effective 2/1/2025 at $1,748.36 - TT confirmed increase as effective 2/1</t>
  </si>
  <si>
    <t>TOTAL BASE RENT</t>
  </si>
  <si>
    <t>SQ FT</t>
  </si>
  <si>
    <t xml:space="preserve">% OF </t>
  </si>
  <si>
    <t>COMMON AREA MAINTENANCE</t>
  </si>
  <si>
    <t>TOTAL CAM</t>
  </si>
  <si>
    <t>RECAPTURE</t>
  </si>
  <si>
    <t>SUITE #</t>
  </si>
  <si>
    <t>SQUARE FOOTAGE</t>
  </si>
  <si>
    <t>PRO-RATA SHARE</t>
  </si>
  <si>
    <t>TOTAL INSURANCE</t>
  </si>
  <si>
    <t>TOTAL INS</t>
  </si>
  <si>
    <t>PRO-RATA</t>
  </si>
  <si>
    <t>PSF</t>
  </si>
  <si>
    <t>SHARE</t>
  </si>
  <si>
    <t>PROPERTY TAX</t>
  </si>
  <si>
    <t>TOTAL TAX</t>
  </si>
  <si>
    <t>ADMIN. FEES</t>
  </si>
  <si>
    <t>Admin Fee included as CAM per TT lease</t>
  </si>
  <si>
    <t>TOTAL MGMT</t>
  </si>
  <si>
    <t>ESTIMATED MONTHLY SQUARE FOOTAGE OCCUPIED</t>
  </si>
  <si>
    <t>YEARLY TOTAL</t>
  </si>
  <si>
    <t>Rental Sales Tax</t>
  </si>
  <si>
    <t>Big Lots</t>
  </si>
  <si>
    <t>Rent</t>
  </si>
  <si>
    <t>INS</t>
  </si>
  <si>
    <t>RET</t>
  </si>
  <si>
    <t>ADMIN</t>
  </si>
  <si>
    <t>Total</t>
  </si>
  <si>
    <t>Totals</t>
  </si>
  <si>
    <t xml:space="preserve">MH </t>
  </si>
  <si>
    <t xml:space="preserve">Grand Total </t>
  </si>
  <si>
    <t>Tenant:</t>
  </si>
  <si>
    <t>Unit Number:</t>
  </si>
  <si>
    <t>CAM CAP 3%</t>
  </si>
  <si>
    <t>Square Footage:</t>
  </si>
  <si>
    <r>
      <t xml:space="preserve">CAM CAP
</t>
    </r>
    <r>
      <rPr>
        <sz val="10"/>
        <color indexed="10"/>
        <rFont val="Geneva"/>
      </rPr>
      <t>Contollable expenses are not allowed to increase by more than 3% over previous calculated on a cumulative basis. Controllable expenses shall mean utilities, trash, security, snow and ice removal, etc.)</t>
    </r>
  </si>
  <si>
    <t>G.L. Code</t>
  </si>
  <si>
    <t>Expense Category</t>
  </si>
  <si>
    <t>Annual Expense</t>
  </si>
  <si>
    <t>Demoninator</t>
  </si>
  <si>
    <t>Admin</t>
  </si>
  <si>
    <t>G.L.</t>
  </si>
  <si>
    <t>Center Total</t>
  </si>
  <si>
    <t>Less</t>
  </si>
  <si>
    <t>Billable</t>
  </si>
  <si>
    <t>Tenant</t>
  </si>
  <si>
    <t>Fee</t>
  </si>
  <si>
    <t>Code</t>
  </si>
  <si>
    <t>Description</t>
  </si>
  <si>
    <t>Exclusions</t>
  </si>
  <si>
    <t>Amount</t>
  </si>
  <si>
    <t>Share</t>
  </si>
  <si>
    <t>Due</t>
  </si>
  <si>
    <t>numbers split between GLs</t>
  </si>
  <si>
    <t>grass &amp; trees</t>
  </si>
  <si>
    <t>asphalt &amp; hydrants</t>
  </si>
  <si>
    <t>paint &amp; gen maint</t>
  </si>
  <si>
    <t>pest &amp; gopher</t>
  </si>
  <si>
    <t>SUBTOTAL CAM EXPENSE</t>
  </si>
  <si>
    <t>Property Taxes</t>
  </si>
  <si>
    <t>Impounded</t>
  </si>
  <si>
    <t>TOTAL EXPENSE</t>
  </si>
  <si>
    <t>AMOUNT BILLABLE TO TENANT</t>
  </si>
  <si>
    <t>CAM Cap 5%</t>
  </si>
  <si>
    <t>2025 CAP</t>
  </si>
  <si>
    <t>2026 Cap</t>
  </si>
  <si>
    <t>Uncontrollable</t>
  </si>
  <si>
    <t>excludes utl, trash, and security</t>
  </si>
  <si>
    <t>Capped</t>
  </si>
  <si>
    <t>BALANCE DUE</t>
  </si>
  <si>
    <t xml:space="preserve">REVISED TOTAL </t>
  </si>
  <si>
    <t>Slippage</t>
  </si>
  <si>
    <t>2025 MONTHLY TENANT CHARGES</t>
  </si>
  <si>
    <t>TENANT SF</t>
  </si>
  <si>
    <t>BASE RENT        (BAS)</t>
  </si>
  <si>
    <t>COMMON AREA - MONTHLY       (CAM)</t>
  </si>
  <si>
    <t>INSURANCE   (INS)</t>
  </si>
  <si>
    <t xml:space="preserve">ADMIN FEE </t>
  </si>
  <si>
    <t>REAL ESTATE TAX                    (RET)</t>
  </si>
  <si>
    <t>SALES TAX</t>
  </si>
  <si>
    <r>
      <t xml:space="preserve">TOTAL CHARGES       </t>
    </r>
    <r>
      <rPr>
        <b/>
        <sz val="10"/>
        <color indexed="8"/>
        <rFont val="Calibri"/>
        <family val="2"/>
      </rPr>
      <t>2026</t>
    </r>
  </si>
  <si>
    <r>
      <t xml:space="preserve">TOTAL CAM CHARGES </t>
    </r>
    <r>
      <rPr>
        <b/>
        <sz val="10"/>
        <color indexed="8"/>
        <rFont val="Calibri"/>
        <family val="2"/>
      </rPr>
      <t>2026</t>
    </r>
  </si>
  <si>
    <r>
      <t xml:space="preserve">TOTAL CAM CHARGES </t>
    </r>
    <r>
      <rPr>
        <b/>
        <sz val="10"/>
        <color indexed="8"/>
        <rFont val="Calibri"/>
        <family val="2"/>
      </rPr>
      <t>2025</t>
    </r>
  </si>
  <si>
    <t>DIFFERENCE</t>
  </si>
  <si>
    <t>% Increase/Decrease</t>
  </si>
  <si>
    <t>CURRENT CHARGES</t>
  </si>
  <si>
    <t>VARIANCE</t>
  </si>
  <si>
    <t>Percentage Change</t>
  </si>
  <si>
    <t>Tenant cost per SF</t>
  </si>
  <si>
    <t xml:space="preserve">COMMENTS </t>
  </si>
  <si>
    <t xml:space="preserve">Lease ID </t>
  </si>
  <si>
    <t>without trash</t>
  </si>
  <si>
    <t>008859</t>
  </si>
  <si>
    <t>011232</t>
  </si>
  <si>
    <t>011169</t>
  </si>
  <si>
    <t>TOTAL CHARGES</t>
  </si>
  <si>
    <t>BILL AT 2025 CHARGES</t>
  </si>
  <si>
    <t>Operations Manager</t>
  </si>
  <si>
    <t>Danielle Cebrero</t>
  </si>
  <si>
    <t xml:space="preserve">President/Sr. Vice President </t>
  </si>
  <si>
    <t>Jeff Lochner</t>
  </si>
  <si>
    <t>VACANCY</t>
  </si>
  <si>
    <t>PLANET FITNESS</t>
  </si>
  <si>
    <t>Per Section 5 (page 7)</t>
  </si>
  <si>
    <t>EXPENSES</t>
  </si>
  <si>
    <t>ANNUAL TOTAL</t>
  </si>
  <si>
    <t>TOTAL RECOVERY</t>
  </si>
  <si>
    <t>% DIFFERENCE</t>
  </si>
  <si>
    <t>Slippage due to Big Lot's CAM CAP</t>
  </si>
  <si>
    <t xml:space="preserve">TT's do not contribute to management fee </t>
  </si>
  <si>
    <t>Slippage due to Big Lots vacating &amp; Planet Fitness CAP</t>
  </si>
  <si>
    <t>Budget vs Pmt for CAM utilities</t>
  </si>
  <si>
    <t>Budget vs Pmt for CAM utilities Jun'26 &amp; Jul'26</t>
  </si>
  <si>
    <r>
      <t>The BAS(</t>
    </r>
    <r>
      <rPr>
        <b/>
        <sz val="10"/>
        <rFont val="Geneva"/>
      </rPr>
      <t>$54.02)</t>
    </r>
    <r>
      <rPr>
        <sz val="10"/>
        <rFont val="Geneva"/>
      </rPr>
      <t xml:space="preserve"> Credit applied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</si>
</sst>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_);_(* \(#,##0.00\);_(* &quot;-&quot;_);_(@_)"/>
    <numFmt numFmtId="166" formatCode="mm/dd/yy"/>
  </numFmts>
  <fonts count="52">
    <font>
      <sz val="10"/>
      <name val="Geneva"/>
    </font>
    <font>
      <b/>
      <sz val="10"/>
      <name val="Geneva"/>
    </font>
    <font>
      <shadow/>
      <sz val="10"/>
      <name val="Geneva"/>
    </font>
    <font>
      <outline/>
      <sz val="10"/>
      <name val="Geneva"/>
    </font>
    <font>
      <sz val="9"/>
      <name val="Geneva"/>
    </font>
    <font>
      <sz val="8"/>
      <color indexed="81"/>
      <name val="Tahoma"/>
      <family val="2"/>
    </font>
    <font>
      <sz val="10"/>
      <name val="Geneva"/>
    </font>
    <font>
      <b/>
      <sz val="10"/>
      <name val="Arial"/>
      <family val="2"/>
    </font>
    <font>
      <sz val="11"/>
      <name val="Calibri"/>
      <family val="2"/>
    </font>
    <font>
      <sz val="10"/>
      <name val="Times"/>
      <family val="1"/>
    </font>
    <font>
      <sz val="8"/>
      <name val="Geneva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indexed="8"/>
      <name val="Calibri"/>
      <family val="2"/>
    </font>
    <font>
      <sz val="10"/>
      <color indexed="10"/>
      <name val="Geneva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Geneva"/>
    </font>
    <font>
      <b/>
      <sz val="10"/>
      <color theme="1"/>
      <name val="Geneva"/>
    </font>
    <font>
      <sz val="10"/>
      <color rgb="FFFF0000"/>
      <name val="Geneva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11"/>
      <name val="Calibri"/>
      <family val="2"/>
      <scheme val="minor"/>
    </font>
    <font>
      <u/>
      <sz val="11"/>
      <name val="Calibri"/>
      <family val="2"/>
      <scheme val="minor"/>
    </font>
    <font>
      <u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hadow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outline/>
      <sz val="11"/>
      <name val="Calibri"/>
      <family val="2"/>
      <scheme val="minor"/>
    </font>
    <font>
      <i/>
      <sz val="10"/>
      <color rgb="FFFF0000"/>
      <name val="Geneva"/>
    </font>
    <font>
      <b/>
      <i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0000"/>
      <name val="Geneva"/>
    </font>
    <font>
      <b/>
      <sz val="10"/>
      <color rgb="FFFF0000"/>
      <name val="Geneva"/>
    </font>
    <font>
      <b/>
      <sz val="18"/>
      <color rgb="FFFF0000"/>
      <name val="Calibri"/>
      <family val="2"/>
      <scheme val="minor"/>
    </font>
    <font>
      <b/>
      <sz val="12"/>
      <color indexed="8"/>
      <name val="Arial"/>
      <family val="2"/>
    </font>
    <font>
      <sz val="12"/>
      <name val="Geneva"/>
    </font>
    <font>
      <b/>
      <i/>
      <sz val="12"/>
      <name val="Geneva"/>
    </font>
    <font>
      <b/>
      <sz val="12"/>
      <name val="Geneva"/>
    </font>
    <font>
      <i/>
      <sz val="12"/>
      <name val="Geneva"/>
    </font>
    <font>
      <sz val="12"/>
      <name val="Calibri"/>
      <family val="2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4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Border="0"/>
    <xf numFmtId="0" fontId="9" fillId="0" borderId="0"/>
    <xf numFmtId="9" fontId="1" fillId="0" borderId="0" applyFont="0" applyFill="0" applyBorder="0" applyAlignment="0" applyProtection="0"/>
  </cellStyleXfs>
  <cellXfs count="53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/>
    <xf numFmtId="0" fontId="6" fillId="0" borderId="0" xfId="0" applyFont="1"/>
    <xf numFmtId="3" fontId="0" fillId="0" borderId="0" xfId="0" applyNumberFormat="1" applyAlignment="1">
      <alignment horizontal="right"/>
    </xf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0" fillId="0" borderId="4" xfId="0" applyBorder="1"/>
    <xf numFmtId="0" fontId="1" fillId="0" borderId="0" xfId="0" applyFont="1" applyAlignment="1">
      <alignment horizontal="center"/>
    </xf>
    <xf numFmtId="0" fontId="0" fillId="0" borderId="5" xfId="0" applyBorder="1"/>
    <xf numFmtId="3" fontId="0" fillId="0" borderId="0" xfId="0" applyNumberFormat="1"/>
    <xf numFmtId="10" fontId="0" fillId="0" borderId="0" xfId="0" applyNumberFormat="1" applyAlignment="1">
      <alignment horizontal="right"/>
    </xf>
    <xf numFmtId="3" fontId="6" fillId="0" borderId="0" xfId="0" applyNumberFormat="1" applyFont="1"/>
    <xf numFmtId="0" fontId="1" fillId="0" borderId="0" xfId="0" applyFont="1" applyAlignment="1">
      <alignment textRotation="90"/>
    </xf>
    <xf numFmtId="0" fontId="1" fillId="0" borderId="6" xfId="0" applyFont="1" applyBorder="1" applyAlignment="1">
      <alignment horizontal="center" textRotation="90"/>
    </xf>
    <xf numFmtId="5" fontId="7" fillId="0" borderId="6" xfId="0" applyNumberFormat="1" applyFont="1" applyBorder="1" applyAlignment="1">
      <alignment horizontal="center" textRotation="90"/>
    </xf>
    <xf numFmtId="10" fontId="7" fillId="0" borderId="6" xfId="0" applyNumberFormat="1" applyFont="1" applyBorder="1" applyAlignment="1">
      <alignment horizontal="center" textRotation="90"/>
    </xf>
    <xf numFmtId="0" fontId="1" fillId="0" borderId="6" xfId="0" applyFont="1" applyBorder="1" applyAlignment="1">
      <alignment horizontal="center"/>
    </xf>
    <xf numFmtId="3" fontId="1" fillId="0" borderId="0" xfId="0" applyNumberFormat="1" applyFont="1"/>
    <xf numFmtId="10" fontId="1" fillId="0" borderId="0" xfId="0" applyNumberFormat="1" applyFont="1"/>
    <xf numFmtId="0" fontId="1" fillId="0" borderId="0" xfId="0" applyFont="1" applyAlignment="1">
      <alignment horizontal="left"/>
    </xf>
    <xf numFmtId="0" fontId="4" fillId="0" borderId="7" xfId="0" applyFont="1" applyBorder="1" applyAlignment="1">
      <alignment horizontal="left"/>
    </xf>
    <xf numFmtId="3" fontId="0" fillId="0" borderId="8" xfId="0" applyNumberFormat="1" applyBorder="1" applyAlignment="1">
      <alignment horizontal="right"/>
    </xf>
    <xf numFmtId="0" fontId="4" fillId="0" borderId="9" xfId="0" applyFont="1" applyBorder="1" applyAlignment="1">
      <alignment horizontal="left"/>
    </xf>
    <xf numFmtId="10" fontId="0" fillId="0" borderId="10" xfId="0" applyNumberFormat="1" applyBorder="1" applyAlignment="1">
      <alignment horizontal="right"/>
    </xf>
    <xf numFmtId="14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4" fontId="0" fillId="0" borderId="0" xfId="0" applyNumberFormat="1"/>
    <xf numFmtId="0" fontId="6" fillId="0" borderId="0" xfId="0" applyFont="1" applyAlignment="1">
      <alignment horizontal="center"/>
    </xf>
    <xf numFmtId="0" fontId="0" fillId="2" borderId="1" xfId="0" applyFill="1" applyBorder="1"/>
    <xf numFmtId="0" fontId="1" fillId="0" borderId="11" xfId="0" applyFont="1" applyBorder="1" applyAlignment="1">
      <alignment horizontal="center"/>
    </xf>
    <xf numFmtId="3" fontId="1" fillId="0" borderId="11" xfId="0" applyNumberFormat="1" applyFont="1" applyBorder="1"/>
    <xf numFmtId="10" fontId="1" fillId="0" borderId="11" xfId="0" applyNumberFormat="1" applyFont="1" applyBorder="1"/>
    <xf numFmtId="0" fontId="1" fillId="0" borderId="11" xfId="0" applyFont="1" applyBorder="1" applyAlignment="1">
      <alignment horizontal="left"/>
    </xf>
    <xf numFmtId="41" fontId="0" fillId="0" borderId="0" xfId="0" applyNumberFormat="1" applyAlignment="1">
      <alignment horizontal="right"/>
    </xf>
    <xf numFmtId="41" fontId="0" fillId="0" borderId="0" xfId="0" applyNumberFormat="1"/>
    <xf numFmtId="41" fontId="6" fillId="0" borderId="0" xfId="0" applyNumberFormat="1" applyFont="1" applyAlignment="1">
      <alignment horizontal="right"/>
    </xf>
    <xf numFmtId="43" fontId="0" fillId="0" borderId="0" xfId="0" applyNumberFormat="1"/>
    <xf numFmtId="0" fontId="6" fillId="0" borderId="0" xfId="0" applyFont="1" applyAlignment="1">
      <alignment horizontal="right"/>
    </xf>
    <xf numFmtId="14" fontId="6" fillId="0" borderId="0" xfId="0" applyNumberFormat="1" applyFont="1" applyAlignment="1">
      <alignment horizontal="center"/>
    </xf>
    <xf numFmtId="41" fontId="6" fillId="0" borderId="0" xfId="0" applyNumberFormat="1" applyFont="1"/>
    <xf numFmtId="3" fontId="6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0" fontId="6" fillId="0" borderId="5" xfId="0" applyFont="1" applyBorder="1"/>
    <xf numFmtId="0" fontId="6" fillId="0" borderId="0" xfId="5" applyFont="1"/>
    <xf numFmtId="166" fontId="6" fillId="0" borderId="0" xfId="5" applyNumberFormat="1" applyFont="1"/>
    <xf numFmtId="0" fontId="1" fillId="0" borderId="0" xfId="5" applyFont="1"/>
    <xf numFmtId="0" fontId="6" fillId="2" borderId="7" xfId="5" applyFont="1" applyFill="1" applyBorder="1"/>
    <xf numFmtId="0" fontId="1" fillId="2" borderId="4" xfId="5" applyFont="1" applyFill="1" applyBorder="1" applyAlignment="1">
      <alignment horizontal="right"/>
    </xf>
    <xf numFmtId="0" fontId="1" fillId="2" borderId="4" xfId="5" applyFont="1" applyFill="1" applyBorder="1"/>
    <xf numFmtId="0" fontId="6" fillId="2" borderId="4" xfId="5" applyFont="1" applyFill="1" applyBorder="1" applyAlignment="1">
      <alignment horizontal="right"/>
    </xf>
    <xf numFmtId="14" fontId="6" fillId="2" borderId="4" xfId="5" applyNumberFormat="1" applyFont="1" applyFill="1" applyBorder="1" applyAlignment="1">
      <alignment horizontal="left"/>
    </xf>
    <xf numFmtId="0" fontId="1" fillId="2" borderId="8" xfId="5" applyFont="1" applyFill="1" applyBorder="1"/>
    <xf numFmtId="0" fontId="6" fillId="2" borderId="12" xfId="5" applyFont="1" applyFill="1" applyBorder="1"/>
    <xf numFmtId="0" fontId="1" fillId="2" borderId="0" xfId="5" applyFont="1" applyFill="1" applyAlignment="1">
      <alignment horizontal="right"/>
    </xf>
    <xf numFmtId="0" fontId="1" fillId="2" borderId="0" xfId="5" applyFont="1" applyFill="1" applyAlignment="1">
      <alignment horizontal="left"/>
    </xf>
    <xf numFmtId="0" fontId="1" fillId="2" borderId="0" xfId="5" applyFont="1" applyFill="1"/>
    <xf numFmtId="0" fontId="1" fillId="2" borderId="13" xfId="5" applyFont="1" applyFill="1" applyBorder="1"/>
    <xf numFmtId="0" fontId="1" fillId="2" borderId="9" xfId="5" applyFont="1" applyFill="1" applyBorder="1"/>
    <xf numFmtId="0" fontId="1" fillId="2" borderId="5" xfId="5" applyFont="1" applyFill="1" applyBorder="1" applyAlignment="1">
      <alignment horizontal="right"/>
    </xf>
    <xf numFmtId="3" fontId="1" fillId="2" borderId="5" xfId="1" applyNumberFormat="1" applyFont="1" applyFill="1" applyBorder="1" applyAlignment="1">
      <alignment horizontal="left"/>
    </xf>
    <xf numFmtId="0" fontId="1" fillId="2" borderId="5" xfId="5" applyFont="1" applyFill="1" applyBorder="1"/>
    <xf numFmtId="0" fontId="1" fillId="2" borderId="10" xfId="5" applyFont="1" applyFill="1" applyBorder="1"/>
    <xf numFmtId="0" fontId="1" fillId="2" borderId="1" xfId="5" applyFont="1" applyFill="1" applyBorder="1" applyAlignment="1">
      <alignment horizontal="center"/>
    </xf>
    <xf numFmtId="0" fontId="1" fillId="2" borderId="4" xfId="5" applyFont="1" applyFill="1" applyBorder="1" applyAlignment="1">
      <alignment horizontal="center"/>
    </xf>
    <xf numFmtId="0" fontId="1" fillId="2" borderId="2" xfId="5" applyFont="1" applyFill="1" applyBorder="1" applyAlignment="1">
      <alignment horizontal="center"/>
    </xf>
    <xf numFmtId="0" fontId="1" fillId="2" borderId="0" xfId="5" applyFont="1" applyFill="1" applyAlignment="1">
      <alignment horizontal="center"/>
    </xf>
    <xf numFmtId="0" fontId="1" fillId="2" borderId="3" xfId="5" applyFont="1" applyFill="1" applyBorder="1" applyAlignment="1">
      <alignment horizontal="center"/>
    </xf>
    <xf numFmtId="0" fontId="1" fillId="2" borderId="5" xfId="5" applyFont="1" applyFill="1" applyBorder="1" applyAlignment="1">
      <alignment horizontal="center"/>
    </xf>
    <xf numFmtId="9" fontId="1" fillId="2" borderId="3" xfId="6" applyFont="1" applyFill="1" applyBorder="1" applyAlignment="1">
      <alignment horizontal="center"/>
    </xf>
    <xf numFmtId="9" fontId="1" fillId="2" borderId="5" xfId="6" applyFont="1" applyFill="1" applyBorder="1" applyAlignment="1">
      <alignment horizontal="center"/>
    </xf>
    <xf numFmtId="0" fontId="6" fillId="0" borderId="0" xfId="5" applyFont="1" applyAlignment="1">
      <alignment horizontal="center"/>
    </xf>
    <xf numFmtId="43" fontId="6" fillId="0" borderId="0" xfId="5" applyNumberFormat="1" applyFont="1"/>
    <xf numFmtId="43" fontId="6" fillId="0" borderId="0" xfId="1" applyFont="1" applyBorder="1"/>
    <xf numFmtId="10" fontId="6" fillId="0" borderId="0" xfId="1" applyNumberFormat="1" applyFont="1" applyBorder="1"/>
    <xf numFmtId="0" fontId="6" fillId="2" borderId="14" xfId="5" applyFont="1" applyFill="1" applyBorder="1"/>
    <xf numFmtId="0" fontId="1" fillId="2" borderId="11" xfId="5" applyFont="1" applyFill="1" applyBorder="1" applyAlignment="1">
      <alignment horizontal="center"/>
    </xf>
    <xf numFmtId="43" fontId="1" fillId="2" borderId="11" xfId="5" applyNumberFormat="1" applyFont="1" applyFill="1" applyBorder="1"/>
    <xf numFmtId="0" fontId="1" fillId="2" borderId="11" xfId="5" applyFont="1" applyFill="1" applyBorder="1"/>
    <xf numFmtId="43" fontId="1" fillId="2" borderId="15" xfId="5" applyNumberFormat="1" applyFont="1" applyFill="1" applyBorder="1"/>
    <xf numFmtId="10" fontId="6" fillId="0" borderId="0" xfId="6" applyNumberFormat="1" applyFont="1" applyBorder="1"/>
    <xf numFmtId="10" fontId="6" fillId="0" borderId="0" xfId="5" applyNumberFormat="1" applyFont="1"/>
    <xf numFmtId="43" fontId="1" fillId="0" borderId="0" xfId="5" applyNumberFormat="1" applyFont="1"/>
    <xf numFmtId="0" fontId="1" fillId="0" borderId="0" xfId="5" applyFont="1" applyAlignment="1">
      <alignment horizontal="right"/>
    </xf>
    <xf numFmtId="41" fontId="6" fillId="0" borderId="0" xfId="5" applyNumberFormat="1" applyFont="1" applyAlignment="1">
      <alignment horizontal="center"/>
    </xf>
    <xf numFmtId="0" fontId="1" fillId="0" borderId="0" xfId="5" applyFont="1" applyAlignment="1">
      <alignment horizontal="center"/>
    </xf>
    <xf numFmtId="0" fontId="6" fillId="0" borderId="0" xfId="5" applyFont="1" applyAlignment="1">
      <alignment horizontal="left"/>
    </xf>
    <xf numFmtId="0" fontId="6" fillId="3" borderId="0" xfId="0" applyFont="1" applyFill="1"/>
    <xf numFmtId="44" fontId="0" fillId="0" borderId="0" xfId="2" applyFont="1" applyFill="1" applyAlignment="1">
      <alignment horizontal="right"/>
    </xf>
    <xf numFmtId="164" fontId="8" fillId="0" borderId="0" xfId="1" applyNumberFormat="1" applyFont="1"/>
    <xf numFmtId="10" fontId="8" fillId="0" borderId="0" xfId="6" applyNumberFormat="1" applyFont="1"/>
    <xf numFmtId="0" fontId="20" fillId="0" borderId="0" xfId="0" applyFont="1"/>
    <xf numFmtId="0" fontId="20" fillId="3" borderId="0" xfId="0" applyFont="1" applyFill="1"/>
    <xf numFmtId="0" fontId="21" fillId="0" borderId="0" xfId="0" applyFont="1" applyAlignment="1">
      <alignment horizontal="center"/>
    </xf>
    <xf numFmtId="3" fontId="20" fillId="3" borderId="0" xfId="0" applyNumberFormat="1" applyFont="1" applyFill="1" applyAlignment="1">
      <alignment horizontal="right"/>
    </xf>
    <xf numFmtId="3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0" fillId="0" borderId="0" xfId="5" applyFont="1"/>
    <xf numFmtId="0" fontId="6" fillId="2" borderId="7" xfId="5" applyFont="1" applyFill="1" applyBorder="1" applyAlignment="1">
      <alignment horizontal="center"/>
    </xf>
    <xf numFmtId="0" fontId="6" fillId="2" borderId="12" xfId="5" applyFont="1" applyFill="1" applyBorder="1" applyAlignment="1">
      <alignment horizontal="center"/>
    </xf>
    <xf numFmtId="0" fontId="1" fillId="2" borderId="9" xfId="5" applyFont="1" applyFill="1" applyBorder="1" applyAlignment="1">
      <alignment horizontal="center"/>
    </xf>
    <xf numFmtId="0" fontId="6" fillId="2" borderId="14" xfId="5" applyFont="1" applyFill="1" applyBorder="1" applyAlignment="1">
      <alignment horizontal="center"/>
    </xf>
    <xf numFmtId="0" fontId="1" fillId="0" borderId="0" xfId="5" applyFont="1" applyAlignment="1">
      <alignment horizontal="left"/>
    </xf>
    <xf numFmtId="0" fontId="1" fillId="2" borderId="11" xfId="5" applyFont="1" applyFill="1" applyBorder="1" applyAlignment="1">
      <alignment horizontal="left"/>
    </xf>
    <xf numFmtId="44" fontId="6" fillId="0" borderId="0" xfId="5" applyNumberFormat="1" applyFont="1"/>
    <xf numFmtId="43" fontId="22" fillId="0" borderId="0" xfId="1" applyFont="1" applyBorder="1"/>
    <xf numFmtId="43" fontId="22" fillId="0" borderId="0" xfId="5" applyNumberFormat="1" applyFont="1"/>
    <xf numFmtId="164" fontId="0" fillId="0" borderId="0" xfId="0" applyNumberFormat="1"/>
    <xf numFmtId="0" fontId="22" fillId="2" borderId="14" xfId="5" applyFont="1" applyFill="1" applyBorder="1"/>
    <xf numFmtId="10" fontId="22" fillId="0" borderId="0" xfId="1" applyNumberFormat="1" applyFont="1" applyBorder="1"/>
    <xf numFmtId="0" fontId="22" fillId="0" borderId="0" xfId="5" applyFont="1"/>
    <xf numFmtId="44" fontId="0" fillId="0" borderId="0" xfId="0" applyNumberFormat="1"/>
    <xf numFmtId="0" fontId="22" fillId="0" borderId="0" xfId="0" applyFont="1"/>
    <xf numFmtId="3" fontId="15" fillId="0" borderId="0" xfId="3" applyNumberFormat="1" applyFont="1" applyFill="1"/>
    <xf numFmtId="0" fontId="23" fillId="0" borderId="0" xfId="0" applyFont="1"/>
    <xf numFmtId="0" fontId="23" fillId="0" borderId="0" xfId="0" applyFont="1" applyAlignment="1">
      <alignment horizontal="center"/>
    </xf>
    <xf numFmtId="3" fontId="23" fillId="0" borderId="0" xfId="0" applyNumberFormat="1" applyFont="1" applyAlignment="1">
      <alignment horizontal="right"/>
    </xf>
    <xf numFmtId="10" fontId="23" fillId="0" borderId="0" xfId="0" applyNumberFormat="1" applyFont="1" applyAlignment="1">
      <alignment horizontal="right"/>
    </xf>
    <xf numFmtId="41" fontId="23" fillId="0" borderId="0" xfId="0" applyNumberFormat="1" applyFont="1"/>
    <xf numFmtId="41" fontId="23" fillId="0" borderId="0" xfId="0" applyNumberFormat="1" applyFont="1" applyAlignment="1">
      <alignment horizontal="right"/>
    </xf>
    <xf numFmtId="43" fontId="23" fillId="0" borderId="0" xfId="0" applyNumberFormat="1" applyFont="1"/>
    <xf numFmtId="164" fontId="23" fillId="0" borderId="0" xfId="1" applyNumberFormat="1" applyFont="1" applyFill="1" applyAlignment="1">
      <alignment horizontal="right"/>
    </xf>
    <xf numFmtId="1" fontId="23" fillId="0" borderId="0" xfId="0" applyNumberFormat="1" applyFont="1"/>
    <xf numFmtId="0" fontId="23" fillId="0" borderId="7" xfId="0" applyFont="1" applyBorder="1"/>
    <xf numFmtId="0" fontId="23" fillId="0" borderId="4" xfId="0" applyFont="1" applyBorder="1"/>
    <xf numFmtId="3" fontId="23" fillId="0" borderId="4" xfId="0" applyNumberFormat="1" applyFont="1" applyBorder="1" applyAlignment="1">
      <alignment horizontal="right"/>
    </xf>
    <xf numFmtId="41" fontId="23" fillId="0" borderId="4" xfId="0" applyNumberFormat="1" applyFont="1" applyBorder="1" applyAlignment="1">
      <alignment horizontal="right"/>
    </xf>
    <xf numFmtId="41" fontId="23" fillId="0" borderId="8" xfId="0" applyNumberFormat="1" applyFont="1" applyBorder="1" applyAlignment="1">
      <alignment horizontal="right"/>
    </xf>
    <xf numFmtId="9" fontId="23" fillId="0" borderId="0" xfId="6" applyFont="1" applyFill="1" applyBorder="1" applyAlignment="1">
      <alignment horizontal="right"/>
    </xf>
    <xf numFmtId="0" fontId="23" fillId="0" borderId="9" xfId="0" applyFont="1" applyBorder="1"/>
    <xf numFmtId="0" fontId="23" fillId="0" borderId="5" xfId="0" applyFont="1" applyBorder="1"/>
    <xf numFmtId="0" fontId="23" fillId="0" borderId="5" xfId="0" applyFont="1" applyBorder="1" applyAlignment="1">
      <alignment horizontal="right"/>
    </xf>
    <xf numFmtId="0" fontId="23" fillId="0" borderId="10" xfId="0" applyFont="1" applyBorder="1" applyAlignment="1">
      <alignment horizontal="right"/>
    </xf>
    <xf numFmtId="0" fontId="23" fillId="0" borderId="0" xfId="0" applyFont="1" applyAlignment="1">
      <alignment horizontal="right"/>
    </xf>
    <xf numFmtId="0" fontId="23" fillId="0" borderId="7" xfId="0" applyFont="1" applyBorder="1" applyAlignment="1">
      <alignment horizontal="left"/>
    </xf>
    <xf numFmtId="3" fontId="23" fillId="0" borderId="8" xfId="0" applyNumberFormat="1" applyFont="1" applyBorder="1" applyAlignment="1">
      <alignment horizontal="right"/>
    </xf>
    <xf numFmtId="0" fontId="23" fillId="0" borderId="9" xfId="0" applyFont="1" applyBorder="1" applyAlignment="1">
      <alignment horizontal="left"/>
    </xf>
    <xf numFmtId="10" fontId="23" fillId="0" borderId="10" xfId="0" applyNumberFormat="1" applyFont="1" applyBorder="1" applyAlignment="1">
      <alignment horizontal="right"/>
    </xf>
    <xf numFmtId="14" fontId="23" fillId="0" borderId="0" xfId="0" applyNumberFormat="1" applyFont="1" applyAlignment="1">
      <alignment horizontal="right"/>
    </xf>
    <xf numFmtId="41" fontId="23" fillId="0" borderId="13" xfId="0" applyNumberFormat="1" applyFont="1" applyBorder="1" applyAlignment="1">
      <alignment horizontal="right"/>
    </xf>
    <xf numFmtId="0" fontId="23" fillId="0" borderId="13" xfId="0" applyFont="1" applyBorder="1"/>
    <xf numFmtId="0" fontId="24" fillId="0" borderId="12" xfId="0" applyFont="1" applyBorder="1"/>
    <xf numFmtId="0" fontId="24" fillId="0" borderId="9" xfId="0" applyFont="1" applyBorder="1"/>
    <xf numFmtId="0" fontId="24" fillId="0" borderId="7" xfId="0" applyFont="1" applyBorder="1"/>
    <xf numFmtId="0" fontId="24" fillId="0" borderId="5" xfId="0" applyFont="1" applyBorder="1"/>
    <xf numFmtId="43" fontId="23" fillId="0" borderId="0" xfId="0" applyNumberFormat="1" applyFont="1" applyAlignment="1">
      <alignment horizontal="right"/>
    </xf>
    <xf numFmtId="0" fontId="20" fillId="0" borderId="0" xfId="5" applyFont="1"/>
    <xf numFmtId="43" fontId="20" fillId="0" borderId="0" xfId="5" applyNumberFormat="1" applyFont="1"/>
    <xf numFmtId="43" fontId="20" fillId="0" borderId="0" xfId="1" applyFont="1" applyBorder="1"/>
    <xf numFmtId="10" fontId="20" fillId="0" borderId="0" xfId="1" applyNumberFormat="1" applyFont="1" applyBorder="1"/>
    <xf numFmtId="43" fontId="21" fillId="2" borderId="11" xfId="5" applyNumberFormat="1" applyFont="1" applyFill="1" applyBorder="1"/>
    <xf numFmtId="0" fontId="21" fillId="2" borderId="11" xfId="5" applyFont="1" applyFill="1" applyBorder="1"/>
    <xf numFmtId="43" fontId="21" fillId="2" borderId="15" xfId="5" applyNumberFormat="1" applyFont="1" applyFill="1" applyBorder="1"/>
    <xf numFmtId="0" fontId="25" fillId="0" borderId="0" xfId="0" applyFont="1"/>
    <xf numFmtId="0" fontId="24" fillId="0" borderId="0" xfId="0" applyFont="1"/>
    <xf numFmtId="0" fontId="26" fillId="0" borderId="0" xfId="0" applyFont="1" applyAlignment="1">
      <alignment horizontal="center"/>
    </xf>
    <xf numFmtId="44" fontId="25" fillId="0" borderId="0" xfId="2" applyFont="1"/>
    <xf numFmtId="44" fontId="25" fillId="0" borderId="0" xfId="0" applyNumberFormat="1" applyFont="1"/>
    <xf numFmtId="0" fontId="26" fillId="4" borderId="16" xfId="0" applyFont="1" applyFill="1" applyBorder="1" applyAlignment="1">
      <alignment horizontal="center" vertical="center"/>
    </xf>
    <xf numFmtId="0" fontId="26" fillId="4" borderId="16" xfId="0" applyFont="1" applyFill="1" applyBorder="1" applyAlignment="1">
      <alignment horizontal="center" vertical="center" wrapText="1"/>
    </xf>
    <xf numFmtId="0" fontId="27" fillId="4" borderId="16" xfId="0" applyFont="1" applyFill="1" applyBorder="1" applyAlignment="1">
      <alignment horizontal="center" vertical="center" wrapText="1"/>
    </xf>
    <xf numFmtId="0" fontId="27" fillId="4" borderId="16" xfId="1" applyNumberFormat="1" applyFont="1" applyFill="1" applyBorder="1" applyAlignment="1">
      <alignment horizontal="center" vertical="center" wrapText="1"/>
    </xf>
    <xf numFmtId="0" fontId="26" fillId="4" borderId="16" xfId="0" applyFont="1" applyFill="1" applyBorder="1" applyAlignment="1">
      <alignment horizontal="center" wrapText="1"/>
    </xf>
    <xf numFmtId="0" fontId="26" fillId="4" borderId="16" xfId="0" applyFont="1" applyFill="1" applyBorder="1" applyAlignment="1">
      <alignment horizontal="center"/>
    </xf>
    <xf numFmtId="0" fontId="26" fillId="0" borderId="0" xfId="0" applyFont="1" applyAlignment="1">
      <alignment horizontal="center" wrapText="1"/>
    </xf>
    <xf numFmtId="0" fontId="26" fillId="0" borderId="0" xfId="1" applyNumberFormat="1" applyFont="1" applyFill="1" applyBorder="1" applyAlignment="1">
      <alignment horizontal="center" wrapText="1"/>
    </xf>
    <xf numFmtId="8" fontId="26" fillId="0" borderId="0" xfId="0" applyNumberFormat="1" applyFont="1" applyAlignment="1">
      <alignment horizontal="center"/>
    </xf>
    <xf numFmtId="0" fontId="26" fillId="5" borderId="7" xfId="0" applyFont="1" applyFill="1" applyBorder="1"/>
    <xf numFmtId="0" fontId="25" fillId="5" borderId="8" xfId="0" applyFont="1" applyFill="1" applyBorder="1"/>
    <xf numFmtId="49" fontId="23" fillId="0" borderId="0" xfId="0" quotePrefix="1" applyNumberFormat="1" applyFont="1"/>
    <xf numFmtId="164" fontId="23" fillId="0" borderId="0" xfId="1" applyNumberFormat="1" applyFont="1" applyFill="1" applyAlignment="1">
      <alignment horizontal="center"/>
    </xf>
    <xf numFmtId="44" fontId="23" fillId="0" borderId="0" xfId="2" applyFont="1" applyFill="1"/>
    <xf numFmtId="44" fontId="24" fillId="0" borderId="0" xfId="2" applyFont="1" applyFill="1"/>
    <xf numFmtId="44" fontId="23" fillId="0" borderId="0" xfId="0" applyNumberFormat="1" applyFont="1"/>
    <xf numFmtId="10" fontId="23" fillId="0" borderId="0" xfId="6" applyNumberFormat="1" applyFont="1" applyFill="1"/>
    <xf numFmtId="9" fontId="23" fillId="0" borderId="0" xfId="6" applyFont="1" applyFill="1"/>
    <xf numFmtId="44" fontId="23" fillId="0" borderId="9" xfId="0" applyNumberFormat="1" applyFont="1" applyBorder="1"/>
    <xf numFmtId="10" fontId="23" fillId="0" borderId="10" xfId="6" applyNumberFormat="1" applyFont="1" applyFill="1" applyBorder="1"/>
    <xf numFmtId="0" fontId="28" fillId="0" borderId="0" xfId="0" applyFont="1" applyAlignment="1">
      <alignment wrapText="1"/>
    </xf>
    <xf numFmtId="44" fontId="23" fillId="0" borderId="0" xfId="2" applyFont="1" applyFill="1" applyAlignment="1">
      <alignment horizontal="center"/>
    </xf>
    <xf numFmtId="44" fontId="25" fillId="0" borderId="0" xfId="2" applyFont="1" applyFill="1"/>
    <xf numFmtId="10" fontId="25" fillId="0" borderId="0" xfId="6" applyNumberFormat="1" applyFont="1"/>
    <xf numFmtId="9" fontId="25" fillId="0" borderId="0" xfId="6" applyFont="1"/>
    <xf numFmtId="49" fontId="25" fillId="0" borderId="0" xfId="0" quotePrefix="1" applyNumberFormat="1" applyFont="1"/>
    <xf numFmtId="44" fontId="29" fillId="0" borderId="0" xfId="2" applyFont="1" applyFill="1" applyAlignment="1">
      <alignment horizontal="center"/>
    </xf>
    <xf numFmtId="49" fontId="25" fillId="0" borderId="0" xfId="0" applyNumberFormat="1" applyFont="1"/>
    <xf numFmtId="0" fontId="25" fillId="0" borderId="0" xfId="0" applyFont="1" applyAlignment="1">
      <alignment horizontal="center"/>
    </xf>
    <xf numFmtId="44" fontId="25" fillId="0" borderId="0" xfId="2" applyFont="1" applyFill="1" applyAlignment="1">
      <alignment horizontal="center"/>
    </xf>
    <xf numFmtId="10" fontId="25" fillId="0" borderId="0" xfId="6" applyNumberFormat="1" applyFont="1" applyFill="1"/>
    <xf numFmtId="0" fontId="23" fillId="0" borderId="0" xfId="0" applyFont="1" applyAlignment="1">
      <alignment vertical="center"/>
    </xf>
    <xf numFmtId="0" fontId="24" fillId="4" borderId="0" xfId="0" applyFont="1" applyFill="1" applyAlignment="1">
      <alignment vertical="center"/>
    </xf>
    <xf numFmtId="0" fontId="24" fillId="4" borderId="0" xfId="0" applyFont="1" applyFill="1" applyAlignment="1">
      <alignment horizontal="center" vertical="center"/>
    </xf>
    <xf numFmtId="44" fontId="23" fillId="4" borderId="0" xfId="0" applyNumberFormat="1" applyFont="1" applyFill="1" applyAlignment="1">
      <alignment vertical="center"/>
    </xf>
    <xf numFmtId="10" fontId="23" fillId="4" borderId="0" xfId="0" applyNumberFormat="1" applyFont="1" applyFill="1" applyAlignment="1">
      <alignment vertical="center"/>
    </xf>
    <xf numFmtId="0" fontId="30" fillId="0" borderId="0" xfId="0" applyFont="1"/>
    <xf numFmtId="0" fontId="31" fillId="0" borderId="0" xfId="0" applyFont="1"/>
    <xf numFmtId="43" fontId="25" fillId="0" borderId="0" xfId="0" applyNumberFormat="1" applyFont="1"/>
    <xf numFmtId="44" fontId="25" fillId="0" borderId="5" xfId="0" applyNumberFormat="1" applyFont="1" applyBorder="1"/>
    <xf numFmtId="0" fontId="23" fillId="0" borderId="0" xfId="0" applyFont="1" applyAlignment="1">
      <alignment horizontal="left"/>
    </xf>
    <xf numFmtId="44" fontId="23" fillId="0" borderId="0" xfId="2" applyFont="1" applyFill="1" applyAlignment="1">
      <alignment horizontal="right"/>
    </xf>
    <xf numFmtId="0" fontId="32" fillId="0" borderId="0" xfId="0" applyFont="1"/>
    <xf numFmtId="3" fontId="22" fillId="0" borderId="0" xfId="0" applyNumberFormat="1" applyFont="1" applyAlignment="1">
      <alignment horizontal="center"/>
    </xf>
    <xf numFmtId="0" fontId="0" fillId="6" borderId="11" xfId="0" applyFill="1" applyBorder="1"/>
    <xf numFmtId="41" fontId="1" fillId="6" borderId="15" xfId="0" applyNumberFormat="1" applyFont="1" applyFill="1" applyBorder="1"/>
    <xf numFmtId="0" fontId="1" fillId="6" borderId="14" xfId="0" applyFont="1" applyFill="1" applyBorder="1"/>
    <xf numFmtId="0" fontId="1" fillId="6" borderId="11" xfId="0" applyFont="1" applyFill="1" applyBorder="1"/>
    <xf numFmtId="0" fontId="21" fillId="2" borderId="11" xfId="5" applyFont="1" applyFill="1" applyBorder="1" applyAlignment="1">
      <alignment horizontal="left"/>
    </xf>
    <xf numFmtId="0" fontId="26" fillId="0" borderId="0" xfId="0" applyFont="1" applyAlignment="1">
      <alignment horizontal="left"/>
    </xf>
    <xf numFmtId="14" fontId="23" fillId="0" borderId="0" xfId="0" applyNumberFormat="1" applyFont="1" applyAlignment="1">
      <alignment horizontal="center"/>
    </xf>
    <xf numFmtId="0" fontId="33" fillId="0" borderId="0" xfId="0" applyFont="1" applyAlignment="1">
      <alignment horizontal="center"/>
    </xf>
    <xf numFmtId="0" fontId="24" fillId="2" borderId="1" xfId="0" applyFont="1" applyFill="1" applyBorder="1"/>
    <xf numFmtId="0" fontId="24" fillId="2" borderId="7" xfId="0" applyFont="1" applyFill="1" applyBorder="1"/>
    <xf numFmtId="0" fontId="24" fillId="2" borderId="1" xfId="0" applyFont="1" applyFill="1" applyBorder="1" applyAlignment="1">
      <alignment horizontal="center"/>
    </xf>
    <xf numFmtId="0" fontId="24" fillId="2" borderId="2" xfId="0" applyFont="1" applyFill="1" applyBorder="1" applyAlignment="1">
      <alignment horizontal="center"/>
    </xf>
    <xf numFmtId="0" fontId="24" fillId="2" borderId="12" xfId="0" applyFont="1" applyFill="1" applyBorder="1" applyAlignment="1">
      <alignment horizontal="center"/>
    </xf>
    <xf numFmtId="0" fontId="24" fillId="2" borderId="3" xfId="0" applyFont="1" applyFill="1" applyBorder="1"/>
    <xf numFmtId="0" fontId="24" fillId="2" borderId="3" xfId="0" applyFont="1" applyFill="1" applyBorder="1" applyAlignment="1">
      <alignment horizontal="center"/>
    </xf>
    <xf numFmtId="0" fontId="24" fillId="2" borderId="9" xfId="0" applyFont="1" applyFill="1" applyBorder="1" applyAlignment="1">
      <alignment horizontal="center"/>
    </xf>
    <xf numFmtId="0" fontId="24" fillId="0" borderId="0" xfId="0" applyFont="1" applyAlignment="1">
      <alignment horizontal="left"/>
    </xf>
    <xf numFmtId="3" fontId="24" fillId="0" borderId="0" xfId="0" applyNumberFormat="1" applyFont="1" applyAlignment="1">
      <alignment horizontal="right"/>
    </xf>
    <xf numFmtId="0" fontId="23" fillId="0" borderId="12" xfId="0" applyFont="1" applyBorder="1"/>
    <xf numFmtId="0" fontId="34" fillId="0" borderId="0" xfId="0" applyFont="1"/>
    <xf numFmtId="0" fontId="23" fillId="2" borderId="1" xfId="0" applyFont="1" applyFill="1" applyBorder="1"/>
    <xf numFmtId="0" fontId="35" fillId="0" borderId="0" xfId="0" applyFont="1" applyAlignment="1">
      <alignment horizontal="center"/>
    </xf>
    <xf numFmtId="4" fontId="23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3" fontId="23" fillId="0" borderId="0" xfId="0" applyNumberFormat="1" applyFont="1"/>
    <xf numFmtId="10" fontId="23" fillId="0" borderId="0" xfId="0" applyNumberFormat="1" applyFont="1" applyAlignment="1">
      <alignment horizontal="center"/>
    </xf>
    <xf numFmtId="14" fontId="23" fillId="0" borderId="0" xfId="0" applyNumberFormat="1" applyFont="1"/>
    <xf numFmtId="0" fontId="33" fillId="0" borderId="0" xfId="0" applyFont="1"/>
    <xf numFmtId="164" fontId="23" fillId="0" borderId="0" xfId="1" applyNumberFormat="1" applyFont="1" applyFill="1"/>
    <xf numFmtId="164" fontId="23" fillId="0" borderId="0" xfId="6" applyNumberFormat="1" applyFont="1" applyFill="1" applyAlignment="1">
      <alignment horizontal="right"/>
    </xf>
    <xf numFmtId="0" fontId="19" fillId="0" borderId="0" xfId="0" applyFont="1"/>
    <xf numFmtId="0" fontId="23" fillId="3" borderId="0" xfId="0" applyFont="1" applyFill="1"/>
    <xf numFmtId="0" fontId="2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41" fontId="15" fillId="0" borderId="0" xfId="0" applyNumberFormat="1" applyFont="1" applyAlignment="1">
      <alignment horizontal="right"/>
    </xf>
    <xf numFmtId="0" fontId="15" fillId="0" borderId="0" xfId="0" applyFont="1"/>
    <xf numFmtId="0" fontId="15" fillId="3" borderId="0" xfId="0" applyFont="1" applyFill="1" applyAlignment="1">
      <alignment horizontal="center"/>
    </xf>
    <xf numFmtId="44" fontId="15" fillId="0" borderId="0" xfId="2" applyFont="1" applyFill="1" applyAlignment="1">
      <alignment horizontal="right"/>
    </xf>
    <xf numFmtId="164" fontId="15" fillId="0" borderId="0" xfId="0" applyNumberFormat="1" applyFont="1" applyAlignment="1">
      <alignment horizontal="right"/>
    </xf>
    <xf numFmtId="0" fontId="18" fillId="0" borderId="0" xfId="0" applyFont="1"/>
    <xf numFmtId="0" fontId="18" fillId="0" borderId="0" xfId="0" applyFont="1" applyAlignment="1">
      <alignment horizontal="center"/>
    </xf>
    <xf numFmtId="164" fontId="15" fillId="0" borderId="0" xfId="1" applyNumberFormat="1" applyFont="1" applyFill="1" applyAlignment="1">
      <alignment horizontal="right"/>
    </xf>
    <xf numFmtId="41" fontId="15" fillId="0" borderId="0" xfId="1" applyNumberFormat="1" applyFont="1" applyFill="1"/>
    <xf numFmtId="0" fontId="15" fillId="7" borderId="9" xfId="0" applyFont="1" applyFill="1" applyBorder="1" applyAlignment="1">
      <alignment horizontal="left"/>
    </xf>
    <xf numFmtId="41" fontId="15" fillId="7" borderId="5" xfId="0" applyNumberFormat="1" applyFont="1" applyFill="1" applyBorder="1" applyAlignment="1">
      <alignment horizontal="right"/>
    </xf>
    <xf numFmtId="41" fontId="15" fillId="7" borderId="10" xfId="0" applyNumberFormat="1" applyFont="1" applyFill="1" applyBorder="1" applyAlignment="1">
      <alignment horizontal="right"/>
    </xf>
    <xf numFmtId="0" fontId="24" fillId="2" borderId="16" xfId="0" applyFont="1" applyFill="1" applyBorder="1" applyAlignment="1">
      <alignment horizontal="center"/>
    </xf>
    <xf numFmtId="44" fontId="23" fillId="0" borderId="2" xfId="0" applyNumberFormat="1" applyFont="1" applyBorder="1" applyAlignment="1">
      <alignment horizontal="center"/>
    </xf>
    <xf numFmtId="44" fontId="23" fillId="0" borderId="0" xfId="0" applyNumberFormat="1" applyFont="1" applyAlignment="1">
      <alignment horizontal="center"/>
    </xf>
    <xf numFmtId="44" fontId="23" fillId="0" borderId="2" xfId="2" applyFont="1" applyBorder="1"/>
    <xf numFmtId="44" fontId="23" fillId="0" borderId="12" xfId="0" applyNumberFormat="1" applyFont="1" applyBorder="1"/>
    <xf numFmtId="44" fontId="23" fillId="0" borderId="3" xfId="0" applyNumberFormat="1" applyFont="1" applyBorder="1" applyAlignment="1">
      <alignment horizontal="center"/>
    </xf>
    <xf numFmtId="44" fontId="23" fillId="0" borderId="5" xfId="0" applyNumberFormat="1" applyFont="1" applyBorder="1" applyAlignment="1">
      <alignment horizontal="center"/>
    </xf>
    <xf numFmtId="44" fontId="23" fillId="0" borderId="3" xfId="2" applyFont="1" applyBorder="1"/>
    <xf numFmtId="165" fontId="23" fillId="0" borderId="0" xfId="0" applyNumberFormat="1" applyFont="1" applyAlignment="1">
      <alignment horizontal="right"/>
    </xf>
    <xf numFmtId="165" fontId="24" fillId="0" borderId="0" xfId="0" applyNumberFormat="1" applyFont="1" applyAlignment="1">
      <alignment horizontal="right"/>
    </xf>
    <xf numFmtId="44" fontId="6" fillId="5" borderId="0" xfId="5" applyNumberFormat="1" applyFont="1" applyFill="1" applyAlignment="1">
      <alignment horizontal="center"/>
    </xf>
    <xf numFmtId="0" fontId="24" fillId="4" borderId="14" xfId="0" applyFont="1" applyFill="1" applyBorder="1"/>
    <xf numFmtId="41" fontId="23" fillId="4" borderId="11" xfId="0" applyNumberFormat="1" applyFont="1" applyFill="1" applyBorder="1" applyAlignment="1">
      <alignment horizontal="right"/>
    </xf>
    <xf numFmtId="41" fontId="23" fillId="4" borderId="15" xfId="0" applyNumberFormat="1" applyFont="1" applyFill="1" applyBorder="1" applyAlignment="1">
      <alignment horizontal="right"/>
    </xf>
    <xf numFmtId="3" fontId="15" fillId="4" borderId="16" xfId="3" applyNumberFormat="1" applyFont="1" applyFill="1" applyBorder="1"/>
    <xf numFmtId="3" fontId="15" fillId="4" borderId="15" xfId="3" applyNumberFormat="1" applyFont="1" applyFill="1" applyBorder="1"/>
    <xf numFmtId="0" fontId="18" fillId="4" borderId="14" xfId="0" applyFont="1" applyFill="1" applyBorder="1"/>
    <xf numFmtId="41" fontId="15" fillId="4" borderId="11" xfId="0" applyNumberFormat="1" applyFont="1" applyFill="1" applyBorder="1" applyAlignment="1">
      <alignment horizontal="right"/>
    </xf>
    <xf numFmtId="41" fontId="15" fillId="4" borderId="15" xfId="0" applyNumberFormat="1" applyFont="1" applyFill="1" applyBorder="1" applyAlignment="1">
      <alignment horizontal="right"/>
    </xf>
    <xf numFmtId="0" fontId="22" fillId="0" borderId="0" xfId="0" applyFont="1" applyAlignment="1">
      <alignment horizontal="center"/>
    </xf>
    <xf numFmtId="1" fontId="23" fillId="0" borderId="0" xfId="2" applyNumberFormat="1" applyFont="1" applyFill="1"/>
    <xf numFmtId="41" fontId="23" fillId="4" borderId="16" xfId="6" applyNumberFormat="1" applyFont="1" applyFill="1" applyBorder="1"/>
    <xf numFmtId="0" fontId="36" fillId="0" borderId="0" xfId="0" applyFont="1"/>
    <xf numFmtId="0" fontId="37" fillId="0" borderId="7" xfId="0" applyFont="1" applyBorder="1"/>
    <xf numFmtId="9" fontId="37" fillId="0" borderId="4" xfId="6" applyFont="1" applyFill="1" applyBorder="1"/>
    <xf numFmtId="3" fontId="23" fillId="0" borderId="4" xfId="0" applyNumberFormat="1" applyFont="1" applyBorder="1" applyAlignment="1">
      <alignment horizontal="center"/>
    </xf>
    <xf numFmtId="3" fontId="23" fillId="0" borderId="8" xfId="0" applyNumberFormat="1" applyFont="1" applyBorder="1" applyAlignment="1">
      <alignment horizontal="center"/>
    </xf>
    <xf numFmtId="41" fontId="23" fillId="0" borderId="0" xfId="6" applyNumberFormat="1" applyFont="1" applyFill="1"/>
    <xf numFmtId="41" fontId="15" fillId="4" borderId="15" xfId="3" applyNumberFormat="1" applyFont="1" applyFill="1" applyBorder="1" applyAlignment="1">
      <alignment horizontal="right"/>
    </xf>
    <xf numFmtId="41" fontId="15" fillId="4" borderId="16" xfId="3" applyNumberFormat="1" applyFont="1" applyFill="1" applyBorder="1" applyAlignment="1">
      <alignment horizontal="right"/>
    </xf>
    <xf numFmtId="41" fontId="23" fillId="4" borderId="15" xfId="6" applyNumberFormat="1" applyFont="1" applyFill="1" applyBorder="1"/>
    <xf numFmtId="164" fontId="23" fillId="0" borderId="0" xfId="6" applyNumberFormat="1" applyFont="1" applyFill="1"/>
    <xf numFmtId="3" fontId="15" fillId="4" borderId="14" xfId="3" applyNumberFormat="1" applyFont="1" applyFill="1" applyBorder="1"/>
    <xf numFmtId="41" fontId="20" fillId="4" borderId="16" xfId="0" applyNumberFormat="1" applyFont="1" applyFill="1" applyBorder="1"/>
    <xf numFmtId="3" fontId="15" fillId="0" borderId="0" xfId="3" applyNumberFormat="1" applyFont="1" applyFill="1" applyBorder="1"/>
    <xf numFmtId="41" fontId="20" fillId="0" borderId="0" xfId="0" applyNumberFormat="1" applyFont="1"/>
    <xf numFmtId="41" fontId="15" fillId="0" borderId="0" xfId="0" applyNumberFormat="1" applyFont="1"/>
    <xf numFmtId="41" fontId="15" fillId="6" borderId="15" xfId="0" applyNumberFormat="1" applyFont="1" applyFill="1" applyBorder="1" applyAlignment="1">
      <alignment horizontal="right"/>
    </xf>
    <xf numFmtId="3" fontId="15" fillId="6" borderId="16" xfId="3" applyNumberFormat="1" applyFont="1" applyFill="1" applyBorder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23" fillId="0" borderId="4" xfId="0" applyFont="1" applyBorder="1" applyAlignment="1">
      <alignment horizontal="center"/>
    </xf>
    <xf numFmtId="165" fontId="23" fillId="0" borderId="4" xfId="0" applyNumberFormat="1" applyFont="1" applyBorder="1" applyAlignment="1">
      <alignment horizontal="right"/>
    </xf>
    <xf numFmtId="0" fontId="23" fillId="0" borderId="5" xfId="0" applyFont="1" applyBorder="1" applyAlignment="1">
      <alignment horizontal="center"/>
    </xf>
    <xf numFmtId="0" fontId="23" fillId="0" borderId="14" xfId="0" applyFont="1" applyBorder="1"/>
    <xf numFmtId="0" fontId="23" fillId="0" borderId="11" xfId="0" applyFont="1" applyBorder="1"/>
    <xf numFmtId="165" fontId="23" fillId="0" borderId="11" xfId="0" applyNumberFormat="1" applyFont="1" applyBorder="1"/>
    <xf numFmtId="165" fontId="23" fillId="0" borderId="15" xfId="0" applyNumberFormat="1" applyFont="1" applyBorder="1"/>
    <xf numFmtId="3" fontId="24" fillId="0" borderId="14" xfId="0" applyNumberFormat="1" applyFont="1" applyBorder="1" applyAlignment="1">
      <alignment horizontal="right"/>
    </xf>
    <xf numFmtId="165" fontId="24" fillId="0" borderId="11" xfId="0" applyNumberFormat="1" applyFont="1" applyBorder="1" applyAlignment="1">
      <alignment horizontal="right"/>
    </xf>
    <xf numFmtId="41" fontId="24" fillId="0" borderId="15" xfId="0" applyNumberFormat="1" applyFont="1" applyBorder="1" applyAlignment="1">
      <alignment horizontal="right"/>
    </xf>
    <xf numFmtId="165" fontId="24" fillId="0" borderId="15" xfId="0" applyNumberFormat="1" applyFont="1" applyBorder="1" applyAlignment="1">
      <alignment horizontal="right"/>
    </xf>
    <xf numFmtId="9" fontId="24" fillId="0" borderId="11" xfId="6" applyFont="1" applyFill="1" applyBorder="1" applyAlignment="1">
      <alignment horizontal="right"/>
    </xf>
    <xf numFmtId="0" fontId="20" fillId="0" borderId="0" xfId="5" applyFont="1" applyAlignment="1">
      <alignment horizontal="center"/>
    </xf>
    <xf numFmtId="44" fontId="1" fillId="2" borderId="15" xfId="2" applyFont="1" applyFill="1" applyBorder="1"/>
    <xf numFmtId="44" fontId="6" fillId="0" borderId="0" xfId="2" applyFont="1" applyFill="1" applyBorder="1"/>
    <xf numFmtId="9" fontId="1" fillId="0" borderId="0" xfId="5" applyNumberFormat="1" applyFont="1"/>
    <xf numFmtId="44" fontId="1" fillId="0" borderId="0" xfId="2" applyFont="1" applyFill="1" applyBorder="1"/>
    <xf numFmtId="0" fontId="41" fillId="0" borderId="0" xfId="5" applyFont="1" applyAlignment="1">
      <alignment horizontal="left"/>
    </xf>
    <xf numFmtId="9" fontId="41" fillId="0" borderId="0" xfId="5" applyNumberFormat="1" applyFont="1"/>
    <xf numFmtId="44" fontId="41" fillId="0" borderId="0" xfId="2" applyFont="1" applyFill="1" applyBorder="1"/>
    <xf numFmtId="44" fontId="41" fillId="0" borderId="0" xfId="5" applyNumberFormat="1" applyFont="1"/>
    <xf numFmtId="0" fontId="24" fillId="5" borderId="0" xfId="0" applyFont="1" applyFill="1"/>
    <xf numFmtId="0" fontId="23" fillId="5" borderId="0" xfId="0" applyFont="1" applyFill="1"/>
    <xf numFmtId="0" fontId="6" fillId="5" borderId="0" xfId="0" applyFont="1" applyFill="1"/>
    <xf numFmtId="10" fontId="23" fillId="0" borderId="13" xfId="0" applyNumberFormat="1" applyFont="1" applyBorder="1"/>
    <xf numFmtId="0" fontId="28" fillId="0" borderId="0" xfId="0" applyFont="1"/>
    <xf numFmtId="0" fontId="15" fillId="7" borderId="0" xfId="0" applyFont="1" applyFill="1" applyAlignment="1">
      <alignment horizontal="center"/>
    </xf>
    <xf numFmtId="0" fontId="18" fillId="7" borderId="7" xfId="0" applyFont="1" applyFill="1" applyBorder="1" applyAlignment="1">
      <alignment horizontal="left"/>
    </xf>
    <xf numFmtId="41" fontId="15" fillId="7" borderId="4" xfId="0" applyNumberFormat="1" applyFont="1" applyFill="1" applyBorder="1" applyAlignment="1">
      <alignment horizontal="right"/>
    </xf>
    <xf numFmtId="41" fontId="15" fillId="7" borderId="8" xfId="0" applyNumberFormat="1" applyFont="1" applyFill="1" applyBorder="1" applyAlignment="1">
      <alignment horizontal="right"/>
    </xf>
    <xf numFmtId="164" fontId="15" fillId="7" borderId="0" xfId="1" applyNumberFormat="1" applyFont="1" applyFill="1" applyAlignment="1">
      <alignment horizontal="right"/>
    </xf>
    <xf numFmtId="164" fontId="23" fillId="7" borderId="0" xfId="6" applyNumberFormat="1" applyFont="1" applyFill="1"/>
    <xf numFmtId="9" fontId="1" fillId="0" borderId="11" xfId="6" applyFont="1" applyBorder="1"/>
    <xf numFmtId="44" fontId="6" fillId="0" borderId="0" xfId="2" applyFont="1" applyFill="1" applyAlignment="1">
      <alignment horizontal="right"/>
    </xf>
    <xf numFmtId="41" fontId="24" fillId="0" borderId="0" xfId="0" applyNumberFormat="1" applyFont="1" applyAlignment="1">
      <alignment horizontal="right"/>
    </xf>
    <xf numFmtId="0" fontId="15" fillId="8" borderId="0" xfId="0" applyFont="1" applyFill="1" applyAlignment="1">
      <alignment horizontal="center"/>
    </xf>
    <xf numFmtId="41" fontId="15" fillId="8" borderId="0" xfId="0" applyNumberFormat="1" applyFont="1" applyFill="1" applyAlignment="1">
      <alignment horizontal="right"/>
    </xf>
    <xf numFmtId="41" fontId="23" fillId="8" borderId="0" xfId="6" applyNumberFormat="1" applyFont="1" applyFill="1"/>
    <xf numFmtId="164" fontId="15" fillId="8" borderId="0" xfId="1" applyNumberFormat="1" applyFont="1" applyFill="1" applyAlignment="1">
      <alignment horizontal="right"/>
    </xf>
    <xf numFmtId="164" fontId="23" fillId="8" borderId="0" xfId="6" applyNumberFormat="1" applyFont="1" applyFill="1"/>
    <xf numFmtId="0" fontId="19" fillId="0" borderId="0" xfId="0" applyFont="1" applyAlignment="1">
      <alignment horizontal="center"/>
    </xf>
    <xf numFmtId="44" fontId="29" fillId="0" borderId="0" xfId="2" applyFont="1" applyFill="1" applyAlignment="1">
      <alignment horizontal="right"/>
    </xf>
    <xf numFmtId="0" fontId="19" fillId="8" borderId="0" xfId="0" applyFont="1" applyFill="1"/>
    <xf numFmtId="0" fontId="6" fillId="4" borderId="7" xfId="0" applyFont="1" applyFill="1" applyBorder="1"/>
    <xf numFmtId="0" fontId="6" fillId="4" borderId="4" xfId="0" applyFont="1" applyFill="1" applyBorder="1"/>
    <xf numFmtId="3" fontId="6" fillId="4" borderId="4" xfId="0" applyNumberFormat="1" applyFont="1" applyFill="1" applyBorder="1" applyAlignment="1">
      <alignment horizontal="right"/>
    </xf>
    <xf numFmtId="41" fontId="6" fillId="4" borderId="4" xfId="0" applyNumberFormat="1" applyFont="1" applyFill="1" applyBorder="1" applyAlignment="1">
      <alignment horizontal="right"/>
    </xf>
    <xf numFmtId="41" fontId="6" fillId="4" borderId="8" xfId="0" applyNumberFormat="1" applyFont="1" applyFill="1" applyBorder="1" applyAlignment="1">
      <alignment horizontal="right"/>
    </xf>
    <xf numFmtId="0" fontId="1" fillId="4" borderId="12" xfId="0" applyFont="1" applyFill="1" applyBorder="1" applyAlignment="1">
      <alignment horizontal="center"/>
    </xf>
    <xf numFmtId="0" fontId="6" fillId="4" borderId="0" xfId="0" applyFont="1" applyFill="1"/>
    <xf numFmtId="3" fontId="1" fillId="4" borderId="0" xfId="0" applyNumberFormat="1" applyFont="1" applyFill="1" applyAlignment="1">
      <alignment horizontal="right"/>
    </xf>
    <xf numFmtId="41" fontId="1" fillId="4" borderId="0" xfId="0" applyNumberFormat="1" applyFont="1" applyFill="1" applyAlignment="1">
      <alignment horizontal="right"/>
    </xf>
    <xf numFmtId="41" fontId="1" fillId="4" borderId="13" xfId="0" applyNumberFormat="1" applyFont="1" applyFill="1" applyBorder="1" applyAlignment="1">
      <alignment horizontal="right"/>
    </xf>
    <xf numFmtId="0" fontId="6" fillId="4" borderId="9" xfId="0" applyFont="1" applyFill="1" applyBorder="1"/>
    <xf numFmtId="0" fontId="6" fillId="4" borderId="5" xfId="0" applyFont="1" applyFill="1" applyBorder="1"/>
    <xf numFmtId="10" fontId="6" fillId="4" borderId="5" xfId="6" applyNumberFormat="1" applyFont="1" applyFill="1" applyBorder="1" applyAlignment="1">
      <alignment horizontal="right"/>
    </xf>
    <xf numFmtId="0" fontId="6" fillId="4" borderId="10" xfId="0" applyFont="1" applyFill="1" applyBorder="1" applyAlignment="1">
      <alignment horizontal="right"/>
    </xf>
    <xf numFmtId="0" fontId="24" fillId="4" borderId="12" xfId="0" applyFont="1" applyFill="1" applyBorder="1" applyAlignment="1">
      <alignment horizontal="center"/>
    </xf>
    <xf numFmtId="0" fontId="23" fillId="4" borderId="0" xfId="0" applyFont="1" applyFill="1"/>
    <xf numFmtId="0" fontId="24" fillId="4" borderId="14" xfId="0" applyFont="1" applyFill="1" applyBorder="1" applyAlignment="1">
      <alignment horizontal="center"/>
    </xf>
    <xf numFmtId="0" fontId="23" fillId="4" borderId="11" xfId="0" applyFont="1" applyFill="1" applyBorder="1"/>
    <xf numFmtId="3" fontId="24" fillId="4" borderId="11" xfId="0" applyNumberFormat="1" applyFont="1" applyFill="1" applyBorder="1" applyAlignment="1">
      <alignment horizontal="right"/>
    </xf>
    <xf numFmtId="41" fontId="24" fillId="4" borderId="11" xfId="0" applyNumberFormat="1" applyFont="1" applyFill="1" applyBorder="1" applyAlignment="1">
      <alignment horizontal="right"/>
    </xf>
    <xf numFmtId="41" fontId="24" fillId="4" borderId="15" xfId="0" applyNumberFormat="1" applyFont="1" applyFill="1" applyBorder="1" applyAlignment="1">
      <alignment horizontal="right"/>
    </xf>
    <xf numFmtId="0" fontId="23" fillId="4" borderId="7" xfId="0" applyFont="1" applyFill="1" applyBorder="1"/>
    <xf numFmtId="0" fontId="23" fillId="4" borderId="4" xfId="0" applyFont="1" applyFill="1" applyBorder="1"/>
    <xf numFmtId="3" fontId="23" fillId="4" borderId="4" xfId="0" applyNumberFormat="1" applyFont="1" applyFill="1" applyBorder="1" applyAlignment="1">
      <alignment horizontal="right"/>
    </xf>
    <xf numFmtId="41" fontId="23" fillId="4" borderId="4" xfId="0" applyNumberFormat="1" applyFont="1" applyFill="1" applyBorder="1" applyAlignment="1">
      <alignment horizontal="right"/>
    </xf>
    <xf numFmtId="41" fontId="23" fillId="4" borderId="8" xfId="0" applyNumberFormat="1" applyFont="1" applyFill="1" applyBorder="1" applyAlignment="1">
      <alignment horizontal="right"/>
    </xf>
    <xf numFmtId="3" fontId="23" fillId="4" borderId="0" xfId="0" applyNumberFormat="1" applyFont="1" applyFill="1" applyAlignment="1">
      <alignment horizontal="right"/>
    </xf>
    <xf numFmtId="10" fontId="23" fillId="4" borderId="0" xfId="6" applyNumberFormat="1" applyFont="1" applyFill="1" applyBorder="1" applyAlignment="1">
      <alignment horizontal="right"/>
    </xf>
    <xf numFmtId="41" fontId="23" fillId="4" borderId="0" xfId="0" applyNumberFormat="1" applyFont="1" applyFill="1" applyAlignment="1">
      <alignment horizontal="right"/>
    </xf>
    <xf numFmtId="41" fontId="23" fillId="4" borderId="13" xfId="0" applyNumberFormat="1" applyFont="1" applyFill="1" applyBorder="1" applyAlignment="1">
      <alignment horizontal="right"/>
    </xf>
    <xf numFmtId="0" fontId="23" fillId="4" borderId="9" xfId="0" applyFont="1" applyFill="1" applyBorder="1"/>
    <xf numFmtId="0" fontId="23" fillId="4" borderId="5" xfId="0" applyFont="1" applyFill="1" applyBorder="1"/>
    <xf numFmtId="0" fontId="23" fillId="4" borderId="5" xfId="0" applyFont="1" applyFill="1" applyBorder="1" applyAlignment="1">
      <alignment horizontal="right"/>
    </xf>
    <xf numFmtId="0" fontId="23" fillId="4" borderId="10" xfId="0" applyFont="1" applyFill="1" applyBorder="1" applyAlignment="1">
      <alignment horizontal="right"/>
    </xf>
    <xf numFmtId="0" fontId="0" fillId="4" borderId="7" xfId="0" applyFill="1" applyBorder="1"/>
    <xf numFmtId="0" fontId="0" fillId="4" borderId="4" xfId="0" applyFill="1" applyBorder="1"/>
    <xf numFmtId="3" fontId="0" fillId="4" borderId="4" xfId="0" applyNumberFormat="1" applyFill="1" applyBorder="1" applyAlignment="1">
      <alignment horizontal="right"/>
    </xf>
    <xf numFmtId="41" fontId="0" fillId="4" borderId="4" xfId="0" applyNumberFormat="1" applyFill="1" applyBorder="1" applyAlignment="1">
      <alignment horizontal="right"/>
    </xf>
    <xf numFmtId="41" fontId="0" fillId="4" borderId="8" xfId="0" applyNumberFormat="1" applyFill="1" applyBorder="1" applyAlignment="1">
      <alignment horizontal="right"/>
    </xf>
    <xf numFmtId="0" fontId="0" fillId="4" borderId="0" xfId="0" applyFill="1"/>
    <xf numFmtId="3" fontId="0" fillId="4" borderId="0" xfId="0" applyNumberFormat="1" applyFill="1" applyAlignment="1">
      <alignment horizontal="right"/>
    </xf>
    <xf numFmtId="9" fontId="0" fillId="4" borderId="0" xfId="0" applyNumberFormat="1" applyFill="1" applyAlignment="1">
      <alignment horizontal="right"/>
    </xf>
    <xf numFmtId="3" fontId="0" fillId="4" borderId="13" xfId="0" applyNumberFormat="1" applyFill="1" applyBorder="1" applyAlignment="1">
      <alignment horizontal="right"/>
    </xf>
    <xf numFmtId="0" fontId="0" fillId="4" borderId="9" xfId="0" applyFill="1" applyBorder="1"/>
    <xf numFmtId="0" fontId="0" fillId="4" borderId="5" xfId="0" applyFill="1" applyBorder="1"/>
    <xf numFmtId="0" fontId="0" fillId="4" borderId="5" xfId="0" applyFill="1" applyBorder="1" applyAlignment="1">
      <alignment horizontal="right"/>
    </xf>
    <xf numFmtId="0" fontId="0" fillId="4" borderId="10" xfId="0" applyFill="1" applyBorder="1" applyAlignment="1">
      <alignment horizontal="right"/>
    </xf>
    <xf numFmtId="3" fontId="19" fillId="8" borderId="0" xfId="3" applyNumberFormat="1" applyFont="1" applyFill="1"/>
    <xf numFmtId="9" fontId="23" fillId="4" borderId="0" xfId="6" applyFont="1" applyFill="1" applyBorder="1" applyAlignment="1">
      <alignment horizontal="right"/>
    </xf>
    <xf numFmtId="3" fontId="23" fillId="4" borderId="13" xfId="0" applyNumberFormat="1" applyFont="1" applyFill="1" applyBorder="1" applyAlignment="1">
      <alignment horizontal="right"/>
    </xf>
    <xf numFmtId="0" fontId="24" fillId="4" borderId="11" xfId="0" applyFont="1" applyFill="1" applyBorder="1"/>
    <xf numFmtId="43" fontId="24" fillId="4" borderId="11" xfId="0" applyNumberFormat="1" applyFont="1" applyFill="1" applyBorder="1"/>
    <xf numFmtId="0" fontId="41" fillId="6" borderId="10" xfId="5" applyFont="1" applyFill="1" applyBorder="1" applyAlignment="1">
      <alignment horizontal="center"/>
    </xf>
    <xf numFmtId="43" fontId="24" fillId="5" borderId="15" xfId="0" applyNumberFormat="1" applyFont="1" applyFill="1" applyBorder="1"/>
    <xf numFmtId="39" fontId="23" fillId="0" borderId="0" xfId="0" applyNumberFormat="1" applyFont="1" applyAlignment="1">
      <alignment horizontal="center"/>
    </xf>
    <xf numFmtId="39" fontId="24" fillId="0" borderId="0" xfId="0" applyNumberFormat="1" applyFont="1" applyAlignment="1">
      <alignment horizontal="center"/>
    </xf>
    <xf numFmtId="39" fontId="23" fillId="0" borderId="0" xfId="0" applyNumberFormat="1" applyFont="1"/>
    <xf numFmtId="0" fontId="41" fillId="0" borderId="0" xfId="5" applyFont="1"/>
    <xf numFmtId="43" fontId="41" fillId="0" borderId="0" xfId="5" applyNumberFormat="1" applyFont="1"/>
    <xf numFmtId="3" fontId="22" fillId="0" borderId="0" xfId="0" applyNumberFormat="1" applyFont="1"/>
    <xf numFmtId="10" fontId="22" fillId="0" borderId="0" xfId="0" applyNumberFormat="1" applyFont="1"/>
    <xf numFmtId="43" fontId="15" fillId="0" borderId="0" xfId="1" applyFont="1" applyFill="1" applyAlignment="1">
      <alignment horizontal="right"/>
    </xf>
    <xf numFmtId="41" fontId="15" fillId="0" borderId="0" xfId="1" applyNumberFormat="1" applyFont="1" applyFill="1" applyAlignment="1">
      <alignment horizontal="right"/>
    </xf>
    <xf numFmtId="41" fontId="15" fillId="0" borderId="0" xfId="6" applyNumberFormat="1" applyFont="1" applyFill="1"/>
    <xf numFmtId="2" fontId="15" fillId="0" borderId="0" xfId="1" applyNumberFormat="1" applyFont="1" applyFill="1" applyAlignment="1">
      <alignment horizontal="right"/>
    </xf>
    <xf numFmtId="3" fontId="15" fillId="9" borderId="0" xfId="4" applyNumberFormat="1" applyFont="1" applyFill="1"/>
    <xf numFmtId="3" fontId="15" fillId="9" borderId="0" xfId="3" applyNumberFormat="1" applyFont="1" applyFill="1"/>
    <xf numFmtId="41" fontId="15" fillId="9" borderId="0" xfId="0" applyNumberFormat="1" applyFont="1" applyFill="1" applyAlignment="1">
      <alignment horizontal="right"/>
    </xf>
    <xf numFmtId="3" fontId="19" fillId="9" borderId="0" xfId="3" applyNumberFormat="1" applyFont="1" applyFill="1"/>
    <xf numFmtId="41" fontId="19" fillId="9" borderId="0" xfId="0" applyNumberFormat="1" applyFont="1" applyFill="1" applyAlignment="1">
      <alignment horizontal="right"/>
    </xf>
    <xf numFmtId="41" fontId="15" fillId="9" borderId="0" xfId="6" applyNumberFormat="1" applyFont="1" applyFill="1"/>
    <xf numFmtId="164" fontId="19" fillId="9" borderId="0" xfId="1" applyNumberFormat="1" applyFont="1" applyFill="1" applyAlignment="1">
      <alignment horizontal="right"/>
    </xf>
    <xf numFmtId="3" fontId="15" fillId="0" borderId="0" xfId="0" applyNumberFormat="1" applyFont="1"/>
    <xf numFmtId="164" fontId="23" fillId="9" borderId="0" xfId="1" applyNumberFormat="1" applyFont="1" applyFill="1" applyAlignment="1">
      <alignment horizontal="right"/>
    </xf>
    <xf numFmtId="3" fontId="23" fillId="9" borderId="0" xfId="3" applyNumberFormat="1" applyFont="1" applyFill="1"/>
    <xf numFmtId="0" fontId="23" fillId="7" borderId="0" xfId="0" applyFont="1" applyFill="1"/>
    <xf numFmtId="41" fontId="22" fillId="0" borderId="0" xfId="0" applyNumberFormat="1" applyFont="1"/>
    <xf numFmtId="0" fontId="23" fillId="3" borderId="0" xfId="0" applyFont="1" applyFill="1" applyAlignment="1">
      <alignment horizontal="center"/>
    </xf>
    <xf numFmtId="41" fontId="41" fillId="0" borderId="0" xfId="0" applyNumberFormat="1" applyFont="1"/>
    <xf numFmtId="41" fontId="41" fillId="3" borderId="0" xfId="0" applyNumberFormat="1" applyFont="1" applyFill="1"/>
    <xf numFmtId="0" fontId="44" fillId="0" borderId="0" xfId="4" applyFont="1"/>
    <xf numFmtId="0" fontId="44" fillId="6" borderId="0" xfId="4" applyFont="1" applyFill="1"/>
    <xf numFmtId="0" fontId="45" fillId="0" borderId="0" xfId="4" applyFont="1" applyAlignment="1">
      <alignment horizontal="center"/>
    </xf>
    <xf numFmtId="0" fontId="45" fillId="5" borderId="0" xfId="4" applyFont="1" applyFill="1" applyAlignment="1">
      <alignment horizontal="center"/>
    </xf>
    <xf numFmtId="0" fontId="46" fillId="0" borderId="0" xfId="4" applyFont="1" applyAlignment="1">
      <alignment horizontal="center" vertical="center"/>
    </xf>
    <xf numFmtId="0" fontId="46" fillId="11" borderId="0" xfId="4" applyFont="1" applyFill="1" applyAlignment="1">
      <alignment horizontal="center" vertical="center"/>
    </xf>
    <xf numFmtId="4" fontId="44" fillId="0" borderId="0" xfId="4" applyNumberFormat="1" applyFont="1"/>
    <xf numFmtId="43" fontId="44" fillId="0" borderId="0" xfId="4" applyNumberFormat="1" applyFont="1"/>
    <xf numFmtId="40" fontId="47" fillId="0" borderId="0" xfId="4" applyNumberFormat="1" applyFont="1"/>
    <xf numFmtId="43" fontId="44" fillId="0" borderId="0" xfId="1" applyFont="1"/>
    <xf numFmtId="43" fontId="47" fillId="0" borderId="0" xfId="1" applyFont="1"/>
    <xf numFmtId="4" fontId="44" fillId="0" borderId="0" xfId="0" applyNumberFormat="1" applyFont="1"/>
    <xf numFmtId="0" fontId="44" fillId="0" borderId="0" xfId="4" applyFont="1" applyAlignment="1">
      <alignment wrapText="1"/>
    </xf>
    <xf numFmtId="0" fontId="44" fillId="0" borderId="0" xfId="4" applyFont="1" applyAlignment="1">
      <alignment vertical="center" wrapText="1"/>
    </xf>
    <xf numFmtId="43" fontId="44" fillId="0" borderId="0" xfId="4" applyNumberFormat="1" applyFont="1" applyAlignment="1">
      <alignment vertical="center"/>
    </xf>
    <xf numFmtId="38" fontId="47" fillId="0" borderId="0" xfId="4" applyNumberFormat="1" applyFont="1" applyAlignment="1">
      <alignment vertical="center"/>
    </xf>
    <xf numFmtId="0" fontId="44" fillId="0" borderId="0" xfId="4" applyFont="1" applyAlignment="1">
      <alignment vertical="center"/>
    </xf>
    <xf numFmtId="40" fontId="47" fillId="0" borderId="0" xfId="4" applyNumberFormat="1" applyFont="1" applyAlignment="1">
      <alignment vertical="center"/>
    </xf>
    <xf numFmtId="43" fontId="44" fillId="0" borderId="0" xfId="1" applyFont="1" applyAlignment="1">
      <alignment vertical="center"/>
    </xf>
    <xf numFmtId="43" fontId="47" fillId="0" borderId="0" xfId="1" applyFont="1" applyAlignment="1">
      <alignment vertical="center"/>
    </xf>
    <xf numFmtId="0" fontId="48" fillId="0" borderId="0" xfId="4" applyFont="1"/>
    <xf numFmtId="0" fontId="45" fillId="0" borderId="17" xfId="4" applyFont="1" applyBorder="1"/>
    <xf numFmtId="39" fontId="45" fillId="0" borderId="17" xfId="4" applyNumberFormat="1" applyFont="1" applyBorder="1"/>
    <xf numFmtId="164" fontId="44" fillId="0" borderId="17" xfId="4" applyNumberFormat="1" applyFont="1" applyBorder="1"/>
    <xf numFmtId="164" fontId="44" fillId="0" borderId="0" xfId="4" applyNumberFormat="1" applyFont="1"/>
    <xf numFmtId="164" fontId="45" fillId="0" borderId="17" xfId="4" applyNumberFormat="1" applyFont="1" applyBorder="1"/>
    <xf numFmtId="0" fontId="44" fillId="0" borderId="17" xfId="4" applyFont="1" applyBorder="1"/>
    <xf numFmtId="0" fontId="44" fillId="0" borderId="0" xfId="4" applyFont="1" applyAlignment="1">
      <alignment horizontal="right"/>
    </xf>
    <xf numFmtId="39" fontId="44" fillId="0" borderId="0" xfId="4" applyNumberFormat="1" applyFont="1"/>
    <xf numFmtId="2" fontId="44" fillId="0" borderId="0" xfId="4" applyNumberFormat="1" applyFont="1"/>
    <xf numFmtId="0" fontId="49" fillId="0" borderId="0" xfId="0" applyFont="1"/>
    <xf numFmtId="0" fontId="50" fillId="0" borderId="0" xfId="0" applyFont="1"/>
    <xf numFmtId="0" fontId="51" fillId="0" borderId="0" xfId="4" applyFont="1"/>
    <xf numFmtId="0" fontId="44" fillId="0" borderId="0" xfId="4" applyFont="1" applyAlignment="1">
      <alignment horizontal="left" vertical="top" wrapText="1"/>
    </xf>
    <xf numFmtId="43" fontId="47" fillId="11" borderId="0" xfId="1" applyFont="1" applyFill="1"/>
    <xf numFmtId="43" fontId="45" fillId="0" borderId="17" xfId="1" applyFont="1" applyBorder="1"/>
    <xf numFmtId="43" fontId="45" fillId="11" borderId="17" xfId="1" applyFont="1" applyFill="1" applyBorder="1"/>
    <xf numFmtId="43" fontId="44" fillId="0" borderId="0" xfId="4" applyNumberFormat="1" applyFont="1" applyAlignment="1">
      <alignment wrapText="1"/>
    </xf>
    <xf numFmtId="0" fontId="44" fillId="0" borderId="0" xfId="0" applyFont="1"/>
    <xf numFmtId="43" fontId="0" fillId="0" borderId="0" xfId="1" applyFont="1"/>
    <xf numFmtId="43" fontId="44" fillId="0" borderId="17" xfId="1" applyFont="1" applyBorder="1"/>
    <xf numFmtId="0" fontId="45" fillId="5" borderId="0" xfId="4" applyFont="1" applyFill="1" applyAlignment="1">
      <alignment horizontal="center"/>
    </xf>
    <xf numFmtId="0" fontId="43" fillId="10" borderId="0" xfId="4" applyFont="1" applyFill="1" applyAlignment="1">
      <alignment horizontal="center"/>
    </xf>
    <xf numFmtId="1" fontId="43" fillId="10" borderId="0" xfId="4" applyNumberFormat="1" applyFont="1" applyFill="1" applyAlignment="1">
      <alignment horizontal="center"/>
    </xf>
    <xf numFmtId="0" fontId="45" fillId="6" borderId="0" xfId="4" applyFont="1" applyFill="1" applyAlignment="1">
      <alignment horizontal="center" vertical="top"/>
    </xf>
    <xf numFmtId="0" fontId="24" fillId="2" borderId="1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164" fontId="24" fillId="6" borderId="7" xfId="1" applyNumberFormat="1" applyFont="1" applyFill="1" applyBorder="1" applyAlignment="1">
      <alignment horizontal="center" vertical="center"/>
    </xf>
    <xf numFmtId="164" fontId="24" fillId="6" borderId="12" xfId="1" applyNumberFormat="1" applyFont="1" applyFill="1" applyBorder="1" applyAlignment="1">
      <alignment horizontal="center" vertical="center"/>
    </xf>
    <xf numFmtId="164" fontId="24" fillId="6" borderId="9" xfId="1" applyNumberFormat="1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1" fontId="18" fillId="6" borderId="1" xfId="1" applyNumberFormat="1" applyFont="1" applyFill="1" applyBorder="1" applyAlignment="1">
      <alignment horizontal="center" vertical="center"/>
    </xf>
    <xf numFmtId="1" fontId="18" fillId="6" borderId="2" xfId="1" applyNumberFormat="1" applyFont="1" applyFill="1" applyBorder="1" applyAlignment="1">
      <alignment horizontal="center" vertical="center"/>
    </xf>
    <xf numFmtId="1" fontId="18" fillId="6" borderId="3" xfId="1" applyNumberFormat="1" applyFont="1" applyFill="1" applyBorder="1" applyAlignment="1">
      <alignment horizontal="center" vertical="center"/>
    </xf>
    <xf numFmtId="0" fontId="18" fillId="6" borderId="1" xfId="3" applyNumberFormat="1" applyFont="1" applyFill="1" applyBorder="1" applyAlignment="1">
      <alignment horizontal="center" vertical="center" wrapText="1"/>
    </xf>
    <xf numFmtId="0" fontId="18" fillId="6" borderId="2" xfId="3" applyNumberFormat="1" applyFont="1" applyFill="1" applyBorder="1" applyAlignment="1">
      <alignment horizontal="center" vertical="center" wrapText="1"/>
    </xf>
    <xf numFmtId="0" fontId="18" fillId="6" borderId="3" xfId="3" applyNumberFormat="1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24" fillId="6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41" fillId="5" borderId="7" xfId="5" applyFont="1" applyFill="1" applyBorder="1" applyAlignment="1">
      <alignment horizontal="left" vertical="top" wrapText="1"/>
    </xf>
    <xf numFmtId="0" fontId="41" fillId="5" borderId="4" xfId="5" applyFont="1" applyFill="1" applyBorder="1" applyAlignment="1">
      <alignment horizontal="left" vertical="top" wrapText="1"/>
    </xf>
    <xf numFmtId="0" fontId="41" fillId="5" borderId="12" xfId="5" applyFont="1" applyFill="1" applyBorder="1" applyAlignment="1">
      <alignment horizontal="left" vertical="top" wrapText="1"/>
    </xf>
    <xf numFmtId="0" fontId="41" fillId="5" borderId="0" xfId="5" applyFont="1" applyFill="1" applyAlignment="1">
      <alignment horizontal="left" vertical="top" wrapText="1"/>
    </xf>
    <xf numFmtId="0" fontId="41" fillId="5" borderId="9" xfId="5" applyFont="1" applyFill="1" applyBorder="1" applyAlignment="1">
      <alignment horizontal="left" vertical="top" wrapText="1"/>
    </xf>
    <xf numFmtId="0" fontId="41" fillId="5" borderId="5" xfId="5" applyFont="1" applyFill="1" applyBorder="1" applyAlignment="1">
      <alignment horizontal="left" vertical="top" wrapText="1"/>
    </xf>
    <xf numFmtId="0" fontId="1" fillId="6" borderId="7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6" borderId="7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23" fillId="0" borderId="0" xfId="0" applyFont="1" applyAlignment="1">
      <alignment horizontal="right" indent="1"/>
    </xf>
    <xf numFmtId="0" fontId="23" fillId="0" borderId="0" xfId="0" applyFont="1" applyAlignment="1">
      <alignment horizontal="right"/>
    </xf>
    <xf numFmtId="0" fontId="26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1" fillId="8" borderId="15" xfId="0" applyFont="1" applyFill="1" applyBorder="1" applyAlignment="1">
      <alignment horizontal="center"/>
    </xf>
  </cellXfs>
  <cellStyles count="7">
    <cellStyle name="Comma" xfId="1" builtinId="3"/>
    <cellStyle name="Currency" xfId="2" builtinId="4"/>
    <cellStyle name="Explanatory Text" xfId="3" builtinId="53"/>
    <cellStyle name="Normal" xfId="0" builtinId="0"/>
    <cellStyle name="Normal 2" xfId="4" xr:uid="{9244FCB0-A7BA-4E58-B26C-B61B16F0CD8C}"/>
    <cellStyle name="Normal_RBP '97 Smith's conversion" xfId="5" xr:uid="{DED52D43-6379-43C9-B174-41B14A455D05}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19</xdr:row>
      <xdr:rowOff>0</xdr:rowOff>
    </xdr:from>
    <xdr:to>
      <xdr:col>63</xdr:col>
      <xdr:colOff>1079082</xdr:colOff>
      <xdr:row>36</xdr:row>
      <xdr:rowOff>150768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4F6565-DF4F-E52C-3F9F-2757B14A4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97143" y="4209143"/>
          <a:ext cx="9506439" cy="35434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0</xdr:row>
      <xdr:rowOff>76200</xdr:rowOff>
    </xdr:from>
    <xdr:to>
      <xdr:col>1</xdr:col>
      <xdr:colOff>1085850</xdr:colOff>
      <xdr:row>6</xdr:row>
      <xdr:rowOff>19050</xdr:rowOff>
    </xdr:to>
    <xdr:pic>
      <xdr:nvPicPr>
        <xdr:cNvPr id="1982" name="Picture 2">
          <a:extLst>
            <a:ext uri="{FF2B5EF4-FFF2-40B4-BE49-F238E27FC236}">
              <a16:creationId xmlns:a16="http://schemas.microsoft.com/office/drawing/2014/main" id="{42B11144-6B30-83F1-E598-B111F3F9F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76200"/>
          <a:ext cx="91440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704850</xdr:colOff>
      <xdr:row>0</xdr:row>
      <xdr:rowOff>19050</xdr:rowOff>
    </xdr:from>
    <xdr:to>
      <xdr:col>0</xdr:col>
      <xdr:colOff>1619250</xdr:colOff>
      <xdr:row>5</xdr:row>
      <xdr:rowOff>123825</xdr:rowOff>
    </xdr:to>
    <xdr:pic>
      <xdr:nvPicPr>
        <xdr:cNvPr id="2817" name="Picture 2">
          <a:extLst>
            <a:ext uri="{FF2B5EF4-FFF2-40B4-BE49-F238E27FC236}">
              <a16:creationId xmlns:a16="http://schemas.microsoft.com/office/drawing/2014/main" id="{C69F88C2-43A1-4BA2-CF2D-B37A451D0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19050"/>
          <a:ext cx="9144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866775</xdr:colOff>
      <xdr:row>0</xdr:row>
      <xdr:rowOff>-12325350</xdr:rowOff>
    </xdr:from>
    <xdr:to>
      <xdr:col>0</xdr:col>
      <xdr:colOff>1781175</xdr:colOff>
      <xdr:row>6</xdr:row>
      <xdr:rowOff>-9372600</xdr:rowOff>
    </xdr:to>
    <xdr:pic>
      <xdr:nvPicPr>
        <xdr:cNvPr id="7965" name="Picture 2">
          <a:extLst>
            <a:ext uri="{FF2B5EF4-FFF2-40B4-BE49-F238E27FC236}">
              <a16:creationId xmlns:a16="http://schemas.microsoft.com/office/drawing/2014/main" id="{A4349908-5319-EADD-F75D-B4E9DF1C3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-12325350"/>
          <a:ext cx="914400" cy="409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304800</xdr:colOff>
      <xdr:row>0</xdr:row>
      <xdr:rowOff>114300</xdr:rowOff>
    </xdr:from>
    <xdr:to>
      <xdr:col>0</xdr:col>
      <xdr:colOff>1219200</xdr:colOff>
      <xdr:row>6</xdr:row>
      <xdr:rowOff>28575</xdr:rowOff>
    </xdr:to>
    <xdr:pic>
      <xdr:nvPicPr>
        <xdr:cNvPr id="7966" name="Picture 2">
          <a:extLst>
            <a:ext uri="{FF2B5EF4-FFF2-40B4-BE49-F238E27FC236}">
              <a16:creationId xmlns:a16="http://schemas.microsoft.com/office/drawing/2014/main" id="{8A302C08-2C9C-65A0-9C0C-1D2F37FAE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14300"/>
          <a:ext cx="9144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0</xdr:row>
      <xdr:rowOff>85725</xdr:rowOff>
    </xdr:from>
    <xdr:to>
      <xdr:col>0</xdr:col>
      <xdr:colOff>1600200</xdr:colOff>
      <xdr:row>6</xdr:row>
      <xdr:rowOff>28575</xdr:rowOff>
    </xdr:to>
    <xdr:pic>
      <xdr:nvPicPr>
        <xdr:cNvPr id="5814" name="Picture 2">
          <a:extLst>
            <a:ext uri="{FF2B5EF4-FFF2-40B4-BE49-F238E27FC236}">
              <a16:creationId xmlns:a16="http://schemas.microsoft.com/office/drawing/2014/main" id="{D410227D-3780-1A18-27BE-E8BBB2B98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85725"/>
          <a:ext cx="91440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0</xdr:row>
      <xdr:rowOff>104775</xdr:rowOff>
    </xdr:from>
    <xdr:to>
      <xdr:col>0</xdr:col>
      <xdr:colOff>1438275</xdr:colOff>
      <xdr:row>6</xdr:row>
      <xdr:rowOff>38100</xdr:rowOff>
    </xdr:to>
    <xdr:pic>
      <xdr:nvPicPr>
        <xdr:cNvPr id="8894" name="Picture 3">
          <a:extLst>
            <a:ext uri="{FF2B5EF4-FFF2-40B4-BE49-F238E27FC236}">
              <a16:creationId xmlns:a16="http://schemas.microsoft.com/office/drawing/2014/main" id="{FCE0A017-9BEF-92DA-C363-B33F37FD7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104775"/>
          <a:ext cx="9144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638175</xdr:colOff>
      <xdr:row>0</xdr:row>
      <xdr:rowOff>123825</xdr:rowOff>
    </xdr:from>
    <xdr:to>
      <xdr:col>0</xdr:col>
      <xdr:colOff>1552575</xdr:colOff>
      <xdr:row>6</xdr:row>
      <xdr:rowOff>66675</xdr:rowOff>
    </xdr:to>
    <xdr:pic>
      <xdr:nvPicPr>
        <xdr:cNvPr id="4799" name="Picture 2">
          <a:extLst>
            <a:ext uri="{FF2B5EF4-FFF2-40B4-BE49-F238E27FC236}">
              <a16:creationId xmlns:a16="http://schemas.microsoft.com/office/drawing/2014/main" id="{1245D8C9-28C8-2D80-429E-0885F92F1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123825"/>
          <a:ext cx="91440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0</xdr:row>
      <xdr:rowOff>85725</xdr:rowOff>
    </xdr:from>
    <xdr:to>
      <xdr:col>0</xdr:col>
      <xdr:colOff>1428750</xdr:colOff>
      <xdr:row>6</xdr:row>
      <xdr:rowOff>28575</xdr:rowOff>
    </xdr:to>
    <xdr:pic>
      <xdr:nvPicPr>
        <xdr:cNvPr id="9910" name="Picture 2">
          <a:extLst>
            <a:ext uri="{FF2B5EF4-FFF2-40B4-BE49-F238E27FC236}">
              <a16:creationId xmlns:a16="http://schemas.microsoft.com/office/drawing/2014/main" id="{4C338A7D-7FB5-3AC7-C135-8D41C9BAD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85725"/>
          <a:ext cx="91440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704850</xdr:colOff>
      <xdr:row>0</xdr:row>
      <xdr:rowOff>19050</xdr:rowOff>
    </xdr:from>
    <xdr:to>
      <xdr:col>0</xdr:col>
      <xdr:colOff>1619250</xdr:colOff>
      <xdr:row>5</xdr:row>
      <xdr:rowOff>123825</xdr:rowOff>
    </xdr:to>
    <xdr:pic>
      <xdr:nvPicPr>
        <xdr:cNvPr id="19517" name="Picture 2">
          <a:extLst>
            <a:ext uri="{FF2B5EF4-FFF2-40B4-BE49-F238E27FC236}">
              <a16:creationId xmlns:a16="http://schemas.microsoft.com/office/drawing/2014/main" id="{B6633415-21D1-1E78-EB1A-5D2499464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19050"/>
          <a:ext cx="9144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304800</xdr:colOff>
      <xdr:row>36</xdr:row>
      <xdr:rowOff>123825</xdr:rowOff>
    </xdr:from>
    <xdr:to>
      <xdr:col>36</xdr:col>
      <xdr:colOff>552450</xdr:colOff>
      <xdr:row>49</xdr:row>
      <xdr:rowOff>104775</xdr:rowOff>
    </xdr:to>
    <xdr:pic>
      <xdr:nvPicPr>
        <xdr:cNvPr id="13823" name="Picture 1">
          <a:extLst>
            <a:ext uri="{FF2B5EF4-FFF2-40B4-BE49-F238E27FC236}">
              <a16:creationId xmlns:a16="http://schemas.microsoft.com/office/drawing/2014/main" id="{DD41B91D-45ED-B938-DDEE-D6D08A1E2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4275" y="5953125"/>
          <a:ext cx="4791075" cy="2085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85725</xdr:rowOff>
    </xdr:from>
    <xdr:to>
      <xdr:col>0</xdr:col>
      <xdr:colOff>942975</xdr:colOff>
      <xdr:row>5</xdr:row>
      <xdr:rowOff>66675</xdr:rowOff>
    </xdr:to>
    <xdr:pic>
      <xdr:nvPicPr>
        <xdr:cNvPr id="17508" name="Picture 1">
          <a:extLst>
            <a:ext uri="{FF2B5EF4-FFF2-40B4-BE49-F238E27FC236}">
              <a16:creationId xmlns:a16="http://schemas.microsoft.com/office/drawing/2014/main" id="{681BC92E-3A1C-31AC-7B91-076C8E99C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85725"/>
          <a:ext cx="78105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20</xdr:row>
      <xdr:rowOff>76200</xdr:rowOff>
    </xdr:from>
    <xdr:to>
      <xdr:col>8</xdr:col>
      <xdr:colOff>390525</xdr:colOff>
      <xdr:row>52</xdr:row>
      <xdr:rowOff>95250</xdr:rowOff>
    </xdr:to>
    <xdr:pic>
      <xdr:nvPicPr>
        <xdr:cNvPr id="18689" name="Picture 2">
          <a:extLst>
            <a:ext uri="{FF2B5EF4-FFF2-40B4-BE49-F238E27FC236}">
              <a16:creationId xmlns:a16="http://schemas.microsoft.com/office/drawing/2014/main" id="{E28ACA09-DF4E-3F3C-7BA7-0091967AF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314700"/>
          <a:ext cx="5057775" cy="520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161925</xdr:colOff>
      <xdr:row>21</xdr:row>
      <xdr:rowOff>0</xdr:rowOff>
    </xdr:from>
    <xdr:to>
      <xdr:col>17</xdr:col>
      <xdr:colOff>66675</xdr:colOff>
      <xdr:row>34</xdr:row>
      <xdr:rowOff>9525</xdr:rowOff>
    </xdr:to>
    <xdr:pic>
      <xdr:nvPicPr>
        <xdr:cNvPr id="18690" name="Picture 4">
          <a:extLst>
            <a:ext uri="{FF2B5EF4-FFF2-40B4-BE49-F238E27FC236}">
              <a16:creationId xmlns:a16="http://schemas.microsoft.com/office/drawing/2014/main" id="{2635A527-B674-0AC1-970D-F7DE2612A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8325" y="3400425"/>
          <a:ext cx="4781550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4D6A5-D4BA-4FAB-85B2-B29FD3065D00}">
  <dimension ref="A1:BP39"/>
  <sheetViews>
    <sheetView tabSelected="1" topLeftCell="AE1" zoomScale="70" zoomScaleNormal="70" workbookViewId="0">
      <selection activeCell="AI12" sqref="AI12"/>
    </sheetView>
  </sheetViews>
  <sheetFormatPr defaultColWidth="33.1796875" defaultRowHeight="15.5"/>
  <cols>
    <col min="1" max="1" width="36.1796875" style="423" customWidth="1"/>
    <col min="2" max="2" width="13.453125" style="423" hidden="1" customWidth="1"/>
    <col min="3" max="3" width="16" style="423" hidden="1" customWidth="1"/>
    <col min="4" max="4" width="12.81640625" style="423" hidden="1" customWidth="1"/>
    <col min="5" max="5" width="52.81640625" style="423" hidden="1" customWidth="1"/>
    <col min="6" max="6" width="5.54296875" style="423" hidden="1" customWidth="1"/>
    <col min="7" max="7" width="13.1796875" style="423" hidden="1" customWidth="1"/>
    <col min="8" max="8" width="17.54296875" style="423" hidden="1" customWidth="1"/>
    <col min="9" max="9" width="10.81640625" style="423" hidden="1" customWidth="1"/>
    <col min="10" max="10" width="34" style="423" hidden="1" customWidth="1"/>
    <col min="11" max="11" width="12.453125" style="423" hidden="1" customWidth="1"/>
    <col min="12" max="12" width="13.7265625" style="423" hidden="1" customWidth="1"/>
    <col min="13" max="13" width="17.54296875" style="423" hidden="1" customWidth="1"/>
    <col min="14" max="14" width="10.81640625" style="423" hidden="1" customWidth="1"/>
    <col min="15" max="15" width="33.81640625" style="423" hidden="1" customWidth="1"/>
    <col min="16" max="16" width="11.7265625" style="423" customWidth="1"/>
    <col min="17" max="17" width="12" style="423" hidden="1" customWidth="1"/>
    <col min="18" max="18" width="16" style="423" hidden="1" customWidth="1"/>
    <col min="19" max="19" width="13.54296875" style="423" hidden="1" customWidth="1"/>
    <col min="20" max="20" width="12.1796875" style="423" hidden="1" customWidth="1"/>
    <col min="21" max="21" width="19.453125" style="423" hidden="1" customWidth="1"/>
    <col min="22" max="22" width="12" style="423" hidden="1" customWidth="1"/>
    <col min="23" max="23" width="16" style="423" hidden="1" customWidth="1"/>
    <col min="24" max="24" width="14.7265625" style="423" hidden="1" customWidth="1"/>
    <col min="25" max="25" width="33.81640625" style="423" hidden="1" customWidth="1"/>
    <col min="26" max="26" width="18.453125" style="423" hidden="1" customWidth="1"/>
    <col min="27" max="27" width="12.1796875" style="423" bestFit="1" customWidth="1"/>
    <col min="28" max="28" width="16" style="423" bestFit="1" customWidth="1"/>
    <col min="29" max="29" width="12.90625" style="423" bestFit="1" customWidth="1"/>
    <col min="30" max="30" width="36.1796875" style="423" customWidth="1"/>
    <col min="31" max="31" width="14.54296875" style="423" customWidth="1"/>
    <col min="32" max="32" width="12.81640625" style="423" bestFit="1" customWidth="1"/>
    <col min="33" max="33" width="16.08984375" style="423" bestFit="1" customWidth="1"/>
    <col min="34" max="34" width="10.08984375" style="423" bestFit="1" customWidth="1"/>
    <col min="35" max="35" width="36.7265625" style="423" customWidth="1"/>
    <col min="36" max="36" width="8.453125" style="423" hidden="1" customWidth="1"/>
    <col min="37" max="39" width="33.1796875" style="423" hidden="1" customWidth="1"/>
    <col min="40" max="40" width="41.26953125" style="423" hidden="1" customWidth="1"/>
    <col min="41" max="41" width="8.453125" style="423" hidden="1" customWidth="1"/>
    <col min="42" max="44" width="33.1796875" style="423" hidden="1" customWidth="1"/>
    <col min="45" max="45" width="44.7265625" style="423" hidden="1" customWidth="1"/>
    <col min="46" max="46" width="4" style="423" hidden="1" customWidth="1"/>
    <col min="47" max="49" width="33.1796875" style="423" hidden="1" customWidth="1"/>
    <col min="50" max="50" width="51.1796875" style="423" hidden="1" customWidth="1"/>
    <col min="51" max="51" width="5.453125" style="423" hidden="1" customWidth="1"/>
    <col min="52" max="54" width="33.1796875" style="423" hidden="1" customWidth="1"/>
    <col min="55" max="55" width="44.453125" style="423" hidden="1" customWidth="1"/>
    <col min="56" max="56" width="2.26953125" style="423" hidden="1" customWidth="1"/>
    <col min="57" max="59" width="33.1796875" style="423" hidden="1" customWidth="1"/>
    <col min="60" max="60" width="40.26953125" style="423" hidden="1" customWidth="1"/>
    <col min="61" max="61" width="7.1796875" style="423" customWidth="1"/>
    <col min="62" max="62" width="23.453125" style="423" bestFit="1" customWidth="1"/>
    <col min="63" max="63" width="14.08984375" style="423" bestFit="1" customWidth="1"/>
    <col min="64" max="64" width="16.26953125" style="423" bestFit="1" customWidth="1"/>
    <col min="65" max="65" width="12.90625" style="423" bestFit="1" customWidth="1"/>
    <col min="66" max="66" width="66.81640625" style="423" customWidth="1"/>
    <col min="67" max="67" width="3.81640625" style="423" customWidth="1"/>
    <col min="68" max="69" width="33.1796875" style="423" customWidth="1"/>
    <col min="70" max="16384" width="33.1796875" style="423"/>
  </cols>
  <sheetData>
    <row r="1" spans="1:68">
      <c r="A1" s="465">
        <v>731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  <c r="O1" s="465"/>
      <c r="P1" s="465"/>
      <c r="Q1" s="465"/>
      <c r="R1" s="465"/>
      <c r="S1" s="465"/>
      <c r="T1" s="465"/>
      <c r="U1" s="465"/>
      <c r="V1" s="465"/>
      <c r="W1" s="465"/>
      <c r="X1" s="465"/>
      <c r="Y1" s="465"/>
      <c r="Z1" s="465"/>
      <c r="AA1" s="465"/>
      <c r="AB1" s="465"/>
      <c r="AC1" s="465"/>
      <c r="AD1" s="465"/>
      <c r="AE1" s="465"/>
      <c r="AF1" s="465"/>
      <c r="AG1" s="465"/>
      <c r="AH1" s="465"/>
      <c r="AI1" s="465"/>
      <c r="AJ1" s="465"/>
      <c r="AK1" s="465"/>
      <c r="AL1" s="465"/>
      <c r="AM1" s="465"/>
      <c r="AN1" s="465"/>
      <c r="AO1" s="465"/>
      <c r="AP1" s="465"/>
      <c r="AQ1" s="465"/>
      <c r="AR1" s="465"/>
      <c r="AS1" s="465"/>
      <c r="AT1" s="465"/>
      <c r="AU1" s="465"/>
      <c r="AV1" s="465"/>
      <c r="AW1" s="465"/>
      <c r="AX1" s="465"/>
      <c r="AY1" s="465"/>
      <c r="AZ1" s="465"/>
      <c r="BA1" s="465"/>
      <c r="BB1" s="465"/>
      <c r="BC1" s="465"/>
      <c r="BD1" s="465"/>
      <c r="BE1" s="465"/>
      <c r="BF1" s="465"/>
      <c r="BG1" s="465"/>
      <c r="BH1" s="465"/>
      <c r="BI1" s="465"/>
      <c r="BJ1" s="465"/>
      <c r="BK1" s="465"/>
      <c r="BL1" s="465"/>
      <c r="BM1" s="465"/>
      <c r="BN1" s="465"/>
      <c r="BO1" s="465"/>
      <c r="BP1" s="465"/>
    </row>
    <row r="2" spans="1:68">
      <c r="A2" s="465" t="s">
        <v>0</v>
      </c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  <c r="P2" s="465"/>
      <c r="Q2" s="465"/>
      <c r="R2" s="465"/>
      <c r="S2" s="465"/>
      <c r="T2" s="465"/>
      <c r="U2" s="465"/>
      <c r="V2" s="465"/>
      <c r="W2" s="465"/>
      <c r="X2" s="465"/>
      <c r="Y2" s="465"/>
      <c r="Z2" s="465"/>
      <c r="AA2" s="465"/>
      <c r="AB2" s="465"/>
      <c r="AC2" s="465"/>
      <c r="AD2" s="465"/>
      <c r="AE2" s="465"/>
      <c r="AF2" s="465"/>
      <c r="AG2" s="465"/>
      <c r="AH2" s="465"/>
      <c r="AI2" s="465"/>
      <c r="AJ2" s="465"/>
      <c r="AK2" s="465"/>
      <c r="AL2" s="465"/>
      <c r="AM2" s="465"/>
      <c r="AN2" s="465"/>
      <c r="AO2" s="465"/>
      <c r="AP2" s="465"/>
      <c r="AQ2" s="465"/>
      <c r="AR2" s="465"/>
      <c r="AS2" s="465"/>
      <c r="AT2" s="465"/>
      <c r="AU2" s="465"/>
      <c r="AV2" s="465"/>
      <c r="AW2" s="465"/>
      <c r="AX2" s="465"/>
      <c r="AY2" s="465"/>
      <c r="AZ2" s="465"/>
      <c r="BA2" s="465"/>
      <c r="BB2" s="465"/>
      <c r="BC2" s="465"/>
      <c r="BD2" s="465"/>
      <c r="BE2" s="465"/>
      <c r="BF2" s="465"/>
      <c r="BG2" s="465"/>
      <c r="BH2" s="465"/>
      <c r="BI2" s="465"/>
      <c r="BJ2" s="465"/>
      <c r="BK2" s="465"/>
      <c r="BL2" s="465"/>
      <c r="BM2" s="465"/>
      <c r="BN2" s="465"/>
      <c r="BO2" s="465"/>
      <c r="BP2" s="465"/>
    </row>
    <row r="3" spans="1:68">
      <c r="A3" s="466">
        <v>2026</v>
      </c>
      <c r="B3" s="466"/>
      <c r="C3" s="466"/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466"/>
      <c r="S3" s="466"/>
      <c r="T3" s="466"/>
      <c r="U3" s="466"/>
      <c r="V3" s="466"/>
      <c r="W3" s="466"/>
      <c r="X3" s="466"/>
      <c r="Y3" s="466"/>
      <c r="Z3" s="466"/>
      <c r="AA3" s="466"/>
      <c r="AB3" s="466"/>
      <c r="AC3" s="466"/>
      <c r="AD3" s="466"/>
      <c r="AE3" s="466"/>
      <c r="AF3" s="466"/>
      <c r="AG3" s="466"/>
      <c r="AH3" s="466"/>
      <c r="AI3" s="466"/>
      <c r="AJ3" s="466"/>
      <c r="AK3" s="466"/>
      <c r="AL3" s="466"/>
      <c r="AM3" s="466"/>
      <c r="AN3" s="466"/>
      <c r="AO3" s="466"/>
      <c r="AP3" s="466"/>
      <c r="AQ3" s="466"/>
      <c r="AR3" s="466"/>
      <c r="AS3" s="466"/>
      <c r="AT3" s="466"/>
      <c r="AU3" s="466"/>
      <c r="AV3" s="466"/>
      <c r="AW3" s="466"/>
      <c r="AX3" s="466"/>
      <c r="AY3" s="466"/>
      <c r="AZ3" s="466"/>
      <c r="BA3" s="466"/>
      <c r="BB3" s="466"/>
      <c r="BC3" s="466"/>
      <c r="BD3" s="466"/>
      <c r="BE3" s="466"/>
      <c r="BF3" s="466"/>
      <c r="BG3" s="466"/>
      <c r="BH3" s="466"/>
      <c r="BI3" s="466"/>
      <c r="BJ3" s="466"/>
      <c r="BK3" s="466"/>
      <c r="BL3" s="466"/>
      <c r="BM3" s="466"/>
      <c r="BN3" s="466"/>
      <c r="BO3" s="466"/>
      <c r="BP3" s="466"/>
    </row>
    <row r="4" spans="1:68">
      <c r="A4" s="424"/>
      <c r="B4" s="467" t="s">
        <v>1</v>
      </c>
      <c r="C4" s="467"/>
      <c r="D4" s="467"/>
      <c r="E4" s="467"/>
      <c r="F4" s="425"/>
      <c r="G4" s="467" t="s">
        <v>2</v>
      </c>
      <c r="H4" s="467"/>
      <c r="I4" s="467"/>
      <c r="J4" s="467"/>
      <c r="L4" s="467" t="s">
        <v>3</v>
      </c>
      <c r="M4" s="467"/>
      <c r="N4" s="467"/>
      <c r="O4" s="467"/>
      <c r="Q4" s="467" t="s">
        <v>4</v>
      </c>
      <c r="R4" s="467"/>
      <c r="S4" s="467"/>
      <c r="T4" s="467"/>
      <c r="V4" s="467" t="s">
        <v>5</v>
      </c>
      <c r="W4" s="467"/>
      <c r="X4" s="467"/>
      <c r="Y4" s="467"/>
      <c r="AA4" s="467" t="s">
        <v>6</v>
      </c>
      <c r="AB4" s="467"/>
      <c r="AC4" s="467"/>
      <c r="AD4" s="467"/>
      <c r="AF4" s="467" t="s">
        <v>7</v>
      </c>
      <c r="AG4" s="467"/>
      <c r="AH4" s="467"/>
      <c r="AI4" s="467"/>
      <c r="AK4" s="467" t="s">
        <v>8</v>
      </c>
      <c r="AL4" s="467"/>
      <c r="AM4" s="467"/>
      <c r="AN4" s="467"/>
      <c r="AP4" s="467" t="s">
        <v>9</v>
      </c>
      <c r="AQ4" s="467"/>
      <c r="AR4" s="467"/>
      <c r="AS4" s="467"/>
      <c r="AU4" s="467" t="s">
        <v>10</v>
      </c>
      <c r="AV4" s="467"/>
      <c r="AW4" s="467"/>
      <c r="AX4" s="467"/>
      <c r="AZ4" s="467" t="s">
        <v>11</v>
      </c>
      <c r="BA4" s="467"/>
      <c r="BB4" s="467"/>
      <c r="BC4" s="467"/>
      <c r="BE4" s="467" t="s">
        <v>12</v>
      </c>
      <c r="BF4" s="467"/>
      <c r="BG4" s="467"/>
      <c r="BH4" s="467"/>
      <c r="BJ4" s="464" t="s">
        <v>13</v>
      </c>
      <c r="BK4" s="464"/>
      <c r="BL4" s="464"/>
      <c r="BM4" s="464"/>
      <c r="BN4" s="464"/>
      <c r="BO4" s="426"/>
    </row>
    <row r="5" spans="1:68">
      <c r="A5" s="424"/>
      <c r="B5" s="467"/>
      <c r="C5" s="467"/>
      <c r="D5" s="467"/>
      <c r="E5" s="467"/>
      <c r="F5" s="425"/>
      <c r="G5" s="467"/>
      <c r="H5" s="467"/>
      <c r="I5" s="467"/>
      <c r="J5" s="467"/>
      <c r="L5" s="467"/>
      <c r="M5" s="467"/>
      <c r="N5" s="467"/>
      <c r="O5" s="467"/>
      <c r="Q5" s="467"/>
      <c r="R5" s="467"/>
      <c r="S5" s="467"/>
      <c r="T5" s="467"/>
      <c r="V5" s="467"/>
      <c r="W5" s="467"/>
      <c r="X5" s="467"/>
      <c r="Y5" s="467"/>
      <c r="AA5" s="467"/>
      <c r="AB5" s="467"/>
      <c r="AC5" s="467"/>
      <c r="AD5" s="467"/>
      <c r="AF5" s="467"/>
      <c r="AG5" s="467"/>
      <c r="AH5" s="467"/>
      <c r="AI5" s="467"/>
      <c r="AK5" s="467"/>
      <c r="AL5" s="467"/>
      <c r="AM5" s="467"/>
      <c r="AN5" s="467"/>
      <c r="AP5" s="467"/>
      <c r="AQ5" s="467"/>
      <c r="AR5" s="467"/>
      <c r="AS5" s="467"/>
      <c r="AU5" s="467"/>
      <c r="AV5" s="467"/>
      <c r="AW5" s="467"/>
      <c r="AX5" s="467"/>
      <c r="AZ5" s="467"/>
      <c r="BA5" s="467"/>
      <c r="BB5" s="467"/>
      <c r="BC5" s="467"/>
      <c r="BE5" s="467"/>
      <c r="BF5" s="467"/>
      <c r="BG5" s="467"/>
      <c r="BH5" s="467"/>
      <c r="BJ5" s="426"/>
      <c r="BK5" s="426"/>
      <c r="BL5" s="426">
        <v>2026</v>
      </c>
      <c r="BM5" s="426"/>
      <c r="BN5" s="426"/>
      <c r="BO5" s="426"/>
    </row>
    <row r="6" spans="1:68">
      <c r="B6" s="427" t="s">
        <v>14</v>
      </c>
      <c r="C6" s="427" t="s">
        <v>15</v>
      </c>
      <c r="D6" s="427" t="s">
        <v>16</v>
      </c>
      <c r="E6" s="427" t="s">
        <v>17</v>
      </c>
      <c r="F6" s="427"/>
      <c r="G6" s="427" t="s">
        <v>14</v>
      </c>
      <c r="H6" s="427" t="s">
        <v>15</v>
      </c>
      <c r="I6" s="427" t="s">
        <v>16</v>
      </c>
      <c r="J6" s="427" t="s">
        <v>17</v>
      </c>
      <c r="L6" s="427" t="s">
        <v>14</v>
      </c>
      <c r="M6" s="427" t="s">
        <v>15</v>
      </c>
      <c r="N6" s="427" t="s">
        <v>16</v>
      </c>
      <c r="O6" s="427" t="s">
        <v>17</v>
      </c>
      <c r="Q6" s="427" t="s">
        <v>14</v>
      </c>
      <c r="R6" s="427" t="s">
        <v>15</v>
      </c>
      <c r="S6" s="427" t="s">
        <v>16</v>
      </c>
      <c r="T6" s="427" t="s">
        <v>17</v>
      </c>
      <c r="V6" s="427" t="s">
        <v>14</v>
      </c>
      <c r="W6" s="427" t="s">
        <v>15</v>
      </c>
      <c r="X6" s="427" t="s">
        <v>16</v>
      </c>
      <c r="Y6" s="427" t="s">
        <v>17</v>
      </c>
      <c r="AA6" s="427" t="s">
        <v>14</v>
      </c>
      <c r="AB6" s="427" t="s">
        <v>15</v>
      </c>
      <c r="AC6" s="427" t="s">
        <v>16</v>
      </c>
      <c r="AD6" s="427" t="s">
        <v>17</v>
      </c>
      <c r="AF6" s="427" t="s">
        <v>14</v>
      </c>
      <c r="AG6" s="427" t="s">
        <v>15</v>
      </c>
      <c r="AH6" s="427" t="s">
        <v>16</v>
      </c>
      <c r="AI6" s="427" t="s">
        <v>17</v>
      </c>
      <c r="AK6" s="427" t="s">
        <v>14</v>
      </c>
      <c r="AL6" s="427" t="s">
        <v>15</v>
      </c>
      <c r="AM6" s="427" t="s">
        <v>16</v>
      </c>
      <c r="AN6" s="427" t="s">
        <v>17</v>
      </c>
      <c r="AP6" s="427" t="s">
        <v>14</v>
      </c>
      <c r="AQ6" s="427" t="s">
        <v>15</v>
      </c>
      <c r="AR6" s="427" t="s">
        <v>16</v>
      </c>
      <c r="AS6" s="427" t="s">
        <v>17</v>
      </c>
      <c r="AU6" s="427" t="s">
        <v>14</v>
      </c>
      <c r="AV6" s="427" t="s">
        <v>15</v>
      </c>
      <c r="AW6" s="427" t="s">
        <v>16</v>
      </c>
      <c r="AX6" s="427" t="s">
        <v>17</v>
      </c>
      <c r="AZ6" s="427" t="s">
        <v>14</v>
      </c>
      <c r="BA6" s="427" t="s">
        <v>15</v>
      </c>
      <c r="BB6" s="427" t="s">
        <v>16</v>
      </c>
      <c r="BC6" s="427" t="s">
        <v>17</v>
      </c>
      <c r="BE6" s="427" t="s">
        <v>14</v>
      </c>
      <c r="BF6" s="427" t="s">
        <v>15</v>
      </c>
      <c r="BG6" s="427" t="s">
        <v>16</v>
      </c>
      <c r="BH6" s="427" t="s">
        <v>17</v>
      </c>
      <c r="BK6" s="427" t="s">
        <v>14</v>
      </c>
      <c r="BL6" s="427" t="s">
        <v>15</v>
      </c>
      <c r="BM6" s="428" t="s">
        <v>16</v>
      </c>
      <c r="BN6" s="427"/>
      <c r="BO6" s="427"/>
    </row>
    <row r="7" spans="1:68" ht="18.5">
      <c r="A7" s="453" t="s">
        <v>18</v>
      </c>
      <c r="B7" s="429">
        <f>+Rent!E13+CAM!E13+Ins.!E13+'RE Tax'!E13+'Admin. Fee'!E13+'Sales Tax'!E19</f>
        <v>0</v>
      </c>
      <c r="C7" s="429"/>
      <c r="D7" s="429">
        <f>C7-B7</f>
        <v>0</v>
      </c>
      <c r="E7" s="430"/>
      <c r="F7" s="430"/>
      <c r="G7" s="430">
        <f>+Rent!F13+CAM!F13+Ins.!F13+'RE Tax'!F13+'Admin. Fee'!F13+'Sales Tax'!F19</f>
        <v>0</v>
      </c>
      <c r="H7" s="430"/>
      <c r="I7" s="430">
        <f>H7-G7</f>
        <v>0</v>
      </c>
      <c r="J7" s="430"/>
      <c r="L7" s="430"/>
      <c r="M7" s="429"/>
      <c r="N7" s="431">
        <f t="shared" ref="N7:N13" si="0">M7-L7</f>
        <v>0</v>
      </c>
      <c r="O7" s="430"/>
      <c r="Q7" s="432"/>
      <c r="R7" s="432"/>
      <c r="S7" s="433">
        <f>R7-Q7</f>
        <v>0</v>
      </c>
      <c r="T7" s="430"/>
      <c r="V7" s="432"/>
      <c r="W7" s="432"/>
      <c r="X7" s="433">
        <f t="shared" ref="X7:X14" si="1">W7-V7</f>
        <v>0</v>
      </c>
      <c r="Y7" s="430"/>
      <c r="AA7" s="432"/>
      <c r="AB7" s="432"/>
      <c r="AC7" s="433">
        <f t="shared" ref="AC7:AC14" si="2">AB7-AA7</f>
        <v>0</v>
      </c>
      <c r="AD7" s="430"/>
      <c r="AF7" s="430"/>
      <c r="AG7" s="434"/>
      <c r="AH7" s="431">
        <f t="shared" ref="AH7:AH14" si="3">AG7-AF7</f>
        <v>0</v>
      </c>
      <c r="AI7" s="430"/>
      <c r="AK7" s="430"/>
      <c r="AL7" s="434"/>
      <c r="AM7" s="431">
        <f t="shared" ref="AM7:AM14" si="4">AL7-AK7</f>
        <v>0</v>
      </c>
      <c r="AN7" s="430"/>
      <c r="AP7" s="430"/>
      <c r="AQ7" s="434"/>
      <c r="AR7" s="431">
        <f t="shared" ref="AR7:AR14" si="5">AQ7-AP7</f>
        <v>0</v>
      </c>
      <c r="AU7" s="430"/>
      <c r="AV7" s="429"/>
      <c r="AW7" s="431">
        <f t="shared" ref="AW7:AW14" si="6">AV7-AU7</f>
        <v>0</v>
      </c>
      <c r="AZ7" s="430"/>
      <c r="BA7" s="429"/>
      <c r="BB7" s="431">
        <f t="shared" ref="BB7:BB14" si="7">BA7-AZ7</f>
        <v>0</v>
      </c>
      <c r="BE7" s="430"/>
      <c r="BF7" s="434"/>
      <c r="BG7" s="431">
        <f t="shared" ref="BG7:BG14" si="8">BF7-BE7</f>
        <v>0</v>
      </c>
      <c r="BJ7" s="423" t="str">
        <f t="shared" ref="BJ7:BJ11" si="9">A7</f>
        <v>VACANT (old Big Lots)</v>
      </c>
      <c r="BK7" s="432">
        <f t="shared" ref="BK7:BL11" si="10">B7+G7+L7+Q7+V7+AA7+AF7+AK7+AP7+AU7+AZ7+BE7</f>
        <v>0</v>
      </c>
      <c r="BL7" s="432">
        <f t="shared" si="10"/>
        <v>0</v>
      </c>
      <c r="BM7" s="457">
        <f t="shared" ref="BM7:BM12" si="11">BL7-BK7</f>
        <v>0</v>
      </c>
      <c r="BN7" s="435"/>
      <c r="BO7" s="435"/>
    </row>
    <row r="8" spans="1:68" ht="18.5">
      <c r="A8" s="454" t="s">
        <v>19</v>
      </c>
      <c r="B8" s="429">
        <f>++Rent!E14+CAM!E14+Ins.!E14+'RE Tax'!E14+'Admin. Fee'!E14+'Sales Tax'!E27</f>
        <v>28917.104890113696</v>
      </c>
      <c r="C8" s="429">
        <v>28918.07</v>
      </c>
      <c r="D8" s="429">
        <f>C8-B8</f>
        <v>0.96510988630325301</v>
      </c>
      <c r="E8" s="430"/>
      <c r="F8" s="430"/>
      <c r="G8" s="430">
        <f>++Rent!F14+CAM!F14+Ins.!F14+'RE Tax'!F14+'Admin. Fee'!F14+'Sales Tax'!F27</f>
        <v>28917.104890113696</v>
      </c>
      <c r="H8" s="429">
        <v>28916.1</v>
      </c>
      <c r="I8" s="430">
        <f>H8-G8</f>
        <v>-1.0048901136979111</v>
      </c>
      <c r="J8" s="435"/>
      <c r="L8" s="430">
        <f>++Rent!G14+CAM!G14+Ins.!G14+'RE Tax'!G14+'Admin. Fee'!G14+'Sales Tax'!G27</f>
        <v>28917.104890113696</v>
      </c>
      <c r="M8" s="429">
        <v>28917.09</v>
      </c>
      <c r="N8" s="431">
        <f t="shared" si="0"/>
        <v>-1.4890113696310436E-2</v>
      </c>
      <c r="Q8" s="432">
        <f>Rent!H14+CAM!H14+Ins.!H14+'RE Tax'!H14+'Admin. Fee'!H13+'Sales Tax'!H27</f>
        <v>28917.104890113696</v>
      </c>
      <c r="R8" s="430">
        <v>28917.09</v>
      </c>
      <c r="S8" s="433">
        <f>R8-Q8</f>
        <v>-1.4890113696310436E-2</v>
      </c>
      <c r="V8" s="432">
        <f>Rent!I14+CAM!I14+Ins.!I14+'RE Tax'!I14+'Admin. Fee'!I13+'Sales Tax'!I27</f>
        <v>28917.104890113696</v>
      </c>
      <c r="W8" s="430">
        <v>28917.09</v>
      </c>
      <c r="X8" s="433">
        <f t="shared" si="1"/>
        <v>-1.4890113696310436E-2</v>
      </c>
      <c r="Y8" s="436"/>
      <c r="AA8" s="432">
        <f>Rent!J14+CAM!J14+Ins.!J14+'RE Tax'!J14+'Admin. Fee'!J13+'Sales Tax'!J27</f>
        <v>28917.104890113696</v>
      </c>
      <c r="AB8" s="432">
        <v>28917.09</v>
      </c>
      <c r="AC8" s="433">
        <f t="shared" si="2"/>
        <v>-1.4890113696310436E-2</v>
      </c>
      <c r="AF8" s="430">
        <f>Rent!K14+CAM!K14+Ins.!K14+'RE Tax'!K14+'Admin. Fee'!K13+'Sales Tax'!K27</f>
        <v>28917.104890113696</v>
      </c>
      <c r="AG8" s="434">
        <v>28917.09</v>
      </c>
      <c r="AH8" s="431">
        <f t="shared" si="3"/>
        <v>-1.4890113696310436E-2</v>
      </c>
      <c r="AK8" s="430"/>
      <c r="AL8" s="434"/>
      <c r="AM8" s="431">
        <f t="shared" si="4"/>
        <v>0</v>
      </c>
      <c r="AP8" s="430"/>
      <c r="AQ8" s="434"/>
      <c r="AR8" s="431">
        <f t="shared" si="5"/>
        <v>0</v>
      </c>
      <c r="AU8" s="430"/>
      <c r="AV8" s="429"/>
      <c r="AW8" s="431">
        <f t="shared" si="6"/>
        <v>0</v>
      </c>
      <c r="AZ8" s="430"/>
      <c r="BA8" s="429"/>
      <c r="BB8" s="431">
        <f t="shared" si="7"/>
        <v>0</v>
      </c>
      <c r="BE8" s="430"/>
      <c r="BF8" s="434"/>
      <c r="BG8" s="431">
        <f t="shared" si="8"/>
        <v>0</v>
      </c>
      <c r="BJ8" s="423" t="str">
        <f t="shared" si="9"/>
        <v>Planet Fitness</v>
      </c>
      <c r="BK8" s="432">
        <f t="shared" si="10"/>
        <v>202419.73423079588</v>
      </c>
      <c r="BL8" s="432">
        <f t="shared" si="10"/>
        <v>202419.62</v>
      </c>
      <c r="BM8" s="457">
        <f t="shared" si="11"/>
        <v>-0.1142307958798483</v>
      </c>
      <c r="BN8" s="430"/>
      <c r="BO8" s="430"/>
    </row>
    <row r="9" spans="1:68" ht="18.5">
      <c r="A9" s="454" t="s">
        <v>20</v>
      </c>
      <c r="B9" s="429">
        <f>+Rent!E15+CAM!E15+Ins.!E15+'RE Tax'!E15+'Admin. Fee'!E15+'Sales Tax'!E35</f>
        <v>1800.8108</v>
      </c>
      <c r="C9" s="429">
        <v>1800.81</v>
      </c>
      <c r="D9" s="429">
        <f>C9-B9</f>
        <v>-8.0000000002655725E-4</v>
      </c>
      <c r="E9" s="435"/>
      <c r="F9" s="430"/>
      <c r="G9" s="430">
        <f>+Rent!F15+CAM!F15+Ins.!F15+'RE Tax'!F15+'Admin. Fee'!F15+'Sales Tax'!F35</f>
        <v>1800.8108</v>
      </c>
      <c r="H9" s="429">
        <v>1854.83</v>
      </c>
      <c r="I9" s="430">
        <f>H9-G9</f>
        <v>54.019199999999955</v>
      </c>
      <c r="J9" s="435" t="s">
        <v>21</v>
      </c>
      <c r="L9" s="430">
        <f>++Rent!G15+CAM!G15+Ins.!G15+'RE Tax'!G15+'Admin. Fee'!G15+'Sales Tax'!G28+'Sales Tax'!G30</f>
        <v>1854.8343</v>
      </c>
      <c r="M9" s="429">
        <v>1854.83</v>
      </c>
      <c r="N9" s="431">
        <f t="shared" si="0"/>
        <v>-4.3000000000574801E-3</v>
      </c>
      <c r="O9" s="435"/>
      <c r="Q9" s="432">
        <f>Rent!H15+CAM!H15+Ins.!H15+'RE Tax'!H15+'Admin. Fee'!H14+'Sales Tax'!H30</f>
        <v>1854.8343</v>
      </c>
      <c r="R9" s="430">
        <v>1854.83</v>
      </c>
      <c r="S9" s="433">
        <f>R9-Q9</f>
        <v>-4.3000000000574801E-3</v>
      </c>
      <c r="T9" s="430"/>
      <c r="V9" s="432">
        <f>Rent!I15+CAM!I15+Ins.!I15+'RE Tax'!I15+'Admin. Fee'!I14+'Sales Tax'!I30</f>
        <v>1854.8343</v>
      </c>
      <c r="W9" s="430">
        <v>1854.83</v>
      </c>
      <c r="X9" s="433">
        <f t="shared" si="1"/>
        <v>-4.3000000000574801E-3</v>
      </c>
      <c r="Y9" s="430"/>
      <c r="AA9" s="432">
        <v>1854.83</v>
      </c>
      <c r="AB9" s="432">
        <v>1854.83</v>
      </c>
      <c r="AC9" s="433">
        <f t="shared" si="2"/>
        <v>0</v>
      </c>
      <c r="AD9" s="430"/>
      <c r="AF9" s="430">
        <v>1854.83</v>
      </c>
      <c r="AG9" s="434">
        <v>1800.81</v>
      </c>
      <c r="AH9" s="431">
        <f t="shared" si="3"/>
        <v>-54.019999999999982</v>
      </c>
      <c r="AI9" s="435" t="s">
        <v>280</v>
      </c>
      <c r="AK9" s="430"/>
      <c r="AL9" s="434"/>
      <c r="AM9" s="431">
        <f t="shared" si="4"/>
        <v>0</v>
      </c>
      <c r="AN9" s="430"/>
      <c r="AP9" s="430"/>
      <c r="AQ9" s="434"/>
      <c r="AR9" s="431">
        <f t="shared" si="5"/>
        <v>0</v>
      </c>
      <c r="AS9" s="430"/>
      <c r="AU9" s="430"/>
      <c r="AV9" s="429"/>
      <c r="AW9" s="431">
        <f t="shared" si="6"/>
        <v>0</v>
      </c>
      <c r="AX9" s="430"/>
      <c r="AZ9" s="430"/>
      <c r="BA9" s="429"/>
      <c r="BB9" s="431">
        <f t="shared" si="7"/>
        <v>0</v>
      </c>
      <c r="BC9" s="430"/>
      <c r="BE9" s="430"/>
      <c r="BF9" s="434"/>
      <c r="BG9" s="431">
        <f t="shared" si="8"/>
        <v>0</v>
      </c>
      <c r="BH9" s="430"/>
      <c r="BJ9" s="423" t="str">
        <f t="shared" si="9"/>
        <v>EV Charging Station</v>
      </c>
      <c r="BK9" s="432">
        <f t="shared" si="10"/>
        <v>12875.7845</v>
      </c>
      <c r="BL9" s="432">
        <f t="shared" si="10"/>
        <v>12875.769999999999</v>
      </c>
      <c r="BM9" s="457">
        <f t="shared" si="11"/>
        <v>-1.4500000001135049E-2</v>
      </c>
      <c r="BN9" s="430"/>
      <c r="BO9" s="435"/>
    </row>
    <row r="10" spans="1:68" ht="32">
      <c r="A10" s="454" t="s">
        <v>22</v>
      </c>
      <c r="B10" s="429">
        <v>0</v>
      </c>
      <c r="C10" s="429">
        <v>19524.11</v>
      </c>
      <c r="D10" s="429">
        <f>C10-B10</f>
        <v>19524.11</v>
      </c>
      <c r="E10" s="430" t="s">
        <v>23</v>
      </c>
      <c r="F10" s="430"/>
      <c r="G10" s="430">
        <v>0</v>
      </c>
      <c r="H10" s="429"/>
      <c r="I10" s="430">
        <f>H10-G10</f>
        <v>0</v>
      </c>
      <c r="J10" s="430"/>
      <c r="L10" s="430">
        <f>++Rent!G16+CAM!G16+Ins.!G16+'RE Tax'!G16+'Admin. Fee'!G16+'Sales Tax'!G29</f>
        <v>0</v>
      </c>
      <c r="M10" s="429"/>
      <c r="N10" s="431">
        <f t="shared" si="0"/>
        <v>0</v>
      </c>
      <c r="O10" s="430"/>
      <c r="Q10" s="432">
        <v>0</v>
      </c>
      <c r="R10" s="429">
        <v>1562.18</v>
      </c>
      <c r="S10" s="433">
        <f>R10-Q10</f>
        <v>1562.18</v>
      </c>
      <c r="T10" s="430"/>
      <c r="V10" s="432">
        <f>Rent!I16+CAM!I16+Ins.!I16+'RE Tax'!I16+'Admin. Fee'!I15+'Sales Tax'!I29</f>
        <v>0</v>
      </c>
      <c r="W10" s="432"/>
      <c r="X10" s="433">
        <f t="shared" si="1"/>
        <v>0</v>
      </c>
      <c r="Y10" s="430"/>
      <c r="AA10" s="432">
        <f>Rent!J16+CAM!J16+Ins.!J16+'RE Tax'!J16+'Admin. Fee'!J15+'Sales Tax'!J29</f>
        <v>0</v>
      </c>
      <c r="AB10" s="432">
        <v>0</v>
      </c>
      <c r="AC10" s="433">
        <f t="shared" si="2"/>
        <v>0</v>
      </c>
      <c r="AD10" s="430"/>
      <c r="AF10" s="430"/>
      <c r="AG10" s="434"/>
      <c r="AH10" s="431">
        <f t="shared" si="3"/>
        <v>0</v>
      </c>
      <c r="AI10" s="430"/>
      <c r="AK10" s="430"/>
      <c r="AL10" s="434"/>
      <c r="AM10" s="431">
        <f t="shared" si="4"/>
        <v>0</v>
      </c>
      <c r="AN10" s="430"/>
      <c r="AP10" s="430"/>
      <c r="AQ10" s="434"/>
      <c r="AR10" s="431">
        <f t="shared" si="5"/>
        <v>0</v>
      </c>
      <c r="AS10" s="430"/>
      <c r="AU10" s="430"/>
      <c r="AV10" s="429"/>
      <c r="AW10" s="431">
        <f t="shared" si="6"/>
        <v>0</v>
      </c>
      <c r="AZ10" s="430"/>
      <c r="BA10" s="429"/>
      <c r="BB10" s="431">
        <f t="shared" si="7"/>
        <v>0</v>
      </c>
      <c r="BC10" s="430"/>
      <c r="BE10" s="430"/>
      <c r="BF10" s="434"/>
      <c r="BG10" s="431">
        <f t="shared" si="8"/>
        <v>0</v>
      </c>
      <c r="BH10" s="430"/>
      <c r="BJ10" s="423" t="str">
        <f t="shared" si="9"/>
        <v>SIRIT HALLOWEEN</v>
      </c>
      <c r="BK10" s="432">
        <f t="shared" si="10"/>
        <v>0</v>
      </c>
      <c r="BL10" s="432">
        <f t="shared" si="10"/>
        <v>21086.29</v>
      </c>
      <c r="BM10" s="457">
        <f t="shared" si="11"/>
        <v>21086.29</v>
      </c>
      <c r="BN10" s="460" t="s">
        <v>24</v>
      </c>
      <c r="BO10" s="430"/>
    </row>
    <row r="11" spans="1:68" ht="17.5" customHeight="1">
      <c r="A11" s="454" t="s">
        <v>25</v>
      </c>
      <c r="B11" s="429">
        <v>0</v>
      </c>
      <c r="C11" s="429">
        <v>349.71</v>
      </c>
      <c r="D11" s="429">
        <f>C11-B11</f>
        <v>349.71</v>
      </c>
      <c r="E11" s="435" t="s">
        <v>26</v>
      </c>
      <c r="F11" s="430"/>
      <c r="G11" s="430">
        <v>0</v>
      </c>
      <c r="H11" s="429">
        <v>400</v>
      </c>
      <c r="I11" s="430">
        <f>H11-G11</f>
        <v>400</v>
      </c>
      <c r="J11" s="435" t="s">
        <v>26</v>
      </c>
      <c r="L11" s="430">
        <f>++Rent!G17+CAM!G17+Ins.!G17+'RE Tax'!G17+'Admin. Fee'!G17</f>
        <v>0</v>
      </c>
      <c r="M11" s="429">
        <v>364.58</v>
      </c>
      <c r="N11" s="431">
        <f t="shared" si="0"/>
        <v>364.58</v>
      </c>
      <c r="O11" s="456" t="s">
        <v>26</v>
      </c>
      <c r="Q11" s="432"/>
      <c r="R11" s="423">
        <v>0</v>
      </c>
      <c r="S11" s="433">
        <f>R11-Q11</f>
        <v>0</v>
      </c>
      <c r="T11" s="435"/>
      <c r="V11" s="432">
        <v>0</v>
      </c>
      <c r="W11" s="441">
        <v>390.64</v>
      </c>
      <c r="X11" s="433">
        <f t="shared" si="1"/>
        <v>390.64</v>
      </c>
      <c r="Y11" s="456" t="s">
        <v>26</v>
      </c>
      <c r="AA11" s="432">
        <f>Rent!J17+CAM!J17+Ins.!J17+'RE Tax'!J17+'Admin. Fee'!J16</f>
        <v>0</v>
      </c>
      <c r="AB11" s="432">
        <v>0</v>
      </c>
      <c r="AC11" s="433">
        <f t="shared" si="2"/>
        <v>0</v>
      </c>
      <c r="AF11" s="430"/>
      <c r="AG11" s="429"/>
      <c r="AH11" s="431">
        <f t="shared" si="3"/>
        <v>0</v>
      </c>
      <c r="AK11" s="430"/>
      <c r="AL11" s="429"/>
      <c r="AM11" s="431">
        <f t="shared" si="4"/>
        <v>0</v>
      </c>
      <c r="AP11" s="430"/>
      <c r="AQ11" s="429"/>
      <c r="AR11" s="431">
        <f t="shared" si="5"/>
        <v>0</v>
      </c>
      <c r="AU11" s="430"/>
      <c r="AV11" s="429"/>
      <c r="AW11" s="431">
        <f t="shared" si="6"/>
        <v>0</v>
      </c>
      <c r="AZ11" s="430"/>
      <c r="BA11" s="429"/>
      <c r="BB11" s="431">
        <f t="shared" si="7"/>
        <v>0</v>
      </c>
      <c r="BE11" s="430"/>
      <c r="BF11" s="429"/>
      <c r="BG11" s="431">
        <f t="shared" si="8"/>
        <v>0</v>
      </c>
      <c r="BJ11" s="423" t="str">
        <f t="shared" si="9"/>
        <v>UTILITIES INCOME</v>
      </c>
      <c r="BK11" s="432">
        <f t="shared" si="10"/>
        <v>0</v>
      </c>
      <c r="BL11" s="432">
        <f t="shared" si="10"/>
        <v>1504.9299999999998</v>
      </c>
      <c r="BM11" s="457">
        <f t="shared" si="11"/>
        <v>1504.9299999999998</v>
      </c>
      <c r="BN11" s="461" t="s">
        <v>27</v>
      </c>
      <c r="BO11" s="430"/>
    </row>
    <row r="12" spans="1:68" s="439" customFormat="1" ht="18.5">
      <c r="A12" s="454" t="s">
        <v>28</v>
      </c>
      <c r="B12" s="437"/>
      <c r="C12" s="429"/>
      <c r="D12" s="438"/>
      <c r="E12" s="423"/>
      <c r="F12" s="437"/>
      <c r="G12" s="430"/>
      <c r="H12" s="430"/>
      <c r="I12" s="430"/>
      <c r="J12" s="423"/>
      <c r="L12" s="430">
        <f>++Rent!G18+CAM!G18+Ins.!G18+'RE Tax'!G18+'Admin. Fee'!G18+'Sales Tax'!G31</f>
        <v>0</v>
      </c>
      <c r="M12" s="429"/>
      <c r="N12" s="440">
        <f t="shared" si="0"/>
        <v>0</v>
      </c>
      <c r="O12" s="423"/>
      <c r="Q12" s="432"/>
      <c r="R12" s="441"/>
      <c r="S12" s="441"/>
      <c r="T12" s="423"/>
      <c r="V12" s="432"/>
      <c r="W12" s="441"/>
      <c r="X12" s="442">
        <f t="shared" si="1"/>
        <v>0</v>
      </c>
      <c r="Y12" s="423"/>
      <c r="AA12" s="432">
        <f>Rent!J18+CAM!J18+Ins.!J18+'RE Tax'!J18+'Admin. Fee'!J17+'Sales Tax'!J31</f>
        <v>0</v>
      </c>
      <c r="AB12" s="441">
        <v>290.04000000000002</v>
      </c>
      <c r="AC12" s="442">
        <f t="shared" si="2"/>
        <v>290.04000000000002</v>
      </c>
      <c r="AD12" s="423" t="s">
        <v>278</v>
      </c>
      <c r="AF12" s="430"/>
      <c r="AG12" s="439">
        <v>286.67</v>
      </c>
      <c r="AH12" s="440">
        <f t="shared" si="3"/>
        <v>286.67</v>
      </c>
      <c r="AI12" s="423" t="s">
        <v>278</v>
      </c>
      <c r="AK12" s="430"/>
      <c r="AM12" s="440">
        <f t="shared" si="4"/>
        <v>0</v>
      </c>
      <c r="AN12" s="435"/>
      <c r="AP12" s="430"/>
      <c r="AR12" s="440">
        <f t="shared" si="5"/>
        <v>0</v>
      </c>
      <c r="AS12" s="423"/>
      <c r="AU12" s="430"/>
      <c r="AV12" s="423"/>
      <c r="AW12" s="431">
        <f t="shared" si="6"/>
        <v>0</v>
      </c>
      <c r="AX12" s="435"/>
      <c r="AZ12" s="430"/>
      <c r="BA12" s="423"/>
      <c r="BB12" s="431">
        <f t="shared" si="7"/>
        <v>0</v>
      </c>
      <c r="BC12" s="423"/>
      <c r="BE12" s="430"/>
      <c r="BF12" s="434"/>
      <c r="BG12" s="431">
        <f t="shared" si="8"/>
        <v>0</v>
      </c>
      <c r="BH12" s="423"/>
      <c r="BJ12" s="423"/>
      <c r="BK12" s="432">
        <v>0</v>
      </c>
      <c r="BL12" s="432">
        <f>C12+H12+M12+R12+W12+AB12+AG12+AL12+AQ12+AV12+BA12+BF12</f>
        <v>576.71</v>
      </c>
      <c r="BM12" s="457">
        <f t="shared" si="11"/>
        <v>576.71</v>
      </c>
      <c r="BN12" s="423" t="s">
        <v>279</v>
      </c>
      <c r="BO12" s="430"/>
    </row>
    <row r="13" spans="1:68" s="439" customFormat="1" ht="18.5">
      <c r="A13" s="455"/>
      <c r="B13" s="437"/>
      <c r="C13" s="429"/>
      <c r="D13" s="440"/>
      <c r="E13" s="423"/>
      <c r="F13" s="437"/>
      <c r="G13" s="437"/>
      <c r="H13" s="430"/>
      <c r="I13" s="430"/>
      <c r="J13" s="423"/>
      <c r="L13" s="430">
        <f>++Rent!G19+CAM!G19+Ins.!G19+'RE Tax'!G19+'Admin. Fee'!G19+'Sales Tax'!G32</f>
        <v>0</v>
      </c>
      <c r="M13" s="429"/>
      <c r="N13" s="440">
        <f t="shared" si="0"/>
        <v>0</v>
      </c>
      <c r="O13" s="423"/>
      <c r="Q13" s="432"/>
      <c r="R13" s="432"/>
      <c r="S13" s="442">
        <f>R13-Q13</f>
        <v>0</v>
      </c>
      <c r="T13" s="423"/>
      <c r="V13" s="432"/>
      <c r="W13" s="432"/>
      <c r="X13" s="442">
        <f t="shared" si="1"/>
        <v>0</v>
      </c>
      <c r="Y13" s="423"/>
      <c r="AA13" s="432">
        <f>Rent!J19+CAM!J19+Ins.!J19+'RE Tax'!J19+'Admin. Fee'!J18+'Sales Tax'!J32</f>
        <v>0</v>
      </c>
      <c r="AB13" s="432"/>
      <c r="AC13" s="442">
        <f t="shared" si="2"/>
        <v>0</v>
      </c>
      <c r="AD13" s="423"/>
      <c r="AF13" s="437"/>
      <c r="AG13" s="429"/>
      <c r="AH13" s="440">
        <f t="shared" si="3"/>
        <v>0</v>
      </c>
      <c r="AI13" s="423"/>
      <c r="AK13" s="430"/>
      <c r="AL13" s="429"/>
      <c r="AM13" s="440">
        <f t="shared" si="4"/>
        <v>0</v>
      </c>
      <c r="AN13" s="423"/>
      <c r="AP13" s="430"/>
      <c r="AQ13" s="429"/>
      <c r="AR13" s="440">
        <f t="shared" si="5"/>
        <v>0</v>
      </c>
      <c r="AS13" s="423"/>
      <c r="AU13" s="430"/>
      <c r="AV13" s="429"/>
      <c r="AW13" s="431">
        <f t="shared" si="6"/>
        <v>0</v>
      </c>
      <c r="AX13" s="423"/>
      <c r="AZ13" s="430"/>
      <c r="BA13" s="429"/>
      <c r="BB13" s="431">
        <f t="shared" si="7"/>
        <v>0</v>
      </c>
      <c r="BC13" s="423"/>
      <c r="BE13" s="430"/>
      <c r="BF13" s="429"/>
      <c r="BG13" s="431">
        <f t="shared" si="8"/>
        <v>0</v>
      </c>
      <c r="BH13" s="423"/>
      <c r="BJ13" s="423"/>
      <c r="BK13" s="432"/>
      <c r="BL13" s="432"/>
      <c r="BM13" s="457"/>
      <c r="BN13" s="423"/>
      <c r="BO13" s="423"/>
    </row>
    <row r="14" spans="1:68" s="439" customFormat="1">
      <c r="A14" s="443"/>
      <c r="B14" s="437"/>
      <c r="C14" s="429"/>
      <c r="D14" s="440"/>
      <c r="E14" s="423"/>
      <c r="F14" s="437"/>
      <c r="G14" s="437"/>
      <c r="H14" s="429"/>
      <c r="I14" s="440"/>
      <c r="J14" s="423"/>
      <c r="L14" s="437"/>
      <c r="M14" s="429"/>
      <c r="N14" s="440"/>
      <c r="O14" s="423"/>
      <c r="Q14" s="441"/>
      <c r="R14" s="432"/>
      <c r="S14" s="442">
        <f>R14-Q12</f>
        <v>0</v>
      </c>
      <c r="T14" s="423"/>
      <c r="V14" s="441"/>
      <c r="W14" s="432"/>
      <c r="X14" s="442">
        <f t="shared" si="1"/>
        <v>0</v>
      </c>
      <c r="Y14" s="423"/>
      <c r="AA14" s="441"/>
      <c r="AB14" s="432"/>
      <c r="AC14" s="442">
        <f t="shared" si="2"/>
        <v>0</v>
      </c>
      <c r="AD14" s="423"/>
      <c r="AF14" s="437"/>
      <c r="AG14" s="429"/>
      <c r="AH14" s="440">
        <f t="shared" si="3"/>
        <v>0</v>
      </c>
      <c r="AI14" s="423"/>
      <c r="AK14" s="437"/>
      <c r="AL14" s="429"/>
      <c r="AM14" s="440">
        <f t="shared" si="4"/>
        <v>0</v>
      </c>
      <c r="AN14" s="423"/>
      <c r="AP14" s="437"/>
      <c r="AQ14" s="429"/>
      <c r="AR14" s="440">
        <f t="shared" si="5"/>
        <v>0</v>
      </c>
      <c r="AS14" s="423"/>
      <c r="AU14" s="430"/>
      <c r="AV14" s="429"/>
      <c r="AW14" s="431">
        <f t="shared" si="6"/>
        <v>0</v>
      </c>
      <c r="AX14" s="423"/>
      <c r="AZ14" s="430"/>
      <c r="BA14" s="429"/>
      <c r="BB14" s="431">
        <f t="shared" si="7"/>
        <v>0</v>
      </c>
      <c r="BC14" s="423"/>
      <c r="BE14" s="430"/>
      <c r="BF14" s="429"/>
      <c r="BG14" s="431">
        <f t="shared" si="8"/>
        <v>0</v>
      </c>
      <c r="BH14" s="423"/>
      <c r="BJ14" s="423"/>
      <c r="BK14" s="432"/>
      <c r="BL14" s="432"/>
      <c r="BM14" s="457"/>
      <c r="BN14" s="430"/>
      <c r="BO14" s="430"/>
    </row>
    <row r="15" spans="1:68" ht="16" thickBot="1">
      <c r="A15" s="444" t="s">
        <v>29</v>
      </c>
      <c r="B15" s="445">
        <f>SUM(B7:B14)</f>
        <v>30717.915690113696</v>
      </c>
      <c r="C15" s="445">
        <f>SUM(C7:C14)</f>
        <v>50592.700000000004</v>
      </c>
      <c r="D15" s="445">
        <f>SUM(D7:D14)</f>
        <v>19874.784309886301</v>
      </c>
      <c r="E15" s="446"/>
      <c r="F15" s="447"/>
      <c r="G15" s="445">
        <f>SUM(G7:G14)</f>
        <v>30717.915690113696</v>
      </c>
      <c r="H15" s="445">
        <f>SUM(H7:H14)</f>
        <v>31170.93</v>
      </c>
      <c r="I15" s="445">
        <f>SUM(I7:I14)</f>
        <v>453.01430988630204</v>
      </c>
      <c r="J15" s="448"/>
      <c r="K15" s="447"/>
      <c r="L15" s="448">
        <f>SUM(L7:L14)</f>
        <v>30771.939190113695</v>
      </c>
      <c r="M15" s="448">
        <f>SUM(M7:M14)</f>
        <v>31136.5</v>
      </c>
      <c r="N15" s="448">
        <f>SUM(N7:N14)</f>
        <v>364.56080988630362</v>
      </c>
      <c r="O15" s="448"/>
      <c r="P15" s="447"/>
      <c r="Q15" s="448">
        <f>SUM(Q7:Q14)</f>
        <v>30771.939190113695</v>
      </c>
      <c r="R15" s="448">
        <f>SUM(R7:R14)</f>
        <v>32334.1</v>
      </c>
      <c r="S15" s="448">
        <f>SUM(S7:S14)</f>
        <v>1562.1608098863037</v>
      </c>
      <c r="T15" s="448"/>
      <c r="U15" s="447"/>
      <c r="V15" s="448">
        <f>SUM(V7:V14)</f>
        <v>30771.939190113695</v>
      </c>
      <c r="W15" s="448">
        <f>SUM(W7:W14)</f>
        <v>31162.559999999998</v>
      </c>
      <c r="X15" s="448">
        <f>SUM(X7:X14)</f>
        <v>390.62080988630362</v>
      </c>
      <c r="Y15" s="448"/>
      <c r="Z15" s="447"/>
      <c r="AA15" s="448">
        <f>SUM(AA7:AA14)</f>
        <v>30771.934890113698</v>
      </c>
      <c r="AB15" s="448">
        <f>SUM(AB7:AB14)</f>
        <v>31061.96</v>
      </c>
      <c r="AC15" s="448">
        <f>SUM(AC7:AC14)</f>
        <v>290.02510988630371</v>
      </c>
      <c r="AD15" s="448"/>
      <c r="AE15" s="447"/>
      <c r="AF15" s="458">
        <f>SUM(AF7:AF14)</f>
        <v>30771.934890113698</v>
      </c>
      <c r="AG15" s="458">
        <f>SUM(AG7:AG14)</f>
        <v>31004.57</v>
      </c>
      <c r="AH15" s="458">
        <f>SUM(AH7:AH14)</f>
        <v>232.63510988630372</v>
      </c>
      <c r="AI15" s="458"/>
      <c r="AJ15" s="432"/>
      <c r="AK15" s="458">
        <f>SUM(AK7:AK14)</f>
        <v>0</v>
      </c>
      <c r="AL15" s="458">
        <f>SUM(AL7:AL14)</f>
        <v>0</v>
      </c>
      <c r="AM15" s="458">
        <f>SUM(AM7:AM14)</f>
        <v>0</v>
      </c>
      <c r="AN15" s="458"/>
      <c r="AO15" s="432"/>
      <c r="AP15" s="458">
        <f>SUM(AP7:AP14)</f>
        <v>0</v>
      </c>
      <c r="AQ15" s="458">
        <f>SUM(AQ7:AQ14)</f>
        <v>0</v>
      </c>
      <c r="AR15" s="458">
        <f>SUM(AR7:AR14)</f>
        <v>0</v>
      </c>
      <c r="AS15" s="458"/>
      <c r="AT15" s="432"/>
      <c r="AU15" s="458">
        <f>SUM(AU7:AU14)</f>
        <v>0</v>
      </c>
      <c r="AV15" s="458">
        <f>SUM(AV7:AV14)</f>
        <v>0</v>
      </c>
      <c r="AW15" s="458">
        <f>SUM(AW7:AW14)</f>
        <v>0</v>
      </c>
      <c r="AX15" s="458"/>
      <c r="AY15" s="432"/>
      <c r="AZ15" s="458">
        <f>SUM(AZ7:AZ14)</f>
        <v>0</v>
      </c>
      <c r="BA15" s="458">
        <f>SUM(BA7:BA14)</f>
        <v>0</v>
      </c>
      <c r="BB15" s="458">
        <f>SUM(BB7:BB14)</f>
        <v>0</v>
      </c>
      <c r="BC15" s="458"/>
      <c r="BD15" s="432"/>
      <c r="BE15" s="458">
        <f>SUM(BE7:BE14)</f>
        <v>0</v>
      </c>
      <c r="BF15" s="458">
        <f>SUM(BF7:BF14)</f>
        <v>0</v>
      </c>
      <c r="BG15" s="458">
        <f>SUM(BG7:BG14)</f>
        <v>0</v>
      </c>
      <c r="BH15" s="458"/>
      <c r="BI15" s="432"/>
      <c r="BJ15" s="463"/>
      <c r="BK15" s="458">
        <f>SUM(BK7:BK14)</f>
        <v>215295.51873079588</v>
      </c>
      <c r="BL15" s="458">
        <f>SUM(BL7:BL14)</f>
        <v>238463.31999999998</v>
      </c>
      <c r="BM15" s="459">
        <f>SUM(BM7:BM14)</f>
        <v>23167.801269204119</v>
      </c>
      <c r="BN15" s="449"/>
      <c r="BO15" s="449"/>
    </row>
    <row r="16" spans="1:68" ht="16" thickTop="1">
      <c r="G16" s="35">
        <v>30717</v>
      </c>
      <c r="H16" s="35">
        <v>31170.93</v>
      </c>
      <c r="I16">
        <v>453.93</v>
      </c>
      <c r="L16" s="35">
        <v>30771</v>
      </c>
      <c r="M16" s="35">
        <v>31136.5</v>
      </c>
      <c r="N16">
        <v>365.5</v>
      </c>
      <c r="Q16" s="429">
        <v>30771</v>
      </c>
      <c r="R16" s="429">
        <v>32334.1</v>
      </c>
      <c r="S16" s="429">
        <v>1563.1</v>
      </c>
      <c r="V16" s="429">
        <v>30771</v>
      </c>
      <c r="W16" s="429">
        <v>31162.560000000001</v>
      </c>
      <c r="X16" s="423">
        <v>391.56</v>
      </c>
      <c r="AA16" s="462">
        <v>30771</v>
      </c>
      <c r="AB16" s="429">
        <v>31061.96</v>
      </c>
      <c r="AC16" s="423">
        <v>290.95999999999998</v>
      </c>
      <c r="AF16" s="462">
        <v>30771</v>
      </c>
      <c r="AG16" s="432">
        <v>31004.57</v>
      </c>
      <c r="AH16" s="432">
        <v>233.57</v>
      </c>
      <c r="AI16" s="432"/>
      <c r="AJ16" s="432"/>
      <c r="AK16" s="432"/>
      <c r="AL16" s="432"/>
      <c r="AM16" s="432"/>
      <c r="AN16" s="432"/>
      <c r="AO16" s="432"/>
      <c r="AP16" s="432"/>
      <c r="AQ16" s="432"/>
      <c r="AR16" s="432"/>
      <c r="AS16" s="432"/>
      <c r="AT16" s="432"/>
      <c r="AU16" s="432"/>
      <c r="AV16" s="432"/>
      <c r="AW16" s="432"/>
      <c r="AX16" s="432"/>
      <c r="AY16" s="432"/>
      <c r="AZ16" s="432"/>
      <c r="BA16" s="432"/>
      <c r="BB16" s="432"/>
      <c r="BC16" s="432"/>
      <c r="BD16" s="432"/>
      <c r="BE16" s="432"/>
      <c r="BF16" s="432"/>
      <c r="BG16" s="432"/>
      <c r="BH16" s="432"/>
      <c r="BI16" s="432"/>
      <c r="BJ16" s="432"/>
      <c r="BK16" s="432">
        <v>215289</v>
      </c>
      <c r="BL16" s="432">
        <v>238463.32</v>
      </c>
      <c r="BM16" s="432">
        <v>23174.32</v>
      </c>
      <c r="BN16" s="450" t="s">
        <v>30</v>
      </c>
    </row>
    <row r="17" spans="6:67">
      <c r="G17" s="451">
        <f>G15-G16</f>
        <v>0.91569011369574582</v>
      </c>
      <c r="H17" s="451">
        <f>H15-H16</f>
        <v>0</v>
      </c>
      <c r="I17" s="451">
        <f>I15-I16</f>
        <v>-0.91569011369796272</v>
      </c>
      <c r="L17" s="430">
        <f>L15-L16</f>
        <v>0.93919011369507643</v>
      </c>
      <c r="M17" s="430">
        <f>M15-M16</f>
        <v>0</v>
      </c>
      <c r="N17" s="430">
        <f>N15-N16</f>
        <v>-0.93919011369638383</v>
      </c>
      <c r="Q17" s="430">
        <f>Q15-Q16</f>
        <v>0.93919011369507643</v>
      </c>
      <c r="R17" s="430">
        <f>R15-R16</f>
        <v>0</v>
      </c>
      <c r="S17" s="430">
        <f>S15-S16</f>
        <v>-0.9391901136962133</v>
      </c>
      <c r="V17" s="430">
        <f>V15-V16</f>
        <v>0.93919011369507643</v>
      </c>
      <c r="W17" s="430">
        <f>W15-W16</f>
        <v>0</v>
      </c>
      <c r="X17" s="430">
        <f>X15-X16</f>
        <v>-0.93919011369638383</v>
      </c>
      <c r="AA17" s="430">
        <f>AA16-AA15</f>
        <v>-0.93489011369820219</v>
      </c>
      <c r="AB17" s="432">
        <f>AB16-AB15</f>
        <v>0</v>
      </c>
      <c r="AC17" s="430">
        <f>AC16-AC15</f>
        <v>0.93489011369626951</v>
      </c>
      <c r="AF17" s="432">
        <f>AF16-AF15</f>
        <v>-0.93489011369820219</v>
      </c>
      <c r="AG17" s="432">
        <f>AG16-AG15</f>
        <v>0</v>
      </c>
      <c r="AH17" s="432">
        <f>AH16-AH15</f>
        <v>0.93489011369626951</v>
      </c>
      <c r="BK17" s="432">
        <f>BK15-BK16</f>
        <v>6.5187307958840393</v>
      </c>
      <c r="BL17" s="432">
        <f>BL15-BL16</f>
        <v>0</v>
      </c>
      <c r="BM17" s="432">
        <f>BM15-BM16</f>
        <v>-6.5187307958804013</v>
      </c>
    </row>
    <row r="18" spans="6:67">
      <c r="F18" s="425"/>
      <c r="J18" s="429"/>
      <c r="O18" s="429"/>
      <c r="Q18" s="452"/>
      <c r="T18" s="429"/>
      <c r="V18" s="452"/>
      <c r="Y18" s="429"/>
      <c r="AA18" s="452"/>
      <c r="AD18" s="429"/>
      <c r="AF18" s="452"/>
      <c r="AI18" s="429"/>
      <c r="AK18" s="452"/>
      <c r="AN18" s="429"/>
      <c r="AP18" s="452"/>
      <c r="AS18" s="429"/>
      <c r="AU18" s="452"/>
      <c r="AX18" s="429"/>
      <c r="AZ18" s="452"/>
      <c r="BC18" s="429"/>
      <c r="BE18" s="452"/>
      <c r="BH18" s="429"/>
    </row>
    <row r="19" spans="6:67">
      <c r="F19" s="427"/>
      <c r="Q19" s="452"/>
      <c r="V19" s="452"/>
      <c r="AA19" s="452"/>
      <c r="AF19" s="452"/>
      <c r="AK19" s="452"/>
      <c r="AP19" s="452"/>
      <c r="AU19" s="452"/>
      <c r="AZ19" s="452"/>
      <c r="BE19" s="452"/>
      <c r="BJ19" s="451"/>
      <c r="BL19" s="451"/>
    </row>
    <row r="20" spans="6:67">
      <c r="F20" s="430"/>
      <c r="Q20" s="452"/>
      <c r="V20" s="452"/>
      <c r="AA20" s="452"/>
      <c r="AF20" s="452"/>
      <c r="AK20" s="452"/>
      <c r="AP20" s="452"/>
      <c r="AU20" s="452"/>
      <c r="AZ20" s="452"/>
      <c r="BE20" s="452"/>
      <c r="BJ20" s="451"/>
      <c r="BL20" s="451"/>
    </row>
    <row r="21" spans="6:67">
      <c r="F21" s="430"/>
      <c r="Q21" s="452"/>
      <c r="V21" s="452"/>
      <c r="AA21" s="452"/>
      <c r="AF21" s="452"/>
      <c r="AK21" s="452"/>
      <c r="AP21" s="452"/>
      <c r="AU21" s="452"/>
      <c r="AZ21" s="452"/>
      <c r="BE21" s="452"/>
      <c r="BJ21" s="451"/>
      <c r="BL21" s="451"/>
    </row>
    <row r="22" spans="6:67">
      <c r="F22" s="430"/>
      <c r="Q22" s="452"/>
      <c r="V22" s="452"/>
      <c r="AA22" s="452"/>
      <c r="AF22" s="452"/>
      <c r="AK22" s="452"/>
      <c r="AP22" s="452"/>
      <c r="AU22" s="452"/>
      <c r="AZ22" s="452"/>
      <c r="BE22" s="452"/>
      <c r="BJ22" s="451"/>
      <c r="BL22" s="451"/>
    </row>
    <row r="23" spans="6:67">
      <c r="F23" s="430"/>
      <c r="Q23" s="452"/>
      <c r="V23" s="452"/>
      <c r="AA23" s="452"/>
      <c r="AF23" s="452"/>
      <c r="AK23" s="452"/>
      <c r="AP23" s="452"/>
      <c r="AU23" s="452"/>
      <c r="AZ23" s="452"/>
      <c r="BE23" s="452"/>
      <c r="BJ23" s="451"/>
      <c r="BL23" s="451"/>
      <c r="BN23" s="451"/>
    </row>
    <row r="24" spans="6:67">
      <c r="F24" s="430"/>
      <c r="Q24" s="452"/>
      <c r="V24" s="452"/>
      <c r="AA24" s="452"/>
      <c r="AF24" s="452"/>
      <c r="AK24" s="452"/>
      <c r="AP24" s="452"/>
      <c r="AU24" s="452"/>
      <c r="AZ24" s="452"/>
      <c r="BE24" s="452"/>
      <c r="BJ24" s="451"/>
      <c r="BL24" s="451"/>
      <c r="BO24" s="451"/>
    </row>
    <row r="25" spans="6:67">
      <c r="F25" s="430"/>
      <c r="Q25" s="452"/>
      <c r="V25" s="452"/>
      <c r="AA25" s="452"/>
      <c r="AF25" s="452"/>
      <c r="AK25" s="452"/>
      <c r="AP25" s="452"/>
      <c r="AU25" s="452"/>
      <c r="AZ25" s="452"/>
      <c r="BE25" s="452"/>
      <c r="BL25" s="451"/>
    </row>
    <row r="26" spans="6:67">
      <c r="F26" s="430"/>
      <c r="Q26" s="452"/>
      <c r="V26" s="452"/>
      <c r="AA26" s="452"/>
      <c r="AF26" s="452"/>
      <c r="AK26" s="452"/>
      <c r="AP26" s="452"/>
      <c r="AU26" s="452"/>
      <c r="AZ26" s="452"/>
      <c r="BE26" s="452"/>
      <c r="BL26" s="451"/>
    </row>
    <row r="27" spans="6:67">
      <c r="F27" s="430"/>
      <c r="Q27" s="452"/>
      <c r="V27" s="452"/>
      <c r="AA27" s="452"/>
      <c r="AF27" s="452"/>
      <c r="AK27" s="452"/>
      <c r="AP27" s="452"/>
      <c r="AU27" s="452"/>
      <c r="AZ27" s="452"/>
      <c r="BE27" s="452"/>
    </row>
    <row r="28" spans="6:67">
      <c r="F28" s="430"/>
      <c r="Q28" s="452"/>
      <c r="V28" s="452"/>
      <c r="AA28" s="452"/>
      <c r="AF28" s="452"/>
      <c r="AK28" s="452"/>
      <c r="AP28" s="452"/>
      <c r="AU28" s="452"/>
      <c r="AZ28" s="452"/>
      <c r="BE28" s="452"/>
    </row>
    <row r="29" spans="6:67">
      <c r="F29" s="430"/>
      <c r="Q29" s="452"/>
      <c r="V29" s="452"/>
      <c r="AA29" s="452"/>
      <c r="AF29" s="452"/>
      <c r="AK29" s="452"/>
      <c r="AP29" s="452"/>
      <c r="AU29" s="452"/>
      <c r="AZ29" s="452"/>
      <c r="BE29" s="452"/>
    </row>
    <row r="30" spans="6:67">
      <c r="F30" s="430"/>
      <c r="Q30" s="452"/>
      <c r="V30" s="452"/>
      <c r="AA30" s="452"/>
      <c r="AF30" s="452"/>
      <c r="AK30" s="452"/>
      <c r="AP30" s="452"/>
      <c r="AU30" s="452"/>
      <c r="AZ30" s="452"/>
      <c r="BE30" s="452"/>
    </row>
    <row r="31" spans="6:67">
      <c r="F31" s="430"/>
      <c r="Q31" s="452"/>
      <c r="V31" s="452"/>
      <c r="AA31" s="452"/>
      <c r="AF31" s="452"/>
      <c r="AK31" s="452"/>
      <c r="AP31" s="452"/>
      <c r="AU31" s="452"/>
      <c r="AZ31" s="452"/>
      <c r="BE31" s="452"/>
    </row>
    <row r="32" spans="6:67">
      <c r="F32" s="430"/>
      <c r="Q32" s="452"/>
      <c r="V32" s="452"/>
      <c r="AA32" s="452"/>
      <c r="AF32" s="452"/>
      <c r="AK32" s="452"/>
      <c r="AP32" s="452"/>
      <c r="AU32" s="452"/>
      <c r="AZ32" s="452"/>
      <c r="BE32" s="452"/>
    </row>
    <row r="33" spans="6:57">
      <c r="F33" s="430"/>
      <c r="Q33" s="452"/>
      <c r="V33" s="452"/>
      <c r="AA33" s="452"/>
      <c r="AF33" s="452"/>
      <c r="AK33" s="452"/>
      <c r="AP33" s="452"/>
      <c r="AU33" s="452"/>
      <c r="AZ33" s="452"/>
      <c r="BE33" s="452"/>
    </row>
    <row r="34" spans="6:57">
      <c r="F34" s="430"/>
      <c r="Q34" s="452"/>
      <c r="V34" s="452"/>
      <c r="AA34" s="452"/>
      <c r="AF34" s="452"/>
      <c r="AK34" s="452"/>
      <c r="AP34" s="452"/>
      <c r="AU34" s="452"/>
      <c r="AZ34" s="452"/>
      <c r="BE34" s="452"/>
    </row>
    <row r="35" spans="6:57">
      <c r="F35" s="430"/>
      <c r="Q35" s="452"/>
      <c r="V35" s="452"/>
      <c r="AA35" s="452"/>
      <c r="AF35" s="452"/>
      <c r="AK35" s="452"/>
      <c r="AP35" s="452"/>
      <c r="AU35" s="452"/>
      <c r="AZ35" s="452"/>
      <c r="BE35" s="452"/>
    </row>
    <row r="36" spans="6:57">
      <c r="F36" s="430"/>
      <c r="Q36" s="452"/>
      <c r="V36" s="452"/>
      <c r="AA36" s="452"/>
      <c r="AF36" s="452"/>
      <c r="AK36" s="452"/>
      <c r="AP36" s="452"/>
      <c r="AU36" s="452"/>
      <c r="AZ36" s="452"/>
      <c r="BE36" s="452"/>
    </row>
    <row r="37" spans="6:57">
      <c r="F37" s="430"/>
      <c r="Q37" s="452"/>
      <c r="V37" s="452"/>
      <c r="AA37" s="452"/>
      <c r="AF37" s="452"/>
      <c r="AK37" s="452"/>
      <c r="AP37" s="452"/>
      <c r="AU37" s="452"/>
      <c r="AZ37" s="452"/>
      <c r="BE37" s="452"/>
    </row>
    <row r="38" spans="6:57">
      <c r="F38" s="430"/>
      <c r="Q38" s="452"/>
      <c r="V38" s="452"/>
      <c r="AA38" s="452"/>
      <c r="AF38" s="452"/>
      <c r="AK38" s="452"/>
      <c r="AP38" s="452"/>
      <c r="AU38" s="452"/>
      <c r="AZ38" s="452"/>
      <c r="BE38" s="452"/>
    </row>
    <row r="39" spans="6:57">
      <c r="F39" s="430"/>
    </row>
  </sheetData>
  <mergeCells count="16">
    <mergeCell ref="BJ4:BN4"/>
    <mergeCell ref="A1:BP1"/>
    <mergeCell ref="A2:BP2"/>
    <mergeCell ref="A3:BP3"/>
    <mergeCell ref="B4:E5"/>
    <mergeCell ref="G4:J5"/>
    <mergeCell ref="L4:O5"/>
    <mergeCell ref="Q4:T5"/>
    <mergeCell ref="V4:Y5"/>
    <mergeCell ref="AA4:AD5"/>
    <mergeCell ref="AF4:AI5"/>
    <mergeCell ref="AK4:AN5"/>
    <mergeCell ref="AP4:AS5"/>
    <mergeCell ref="AU4:AX5"/>
    <mergeCell ref="AZ4:BC5"/>
    <mergeCell ref="BE4:BH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425A5-24B5-4DE3-ABF8-63FD620D18A0}">
  <sheetPr>
    <tabColor theme="9"/>
    <pageSetUpPr fitToPage="1"/>
  </sheetPr>
  <dimension ref="A1:BY190"/>
  <sheetViews>
    <sheetView view="pageBreakPreview" zoomScale="90" zoomScaleNormal="100" zoomScaleSheetLayoutView="90" workbookViewId="0">
      <pane ySplit="10" topLeftCell="A61" activePane="bottomLeft" state="frozen"/>
      <selection pane="bottomLeft" activeCell="A67" sqref="A67"/>
    </sheetView>
  </sheetViews>
  <sheetFormatPr defaultColWidth="11.453125" defaultRowHeight="14.5"/>
  <cols>
    <col min="1" max="1" width="8.7265625" style="6" customWidth="1"/>
    <col min="2" max="2" width="41.54296875" style="6" customWidth="1"/>
    <col min="3" max="3" width="10.1796875" style="6" customWidth="1"/>
    <col min="4" max="4" width="11" style="6" customWidth="1"/>
    <col min="5" max="5" width="11.453125" style="6" customWidth="1"/>
    <col min="6" max="6" width="11.7265625" style="6" customWidth="1"/>
    <col min="7" max="7" width="10.26953125" style="6" customWidth="1"/>
    <col min="8" max="8" width="9.54296875" style="6" bestFit="1" customWidth="1"/>
    <col min="9" max="9" width="11.453125" style="6" customWidth="1"/>
    <col min="10" max="10" width="10.54296875" style="6" customWidth="1"/>
    <col min="11" max="11" width="10.1796875" style="6" bestFit="1" customWidth="1"/>
    <col min="12" max="12" width="11" style="6" customWidth="1"/>
    <col min="13" max="13" width="10.7265625" style="6" customWidth="1"/>
    <col min="14" max="14" width="11.81640625" style="6" bestFit="1" customWidth="1"/>
    <col min="15" max="15" width="10.7265625" style="6" bestFit="1" customWidth="1"/>
    <col min="16" max="16" width="13" style="122" customWidth="1"/>
    <col min="17" max="17" width="13.1796875" style="122" customWidth="1"/>
    <col min="18" max="18" width="13.453125" style="6" bestFit="1" customWidth="1"/>
    <col min="19" max="19" width="11.1796875" style="6" customWidth="1"/>
    <col min="20" max="28" width="8.7265625" style="6" customWidth="1"/>
    <col min="29" max="29" width="10.453125" style="6" customWidth="1"/>
    <col min="30" max="30" width="20.7265625" style="6" customWidth="1"/>
    <col min="31" max="31" width="8" style="6" customWidth="1"/>
    <col min="32" max="32" width="12.54296875" style="6" customWidth="1"/>
    <col min="33" max="33" width="11.7265625" style="6" customWidth="1"/>
    <col min="34" max="46" width="8.7265625" style="6" customWidth="1"/>
    <col min="47" max="47" width="26.7265625" style="6" customWidth="1"/>
    <col min="48" max="48" width="8.7265625" style="6" customWidth="1"/>
    <col min="49" max="49" width="12.7265625" style="6" customWidth="1"/>
    <col min="50" max="50" width="7.7265625" style="6" customWidth="1"/>
    <col min="51" max="55" width="8.7265625" style="6" customWidth="1"/>
    <col min="56" max="59" width="1.453125" style="6" bestFit="1" customWidth="1"/>
    <col min="60" max="62" width="8.7265625" style="6" customWidth="1"/>
    <col min="63" max="63" width="1.453125" style="6" bestFit="1" customWidth="1"/>
    <col min="64" max="64" width="21.7265625" style="6" customWidth="1"/>
    <col min="65" max="65" width="8.7265625" style="6" customWidth="1"/>
    <col min="66" max="66" width="10.81640625" style="6" customWidth="1"/>
    <col min="67" max="79" width="8.7265625" style="6" customWidth="1"/>
    <col min="80" max="16384" width="11.453125" style="6"/>
  </cols>
  <sheetData>
    <row r="1" spans="1:77" ht="13" customHeight="1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42" t="s">
        <v>31</v>
      </c>
      <c r="O1" s="217">
        <f ca="1">TODAY()</f>
        <v>46234</v>
      </c>
      <c r="R1" s="123"/>
      <c r="S1" s="123"/>
      <c r="T1" s="123"/>
      <c r="U1" s="123"/>
      <c r="V1" s="123"/>
      <c r="W1" s="123"/>
    </row>
    <row r="2" spans="1:77" ht="13" customHeight="1">
      <c r="A2" s="471" t="s">
        <v>32</v>
      </c>
      <c r="B2" s="471"/>
      <c r="C2" s="471"/>
      <c r="D2" s="471"/>
      <c r="E2" s="471"/>
      <c r="F2" s="471"/>
      <c r="G2" s="471"/>
      <c r="H2" s="471"/>
      <c r="I2" s="471"/>
      <c r="J2" s="471"/>
      <c r="K2" s="471"/>
      <c r="L2" s="471"/>
      <c r="M2" s="471"/>
      <c r="N2" s="471"/>
      <c r="O2" s="471"/>
      <c r="R2" s="123"/>
      <c r="S2" s="123"/>
      <c r="T2" s="123"/>
      <c r="U2" s="123"/>
      <c r="V2" s="123"/>
      <c r="W2" s="123"/>
    </row>
    <row r="3" spans="1:77" ht="13" customHeight="1">
      <c r="A3" s="471" t="s">
        <v>33</v>
      </c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  <c r="N3" s="471"/>
      <c r="O3" s="471"/>
      <c r="R3" s="123"/>
      <c r="S3" s="123"/>
      <c r="T3" s="123"/>
      <c r="U3" s="123"/>
      <c r="V3" s="123"/>
      <c r="W3" s="123"/>
    </row>
    <row r="4" spans="1:77" ht="13" customHeight="1">
      <c r="A4" s="471" t="s">
        <v>34</v>
      </c>
      <c r="B4" s="471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471"/>
      <c r="N4" s="471"/>
      <c r="O4" s="471"/>
      <c r="R4" s="123"/>
      <c r="S4" s="123"/>
      <c r="T4" s="123"/>
      <c r="U4" s="123"/>
      <c r="V4" s="123"/>
      <c r="W4" s="123"/>
    </row>
    <row r="5" spans="1:77" ht="13" customHeight="1">
      <c r="A5" s="471" t="s">
        <v>35</v>
      </c>
      <c r="B5" s="471"/>
      <c r="C5" s="471"/>
      <c r="D5" s="471"/>
      <c r="E5" s="471"/>
      <c r="F5" s="471"/>
      <c r="G5" s="471"/>
      <c r="H5" s="471"/>
      <c r="I5" s="471"/>
      <c r="J5" s="471"/>
      <c r="K5" s="471"/>
      <c r="L5" s="471"/>
      <c r="M5" s="471"/>
      <c r="N5" s="471"/>
      <c r="O5" s="471"/>
      <c r="R5" s="123"/>
      <c r="S5" s="123"/>
      <c r="T5" s="123"/>
      <c r="U5" s="123"/>
      <c r="V5" s="123"/>
      <c r="W5" s="123"/>
    </row>
    <row r="6" spans="1:77" ht="13" customHeight="1">
      <c r="A6" s="471" t="s">
        <v>36</v>
      </c>
      <c r="B6" s="471"/>
      <c r="C6" s="471"/>
      <c r="D6" s="471"/>
      <c r="E6" s="471"/>
      <c r="F6" s="471"/>
      <c r="G6" s="471"/>
      <c r="H6" s="471"/>
      <c r="I6" s="471"/>
      <c r="J6" s="471"/>
      <c r="K6" s="471"/>
      <c r="L6" s="471"/>
      <c r="M6" s="471"/>
      <c r="N6" s="471"/>
      <c r="O6" s="471"/>
      <c r="R6" s="123"/>
      <c r="S6" s="123"/>
      <c r="T6" s="123"/>
      <c r="U6" s="123"/>
      <c r="V6" s="123"/>
      <c r="W6" s="123"/>
    </row>
    <row r="7" spans="1:77" ht="16" customHeight="1">
      <c r="A7" s="123"/>
      <c r="B7" s="123"/>
      <c r="C7" s="123"/>
      <c r="D7" s="123"/>
      <c r="E7" s="123"/>
      <c r="F7" s="218"/>
      <c r="G7" s="123"/>
      <c r="H7" s="123"/>
      <c r="I7" s="123"/>
      <c r="J7" s="123"/>
      <c r="K7" s="241"/>
      <c r="L7" s="123"/>
      <c r="M7" s="123"/>
      <c r="N7" s="123"/>
      <c r="O7" s="123"/>
      <c r="R7" s="242"/>
      <c r="S7" s="242"/>
      <c r="T7" s="242"/>
      <c r="U7" s="242"/>
      <c r="V7" s="242"/>
      <c r="W7" s="242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6"/>
      <c r="BR7" s="96"/>
      <c r="BS7" s="96"/>
      <c r="BT7" s="96"/>
      <c r="BU7" s="96"/>
      <c r="BV7" s="96"/>
      <c r="BW7" s="96"/>
      <c r="BX7" s="96"/>
      <c r="BY7" s="96"/>
    </row>
    <row r="8" spans="1:77" ht="13" customHeight="1">
      <c r="A8" s="468" t="s">
        <v>37</v>
      </c>
      <c r="B8" s="468" t="s">
        <v>38</v>
      </c>
      <c r="C8" s="468" t="s">
        <v>39</v>
      </c>
      <c r="D8" s="468" t="s">
        <v>40</v>
      </c>
      <c r="E8" s="468" t="s">
        <v>3</v>
      </c>
      <c r="F8" s="468" t="s">
        <v>4</v>
      </c>
      <c r="G8" s="468" t="s">
        <v>5</v>
      </c>
      <c r="H8" s="468" t="s">
        <v>6</v>
      </c>
      <c r="I8" s="468" t="s">
        <v>7</v>
      </c>
      <c r="J8" s="468" t="s">
        <v>8</v>
      </c>
      <c r="K8" s="468" t="s">
        <v>41</v>
      </c>
      <c r="L8" s="468" t="s">
        <v>42</v>
      </c>
      <c r="M8" s="468" t="s">
        <v>43</v>
      </c>
      <c r="N8" s="468" t="s">
        <v>44</v>
      </c>
      <c r="O8" s="484" t="s">
        <v>45</v>
      </c>
      <c r="P8" s="481" t="s">
        <v>46</v>
      </c>
      <c r="Q8" s="478" t="s">
        <v>47</v>
      </c>
      <c r="R8" s="475" t="s">
        <v>16</v>
      </c>
      <c r="S8" s="472" t="s">
        <v>48</v>
      </c>
      <c r="T8" s="242"/>
      <c r="U8" s="242"/>
      <c r="V8" s="242"/>
      <c r="W8" s="242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96"/>
      <c r="BL8" s="96"/>
      <c r="BM8" s="96"/>
      <c r="BN8" s="96"/>
      <c r="BO8" s="96"/>
      <c r="BP8" s="96"/>
      <c r="BQ8" s="96"/>
      <c r="BR8" s="96"/>
      <c r="BS8" s="96"/>
      <c r="BT8" s="96"/>
      <c r="BU8" s="96"/>
      <c r="BV8" s="96"/>
      <c r="BW8" s="96"/>
      <c r="BX8" s="96"/>
      <c r="BY8" s="96"/>
    </row>
    <row r="9" spans="1:77" ht="13" customHeight="1">
      <c r="A9" s="469"/>
      <c r="B9" s="469"/>
      <c r="C9" s="469"/>
      <c r="D9" s="469"/>
      <c r="E9" s="469"/>
      <c r="F9" s="469"/>
      <c r="G9" s="469"/>
      <c r="H9" s="469"/>
      <c r="I9" s="469"/>
      <c r="J9" s="469"/>
      <c r="K9" s="469"/>
      <c r="L9" s="469"/>
      <c r="M9" s="469"/>
      <c r="N9" s="469"/>
      <c r="O9" s="485"/>
      <c r="P9" s="482"/>
      <c r="Q9" s="479"/>
      <c r="R9" s="476"/>
      <c r="S9" s="473"/>
      <c r="T9" s="242"/>
      <c r="U9" s="242"/>
      <c r="V9" s="242"/>
      <c r="W9" s="242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6"/>
      <c r="BQ9" s="96"/>
      <c r="BR9" s="96"/>
      <c r="BS9" s="96"/>
      <c r="BT9" s="96"/>
      <c r="BU9" s="96"/>
      <c r="BV9" s="96"/>
      <c r="BW9" s="96"/>
      <c r="BX9" s="96"/>
      <c r="BY9" s="96"/>
    </row>
    <row r="10" spans="1:77" ht="13" customHeight="1">
      <c r="A10" s="470"/>
      <c r="B10" s="470"/>
      <c r="C10" s="470"/>
      <c r="D10" s="470"/>
      <c r="E10" s="470"/>
      <c r="F10" s="470"/>
      <c r="G10" s="470"/>
      <c r="H10" s="470"/>
      <c r="I10" s="470"/>
      <c r="J10" s="470"/>
      <c r="K10" s="470"/>
      <c r="L10" s="470"/>
      <c r="M10" s="470"/>
      <c r="N10" s="470"/>
      <c r="O10" s="486"/>
      <c r="P10" s="483"/>
      <c r="Q10" s="480"/>
      <c r="R10" s="477"/>
      <c r="S10" s="474"/>
      <c r="T10" s="242"/>
      <c r="U10" s="242"/>
      <c r="V10" s="242"/>
      <c r="W10" s="242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6"/>
      <c r="BQ10" s="96"/>
      <c r="BR10" s="96"/>
      <c r="BS10" s="96"/>
      <c r="BT10" s="96"/>
      <c r="BU10" s="96"/>
      <c r="BV10" s="96"/>
      <c r="BW10" s="96"/>
      <c r="BX10" s="96"/>
      <c r="BY10" s="96"/>
    </row>
    <row r="11" spans="1:77" ht="15" customHeight="1">
      <c r="A11" s="123"/>
      <c r="B11" s="243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R11" s="123"/>
      <c r="S11" s="123"/>
      <c r="T11" s="123"/>
      <c r="U11" s="123"/>
      <c r="V11" s="123"/>
      <c r="W11" s="123"/>
    </row>
    <row r="12" spans="1:77" ht="15" customHeight="1">
      <c r="A12" s="123"/>
      <c r="B12" s="243" t="s">
        <v>49</v>
      </c>
      <c r="C12" s="234"/>
      <c r="D12" s="234"/>
      <c r="E12" s="234"/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R12" s="123"/>
      <c r="S12" s="123"/>
      <c r="T12" s="123"/>
      <c r="U12" s="123"/>
      <c r="V12" s="123"/>
      <c r="W12" s="123"/>
    </row>
    <row r="13" spans="1:77" ht="13" customHeight="1">
      <c r="A13" s="124">
        <v>40100</v>
      </c>
      <c r="B13" s="207" t="s">
        <v>50</v>
      </c>
      <c r="C13" s="128">
        <f>Rent!E20</f>
        <v>22130.440000000002</v>
      </c>
      <c r="D13" s="128">
        <f>Rent!F20</f>
        <v>22130.440000000002</v>
      </c>
      <c r="E13" s="128">
        <f>Rent!G20</f>
        <v>22182.890000000003</v>
      </c>
      <c r="F13" s="128">
        <f>Rent!H20</f>
        <v>22182.890000000003</v>
      </c>
      <c r="G13" s="128">
        <f>Rent!I20</f>
        <v>22182.890000000003</v>
      </c>
      <c r="H13" s="128">
        <f>Rent!J20</f>
        <v>22182.890000000003</v>
      </c>
      <c r="I13" s="128">
        <f>Rent!K20</f>
        <v>22182.890000000003</v>
      </c>
      <c r="J13" s="128">
        <f>Rent!L20</f>
        <v>22182.890000000003</v>
      </c>
      <c r="K13" s="128">
        <f>Rent!M20</f>
        <v>22182.890000000003</v>
      </c>
      <c r="L13" s="128">
        <f>Rent!N20</f>
        <v>22182.890000000003</v>
      </c>
      <c r="M13" s="128">
        <f>Rent!O20</f>
        <v>22182.890000000003</v>
      </c>
      <c r="N13" s="128">
        <f>Rent!P20</f>
        <v>22182.890000000003</v>
      </c>
      <c r="O13" s="128">
        <f t="shared" ref="O13:O22" si="0">SUM(C13:N13)</f>
        <v>266089.78000000009</v>
      </c>
      <c r="P13" s="408">
        <v>311153</v>
      </c>
      <c r="Q13" s="408">
        <v>265460</v>
      </c>
      <c r="R13" s="239">
        <f>O13-P13</f>
        <v>-45063.219999999914</v>
      </c>
      <c r="S13" s="123"/>
      <c r="T13" s="123"/>
      <c r="U13" s="123"/>
      <c r="V13" s="123"/>
      <c r="W13" s="123"/>
    </row>
    <row r="14" spans="1:77" ht="13" customHeight="1">
      <c r="A14" s="124">
        <v>40140</v>
      </c>
      <c r="B14" s="123" t="s">
        <v>51</v>
      </c>
      <c r="C14" s="128">
        <f>CAM!E24</f>
        <v>4548.4941777666982</v>
      </c>
      <c r="D14" s="128">
        <f>CAM!F24</f>
        <v>4548.4941777666982</v>
      </c>
      <c r="E14" s="128">
        <f>CAM!G24</f>
        <v>4548.4941777666982</v>
      </c>
      <c r="F14" s="128">
        <f>CAM!H24</f>
        <v>4548.4941777666982</v>
      </c>
      <c r="G14" s="128">
        <f>CAM!I24</f>
        <v>4548.4941777666982</v>
      </c>
      <c r="H14" s="128">
        <f>CAM!J24</f>
        <v>4548.4941777666982</v>
      </c>
      <c r="I14" s="128">
        <f>CAM!K24</f>
        <v>4548.4941777666982</v>
      </c>
      <c r="J14" s="128">
        <f>CAM!L24</f>
        <v>4548.4941777666982</v>
      </c>
      <c r="K14" s="128">
        <f>CAM!M24</f>
        <v>4548.4941777666982</v>
      </c>
      <c r="L14" s="128">
        <f>CAM!N24</f>
        <v>4548.4941777666982</v>
      </c>
      <c r="M14" s="128">
        <f>CAM!O24</f>
        <v>4548.4941777666982</v>
      </c>
      <c r="N14" s="128">
        <f>CAM!P24</f>
        <v>4548.4941777666982</v>
      </c>
      <c r="O14" s="128">
        <f t="shared" si="0"/>
        <v>54581.930133200374</v>
      </c>
      <c r="P14" s="409">
        <v>57545</v>
      </c>
      <c r="Q14" s="409">
        <v>55380</v>
      </c>
      <c r="R14" s="239">
        <f t="shared" ref="R14:R22" si="1">O14-P14</f>
        <v>-2963.0698667996257</v>
      </c>
      <c r="S14" s="123"/>
      <c r="T14" s="230" t="s">
        <v>52</v>
      </c>
      <c r="U14" s="123"/>
      <c r="V14" s="123"/>
      <c r="W14" s="123"/>
    </row>
    <row r="15" spans="1:77" ht="13" customHeight="1">
      <c r="A15" s="124">
        <v>41300</v>
      </c>
      <c r="B15" s="123" t="s">
        <v>53</v>
      </c>
      <c r="C15" s="128">
        <f>'Sales Tax'!E40</f>
        <v>894.69657349845704</v>
      </c>
      <c r="D15" s="128">
        <f>'Sales Tax'!F40</f>
        <v>894.69657349845704</v>
      </c>
      <c r="E15" s="128">
        <f>'Sales Tax'!G40</f>
        <v>896.27007349845712</v>
      </c>
      <c r="F15" s="128">
        <f>'Sales Tax'!H40</f>
        <v>896.27007349845712</v>
      </c>
      <c r="G15" s="128">
        <f>'Sales Tax'!I40</f>
        <v>896.27007349845712</v>
      </c>
      <c r="H15" s="128">
        <f>'Sales Tax'!J40</f>
        <v>896.27007349845712</v>
      </c>
      <c r="I15" s="128">
        <f>'Sales Tax'!K40</f>
        <v>896.27007349845712</v>
      </c>
      <c r="J15" s="128">
        <f>'Sales Tax'!L40</f>
        <v>896.27007349845712</v>
      </c>
      <c r="K15" s="128">
        <f>'Sales Tax'!M40</f>
        <v>896.27007349845712</v>
      </c>
      <c r="L15" s="128">
        <f>'Sales Tax'!N40</f>
        <v>896.27007349845712</v>
      </c>
      <c r="M15" s="128">
        <f>'Sales Tax'!O40</f>
        <v>896.27007349845712</v>
      </c>
      <c r="N15" s="128">
        <f>'Sales Tax'!P40</f>
        <v>896.27007349845712</v>
      </c>
      <c r="O15" s="128">
        <f t="shared" si="0"/>
        <v>10752.093881981487</v>
      </c>
      <c r="P15" s="409">
        <v>12024</v>
      </c>
      <c r="Q15" s="409">
        <v>10737</v>
      </c>
      <c r="R15" s="239">
        <f t="shared" si="1"/>
        <v>-1271.9061180185126</v>
      </c>
      <c r="S15" s="123"/>
      <c r="T15" s="230" t="s">
        <v>54</v>
      </c>
      <c r="U15" s="123"/>
      <c r="V15" s="123"/>
      <c r="W15" s="123"/>
    </row>
    <row r="16" spans="1:77" ht="13" customHeight="1">
      <c r="A16" s="124">
        <v>40150</v>
      </c>
      <c r="B16" s="123" t="s">
        <v>55</v>
      </c>
      <c r="C16" s="128">
        <v>0</v>
      </c>
      <c r="D16" s="128">
        <v>0</v>
      </c>
      <c r="E16" s="128">
        <v>0</v>
      </c>
      <c r="F16" s="128">
        <v>0</v>
      </c>
      <c r="G16" s="128">
        <v>0</v>
      </c>
      <c r="H16" s="128">
        <v>0</v>
      </c>
      <c r="I16" s="128">
        <v>0</v>
      </c>
      <c r="J16" s="128">
        <v>0</v>
      </c>
      <c r="K16" s="128">
        <v>0</v>
      </c>
      <c r="L16" s="128">
        <v>0</v>
      </c>
      <c r="M16" s="128">
        <v>0</v>
      </c>
      <c r="N16" s="128">
        <v>0</v>
      </c>
      <c r="O16" s="128">
        <f t="shared" si="0"/>
        <v>0</v>
      </c>
      <c r="P16" s="409">
        <v>0</v>
      </c>
      <c r="Q16" s="410">
        <v>0</v>
      </c>
      <c r="R16" s="239">
        <f t="shared" si="1"/>
        <v>0</v>
      </c>
      <c r="S16" s="123"/>
      <c r="T16" s="123"/>
      <c r="U16" s="123"/>
      <c r="V16" s="123"/>
      <c r="W16" s="123"/>
    </row>
    <row r="17" spans="1:77" ht="13" customHeight="1">
      <c r="A17" s="124">
        <v>40220</v>
      </c>
      <c r="B17" s="123" t="s">
        <v>56</v>
      </c>
      <c r="C17" s="128">
        <v>0</v>
      </c>
      <c r="D17" s="128">
        <v>0</v>
      </c>
      <c r="E17" s="128">
        <v>0</v>
      </c>
      <c r="F17" s="128">
        <v>0</v>
      </c>
      <c r="G17" s="128">
        <v>0</v>
      </c>
      <c r="H17" s="128">
        <v>0</v>
      </c>
      <c r="I17" s="128">
        <v>0</v>
      </c>
      <c r="J17" s="128">
        <v>0</v>
      </c>
      <c r="K17" s="128">
        <v>0</v>
      </c>
      <c r="L17" s="128">
        <v>0</v>
      </c>
      <c r="M17" s="128">
        <v>0</v>
      </c>
      <c r="N17" s="128">
        <v>0</v>
      </c>
      <c r="O17" s="128">
        <f t="shared" si="0"/>
        <v>0</v>
      </c>
      <c r="P17" s="410">
        <v>0</v>
      </c>
      <c r="Q17" s="410">
        <v>0</v>
      </c>
      <c r="R17" s="239">
        <f t="shared" si="1"/>
        <v>0</v>
      </c>
      <c r="S17" s="123"/>
      <c r="T17" s="230" t="s">
        <v>57</v>
      </c>
      <c r="U17" s="123"/>
      <c r="V17" s="123"/>
      <c r="W17" s="123"/>
    </row>
    <row r="18" spans="1:77" ht="13" customHeight="1">
      <c r="A18" s="124">
        <v>40230</v>
      </c>
      <c r="B18" s="123" t="s">
        <v>58</v>
      </c>
      <c r="C18" s="128">
        <f>Ins.!E26</f>
        <v>582.25279133759318</v>
      </c>
      <c r="D18" s="128">
        <f>Ins.!F26</f>
        <v>582.25279133759318</v>
      </c>
      <c r="E18" s="128">
        <f>Ins.!G26</f>
        <v>582.25279133759318</v>
      </c>
      <c r="F18" s="128">
        <f>Ins.!H26</f>
        <v>582.25279133759318</v>
      </c>
      <c r="G18" s="128">
        <f>Ins.!I26</f>
        <v>582.25279133759318</v>
      </c>
      <c r="H18" s="128">
        <f>Ins.!J26</f>
        <v>582.25279133759318</v>
      </c>
      <c r="I18" s="128">
        <f>Ins.!K26</f>
        <v>582.25279133759318</v>
      </c>
      <c r="J18" s="128">
        <f>Ins.!L26</f>
        <v>582.25279133759318</v>
      </c>
      <c r="K18" s="128">
        <f>Ins.!M26</f>
        <v>582.25279133759318</v>
      </c>
      <c r="L18" s="128">
        <f>Ins.!N26</f>
        <v>582.25279133759318</v>
      </c>
      <c r="M18" s="128">
        <f>Ins.!O26</f>
        <v>582.25279133759318</v>
      </c>
      <c r="N18" s="128">
        <f>Ins.!P26</f>
        <v>582.25279133759318</v>
      </c>
      <c r="O18" s="128">
        <f t="shared" si="0"/>
        <v>6987.03349605112</v>
      </c>
      <c r="P18" s="409">
        <v>7486</v>
      </c>
      <c r="Q18" s="409">
        <v>7488</v>
      </c>
      <c r="R18" s="239">
        <f t="shared" si="1"/>
        <v>-498.96650394888002</v>
      </c>
      <c r="S18" s="123"/>
      <c r="T18" s="230" t="s">
        <v>59</v>
      </c>
      <c r="U18" s="123"/>
      <c r="V18" s="123"/>
      <c r="W18" s="123"/>
    </row>
    <row r="19" spans="1:77" ht="13" customHeight="1">
      <c r="A19" s="124">
        <v>40240</v>
      </c>
      <c r="B19" s="123" t="s">
        <v>60</v>
      </c>
      <c r="C19" s="128">
        <f>'RE Tax'!E32</f>
        <v>2562.0321475109467</v>
      </c>
      <c r="D19" s="128">
        <f>'RE Tax'!F32</f>
        <v>2562.0321475109467</v>
      </c>
      <c r="E19" s="128">
        <f>'RE Tax'!G32</f>
        <v>2562.0321475109467</v>
      </c>
      <c r="F19" s="128">
        <f>'RE Tax'!H32</f>
        <v>2562.0321475109467</v>
      </c>
      <c r="G19" s="128">
        <f>'RE Tax'!I32</f>
        <v>2562.0321475109467</v>
      </c>
      <c r="H19" s="128">
        <f>'RE Tax'!J32</f>
        <v>2562.0321475109467</v>
      </c>
      <c r="I19" s="128">
        <f>'RE Tax'!K32</f>
        <v>2562.0321475109467</v>
      </c>
      <c r="J19" s="128">
        <f>'RE Tax'!L32</f>
        <v>2562.0321475109467</v>
      </c>
      <c r="K19" s="128">
        <f>'RE Tax'!M32</f>
        <v>2562.0321475109467</v>
      </c>
      <c r="L19" s="128">
        <f>'RE Tax'!N32</f>
        <v>2562.0321475109467</v>
      </c>
      <c r="M19" s="128">
        <f>'RE Tax'!O32</f>
        <v>2562.0321475109467</v>
      </c>
      <c r="N19" s="128">
        <f>'RE Tax'!P32</f>
        <v>2562.0321475109467</v>
      </c>
      <c r="O19" s="128">
        <f t="shared" si="0"/>
        <v>30744.385770131354</v>
      </c>
      <c r="P19" s="409">
        <v>29484</v>
      </c>
      <c r="Q19" s="409">
        <v>29484</v>
      </c>
      <c r="R19" s="239">
        <f t="shared" si="1"/>
        <v>1260.3857701313536</v>
      </c>
      <c r="S19" s="123"/>
      <c r="T19" s="123"/>
      <c r="U19" s="123"/>
      <c r="V19" s="123"/>
      <c r="W19" s="123"/>
    </row>
    <row r="20" spans="1:77" ht="13" customHeight="1">
      <c r="A20" s="124">
        <v>40400</v>
      </c>
      <c r="B20" s="123" t="s">
        <v>61</v>
      </c>
      <c r="C20" s="128">
        <f>'Admin. Fee'!E27</f>
        <v>0</v>
      </c>
      <c r="D20" s="128">
        <f>'Admin. Fee'!F27</f>
        <v>0</v>
      </c>
      <c r="E20" s="128">
        <f>'Admin. Fee'!G27</f>
        <v>0</v>
      </c>
      <c r="F20" s="128">
        <f>'Admin. Fee'!H27</f>
        <v>0</v>
      </c>
      <c r="G20" s="128">
        <f>'Admin. Fee'!I27</f>
        <v>0</v>
      </c>
      <c r="H20" s="128">
        <f>'Admin. Fee'!J27</f>
        <v>0</v>
      </c>
      <c r="I20" s="128">
        <f>'Admin. Fee'!K27</f>
        <v>0</v>
      </c>
      <c r="J20" s="128">
        <f>'Admin. Fee'!L27</f>
        <v>0</v>
      </c>
      <c r="K20" s="128">
        <f>'Admin. Fee'!M27</f>
        <v>0</v>
      </c>
      <c r="L20" s="128">
        <f>'Admin. Fee'!N27</f>
        <v>0</v>
      </c>
      <c r="M20" s="128">
        <f>'Admin. Fee'!O27</f>
        <v>0</v>
      </c>
      <c r="N20" s="128">
        <f>'Admin. Fee'!P27</f>
        <v>0</v>
      </c>
      <c r="O20" s="128">
        <f>SUM(C20:N20)</f>
        <v>0</v>
      </c>
      <c r="P20" s="410">
        <v>0</v>
      </c>
      <c r="Q20" s="410">
        <v>0</v>
      </c>
      <c r="R20" s="239">
        <f t="shared" si="1"/>
        <v>0</v>
      </c>
      <c r="S20" s="123"/>
      <c r="T20" s="321"/>
      <c r="U20" s="322"/>
      <c r="V20" s="322"/>
      <c r="W20" s="322"/>
      <c r="X20" s="323"/>
      <c r="Y20" s="323"/>
    </row>
    <row r="21" spans="1:77" ht="13" customHeight="1">
      <c r="A21" s="124">
        <v>40250</v>
      </c>
      <c r="B21" s="123" t="s">
        <v>62</v>
      </c>
      <c r="C21" s="128">
        <f>C81</f>
        <v>0</v>
      </c>
      <c r="D21" s="128">
        <f t="shared" ref="D21:N21" si="2">D81</f>
        <v>0</v>
      </c>
      <c r="E21" s="128">
        <f t="shared" si="2"/>
        <v>0</v>
      </c>
      <c r="F21" s="128">
        <f t="shared" si="2"/>
        <v>0</v>
      </c>
      <c r="G21" s="128">
        <f t="shared" si="2"/>
        <v>0</v>
      </c>
      <c r="H21" s="128">
        <f t="shared" si="2"/>
        <v>0</v>
      </c>
      <c r="I21" s="128">
        <f t="shared" si="2"/>
        <v>0</v>
      </c>
      <c r="J21" s="128">
        <f t="shared" si="2"/>
        <v>0</v>
      </c>
      <c r="K21" s="128">
        <f t="shared" si="2"/>
        <v>0</v>
      </c>
      <c r="L21" s="128">
        <f t="shared" si="2"/>
        <v>0</v>
      </c>
      <c r="M21" s="128">
        <f t="shared" si="2"/>
        <v>0</v>
      </c>
      <c r="N21" s="128">
        <f t="shared" si="2"/>
        <v>0</v>
      </c>
      <c r="O21" s="128">
        <f t="shared" si="0"/>
        <v>0</v>
      </c>
      <c r="P21" s="410">
        <v>0</v>
      </c>
      <c r="Q21" s="410">
        <v>0</v>
      </c>
      <c r="R21" s="239">
        <f t="shared" si="1"/>
        <v>0</v>
      </c>
      <c r="S21" s="123"/>
      <c r="T21" s="230" t="s">
        <v>63</v>
      </c>
      <c r="U21" s="123"/>
      <c r="V21" s="123"/>
      <c r="W21" s="123"/>
    </row>
    <row r="22" spans="1:77" ht="13" customHeight="1">
      <c r="A22" s="124">
        <v>40600</v>
      </c>
      <c r="B22" s="123" t="s">
        <v>64</v>
      </c>
      <c r="C22" s="128">
        <v>0</v>
      </c>
      <c r="D22" s="128">
        <v>0</v>
      </c>
      <c r="E22" s="128">
        <v>0</v>
      </c>
      <c r="F22" s="128">
        <v>0</v>
      </c>
      <c r="G22" s="128">
        <v>0</v>
      </c>
      <c r="H22" s="128">
        <v>0</v>
      </c>
      <c r="I22" s="128">
        <v>0</v>
      </c>
      <c r="J22" s="128">
        <v>0</v>
      </c>
      <c r="K22" s="128">
        <v>0</v>
      </c>
      <c r="L22" s="128">
        <v>0</v>
      </c>
      <c r="M22" s="128">
        <v>0</v>
      </c>
      <c r="N22" s="128">
        <v>0</v>
      </c>
      <c r="O22" s="128">
        <f t="shared" si="0"/>
        <v>0</v>
      </c>
      <c r="P22" s="410">
        <v>0</v>
      </c>
      <c r="Q22" s="410">
        <v>0</v>
      </c>
      <c r="R22" s="239">
        <f t="shared" si="1"/>
        <v>0</v>
      </c>
      <c r="S22" s="123"/>
      <c r="T22" s="123"/>
      <c r="U22" s="123"/>
      <c r="V22" s="123"/>
      <c r="W22" s="123"/>
    </row>
    <row r="23" spans="1:77" ht="13" customHeight="1">
      <c r="A23" s="124"/>
      <c r="B23" s="123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410"/>
      <c r="Q23" s="410"/>
      <c r="R23" s="239"/>
      <c r="S23" s="123"/>
      <c r="T23" s="123"/>
      <c r="U23" s="123"/>
      <c r="V23" s="123"/>
      <c r="W23" s="123"/>
    </row>
    <row r="24" spans="1:77" ht="13" customHeight="1">
      <c r="A24" s="124"/>
      <c r="B24" s="123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R24" s="278"/>
      <c r="S24" s="123"/>
      <c r="T24" s="123"/>
      <c r="U24" s="123"/>
      <c r="V24" s="123"/>
      <c r="W24" s="123"/>
    </row>
    <row r="25" spans="1:77" ht="13" customHeight="1">
      <c r="A25" s="123"/>
      <c r="B25" s="269" t="s">
        <v>65</v>
      </c>
      <c r="C25" s="270">
        <f>SUM(C13:C24)</f>
        <v>30717.915690113696</v>
      </c>
      <c r="D25" s="270">
        <f>SUM(D13:D24)</f>
        <v>30717.915690113696</v>
      </c>
      <c r="E25" s="270">
        <f t="shared" ref="E25:N25" si="3">SUM(E13:E24)</f>
        <v>30771.939190113699</v>
      </c>
      <c r="F25" s="270">
        <f t="shared" si="3"/>
        <v>30771.939190113699</v>
      </c>
      <c r="G25" s="270">
        <f t="shared" si="3"/>
        <v>30771.939190113699</v>
      </c>
      <c r="H25" s="270">
        <f t="shared" si="3"/>
        <v>30771.939190113699</v>
      </c>
      <c r="I25" s="270">
        <f t="shared" si="3"/>
        <v>30771.939190113699</v>
      </c>
      <c r="J25" s="270">
        <f t="shared" si="3"/>
        <v>30771.939190113699</v>
      </c>
      <c r="K25" s="270">
        <f>SUM(K13:K24)</f>
        <v>30771.939190113699</v>
      </c>
      <c r="L25" s="270">
        <f t="shared" si="3"/>
        <v>30771.939190113699</v>
      </c>
      <c r="M25" s="270">
        <f t="shared" si="3"/>
        <v>30771.939190113699</v>
      </c>
      <c r="N25" s="270">
        <f t="shared" si="3"/>
        <v>30771.939190113699</v>
      </c>
      <c r="O25" s="271">
        <f>SUM(O13:O24)</f>
        <v>369155.22328136442</v>
      </c>
      <c r="P25" s="272">
        <f>SUM(P13:P24)</f>
        <v>417692</v>
      </c>
      <c r="Q25" s="273">
        <f>SUM(Q13:Q24)</f>
        <v>368549</v>
      </c>
      <c r="R25" s="279">
        <f>O25-P25</f>
        <v>-48536.776718635578</v>
      </c>
      <c r="S25" s="123"/>
      <c r="T25" s="123"/>
      <c r="U25" s="123"/>
      <c r="V25" s="123"/>
      <c r="W25" s="123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6"/>
      <c r="BG25" s="96"/>
      <c r="BH25" s="96"/>
      <c r="BI25" s="96"/>
      <c r="BJ25" s="96"/>
      <c r="BK25" s="96"/>
      <c r="BL25" s="96"/>
      <c r="BM25" s="96"/>
      <c r="BN25" s="96"/>
      <c r="BO25" s="96"/>
      <c r="BP25" s="96"/>
      <c r="BQ25" s="96"/>
      <c r="BR25" s="96"/>
      <c r="BS25" s="96"/>
      <c r="BT25" s="96"/>
      <c r="BU25" s="96"/>
      <c r="BV25" s="96"/>
      <c r="BW25" s="96"/>
      <c r="BX25" s="96"/>
      <c r="BY25" s="96"/>
    </row>
    <row r="26" spans="1:77" ht="13" customHeight="1">
      <c r="A26" s="123"/>
      <c r="B26" s="123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R26" s="184"/>
      <c r="S26" s="123"/>
      <c r="T26" s="123"/>
      <c r="U26" s="123"/>
      <c r="V26" s="123"/>
      <c r="W26" s="123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6"/>
      <c r="BF26" s="96"/>
      <c r="BG26" s="96"/>
      <c r="BH26" s="96"/>
      <c r="BI26" s="96"/>
      <c r="BJ26" s="96"/>
      <c r="BK26" s="96"/>
      <c r="BL26" s="96"/>
      <c r="BM26" s="96"/>
      <c r="BN26" s="96"/>
      <c r="BO26" s="96"/>
      <c r="BP26" s="96"/>
      <c r="BQ26" s="96"/>
      <c r="BR26" s="96"/>
      <c r="BS26" s="96"/>
      <c r="BT26" s="96"/>
      <c r="BU26" s="96"/>
      <c r="BV26" s="96"/>
      <c r="BW26" s="96"/>
      <c r="BX26" s="96"/>
      <c r="BY26" s="96"/>
    </row>
    <row r="27" spans="1:77" ht="13" customHeight="1">
      <c r="A27" s="123"/>
      <c r="B27" s="243" t="s">
        <v>66</v>
      </c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R27" s="184"/>
      <c r="S27" s="123"/>
      <c r="T27" s="123"/>
      <c r="U27" s="123"/>
      <c r="V27" s="123"/>
      <c r="W27" s="123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6"/>
      <c r="BF27" s="96"/>
      <c r="BG27" s="96"/>
      <c r="BH27" s="96"/>
      <c r="BI27" s="96"/>
      <c r="BJ27" s="96"/>
      <c r="BK27" s="96"/>
      <c r="BL27" s="96"/>
      <c r="BM27" s="96"/>
      <c r="BN27" s="96"/>
      <c r="BO27" s="96"/>
      <c r="BP27" s="96"/>
      <c r="BQ27" s="96"/>
      <c r="BR27" s="96"/>
      <c r="BS27" s="96"/>
      <c r="BT27" s="96"/>
      <c r="BU27" s="96"/>
      <c r="BV27" s="96"/>
      <c r="BW27" s="96"/>
      <c r="BX27" s="96"/>
      <c r="BY27" s="96"/>
    </row>
    <row r="28" spans="1:77" ht="13" customHeight="1">
      <c r="A28" s="124">
        <v>50105</v>
      </c>
      <c r="B28" s="245" t="s">
        <v>67</v>
      </c>
      <c r="C28" s="128">
        <f>102419/12</f>
        <v>8534.9166666666661</v>
      </c>
      <c r="D28" s="128">
        <f>C28</f>
        <v>8534.9166666666661</v>
      </c>
      <c r="E28" s="128">
        <f t="shared" ref="E28:N28" si="4">D28</f>
        <v>8534.9166666666661</v>
      </c>
      <c r="F28" s="128">
        <f t="shared" si="4"/>
        <v>8534.9166666666661</v>
      </c>
      <c r="G28" s="128">
        <f t="shared" si="4"/>
        <v>8534.9166666666661</v>
      </c>
      <c r="H28" s="128">
        <f t="shared" si="4"/>
        <v>8534.9166666666661</v>
      </c>
      <c r="I28" s="128">
        <f t="shared" si="4"/>
        <v>8534.9166666666661</v>
      </c>
      <c r="J28" s="128">
        <f t="shared" si="4"/>
        <v>8534.9166666666661</v>
      </c>
      <c r="K28" s="128">
        <f t="shared" si="4"/>
        <v>8534.9166666666661</v>
      </c>
      <c r="L28" s="128">
        <f t="shared" si="4"/>
        <v>8534.9166666666661</v>
      </c>
      <c r="M28" s="128">
        <f t="shared" si="4"/>
        <v>8534.9166666666661</v>
      </c>
      <c r="N28" s="128">
        <f t="shared" si="4"/>
        <v>8534.9166666666661</v>
      </c>
      <c r="O28" s="128">
        <f>SUM(C28:N28)</f>
        <v>102419.00000000001</v>
      </c>
      <c r="P28" s="409">
        <v>118828</v>
      </c>
      <c r="Q28" s="409">
        <v>92556</v>
      </c>
      <c r="R28" s="285">
        <f>O28-P28</f>
        <v>-16408.999999999985</v>
      </c>
      <c r="S28" s="235">
        <v>239262</v>
      </c>
      <c r="T28" s="230" t="s">
        <v>68</v>
      </c>
      <c r="U28" s="123"/>
      <c r="V28" s="123"/>
      <c r="W28" s="123"/>
    </row>
    <row r="29" spans="1:77" ht="13" customHeight="1">
      <c r="A29" s="124">
        <v>50160</v>
      </c>
      <c r="B29" s="247" t="s">
        <v>69</v>
      </c>
      <c r="C29" s="128">
        <v>0</v>
      </c>
      <c r="D29" s="128">
        <v>0</v>
      </c>
      <c r="E29" s="128">
        <v>0</v>
      </c>
      <c r="F29" s="128">
        <v>0</v>
      </c>
      <c r="G29" s="128">
        <v>0</v>
      </c>
      <c r="H29" s="128">
        <v>0</v>
      </c>
      <c r="I29" s="128">
        <v>0</v>
      </c>
      <c r="J29" s="128">
        <v>0</v>
      </c>
      <c r="K29" s="128">
        <v>0</v>
      </c>
      <c r="L29" s="128">
        <v>0</v>
      </c>
      <c r="M29" s="128">
        <v>0</v>
      </c>
      <c r="N29" s="128">
        <v>0</v>
      </c>
      <c r="O29" s="128">
        <f t="shared" ref="O29:O53" si="5">SUM(C29:N29)</f>
        <v>0</v>
      </c>
      <c r="P29" s="410">
        <v>0</v>
      </c>
      <c r="Q29" s="410">
        <v>0</v>
      </c>
      <c r="R29" s="285">
        <f t="shared" ref="R29:R53" si="6">O29-P29</f>
        <v>0</v>
      </c>
      <c r="S29" s="235">
        <f>Rent!C20</f>
        <v>50394</v>
      </c>
      <c r="T29" s="123"/>
      <c r="U29" s="123"/>
      <c r="V29" s="123"/>
      <c r="W29" s="123"/>
    </row>
    <row r="30" spans="1:77" customFormat="1" ht="13" customHeight="1">
      <c r="A30" s="124">
        <v>50190</v>
      </c>
      <c r="B30" s="247" t="s">
        <v>70</v>
      </c>
      <c r="C30" s="128">
        <v>0</v>
      </c>
      <c r="D30" s="128">
        <v>0</v>
      </c>
      <c r="E30" s="128">
        <v>0</v>
      </c>
      <c r="F30" s="128">
        <v>0</v>
      </c>
      <c r="G30" s="128">
        <v>0</v>
      </c>
      <c r="H30" s="128">
        <v>0</v>
      </c>
      <c r="I30" s="128">
        <v>0</v>
      </c>
      <c r="J30" s="128">
        <v>0</v>
      </c>
      <c r="K30" s="128">
        <v>0</v>
      </c>
      <c r="L30" s="128">
        <v>0</v>
      </c>
      <c r="M30" s="128">
        <v>0</v>
      </c>
      <c r="N30" s="128">
        <v>0</v>
      </c>
      <c r="O30" s="128">
        <f t="shared" si="5"/>
        <v>0</v>
      </c>
      <c r="P30" s="410">
        <v>0</v>
      </c>
      <c r="Q30" s="410">
        <v>0</v>
      </c>
      <c r="R30" s="285">
        <f t="shared" si="6"/>
        <v>0</v>
      </c>
      <c r="S30" s="235">
        <f>Rent!C20</f>
        <v>50394</v>
      </c>
      <c r="T30" s="123"/>
      <c r="U30" s="123"/>
      <c r="V30" s="123"/>
      <c r="W30" s="123"/>
    </row>
    <row r="31" spans="1:77" customFormat="1" ht="12" customHeight="1">
      <c r="A31" s="124">
        <v>50170</v>
      </c>
      <c r="B31" s="247" t="s">
        <v>71</v>
      </c>
      <c r="C31" s="128">
        <v>0</v>
      </c>
      <c r="D31" s="128">
        <v>0</v>
      </c>
      <c r="E31" s="128">
        <v>0</v>
      </c>
      <c r="F31" s="128">
        <v>0</v>
      </c>
      <c r="G31" s="128">
        <v>0</v>
      </c>
      <c r="H31" s="128">
        <v>0</v>
      </c>
      <c r="I31" s="128">
        <v>0</v>
      </c>
      <c r="J31" s="128">
        <v>0</v>
      </c>
      <c r="K31" s="128">
        <v>0</v>
      </c>
      <c r="L31" s="128">
        <v>0</v>
      </c>
      <c r="M31" s="128">
        <v>0</v>
      </c>
      <c r="N31" s="128">
        <v>0</v>
      </c>
      <c r="O31" s="128">
        <f t="shared" si="5"/>
        <v>0</v>
      </c>
      <c r="P31" s="410">
        <v>0</v>
      </c>
      <c r="Q31" s="410">
        <v>300</v>
      </c>
      <c r="R31" s="285">
        <f t="shared" si="6"/>
        <v>0</v>
      </c>
      <c r="S31" s="235">
        <f>Rent!C20</f>
        <v>50394</v>
      </c>
      <c r="T31" s="123"/>
      <c r="U31" s="123"/>
      <c r="V31" s="123"/>
      <c r="W31" s="123"/>
    </row>
    <row r="32" spans="1:77" ht="13" customHeight="1">
      <c r="A32" s="124">
        <v>50510</v>
      </c>
      <c r="B32" s="247" t="s">
        <v>72</v>
      </c>
      <c r="C32" s="128">
        <v>0</v>
      </c>
      <c r="D32" s="128">
        <v>0</v>
      </c>
      <c r="E32" s="128">
        <v>150</v>
      </c>
      <c r="F32" s="128">
        <v>0</v>
      </c>
      <c r="G32" s="128">
        <v>0</v>
      </c>
      <c r="H32" s="128">
        <v>0</v>
      </c>
      <c r="I32" s="128">
        <v>0</v>
      </c>
      <c r="J32" s="128">
        <v>0</v>
      </c>
      <c r="K32" s="128">
        <v>150</v>
      </c>
      <c r="L32" s="128">
        <v>0</v>
      </c>
      <c r="M32" s="128">
        <v>0</v>
      </c>
      <c r="N32" s="128">
        <v>0</v>
      </c>
      <c r="O32" s="128">
        <f t="shared" si="5"/>
        <v>300</v>
      </c>
      <c r="P32" s="410">
        <v>0</v>
      </c>
      <c r="Q32" s="409">
        <v>0</v>
      </c>
      <c r="R32" s="285">
        <f t="shared" si="6"/>
        <v>300</v>
      </c>
      <c r="S32" s="235">
        <f>Rent!C20</f>
        <v>50394</v>
      </c>
      <c r="T32" s="230" t="s">
        <v>73</v>
      </c>
      <c r="U32" s="123"/>
      <c r="V32" s="123"/>
      <c r="W32" s="123"/>
    </row>
    <row r="33" spans="1:23" customFormat="1" ht="13" customHeight="1">
      <c r="A33" s="124">
        <v>50520</v>
      </c>
      <c r="B33" s="247" t="s">
        <v>74</v>
      </c>
      <c r="C33" s="128">
        <v>0</v>
      </c>
      <c r="D33" s="334">
        <v>0</v>
      </c>
      <c r="E33" s="334">
        <f>D33</f>
        <v>0</v>
      </c>
      <c r="F33" s="334">
        <v>0</v>
      </c>
      <c r="G33" s="128">
        <v>0</v>
      </c>
      <c r="H33" s="128">
        <v>0</v>
      </c>
      <c r="I33" s="128">
        <v>0</v>
      </c>
      <c r="J33" s="334"/>
      <c r="K33" s="128">
        <v>0</v>
      </c>
      <c r="L33" s="128">
        <v>0</v>
      </c>
      <c r="M33" s="128">
        <v>0</v>
      </c>
      <c r="N33" s="128">
        <v>0</v>
      </c>
      <c r="O33" s="128">
        <f>SUM(C33:N33)</f>
        <v>0</v>
      </c>
      <c r="P33" s="410">
        <v>0</v>
      </c>
      <c r="Q33" s="410">
        <v>19358</v>
      </c>
      <c r="R33" s="285">
        <f t="shared" si="6"/>
        <v>0</v>
      </c>
      <c r="S33" s="235">
        <f>Rent!C20</f>
        <v>50394</v>
      </c>
      <c r="T33" s="241"/>
      <c r="U33" s="123"/>
      <c r="V33" s="123"/>
      <c r="W33" s="123"/>
    </row>
    <row r="34" spans="1:23" customFormat="1" ht="13" customHeight="1">
      <c r="A34" s="124">
        <v>50530</v>
      </c>
      <c r="B34" s="247" t="s">
        <v>75</v>
      </c>
      <c r="C34" s="128">
        <v>0</v>
      </c>
      <c r="D34" s="128">
        <v>0</v>
      </c>
      <c r="E34" s="128">
        <v>0</v>
      </c>
      <c r="F34" s="128">
        <v>0</v>
      </c>
      <c r="G34" s="128">
        <v>0</v>
      </c>
      <c r="H34" s="128">
        <v>0</v>
      </c>
      <c r="I34" s="128">
        <v>0</v>
      </c>
      <c r="J34" s="128">
        <v>0</v>
      </c>
      <c r="K34" s="128">
        <v>0</v>
      </c>
      <c r="L34" s="128">
        <v>0</v>
      </c>
      <c r="M34" s="128">
        <v>0</v>
      </c>
      <c r="N34" s="128">
        <v>0</v>
      </c>
      <c r="O34" s="128">
        <f t="shared" si="5"/>
        <v>0</v>
      </c>
      <c r="P34" s="410">
        <v>0</v>
      </c>
      <c r="Q34" s="410">
        <v>0</v>
      </c>
      <c r="R34" s="285">
        <f t="shared" si="6"/>
        <v>0</v>
      </c>
      <c r="S34" s="235">
        <f>Rent!C20</f>
        <v>50394</v>
      </c>
      <c r="T34" s="123"/>
      <c r="U34" s="123"/>
      <c r="V34" s="123"/>
      <c r="W34" s="123"/>
    </row>
    <row r="35" spans="1:23" customFormat="1" ht="13" customHeight="1">
      <c r="A35" s="124">
        <v>51020</v>
      </c>
      <c r="B35" s="247" t="s">
        <v>76</v>
      </c>
      <c r="C35" s="128">
        <v>0</v>
      </c>
      <c r="D35" s="128">
        <v>0</v>
      </c>
      <c r="E35" s="128">
        <v>0</v>
      </c>
      <c r="F35" s="128">
        <v>0</v>
      </c>
      <c r="G35" s="128">
        <v>0</v>
      </c>
      <c r="H35" s="128">
        <v>4000</v>
      </c>
      <c r="I35" s="128">
        <v>0</v>
      </c>
      <c r="J35" s="128">
        <v>0</v>
      </c>
      <c r="K35" s="128">
        <v>0</v>
      </c>
      <c r="L35" s="128">
        <v>0</v>
      </c>
      <c r="M35" s="128">
        <v>0</v>
      </c>
      <c r="N35" s="128">
        <v>2000</v>
      </c>
      <c r="O35" s="128">
        <f t="shared" si="5"/>
        <v>6000</v>
      </c>
      <c r="P35" s="410">
        <v>520</v>
      </c>
      <c r="Q35" s="409">
        <v>750</v>
      </c>
      <c r="R35" s="285">
        <f t="shared" si="6"/>
        <v>5480</v>
      </c>
      <c r="S35" s="235">
        <f>Rent!C20</f>
        <v>50394</v>
      </c>
      <c r="T35" s="230" t="s">
        <v>77</v>
      </c>
      <c r="U35" s="123"/>
      <c r="V35" s="123"/>
      <c r="W35" s="123"/>
    </row>
    <row r="36" spans="1:23" customFormat="1" ht="13" customHeight="1">
      <c r="A36" s="124">
        <v>51040</v>
      </c>
      <c r="B36" s="247" t="s">
        <v>78</v>
      </c>
      <c r="C36" s="128">
        <v>0</v>
      </c>
      <c r="D36" s="128">
        <v>0</v>
      </c>
      <c r="E36" s="128">
        <v>0</v>
      </c>
      <c r="F36" s="128">
        <v>0</v>
      </c>
      <c r="G36" s="128">
        <v>0</v>
      </c>
      <c r="H36" s="128">
        <v>0</v>
      </c>
      <c r="I36" s="128">
        <v>0</v>
      </c>
      <c r="J36" s="128">
        <v>0</v>
      </c>
      <c r="K36" s="128">
        <v>0</v>
      </c>
      <c r="L36" s="128">
        <v>0</v>
      </c>
      <c r="M36" s="128">
        <v>0</v>
      </c>
      <c r="N36" s="128">
        <v>0</v>
      </c>
      <c r="O36" s="128">
        <f t="shared" si="5"/>
        <v>0</v>
      </c>
      <c r="P36" s="410">
        <v>0</v>
      </c>
      <c r="Q36" s="410">
        <v>0</v>
      </c>
      <c r="R36" s="285">
        <f t="shared" si="6"/>
        <v>0</v>
      </c>
      <c r="S36" s="235">
        <f>Rent!C20</f>
        <v>50394</v>
      </c>
      <c r="T36" s="123"/>
      <c r="U36" s="123"/>
      <c r="V36" s="123"/>
      <c r="W36" s="123"/>
    </row>
    <row r="37" spans="1:23" customFormat="1" ht="13" customHeight="1">
      <c r="A37" s="124">
        <v>52020</v>
      </c>
      <c r="B37" s="247" t="s">
        <v>79</v>
      </c>
      <c r="C37" s="128">
        <v>0</v>
      </c>
      <c r="D37" s="128">
        <v>0</v>
      </c>
      <c r="E37" s="128">
        <v>0</v>
      </c>
      <c r="F37" s="128">
        <v>0</v>
      </c>
      <c r="G37" s="128">
        <v>350</v>
      </c>
      <c r="H37" s="128">
        <v>0</v>
      </c>
      <c r="I37" s="128">
        <v>0</v>
      </c>
      <c r="J37" s="128">
        <v>0</v>
      </c>
      <c r="K37" s="128">
        <v>0</v>
      </c>
      <c r="L37" s="128">
        <v>0</v>
      </c>
      <c r="M37" s="128">
        <v>0</v>
      </c>
      <c r="N37" s="128">
        <v>0</v>
      </c>
      <c r="O37" s="128">
        <f t="shared" si="5"/>
        <v>350</v>
      </c>
      <c r="P37" s="410">
        <v>0</v>
      </c>
      <c r="Q37" s="410">
        <v>350</v>
      </c>
      <c r="R37" s="285">
        <f t="shared" si="6"/>
        <v>350</v>
      </c>
      <c r="S37" s="235">
        <f>Rent!C20</f>
        <v>50394</v>
      </c>
      <c r="T37" s="123"/>
      <c r="U37" s="123"/>
      <c r="V37" s="123"/>
      <c r="W37" s="123"/>
    </row>
    <row r="38" spans="1:23" customFormat="1" ht="13" customHeight="1">
      <c r="A38" s="124">
        <v>52030</v>
      </c>
      <c r="B38" s="247" t="s">
        <v>80</v>
      </c>
      <c r="C38" s="128">
        <v>0</v>
      </c>
      <c r="D38" s="128">
        <v>0</v>
      </c>
      <c r="E38" s="128">
        <v>0</v>
      </c>
      <c r="F38" s="128">
        <v>0</v>
      </c>
      <c r="G38" s="128">
        <v>0</v>
      </c>
      <c r="H38" s="128">
        <v>0</v>
      </c>
      <c r="I38" s="128">
        <v>0</v>
      </c>
      <c r="J38" s="128">
        <v>0</v>
      </c>
      <c r="K38" s="128">
        <v>0</v>
      </c>
      <c r="L38" s="128">
        <v>0</v>
      </c>
      <c r="M38" s="128">
        <v>0</v>
      </c>
      <c r="N38" s="128">
        <v>0</v>
      </c>
      <c r="O38" s="128">
        <f t="shared" si="5"/>
        <v>0</v>
      </c>
      <c r="P38" s="412">
        <v>0</v>
      </c>
      <c r="Q38" s="412">
        <v>0</v>
      </c>
      <c r="R38" s="285">
        <f t="shared" si="6"/>
        <v>0</v>
      </c>
      <c r="S38" s="235"/>
      <c r="T38" s="123"/>
      <c r="U38" s="241"/>
      <c r="V38" s="123"/>
      <c r="W38" s="123"/>
    </row>
    <row r="39" spans="1:23" customFormat="1" ht="13" customHeight="1">
      <c r="A39" s="124">
        <v>51060</v>
      </c>
      <c r="B39" s="247" t="s">
        <v>81</v>
      </c>
      <c r="C39" s="128">
        <v>0</v>
      </c>
      <c r="D39" s="128">
        <v>0</v>
      </c>
      <c r="E39" s="128">
        <v>0</v>
      </c>
      <c r="F39" s="128">
        <v>0</v>
      </c>
      <c r="G39" s="128">
        <v>0</v>
      </c>
      <c r="H39" s="128">
        <v>0</v>
      </c>
      <c r="I39" s="128">
        <v>0</v>
      </c>
      <c r="J39" s="128">
        <v>0</v>
      </c>
      <c r="K39" s="128">
        <v>0</v>
      </c>
      <c r="L39" s="128">
        <v>0</v>
      </c>
      <c r="M39" s="128">
        <v>0</v>
      </c>
      <c r="N39" s="128">
        <v>0</v>
      </c>
      <c r="O39" s="128">
        <f t="shared" si="5"/>
        <v>0</v>
      </c>
      <c r="P39" s="412">
        <v>0</v>
      </c>
      <c r="Q39" s="412">
        <v>0</v>
      </c>
      <c r="R39" s="285">
        <f t="shared" si="6"/>
        <v>0</v>
      </c>
      <c r="S39" s="235">
        <f>Rent!C20</f>
        <v>50394</v>
      </c>
      <c r="T39" s="123"/>
      <c r="U39" s="123"/>
      <c r="V39" s="123"/>
      <c r="W39" s="123"/>
    </row>
    <row r="40" spans="1:23" ht="13" customHeight="1">
      <c r="A40" s="124">
        <v>51070</v>
      </c>
      <c r="B40" s="247" t="s">
        <v>82</v>
      </c>
      <c r="C40" s="128">
        <v>0</v>
      </c>
      <c r="D40" s="128">
        <v>0</v>
      </c>
      <c r="E40" s="128">
        <v>0</v>
      </c>
      <c r="F40" s="128">
        <v>0</v>
      </c>
      <c r="G40" s="128">
        <v>0</v>
      </c>
      <c r="H40" s="128">
        <v>0</v>
      </c>
      <c r="I40" s="128">
        <v>0</v>
      </c>
      <c r="J40" s="128">
        <v>0</v>
      </c>
      <c r="K40" s="128">
        <v>0</v>
      </c>
      <c r="L40" s="128">
        <v>0</v>
      </c>
      <c r="M40" s="128">
        <v>0</v>
      </c>
      <c r="N40" s="128">
        <v>0</v>
      </c>
      <c r="O40" s="128">
        <f t="shared" si="5"/>
        <v>0</v>
      </c>
      <c r="P40" s="409">
        <v>5450</v>
      </c>
      <c r="Q40" s="410">
        <v>1800</v>
      </c>
      <c r="R40" s="285">
        <f t="shared" si="6"/>
        <v>-5450</v>
      </c>
      <c r="S40" s="235">
        <f>Rent!C20</f>
        <v>50394</v>
      </c>
      <c r="T40" s="230" t="s">
        <v>83</v>
      </c>
      <c r="U40" s="123"/>
      <c r="V40" s="123"/>
      <c r="W40" s="123"/>
    </row>
    <row r="41" spans="1:23" customFormat="1" ht="13" customHeight="1">
      <c r="A41" s="124">
        <v>51080</v>
      </c>
      <c r="B41" s="247" t="s">
        <v>84</v>
      </c>
      <c r="C41" s="128">
        <v>0</v>
      </c>
      <c r="D41" s="128">
        <v>0</v>
      </c>
      <c r="E41" s="128">
        <v>0</v>
      </c>
      <c r="F41" s="128">
        <v>0</v>
      </c>
      <c r="G41" s="128">
        <v>0</v>
      </c>
      <c r="H41" s="128">
        <v>0</v>
      </c>
      <c r="I41" s="128">
        <v>0</v>
      </c>
      <c r="J41" s="128">
        <v>0</v>
      </c>
      <c r="K41" s="128">
        <v>0</v>
      </c>
      <c r="L41" s="128">
        <v>0</v>
      </c>
      <c r="M41" s="128">
        <v>0</v>
      </c>
      <c r="N41" s="128">
        <v>0</v>
      </c>
      <c r="O41" s="128">
        <f>SUM(C41:N41)</f>
        <v>0</v>
      </c>
      <c r="P41" s="409">
        <v>0</v>
      </c>
      <c r="Q41" s="409">
        <v>0</v>
      </c>
      <c r="R41" s="285">
        <f t="shared" si="6"/>
        <v>0</v>
      </c>
      <c r="S41" s="235">
        <f>Rent!C20</f>
        <v>50394</v>
      </c>
      <c r="T41" s="230" t="s">
        <v>85</v>
      </c>
      <c r="U41" s="123"/>
      <c r="V41" s="123"/>
      <c r="W41" s="123"/>
    </row>
    <row r="42" spans="1:23" ht="13" customHeight="1">
      <c r="A42" s="124">
        <v>51100</v>
      </c>
      <c r="B42" s="247" t="s">
        <v>86</v>
      </c>
      <c r="C42" s="128">
        <v>0</v>
      </c>
      <c r="D42" s="128">
        <v>0</v>
      </c>
      <c r="E42" s="128">
        <v>0</v>
      </c>
      <c r="F42" s="128">
        <v>0</v>
      </c>
      <c r="G42" s="128">
        <v>0</v>
      </c>
      <c r="H42" s="128">
        <v>0</v>
      </c>
      <c r="I42" s="128">
        <v>0</v>
      </c>
      <c r="J42" s="128">
        <v>0</v>
      </c>
      <c r="K42" s="128">
        <v>0</v>
      </c>
      <c r="L42" s="128">
        <v>0</v>
      </c>
      <c r="M42" s="128">
        <v>0</v>
      </c>
      <c r="N42" s="128">
        <v>0</v>
      </c>
      <c r="O42" s="128">
        <f t="shared" si="5"/>
        <v>0</v>
      </c>
      <c r="P42" s="410">
        <v>0</v>
      </c>
      <c r="Q42" s="410">
        <v>0</v>
      </c>
      <c r="R42" s="285">
        <f t="shared" si="6"/>
        <v>0</v>
      </c>
      <c r="S42" s="235">
        <f>Rent!C20</f>
        <v>50394</v>
      </c>
      <c r="T42" s="123"/>
      <c r="U42" s="123"/>
      <c r="V42" s="123"/>
      <c r="W42" s="123"/>
    </row>
    <row r="43" spans="1:23" customFormat="1" ht="13" customHeight="1">
      <c r="A43" s="124">
        <v>51110</v>
      </c>
      <c r="B43" s="247" t="s">
        <v>87</v>
      </c>
      <c r="C43" s="128">
        <v>0</v>
      </c>
      <c r="D43" s="128">
        <v>0</v>
      </c>
      <c r="E43" s="128">
        <v>250</v>
      </c>
      <c r="F43" s="128">
        <v>0</v>
      </c>
      <c r="G43" s="128">
        <v>0</v>
      </c>
      <c r="H43" s="128">
        <v>250</v>
      </c>
      <c r="I43" s="128">
        <v>0</v>
      </c>
      <c r="J43" s="128">
        <v>0</v>
      </c>
      <c r="K43" s="128">
        <v>250</v>
      </c>
      <c r="L43" s="128">
        <v>0</v>
      </c>
      <c r="M43" s="128">
        <v>0</v>
      </c>
      <c r="N43" s="128">
        <v>250</v>
      </c>
      <c r="O43" s="128">
        <f t="shared" si="5"/>
        <v>1000</v>
      </c>
      <c r="P43" s="410">
        <v>1053</v>
      </c>
      <c r="Q43" s="410">
        <v>612</v>
      </c>
      <c r="R43" s="285">
        <f t="shared" si="6"/>
        <v>-53</v>
      </c>
      <c r="S43" s="235">
        <f>Rent!C20</f>
        <v>50394</v>
      </c>
      <c r="T43" s="241"/>
      <c r="U43" s="123"/>
      <c r="V43" s="123"/>
      <c r="W43" s="123"/>
    </row>
    <row r="44" spans="1:23" ht="13" customHeight="1">
      <c r="A44" s="124">
        <v>51120</v>
      </c>
      <c r="B44" s="247" t="s">
        <v>88</v>
      </c>
      <c r="C44" s="128">
        <v>0</v>
      </c>
      <c r="D44" s="128">
        <v>0</v>
      </c>
      <c r="E44" s="128">
        <v>0</v>
      </c>
      <c r="F44" s="128">
        <v>1000</v>
      </c>
      <c r="G44" s="128">
        <v>0</v>
      </c>
      <c r="H44" s="128">
        <v>0</v>
      </c>
      <c r="I44" s="128">
        <v>0</v>
      </c>
      <c r="J44" s="128">
        <v>0</v>
      </c>
      <c r="K44" s="128">
        <v>0</v>
      </c>
      <c r="L44" s="128">
        <v>0</v>
      </c>
      <c r="M44" s="128">
        <v>0</v>
      </c>
      <c r="N44" s="128">
        <v>0</v>
      </c>
      <c r="O44" s="128">
        <f t="shared" si="5"/>
        <v>1000</v>
      </c>
      <c r="P44" s="410">
        <v>1692</v>
      </c>
      <c r="Q44" s="410">
        <v>200</v>
      </c>
      <c r="R44" s="285">
        <f t="shared" si="6"/>
        <v>-692</v>
      </c>
      <c r="S44" s="235">
        <f>Rent!C20</f>
        <v>50394</v>
      </c>
      <c r="T44" s="230"/>
      <c r="U44" s="123"/>
      <c r="V44" s="123"/>
      <c r="W44" s="123"/>
    </row>
    <row r="45" spans="1:23" ht="13" customHeight="1">
      <c r="A45" s="124">
        <v>56130</v>
      </c>
      <c r="B45" s="247" t="s">
        <v>89</v>
      </c>
      <c r="C45" s="128">
        <v>0</v>
      </c>
      <c r="D45" s="128">
        <v>0</v>
      </c>
      <c r="E45" s="128">
        <v>0</v>
      </c>
      <c r="F45" s="128">
        <v>0</v>
      </c>
      <c r="G45" s="128">
        <v>0</v>
      </c>
      <c r="H45" s="128">
        <v>0</v>
      </c>
      <c r="I45" s="128">
        <v>0</v>
      </c>
      <c r="J45" s="128">
        <v>0</v>
      </c>
      <c r="K45" s="128">
        <v>0</v>
      </c>
      <c r="L45" s="128">
        <v>0</v>
      </c>
      <c r="M45" s="128">
        <v>0</v>
      </c>
      <c r="N45" s="128">
        <v>0</v>
      </c>
      <c r="O45" s="128">
        <f t="shared" si="5"/>
        <v>0</v>
      </c>
      <c r="P45" s="410">
        <v>0</v>
      </c>
      <c r="Q45" s="410">
        <v>0</v>
      </c>
      <c r="R45" s="285">
        <f t="shared" si="6"/>
        <v>0</v>
      </c>
      <c r="S45" s="235">
        <f>Rent!C20</f>
        <v>50394</v>
      </c>
      <c r="T45" s="123"/>
      <c r="U45" s="123"/>
      <c r="V45" s="123"/>
      <c r="W45" s="123"/>
    </row>
    <row r="46" spans="1:23" ht="13" customHeight="1">
      <c r="A46" s="124">
        <v>51150</v>
      </c>
      <c r="B46" s="247" t="s">
        <v>90</v>
      </c>
      <c r="C46" s="128">
        <v>0</v>
      </c>
      <c r="D46" s="128">
        <v>0</v>
      </c>
      <c r="E46" s="128">
        <v>0</v>
      </c>
      <c r="F46" s="128">
        <v>0</v>
      </c>
      <c r="G46" s="128">
        <v>0</v>
      </c>
      <c r="H46" s="128">
        <v>0</v>
      </c>
      <c r="I46" s="128">
        <v>0</v>
      </c>
      <c r="J46" s="128">
        <v>0</v>
      </c>
      <c r="K46" s="128">
        <v>0</v>
      </c>
      <c r="L46" s="128">
        <v>0</v>
      </c>
      <c r="M46" s="128">
        <v>0</v>
      </c>
      <c r="N46" s="128">
        <v>0</v>
      </c>
      <c r="O46" s="128">
        <f t="shared" si="5"/>
        <v>0</v>
      </c>
      <c r="P46" s="410">
        <v>0</v>
      </c>
      <c r="Q46" s="410">
        <v>0</v>
      </c>
      <c r="R46" s="285">
        <f t="shared" si="6"/>
        <v>0</v>
      </c>
      <c r="S46" s="235">
        <f>Rent!C20</f>
        <v>50394</v>
      </c>
      <c r="T46" s="123"/>
      <c r="U46" s="123"/>
      <c r="V46" s="123"/>
      <c r="W46" s="123"/>
    </row>
    <row r="47" spans="1:23" ht="13" customHeight="1">
      <c r="A47" s="124">
        <v>51160</v>
      </c>
      <c r="B47" s="247" t="s">
        <v>91</v>
      </c>
      <c r="C47" s="128">
        <v>0</v>
      </c>
      <c r="D47" s="128">
        <v>0</v>
      </c>
      <c r="E47" s="128">
        <v>0</v>
      </c>
      <c r="F47" s="128">
        <v>0</v>
      </c>
      <c r="G47" s="128">
        <v>0</v>
      </c>
      <c r="H47" s="128">
        <v>0</v>
      </c>
      <c r="I47" s="128">
        <v>0</v>
      </c>
      <c r="J47" s="128">
        <v>0</v>
      </c>
      <c r="K47" s="128">
        <v>0</v>
      </c>
      <c r="L47" s="128">
        <v>0</v>
      </c>
      <c r="M47" s="128">
        <v>0</v>
      </c>
      <c r="N47" s="128">
        <v>0</v>
      </c>
      <c r="O47" s="128">
        <f t="shared" si="5"/>
        <v>0</v>
      </c>
      <c r="P47" s="410">
        <v>0</v>
      </c>
      <c r="Q47" s="410">
        <v>0</v>
      </c>
      <c r="R47" s="285">
        <f t="shared" si="6"/>
        <v>0</v>
      </c>
      <c r="S47" s="235">
        <f>Rent!C20</f>
        <v>50394</v>
      </c>
      <c r="T47" s="123"/>
      <c r="U47" s="123"/>
      <c r="V47" s="123"/>
      <c r="W47" s="123"/>
    </row>
    <row r="48" spans="1:23" customFormat="1" ht="13" customHeight="1">
      <c r="A48" s="124">
        <v>55110</v>
      </c>
      <c r="B48" s="247" t="s">
        <v>92</v>
      </c>
      <c r="C48" s="128">
        <v>250</v>
      </c>
      <c r="D48" s="128">
        <f>C48</f>
        <v>250</v>
      </c>
      <c r="E48" s="128">
        <f t="shared" ref="E48:N48" si="7">D48</f>
        <v>250</v>
      </c>
      <c r="F48" s="128">
        <f t="shared" si="7"/>
        <v>250</v>
      </c>
      <c r="G48" s="128">
        <f t="shared" si="7"/>
        <v>250</v>
      </c>
      <c r="H48" s="128">
        <f t="shared" si="7"/>
        <v>250</v>
      </c>
      <c r="I48" s="128">
        <f t="shared" si="7"/>
        <v>250</v>
      </c>
      <c r="J48" s="128">
        <f t="shared" si="7"/>
        <v>250</v>
      </c>
      <c r="K48" s="128">
        <f t="shared" si="7"/>
        <v>250</v>
      </c>
      <c r="L48" s="128">
        <f t="shared" si="7"/>
        <v>250</v>
      </c>
      <c r="M48" s="128">
        <f t="shared" si="7"/>
        <v>250</v>
      </c>
      <c r="N48" s="128">
        <f t="shared" si="7"/>
        <v>250</v>
      </c>
      <c r="O48" s="128">
        <f t="shared" si="5"/>
        <v>3000</v>
      </c>
      <c r="P48" s="409">
        <v>1466</v>
      </c>
      <c r="Q48" s="409">
        <v>3600</v>
      </c>
      <c r="R48" s="285">
        <f t="shared" si="6"/>
        <v>1534</v>
      </c>
      <c r="S48" s="235">
        <f>Rent!C20</f>
        <v>50394</v>
      </c>
      <c r="T48" s="123"/>
      <c r="U48" s="123"/>
      <c r="V48" s="123"/>
      <c r="W48" s="123"/>
    </row>
    <row r="49" spans="1:77" customFormat="1" ht="13" customHeight="1">
      <c r="A49" s="420">
        <v>55110</v>
      </c>
      <c r="B49" s="247" t="s">
        <v>93</v>
      </c>
      <c r="C49" s="128">
        <v>0</v>
      </c>
      <c r="D49" s="128">
        <v>0</v>
      </c>
      <c r="E49" s="128">
        <v>0</v>
      </c>
      <c r="F49" s="128">
        <v>0</v>
      </c>
      <c r="G49" s="128">
        <v>0</v>
      </c>
      <c r="H49" s="128">
        <v>0</v>
      </c>
      <c r="I49" s="128">
        <v>0</v>
      </c>
      <c r="J49" s="128">
        <v>0</v>
      </c>
      <c r="K49" s="128">
        <v>0</v>
      </c>
      <c r="L49" s="128">
        <v>0</v>
      </c>
      <c r="M49" s="128">
        <v>0</v>
      </c>
      <c r="N49" s="128">
        <v>0</v>
      </c>
      <c r="O49" s="128">
        <f t="shared" si="5"/>
        <v>0</v>
      </c>
      <c r="P49" s="410">
        <v>0</v>
      </c>
      <c r="Q49" s="410">
        <v>0</v>
      </c>
      <c r="R49" s="285">
        <f t="shared" si="6"/>
        <v>0</v>
      </c>
      <c r="S49" s="235">
        <f>Rent!C20</f>
        <v>50394</v>
      </c>
      <c r="T49" s="123"/>
      <c r="U49" s="123"/>
      <c r="V49" s="123"/>
      <c r="W49" s="123"/>
    </row>
    <row r="50" spans="1:77" customFormat="1" ht="13" customHeight="1">
      <c r="A50" s="124">
        <v>51050</v>
      </c>
      <c r="B50" s="247" t="s">
        <v>94</v>
      </c>
      <c r="C50" s="128">
        <v>0</v>
      </c>
      <c r="D50" s="128">
        <v>0</v>
      </c>
      <c r="E50" s="128">
        <v>0</v>
      </c>
      <c r="F50" s="128">
        <v>0</v>
      </c>
      <c r="G50" s="128">
        <v>0</v>
      </c>
      <c r="H50" s="128">
        <v>0</v>
      </c>
      <c r="I50" s="128">
        <v>0</v>
      </c>
      <c r="J50" s="128">
        <v>0</v>
      </c>
      <c r="K50" s="128">
        <v>0</v>
      </c>
      <c r="L50" s="128">
        <v>0</v>
      </c>
      <c r="M50" s="128">
        <v>0</v>
      </c>
      <c r="N50" s="128">
        <v>0</v>
      </c>
      <c r="O50" s="128">
        <f t="shared" si="5"/>
        <v>0</v>
      </c>
      <c r="P50" s="410">
        <v>0</v>
      </c>
      <c r="Q50" s="410">
        <v>0</v>
      </c>
      <c r="R50" s="285">
        <f t="shared" si="6"/>
        <v>0</v>
      </c>
      <c r="S50" s="235">
        <f>Rent!C20</f>
        <v>50394</v>
      </c>
      <c r="T50" s="123"/>
      <c r="U50" s="123"/>
      <c r="V50" s="123"/>
      <c r="W50" s="123"/>
    </row>
    <row r="51" spans="1:77" customFormat="1" ht="13" customHeight="1">
      <c r="A51" s="124">
        <v>55120</v>
      </c>
      <c r="B51" s="247" t="s">
        <v>95</v>
      </c>
      <c r="C51" s="128">
        <v>0</v>
      </c>
      <c r="D51" s="128">
        <v>0</v>
      </c>
      <c r="E51" s="128">
        <v>0</v>
      </c>
      <c r="F51" s="128">
        <v>0</v>
      </c>
      <c r="G51" s="128">
        <v>0</v>
      </c>
      <c r="H51" s="128">
        <v>0</v>
      </c>
      <c r="I51" s="128">
        <v>0</v>
      </c>
      <c r="J51" s="128">
        <v>0</v>
      </c>
      <c r="K51" s="128">
        <v>0</v>
      </c>
      <c r="L51" s="128">
        <v>0</v>
      </c>
      <c r="M51" s="128">
        <v>0</v>
      </c>
      <c r="N51" s="128">
        <v>0</v>
      </c>
      <c r="O51" s="128">
        <f t="shared" si="5"/>
        <v>0</v>
      </c>
      <c r="P51" s="410">
        <v>0</v>
      </c>
      <c r="Q51" s="410">
        <v>0</v>
      </c>
      <c r="R51" s="285">
        <f t="shared" si="6"/>
        <v>0</v>
      </c>
      <c r="S51" s="235">
        <f>Rent!C20</f>
        <v>50394</v>
      </c>
      <c r="T51" s="123"/>
      <c r="U51" s="123"/>
      <c r="V51" s="123"/>
      <c r="W51" s="123"/>
    </row>
    <row r="52" spans="1:77" customFormat="1" ht="13" customHeight="1">
      <c r="A52" s="124">
        <v>55130</v>
      </c>
      <c r="B52" s="247" t="s">
        <v>96</v>
      </c>
      <c r="C52" s="128">
        <v>0</v>
      </c>
      <c r="D52" s="128">
        <v>0</v>
      </c>
      <c r="E52" s="128">
        <v>0</v>
      </c>
      <c r="F52" s="128">
        <v>0</v>
      </c>
      <c r="G52" s="128">
        <v>0</v>
      </c>
      <c r="H52" s="128">
        <v>0</v>
      </c>
      <c r="I52" s="128">
        <v>0</v>
      </c>
      <c r="J52" s="128">
        <v>0</v>
      </c>
      <c r="K52" s="128">
        <v>0</v>
      </c>
      <c r="L52" s="128">
        <v>0</v>
      </c>
      <c r="M52" s="128">
        <v>0</v>
      </c>
      <c r="N52" s="128">
        <v>0</v>
      </c>
      <c r="O52" s="128">
        <f t="shared" si="5"/>
        <v>0</v>
      </c>
      <c r="P52" s="410">
        <v>0</v>
      </c>
      <c r="Q52" s="410">
        <v>0</v>
      </c>
      <c r="R52" s="285">
        <f t="shared" si="6"/>
        <v>0</v>
      </c>
      <c r="S52" s="235">
        <f>Rent!C20</f>
        <v>50394</v>
      </c>
      <c r="T52" s="230" t="s">
        <v>97</v>
      </c>
      <c r="U52" s="123"/>
      <c r="V52" s="123"/>
      <c r="W52" s="123"/>
    </row>
    <row r="53" spans="1:77" customFormat="1" ht="13" customHeight="1">
      <c r="A53" s="124">
        <v>55140</v>
      </c>
      <c r="B53" s="247" t="s">
        <v>98</v>
      </c>
      <c r="C53" s="128">
        <v>0</v>
      </c>
      <c r="D53" s="128">
        <v>0</v>
      </c>
      <c r="E53" s="128">
        <v>0</v>
      </c>
      <c r="F53" s="128">
        <v>0</v>
      </c>
      <c r="G53" s="128">
        <v>0</v>
      </c>
      <c r="H53" s="128">
        <v>0</v>
      </c>
      <c r="I53" s="128">
        <v>0</v>
      </c>
      <c r="J53" s="128">
        <v>0</v>
      </c>
      <c r="K53" s="128">
        <v>0</v>
      </c>
      <c r="L53" s="128">
        <v>0</v>
      </c>
      <c r="M53" s="128">
        <v>0</v>
      </c>
      <c r="N53" s="128">
        <v>0</v>
      </c>
      <c r="O53" s="128">
        <f t="shared" si="5"/>
        <v>0</v>
      </c>
      <c r="P53" s="410">
        <v>0</v>
      </c>
      <c r="Q53" s="410">
        <v>0</v>
      </c>
      <c r="R53" s="285">
        <f t="shared" si="6"/>
        <v>0</v>
      </c>
      <c r="S53" s="235">
        <f>Rent!C20</f>
        <v>50394</v>
      </c>
      <c r="T53" s="123"/>
      <c r="U53" s="123"/>
      <c r="V53" s="123"/>
      <c r="W53" s="123"/>
    </row>
    <row r="54" spans="1:77" ht="13" customHeight="1">
      <c r="A54" s="123"/>
      <c r="B54" s="123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R54" s="184"/>
      <c r="S54" s="235">
        <f>Rent!C20</f>
        <v>50394</v>
      </c>
      <c r="T54" s="123"/>
      <c r="U54" s="123"/>
      <c r="V54" s="123"/>
      <c r="W54" s="123"/>
    </row>
    <row r="55" spans="1:77" ht="13" customHeight="1">
      <c r="A55" s="123"/>
      <c r="B55" s="269" t="s">
        <v>99</v>
      </c>
      <c r="C55" s="270">
        <f t="shared" ref="C55:O55" si="8">SUM(C28:C54)</f>
        <v>8784.9166666666661</v>
      </c>
      <c r="D55" s="270">
        <f t="shared" si="8"/>
        <v>8784.9166666666661</v>
      </c>
      <c r="E55" s="270">
        <f t="shared" si="8"/>
        <v>9184.9166666666661</v>
      </c>
      <c r="F55" s="270">
        <f t="shared" si="8"/>
        <v>9784.9166666666661</v>
      </c>
      <c r="G55" s="270">
        <f t="shared" si="8"/>
        <v>9134.9166666666661</v>
      </c>
      <c r="H55" s="270">
        <f t="shared" si="8"/>
        <v>13034.916666666666</v>
      </c>
      <c r="I55" s="270">
        <f t="shared" si="8"/>
        <v>8784.9166666666661</v>
      </c>
      <c r="J55" s="270">
        <f t="shared" si="8"/>
        <v>8784.9166666666661</v>
      </c>
      <c r="K55" s="270">
        <f t="shared" si="8"/>
        <v>9184.9166666666661</v>
      </c>
      <c r="L55" s="270">
        <f t="shared" si="8"/>
        <v>8784.9166666666661</v>
      </c>
      <c r="M55" s="270">
        <f t="shared" si="8"/>
        <v>8784.9166666666661</v>
      </c>
      <c r="N55" s="270">
        <f t="shared" si="8"/>
        <v>11034.916666666666</v>
      </c>
      <c r="O55" s="271">
        <f t="shared" si="8"/>
        <v>114069.00000000001</v>
      </c>
      <c r="P55" s="272">
        <f>SUM(P28:P54)</f>
        <v>129009</v>
      </c>
      <c r="Q55" s="272">
        <f>SUM(Q28:Q54)</f>
        <v>119526</v>
      </c>
      <c r="R55" s="279">
        <f>O55-P55</f>
        <v>-14939.999999999985</v>
      </c>
      <c r="S55" s="235">
        <f>Rent!C20</f>
        <v>50394</v>
      </c>
      <c r="T55" s="123"/>
      <c r="U55" s="123"/>
      <c r="V55" s="123"/>
      <c r="W55" s="123"/>
    </row>
    <row r="56" spans="1:77" ht="13" customHeight="1">
      <c r="A56" s="123"/>
      <c r="B56" s="123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R56" s="184"/>
      <c r="S56" s="235">
        <f>Rent!C20</f>
        <v>50394</v>
      </c>
      <c r="T56" s="123"/>
      <c r="U56" s="123"/>
      <c r="V56" s="123"/>
      <c r="W56" s="123"/>
    </row>
    <row r="57" spans="1:77" ht="13" customHeight="1">
      <c r="A57" s="123"/>
      <c r="B57" s="243" t="s">
        <v>100</v>
      </c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R57" s="184"/>
      <c r="S57" s="235">
        <f>Rent!C20</f>
        <v>50394</v>
      </c>
      <c r="T57" s="123"/>
      <c r="U57" s="123"/>
      <c r="V57" s="123"/>
      <c r="W57" s="123"/>
    </row>
    <row r="58" spans="1:77" ht="13" customHeight="1">
      <c r="A58" s="244">
        <v>50112</v>
      </c>
      <c r="B58" s="245" t="s">
        <v>101</v>
      </c>
      <c r="C58" s="404">
        <v>0</v>
      </c>
      <c r="D58" s="404">
        <v>0</v>
      </c>
      <c r="E58" s="404">
        <v>0</v>
      </c>
      <c r="F58" s="404">
        <v>0</v>
      </c>
      <c r="G58" s="404">
        <v>0</v>
      </c>
      <c r="H58" s="404">
        <v>0</v>
      </c>
      <c r="I58" s="404">
        <v>0</v>
      </c>
      <c r="J58" s="404">
        <v>0</v>
      </c>
      <c r="K58" s="404">
        <v>0</v>
      </c>
      <c r="L58" s="404">
        <v>0</v>
      </c>
      <c r="M58" s="405">
        <v>0</v>
      </c>
      <c r="N58" s="404">
        <v>0</v>
      </c>
      <c r="O58" s="246">
        <f>SUM(C58:N58)</f>
        <v>0</v>
      </c>
      <c r="P58" s="413">
        <f>M58-N58</f>
        <v>0</v>
      </c>
      <c r="Q58" s="413">
        <f>N58-O58</f>
        <v>0</v>
      </c>
      <c r="R58" s="406">
        <f>O58-P58</f>
        <v>0</v>
      </c>
      <c r="S58" s="235">
        <f>Rent!C20</f>
        <v>50394</v>
      </c>
      <c r="T58" s="230" t="s">
        <v>102</v>
      </c>
      <c r="U58" s="123"/>
      <c r="V58" s="123"/>
      <c r="W58" s="123"/>
    </row>
    <row r="59" spans="1:77" ht="12.75" customHeight="1">
      <c r="A59" s="244">
        <v>50120</v>
      </c>
      <c r="B59" s="247" t="s">
        <v>103</v>
      </c>
      <c r="C59" s="404">
        <v>0</v>
      </c>
      <c r="D59" s="404">
        <v>0</v>
      </c>
      <c r="E59" s="404">
        <v>0</v>
      </c>
      <c r="F59" s="404">
        <v>0</v>
      </c>
      <c r="G59" s="404">
        <v>0</v>
      </c>
      <c r="H59" s="404">
        <v>0</v>
      </c>
      <c r="I59" s="404">
        <v>0</v>
      </c>
      <c r="J59" s="404">
        <v>0</v>
      </c>
      <c r="K59" s="404">
        <v>0</v>
      </c>
      <c r="L59" s="407">
        <f>14396*110%</f>
        <v>15835.600000000002</v>
      </c>
      <c r="M59" s="405">
        <v>0</v>
      </c>
      <c r="N59" s="404">
        <v>0</v>
      </c>
      <c r="O59" s="246">
        <f>SUM(C59:N59)</f>
        <v>15835.600000000002</v>
      </c>
      <c r="P59" s="409">
        <v>14396</v>
      </c>
      <c r="Q59" s="409">
        <v>16967</v>
      </c>
      <c r="R59" s="406">
        <f>O59-P59</f>
        <v>1439.6000000000022</v>
      </c>
      <c r="S59" s="235">
        <f>Rent!C20</f>
        <v>50394</v>
      </c>
      <c r="T59" s="230" t="s">
        <v>104</v>
      </c>
      <c r="U59" s="123"/>
      <c r="V59" s="123"/>
      <c r="W59" s="123"/>
    </row>
    <row r="60" spans="1:77" ht="13" customHeight="1">
      <c r="A60" s="244">
        <v>51043</v>
      </c>
      <c r="B60" s="245" t="s">
        <v>105</v>
      </c>
      <c r="C60" s="404">
        <v>0</v>
      </c>
      <c r="D60" s="404">
        <v>0</v>
      </c>
      <c r="E60" s="404">
        <v>0</v>
      </c>
      <c r="F60" s="404">
        <v>0</v>
      </c>
      <c r="G60" s="404">
        <v>0</v>
      </c>
      <c r="H60" s="404">
        <v>0</v>
      </c>
      <c r="I60" s="404">
        <v>0</v>
      </c>
      <c r="J60" s="404">
        <v>0</v>
      </c>
      <c r="K60" s="404">
        <v>0</v>
      </c>
      <c r="L60" s="404">
        <v>0</v>
      </c>
      <c r="M60" s="405">
        <v>0</v>
      </c>
      <c r="N60" s="404">
        <v>0</v>
      </c>
      <c r="O60" s="246">
        <f>SUM(C60:N60)</f>
        <v>0</v>
      </c>
      <c r="P60" s="410">
        <v>0</v>
      </c>
      <c r="Q60" s="413">
        <f>N60-O60</f>
        <v>0</v>
      </c>
      <c r="R60" s="406">
        <f>O60-P60</f>
        <v>0</v>
      </c>
      <c r="S60" s="235">
        <f>Rent!C20</f>
        <v>50394</v>
      </c>
      <c r="T60" s="230" t="s">
        <v>102</v>
      </c>
      <c r="U60" s="123"/>
      <c r="V60" s="123"/>
      <c r="W60" s="123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N60" s="96"/>
      <c r="BO60" s="96"/>
      <c r="BP60" s="96"/>
      <c r="BQ60" s="96"/>
      <c r="BR60" s="96"/>
      <c r="BS60" s="96"/>
      <c r="BT60" s="96"/>
      <c r="BU60" s="96"/>
      <c r="BV60" s="96"/>
      <c r="BW60" s="96"/>
      <c r="BX60" s="96"/>
      <c r="BY60" s="96"/>
    </row>
    <row r="61" spans="1:77" s="100" customFormat="1" ht="13" customHeight="1">
      <c r="A61" s="244">
        <v>50140</v>
      </c>
      <c r="B61" s="245" t="s">
        <v>106</v>
      </c>
      <c r="C61" s="404">
        <v>0</v>
      </c>
      <c r="D61" s="404">
        <v>0</v>
      </c>
      <c r="E61" s="404">
        <v>0</v>
      </c>
      <c r="F61" s="404">
        <v>0</v>
      </c>
      <c r="G61" s="404">
        <v>0</v>
      </c>
      <c r="H61" s="404">
        <v>0</v>
      </c>
      <c r="I61" s="404">
        <v>0</v>
      </c>
      <c r="J61" s="404">
        <v>0</v>
      </c>
      <c r="K61" s="404">
        <v>0</v>
      </c>
      <c r="L61" s="404">
        <v>0</v>
      </c>
      <c r="M61" s="405">
        <v>0</v>
      </c>
      <c r="N61" s="404">
        <v>0</v>
      </c>
      <c r="O61" s="246">
        <f>SUM(C61:N61)</f>
        <v>0</v>
      </c>
      <c r="P61" s="410">
        <v>0</v>
      </c>
      <c r="Q61" s="413">
        <f>N61-O61</f>
        <v>0</v>
      </c>
      <c r="R61" s="406">
        <f>O61-P61</f>
        <v>0</v>
      </c>
      <c r="S61" s="235">
        <f>Rent!C20</f>
        <v>50394</v>
      </c>
      <c r="T61" s="230" t="s">
        <v>102</v>
      </c>
      <c r="U61" s="247"/>
      <c r="V61" s="247"/>
      <c r="W61" s="247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  <c r="BO61" s="101"/>
      <c r="BP61" s="101"/>
      <c r="BQ61" s="101"/>
      <c r="BR61" s="101"/>
      <c r="BS61" s="101"/>
      <c r="BT61" s="101"/>
      <c r="BU61" s="101"/>
      <c r="BV61" s="101"/>
      <c r="BW61" s="101"/>
      <c r="BX61" s="101"/>
      <c r="BY61" s="101"/>
    </row>
    <row r="62" spans="1:77" s="100" customFormat="1" ht="12.75" customHeight="1">
      <c r="A62" s="244">
        <v>50130</v>
      </c>
      <c r="B62" s="245" t="s">
        <v>107</v>
      </c>
      <c r="C62" s="404">
        <v>0</v>
      </c>
      <c r="D62" s="404">
        <v>0</v>
      </c>
      <c r="E62" s="404">
        <v>0</v>
      </c>
      <c r="F62" s="404">
        <v>0</v>
      </c>
      <c r="G62" s="404">
        <v>0</v>
      </c>
      <c r="H62" s="404">
        <v>0</v>
      </c>
      <c r="I62" s="404">
        <v>0</v>
      </c>
      <c r="J62" s="404">
        <v>0</v>
      </c>
      <c r="K62" s="404">
        <v>0</v>
      </c>
      <c r="L62" s="404">
        <v>0</v>
      </c>
      <c r="M62" s="405">
        <v>0</v>
      </c>
      <c r="N62" s="404">
        <v>0</v>
      </c>
      <c r="O62" s="246">
        <f>SUM(C62:N62)</f>
        <v>0</v>
      </c>
      <c r="P62" s="413">
        <f>M62-N62</f>
        <v>0</v>
      </c>
      <c r="Q62" s="413">
        <f>N62-O62</f>
        <v>0</v>
      </c>
      <c r="R62" s="406">
        <f>O62-P62</f>
        <v>0</v>
      </c>
      <c r="S62" s="235">
        <f>Rent!C20</f>
        <v>50394</v>
      </c>
      <c r="T62" s="230" t="s">
        <v>102</v>
      </c>
      <c r="U62" s="247"/>
      <c r="V62" s="247"/>
      <c r="W62" s="247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  <c r="BM62" s="101"/>
      <c r="BN62" s="101"/>
      <c r="BO62" s="101"/>
      <c r="BP62" s="101"/>
      <c r="BQ62" s="101"/>
      <c r="BR62" s="101"/>
      <c r="BS62" s="101"/>
      <c r="BT62" s="101"/>
      <c r="BU62" s="101"/>
      <c r="BV62" s="101"/>
      <c r="BW62" s="101"/>
      <c r="BX62" s="101"/>
      <c r="BY62" s="101"/>
    </row>
    <row r="63" spans="1:77" s="100" customFormat="1" ht="12.75" customHeight="1">
      <c r="A63" s="248"/>
      <c r="B63" s="245"/>
      <c r="C63" s="246"/>
      <c r="D63" s="246"/>
      <c r="E63" s="246"/>
      <c r="F63" s="246"/>
      <c r="G63" s="246"/>
      <c r="H63" s="246"/>
      <c r="I63" s="246"/>
      <c r="J63" s="246"/>
      <c r="K63" s="246"/>
      <c r="L63" s="246"/>
      <c r="M63" s="246"/>
      <c r="N63" s="246"/>
      <c r="O63" s="246"/>
      <c r="P63" s="122"/>
      <c r="Q63" s="122"/>
      <c r="R63" s="184"/>
      <c r="S63" s="235"/>
      <c r="T63" s="247"/>
      <c r="U63" s="247"/>
      <c r="V63" s="247"/>
      <c r="W63" s="247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</row>
    <row r="64" spans="1:77" s="100" customFormat="1" ht="12.75" customHeight="1">
      <c r="A64" s="244"/>
      <c r="B64" s="274" t="s">
        <v>108</v>
      </c>
      <c r="C64" s="275">
        <f t="shared" ref="C64:O64" si="9">SUM(C58:C62)</f>
        <v>0</v>
      </c>
      <c r="D64" s="275">
        <f t="shared" si="9"/>
        <v>0</v>
      </c>
      <c r="E64" s="275">
        <f t="shared" si="9"/>
        <v>0</v>
      </c>
      <c r="F64" s="275">
        <f t="shared" si="9"/>
        <v>0</v>
      </c>
      <c r="G64" s="275">
        <f t="shared" si="9"/>
        <v>0</v>
      </c>
      <c r="H64" s="275">
        <f t="shared" si="9"/>
        <v>0</v>
      </c>
      <c r="I64" s="275">
        <f t="shared" si="9"/>
        <v>0</v>
      </c>
      <c r="J64" s="275">
        <f t="shared" si="9"/>
        <v>0</v>
      </c>
      <c r="K64" s="275">
        <f t="shared" si="9"/>
        <v>0</v>
      </c>
      <c r="L64" s="275">
        <f t="shared" si="9"/>
        <v>15835.600000000002</v>
      </c>
      <c r="M64" s="275">
        <f t="shared" si="9"/>
        <v>0</v>
      </c>
      <c r="N64" s="275">
        <f t="shared" si="9"/>
        <v>0</v>
      </c>
      <c r="O64" s="276">
        <f t="shared" si="9"/>
        <v>15835.600000000002</v>
      </c>
      <c r="P64" s="272">
        <f>SUM(P58:P62)</f>
        <v>14396</v>
      </c>
      <c r="Q64" s="272">
        <f>SUM(Q58:Q62)</f>
        <v>16967</v>
      </c>
      <c r="R64" s="279">
        <f>O64-P64</f>
        <v>1439.6000000000022</v>
      </c>
      <c r="S64" s="235">
        <f>Rent!C20</f>
        <v>50394</v>
      </c>
      <c r="T64" s="247"/>
      <c r="U64" s="247"/>
      <c r="V64" s="247"/>
      <c r="W64" s="247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  <c r="BM64" s="101"/>
      <c r="BN64" s="101"/>
      <c r="BO64" s="101"/>
      <c r="BP64" s="101"/>
      <c r="BQ64" s="101"/>
      <c r="BR64" s="101"/>
      <c r="BS64" s="101"/>
      <c r="BT64" s="101"/>
      <c r="BU64" s="101"/>
      <c r="BV64" s="101"/>
      <c r="BW64" s="101"/>
      <c r="BX64" s="101"/>
      <c r="BY64" s="101"/>
    </row>
    <row r="65" spans="1:77" s="100" customFormat="1" ht="12.75" customHeight="1">
      <c r="A65" s="244"/>
      <c r="B65" s="245"/>
      <c r="C65" s="246"/>
      <c r="D65" s="246"/>
      <c r="E65" s="246"/>
      <c r="F65" s="246"/>
      <c r="G65" s="246"/>
      <c r="H65" s="249"/>
      <c r="I65" s="246"/>
      <c r="J65" s="246"/>
      <c r="K65" s="246"/>
      <c r="L65" s="246"/>
      <c r="M65" s="246"/>
      <c r="N65" s="246"/>
      <c r="O65" s="246"/>
      <c r="P65" s="122"/>
      <c r="Q65" s="122"/>
      <c r="R65" s="184"/>
      <c r="S65" s="235">
        <f>Rent!C20</f>
        <v>50394</v>
      </c>
      <c r="T65" s="247"/>
      <c r="U65" s="247"/>
      <c r="V65" s="247"/>
      <c r="W65" s="247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01"/>
      <c r="BU65" s="101"/>
      <c r="BV65" s="101"/>
      <c r="BW65" s="101"/>
      <c r="BX65" s="101"/>
      <c r="BY65" s="101"/>
    </row>
    <row r="66" spans="1:77" s="100" customFormat="1" ht="13" customHeight="1">
      <c r="A66" s="244"/>
      <c r="B66" s="252" t="s">
        <v>109</v>
      </c>
      <c r="C66" s="246"/>
      <c r="D66" s="246"/>
      <c r="E66" s="246"/>
      <c r="F66" s="246"/>
      <c r="G66" s="246"/>
      <c r="H66" s="246"/>
      <c r="I66" s="246"/>
      <c r="J66" s="246"/>
      <c r="K66" s="246"/>
      <c r="L66" s="246"/>
      <c r="M66" s="246"/>
      <c r="N66" s="246"/>
      <c r="O66" s="246"/>
      <c r="P66" s="122"/>
      <c r="Q66" s="122"/>
      <c r="R66" s="184"/>
      <c r="S66" s="235">
        <f>Rent!C20</f>
        <v>50394</v>
      </c>
      <c r="T66" s="247"/>
      <c r="U66" s="247"/>
      <c r="V66" s="247"/>
      <c r="W66" s="247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01"/>
      <c r="BU66" s="101"/>
      <c r="BV66" s="101"/>
      <c r="BW66" s="101"/>
      <c r="BX66" s="101"/>
      <c r="BY66" s="101"/>
    </row>
    <row r="67" spans="1:77" s="100" customFormat="1" ht="13" customHeight="1">
      <c r="A67" s="244">
        <v>54000</v>
      </c>
      <c r="B67" s="247" t="s">
        <v>110</v>
      </c>
      <c r="C67" s="246">
        <v>0</v>
      </c>
      <c r="D67" s="246">
        <v>0</v>
      </c>
      <c r="E67" s="246">
        <v>0</v>
      </c>
      <c r="F67" s="246">
        <v>34495</v>
      </c>
      <c r="G67" s="404">
        <v>0</v>
      </c>
      <c r="H67" s="404">
        <v>0</v>
      </c>
      <c r="I67" s="404">
        <v>0</v>
      </c>
      <c r="J67" s="404">
        <v>0</v>
      </c>
      <c r="K67" s="404">
        <v>0</v>
      </c>
      <c r="L67" s="404">
        <v>0</v>
      </c>
      <c r="M67" s="404">
        <v>0</v>
      </c>
      <c r="N67" s="250">
        <f>F67*1.02</f>
        <v>35184.9</v>
      </c>
      <c r="O67" s="246">
        <f>SUM(C67:N67)</f>
        <v>69679.899999999994</v>
      </c>
      <c r="P67" s="409">
        <v>67576</v>
      </c>
      <c r="Q67" s="409">
        <v>66822</v>
      </c>
      <c r="R67" s="285">
        <f>O67-P67</f>
        <v>2103.8999999999942</v>
      </c>
      <c r="S67" s="235">
        <f>Rent!C20</f>
        <v>50394</v>
      </c>
      <c r="T67" s="230" t="s">
        <v>111</v>
      </c>
      <c r="U67" s="247"/>
      <c r="V67" s="247"/>
      <c r="W67" s="247"/>
    </row>
    <row r="68" spans="1:77" s="100" customFormat="1" ht="13" customHeight="1">
      <c r="A68" s="244"/>
      <c r="B68" s="247"/>
      <c r="C68" s="246"/>
      <c r="D68" s="246"/>
      <c r="E68" s="246"/>
      <c r="F68" s="246"/>
      <c r="G68" s="246"/>
      <c r="H68" s="246"/>
      <c r="I68" s="246"/>
      <c r="J68" s="246"/>
      <c r="K68" s="246"/>
      <c r="L68" s="246"/>
      <c r="M68" s="246"/>
      <c r="N68" s="246"/>
      <c r="O68" s="246"/>
      <c r="P68" s="122"/>
      <c r="Q68" s="122"/>
      <c r="R68" s="184"/>
      <c r="S68" s="235">
        <f>Rent!C20</f>
        <v>50394</v>
      </c>
      <c r="T68" s="247"/>
      <c r="U68" s="247"/>
      <c r="V68" s="247"/>
      <c r="W68" s="247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01"/>
      <c r="BU68" s="101"/>
      <c r="BV68" s="101"/>
      <c r="BW68" s="101"/>
      <c r="BX68" s="101"/>
      <c r="BY68" s="101"/>
    </row>
    <row r="69" spans="1:77" s="100" customFormat="1" ht="13" customHeight="1">
      <c r="A69" s="244"/>
      <c r="B69" s="274" t="s">
        <v>112</v>
      </c>
      <c r="C69" s="275">
        <f t="shared" ref="C69:Q69" si="10">SUM(C67:C68)</f>
        <v>0</v>
      </c>
      <c r="D69" s="275">
        <f t="shared" si="10"/>
        <v>0</v>
      </c>
      <c r="E69" s="275">
        <f t="shared" si="10"/>
        <v>0</v>
      </c>
      <c r="F69" s="275">
        <f t="shared" si="10"/>
        <v>34495</v>
      </c>
      <c r="G69" s="275">
        <f t="shared" si="10"/>
        <v>0</v>
      </c>
      <c r="H69" s="275">
        <f t="shared" si="10"/>
        <v>0</v>
      </c>
      <c r="I69" s="275">
        <f t="shared" si="10"/>
        <v>0</v>
      </c>
      <c r="J69" s="275">
        <f t="shared" si="10"/>
        <v>0</v>
      </c>
      <c r="K69" s="275">
        <f t="shared" si="10"/>
        <v>0</v>
      </c>
      <c r="L69" s="275">
        <f t="shared" si="10"/>
        <v>0</v>
      </c>
      <c r="M69" s="275">
        <f t="shared" si="10"/>
        <v>0</v>
      </c>
      <c r="N69" s="275">
        <f t="shared" si="10"/>
        <v>35184.9</v>
      </c>
      <c r="O69" s="276">
        <f t="shared" si="10"/>
        <v>69679.899999999994</v>
      </c>
      <c r="P69" s="286">
        <f t="shared" si="10"/>
        <v>67576</v>
      </c>
      <c r="Q69" s="287">
        <f t="shared" si="10"/>
        <v>66822</v>
      </c>
      <c r="R69" s="288">
        <f>O69-P69</f>
        <v>2103.8999999999942</v>
      </c>
      <c r="S69" s="235">
        <f>Rent!C20</f>
        <v>50394</v>
      </c>
      <c r="T69" s="247"/>
      <c r="U69" s="247"/>
      <c r="V69" s="247"/>
      <c r="W69" s="247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101"/>
      <c r="BP69" s="101"/>
      <c r="BQ69" s="101"/>
      <c r="BR69" s="101"/>
      <c r="BS69" s="101"/>
      <c r="BT69" s="101"/>
      <c r="BU69" s="101"/>
      <c r="BV69" s="101"/>
      <c r="BW69" s="101"/>
      <c r="BX69" s="101"/>
      <c r="BY69" s="101"/>
    </row>
    <row r="70" spans="1:77" s="100" customFormat="1" ht="13" customHeight="1">
      <c r="A70" s="244"/>
      <c r="B70" s="251"/>
      <c r="C70" s="246"/>
      <c r="D70" s="246"/>
      <c r="E70" s="246"/>
      <c r="F70" s="246"/>
      <c r="G70" s="246"/>
      <c r="H70" s="246"/>
      <c r="I70" s="246"/>
      <c r="J70" s="246"/>
      <c r="K70" s="246"/>
      <c r="L70" s="246"/>
      <c r="M70" s="246"/>
      <c r="N70" s="246"/>
      <c r="O70" s="246"/>
      <c r="P70" s="122"/>
      <c r="Q70" s="122"/>
      <c r="R70" s="184"/>
      <c r="S70" s="247"/>
      <c r="T70" s="247"/>
      <c r="U70" s="247"/>
      <c r="V70" s="247"/>
      <c r="W70" s="247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</row>
    <row r="71" spans="1:77" s="100" customFormat="1" ht="13" customHeight="1">
      <c r="A71" s="244"/>
      <c r="B71" s="274" t="s">
        <v>113</v>
      </c>
      <c r="C71" s="275">
        <f t="shared" ref="C71:O71" si="11">C55+C64+C69</f>
        <v>8784.9166666666661</v>
      </c>
      <c r="D71" s="275">
        <f t="shared" si="11"/>
        <v>8784.9166666666661</v>
      </c>
      <c r="E71" s="275">
        <f t="shared" si="11"/>
        <v>9184.9166666666661</v>
      </c>
      <c r="F71" s="275">
        <f t="shared" si="11"/>
        <v>44279.916666666664</v>
      </c>
      <c r="G71" s="275">
        <f t="shared" si="11"/>
        <v>9134.9166666666661</v>
      </c>
      <c r="H71" s="275">
        <f t="shared" si="11"/>
        <v>13034.916666666666</v>
      </c>
      <c r="I71" s="275">
        <f t="shared" si="11"/>
        <v>8784.9166666666661</v>
      </c>
      <c r="J71" s="275">
        <f t="shared" si="11"/>
        <v>8784.9166666666661</v>
      </c>
      <c r="K71" s="275">
        <f t="shared" si="11"/>
        <v>9184.9166666666661</v>
      </c>
      <c r="L71" s="275">
        <f t="shared" si="11"/>
        <v>24620.51666666667</v>
      </c>
      <c r="M71" s="275">
        <f t="shared" si="11"/>
        <v>8784.9166666666661</v>
      </c>
      <c r="N71" s="275">
        <f t="shared" si="11"/>
        <v>46219.816666666666</v>
      </c>
      <c r="O71" s="276">
        <f t="shared" si="11"/>
        <v>199584.5</v>
      </c>
      <c r="P71" s="272">
        <f>P55+P69+P64</f>
        <v>210981</v>
      </c>
      <c r="Q71" s="272">
        <f>Q69+Q64+Q55</f>
        <v>203315</v>
      </c>
      <c r="R71" s="291">
        <f>O71-P71</f>
        <v>-11396.5</v>
      </c>
      <c r="S71" s="247"/>
      <c r="T71" s="415"/>
      <c r="U71" s="247"/>
      <c r="V71" s="247"/>
      <c r="W71" s="247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01"/>
    </row>
    <row r="72" spans="1:77" s="100" customFormat="1" ht="13" customHeight="1">
      <c r="A72" s="244"/>
      <c r="B72" s="251"/>
      <c r="C72" s="246"/>
      <c r="D72" s="246"/>
      <c r="E72" s="246"/>
      <c r="F72" s="246"/>
      <c r="G72" s="246"/>
      <c r="H72" s="246"/>
      <c r="I72" s="246"/>
      <c r="J72" s="246"/>
      <c r="K72" s="246"/>
      <c r="L72" s="246"/>
      <c r="M72" s="246"/>
      <c r="N72" s="246"/>
      <c r="O72" s="246"/>
      <c r="P72" s="292"/>
      <c r="Q72" s="292"/>
      <c r="R72" s="293"/>
      <c r="S72" s="247"/>
      <c r="T72" s="247"/>
      <c r="U72" s="247"/>
      <c r="V72" s="247"/>
      <c r="W72" s="247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101"/>
      <c r="BP72" s="101"/>
      <c r="BQ72" s="101"/>
      <c r="BR72" s="101"/>
      <c r="BS72" s="101"/>
      <c r="BT72" s="101"/>
      <c r="BU72" s="101"/>
      <c r="BV72" s="101"/>
      <c r="BW72" s="101"/>
      <c r="BX72" s="101"/>
      <c r="BY72" s="101"/>
    </row>
    <row r="73" spans="1:77" s="100" customFormat="1" ht="13" customHeight="1">
      <c r="A73" s="244"/>
      <c r="B73" s="274" t="s">
        <v>114</v>
      </c>
      <c r="C73" s="275">
        <f>C25-C71</f>
        <v>21932.999023447032</v>
      </c>
      <c r="D73" s="275">
        <f t="shared" ref="D73:N73" si="12">D25-D71</f>
        <v>21932.999023447032</v>
      </c>
      <c r="E73" s="275">
        <f t="shared" si="12"/>
        <v>21587.022523447034</v>
      </c>
      <c r="F73" s="275">
        <f t="shared" si="12"/>
        <v>-13507.977476552966</v>
      </c>
      <c r="G73" s="275">
        <f t="shared" si="12"/>
        <v>21637.022523447034</v>
      </c>
      <c r="H73" s="275">
        <f t="shared" si="12"/>
        <v>17737.022523447034</v>
      </c>
      <c r="I73" s="275">
        <f>I25-I71</f>
        <v>21987.022523447034</v>
      </c>
      <c r="J73" s="275">
        <f t="shared" si="12"/>
        <v>21987.022523447034</v>
      </c>
      <c r="K73" s="275">
        <f t="shared" si="12"/>
        <v>21587.022523447034</v>
      </c>
      <c r="L73" s="275">
        <f t="shared" si="12"/>
        <v>6151.4225234470287</v>
      </c>
      <c r="M73" s="275">
        <f t="shared" si="12"/>
        <v>21987.022523447034</v>
      </c>
      <c r="N73" s="275">
        <f t="shared" si="12"/>
        <v>-15447.877476552967</v>
      </c>
      <c r="O73" s="295">
        <f>SUM(C73:N73)</f>
        <v>169570.72328136436</v>
      </c>
      <c r="P73" s="296">
        <f>P25-P71</f>
        <v>206711</v>
      </c>
      <c r="Q73" s="296">
        <f>Q25-Q71</f>
        <v>165234</v>
      </c>
      <c r="R73" s="279">
        <f>O73-P73</f>
        <v>-37140.276718635636</v>
      </c>
      <c r="S73" s="294"/>
      <c r="T73" s="247"/>
      <c r="U73" s="247"/>
      <c r="V73" s="247"/>
      <c r="W73" s="247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  <c r="BP73" s="101"/>
      <c r="BQ73" s="101"/>
      <c r="BR73" s="101"/>
      <c r="BS73" s="101"/>
      <c r="BT73" s="101"/>
      <c r="BU73" s="101"/>
      <c r="BV73" s="101"/>
      <c r="BW73" s="101"/>
      <c r="BX73" s="101"/>
      <c r="BY73" s="101"/>
    </row>
    <row r="74" spans="1:77" s="100" customFormat="1" ht="13" customHeight="1">
      <c r="A74" s="244"/>
      <c r="B74" s="251"/>
      <c r="C74" s="246"/>
      <c r="D74" s="246"/>
      <c r="E74" s="246"/>
      <c r="F74" s="246"/>
      <c r="G74" s="246"/>
      <c r="H74" s="246"/>
      <c r="I74" s="246"/>
      <c r="J74" s="246"/>
      <c r="K74" s="246"/>
      <c r="L74" s="246"/>
      <c r="M74" s="246"/>
      <c r="N74" s="246"/>
      <c r="O74" s="246"/>
      <c r="P74" s="292"/>
      <c r="Q74" s="292"/>
      <c r="R74" s="293"/>
      <c r="S74" s="247"/>
      <c r="T74" s="247"/>
      <c r="U74" s="247"/>
      <c r="V74" s="247"/>
      <c r="W74" s="247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101"/>
      <c r="BP74" s="101"/>
      <c r="BQ74" s="101"/>
      <c r="BR74" s="101"/>
      <c r="BS74" s="101"/>
      <c r="BT74" s="101"/>
      <c r="BU74" s="101"/>
      <c r="BV74" s="101"/>
      <c r="BW74" s="101"/>
      <c r="BX74" s="101"/>
      <c r="BY74" s="101"/>
    </row>
    <row r="75" spans="1:77" s="100" customFormat="1" ht="13" customHeight="1">
      <c r="A75" s="244"/>
      <c r="B75" s="251"/>
      <c r="C75" s="246"/>
      <c r="D75" s="246"/>
      <c r="E75" s="246"/>
      <c r="F75" s="246"/>
      <c r="G75" s="246"/>
      <c r="H75" s="246"/>
      <c r="I75" s="246"/>
      <c r="J75" s="246"/>
      <c r="K75" s="246"/>
      <c r="L75" s="246"/>
      <c r="M75" s="246"/>
      <c r="N75" s="246"/>
      <c r="O75" s="246"/>
      <c r="P75" s="122"/>
      <c r="Q75" s="122"/>
      <c r="R75" s="184"/>
      <c r="S75" s="247"/>
      <c r="T75" s="247"/>
      <c r="U75" s="247"/>
      <c r="V75" s="247"/>
      <c r="W75" s="247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101"/>
      <c r="BP75" s="101"/>
      <c r="BQ75" s="101"/>
      <c r="BR75" s="101"/>
      <c r="BS75" s="101"/>
      <c r="BT75" s="101"/>
      <c r="BU75" s="101"/>
      <c r="BV75" s="101"/>
      <c r="BW75" s="101"/>
      <c r="BX75" s="101"/>
      <c r="BY75" s="101"/>
    </row>
    <row r="76" spans="1:77" s="100" customFormat="1" ht="13" customHeight="1">
      <c r="A76" s="247"/>
      <c r="B76" s="252" t="s">
        <v>115</v>
      </c>
      <c r="C76" s="246"/>
      <c r="D76" s="246"/>
      <c r="E76" s="246"/>
      <c r="F76" s="246"/>
      <c r="G76" s="246"/>
      <c r="H76" s="246"/>
      <c r="I76" s="246"/>
      <c r="J76" s="246"/>
      <c r="K76" s="246"/>
      <c r="L76" s="246"/>
      <c r="M76" s="246"/>
      <c r="N76" s="246"/>
      <c r="O76" s="246"/>
      <c r="P76" s="122"/>
      <c r="Q76" s="122"/>
      <c r="R76" s="184"/>
      <c r="S76" s="247"/>
      <c r="T76" s="247"/>
      <c r="U76" s="247"/>
      <c r="V76" s="247"/>
      <c r="W76" s="247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101"/>
      <c r="BP76" s="101"/>
      <c r="BQ76" s="101"/>
      <c r="BR76" s="101"/>
      <c r="BS76" s="101"/>
      <c r="BT76" s="101"/>
      <c r="BU76" s="101"/>
      <c r="BV76" s="101"/>
      <c r="BW76" s="101"/>
      <c r="BX76" s="101"/>
      <c r="BY76" s="101"/>
    </row>
    <row r="77" spans="1:77" s="100" customFormat="1" ht="2.25" customHeight="1">
      <c r="A77" s="244"/>
      <c r="B77" s="245"/>
      <c r="C77" s="253"/>
      <c r="D77" s="253"/>
      <c r="E77" s="253"/>
      <c r="F77" s="253"/>
      <c r="G77" s="253"/>
      <c r="H77" s="253"/>
      <c r="I77" s="253"/>
      <c r="J77" s="253"/>
      <c r="K77" s="253"/>
      <c r="L77" s="253"/>
      <c r="M77" s="253"/>
      <c r="N77" s="253"/>
      <c r="O77" s="253"/>
      <c r="P77" s="253"/>
      <c r="Q77" s="253">
        <v>0</v>
      </c>
      <c r="R77" s="289">
        <f>P77-Q77</f>
        <v>0</v>
      </c>
      <c r="S77" s="247"/>
      <c r="T77" s="230"/>
      <c r="U77" s="247"/>
      <c r="V77" s="247"/>
      <c r="W77" s="247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01"/>
      <c r="BU77" s="101"/>
      <c r="BV77" s="101"/>
      <c r="BW77" s="101"/>
      <c r="BX77" s="101"/>
      <c r="BY77" s="101"/>
    </row>
    <row r="78" spans="1:77" s="100" customFormat="1" ht="13" customHeight="1">
      <c r="A78" s="244">
        <v>70210</v>
      </c>
      <c r="B78" s="123" t="s">
        <v>116</v>
      </c>
      <c r="C78" s="130">
        <v>0</v>
      </c>
      <c r="D78" s="130">
        <v>0</v>
      </c>
      <c r="E78" s="130">
        <v>0</v>
      </c>
      <c r="F78" s="130">
        <v>0</v>
      </c>
      <c r="G78" s="130">
        <v>0</v>
      </c>
      <c r="H78" s="130">
        <v>0</v>
      </c>
      <c r="I78" s="130">
        <v>0</v>
      </c>
      <c r="J78" s="130">
        <v>0</v>
      </c>
      <c r="K78" s="130">
        <v>0</v>
      </c>
      <c r="L78" s="130">
        <v>0</v>
      </c>
      <c r="M78" s="130">
        <v>0</v>
      </c>
      <c r="N78" s="130">
        <v>0</v>
      </c>
      <c r="O78" s="130">
        <f t="shared" ref="O78:O88" si="13">SUM(C78:N78)</f>
        <v>0</v>
      </c>
      <c r="P78" s="416">
        <v>8527</v>
      </c>
      <c r="Q78" s="416">
        <v>0</v>
      </c>
      <c r="R78" s="289">
        <f t="shared" ref="R78:R88" si="14">P78-Q78</f>
        <v>8527</v>
      </c>
      <c r="S78" s="247"/>
      <c r="T78" s="247"/>
      <c r="U78" s="247"/>
      <c r="V78" s="247"/>
      <c r="W78" s="247"/>
    </row>
    <row r="79" spans="1:77" s="100" customFormat="1" ht="13" customHeight="1">
      <c r="A79" s="244">
        <v>70220</v>
      </c>
      <c r="B79" s="123" t="s">
        <v>117</v>
      </c>
      <c r="C79" s="130">
        <v>0</v>
      </c>
      <c r="D79" s="130">
        <v>0</v>
      </c>
      <c r="E79" s="130">
        <v>0</v>
      </c>
      <c r="F79" s="130">
        <v>0</v>
      </c>
      <c r="G79" s="130">
        <v>0</v>
      </c>
      <c r="H79" s="130">
        <v>0</v>
      </c>
      <c r="I79" s="130">
        <v>0</v>
      </c>
      <c r="J79" s="130">
        <v>0</v>
      </c>
      <c r="K79" s="130">
        <v>0</v>
      </c>
      <c r="L79" s="130">
        <v>0</v>
      </c>
      <c r="M79" s="130">
        <v>0</v>
      </c>
      <c r="N79" s="130">
        <v>0</v>
      </c>
      <c r="O79" s="130">
        <f t="shared" si="13"/>
        <v>0</v>
      </c>
      <c r="P79" s="417"/>
      <c r="Q79" s="416">
        <v>0</v>
      </c>
      <c r="R79" s="289">
        <f t="shared" si="14"/>
        <v>0</v>
      </c>
      <c r="S79" s="247"/>
      <c r="T79" s="247"/>
      <c r="U79" s="247"/>
      <c r="V79" s="247"/>
      <c r="W79" s="247"/>
    </row>
    <row r="80" spans="1:77" s="100" customFormat="1" ht="13" customHeight="1">
      <c r="A80" s="244">
        <v>70410</v>
      </c>
      <c r="B80" s="123" t="s">
        <v>118</v>
      </c>
      <c r="C80" s="253">
        <f>C15</f>
        <v>894.69657349845704</v>
      </c>
      <c r="D80" s="253">
        <f t="shared" ref="D80:N80" si="15">D15</f>
        <v>894.69657349845704</v>
      </c>
      <c r="E80" s="253">
        <f t="shared" si="15"/>
        <v>896.27007349845712</v>
      </c>
      <c r="F80" s="253">
        <f t="shared" si="15"/>
        <v>896.27007349845712</v>
      </c>
      <c r="G80" s="253">
        <f t="shared" si="15"/>
        <v>896.27007349845712</v>
      </c>
      <c r="H80" s="253">
        <f t="shared" si="15"/>
        <v>896.27007349845712</v>
      </c>
      <c r="I80" s="253">
        <f t="shared" si="15"/>
        <v>896.27007349845712</v>
      </c>
      <c r="J80" s="253">
        <f t="shared" si="15"/>
        <v>896.27007349845712</v>
      </c>
      <c r="K80" s="253">
        <f t="shared" si="15"/>
        <v>896.27007349845712</v>
      </c>
      <c r="L80" s="253">
        <f t="shared" si="15"/>
        <v>896.27007349845712</v>
      </c>
      <c r="M80" s="253">
        <f t="shared" si="15"/>
        <v>896.27007349845712</v>
      </c>
      <c r="N80" s="253">
        <f t="shared" si="15"/>
        <v>896.27007349845712</v>
      </c>
      <c r="O80" s="253">
        <f>SUM(C80:N80)</f>
        <v>10752.093881981487</v>
      </c>
      <c r="P80" s="417">
        <v>13480</v>
      </c>
      <c r="Q80" s="417">
        <v>10737</v>
      </c>
      <c r="R80" s="289">
        <f t="shared" si="14"/>
        <v>2743</v>
      </c>
      <c r="S80" s="247"/>
      <c r="T80" s="230" t="s">
        <v>119</v>
      </c>
      <c r="U80" s="247"/>
      <c r="V80" s="247"/>
      <c r="W80" s="247"/>
    </row>
    <row r="81" spans="1:77" s="100" customFormat="1" ht="13" customHeight="1">
      <c r="A81" s="244">
        <v>70320</v>
      </c>
      <c r="B81" s="123" t="s">
        <v>120</v>
      </c>
      <c r="C81" s="253">
        <v>0</v>
      </c>
      <c r="D81" s="253">
        <f>C81</f>
        <v>0</v>
      </c>
      <c r="E81" s="253">
        <f t="shared" ref="E81:N81" si="16">D81</f>
        <v>0</v>
      </c>
      <c r="F81" s="253">
        <f t="shared" si="16"/>
        <v>0</v>
      </c>
      <c r="G81" s="253">
        <f t="shared" si="16"/>
        <v>0</v>
      </c>
      <c r="H81" s="253">
        <f t="shared" si="16"/>
        <v>0</v>
      </c>
      <c r="I81" s="253">
        <f t="shared" si="16"/>
        <v>0</v>
      </c>
      <c r="J81" s="253">
        <f t="shared" si="16"/>
        <v>0</v>
      </c>
      <c r="K81" s="253">
        <f t="shared" si="16"/>
        <v>0</v>
      </c>
      <c r="L81" s="253">
        <f t="shared" si="16"/>
        <v>0</v>
      </c>
      <c r="M81" s="253">
        <f t="shared" si="16"/>
        <v>0</v>
      </c>
      <c r="N81" s="253">
        <f t="shared" si="16"/>
        <v>0</v>
      </c>
      <c r="O81" s="253">
        <f>SUM(C81:N81)</f>
        <v>0</v>
      </c>
      <c r="P81" s="417"/>
      <c r="Q81" s="417"/>
      <c r="R81" s="289">
        <f t="shared" si="14"/>
        <v>0</v>
      </c>
      <c r="S81" s="247"/>
      <c r="T81" s="247"/>
      <c r="U81" s="247"/>
      <c r="V81" s="247"/>
      <c r="W81" s="247"/>
    </row>
    <row r="82" spans="1:77" s="100" customFormat="1" ht="13" customHeight="1">
      <c r="A82" s="244">
        <v>70240</v>
      </c>
      <c r="B82" s="123" t="s">
        <v>121</v>
      </c>
      <c r="C82" s="253">
        <v>0</v>
      </c>
      <c r="D82" s="253">
        <v>0</v>
      </c>
      <c r="E82" s="253">
        <v>0</v>
      </c>
      <c r="F82" s="253">
        <v>0</v>
      </c>
      <c r="G82" s="253">
        <v>0</v>
      </c>
      <c r="H82" s="253">
        <v>0</v>
      </c>
      <c r="I82" s="253">
        <v>0</v>
      </c>
      <c r="J82" s="253">
        <v>0</v>
      </c>
      <c r="K82" s="253">
        <v>0</v>
      </c>
      <c r="L82" s="253">
        <v>0</v>
      </c>
      <c r="M82" s="253">
        <v>0</v>
      </c>
      <c r="N82" s="253">
        <v>0</v>
      </c>
      <c r="O82" s="253">
        <f t="shared" si="13"/>
        <v>0</v>
      </c>
      <c r="P82" s="417">
        <v>0</v>
      </c>
      <c r="Q82" s="416">
        <v>1400</v>
      </c>
      <c r="R82" s="289">
        <f t="shared" si="14"/>
        <v>-1400</v>
      </c>
      <c r="S82" s="247"/>
      <c r="T82" s="230" t="s">
        <v>122</v>
      </c>
      <c r="U82" s="247"/>
      <c r="V82" s="247"/>
      <c r="W82" s="247"/>
    </row>
    <row r="83" spans="1:77" s="100" customFormat="1" ht="12.75" customHeight="1">
      <c r="A83" s="326">
        <v>70230</v>
      </c>
      <c r="B83" s="418" t="s">
        <v>123</v>
      </c>
      <c r="C83" s="330">
        <f>C107</f>
        <v>921.5374707034108</v>
      </c>
      <c r="D83" s="330">
        <f>C83</f>
        <v>921.5374707034108</v>
      </c>
      <c r="E83" s="330">
        <f t="shared" ref="E83:N83" si="17">D83</f>
        <v>921.5374707034108</v>
      </c>
      <c r="F83" s="330">
        <f t="shared" si="17"/>
        <v>921.5374707034108</v>
      </c>
      <c r="G83" s="330">
        <f t="shared" si="17"/>
        <v>921.5374707034108</v>
      </c>
      <c r="H83" s="330">
        <f t="shared" si="17"/>
        <v>921.5374707034108</v>
      </c>
      <c r="I83" s="330">
        <f t="shared" si="17"/>
        <v>921.5374707034108</v>
      </c>
      <c r="J83" s="330">
        <f t="shared" si="17"/>
        <v>921.5374707034108</v>
      </c>
      <c r="K83" s="330">
        <f t="shared" si="17"/>
        <v>921.5374707034108</v>
      </c>
      <c r="L83" s="330">
        <f t="shared" si="17"/>
        <v>921.5374707034108</v>
      </c>
      <c r="M83" s="330">
        <f t="shared" si="17"/>
        <v>921.5374707034108</v>
      </c>
      <c r="N83" s="330">
        <f t="shared" si="17"/>
        <v>921.5374707034108</v>
      </c>
      <c r="O83" s="330">
        <f t="shared" si="13"/>
        <v>11058.449648440932</v>
      </c>
      <c r="P83" s="417">
        <v>15655</v>
      </c>
      <c r="Q83" s="416">
        <v>23048</v>
      </c>
      <c r="R83" s="331">
        <f t="shared" si="14"/>
        <v>-7393</v>
      </c>
      <c r="S83" s="247"/>
      <c r="T83" s="230" t="s">
        <v>124</v>
      </c>
      <c r="U83" s="247"/>
      <c r="V83" s="247"/>
      <c r="W83" s="247"/>
    </row>
    <row r="84" spans="1:77" s="100" customFormat="1" ht="12.75" customHeight="1">
      <c r="A84" s="244">
        <v>70280</v>
      </c>
      <c r="B84" s="123" t="s">
        <v>125</v>
      </c>
      <c r="C84" s="253">
        <v>20</v>
      </c>
      <c r="D84" s="253">
        <v>20</v>
      </c>
      <c r="E84" s="253">
        <v>20</v>
      </c>
      <c r="F84" s="253">
        <v>20</v>
      </c>
      <c r="G84" s="253">
        <v>20</v>
      </c>
      <c r="H84" s="253">
        <v>20</v>
      </c>
      <c r="I84" s="253">
        <v>20</v>
      </c>
      <c r="J84" s="253">
        <v>20</v>
      </c>
      <c r="K84" s="253">
        <v>20</v>
      </c>
      <c r="L84" s="253">
        <v>20</v>
      </c>
      <c r="M84" s="253">
        <v>20</v>
      </c>
      <c r="N84" s="253">
        <v>20</v>
      </c>
      <c r="O84" s="253">
        <f>SUM(C84:N84)</f>
        <v>240</v>
      </c>
      <c r="P84" s="417">
        <v>135</v>
      </c>
      <c r="Q84" s="417">
        <v>240</v>
      </c>
      <c r="R84" s="289">
        <f t="shared" si="14"/>
        <v>-105</v>
      </c>
      <c r="T84" s="230" t="s">
        <v>126</v>
      </c>
      <c r="U84" s="247"/>
      <c r="V84" s="247"/>
      <c r="W84" s="247"/>
    </row>
    <row r="85" spans="1:77" s="100" customFormat="1" ht="13" customHeight="1">
      <c r="A85" s="244">
        <v>70352</v>
      </c>
      <c r="B85" s="123" t="s">
        <v>127</v>
      </c>
      <c r="C85" s="253">
        <v>0</v>
      </c>
      <c r="D85" s="253">
        <f>C85</f>
        <v>0</v>
      </c>
      <c r="E85" s="253">
        <f t="shared" ref="E85:N86" si="18">D85</f>
        <v>0</v>
      </c>
      <c r="F85" s="253">
        <f t="shared" si="18"/>
        <v>0</v>
      </c>
      <c r="G85" s="253">
        <f t="shared" si="18"/>
        <v>0</v>
      </c>
      <c r="H85" s="253">
        <f t="shared" si="18"/>
        <v>0</v>
      </c>
      <c r="I85" s="253">
        <f t="shared" si="18"/>
        <v>0</v>
      </c>
      <c r="J85" s="253">
        <f t="shared" si="18"/>
        <v>0</v>
      </c>
      <c r="K85" s="253">
        <f t="shared" si="18"/>
        <v>0</v>
      </c>
      <c r="L85" s="253">
        <f t="shared" si="18"/>
        <v>0</v>
      </c>
      <c r="M85" s="253">
        <f t="shared" si="18"/>
        <v>0</v>
      </c>
      <c r="N85" s="253">
        <f t="shared" si="18"/>
        <v>0</v>
      </c>
      <c r="O85" s="253">
        <f t="shared" si="13"/>
        <v>0</v>
      </c>
      <c r="P85" s="414">
        <v>0</v>
      </c>
      <c r="Q85" s="414">
        <v>0</v>
      </c>
      <c r="R85" s="289">
        <f t="shared" si="14"/>
        <v>0</v>
      </c>
      <c r="S85" s="247"/>
      <c r="T85" s="247"/>
      <c r="U85" s="247"/>
      <c r="V85" s="247"/>
      <c r="W85" s="247"/>
    </row>
    <row r="86" spans="1:77" s="100" customFormat="1" ht="13" customHeight="1">
      <c r="A86" s="335">
        <v>70110</v>
      </c>
      <c r="B86" s="342" t="s">
        <v>128</v>
      </c>
      <c r="C86" s="336">
        <v>13000</v>
      </c>
      <c r="D86" s="336">
        <f>C86</f>
        <v>13000</v>
      </c>
      <c r="E86" s="336">
        <f t="shared" si="18"/>
        <v>13000</v>
      </c>
      <c r="F86" s="336">
        <f t="shared" si="18"/>
        <v>13000</v>
      </c>
      <c r="G86" s="336">
        <f t="shared" si="18"/>
        <v>13000</v>
      </c>
      <c r="H86" s="336">
        <f t="shared" si="18"/>
        <v>13000</v>
      </c>
      <c r="I86" s="336">
        <f t="shared" si="18"/>
        <v>13000</v>
      </c>
      <c r="J86" s="336">
        <f t="shared" si="18"/>
        <v>13000</v>
      </c>
      <c r="K86" s="336">
        <f t="shared" si="18"/>
        <v>13000</v>
      </c>
      <c r="L86" s="336">
        <f t="shared" si="18"/>
        <v>13000</v>
      </c>
      <c r="M86" s="336">
        <f t="shared" si="18"/>
        <v>13000</v>
      </c>
      <c r="N86" s="336">
        <f t="shared" si="18"/>
        <v>13000</v>
      </c>
      <c r="O86" s="338">
        <f t="shared" si="13"/>
        <v>156000</v>
      </c>
      <c r="P86" s="411">
        <v>82214</v>
      </c>
      <c r="Q86" s="411">
        <v>92949</v>
      </c>
      <c r="R86" s="339">
        <f t="shared" si="14"/>
        <v>-10735</v>
      </c>
      <c r="S86" s="247"/>
      <c r="T86" s="230" t="s">
        <v>129</v>
      </c>
      <c r="U86" s="247"/>
      <c r="V86" s="247"/>
      <c r="W86" s="247"/>
    </row>
    <row r="87" spans="1:77" s="100" customFormat="1" ht="13" customHeight="1">
      <c r="A87" s="244">
        <v>70400</v>
      </c>
      <c r="B87" s="123" t="s">
        <v>130</v>
      </c>
      <c r="C87" s="253">
        <v>0</v>
      </c>
      <c r="D87" s="253">
        <v>0</v>
      </c>
      <c r="E87" s="253">
        <v>300</v>
      </c>
      <c r="F87" s="253">
        <v>0</v>
      </c>
      <c r="G87" s="253">
        <v>0</v>
      </c>
      <c r="H87" s="253">
        <v>0</v>
      </c>
      <c r="I87" s="253">
        <v>0</v>
      </c>
      <c r="J87" s="253">
        <v>0</v>
      </c>
      <c r="K87" s="253">
        <v>0</v>
      </c>
      <c r="L87" s="253">
        <v>0</v>
      </c>
      <c r="M87" s="253">
        <v>0</v>
      </c>
      <c r="N87" s="253">
        <v>0</v>
      </c>
      <c r="O87" s="253">
        <f t="shared" si="13"/>
        <v>300</v>
      </c>
      <c r="P87" s="414">
        <v>0</v>
      </c>
      <c r="Q87" s="411">
        <v>300</v>
      </c>
      <c r="R87" s="289">
        <f t="shared" si="14"/>
        <v>-300</v>
      </c>
      <c r="S87" s="247"/>
      <c r="T87" s="247"/>
      <c r="U87" s="247"/>
      <c r="V87" s="247"/>
      <c r="W87" s="247"/>
    </row>
    <row r="88" spans="1:77" s="100" customFormat="1" ht="13" customHeight="1">
      <c r="A88" s="244">
        <v>70370</v>
      </c>
      <c r="B88" s="123" t="s">
        <v>131</v>
      </c>
      <c r="C88" s="253">
        <v>0</v>
      </c>
      <c r="D88" s="253">
        <v>0</v>
      </c>
      <c r="E88" s="253">
        <v>0</v>
      </c>
      <c r="F88" s="253">
        <v>0</v>
      </c>
      <c r="G88" s="246">
        <v>525</v>
      </c>
      <c r="H88" s="253">
        <v>0</v>
      </c>
      <c r="I88" s="253">
        <v>0</v>
      </c>
      <c r="J88" s="253">
        <v>0</v>
      </c>
      <c r="K88" s="253">
        <v>0</v>
      </c>
      <c r="L88" s="253">
        <v>0</v>
      </c>
      <c r="M88" s="253">
        <v>0</v>
      </c>
      <c r="N88" s="253">
        <v>0</v>
      </c>
      <c r="O88" s="253">
        <f t="shared" si="13"/>
        <v>525</v>
      </c>
      <c r="P88" s="411">
        <v>519</v>
      </c>
      <c r="Q88" s="411">
        <v>500</v>
      </c>
      <c r="R88" s="289">
        <f t="shared" si="14"/>
        <v>19</v>
      </c>
      <c r="S88" s="247"/>
      <c r="T88" s="247"/>
      <c r="U88" s="247"/>
      <c r="V88" s="247"/>
      <c r="W88" s="247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03"/>
      <c r="BI88" s="103"/>
      <c r="BJ88" s="103"/>
      <c r="BK88" s="103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</row>
    <row r="89" spans="1:77" s="100" customFormat="1" ht="13" customHeight="1">
      <c r="A89" s="244"/>
      <c r="B89" s="247"/>
      <c r="C89" s="246"/>
      <c r="D89" s="246"/>
      <c r="E89" s="246"/>
      <c r="F89" s="246"/>
      <c r="G89" s="246"/>
      <c r="H89" s="246"/>
      <c r="I89" s="246"/>
      <c r="J89" s="246"/>
      <c r="K89" s="246"/>
      <c r="L89" s="246"/>
      <c r="M89" s="246"/>
      <c r="N89" s="246"/>
      <c r="O89" s="253"/>
      <c r="P89" s="122"/>
      <c r="Q89" s="122"/>
      <c r="R89" s="184"/>
      <c r="S89" s="247"/>
      <c r="T89" s="247"/>
      <c r="U89" s="247"/>
      <c r="V89" s="247"/>
      <c r="W89" s="247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  <c r="BG89" s="101"/>
      <c r="BH89" s="103"/>
      <c r="BI89" s="103"/>
      <c r="BJ89" s="103"/>
      <c r="BK89" s="103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</row>
    <row r="90" spans="1:77" s="100" customFormat="1" ht="13" customHeight="1">
      <c r="A90" s="247"/>
      <c r="B90" s="274" t="s">
        <v>132</v>
      </c>
      <c r="C90" s="275">
        <f>SUM(C77:C88)</f>
        <v>14836.234044201869</v>
      </c>
      <c r="D90" s="275">
        <f t="shared" ref="D90:Q90" si="19">SUM(D77:D88)</f>
        <v>14836.234044201869</v>
      </c>
      <c r="E90" s="275">
        <f t="shared" si="19"/>
        <v>15137.807544201867</v>
      </c>
      <c r="F90" s="275">
        <f t="shared" si="19"/>
        <v>14837.807544201867</v>
      </c>
      <c r="G90" s="275">
        <f t="shared" si="19"/>
        <v>15362.807544201867</v>
      </c>
      <c r="H90" s="275">
        <f t="shared" si="19"/>
        <v>14837.807544201867</v>
      </c>
      <c r="I90" s="275">
        <f t="shared" si="19"/>
        <v>14837.807544201867</v>
      </c>
      <c r="J90" s="275">
        <f t="shared" si="19"/>
        <v>14837.807544201867</v>
      </c>
      <c r="K90" s="275">
        <f t="shared" si="19"/>
        <v>14837.807544201867</v>
      </c>
      <c r="L90" s="275">
        <f t="shared" si="19"/>
        <v>14837.807544201867</v>
      </c>
      <c r="M90" s="275">
        <f t="shared" si="19"/>
        <v>14837.807544201867</v>
      </c>
      <c r="N90" s="275">
        <f t="shared" si="19"/>
        <v>14837.807544201867</v>
      </c>
      <c r="O90" s="276">
        <f t="shared" si="19"/>
        <v>178875.54353042241</v>
      </c>
      <c r="P90" s="286">
        <f t="shared" si="19"/>
        <v>120530</v>
      </c>
      <c r="Q90" s="286">
        <f t="shared" si="19"/>
        <v>129174</v>
      </c>
      <c r="R90" s="279">
        <f>O90-P90</f>
        <v>58345.543530422408</v>
      </c>
      <c r="S90" s="247"/>
      <c r="T90" s="247"/>
      <c r="U90" s="247"/>
      <c r="V90" s="247"/>
      <c r="W90" s="247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3"/>
      <c r="BI90" s="103"/>
      <c r="BJ90" s="103"/>
      <c r="BK90" s="103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</row>
    <row r="91" spans="1:77" s="100" customFormat="1" ht="13" customHeight="1">
      <c r="A91" s="247"/>
      <c r="B91" s="247"/>
      <c r="C91" s="246"/>
      <c r="D91" s="246"/>
      <c r="E91" s="246"/>
      <c r="F91" s="246"/>
      <c r="G91" s="246"/>
      <c r="H91" s="246"/>
      <c r="I91" s="246"/>
      <c r="J91" s="246"/>
      <c r="K91" s="246"/>
      <c r="L91" s="246"/>
      <c r="M91" s="246"/>
      <c r="N91" s="246"/>
      <c r="O91" s="246"/>
      <c r="P91" s="122"/>
      <c r="Q91" s="122"/>
      <c r="R91" s="184"/>
      <c r="S91" s="247"/>
      <c r="T91" s="247"/>
      <c r="U91" s="247"/>
      <c r="V91" s="247"/>
      <c r="W91" s="247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3"/>
      <c r="BI91" s="103"/>
      <c r="BJ91" s="103"/>
      <c r="BK91" s="103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</row>
    <row r="92" spans="1:77" s="100" customFormat="1" ht="13" customHeight="1">
      <c r="A92" s="247"/>
      <c r="S92" s="247"/>
      <c r="T92" s="247"/>
      <c r="U92" s="247"/>
      <c r="V92" s="247"/>
      <c r="W92" s="247"/>
      <c r="BH92" s="104"/>
      <c r="BI92" s="104"/>
      <c r="BJ92" s="104"/>
      <c r="BK92" s="104"/>
    </row>
    <row r="93" spans="1:77" s="100" customFormat="1" ht="13" customHeight="1">
      <c r="A93" s="247"/>
      <c r="B93" s="252" t="s">
        <v>133</v>
      </c>
      <c r="C93" s="246"/>
      <c r="D93" s="246"/>
      <c r="E93" s="246"/>
      <c r="F93" s="246"/>
      <c r="G93" s="246"/>
      <c r="H93" s="246"/>
      <c r="I93" s="246"/>
      <c r="J93" s="246"/>
      <c r="K93" s="246"/>
      <c r="L93" s="246"/>
      <c r="M93" s="246"/>
      <c r="N93" s="246"/>
      <c r="O93" s="246"/>
      <c r="P93" s="122"/>
      <c r="Q93" s="122"/>
      <c r="R93" s="184"/>
      <c r="S93" s="247"/>
      <c r="T93" s="247"/>
      <c r="U93" s="247"/>
      <c r="V93" s="247"/>
      <c r="W93" s="247"/>
      <c r="BA93" s="102"/>
      <c r="BH93" s="104"/>
      <c r="BI93" s="104"/>
      <c r="BJ93" s="104"/>
      <c r="BK93" s="104"/>
    </row>
    <row r="94" spans="1:77" s="100" customFormat="1" ht="13" customHeight="1">
      <c r="A94" s="244">
        <v>15100</v>
      </c>
      <c r="B94" s="123" t="s">
        <v>134</v>
      </c>
      <c r="C94" s="128">
        <v>0</v>
      </c>
      <c r="D94" s="128">
        <v>0</v>
      </c>
      <c r="E94" s="128">
        <v>0</v>
      </c>
      <c r="F94" s="128">
        <v>0</v>
      </c>
      <c r="G94" s="128">
        <v>0</v>
      </c>
      <c r="H94" s="128">
        <v>0</v>
      </c>
      <c r="I94" s="128">
        <v>0</v>
      </c>
      <c r="J94" s="128">
        <v>0</v>
      </c>
      <c r="K94" s="128">
        <v>0</v>
      </c>
      <c r="L94" s="128">
        <v>0</v>
      </c>
      <c r="M94" s="128">
        <v>0</v>
      </c>
      <c r="N94" s="128">
        <v>0</v>
      </c>
      <c r="O94" s="128">
        <f t="shared" ref="O94:O99" si="20">SUM(C94:N94)</f>
        <v>0</v>
      </c>
      <c r="P94" s="417">
        <v>0</v>
      </c>
      <c r="Q94" s="416">
        <v>0</v>
      </c>
      <c r="R94" s="285">
        <f t="shared" ref="R94:R99" si="21">O94-P94</f>
        <v>0</v>
      </c>
      <c r="S94" s="247"/>
      <c r="T94" s="247"/>
      <c r="U94" s="247"/>
      <c r="V94" s="247"/>
      <c r="W94" s="247"/>
      <c r="BA94" s="102"/>
      <c r="BH94" s="104"/>
      <c r="BI94" s="104"/>
      <c r="BJ94" s="104"/>
      <c r="BK94" s="104"/>
    </row>
    <row r="95" spans="1:77" s="100" customFormat="1" ht="13" customHeight="1">
      <c r="A95" s="244">
        <v>15010</v>
      </c>
      <c r="B95" s="123" t="s">
        <v>135</v>
      </c>
      <c r="C95" s="128">
        <v>0</v>
      </c>
      <c r="D95" s="128">
        <v>0</v>
      </c>
      <c r="E95" s="128">
        <v>0</v>
      </c>
      <c r="F95" s="128">
        <v>0</v>
      </c>
      <c r="G95" s="128">
        <v>0</v>
      </c>
      <c r="H95" s="128">
        <v>0</v>
      </c>
      <c r="I95" s="128">
        <v>0</v>
      </c>
      <c r="J95" s="128">
        <v>0</v>
      </c>
      <c r="K95" s="128">
        <v>0</v>
      </c>
      <c r="L95" s="128">
        <v>0</v>
      </c>
      <c r="M95" s="128">
        <v>0</v>
      </c>
      <c r="N95" s="128">
        <v>0</v>
      </c>
      <c r="O95" s="128">
        <f t="shared" si="20"/>
        <v>0</v>
      </c>
      <c r="P95" s="417">
        <v>0</v>
      </c>
      <c r="Q95" s="416">
        <v>0</v>
      </c>
      <c r="R95" s="285">
        <f t="shared" si="21"/>
        <v>0</v>
      </c>
      <c r="S95" s="247"/>
      <c r="T95" s="247"/>
      <c r="U95" s="247"/>
      <c r="V95" s="247"/>
      <c r="W95" s="247"/>
      <c r="BA95" s="102"/>
      <c r="BH95" s="104"/>
      <c r="BI95" s="104"/>
      <c r="BJ95" s="104"/>
      <c r="BK95" s="104"/>
    </row>
    <row r="96" spans="1:77" s="100" customFormat="1" ht="13" customHeight="1">
      <c r="A96" s="244">
        <v>16500</v>
      </c>
      <c r="B96" s="123" t="s">
        <v>136</v>
      </c>
      <c r="C96" s="128">
        <v>0</v>
      </c>
      <c r="D96" s="128">
        <v>0</v>
      </c>
      <c r="E96" s="128">
        <v>0</v>
      </c>
      <c r="F96" s="128">
        <v>0</v>
      </c>
      <c r="G96" s="128">
        <v>0</v>
      </c>
      <c r="H96" s="128">
        <v>0</v>
      </c>
      <c r="I96" s="128">
        <v>0</v>
      </c>
      <c r="J96" s="128">
        <v>0</v>
      </c>
      <c r="K96" s="128">
        <v>0</v>
      </c>
      <c r="L96" s="128">
        <v>0</v>
      </c>
      <c r="M96" s="128">
        <v>0</v>
      </c>
      <c r="N96" s="128">
        <v>0</v>
      </c>
      <c r="O96" s="128">
        <f t="shared" si="20"/>
        <v>0</v>
      </c>
      <c r="P96" s="417">
        <v>0</v>
      </c>
      <c r="Q96" s="416">
        <v>0</v>
      </c>
      <c r="R96" s="285">
        <f t="shared" si="21"/>
        <v>0</v>
      </c>
      <c r="S96" s="247"/>
      <c r="T96" s="247"/>
      <c r="U96" s="247"/>
      <c r="V96" s="247"/>
      <c r="W96" s="247"/>
      <c r="BA96" s="102"/>
      <c r="BH96" s="104"/>
      <c r="BI96" s="104"/>
      <c r="BJ96" s="104"/>
      <c r="BK96" s="104"/>
    </row>
    <row r="97" spans="1:63" s="100" customFormat="1" ht="13" customHeight="1">
      <c r="A97" s="244"/>
      <c r="B97" s="123" t="s">
        <v>137</v>
      </c>
      <c r="C97" s="128">
        <v>0</v>
      </c>
      <c r="D97" s="128">
        <v>0</v>
      </c>
      <c r="E97" s="128">
        <v>0</v>
      </c>
      <c r="F97" s="128">
        <v>0</v>
      </c>
      <c r="G97" s="128">
        <v>0</v>
      </c>
      <c r="H97" s="128">
        <v>0</v>
      </c>
      <c r="I97" s="128">
        <v>0</v>
      </c>
      <c r="J97" s="128">
        <v>0</v>
      </c>
      <c r="K97" s="128">
        <v>0</v>
      </c>
      <c r="L97" s="128">
        <v>0</v>
      </c>
      <c r="M97" s="128">
        <v>0</v>
      </c>
      <c r="N97" s="128">
        <v>0</v>
      </c>
      <c r="O97" s="128">
        <f t="shared" si="20"/>
        <v>0</v>
      </c>
      <c r="P97" s="417">
        <v>0</v>
      </c>
      <c r="Q97" s="416">
        <v>0</v>
      </c>
      <c r="R97" s="285">
        <f t="shared" si="21"/>
        <v>0</v>
      </c>
      <c r="S97" s="247"/>
      <c r="T97" s="247"/>
      <c r="U97" s="247"/>
      <c r="V97" s="247"/>
      <c r="W97" s="247"/>
      <c r="BA97" s="102"/>
      <c r="BH97" s="104"/>
      <c r="BI97" s="104"/>
      <c r="BJ97" s="104"/>
      <c r="BK97" s="104"/>
    </row>
    <row r="98" spans="1:63" s="100" customFormat="1" ht="13" customHeight="1">
      <c r="A98" s="244"/>
      <c r="B98" s="123" t="s">
        <v>138</v>
      </c>
      <c r="C98" s="128">
        <v>0</v>
      </c>
      <c r="D98" s="128">
        <v>0</v>
      </c>
      <c r="E98" s="128">
        <v>0</v>
      </c>
      <c r="F98" s="128">
        <v>0</v>
      </c>
      <c r="G98" s="128">
        <v>0</v>
      </c>
      <c r="H98" s="128">
        <v>0</v>
      </c>
      <c r="I98" s="128">
        <v>0</v>
      </c>
      <c r="J98" s="128">
        <v>0</v>
      </c>
      <c r="K98" s="128">
        <v>0</v>
      </c>
      <c r="L98" s="128">
        <v>0</v>
      </c>
      <c r="M98" s="128">
        <v>0</v>
      </c>
      <c r="N98" s="128">
        <v>0</v>
      </c>
      <c r="O98" s="128">
        <f t="shared" si="20"/>
        <v>0</v>
      </c>
      <c r="P98" s="417">
        <v>72152</v>
      </c>
      <c r="Q98" s="416">
        <v>0</v>
      </c>
      <c r="R98" s="285">
        <f t="shared" si="21"/>
        <v>-72152</v>
      </c>
      <c r="S98" s="247"/>
      <c r="T98" s="247"/>
      <c r="U98" s="247"/>
      <c r="V98" s="247"/>
      <c r="W98" s="247"/>
      <c r="BA98" s="102"/>
      <c r="BH98" s="104"/>
      <c r="BI98" s="104"/>
      <c r="BJ98" s="104"/>
      <c r="BK98" s="104"/>
    </row>
    <row r="99" spans="1:63" s="100" customFormat="1" ht="13" customHeight="1">
      <c r="A99" s="335">
        <v>25300</v>
      </c>
      <c r="B99" s="342" t="s">
        <v>139</v>
      </c>
      <c r="C99" s="336">
        <v>3731</v>
      </c>
      <c r="D99" s="336">
        <f>C99</f>
        <v>3731</v>
      </c>
      <c r="E99" s="336">
        <f t="shared" ref="E99:N99" si="22">D99</f>
        <v>3731</v>
      </c>
      <c r="F99" s="336">
        <f t="shared" si="22"/>
        <v>3731</v>
      </c>
      <c r="G99" s="336">
        <f t="shared" si="22"/>
        <v>3731</v>
      </c>
      <c r="H99" s="336">
        <f t="shared" si="22"/>
        <v>3731</v>
      </c>
      <c r="I99" s="336">
        <f t="shared" si="22"/>
        <v>3731</v>
      </c>
      <c r="J99" s="336">
        <f t="shared" si="22"/>
        <v>3731</v>
      </c>
      <c r="K99" s="336">
        <f t="shared" si="22"/>
        <v>3731</v>
      </c>
      <c r="L99" s="336">
        <f t="shared" si="22"/>
        <v>3731</v>
      </c>
      <c r="M99" s="336">
        <f t="shared" si="22"/>
        <v>3731</v>
      </c>
      <c r="N99" s="336">
        <f t="shared" si="22"/>
        <v>3731</v>
      </c>
      <c r="O99" s="336">
        <f t="shared" si="20"/>
        <v>44772</v>
      </c>
      <c r="P99" s="390">
        <v>77931</v>
      </c>
      <c r="Q99" s="390">
        <v>70206</v>
      </c>
      <c r="R99" s="337">
        <f t="shared" si="21"/>
        <v>-33159</v>
      </c>
      <c r="S99" s="247"/>
      <c r="T99" s="230" t="s">
        <v>140</v>
      </c>
      <c r="U99" s="247"/>
      <c r="V99" s="254"/>
      <c r="W99" s="247"/>
      <c r="BJ99" s="104"/>
      <c r="BK99" s="104"/>
    </row>
    <row r="100" spans="1:63" s="100" customFormat="1" ht="13" customHeight="1">
      <c r="A100" s="244"/>
      <c r="B100" s="247"/>
      <c r="C100" s="246"/>
      <c r="D100" s="246"/>
      <c r="E100" s="246"/>
      <c r="F100" s="246"/>
      <c r="G100" s="246"/>
      <c r="H100" s="246"/>
      <c r="I100" s="246"/>
      <c r="J100" s="246"/>
      <c r="K100" s="246"/>
      <c r="L100" s="246"/>
      <c r="M100" s="246"/>
      <c r="N100" s="246"/>
      <c r="O100" s="246"/>
      <c r="P100" s="122"/>
      <c r="Q100" s="122"/>
      <c r="R100" s="184"/>
      <c r="S100" s="247"/>
      <c r="T100" s="247"/>
      <c r="U100" s="247"/>
      <c r="V100" s="254"/>
      <c r="W100" s="247"/>
      <c r="BJ100" s="104"/>
      <c r="BK100" s="104"/>
    </row>
    <row r="101" spans="1:63" s="100" customFormat="1" ht="13" customHeight="1">
      <c r="A101" s="244"/>
      <c r="B101" s="274" t="s">
        <v>141</v>
      </c>
      <c r="C101" s="275">
        <f t="shared" ref="C101:O101" si="23">SUM(C94:C99)</f>
        <v>3731</v>
      </c>
      <c r="D101" s="275">
        <f t="shared" si="23"/>
        <v>3731</v>
      </c>
      <c r="E101" s="275">
        <f t="shared" si="23"/>
        <v>3731</v>
      </c>
      <c r="F101" s="275">
        <f t="shared" si="23"/>
        <v>3731</v>
      </c>
      <c r="G101" s="275">
        <f t="shared" si="23"/>
        <v>3731</v>
      </c>
      <c r="H101" s="275">
        <f t="shared" si="23"/>
        <v>3731</v>
      </c>
      <c r="I101" s="275">
        <f t="shared" si="23"/>
        <v>3731</v>
      </c>
      <c r="J101" s="275">
        <f t="shared" si="23"/>
        <v>3731</v>
      </c>
      <c r="K101" s="275">
        <f t="shared" si="23"/>
        <v>3731</v>
      </c>
      <c r="L101" s="275">
        <f t="shared" si="23"/>
        <v>3731</v>
      </c>
      <c r="M101" s="275">
        <f t="shared" si="23"/>
        <v>3731</v>
      </c>
      <c r="N101" s="275">
        <f t="shared" si="23"/>
        <v>3731</v>
      </c>
      <c r="O101" s="275">
        <f t="shared" si="23"/>
        <v>44772</v>
      </c>
      <c r="P101" s="290">
        <f>SUM(P94:P100)</f>
        <v>150083</v>
      </c>
      <c r="Q101" s="272">
        <f>SUM(Q94:Q100)</f>
        <v>70206</v>
      </c>
      <c r="R101" s="288">
        <f>O101-P101</f>
        <v>-105311</v>
      </c>
      <c r="S101" s="247"/>
      <c r="T101" s="247"/>
      <c r="U101" s="247"/>
      <c r="V101" s="254"/>
      <c r="W101" s="247"/>
      <c r="BJ101" s="104"/>
      <c r="BK101" s="104"/>
    </row>
    <row r="102" spans="1:63" s="100" customFormat="1" ht="13" customHeight="1">
      <c r="A102" s="244"/>
      <c r="B102" s="247"/>
      <c r="C102" s="246"/>
      <c r="D102" s="246"/>
      <c r="E102" s="246"/>
      <c r="F102" s="246"/>
      <c r="G102" s="246"/>
      <c r="H102" s="246"/>
      <c r="I102" s="246"/>
      <c r="J102" s="246"/>
      <c r="K102" s="246"/>
      <c r="L102" s="246"/>
      <c r="M102" s="246"/>
      <c r="N102" s="246"/>
      <c r="O102" s="246"/>
      <c r="P102" s="122"/>
      <c r="Q102" s="122"/>
      <c r="R102" s="184"/>
      <c r="S102" s="247"/>
      <c r="T102" s="247"/>
      <c r="U102" s="247"/>
      <c r="V102" s="247"/>
      <c r="W102" s="247"/>
      <c r="BJ102" s="104"/>
      <c r="BK102" s="104"/>
    </row>
    <row r="103" spans="1:63" s="100" customFormat="1" ht="13" customHeight="1">
      <c r="A103" s="247"/>
      <c r="B103" s="274" t="s">
        <v>142</v>
      </c>
      <c r="C103" s="275">
        <f>C73-C90-C101</f>
        <v>3365.764979245163</v>
      </c>
      <c r="D103" s="275">
        <f t="shared" ref="D103:N103" si="24">D73-D90-D101</f>
        <v>3365.764979245163</v>
      </c>
      <c r="E103" s="275">
        <f t="shared" si="24"/>
        <v>2718.2149792451673</v>
      </c>
      <c r="F103" s="275">
        <f t="shared" si="24"/>
        <v>-32076.785020754833</v>
      </c>
      <c r="G103" s="275">
        <f t="shared" si="24"/>
        <v>2543.2149792451673</v>
      </c>
      <c r="H103" s="275">
        <f t="shared" si="24"/>
        <v>-831.78502075483266</v>
      </c>
      <c r="I103" s="275">
        <f t="shared" si="24"/>
        <v>3418.2149792451673</v>
      </c>
      <c r="J103" s="275">
        <f t="shared" si="24"/>
        <v>3418.2149792451673</v>
      </c>
      <c r="K103" s="275">
        <f t="shared" si="24"/>
        <v>3018.2149792451673</v>
      </c>
      <c r="L103" s="275">
        <f t="shared" si="24"/>
        <v>-12417.385020754838</v>
      </c>
      <c r="M103" s="275">
        <f t="shared" si="24"/>
        <v>3418.2149792451673</v>
      </c>
      <c r="N103" s="275">
        <f t="shared" si="24"/>
        <v>-34016.685020754834</v>
      </c>
      <c r="O103" s="275">
        <f>SUM(C103:N103)</f>
        <v>-54076.820249058008</v>
      </c>
      <c r="P103" s="272">
        <f>P25-P101</f>
        <v>267609</v>
      </c>
      <c r="Q103" s="272">
        <f>Q25-Q101</f>
        <v>298343</v>
      </c>
      <c r="R103" s="279">
        <f>O103-P103</f>
        <v>-321685.82024905802</v>
      </c>
      <c r="S103" s="247"/>
      <c r="T103" s="247"/>
      <c r="U103" s="247"/>
      <c r="V103" s="247"/>
      <c r="W103" s="247"/>
      <c r="BJ103" s="104"/>
      <c r="BK103" s="104"/>
    </row>
    <row r="104" spans="1:63" s="100" customFormat="1" ht="13" customHeight="1">
      <c r="A104" s="247"/>
      <c r="B104" s="247"/>
      <c r="C104" s="247"/>
      <c r="D104" s="247"/>
      <c r="E104" s="247"/>
      <c r="F104" s="247"/>
      <c r="G104" s="247"/>
      <c r="H104" s="247"/>
      <c r="I104" s="247"/>
      <c r="J104" s="247"/>
      <c r="K104" s="247"/>
      <c r="L104" s="247"/>
      <c r="M104" s="247"/>
      <c r="N104" s="247"/>
      <c r="O104" s="247"/>
      <c r="P104" s="122"/>
      <c r="Q104" s="122"/>
      <c r="R104" s="247"/>
      <c r="S104" s="247"/>
      <c r="T104" s="247"/>
      <c r="U104" s="247"/>
      <c r="V104" s="247"/>
      <c r="W104" s="247"/>
      <c r="BJ104" s="104"/>
      <c r="BK104" s="105"/>
    </row>
    <row r="105" spans="1:63" s="100" customFormat="1" ht="13" customHeight="1">
      <c r="A105" s="244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6"/>
      <c r="O105" s="246"/>
      <c r="P105" s="122"/>
      <c r="Q105" s="122"/>
      <c r="R105" s="247"/>
      <c r="S105" s="247"/>
      <c r="T105" s="247"/>
      <c r="U105" s="247"/>
      <c r="V105" s="247"/>
      <c r="W105" s="247"/>
      <c r="BJ105" s="105"/>
    </row>
    <row r="106" spans="1:63" s="100" customFormat="1" ht="13" customHeight="1">
      <c r="A106" s="340"/>
      <c r="B106" s="327" t="s">
        <v>143</v>
      </c>
      <c r="C106" s="328">
        <f>C25</f>
        <v>30717.915690113696</v>
      </c>
      <c r="D106" s="328">
        <f t="shared" ref="D106:N106" si="25">D25</f>
        <v>30717.915690113696</v>
      </c>
      <c r="E106" s="328">
        <f t="shared" si="25"/>
        <v>30771.939190113699</v>
      </c>
      <c r="F106" s="328">
        <f t="shared" si="25"/>
        <v>30771.939190113699</v>
      </c>
      <c r="G106" s="328">
        <f t="shared" si="25"/>
        <v>30771.939190113699</v>
      </c>
      <c r="H106" s="328">
        <f t="shared" si="25"/>
        <v>30771.939190113699</v>
      </c>
      <c r="I106" s="328">
        <f t="shared" si="25"/>
        <v>30771.939190113699</v>
      </c>
      <c r="J106" s="328">
        <f t="shared" si="25"/>
        <v>30771.939190113699</v>
      </c>
      <c r="K106" s="328">
        <f t="shared" si="25"/>
        <v>30771.939190113699</v>
      </c>
      <c r="L106" s="328">
        <f t="shared" si="25"/>
        <v>30771.939190113699</v>
      </c>
      <c r="M106" s="328">
        <f t="shared" si="25"/>
        <v>30771.939190113699</v>
      </c>
      <c r="N106" s="328">
        <f t="shared" si="25"/>
        <v>30771.939190113699</v>
      </c>
      <c r="O106" s="329">
        <f>SUM(C106:N106)</f>
        <v>369155.22328136431</v>
      </c>
      <c r="P106" s="122"/>
      <c r="Q106" s="122"/>
      <c r="R106" s="247"/>
      <c r="S106" s="247"/>
      <c r="T106" s="247"/>
      <c r="U106" s="247"/>
      <c r="V106" s="247"/>
      <c r="W106" s="247"/>
      <c r="BJ106" s="105"/>
    </row>
    <row r="107" spans="1:63" s="100" customFormat="1" ht="13" customHeight="1">
      <c r="A107" s="244"/>
      <c r="B107" s="255"/>
      <c r="C107" s="256">
        <f>C106*3%</f>
        <v>921.5374707034108</v>
      </c>
      <c r="D107" s="256">
        <f t="shared" ref="D107:N107" si="26">D106*3%</f>
        <v>921.5374707034108</v>
      </c>
      <c r="E107" s="256">
        <f t="shared" si="26"/>
        <v>923.15817570341096</v>
      </c>
      <c r="F107" s="256">
        <f t="shared" si="26"/>
        <v>923.15817570341096</v>
      </c>
      <c r="G107" s="256">
        <f t="shared" si="26"/>
        <v>923.15817570341096</v>
      </c>
      <c r="H107" s="256">
        <f t="shared" si="26"/>
        <v>923.15817570341096</v>
      </c>
      <c r="I107" s="256">
        <f t="shared" si="26"/>
        <v>923.15817570341096</v>
      </c>
      <c r="J107" s="256">
        <f t="shared" si="26"/>
        <v>923.15817570341096</v>
      </c>
      <c r="K107" s="256">
        <f t="shared" si="26"/>
        <v>923.15817570341096</v>
      </c>
      <c r="L107" s="256">
        <f t="shared" si="26"/>
        <v>923.15817570341096</v>
      </c>
      <c r="M107" s="256">
        <f t="shared" si="26"/>
        <v>923.15817570341096</v>
      </c>
      <c r="N107" s="256">
        <f t="shared" si="26"/>
        <v>923.15817570341096</v>
      </c>
      <c r="O107" s="257">
        <f>SUM(C107:N107)</f>
        <v>11074.656698440931</v>
      </c>
      <c r="P107" s="122"/>
      <c r="Q107" s="122"/>
      <c r="R107" s="247"/>
      <c r="S107" s="247"/>
      <c r="T107" s="247"/>
      <c r="U107" s="247"/>
      <c r="V107" s="247"/>
      <c r="W107" s="247"/>
      <c r="BJ107" s="104"/>
    </row>
    <row r="108" spans="1:63" s="100" customFormat="1" ht="13" customHeight="1">
      <c r="A108" s="244"/>
      <c r="B108" s="245"/>
      <c r="C108" s="246"/>
      <c r="D108" s="246"/>
      <c r="E108" s="246"/>
      <c r="F108" s="246"/>
      <c r="G108" s="246"/>
      <c r="H108" s="246"/>
      <c r="I108" s="246"/>
      <c r="J108" s="246"/>
      <c r="K108" s="246"/>
      <c r="L108" s="246"/>
      <c r="M108" s="246"/>
      <c r="N108" s="246"/>
      <c r="O108" s="246"/>
      <c r="P108" s="122"/>
      <c r="Q108" s="122"/>
      <c r="R108" s="247"/>
      <c r="S108" s="247"/>
      <c r="T108" s="247"/>
      <c r="U108" s="247"/>
      <c r="V108" s="247"/>
      <c r="W108" s="247"/>
      <c r="BJ108" s="104"/>
    </row>
    <row r="109" spans="1:63" ht="13" customHeight="1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R109" s="123"/>
      <c r="S109" s="123"/>
      <c r="T109" s="123"/>
      <c r="U109" s="123"/>
      <c r="V109" s="123"/>
      <c r="W109" s="123"/>
      <c r="BD109" s="46" t="s">
        <v>144</v>
      </c>
      <c r="BE109" s="46" t="s">
        <v>144</v>
      </c>
    </row>
    <row r="110" spans="1:63" ht="13" customHeight="1">
      <c r="A110" s="123"/>
      <c r="B110" s="163" t="s">
        <v>145</v>
      </c>
      <c r="C110" s="123"/>
      <c r="D110" s="123"/>
      <c r="E110" s="125"/>
      <c r="F110" s="123"/>
      <c r="G110" s="123"/>
      <c r="H110" s="123"/>
      <c r="I110" s="123"/>
      <c r="J110" s="123"/>
      <c r="K110" s="123"/>
      <c r="L110" s="122"/>
      <c r="M110" s="122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AZ110" s="46" t="s">
        <v>144</v>
      </c>
      <c r="BA110" s="46" t="s">
        <v>144</v>
      </c>
    </row>
    <row r="111" spans="1:63" ht="13" customHeight="1">
      <c r="A111" s="123"/>
      <c r="B111" s="123"/>
      <c r="C111" s="258" t="s">
        <v>146</v>
      </c>
      <c r="D111" s="258" t="s">
        <v>147</v>
      </c>
      <c r="E111" s="258" t="s">
        <v>148</v>
      </c>
      <c r="F111" s="258" t="s">
        <v>149</v>
      </c>
      <c r="G111" s="258" t="s">
        <v>150</v>
      </c>
      <c r="H111" s="243"/>
      <c r="I111" s="123"/>
      <c r="J111" s="123"/>
      <c r="K111" s="123"/>
      <c r="L111" s="122"/>
      <c r="M111" s="122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AZ111" s="46" t="s">
        <v>144</v>
      </c>
      <c r="BA111" s="46" t="s">
        <v>144</v>
      </c>
    </row>
    <row r="112" spans="1:63" ht="13" customHeight="1">
      <c r="A112" s="123"/>
      <c r="B112" s="163" t="s">
        <v>151</v>
      </c>
      <c r="C112" s="259">
        <f>+CAM!R14</f>
        <v>0.20456461334682699</v>
      </c>
      <c r="D112" s="260">
        <f>+'Admin. Fee'!R15</f>
        <v>0</v>
      </c>
      <c r="E112" s="261">
        <f>+'RE Tax'!R14</f>
        <v>0.11522519215250492</v>
      </c>
      <c r="F112" s="259">
        <f>Ins.!R13</f>
        <v>0</v>
      </c>
      <c r="G112" s="259">
        <f>SUM(C112:F112)</f>
        <v>0.31978980549933189</v>
      </c>
      <c r="H112" s="262"/>
      <c r="I112" s="123"/>
      <c r="J112" s="123"/>
      <c r="K112" s="123"/>
      <c r="L112" s="122"/>
      <c r="M112" s="122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AZ112" s="46" t="s">
        <v>144</v>
      </c>
      <c r="BA112" s="46" t="s">
        <v>144</v>
      </c>
    </row>
    <row r="113" spans="1:63" ht="13" customHeight="1">
      <c r="A113" s="123"/>
      <c r="B113" s="163"/>
      <c r="C113" s="263"/>
      <c r="D113" s="264"/>
      <c r="E113" s="265"/>
      <c r="F113" s="263"/>
      <c r="G113" s="263"/>
      <c r="H113" s="262"/>
      <c r="I113" s="123"/>
      <c r="J113" s="123"/>
      <c r="K113" s="123"/>
      <c r="L113" s="122"/>
      <c r="M113" s="122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AZ113" s="46" t="s">
        <v>144</v>
      </c>
      <c r="BA113" s="46" t="s">
        <v>144</v>
      </c>
    </row>
    <row r="114" spans="1:63" ht="13" customHeight="1">
      <c r="A114" s="123"/>
      <c r="B114" s="123"/>
      <c r="C114" s="123"/>
      <c r="D114" s="123"/>
      <c r="E114" s="123"/>
      <c r="F114" s="123"/>
      <c r="G114" s="123"/>
      <c r="H114" s="123"/>
      <c r="I114" s="125"/>
      <c r="J114" s="123"/>
      <c r="K114" s="123"/>
      <c r="L114" s="123"/>
      <c r="M114" s="123"/>
      <c r="N114" s="123"/>
      <c r="O114" s="123"/>
      <c r="R114" s="123"/>
      <c r="S114" s="123"/>
      <c r="T114" s="123"/>
      <c r="U114" s="123"/>
      <c r="V114" s="123"/>
      <c r="W114" s="123"/>
      <c r="BD114" s="46" t="s">
        <v>144</v>
      </c>
      <c r="BE114" s="46" t="s">
        <v>144</v>
      </c>
    </row>
    <row r="115" spans="1:63" ht="13" customHeight="1">
      <c r="A115" s="123"/>
      <c r="B115" s="123"/>
      <c r="C115" s="123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R115" s="123"/>
      <c r="S115" s="123"/>
      <c r="T115" s="123"/>
      <c r="U115" s="123"/>
      <c r="V115" s="123"/>
      <c r="W115" s="123"/>
      <c r="BD115" s="46" t="s">
        <v>144</v>
      </c>
      <c r="BE115" s="46" t="s">
        <v>144</v>
      </c>
    </row>
    <row r="116" spans="1:63" ht="13" customHeight="1">
      <c r="A116" s="123"/>
      <c r="B116" s="123"/>
      <c r="C116" s="123"/>
      <c r="D116" s="123"/>
      <c r="E116" s="123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R116" s="123"/>
      <c r="S116" s="123"/>
      <c r="T116" s="123"/>
      <c r="U116" s="123"/>
      <c r="V116" s="123"/>
      <c r="W116" s="123"/>
    </row>
    <row r="117" spans="1:63" ht="13" customHeight="1">
      <c r="A117" s="123"/>
      <c r="B117" s="123"/>
      <c r="C117" s="123"/>
      <c r="D117" s="123"/>
      <c r="E117" s="123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R117" s="123"/>
      <c r="S117" s="123"/>
      <c r="T117" s="123"/>
      <c r="U117" s="123"/>
      <c r="V117" s="123"/>
      <c r="W117" s="123"/>
    </row>
    <row r="118" spans="1:63" ht="13" customHeight="1">
      <c r="A118" s="123"/>
      <c r="B118" s="123"/>
      <c r="C118" s="123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R118" s="123"/>
      <c r="S118" s="123"/>
      <c r="T118" s="123"/>
      <c r="U118" s="123"/>
      <c r="V118" s="123"/>
      <c r="W118" s="123"/>
    </row>
    <row r="119" spans="1:63" ht="13" customHeight="1">
      <c r="A119" s="123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R119" s="123"/>
      <c r="S119" s="123"/>
      <c r="T119" s="123"/>
      <c r="U119" s="123"/>
      <c r="V119" s="123"/>
      <c r="W119" s="123"/>
    </row>
    <row r="120" spans="1:63" ht="13" customHeight="1">
      <c r="A120" s="123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R120" s="123"/>
      <c r="S120" s="123"/>
      <c r="T120" s="123"/>
      <c r="U120" s="123"/>
      <c r="V120" s="123"/>
      <c r="W120" s="123"/>
      <c r="AW120" s="17"/>
    </row>
    <row r="121" spans="1:63" ht="13" customHeight="1">
      <c r="A121" s="123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R121" s="123"/>
      <c r="S121" s="123"/>
      <c r="T121" s="123"/>
      <c r="U121" s="123"/>
      <c r="V121" s="123"/>
      <c r="W121" s="123"/>
    </row>
    <row r="122" spans="1:63" ht="13" customHeight="1">
      <c r="A122" s="123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R122" s="123"/>
      <c r="S122" s="123"/>
      <c r="T122" s="123"/>
      <c r="U122" s="123"/>
      <c r="V122" s="123"/>
      <c r="W122" s="123"/>
    </row>
    <row r="123" spans="1:63" ht="13" customHeight="1">
      <c r="A123" s="123"/>
      <c r="B123" s="123"/>
      <c r="C123" s="123"/>
      <c r="D123" s="123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R123" s="123"/>
      <c r="S123" s="123"/>
      <c r="T123" s="123"/>
      <c r="U123" s="123"/>
      <c r="V123" s="123"/>
      <c r="W123" s="123"/>
    </row>
    <row r="124" spans="1:63">
      <c r="A124" s="123"/>
      <c r="B124" s="123"/>
      <c r="C124" s="123"/>
      <c r="D124" s="123"/>
      <c r="E124" s="123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R124" s="123"/>
      <c r="S124" s="123"/>
      <c r="T124" s="123"/>
      <c r="U124" s="123"/>
      <c r="V124" s="123"/>
      <c r="W124" s="123"/>
    </row>
    <row r="125" spans="1:63" ht="13" customHeight="1">
      <c r="A125" s="123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R125" s="123"/>
      <c r="S125" s="123"/>
      <c r="T125" s="123"/>
      <c r="U125" s="123"/>
      <c r="V125" s="123"/>
      <c r="W125" s="123"/>
      <c r="BK125" s="47" t="s">
        <v>144</v>
      </c>
    </row>
    <row r="126" spans="1:63" ht="13" customHeight="1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R126" s="123"/>
      <c r="S126" s="123"/>
      <c r="T126" s="123"/>
      <c r="U126" s="123"/>
      <c r="V126" s="123"/>
      <c r="W126" s="123"/>
      <c r="BK126" s="47" t="s">
        <v>144</v>
      </c>
    </row>
    <row r="127" spans="1:63" ht="13" customHeight="1">
      <c r="A127" s="123"/>
      <c r="B127" s="123"/>
      <c r="C127" s="123"/>
      <c r="D127" s="123"/>
      <c r="E127" s="123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R127" s="123"/>
      <c r="S127" s="123"/>
      <c r="T127" s="123"/>
      <c r="U127" s="123"/>
      <c r="V127" s="123"/>
      <c r="W127" s="123"/>
      <c r="BK127" s="36"/>
    </row>
    <row r="128" spans="1:63" ht="13" customHeight="1">
      <c r="A128" s="123"/>
      <c r="B128" s="123"/>
      <c r="C128" s="123"/>
      <c r="D128" s="123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R128" s="123"/>
      <c r="S128" s="123"/>
      <c r="T128" s="123"/>
      <c r="U128" s="123"/>
      <c r="V128" s="123"/>
      <c r="W128" s="123"/>
      <c r="BK128" s="36"/>
    </row>
    <row r="129" spans="1:63" ht="13" customHeight="1">
      <c r="A129" s="123"/>
      <c r="B129" s="123"/>
      <c r="C129" s="123"/>
      <c r="D129" s="123"/>
      <c r="E129" s="123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R129" s="123"/>
      <c r="S129" s="123"/>
      <c r="T129" s="123"/>
      <c r="U129" s="123"/>
      <c r="V129" s="123"/>
      <c r="W129" s="123"/>
      <c r="BK129" s="36"/>
    </row>
    <row r="130" spans="1:63" ht="13" customHeight="1">
      <c r="A130" s="123"/>
      <c r="B130" s="123"/>
      <c r="C130" s="123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R130" s="123"/>
      <c r="S130" s="123"/>
      <c r="T130" s="123"/>
      <c r="U130" s="123"/>
      <c r="V130" s="123"/>
      <c r="W130" s="123"/>
      <c r="BK130" s="36"/>
    </row>
    <row r="131" spans="1:63">
      <c r="A131" s="123"/>
      <c r="B131" s="123"/>
      <c r="C131" s="123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R131" s="123"/>
      <c r="S131" s="123"/>
      <c r="T131" s="123"/>
      <c r="U131" s="123"/>
      <c r="V131" s="123"/>
      <c r="W131" s="123"/>
    </row>
    <row r="132" spans="1:63">
      <c r="A132" s="123"/>
      <c r="B132" s="123"/>
      <c r="C132" s="123"/>
      <c r="D132" s="123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R132" s="123"/>
      <c r="S132" s="123"/>
      <c r="T132" s="123"/>
      <c r="U132" s="123"/>
      <c r="V132" s="123"/>
      <c r="W132" s="123"/>
    </row>
    <row r="133" spans="1:63">
      <c r="A133" s="123"/>
      <c r="B133" s="123"/>
      <c r="C133" s="123"/>
      <c r="D133" s="123"/>
      <c r="E133" s="123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R133" s="123"/>
      <c r="S133" s="123"/>
      <c r="T133" s="123"/>
      <c r="U133" s="123"/>
      <c r="V133" s="123"/>
      <c r="W133" s="123"/>
    </row>
    <row r="134" spans="1:63">
      <c r="A134" s="123"/>
      <c r="B134" s="123"/>
      <c r="C134" s="123"/>
      <c r="D134" s="123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R134" s="123"/>
      <c r="S134" s="123"/>
      <c r="T134" s="123"/>
      <c r="U134" s="123"/>
      <c r="V134" s="123"/>
      <c r="W134" s="123"/>
    </row>
    <row r="135" spans="1:63">
      <c r="A135" s="123"/>
      <c r="B135" s="123"/>
      <c r="C135" s="123"/>
      <c r="D135" s="123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R135" s="123"/>
      <c r="S135" s="123"/>
      <c r="T135" s="123"/>
      <c r="U135" s="123"/>
      <c r="V135" s="123"/>
      <c r="W135" s="123"/>
    </row>
    <row r="136" spans="1:63">
      <c r="A136" s="123"/>
      <c r="B136" s="123"/>
      <c r="C136" s="123"/>
      <c r="D136" s="123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R136" s="123"/>
      <c r="S136" s="123"/>
      <c r="T136" s="123"/>
      <c r="U136" s="123"/>
      <c r="V136" s="123"/>
      <c r="W136" s="123"/>
    </row>
    <row r="137" spans="1:63">
      <c r="A137" s="123"/>
      <c r="B137" s="123"/>
      <c r="C137" s="123"/>
      <c r="D137" s="123"/>
      <c r="E137" s="123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R137" s="123"/>
      <c r="S137" s="123"/>
      <c r="T137" s="123"/>
      <c r="U137" s="123"/>
      <c r="V137" s="123"/>
      <c r="W137" s="123"/>
    </row>
    <row r="138" spans="1:63">
      <c r="A138" s="123"/>
      <c r="B138" s="123"/>
      <c r="C138" s="123"/>
      <c r="D138" s="123"/>
      <c r="E138" s="123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R138" s="123"/>
      <c r="S138" s="123"/>
      <c r="T138" s="123"/>
      <c r="U138" s="123"/>
      <c r="V138" s="123"/>
      <c r="W138" s="123"/>
    </row>
    <row r="139" spans="1:63">
      <c r="A139" s="123"/>
      <c r="B139" s="123"/>
      <c r="C139" s="123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R139" s="123"/>
      <c r="S139" s="123"/>
      <c r="T139" s="123"/>
      <c r="U139" s="123"/>
      <c r="V139" s="123"/>
      <c r="W139" s="123"/>
    </row>
    <row r="140" spans="1:63">
      <c r="A140" s="123"/>
      <c r="B140" s="123"/>
      <c r="C140" s="123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R140" s="123"/>
      <c r="S140" s="123"/>
      <c r="T140" s="123"/>
      <c r="U140" s="123"/>
      <c r="V140" s="123"/>
      <c r="W140" s="123"/>
    </row>
    <row r="141" spans="1:63">
      <c r="A141" s="123"/>
      <c r="B141" s="123"/>
      <c r="C141" s="123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R141" s="123"/>
      <c r="S141" s="123"/>
      <c r="T141" s="123"/>
      <c r="U141" s="123"/>
      <c r="V141" s="123"/>
      <c r="W141" s="123"/>
    </row>
    <row r="142" spans="1:63">
      <c r="A142" s="123"/>
      <c r="B142" s="123"/>
      <c r="C142" s="123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R142" s="123"/>
      <c r="S142" s="123"/>
      <c r="T142" s="123"/>
      <c r="U142" s="123"/>
      <c r="V142" s="123"/>
      <c r="W142" s="123"/>
    </row>
    <row r="143" spans="1:63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R143" s="123"/>
      <c r="S143" s="123"/>
      <c r="T143" s="123"/>
      <c r="U143" s="123"/>
      <c r="V143" s="123"/>
      <c r="W143" s="123"/>
    </row>
    <row r="144" spans="1:63">
      <c r="A144" s="123"/>
      <c r="B144" s="123"/>
      <c r="C144" s="123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R144" s="123"/>
      <c r="S144" s="123"/>
      <c r="T144" s="123"/>
      <c r="U144" s="123"/>
      <c r="V144" s="123"/>
      <c r="W144" s="123"/>
    </row>
    <row r="145" spans="1:23">
      <c r="A145" s="123"/>
      <c r="B145" s="123"/>
      <c r="C145" s="123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R145" s="123"/>
      <c r="S145" s="123"/>
      <c r="T145" s="123"/>
      <c r="U145" s="123"/>
      <c r="V145" s="123"/>
      <c r="W145" s="123"/>
    </row>
    <row r="146" spans="1:23">
      <c r="A146" s="123"/>
      <c r="B146" s="123"/>
      <c r="C146" s="123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R146" s="123"/>
      <c r="S146" s="123"/>
      <c r="T146" s="123"/>
      <c r="U146" s="123"/>
      <c r="V146" s="123"/>
      <c r="W146" s="123"/>
    </row>
    <row r="147" spans="1:23">
      <c r="A147" s="123"/>
      <c r="B147" s="123"/>
      <c r="C147" s="123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R147" s="123"/>
      <c r="S147" s="123"/>
      <c r="T147" s="123"/>
      <c r="U147" s="123"/>
      <c r="V147" s="123"/>
      <c r="W147" s="123"/>
    </row>
    <row r="148" spans="1:23">
      <c r="A148" s="123"/>
      <c r="B148" s="123"/>
      <c r="C148" s="123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R148" s="123"/>
      <c r="S148" s="123"/>
      <c r="T148" s="123"/>
      <c r="U148" s="123"/>
      <c r="V148" s="123"/>
      <c r="W148" s="123"/>
    </row>
    <row r="149" spans="1:23">
      <c r="A149" s="123"/>
      <c r="B149" s="123"/>
      <c r="C149" s="123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R149" s="123"/>
      <c r="S149" s="123"/>
      <c r="T149" s="123"/>
      <c r="U149" s="123"/>
      <c r="V149" s="123"/>
      <c r="W149" s="123"/>
    </row>
    <row r="150" spans="1:23">
      <c r="A150" s="123"/>
      <c r="B150" s="123"/>
      <c r="C150" s="123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R150" s="123"/>
      <c r="S150" s="123"/>
      <c r="T150" s="123"/>
      <c r="U150" s="123"/>
      <c r="V150" s="123"/>
      <c r="W150" s="123"/>
    </row>
    <row r="151" spans="1:23">
      <c r="A151" s="123"/>
      <c r="B151" s="123"/>
      <c r="C151" s="123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R151" s="123"/>
      <c r="S151" s="123"/>
      <c r="T151" s="123"/>
      <c r="U151" s="123"/>
      <c r="V151" s="123"/>
      <c r="W151" s="123"/>
    </row>
    <row r="152" spans="1:23">
      <c r="A152" s="123"/>
      <c r="B152" s="123"/>
      <c r="C152" s="123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R152" s="123"/>
      <c r="S152" s="123"/>
      <c r="T152" s="123"/>
      <c r="U152" s="123"/>
      <c r="V152" s="123"/>
      <c r="W152" s="123"/>
    </row>
    <row r="153" spans="1:23">
      <c r="A153" s="123"/>
      <c r="B153" s="123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R153" s="123"/>
      <c r="S153" s="123"/>
      <c r="T153" s="123"/>
      <c r="U153" s="123"/>
      <c r="V153" s="123"/>
      <c r="W153" s="123"/>
    </row>
    <row r="154" spans="1:23">
      <c r="A154" s="123"/>
      <c r="B154" s="123"/>
      <c r="C154" s="123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R154" s="123"/>
      <c r="S154" s="123"/>
      <c r="T154" s="123"/>
      <c r="U154" s="123"/>
      <c r="V154" s="123"/>
      <c r="W154" s="123"/>
    </row>
    <row r="155" spans="1:23">
      <c r="A155" s="123"/>
      <c r="B155" s="123"/>
      <c r="C155" s="123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R155" s="123"/>
      <c r="S155" s="123"/>
      <c r="T155" s="123"/>
      <c r="U155" s="123"/>
      <c r="V155" s="123"/>
      <c r="W155" s="123"/>
    </row>
    <row r="156" spans="1:23">
      <c r="A156" s="123"/>
      <c r="B156" s="123"/>
      <c r="C156" s="123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R156" s="123"/>
      <c r="S156" s="123"/>
      <c r="T156" s="123"/>
      <c r="U156" s="123"/>
      <c r="V156" s="123"/>
      <c r="W156" s="123"/>
    </row>
    <row r="157" spans="1:23">
      <c r="A157" s="123"/>
      <c r="B157" s="123"/>
      <c r="C157" s="123"/>
      <c r="D157" s="123"/>
      <c r="E157" s="123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R157" s="123"/>
      <c r="S157" s="123"/>
      <c r="T157" s="123"/>
      <c r="U157" s="123"/>
      <c r="V157" s="123"/>
      <c r="W157" s="123"/>
    </row>
    <row r="158" spans="1:23">
      <c r="A158" s="123"/>
      <c r="B158" s="123"/>
      <c r="C158" s="123"/>
      <c r="D158" s="123"/>
      <c r="E158" s="123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R158" s="123"/>
      <c r="S158" s="123"/>
      <c r="T158" s="123"/>
      <c r="U158" s="123"/>
      <c r="V158" s="123"/>
      <c r="W158" s="123"/>
    </row>
    <row r="159" spans="1:23">
      <c r="A159" s="123"/>
      <c r="B159" s="123"/>
      <c r="C159" s="123"/>
      <c r="D159" s="123"/>
      <c r="E159" s="123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R159" s="123"/>
      <c r="S159" s="123"/>
      <c r="T159" s="123"/>
      <c r="U159" s="123"/>
      <c r="V159" s="123"/>
      <c r="W159" s="123"/>
    </row>
    <row r="160" spans="1:23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R160" s="123"/>
      <c r="S160" s="123"/>
      <c r="T160" s="123"/>
      <c r="U160" s="123"/>
      <c r="V160" s="123"/>
      <c r="W160" s="123"/>
    </row>
    <row r="161" spans="1:23">
      <c r="A161" s="123"/>
      <c r="B161" s="123"/>
      <c r="C161" s="123"/>
      <c r="D161" s="123"/>
      <c r="E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R161" s="123"/>
      <c r="S161" s="123"/>
      <c r="T161" s="123"/>
      <c r="U161" s="123"/>
      <c r="V161" s="123"/>
      <c r="W161" s="123"/>
    </row>
    <row r="162" spans="1:23">
      <c r="A162" s="123"/>
      <c r="B162" s="123"/>
      <c r="C162" s="123"/>
      <c r="D162" s="123"/>
      <c r="E162" s="123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R162" s="123"/>
      <c r="S162" s="123"/>
      <c r="T162" s="123"/>
      <c r="U162" s="123"/>
      <c r="V162" s="123"/>
      <c r="W162" s="123"/>
    </row>
    <row r="163" spans="1:23">
      <c r="A163" s="123"/>
      <c r="B163" s="123"/>
      <c r="C163" s="123"/>
      <c r="D163" s="123"/>
      <c r="E163" s="123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R163" s="123"/>
      <c r="S163" s="123"/>
      <c r="T163" s="123"/>
      <c r="U163" s="123"/>
      <c r="V163" s="123"/>
      <c r="W163" s="123"/>
    </row>
    <row r="164" spans="1:23">
      <c r="A164" s="123"/>
      <c r="B164" s="123"/>
      <c r="C164" s="123"/>
      <c r="D164" s="123"/>
      <c r="E164" s="123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R164" s="123"/>
      <c r="S164" s="123"/>
      <c r="T164" s="123"/>
      <c r="U164" s="123"/>
      <c r="V164" s="123"/>
      <c r="W164" s="123"/>
    </row>
    <row r="165" spans="1:23">
      <c r="A165" s="123"/>
      <c r="B165" s="123"/>
      <c r="C165" s="123"/>
      <c r="D165" s="123"/>
      <c r="E165" s="123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R165" s="123"/>
      <c r="S165" s="123"/>
      <c r="T165" s="123"/>
      <c r="U165" s="123"/>
      <c r="V165" s="123"/>
      <c r="W165" s="123"/>
    </row>
    <row r="166" spans="1:23">
      <c r="A166" s="123"/>
      <c r="B166" s="123"/>
      <c r="C166" s="123"/>
      <c r="D166" s="123"/>
      <c r="E166" s="123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R166" s="123"/>
      <c r="S166" s="123"/>
      <c r="T166" s="123"/>
      <c r="U166" s="123"/>
      <c r="V166" s="123"/>
      <c r="W166" s="123"/>
    </row>
    <row r="167" spans="1:23">
      <c r="A167" s="123"/>
      <c r="B167" s="123"/>
      <c r="C167" s="123"/>
      <c r="D167" s="123"/>
      <c r="E167" s="123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R167" s="123"/>
      <c r="S167" s="123"/>
      <c r="T167" s="123"/>
      <c r="U167" s="123"/>
      <c r="V167" s="123"/>
      <c r="W167" s="123"/>
    </row>
    <row r="168" spans="1:23">
      <c r="A168" s="123"/>
      <c r="B168" s="123"/>
      <c r="C168" s="123"/>
      <c r="D168" s="123"/>
      <c r="E168" s="123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R168" s="123"/>
      <c r="S168" s="123"/>
      <c r="T168" s="123"/>
      <c r="U168" s="123"/>
      <c r="V168" s="123"/>
      <c r="W168" s="123"/>
    </row>
    <row r="169" spans="1:23">
      <c r="A169" s="123"/>
      <c r="B169" s="123"/>
      <c r="C169" s="123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R169" s="123"/>
      <c r="S169" s="123"/>
      <c r="T169" s="123"/>
      <c r="U169" s="123"/>
      <c r="V169" s="123"/>
      <c r="W169" s="123"/>
    </row>
    <row r="170" spans="1:23">
      <c r="A170" s="123"/>
      <c r="B170" s="123"/>
      <c r="C170" s="123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R170" s="123"/>
      <c r="S170" s="123"/>
      <c r="T170" s="123"/>
      <c r="U170" s="123"/>
      <c r="V170" s="123"/>
      <c r="W170" s="123"/>
    </row>
    <row r="171" spans="1:23">
      <c r="A171" s="123"/>
      <c r="B171" s="123"/>
      <c r="C171" s="123"/>
      <c r="D171" s="123"/>
      <c r="E171" s="123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R171" s="123"/>
      <c r="S171" s="123"/>
      <c r="T171" s="123"/>
      <c r="U171" s="123"/>
      <c r="V171" s="123"/>
      <c r="W171" s="123"/>
    </row>
    <row r="172" spans="1:23">
      <c r="A172" s="123"/>
      <c r="B172" s="123"/>
      <c r="C172" s="123"/>
      <c r="D172" s="123"/>
      <c r="E172" s="123"/>
      <c r="F172" s="123"/>
      <c r="G172" s="123"/>
      <c r="H172" s="123"/>
      <c r="I172" s="123"/>
      <c r="J172" s="123"/>
      <c r="K172" s="123"/>
      <c r="L172" s="123"/>
      <c r="M172" s="123"/>
      <c r="N172" s="123"/>
      <c r="O172" s="123"/>
      <c r="R172" s="123"/>
      <c r="S172" s="123"/>
      <c r="T172" s="123"/>
      <c r="U172" s="123"/>
      <c r="V172" s="123"/>
      <c r="W172" s="123"/>
    </row>
    <row r="173" spans="1:23">
      <c r="A173" s="123"/>
      <c r="B173" s="123"/>
      <c r="C173" s="123"/>
      <c r="D173" s="123"/>
      <c r="E173" s="123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  <c r="R173" s="123"/>
      <c r="S173" s="123"/>
      <c r="T173" s="123"/>
      <c r="U173" s="123"/>
      <c r="V173" s="123"/>
      <c r="W173" s="123"/>
    </row>
    <row r="174" spans="1:23">
      <c r="A174" s="123"/>
      <c r="B174" s="123"/>
      <c r="C174" s="123"/>
      <c r="D174" s="123"/>
      <c r="E174" s="123"/>
      <c r="F174" s="123"/>
      <c r="G174" s="123"/>
      <c r="H174" s="123"/>
      <c r="I174" s="123"/>
      <c r="J174" s="123"/>
      <c r="K174" s="123"/>
      <c r="L174" s="123"/>
      <c r="M174" s="123"/>
      <c r="N174" s="123"/>
      <c r="O174" s="123"/>
      <c r="R174" s="123"/>
      <c r="S174" s="123"/>
      <c r="T174" s="123"/>
      <c r="U174" s="123"/>
      <c r="V174" s="123"/>
      <c r="W174" s="123"/>
    </row>
    <row r="175" spans="1:23">
      <c r="A175" s="123"/>
      <c r="B175" s="123"/>
      <c r="C175" s="123"/>
      <c r="D175" s="123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R175" s="123"/>
      <c r="S175" s="123"/>
      <c r="T175" s="123"/>
      <c r="U175" s="123"/>
      <c r="V175" s="123"/>
      <c r="W175" s="123"/>
    </row>
    <row r="176" spans="1:23">
      <c r="A176" s="123"/>
      <c r="B176" s="123"/>
      <c r="C176" s="123"/>
      <c r="D176" s="123"/>
      <c r="E176" s="123"/>
      <c r="F176" s="123"/>
      <c r="G176" s="123"/>
      <c r="H176" s="123"/>
      <c r="I176" s="123"/>
      <c r="J176" s="123"/>
      <c r="K176" s="123"/>
      <c r="L176" s="123"/>
      <c r="M176" s="123"/>
      <c r="N176" s="123"/>
      <c r="O176" s="123"/>
      <c r="R176" s="123"/>
      <c r="S176" s="123"/>
      <c r="T176" s="123"/>
      <c r="U176" s="123"/>
      <c r="V176" s="123"/>
      <c r="W176" s="123"/>
    </row>
    <row r="177" spans="1:23">
      <c r="A177" s="123"/>
      <c r="B177" s="123"/>
      <c r="C177" s="123"/>
      <c r="D177" s="123"/>
      <c r="E177" s="123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R177" s="123"/>
      <c r="S177" s="123"/>
      <c r="T177" s="123"/>
      <c r="U177" s="123"/>
      <c r="V177" s="123"/>
      <c r="W177" s="123"/>
    </row>
    <row r="178" spans="1:23">
      <c r="A178" s="123"/>
      <c r="B178" s="123"/>
      <c r="C178" s="123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R178" s="123"/>
      <c r="S178" s="123"/>
      <c r="T178" s="123"/>
      <c r="U178" s="123"/>
      <c r="V178" s="123"/>
      <c r="W178" s="123"/>
    </row>
    <row r="179" spans="1:23">
      <c r="A179" s="123"/>
      <c r="B179" s="123"/>
      <c r="C179" s="123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R179" s="123"/>
      <c r="S179" s="123"/>
      <c r="T179" s="123"/>
      <c r="U179" s="123"/>
      <c r="V179" s="123"/>
      <c r="W179" s="123"/>
    </row>
    <row r="180" spans="1:23">
      <c r="A180" s="123"/>
      <c r="B180" s="123"/>
      <c r="C180" s="123"/>
      <c r="D180" s="123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R180" s="123"/>
      <c r="S180" s="123"/>
      <c r="T180" s="123"/>
      <c r="U180" s="123"/>
      <c r="V180" s="123"/>
      <c r="W180" s="123"/>
    </row>
    <row r="181" spans="1:23">
      <c r="A181" s="123"/>
      <c r="B181" s="123"/>
      <c r="C181" s="123"/>
      <c r="D181" s="123"/>
      <c r="E181" s="123"/>
      <c r="F181" s="123"/>
      <c r="G181" s="123"/>
      <c r="H181" s="123"/>
      <c r="I181" s="123"/>
      <c r="J181" s="123"/>
      <c r="K181" s="123"/>
      <c r="L181" s="123"/>
      <c r="M181" s="123"/>
      <c r="N181" s="123"/>
      <c r="O181" s="123"/>
      <c r="R181" s="123"/>
      <c r="S181" s="123"/>
      <c r="T181" s="123"/>
      <c r="U181" s="123"/>
      <c r="V181" s="123"/>
      <c r="W181" s="123"/>
    </row>
    <row r="182" spans="1:23">
      <c r="A182" s="123"/>
      <c r="B182" s="123"/>
      <c r="C182" s="123"/>
      <c r="D182" s="123"/>
      <c r="E182" s="123"/>
      <c r="F182" s="123"/>
      <c r="G182" s="123"/>
      <c r="H182" s="123"/>
      <c r="I182" s="123"/>
      <c r="J182" s="123"/>
      <c r="K182" s="123"/>
      <c r="L182" s="123"/>
      <c r="M182" s="123"/>
      <c r="N182" s="123"/>
      <c r="O182" s="123"/>
      <c r="R182" s="123"/>
      <c r="S182" s="123"/>
      <c r="T182" s="123"/>
      <c r="U182" s="123"/>
      <c r="V182" s="123"/>
      <c r="W182" s="123"/>
    </row>
    <row r="183" spans="1:23">
      <c r="A183" s="123"/>
      <c r="B183" s="123"/>
      <c r="C183" s="123"/>
      <c r="D183" s="123"/>
      <c r="E183" s="123"/>
      <c r="F183" s="123"/>
      <c r="G183" s="123"/>
      <c r="H183" s="123"/>
      <c r="I183" s="123"/>
      <c r="J183" s="123"/>
      <c r="K183" s="123"/>
      <c r="L183" s="123"/>
      <c r="M183" s="123"/>
      <c r="N183" s="123"/>
      <c r="O183" s="123"/>
      <c r="R183" s="123"/>
      <c r="S183" s="123"/>
      <c r="T183" s="123"/>
      <c r="U183" s="123"/>
      <c r="V183" s="123"/>
      <c r="W183" s="123"/>
    </row>
    <row r="184" spans="1:23">
      <c r="A184" s="123"/>
      <c r="B184" s="123"/>
      <c r="C184" s="123"/>
      <c r="D184" s="123"/>
      <c r="E184" s="123"/>
      <c r="F184" s="123"/>
      <c r="G184" s="123"/>
      <c r="H184" s="123"/>
      <c r="I184" s="123"/>
      <c r="J184" s="123"/>
      <c r="K184" s="123"/>
      <c r="L184" s="123"/>
      <c r="M184" s="123"/>
      <c r="N184" s="123"/>
      <c r="O184" s="123"/>
      <c r="R184" s="123"/>
      <c r="S184" s="123"/>
      <c r="T184" s="123"/>
      <c r="U184" s="123"/>
      <c r="V184" s="123"/>
      <c r="W184" s="123"/>
    </row>
    <row r="185" spans="1:23">
      <c r="A185" s="123"/>
      <c r="B185" s="123"/>
      <c r="C185" s="123"/>
      <c r="D185" s="123"/>
      <c r="E185" s="123"/>
      <c r="F185" s="123"/>
      <c r="G185" s="123"/>
      <c r="H185" s="123"/>
      <c r="I185" s="123"/>
      <c r="J185" s="123"/>
      <c r="K185" s="123"/>
      <c r="L185" s="123"/>
      <c r="M185" s="123"/>
      <c r="N185" s="123"/>
      <c r="O185" s="123"/>
      <c r="R185" s="123"/>
      <c r="S185" s="123"/>
      <c r="T185" s="123"/>
      <c r="U185" s="123"/>
      <c r="V185" s="123"/>
      <c r="W185" s="123"/>
    </row>
    <row r="186" spans="1:23">
      <c r="A186" s="123"/>
      <c r="B186" s="123"/>
      <c r="C186" s="123"/>
      <c r="D186" s="123"/>
      <c r="E186" s="123"/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  <c r="R186" s="123"/>
      <c r="S186" s="123"/>
      <c r="T186" s="123"/>
      <c r="U186" s="123"/>
      <c r="V186" s="123"/>
      <c r="W186" s="123"/>
    </row>
    <row r="187" spans="1:23">
      <c r="A187" s="123"/>
      <c r="B187" s="123"/>
      <c r="C187" s="123"/>
      <c r="D187" s="123"/>
      <c r="E187" s="123"/>
      <c r="F187" s="123"/>
      <c r="G187" s="123"/>
      <c r="H187" s="123"/>
      <c r="I187" s="123"/>
      <c r="J187" s="123"/>
      <c r="K187" s="123"/>
      <c r="L187" s="123"/>
      <c r="M187" s="123"/>
      <c r="N187" s="123"/>
      <c r="O187" s="123"/>
      <c r="R187" s="123"/>
      <c r="S187" s="123"/>
      <c r="T187" s="123"/>
      <c r="U187" s="123"/>
      <c r="V187" s="123"/>
      <c r="W187" s="123"/>
    </row>
    <row r="188" spans="1:23">
      <c r="A188" s="123"/>
      <c r="B188" s="123"/>
      <c r="C188" s="123"/>
      <c r="D188" s="123"/>
      <c r="E188" s="123"/>
      <c r="F188" s="123"/>
      <c r="G188" s="123"/>
      <c r="H188" s="123"/>
      <c r="I188" s="123"/>
      <c r="J188" s="123"/>
      <c r="K188" s="123"/>
      <c r="L188" s="123"/>
      <c r="M188" s="123"/>
      <c r="N188" s="123"/>
      <c r="O188" s="123"/>
      <c r="R188" s="123"/>
      <c r="S188" s="123"/>
      <c r="T188" s="123"/>
      <c r="U188" s="123"/>
      <c r="V188" s="123"/>
      <c r="W188" s="123"/>
    </row>
    <row r="189" spans="1:23">
      <c r="A189" s="123"/>
      <c r="B189" s="123"/>
      <c r="C189" s="123"/>
      <c r="D189" s="123"/>
      <c r="E189" s="123"/>
      <c r="F189" s="123"/>
      <c r="G189" s="123"/>
      <c r="H189" s="123"/>
      <c r="I189" s="123"/>
      <c r="J189" s="123"/>
      <c r="K189" s="123"/>
      <c r="L189" s="123"/>
      <c r="M189" s="123"/>
      <c r="N189" s="123"/>
      <c r="O189" s="123"/>
      <c r="R189" s="123"/>
      <c r="S189" s="123"/>
      <c r="T189" s="123"/>
      <c r="U189" s="123"/>
      <c r="V189" s="123"/>
      <c r="W189" s="123"/>
    </row>
    <row r="190" spans="1:23">
      <c r="A190" s="123"/>
      <c r="B190" s="123"/>
      <c r="C190" s="123"/>
      <c r="D190" s="123"/>
      <c r="E190" s="123"/>
      <c r="F190" s="123"/>
      <c r="G190" s="123"/>
      <c r="H190" s="123"/>
      <c r="I190" s="123"/>
      <c r="J190" s="123"/>
      <c r="K190" s="123"/>
      <c r="L190" s="123"/>
      <c r="M190" s="123"/>
      <c r="N190" s="123"/>
      <c r="O190" s="123"/>
      <c r="R190" s="123"/>
      <c r="S190" s="123"/>
      <c r="T190" s="123"/>
      <c r="U190" s="123"/>
      <c r="V190" s="123"/>
      <c r="W190" s="123"/>
    </row>
  </sheetData>
  <customSheetViews>
    <customSheetView guid="{7691FA39-7EA9-407C-9567-49BEFD6339F8}" scale="75" showPageBreaks="1" printArea="1" showRuler="0">
      <pane ySplit="10" topLeftCell="A120"/>
      <selection activeCell="A9" sqref="A9"/>
      <rowBreaks count="4" manualBreakCount="4">
        <brk id="52" max="14" man="1"/>
        <brk id="96" max="14" man="1"/>
        <brk id="98" max="14" man="1"/>
        <brk id="126" max="16383" man="1"/>
      </rowBreaks>
      <pageMargins left="0" right="0" top="0" bottom="0" header="0" footer="0"/>
      <printOptions horizontalCentered="1"/>
      <pageSetup scale="74" orientation="landscape" useFirstPageNumber="1" horizontalDpi="4294967292" r:id="rId1"/>
      <headerFooter alignWithMargins="0">
        <oddFooter>Page &amp;P</oddFooter>
      </headerFooter>
    </customSheetView>
  </customSheetViews>
  <mergeCells count="24">
    <mergeCell ref="H8:H10"/>
    <mergeCell ref="S8:S10"/>
    <mergeCell ref="R8:R10"/>
    <mergeCell ref="Q8:Q10"/>
    <mergeCell ref="N8:N10"/>
    <mergeCell ref="M8:M10"/>
    <mergeCell ref="P8:P10"/>
    <mergeCell ref="O8:O10"/>
    <mergeCell ref="G8:G10"/>
    <mergeCell ref="C8:C10"/>
    <mergeCell ref="A8:A10"/>
    <mergeCell ref="A6:O6"/>
    <mergeCell ref="A2:O2"/>
    <mergeCell ref="A3:O3"/>
    <mergeCell ref="A4:O4"/>
    <mergeCell ref="A5:O5"/>
    <mergeCell ref="B8:B10"/>
    <mergeCell ref="D8:D10"/>
    <mergeCell ref="K8:K10"/>
    <mergeCell ref="J8:J10"/>
    <mergeCell ref="F8:F10"/>
    <mergeCell ref="E8:E10"/>
    <mergeCell ref="L8:L10"/>
    <mergeCell ref="I8:I10"/>
  </mergeCells>
  <phoneticPr fontId="5" type="noConversion"/>
  <printOptions horizontalCentered="1"/>
  <pageMargins left="0" right="0" top="0.5" bottom="0.7" header="0.5" footer="0.5"/>
  <pageSetup paperSize="3" scale="91" fitToHeight="0" orientation="landscape" useFirstPageNumber="1" horizontalDpi="4294967292" r:id="rId2"/>
  <headerFooter alignWithMargins="0">
    <oddFooter>Page &amp;P</oddFooter>
  </headerFooter>
  <rowBreaks count="2" manualBreakCount="2">
    <brk id="56" max="18" man="1"/>
    <brk id="104" max="18" man="1"/>
  </rowBreaks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7236C-9D5B-40E7-95A9-4CDE4D758E76}">
  <sheetPr>
    <pageSetUpPr fitToPage="1"/>
  </sheetPr>
  <dimension ref="A1:V31"/>
  <sheetViews>
    <sheetView zoomScale="70" zoomScaleNormal="70" workbookViewId="0">
      <selection activeCell="I15" sqref="I15"/>
    </sheetView>
  </sheetViews>
  <sheetFormatPr defaultColWidth="9.1796875" defaultRowHeight="12.5"/>
  <cols>
    <col min="1" max="1" width="27.7265625" style="6" bestFit="1" customWidth="1"/>
    <col min="2" max="2" width="8.81640625" style="6" bestFit="1" customWidth="1"/>
    <col min="3" max="3" width="8.1796875" style="6" bestFit="1" customWidth="1"/>
    <col min="4" max="4" width="7.26953125" style="6" bestFit="1" customWidth="1"/>
    <col min="5" max="6" width="12.453125" style="6" bestFit="1" customWidth="1"/>
    <col min="7" max="7" width="12.81640625" style="6" bestFit="1" customWidth="1"/>
    <col min="8" max="16" width="12.453125" style="6" bestFit="1" customWidth="1"/>
    <col min="17" max="17" width="12.81640625" style="6" bestFit="1" customWidth="1"/>
    <col min="18" max="18" width="7.26953125" style="6" bestFit="1" customWidth="1"/>
    <col min="19" max="19" width="6.81640625" style="6" bestFit="1" customWidth="1"/>
    <col min="20" max="20" width="91.54296875" style="6" bestFit="1" customWidth="1"/>
    <col min="21" max="16384" width="9.1796875" style="6"/>
  </cols>
  <sheetData>
    <row r="1" spans="1:22" ht="14.5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42"/>
      <c r="Q1" s="217"/>
      <c r="R1" s="123"/>
      <c r="S1" s="123"/>
      <c r="T1" s="123"/>
      <c r="U1" s="123"/>
      <c r="V1" s="123"/>
    </row>
    <row r="2" spans="1:22" ht="14.5">
      <c r="A2" s="471" t="str">
        <f>Summary!$A2</f>
        <v>ATHENA PROPERTY MANAGEMENT</v>
      </c>
      <c r="B2" s="471"/>
      <c r="C2" s="471"/>
      <c r="D2" s="471"/>
      <c r="E2" s="471"/>
      <c r="F2" s="471"/>
      <c r="G2" s="471"/>
      <c r="H2" s="471"/>
      <c r="I2" s="471"/>
      <c r="J2" s="471"/>
      <c r="K2" s="471"/>
      <c r="L2" s="471"/>
      <c r="M2" s="471"/>
      <c r="N2" s="471"/>
      <c r="O2" s="471"/>
      <c r="P2" s="471"/>
      <c r="Q2" s="471"/>
      <c r="R2" s="123"/>
      <c r="S2" s="123"/>
      <c r="T2" s="123"/>
      <c r="U2" s="123"/>
      <c r="V2" s="123"/>
    </row>
    <row r="3" spans="1:22" ht="14.5">
      <c r="A3" s="471" t="str">
        <f>Summary!$A3</f>
        <v>Goodyear Arizona Big Lots</v>
      </c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  <c r="N3" s="471"/>
      <c r="O3" s="471"/>
      <c r="P3" s="471"/>
      <c r="Q3" s="471"/>
      <c r="R3" s="123"/>
      <c r="S3" s="123"/>
      <c r="T3" s="123"/>
      <c r="U3" s="123"/>
      <c r="V3" s="123"/>
    </row>
    <row r="4" spans="1:22" ht="14.5">
      <c r="A4" s="471"/>
      <c r="B4" s="471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471"/>
      <c r="N4" s="471"/>
      <c r="O4" s="471"/>
      <c r="P4" s="471"/>
      <c r="Q4" s="471"/>
      <c r="R4" s="123"/>
      <c r="S4" s="123"/>
      <c r="T4" s="123"/>
      <c r="U4" s="123"/>
      <c r="V4" s="123"/>
    </row>
    <row r="5" spans="1:22" ht="14.5">
      <c r="A5" s="471" t="str">
        <f>Summary!$A5</f>
        <v>01/01/2026  TO   12/31/2026</v>
      </c>
      <c r="B5" s="471"/>
      <c r="C5" s="471"/>
      <c r="D5" s="471"/>
      <c r="E5" s="471"/>
      <c r="F5" s="471"/>
      <c r="G5" s="471"/>
      <c r="H5" s="471"/>
      <c r="I5" s="471"/>
      <c r="J5" s="471"/>
      <c r="K5" s="471"/>
      <c r="L5" s="471"/>
      <c r="M5" s="471"/>
      <c r="N5" s="471"/>
      <c r="O5" s="471"/>
      <c r="P5" s="471"/>
      <c r="Q5" s="471"/>
      <c r="R5" s="123"/>
      <c r="S5" s="123"/>
      <c r="T5" s="123"/>
      <c r="U5" s="123"/>
      <c r="V5" s="123"/>
    </row>
    <row r="6" spans="1:22" ht="14.5">
      <c r="A6" s="471" t="str">
        <f>Summary!$A6</f>
        <v>2026 OPERATING BUDGET</v>
      </c>
      <c r="B6" s="471"/>
      <c r="C6" s="471"/>
      <c r="D6" s="471"/>
      <c r="E6" s="471"/>
      <c r="F6" s="471"/>
      <c r="G6" s="471"/>
      <c r="H6" s="471"/>
      <c r="I6" s="471"/>
      <c r="J6" s="471"/>
      <c r="K6" s="471"/>
      <c r="L6" s="471"/>
      <c r="M6" s="471"/>
      <c r="N6" s="471"/>
      <c r="O6" s="471"/>
      <c r="P6" s="471"/>
      <c r="Q6" s="471"/>
      <c r="R6" s="123"/>
      <c r="S6" s="123"/>
      <c r="T6" s="123"/>
      <c r="U6" s="123"/>
      <c r="V6" s="123"/>
    </row>
    <row r="7" spans="1:22" ht="14.5">
      <c r="A7" s="123"/>
      <c r="B7" s="123"/>
      <c r="C7" s="123"/>
      <c r="D7" s="123"/>
      <c r="E7" s="123"/>
      <c r="F7" s="123"/>
      <c r="G7" s="123"/>
      <c r="H7" s="218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</row>
    <row r="8" spans="1:22" ht="14.5">
      <c r="A8" s="219"/>
      <c r="B8" s="219"/>
      <c r="C8" s="231"/>
      <c r="D8" s="219"/>
      <c r="E8" s="219"/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219"/>
      <c r="R8" s="123"/>
      <c r="S8" s="123"/>
      <c r="T8" s="123"/>
      <c r="U8" s="123"/>
      <c r="V8" s="123"/>
    </row>
    <row r="9" spans="1:22" ht="14.5">
      <c r="A9" s="222" t="s">
        <v>152</v>
      </c>
      <c r="B9" s="222" t="s">
        <v>153</v>
      </c>
      <c r="C9" s="222" t="s">
        <v>154</v>
      </c>
      <c r="D9" s="222" t="s">
        <v>155</v>
      </c>
      <c r="E9" s="222" t="s">
        <v>39</v>
      </c>
      <c r="F9" s="222" t="s">
        <v>40</v>
      </c>
      <c r="G9" s="222" t="s">
        <v>3</v>
      </c>
      <c r="H9" s="222" t="s">
        <v>4</v>
      </c>
      <c r="I9" s="222" t="s">
        <v>5</v>
      </c>
      <c r="J9" s="222" t="s">
        <v>6</v>
      </c>
      <c r="K9" s="222" t="s">
        <v>7</v>
      </c>
      <c r="L9" s="222" t="s">
        <v>8</v>
      </c>
      <c r="M9" s="222" t="s">
        <v>41</v>
      </c>
      <c r="N9" s="222" t="s">
        <v>42</v>
      </c>
      <c r="O9" s="222" t="s">
        <v>43</v>
      </c>
      <c r="P9" s="222" t="s">
        <v>44</v>
      </c>
      <c r="Q9" s="222" t="s">
        <v>156</v>
      </c>
      <c r="R9" s="222" t="s">
        <v>157</v>
      </c>
      <c r="S9" s="222" t="s">
        <v>158</v>
      </c>
      <c r="T9" s="123"/>
      <c r="U9" s="123"/>
      <c r="V9" s="123"/>
    </row>
    <row r="10" spans="1:22" ht="14.5">
      <c r="A10" s="224"/>
      <c r="B10" s="225" t="s">
        <v>159</v>
      </c>
      <c r="C10" s="225" t="s">
        <v>160</v>
      </c>
      <c r="D10" s="224"/>
      <c r="E10" s="224"/>
      <c r="F10" s="224"/>
      <c r="G10" s="224"/>
      <c r="H10" s="224"/>
      <c r="I10" s="224"/>
      <c r="J10" s="224"/>
      <c r="K10" s="224"/>
      <c r="L10" s="224"/>
      <c r="M10" s="224"/>
      <c r="N10" s="224"/>
      <c r="O10" s="224"/>
      <c r="P10" s="224"/>
      <c r="Q10" s="224"/>
      <c r="R10" s="123"/>
      <c r="S10" s="123"/>
      <c r="T10" s="123"/>
      <c r="U10" s="123"/>
      <c r="V10" s="123"/>
    </row>
    <row r="11" spans="1:22" ht="14.5">
      <c r="A11" s="163"/>
      <c r="B11" s="123"/>
      <c r="C11" s="232"/>
      <c r="D11" s="233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123"/>
      <c r="S11" s="123"/>
      <c r="T11" s="123"/>
      <c r="U11" s="123"/>
      <c r="V11" s="123"/>
    </row>
    <row r="12" spans="1:22" ht="14.5">
      <c r="A12" s="227" t="s">
        <v>161</v>
      </c>
      <c r="B12" s="123"/>
      <c r="C12" s="232"/>
      <c r="D12" s="233"/>
      <c r="E12" s="234"/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P12" s="234"/>
      <c r="Q12" s="234"/>
      <c r="R12" s="123"/>
      <c r="S12" s="123"/>
      <c r="T12" s="163"/>
      <c r="U12" s="123"/>
      <c r="V12" s="123"/>
    </row>
    <row r="13" spans="1:22" ht="14.5">
      <c r="A13" s="297" t="s">
        <v>18</v>
      </c>
      <c r="B13" s="124" t="s">
        <v>162</v>
      </c>
      <c r="C13" s="125">
        <f>27500+659</f>
        <v>28159</v>
      </c>
      <c r="D13" s="266">
        <f>E13*12/C13</f>
        <v>0</v>
      </c>
      <c r="E13" s="266">
        <v>0</v>
      </c>
      <c r="F13" s="266">
        <v>0</v>
      </c>
      <c r="G13" s="266">
        <v>0</v>
      </c>
      <c r="H13" s="266">
        <v>0</v>
      </c>
      <c r="I13" s="266">
        <v>0</v>
      </c>
      <c r="J13" s="266">
        <v>0</v>
      </c>
      <c r="K13" s="266">
        <v>0</v>
      </c>
      <c r="L13" s="266">
        <v>0</v>
      </c>
      <c r="M13" s="266">
        <v>0</v>
      </c>
      <c r="N13" s="266">
        <v>0</v>
      </c>
      <c r="O13" s="266">
        <v>0</v>
      </c>
      <c r="P13" s="266">
        <v>0</v>
      </c>
      <c r="Q13" s="128">
        <f>SUM(E13:P13)</f>
        <v>0</v>
      </c>
      <c r="R13" s="129">
        <f>Q13/C13</f>
        <v>0</v>
      </c>
      <c r="S13" s="129">
        <f>R13/12</f>
        <v>0</v>
      </c>
      <c r="T13" s="230"/>
      <c r="U13" s="123"/>
      <c r="V13" s="123"/>
    </row>
    <row r="14" spans="1:22" ht="14.5">
      <c r="A14" s="123" t="s">
        <v>19</v>
      </c>
      <c r="B14" s="124" t="s">
        <v>163</v>
      </c>
      <c r="C14" s="125">
        <v>22235</v>
      </c>
      <c r="D14" s="266">
        <f>E14*12/C14</f>
        <v>10.999998201034407</v>
      </c>
      <c r="E14" s="266">
        <v>20382.080000000002</v>
      </c>
      <c r="F14" s="266">
        <v>20382.080000000002</v>
      </c>
      <c r="G14" s="266">
        <v>20382.080000000002</v>
      </c>
      <c r="H14" s="266">
        <v>20382.080000000002</v>
      </c>
      <c r="I14" s="266">
        <v>20382.080000000002</v>
      </c>
      <c r="J14" s="266">
        <v>20382.080000000002</v>
      </c>
      <c r="K14" s="266">
        <v>20382.080000000002</v>
      </c>
      <c r="L14" s="266">
        <v>20382.080000000002</v>
      </c>
      <c r="M14" s="266">
        <v>20382.080000000002</v>
      </c>
      <c r="N14" s="266">
        <v>20382.080000000002</v>
      </c>
      <c r="O14" s="266">
        <v>20382.080000000002</v>
      </c>
      <c r="P14" s="266">
        <v>20382.080000000002</v>
      </c>
      <c r="Q14" s="128">
        <f>SUM(E14:P14)</f>
        <v>244584.96000000008</v>
      </c>
      <c r="R14" s="129">
        <f>Q14/C14</f>
        <v>10.999998201034408</v>
      </c>
      <c r="S14" s="129">
        <f>R14/12</f>
        <v>0.91666651675286737</v>
      </c>
      <c r="T14" s="230" t="s">
        <v>164</v>
      </c>
      <c r="U14" s="123"/>
      <c r="V14" s="123"/>
    </row>
    <row r="15" spans="1:22" ht="14.5">
      <c r="A15" s="123" t="s">
        <v>20</v>
      </c>
      <c r="B15" s="124" t="s">
        <v>165</v>
      </c>
      <c r="C15" s="125">
        <v>0</v>
      </c>
      <c r="D15" s="266">
        <v>0</v>
      </c>
      <c r="E15" s="266">
        <v>1748.36</v>
      </c>
      <c r="F15" s="266">
        <f>E15</f>
        <v>1748.36</v>
      </c>
      <c r="G15" s="266">
        <v>1800.81</v>
      </c>
      <c r="H15" s="266">
        <f>G15</f>
        <v>1800.81</v>
      </c>
      <c r="I15" s="266">
        <f t="shared" ref="I15:O15" si="0">H15</f>
        <v>1800.81</v>
      </c>
      <c r="J15" s="266">
        <f t="shared" si="0"/>
        <v>1800.81</v>
      </c>
      <c r="K15" s="266">
        <f t="shared" si="0"/>
        <v>1800.81</v>
      </c>
      <c r="L15" s="266">
        <f t="shared" si="0"/>
        <v>1800.81</v>
      </c>
      <c r="M15" s="266">
        <f t="shared" si="0"/>
        <v>1800.81</v>
      </c>
      <c r="N15" s="266">
        <f t="shared" si="0"/>
        <v>1800.81</v>
      </c>
      <c r="O15" s="266">
        <f t="shared" si="0"/>
        <v>1800.81</v>
      </c>
      <c r="P15" s="266">
        <f>O15</f>
        <v>1800.81</v>
      </c>
      <c r="Q15" s="128">
        <f>SUM(E15:P15)</f>
        <v>21504.82</v>
      </c>
      <c r="R15" s="123"/>
      <c r="S15" s="123"/>
      <c r="T15" s="230" t="s">
        <v>166</v>
      </c>
      <c r="U15" s="123"/>
      <c r="V15" s="123"/>
    </row>
    <row r="16" spans="1:22" ht="14.5">
      <c r="A16" s="123"/>
      <c r="B16" s="124"/>
      <c r="C16" s="125"/>
      <c r="D16" s="266"/>
      <c r="E16" s="266"/>
      <c r="F16" s="266"/>
      <c r="G16" s="266"/>
      <c r="H16" s="266"/>
      <c r="I16" s="266"/>
      <c r="J16" s="266"/>
      <c r="K16" s="267"/>
      <c r="L16" s="266"/>
      <c r="M16" s="266"/>
      <c r="N16" s="266"/>
      <c r="O16" s="266"/>
      <c r="P16" s="266"/>
      <c r="Q16" s="128">
        <f>SUM(E16:P16)</f>
        <v>0</v>
      </c>
      <c r="R16" s="241"/>
      <c r="S16" s="123"/>
      <c r="T16" s="163"/>
      <c r="U16" s="123"/>
      <c r="V16" s="123"/>
    </row>
    <row r="17" spans="1:22" ht="14.5">
      <c r="A17" s="243"/>
      <c r="B17" s="123"/>
      <c r="C17" s="125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3"/>
      <c r="S17" s="123"/>
      <c r="T17" s="163"/>
      <c r="U17" s="123"/>
      <c r="V17" s="123"/>
    </row>
    <row r="18" spans="1:22" ht="14.5">
      <c r="A18" s="123"/>
      <c r="B18" s="123"/>
      <c r="C18" s="125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3"/>
      <c r="S18" s="123"/>
      <c r="T18" s="163"/>
      <c r="U18" s="123"/>
      <c r="V18" s="123"/>
    </row>
    <row r="19" spans="1:22" ht="14.5">
      <c r="A19" s="132"/>
      <c r="B19" s="133"/>
      <c r="C19" s="134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6"/>
      <c r="R19" s="123"/>
      <c r="S19" s="123"/>
      <c r="T19" s="163"/>
      <c r="U19" s="123"/>
      <c r="V19" s="123"/>
    </row>
    <row r="20" spans="1:22" ht="48.75" customHeight="1">
      <c r="A20" s="359" t="s">
        <v>167</v>
      </c>
      <c r="B20" s="360"/>
      <c r="C20" s="361">
        <f>SUM(C13:C19)</f>
        <v>50394</v>
      </c>
      <c r="D20" s="362"/>
      <c r="E20" s="362">
        <f>SUM(E13:E19)</f>
        <v>22130.440000000002</v>
      </c>
      <c r="F20" s="362">
        <f t="shared" ref="F20:P20" si="1">SUM(F13:F19)</f>
        <v>22130.440000000002</v>
      </c>
      <c r="G20" s="362">
        <f t="shared" si="1"/>
        <v>22182.890000000003</v>
      </c>
      <c r="H20" s="362">
        <f t="shared" si="1"/>
        <v>22182.890000000003</v>
      </c>
      <c r="I20" s="362">
        <f t="shared" si="1"/>
        <v>22182.890000000003</v>
      </c>
      <c r="J20" s="362">
        <f t="shared" si="1"/>
        <v>22182.890000000003</v>
      </c>
      <c r="K20" s="362">
        <f t="shared" si="1"/>
        <v>22182.890000000003</v>
      </c>
      <c r="L20" s="362">
        <f t="shared" si="1"/>
        <v>22182.890000000003</v>
      </c>
      <c r="M20" s="362">
        <f t="shared" si="1"/>
        <v>22182.890000000003</v>
      </c>
      <c r="N20" s="362">
        <f t="shared" si="1"/>
        <v>22182.890000000003</v>
      </c>
      <c r="O20" s="362">
        <f t="shared" si="1"/>
        <v>22182.890000000003</v>
      </c>
      <c r="P20" s="362">
        <f t="shared" si="1"/>
        <v>22182.890000000003</v>
      </c>
      <c r="Q20" s="363">
        <f>SUM(E20:P20)</f>
        <v>266089.78000000009</v>
      </c>
      <c r="R20" s="123"/>
      <c r="S20" s="123"/>
      <c r="T20" s="163"/>
      <c r="U20" s="123"/>
      <c r="V20" s="123"/>
    </row>
    <row r="21" spans="1:22" ht="14.5">
      <c r="A21" s="138"/>
      <c r="B21" s="139"/>
      <c r="C21" s="139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1"/>
      <c r="R21" s="123"/>
      <c r="S21" s="123"/>
      <c r="T21" s="163"/>
      <c r="U21" s="123"/>
      <c r="V21" s="123"/>
    </row>
    <row r="22" spans="1:22" ht="14.5">
      <c r="A22" s="123"/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297"/>
      <c r="U22" s="123"/>
      <c r="V22" s="123"/>
    </row>
    <row r="23" spans="1:22" ht="14.5">
      <c r="A23" s="123"/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</row>
    <row r="24" spans="1:22" ht="14.5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</row>
    <row r="25" spans="1:22" ht="14.5">
      <c r="A25" s="123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</row>
    <row r="26" spans="1:22" ht="14.5">
      <c r="A26" s="123"/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</row>
    <row r="27" spans="1:22" ht="14.5">
      <c r="A27" s="123"/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</row>
    <row r="28" spans="1:22" ht="14.5">
      <c r="A28" s="123"/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</row>
    <row r="31" spans="1:22">
      <c r="E31"/>
    </row>
  </sheetData>
  <customSheetViews>
    <customSheetView guid="{7691FA39-7EA9-407C-9567-49BEFD6339F8}" scale="75" showPageBreaks="1" fitToPage="1" showRuler="0">
      <selection sqref="A1:IV65536"/>
      <pageMargins left="0" right="0" top="0" bottom="0" header="0" footer="0"/>
      <printOptions horizontalCentered="1"/>
      <pageSetup scale="72" firstPageNumber="5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Q6"/>
    <mergeCell ref="A2:Q2"/>
    <mergeCell ref="A3:Q3"/>
    <mergeCell ref="A4:Q4"/>
    <mergeCell ref="A5:Q5"/>
  </mergeCells>
  <phoneticPr fontId="5" type="noConversion"/>
  <printOptions horizontalCentered="1"/>
  <pageMargins left="0.5" right="0.5" top="0.5" bottom="0.75" header="0.5" footer="0.5"/>
  <pageSetup paperSize="3" scale="88" firstPageNumber="3" orientation="landscape" useFirstPageNumber="1" r:id="rId2"/>
  <headerFooter alignWithMargins="0">
    <oddFooter>Page &amp;P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694A7-839F-405C-8CF2-24F2FFD9F134}">
  <sheetPr>
    <pageSetUpPr fitToPage="1"/>
  </sheetPr>
  <dimension ref="A1:X73"/>
  <sheetViews>
    <sheetView topLeftCell="A6" zoomScale="75" zoomScaleNormal="75" workbookViewId="0">
      <selection activeCell="G14" sqref="G14"/>
    </sheetView>
  </sheetViews>
  <sheetFormatPr defaultRowHeight="12.5"/>
  <cols>
    <col min="1" max="1" width="49.453125" bestFit="1" customWidth="1"/>
    <col min="2" max="2" width="15.54296875" customWidth="1"/>
    <col min="3" max="3" width="13.26953125" customWidth="1"/>
    <col min="4" max="4" width="14.7265625" customWidth="1"/>
    <col min="5" max="5" width="11.54296875" customWidth="1"/>
    <col min="6" max="6" width="12.7265625" customWidth="1"/>
    <col min="7" max="7" width="12.26953125" customWidth="1"/>
    <col min="8" max="8" width="11.7265625" customWidth="1"/>
    <col min="9" max="10" width="12.26953125" customWidth="1"/>
    <col min="11" max="11" width="12.7265625" customWidth="1"/>
    <col min="12" max="12" width="12.54296875" customWidth="1"/>
    <col min="13" max="14" width="12.81640625" customWidth="1"/>
    <col min="15" max="15" width="12.54296875" customWidth="1"/>
    <col min="16" max="16" width="13.7265625" customWidth="1"/>
    <col min="17" max="17" width="15" customWidth="1"/>
  </cols>
  <sheetData>
    <row r="1" spans="1:24" ht="14.5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42"/>
      <c r="Q1" s="217"/>
      <c r="R1" s="123"/>
      <c r="S1" s="123"/>
      <c r="T1" s="123"/>
      <c r="U1" s="123"/>
      <c r="V1" s="123"/>
      <c r="W1" s="123"/>
      <c r="X1" s="123"/>
    </row>
    <row r="2" spans="1:24" ht="14.5">
      <c r="A2" s="471" t="str">
        <f>Summary!$A2</f>
        <v>ATHENA PROPERTY MANAGEMENT</v>
      </c>
      <c r="B2" s="471"/>
      <c r="C2" s="471"/>
      <c r="D2" s="471"/>
      <c r="E2" s="471"/>
      <c r="F2" s="471"/>
      <c r="G2" s="471"/>
      <c r="H2" s="471"/>
      <c r="I2" s="471"/>
      <c r="J2" s="471"/>
      <c r="K2" s="471"/>
      <c r="L2" s="471"/>
      <c r="M2" s="471"/>
      <c r="N2" s="471"/>
      <c r="O2" s="471"/>
      <c r="P2" s="471"/>
      <c r="Q2" s="471"/>
      <c r="R2" s="123"/>
      <c r="S2" s="123"/>
      <c r="T2" s="123"/>
      <c r="U2" s="123"/>
      <c r="V2" s="123"/>
      <c r="W2" s="123"/>
      <c r="X2" s="123"/>
    </row>
    <row r="3" spans="1:24" ht="14.5">
      <c r="A3" s="471" t="str">
        <f>Summary!$A3</f>
        <v>Goodyear Arizona Big Lots</v>
      </c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  <c r="N3" s="471"/>
      <c r="O3" s="471"/>
      <c r="P3" s="471"/>
      <c r="Q3" s="471"/>
      <c r="R3" s="123"/>
      <c r="S3" s="123"/>
      <c r="T3" s="123"/>
      <c r="U3" s="123"/>
      <c r="V3" s="123"/>
      <c r="W3" s="123"/>
      <c r="X3" s="123"/>
    </row>
    <row r="4" spans="1:24" ht="14.5">
      <c r="A4" s="471"/>
      <c r="B4" s="471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471"/>
      <c r="N4" s="471"/>
      <c r="O4" s="471"/>
      <c r="P4" s="471"/>
      <c r="Q4" s="471"/>
      <c r="R4" s="123"/>
      <c r="S4" s="123"/>
      <c r="T4" s="123"/>
      <c r="U4" s="123"/>
      <c r="V4" s="123"/>
      <c r="W4" s="123"/>
      <c r="X4" s="123"/>
    </row>
    <row r="5" spans="1:24" ht="14.5">
      <c r="A5" s="471" t="str">
        <f>Summary!$A5</f>
        <v>01/01/2026  TO   12/31/2026</v>
      </c>
      <c r="B5" s="471"/>
      <c r="C5" s="471"/>
      <c r="D5" s="471"/>
      <c r="E5" s="471"/>
      <c r="F5" s="471"/>
      <c r="G5" s="471"/>
      <c r="H5" s="471"/>
      <c r="I5" s="471"/>
      <c r="J5" s="471"/>
      <c r="K5" s="471"/>
      <c r="L5" s="471"/>
      <c r="M5" s="471"/>
      <c r="N5" s="471"/>
      <c r="O5" s="471"/>
      <c r="P5" s="471"/>
      <c r="Q5" s="471"/>
      <c r="R5" s="123"/>
      <c r="S5" s="123"/>
      <c r="T5" s="123"/>
      <c r="U5" s="123"/>
      <c r="V5" s="123"/>
      <c r="W5" s="123"/>
      <c r="X5" s="123"/>
    </row>
    <row r="6" spans="1:24" ht="14.5">
      <c r="A6" s="471" t="str">
        <f>Summary!$A6</f>
        <v>2026 OPERATING BUDGET</v>
      </c>
      <c r="B6" s="471"/>
      <c r="C6" s="471"/>
      <c r="D6" s="471"/>
      <c r="E6" s="471"/>
      <c r="F6" s="471"/>
      <c r="G6" s="471"/>
      <c r="H6" s="471"/>
      <c r="I6" s="471"/>
      <c r="J6" s="471"/>
      <c r="K6" s="471"/>
      <c r="L6" s="471"/>
      <c r="M6" s="471"/>
      <c r="N6" s="471"/>
      <c r="O6" s="471"/>
      <c r="P6" s="471"/>
      <c r="Q6" s="471"/>
      <c r="R6" s="123"/>
      <c r="S6" s="123"/>
      <c r="T6" s="123"/>
      <c r="U6" s="123"/>
      <c r="V6" s="123"/>
      <c r="W6" s="123"/>
      <c r="X6" s="123"/>
    </row>
    <row r="7" spans="1:24" ht="14.5">
      <c r="A7" s="123"/>
      <c r="B7" s="123"/>
      <c r="C7" s="123"/>
      <c r="D7" s="123"/>
      <c r="E7" s="123"/>
      <c r="F7" s="123"/>
      <c r="G7" s="123"/>
      <c r="H7" s="218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</row>
    <row r="8" spans="1:24" ht="14.5">
      <c r="A8" s="219"/>
      <c r="B8" s="219"/>
      <c r="C8" s="220"/>
      <c r="D8" s="221" t="s">
        <v>168</v>
      </c>
      <c r="E8" s="219"/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219"/>
      <c r="R8" s="123"/>
      <c r="S8" s="123"/>
      <c r="T8" s="123"/>
      <c r="U8" s="123"/>
      <c r="V8" s="123"/>
      <c r="W8" s="123"/>
      <c r="X8" s="123"/>
    </row>
    <row r="9" spans="1:24" ht="14.5">
      <c r="A9" s="222" t="s">
        <v>152</v>
      </c>
      <c r="B9" s="222" t="s">
        <v>153</v>
      </c>
      <c r="C9" s="223" t="s">
        <v>154</v>
      </c>
      <c r="D9" s="223" t="s">
        <v>169</v>
      </c>
      <c r="E9" s="222" t="s">
        <v>39</v>
      </c>
      <c r="F9" s="222" t="s">
        <v>40</v>
      </c>
      <c r="G9" s="222" t="s">
        <v>3</v>
      </c>
      <c r="H9" s="222" t="s">
        <v>4</v>
      </c>
      <c r="I9" s="222" t="s">
        <v>5</v>
      </c>
      <c r="J9" s="222" t="s">
        <v>6</v>
      </c>
      <c r="K9" s="222" t="s">
        <v>7</v>
      </c>
      <c r="L9" s="222" t="s">
        <v>8</v>
      </c>
      <c r="M9" s="222" t="s">
        <v>41</v>
      </c>
      <c r="N9" s="222" t="s">
        <v>42</v>
      </c>
      <c r="O9" s="222" t="s">
        <v>43</v>
      </c>
      <c r="P9" s="222" t="s">
        <v>44</v>
      </c>
      <c r="Q9" s="222" t="s">
        <v>156</v>
      </c>
      <c r="R9" s="123"/>
      <c r="S9" s="123"/>
      <c r="T9" s="123"/>
      <c r="U9" s="123"/>
      <c r="V9" s="123"/>
      <c r="W9" s="123"/>
      <c r="X9" s="123"/>
    </row>
    <row r="10" spans="1:24" ht="14.5">
      <c r="A10" s="224"/>
      <c r="B10" s="225" t="s">
        <v>159</v>
      </c>
      <c r="C10" s="226" t="s">
        <v>160</v>
      </c>
      <c r="D10" s="225" t="s">
        <v>150</v>
      </c>
      <c r="E10" s="224"/>
      <c r="F10" s="224"/>
      <c r="G10" s="224"/>
      <c r="H10" s="224"/>
      <c r="I10" s="224"/>
      <c r="J10" s="224"/>
      <c r="K10" s="224"/>
      <c r="L10" s="224"/>
      <c r="M10" s="224"/>
      <c r="N10" s="224"/>
      <c r="O10" s="224"/>
      <c r="P10" s="224"/>
      <c r="Q10" s="224"/>
      <c r="R10" s="123"/>
      <c r="S10" s="123"/>
      <c r="T10" s="123"/>
      <c r="U10" s="123"/>
      <c r="V10" s="123"/>
      <c r="W10" s="123"/>
      <c r="X10" s="123"/>
    </row>
    <row r="11" spans="1:24" ht="14.5">
      <c r="A11" s="123"/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</row>
    <row r="12" spans="1:24" ht="14.5">
      <c r="A12" s="227" t="s">
        <v>170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</row>
    <row r="13" spans="1:24" ht="14.5">
      <c r="A13" s="123" t="str">
        <f>Rent!A13</f>
        <v>VACANT (old Big Lots)</v>
      </c>
      <c r="B13" s="124" t="str">
        <f>Rent!B13</f>
        <v>409-117</v>
      </c>
      <c r="C13" s="125">
        <f>Rent!C13</f>
        <v>28159</v>
      </c>
      <c r="D13" s="126">
        <f>C13/$C$24</f>
        <v>0.55877683851252136</v>
      </c>
      <c r="E13" s="130">
        <f>IF(Rent!E13=0,0,'TENANT CHARGES'!$E$11)</f>
        <v>0</v>
      </c>
      <c r="F13" s="130">
        <f>IF(Rent!F13=0,0,'TENANT CHARGES'!$E$11)</f>
        <v>0</v>
      </c>
      <c r="G13" s="130">
        <f>IF(Rent!G13=0,0,'TENANT CHARGES'!$E$11)</f>
        <v>0</v>
      </c>
      <c r="H13" s="130">
        <f>IF(Rent!H13=0,0,'TENANT CHARGES'!$E$11)</f>
        <v>0</v>
      </c>
      <c r="I13" s="130">
        <f>IF(Rent!I13=0,0,'TENANT CHARGES'!$E$11)</f>
        <v>0</v>
      </c>
      <c r="J13" s="130">
        <f>IF(Rent!J13=0,0,'TENANT CHARGES'!$E$11)</f>
        <v>0</v>
      </c>
      <c r="K13" s="130">
        <f>IF(Rent!K13=0,0,'TENANT CHARGES'!$E$11)</f>
        <v>0</v>
      </c>
      <c r="L13" s="130">
        <f>IF(Rent!L13=0,0,'TENANT CHARGES'!$E$11)</f>
        <v>0</v>
      </c>
      <c r="M13" s="130">
        <f>IF(Rent!M13=0,0,'TENANT CHARGES'!$E$11)</f>
        <v>0</v>
      </c>
      <c r="N13" s="130">
        <f>IF(Rent!N13=0,0,'TENANT CHARGES'!$E$11)</f>
        <v>0</v>
      </c>
      <c r="O13" s="130">
        <f>IF(Rent!O13=0,0,'TENANT CHARGES'!$E$11)</f>
        <v>0</v>
      </c>
      <c r="P13" s="130">
        <f>IF(Rent!P13=0,0,'TENANT CHARGES'!$E$11)</f>
        <v>0</v>
      </c>
      <c r="Q13" s="128">
        <f>SUM(E13:P13)</f>
        <v>0</v>
      </c>
      <c r="R13" s="129">
        <f>+P13/C13</f>
        <v>0</v>
      </c>
      <c r="S13" s="123"/>
      <c r="T13" s="123"/>
      <c r="U13" s="123"/>
      <c r="V13" s="123"/>
      <c r="W13" s="123"/>
      <c r="X13" s="123"/>
    </row>
    <row r="14" spans="1:24" ht="14.5">
      <c r="A14" s="123" t="str">
        <f>Rent!A14</f>
        <v>Planet Fitness</v>
      </c>
      <c r="B14" s="124" t="str">
        <f>Rent!B14</f>
        <v>409-112</v>
      </c>
      <c r="C14" s="125">
        <f>Rent!C14</f>
        <v>22235</v>
      </c>
      <c r="D14" s="126">
        <f>C14/$C$24</f>
        <v>0.44122316148747864</v>
      </c>
      <c r="E14" s="130">
        <f>IF(Rent!E14=0,0,'TENANT CHARGES'!$E$12)</f>
        <v>4548.4941777666982</v>
      </c>
      <c r="F14" s="130">
        <f>IF(Rent!F14=0,0,'TENANT CHARGES'!$E$12)</f>
        <v>4548.4941777666982</v>
      </c>
      <c r="G14" s="130">
        <f>IF(Rent!G14=0,0,'TENANT CHARGES'!$E$12)</f>
        <v>4548.4941777666982</v>
      </c>
      <c r="H14" s="130">
        <f>IF(Rent!H14=0,0,'TENANT CHARGES'!$E$12)</f>
        <v>4548.4941777666982</v>
      </c>
      <c r="I14" s="130">
        <f>IF(Rent!I14=0,0,'TENANT CHARGES'!$E$12)</f>
        <v>4548.4941777666982</v>
      </c>
      <c r="J14" s="130">
        <f>IF(Rent!J14=0,0,'TENANT CHARGES'!$E$12)</f>
        <v>4548.4941777666982</v>
      </c>
      <c r="K14" s="130">
        <f>IF(Rent!K14=0,0,'TENANT CHARGES'!$E$12)</f>
        <v>4548.4941777666982</v>
      </c>
      <c r="L14" s="130">
        <f>IF(Rent!L14=0,0,'TENANT CHARGES'!$E$12)</f>
        <v>4548.4941777666982</v>
      </c>
      <c r="M14" s="130">
        <f>IF(Rent!M14=0,0,'TENANT CHARGES'!$E$12)</f>
        <v>4548.4941777666982</v>
      </c>
      <c r="N14" s="130">
        <f>IF(Rent!N14=0,0,'TENANT CHARGES'!$E$12)</f>
        <v>4548.4941777666982</v>
      </c>
      <c r="O14" s="130">
        <f>IF(Rent!O14=0,0,'TENANT CHARGES'!$E$12)</f>
        <v>4548.4941777666982</v>
      </c>
      <c r="P14" s="130">
        <f>IF(Rent!P14=0,0,'TENANT CHARGES'!$E$12)</f>
        <v>4548.4941777666982</v>
      </c>
      <c r="Q14" s="128">
        <f>SUM(E14:P14)</f>
        <v>54581.930133200374</v>
      </c>
      <c r="R14" s="129">
        <f>+P14/C14</f>
        <v>0.20456461334682699</v>
      </c>
      <c r="S14" s="123"/>
      <c r="T14" s="123"/>
      <c r="U14" s="123"/>
      <c r="V14" s="123"/>
      <c r="W14" s="123"/>
      <c r="X14" s="123"/>
    </row>
    <row r="15" spans="1:24" ht="14.5">
      <c r="A15" s="123" t="str">
        <f>Rent!A15</f>
        <v>EV Charging Station</v>
      </c>
      <c r="B15" s="124" t="str">
        <f>Rent!B15</f>
        <v>PKG</v>
      </c>
      <c r="C15" s="125">
        <v>0</v>
      </c>
      <c r="D15" s="126">
        <v>0</v>
      </c>
      <c r="E15" s="129">
        <v>0</v>
      </c>
      <c r="F15" s="129">
        <v>0</v>
      </c>
      <c r="G15" s="129">
        <v>0</v>
      </c>
      <c r="H15" s="129">
        <v>0</v>
      </c>
      <c r="I15" s="129">
        <v>0</v>
      </c>
      <c r="J15" s="129">
        <v>0</v>
      </c>
      <c r="K15" s="129">
        <v>0</v>
      </c>
      <c r="L15" s="129">
        <v>0</v>
      </c>
      <c r="M15" s="129">
        <v>0</v>
      </c>
      <c r="N15" s="129">
        <v>0</v>
      </c>
      <c r="O15" s="129">
        <v>0</v>
      </c>
      <c r="P15" s="129">
        <v>0</v>
      </c>
      <c r="Q15" s="128">
        <f>SUM(E15:P15)</f>
        <v>0</v>
      </c>
      <c r="R15" s="129"/>
      <c r="S15" s="123"/>
      <c r="T15" s="123"/>
      <c r="U15" s="123"/>
      <c r="V15" s="123"/>
      <c r="W15" s="123"/>
      <c r="X15" s="123"/>
    </row>
    <row r="16" spans="1:24" ht="14.5">
      <c r="A16" s="123"/>
      <c r="B16" s="124"/>
      <c r="C16" s="125"/>
      <c r="D16" s="126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8"/>
      <c r="R16" s="129"/>
      <c r="S16" s="123"/>
      <c r="T16" s="123"/>
      <c r="U16" s="123"/>
      <c r="V16" s="123"/>
      <c r="W16" s="123"/>
      <c r="X16" s="123"/>
    </row>
    <row r="17" spans="1:24" ht="14.5">
      <c r="A17" s="123"/>
      <c r="B17" s="123"/>
      <c r="C17" s="228"/>
      <c r="D17" s="126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3"/>
      <c r="S17" s="123"/>
      <c r="T17" s="123"/>
      <c r="U17" s="123"/>
      <c r="V17" s="123"/>
      <c r="W17" s="123"/>
      <c r="X17" s="123"/>
    </row>
    <row r="18" spans="1:24" ht="14.5">
      <c r="A18" s="123"/>
      <c r="B18" s="123"/>
      <c r="C18" s="228"/>
      <c r="D18" s="126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3"/>
      <c r="S18" s="123"/>
      <c r="T18" s="123"/>
      <c r="U18" s="123"/>
      <c r="V18" s="123"/>
      <c r="W18" s="123"/>
      <c r="X18" s="123"/>
    </row>
    <row r="19" spans="1:24" ht="14.5">
      <c r="A19" s="123"/>
      <c r="B19" s="123"/>
      <c r="C19" s="228"/>
      <c r="D19" s="126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3"/>
      <c r="S19" s="123"/>
      <c r="T19" s="123"/>
      <c r="U19" s="123"/>
      <c r="V19" s="123"/>
      <c r="W19" s="123"/>
      <c r="X19" s="123"/>
    </row>
    <row r="20" spans="1:24" ht="14.5">
      <c r="A20" s="123"/>
      <c r="B20" s="123"/>
      <c r="C20" s="228"/>
      <c r="D20" s="126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3"/>
      <c r="S20" s="123"/>
      <c r="T20" s="123"/>
      <c r="U20" s="123"/>
      <c r="V20" s="123"/>
      <c r="W20" s="123"/>
      <c r="X20" s="123"/>
    </row>
    <row r="21" spans="1:24" ht="14.5">
      <c r="A21" s="123"/>
      <c r="B21" s="123"/>
      <c r="C21" s="228"/>
      <c r="D21" s="126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3"/>
      <c r="S21" s="123"/>
      <c r="T21" s="123"/>
      <c r="U21" s="123"/>
      <c r="V21" s="123"/>
      <c r="W21" s="123"/>
      <c r="X21" s="123"/>
    </row>
    <row r="22" spans="1:24" ht="14.5">
      <c r="A22" s="123" t="s">
        <v>144</v>
      </c>
      <c r="B22" s="123"/>
      <c r="C22" s="125" t="s">
        <v>144</v>
      </c>
      <c r="D22" s="126" t="s">
        <v>144</v>
      </c>
      <c r="E22" s="128" t="s">
        <v>144</v>
      </c>
      <c r="F22" s="128" t="s">
        <v>144</v>
      </c>
      <c r="G22" s="128" t="s">
        <v>144</v>
      </c>
      <c r="H22" s="128" t="s">
        <v>144</v>
      </c>
      <c r="I22" s="128" t="s">
        <v>144</v>
      </c>
      <c r="J22" s="128" t="s">
        <v>144</v>
      </c>
      <c r="K22" s="128" t="s">
        <v>144</v>
      </c>
      <c r="L22" s="128" t="s">
        <v>144</v>
      </c>
      <c r="M22" s="128" t="s">
        <v>144</v>
      </c>
      <c r="N22" s="128" t="s">
        <v>144</v>
      </c>
      <c r="O22" s="128" t="s">
        <v>144</v>
      </c>
      <c r="P22" s="128" t="s">
        <v>144</v>
      </c>
      <c r="Q22" s="128" t="s">
        <v>144</v>
      </c>
      <c r="R22" s="123"/>
      <c r="S22" s="123"/>
      <c r="T22" s="123"/>
      <c r="U22" s="123"/>
      <c r="V22" s="123"/>
      <c r="W22" s="123"/>
      <c r="X22" s="123"/>
    </row>
    <row r="23" spans="1:24" ht="14.5">
      <c r="A23" s="364"/>
      <c r="B23" s="365"/>
      <c r="C23" s="366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8"/>
      <c r="R23" s="123"/>
      <c r="S23" s="123"/>
      <c r="T23" s="123"/>
      <c r="U23" s="123"/>
      <c r="V23" s="123"/>
      <c r="W23" s="123"/>
      <c r="X23" s="123"/>
    </row>
    <row r="24" spans="1:24" ht="14.5">
      <c r="A24" s="357" t="s">
        <v>171</v>
      </c>
      <c r="B24" s="358"/>
      <c r="C24" s="369">
        <f>SUM(C13:C23)</f>
        <v>50394</v>
      </c>
      <c r="D24" s="370">
        <f>SUM(D13:D23)</f>
        <v>1</v>
      </c>
      <c r="E24" s="371">
        <f t="shared" ref="E24:Q24" si="0">SUM(E13:E16)</f>
        <v>4548.4941777666982</v>
      </c>
      <c r="F24" s="371">
        <f t="shared" si="0"/>
        <v>4548.4941777666982</v>
      </c>
      <c r="G24" s="371">
        <f t="shared" si="0"/>
        <v>4548.4941777666982</v>
      </c>
      <c r="H24" s="371">
        <f t="shared" si="0"/>
        <v>4548.4941777666982</v>
      </c>
      <c r="I24" s="371">
        <f t="shared" si="0"/>
        <v>4548.4941777666982</v>
      </c>
      <c r="J24" s="371">
        <f t="shared" si="0"/>
        <v>4548.4941777666982</v>
      </c>
      <c r="K24" s="371">
        <f t="shared" si="0"/>
        <v>4548.4941777666982</v>
      </c>
      <c r="L24" s="371">
        <f t="shared" si="0"/>
        <v>4548.4941777666982</v>
      </c>
      <c r="M24" s="371">
        <f t="shared" si="0"/>
        <v>4548.4941777666982</v>
      </c>
      <c r="N24" s="371">
        <f t="shared" si="0"/>
        <v>4548.4941777666982</v>
      </c>
      <c r="O24" s="371">
        <f t="shared" si="0"/>
        <v>4548.4941777666982</v>
      </c>
      <c r="P24" s="371">
        <f t="shared" si="0"/>
        <v>4548.4941777666982</v>
      </c>
      <c r="Q24" s="372">
        <f t="shared" si="0"/>
        <v>54581.930133200374</v>
      </c>
      <c r="R24" s="123"/>
      <c r="S24" s="123"/>
      <c r="T24" s="123"/>
      <c r="U24" s="123"/>
      <c r="V24" s="123"/>
      <c r="W24" s="123"/>
      <c r="X24" s="123"/>
    </row>
    <row r="25" spans="1:24" ht="14.5">
      <c r="A25" s="373"/>
      <c r="B25" s="374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6"/>
      <c r="R25" s="123"/>
      <c r="S25" s="123"/>
      <c r="T25" s="123"/>
      <c r="U25" s="123"/>
      <c r="V25" s="123"/>
      <c r="W25" s="123"/>
      <c r="X25" s="123"/>
    </row>
    <row r="26" spans="1:24" ht="14.5">
      <c r="A26" s="123"/>
      <c r="B26" s="123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3" t="s">
        <v>171</v>
      </c>
      <c r="P26" s="133"/>
      <c r="Q26" s="144">
        <f>Summary!O55</f>
        <v>114069.00000000001</v>
      </c>
      <c r="R26" s="123"/>
      <c r="S26" s="123"/>
      <c r="T26" s="123"/>
      <c r="U26" s="123"/>
      <c r="V26" s="123"/>
      <c r="W26" s="123"/>
      <c r="X26" s="123"/>
    </row>
    <row r="27" spans="1:24" ht="14.5">
      <c r="A27" s="123"/>
      <c r="B27" s="123"/>
      <c r="C27" s="142"/>
      <c r="D27" s="142"/>
      <c r="E27" s="142"/>
      <c r="F27" s="142"/>
      <c r="G27" s="142"/>
      <c r="H27" s="142"/>
      <c r="I27" s="142"/>
      <c r="J27" s="142"/>
      <c r="K27" s="228"/>
      <c r="L27" s="142"/>
      <c r="M27" s="142"/>
      <c r="N27" s="142"/>
      <c r="O27" s="145" t="s">
        <v>172</v>
      </c>
      <c r="P27" s="139"/>
      <c r="Q27" s="146">
        <f>Q24/Q26</f>
        <v>0.47849924285476658</v>
      </c>
      <c r="R27" s="123"/>
      <c r="S27" s="123"/>
      <c r="T27" s="123"/>
      <c r="U27" s="123"/>
      <c r="V27" s="123"/>
      <c r="W27" s="123"/>
      <c r="X27" s="123"/>
    </row>
    <row r="28" spans="1:24" ht="14.5">
      <c r="A28" s="229"/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49"/>
      <c r="R28" s="123"/>
      <c r="S28" s="123"/>
      <c r="T28" s="123"/>
      <c r="U28" s="123"/>
      <c r="V28" s="123"/>
      <c r="W28" s="123"/>
      <c r="X28" s="123"/>
    </row>
    <row r="29" spans="1:24" ht="14.5">
      <c r="A29" s="123"/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</row>
    <row r="30" spans="1:24" ht="14.5">
      <c r="A30" s="123"/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</row>
    <row r="31" spans="1:24" ht="14.5">
      <c r="A31" s="123"/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</row>
    <row r="32" spans="1:24" ht="14.5">
      <c r="A32" s="123"/>
      <c r="B32" s="123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</row>
    <row r="33" spans="1:24" ht="14.5">
      <c r="A33" s="123"/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</row>
    <row r="34" spans="1:24" ht="14.5">
      <c r="A34" s="123"/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</row>
    <row r="35" spans="1:24" ht="14.5">
      <c r="A35" s="123"/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</row>
    <row r="36" spans="1:24" ht="14.5">
      <c r="A36" s="123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</row>
    <row r="37" spans="1:24" ht="14.5">
      <c r="A37" s="123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</row>
    <row r="38" spans="1:24" ht="14.5">
      <c r="A38" s="123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</row>
    <row r="39" spans="1:24" ht="14.5">
      <c r="A39" s="123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</row>
    <row r="40" spans="1:24" ht="14.5">
      <c r="A40" s="123"/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</row>
    <row r="41" spans="1:24" ht="14.5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</row>
    <row r="42" spans="1:24" ht="14.5">
      <c r="A42" s="123"/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</row>
    <row r="43" spans="1:24" ht="14.5">
      <c r="A43" s="123"/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</row>
    <row r="44" spans="1:24" ht="14.5">
      <c r="A44" s="123"/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</row>
    <row r="45" spans="1:24" ht="14.5">
      <c r="A45" s="123"/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</row>
    <row r="46" spans="1:24" ht="14.5">
      <c r="A46" s="123"/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</row>
    <row r="47" spans="1:24" ht="14.5">
      <c r="A47" s="123"/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</row>
    <row r="48" spans="1:24" ht="14.5">
      <c r="A48" s="123"/>
      <c r="B48" s="123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</row>
    <row r="49" spans="1:24" ht="14.5">
      <c r="A49" s="123"/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</row>
    <row r="50" spans="1:24" ht="14.5">
      <c r="A50" s="123"/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</row>
    <row r="51" spans="1:24" ht="14.5">
      <c r="A51" s="123"/>
      <c r="B51" s="123"/>
      <c r="C51" s="123"/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</row>
    <row r="52" spans="1:24" ht="14.5">
      <c r="A52" s="123"/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</row>
    <row r="53" spans="1:24" ht="14.5">
      <c r="A53" s="123"/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</row>
    <row r="54" spans="1:24" ht="14.5">
      <c r="A54" s="123"/>
      <c r="B54" s="123"/>
      <c r="C54" s="123"/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</row>
    <row r="55" spans="1:24" ht="14.5">
      <c r="A55" s="123"/>
      <c r="B55" s="123"/>
      <c r="C55" s="123"/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</row>
    <row r="56" spans="1:24" ht="14.5">
      <c r="A56" s="123"/>
      <c r="B56" s="123"/>
      <c r="C56" s="12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</row>
    <row r="57" spans="1:24" ht="14.5">
      <c r="A57" s="123"/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</row>
    <row r="58" spans="1:24" ht="14.5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</row>
    <row r="59" spans="1:24" ht="14.5">
      <c r="A59" s="123"/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</row>
    <row r="60" spans="1:24" ht="14.5">
      <c r="A60" s="123"/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</row>
    <row r="61" spans="1:24" ht="14.5">
      <c r="A61" s="123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</row>
    <row r="62" spans="1:24" ht="14.5">
      <c r="A62" s="123"/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</row>
    <row r="63" spans="1:24" ht="14.5">
      <c r="A63" s="123"/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</row>
    <row r="64" spans="1:24" ht="14.5">
      <c r="A64" s="123"/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</row>
    <row r="65" spans="1:24" ht="14.5">
      <c r="A65" s="123"/>
      <c r="B65" s="123"/>
      <c r="C65" s="123"/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</row>
    <row r="66" spans="1:24" ht="14.5">
      <c r="A66" s="123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</row>
    <row r="67" spans="1:24" ht="14.5">
      <c r="A67" s="123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</row>
    <row r="68" spans="1:24" ht="14.5">
      <c r="A68" s="123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</row>
    <row r="69" spans="1:24" ht="14.5">
      <c r="A69" s="123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</row>
    <row r="70" spans="1:24" ht="14.5">
      <c r="A70" s="123"/>
      <c r="B70" s="123"/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</row>
    <row r="71" spans="1:24" ht="14.5">
      <c r="A71" s="123"/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</row>
    <row r="72" spans="1:24" ht="14.5">
      <c r="A72" s="123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</row>
    <row r="73" spans="1:24" ht="14.5">
      <c r="A73" s="123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</row>
  </sheetData>
  <customSheetViews>
    <customSheetView guid="{7691FA39-7EA9-407C-9567-49BEFD6339F8}" scale="75" showPageBreaks="1" printArea="1" showRuler="0" topLeftCell="A58">
      <selection activeCell="G102" sqref="G102"/>
      <rowBreaks count="1" manualBreakCount="1">
        <brk id="61" max="16" man="1"/>
      </rowBreaks>
      <pageMargins left="0" right="0" top="0" bottom="0" header="0" footer="0"/>
      <printOptions horizontalCentered="1"/>
      <pageSetup scale="65" firstPageNumber="11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Q6"/>
    <mergeCell ref="A2:Q2"/>
    <mergeCell ref="A3:Q3"/>
    <mergeCell ref="A4:Q4"/>
    <mergeCell ref="A5:Q5"/>
  </mergeCells>
  <phoneticPr fontId="5" type="noConversion"/>
  <printOptions horizontalCentered="1"/>
  <pageMargins left="0.5" right="0.5" top="0.5" bottom="0.75" header="0.5" footer="0.5"/>
  <pageSetup paperSize="3" scale="80" firstPageNumber="5" orientation="landscape" useFirstPageNumber="1" r:id="rId2"/>
  <headerFooter alignWithMargins="0">
    <oddFooter>Page &amp;P</oddFooter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7C9CD-2741-478C-88F8-87101D441705}">
  <sheetPr>
    <pageSetUpPr fitToPage="1"/>
  </sheetPr>
  <dimension ref="A1:S30"/>
  <sheetViews>
    <sheetView view="pageBreakPreview" zoomScale="70" zoomScaleNormal="75" zoomScaleSheetLayoutView="70" workbookViewId="0">
      <selection activeCell="N19" sqref="N19"/>
    </sheetView>
  </sheetViews>
  <sheetFormatPr defaultRowHeight="12.5"/>
  <cols>
    <col min="1" max="1" width="49.453125" bestFit="1" customWidth="1"/>
    <col min="2" max="2" width="13.7265625" bestFit="1" customWidth="1"/>
    <col min="3" max="3" width="13.1796875" customWidth="1"/>
    <col min="4" max="4" width="14.26953125" customWidth="1"/>
    <col min="5" max="5" width="13.26953125" customWidth="1"/>
    <col min="6" max="6" width="14.1796875" customWidth="1"/>
    <col min="7" max="7" width="13.453125" customWidth="1"/>
    <col min="8" max="8" width="13.1796875" customWidth="1"/>
    <col min="9" max="9" width="13" customWidth="1"/>
    <col min="10" max="10" width="13.1796875" customWidth="1"/>
    <col min="11" max="11" width="14" customWidth="1"/>
    <col min="12" max="12" width="13.7265625" customWidth="1"/>
    <col min="13" max="13" width="13" customWidth="1"/>
    <col min="14" max="14" width="14.54296875" customWidth="1"/>
    <col min="15" max="15" width="13.54296875" customWidth="1"/>
    <col min="16" max="16" width="13.81640625" customWidth="1"/>
    <col min="17" max="17" width="14.1796875" customWidth="1"/>
  </cols>
  <sheetData>
    <row r="1" spans="1:19">
      <c r="P1" s="10"/>
      <c r="Q1" s="31"/>
    </row>
    <row r="2" spans="1:19" ht="13">
      <c r="A2" s="490" t="str">
        <f>Summary!$A2</f>
        <v>ATHENA PROPERTY MANAGEMENT</v>
      </c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</row>
    <row r="3" spans="1:19" ht="13">
      <c r="A3" s="490" t="str">
        <f>Summary!$A3</f>
        <v>Goodyear Arizona Big Lots</v>
      </c>
      <c r="B3" s="490"/>
      <c r="C3" s="490"/>
      <c r="D3" s="490"/>
      <c r="E3" s="490"/>
      <c r="F3" s="490"/>
      <c r="G3" s="490"/>
      <c r="H3" s="490"/>
      <c r="I3" s="490"/>
      <c r="J3" s="490"/>
      <c r="K3" s="490"/>
      <c r="L3" s="490"/>
      <c r="M3" s="490"/>
      <c r="N3" s="490"/>
      <c r="O3" s="490"/>
      <c r="P3" s="490"/>
      <c r="Q3" s="490"/>
    </row>
    <row r="4" spans="1:19" ht="13">
      <c r="A4" s="490"/>
      <c r="B4" s="490"/>
      <c r="C4" s="490"/>
      <c r="D4" s="490"/>
      <c r="E4" s="490"/>
      <c r="F4" s="490"/>
      <c r="G4" s="490"/>
      <c r="H4" s="490"/>
      <c r="I4" s="490"/>
      <c r="J4" s="490"/>
      <c r="K4" s="490"/>
      <c r="L4" s="490"/>
      <c r="M4" s="490"/>
      <c r="N4" s="490"/>
      <c r="O4" s="490"/>
      <c r="P4" s="490"/>
      <c r="Q4" s="490"/>
    </row>
    <row r="5" spans="1:19" ht="13">
      <c r="A5" s="490" t="str">
        <f>Summary!$A5</f>
        <v>01/01/2026  TO   12/31/2026</v>
      </c>
      <c r="B5" s="490"/>
      <c r="C5" s="490"/>
      <c r="D5" s="490"/>
      <c r="E5" s="490"/>
      <c r="F5" s="490"/>
      <c r="G5" s="490"/>
      <c r="H5" s="490"/>
      <c r="I5" s="490"/>
      <c r="J5" s="490"/>
      <c r="K5" s="490"/>
      <c r="L5" s="490"/>
      <c r="M5" s="490"/>
      <c r="N5" s="490"/>
      <c r="O5" s="490"/>
      <c r="P5" s="490"/>
      <c r="Q5" s="490"/>
    </row>
    <row r="6" spans="1:19" ht="13">
      <c r="A6" s="490" t="str">
        <f>Summary!$A6</f>
        <v>2026 OPERATING BUDGET</v>
      </c>
      <c r="B6" s="490"/>
      <c r="C6" s="490"/>
      <c r="D6" s="490"/>
      <c r="E6" s="490"/>
      <c r="F6" s="490"/>
      <c r="G6" s="490"/>
      <c r="H6" s="490"/>
      <c r="I6" s="490"/>
      <c r="J6" s="490"/>
      <c r="K6" s="490"/>
      <c r="L6" s="490"/>
      <c r="M6" s="490"/>
      <c r="N6" s="490"/>
      <c r="O6" s="490"/>
      <c r="P6" s="490"/>
      <c r="Q6" s="490"/>
    </row>
    <row r="7" spans="1:19">
      <c r="H7" s="11"/>
    </row>
    <row r="8" spans="1:19">
      <c r="A8" s="487" t="s">
        <v>152</v>
      </c>
      <c r="B8" s="491" t="s">
        <v>173</v>
      </c>
      <c r="C8" s="491" t="s">
        <v>174</v>
      </c>
      <c r="D8" s="491" t="s">
        <v>175</v>
      </c>
      <c r="E8" s="487" t="s">
        <v>39</v>
      </c>
      <c r="F8" s="487" t="s">
        <v>40</v>
      </c>
      <c r="G8" s="487" t="s">
        <v>3</v>
      </c>
      <c r="H8" s="487" t="s">
        <v>4</v>
      </c>
      <c r="I8" s="487" t="s">
        <v>5</v>
      </c>
      <c r="J8" s="487" t="s">
        <v>6</v>
      </c>
      <c r="K8" s="487" t="s">
        <v>7</v>
      </c>
      <c r="L8" s="487" t="s">
        <v>8</v>
      </c>
      <c r="M8" s="487" t="s">
        <v>41</v>
      </c>
      <c r="N8" s="487" t="s">
        <v>42</v>
      </c>
      <c r="O8" s="487" t="s">
        <v>43</v>
      </c>
      <c r="P8" s="487" t="s">
        <v>44</v>
      </c>
      <c r="Q8" s="487" t="s">
        <v>156</v>
      </c>
    </row>
    <row r="9" spans="1:19">
      <c r="A9" s="488"/>
      <c r="B9" s="492"/>
      <c r="C9" s="492"/>
      <c r="D9" s="492"/>
      <c r="E9" s="488"/>
      <c r="F9" s="488"/>
      <c r="G9" s="488"/>
      <c r="H9" s="488"/>
      <c r="I9" s="488"/>
      <c r="J9" s="488"/>
      <c r="K9" s="488"/>
      <c r="L9" s="488"/>
      <c r="M9" s="488"/>
      <c r="N9" s="488"/>
      <c r="O9" s="488"/>
      <c r="P9" s="488"/>
      <c r="Q9" s="488"/>
    </row>
    <row r="10" spans="1:19">
      <c r="A10" s="489"/>
      <c r="B10" s="493"/>
      <c r="C10" s="493"/>
      <c r="D10" s="493"/>
      <c r="E10" s="489"/>
      <c r="F10" s="489"/>
      <c r="G10" s="489"/>
      <c r="H10" s="489"/>
      <c r="I10" s="489"/>
      <c r="J10" s="489"/>
      <c r="K10" s="489"/>
      <c r="L10" s="489"/>
      <c r="M10" s="489"/>
      <c r="N10" s="489"/>
      <c r="O10" s="489"/>
      <c r="P10" s="489"/>
      <c r="Q10" s="489"/>
    </row>
    <row r="12" spans="1:19" ht="13">
      <c r="A12" s="25" t="s">
        <v>100</v>
      </c>
      <c r="C12" s="34"/>
      <c r="D12" s="35"/>
      <c r="E12" s="33"/>
      <c r="F12" s="33"/>
      <c r="G12" s="33"/>
      <c r="H12" s="33"/>
      <c r="I12" s="33"/>
      <c r="J12" s="15"/>
      <c r="K12" s="33"/>
      <c r="L12" s="33"/>
      <c r="M12" s="33"/>
      <c r="N12" s="33"/>
      <c r="O12" s="33"/>
      <c r="P12" s="33"/>
      <c r="Q12" s="33"/>
    </row>
    <row r="13" spans="1:19" ht="14.5">
      <c r="A13" s="123" t="str">
        <f>Rent!A13</f>
        <v>VACANT (old Big Lots)</v>
      </c>
      <c r="B13" s="124" t="str">
        <f>Rent!B13</f>
        <v>409-117</v>
      </c>
      <c r="C13" s="125">
        <f>Rent!C13</f>
        <v>28159</v>
      </c>
      <c r="D13" s="126">
        <f>C13/$C$26</f>
        <v>0.55877683851252136</v>
      </c>
      <c r="E13" s="127">
        <v>0</v>
      </c>
      <c r="F13" s="127">
        <v>0</v>
      </c>
      <c r="G13" s="127">
        <v>0</v>
      </c>
      <c r="H13" s="127">
        <v>0</v>
      </c>
      <c r="I13" s="127">
        <v>0</v>
      </c>
      <c r="J13" s="127">
        <v>0</v>
      </c>
      <c r="K13" s="127">
        <v>0</v>
      </c>
      <c r="L13" s="127">
        <v>0</v>
      </c>
      <c r="M13" s="127">
        <v>0</v>
      </c>
      <c r="N13" s="127">
        <v>0</v>
      </c>
      <c r="O13" s="127">
        <v>0</v>
      </c>
      <c r="P13" s="127">
        <v>0</v>
      </c>
      <c r="Q13" s="128">
        <f>SUM(E13:P13)</f>
        <v>0</v>
      </c>
      <c r="R13" s="129">
        <f>Q13/C13</f>
        <v>0</v>
      </c>
      <c r="S13" s="299"/>
    </row>
    <row r="14" spans="1:19" ht="14.5">
      <c r="A14" s="123" t="str">
        <f>Rent!A14</f>
        <v>Planet Fitness</v>
      </c>
      <c r="B14" s="124" t="str">
        <f>Rent!B14</f>
        <v>409-112</v>
      </c>
      <c r="C14" s="125">
        <f>Rent!C14</f>
        <v>22235</v>
      </c>
      <c r="D14" s="126">
        <f>C14/$C$26</f>
        <v>0.44122316148747864</v>
      </c>
      <c r="E14" s="130">
        <f>IF(Rent!E14=0,0,'TENANT CHARGES'!$F$12)</f>
        <v>582.25279133759318</v>
      </c>
      <c r="F14" s="130">
        <f>IF(Rent!F14=0,0,'TENANT CHARGES'!$F$12)</f>
        <v>582.25279133759318</v>
      </c>
      <c r="G14" s="130">
        <f>IF(Rent!G14=0,0,'TENANT CHARGES'!$F$12)</f>
        <v>582.25279133759318</v>
      </c>
      <c r="H14" s="130">
        <f>IF(Rent!H14=0,0,'TENANT CHARGES'!$F$12)</f>
        <v>582.25279133759318</v>
      </c>
      <c r="I14" s="130">
        <f>IF(Rent!I14=0,0,'TENANT CHARGES'!$F$12)</f>
        <v>582.25279133759318</v>
      </c>
      <c r="J14" s="130">
        <f>IF(Rent!J14=0,0,'TENANT CHARGES'!$F$12)</f>
        <v>582.25279133759318</v>
      </c>
      <c r="K14" s="130">
        <f>IF(Rent!K14=0,0,'TENANT CHARGES'!$F$12)</f>
        <v>582.25279133759318</v>
      </c>
      <c r="L14" s="130">
        <f>IF(Rent!L14=0,0,'TENANT CHARGES'!$F$12)</f>
        <v>582.25279133759318</v>
      </c>
      <c r="M14" s="130">
        <f>IF(Rent!M14=0,0,'TENANT CHARGES'!$F$12)</f>
        <v>582.25279133759318</v>
      </c>
      <c r="N14" s="130">
        <f>IF(Rent!N14=0,0,'TENANT CHARGES'!$F$12)</f>
        <v>582.25279133759318</v>
      </c>
      <c r="O14" s="130">
        <f>IF(Rent!O14=0,0,'TENANT CHARGES'!$F$12)</f>
        <v>582.25279133759318</v>
      </c>
      <c r="P14" s="130">
        <f>IF(Rent!P14=0,0,'TENANT CHARGES'!$F$12)</f>
        <v>582.25279133759318</v>
      </c>
      <c r="Q14" s="128">
        <f>SUM(E14:P14)</f>
        <v>6987.03349605112</v>
      </c>
      <c r="R14" s="129">
        <f>Q14/C14</f>
        <v>0.31423582172480863</v>
      </c>
    </row>
    <row r="15" spans="1:19" ht="14.5">
      <c r="A15" s="123" t="str">
        <f>Rent!A15</f>
        <v>EV Charging Station</v>
      </c>
      <c r="B15" s="124" t="str">
        <f>Rent!B15</f>
        <v>PKG</v>
      </c>
      <c r="C15" s="125">
        <f>Rent!C15</f>
        <v>0</v>
      </c>
      <c r="D15" s="126">
        <v>0</v>
      </c>
      <c r="E15" s="127">
        <v>0</v>
      </c>
      <c r="F15" s="127">
        <v>0</v>
      </c>
      <c r="G15" s="127">
        <v>0</v>
      </c>
      <c r="H15" s="127">
        <v>0</v>
      </c>
      <c r="I15" s="127">
        <v>0</v>
      </c>
      <c r="J15" s="127">
        <v>0</v>
      </c>
      <c r="K15" s="127">
        <v>0</v>
      </c>
      <c r="L15" s="127">
        <v>0</v>
      </c>
      <c r="M15" s="127">
        <v>0</v>
      </c>
      <c r="N15" s="127">
        <v>0</v>
      </c>
      <c r="O15" s="127">
        <v>0</v>
      </c>
      <c r="P15" s="127">
        <v>0</v>
      </c>
      <c r="Q15" s="128">
        <f>SUM(E15:P15)</f>
        <v>0</v>
      </c>
      <c r="R15" s="129"/>
    </row>
    <row r="16" spans="1:19">
      <c r="B16" s="9"/>
      <c r="C16" s="7"/>
      <c r="D16" s="16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2"/>
      <c r="R16" s="45"/>
    </row>
    <row r="17" spans="1:17">
      <c r="C17" s="7"/>
      <c r="D17" s="16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</row>
    <row r="18" spans="1:17">
      <c r="C18" s="7"/>
      <c r="D18" s="16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</row>
    <row r="19" spans="1:17">
      <c r="C19" s="7"/>
      <c r="D19" s="16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</row>
    <row r="20" spans="1:17">
      <c r="C20" s="7"/>
      <c r="D20" s="16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</row>
    <row r="21" spans="1:17">
      <c r="C21" s="7"/>
      <c r="D21" s="16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</row>
    <row r="22" spans="1:17">
      <c r="C22" s="7"/>
      <c r="D22" s="16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</row>
    <row r="23" spans="1:17">
      <c r="C23" s="7"/>
      <c r="D23" s="16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</row>
    <row r="24" spans="1:17">
      <c r="A24" t="s">
        <v>144</v>
      </c>
      <c r="C24" s="7" t="s">
        <v>144</v>
      </c>
      <c r="D24" s="16" t="s">
        <v>144</v>
      </c>
      <c r="E24" s="42" t="s">
        <v>144</v>
      </c>
      <c r="F24" s="42" t="s">
        <v>144</v>
      </c>
      <c r="G24" s="42" t="s">
        <v>144</v>
      </c>
      <c r="H24" s="42" t="s">
        <v>144</v>
      </c>
      <c r="I24" s="42" t="s">
        <v>144</v>
      </c>
      <c r="J24" s="42" t="s">
        <v>144</v>
      </c>
      <c r="K24" s="42" t="s">
        <v>144</v>
      </c>
      <c r="L24" s="42" t="s">
        <v>144</v>
      </c>
      <c r="M24" s="42" t="s">
        <v>144</v>
      </c>
      <c r="N24" s="42" t="s">
        <v>144</v>
      </c>
      <c r="O24" s="42" t="s">
        <v>144</v>
      </c>
      <c r="P24" s="42" t="s">
        <v>144</v>
      </c>
      <c r="Q24" s="42" t="s">
        <v>144</v>
      </c>
    </row>
    <row r="25" spans="1:17">
      <c r="A25" s="377"/>
      <c r="B25" s="378"/>
      <c r="C25" s="379"/>
      <c r="D25" s="379"/>
      <c r="E25" s="380"/>
      <c r="F25" s="380"/>
      <c r="G25" s="380"/>
      <c r="H25" s="380"/>
      <c r="I25" s="380"/>
      <c r="J25" s="380"/>
      <c r="K25" s="380"/>
      <c r="L25" s="380"/>
      <c r="M25" s="380"/>
      <c r="N25" s="380"/>
      <c r="O25" s="380"/>
      <c r="P25" s="380"/>
      <c r="Q25" s="381"/>
    </row>
    <row r="26" spans="1:17" ht="13">
      <c r="A26" s="348" t="s">
        <v>176</v>
      </c>
      <c r="B26" s="382"/>
      <c r="C26" s="383">
        <f>SUM(C13:C25)</f>
        <v>50394</v>
      </c>
      <c r="D26" s="384">
        <f>SUM(D13:D25)</f>
        <v>1</v>
      </c>
      <c r="E26" s="383">
        <f>SUM(E13:E24)</f>
        <v>582.25279133759318</v>
      </c>
      <c r="F26" s="383">
        <f t="shared" ref="F26:Q26" si="0">SUM(F13:F24)</f>
        <v>582.25279133759318</v>
      </c>
      <c r="G26" s="383">
        <f t="shared" si="0"/>
        <v>582.25279133759318</v>
      </c>
      <c r="H26" s="383">
        <f t="shared" si="0"/>
        <v>582.25279133759318</v>
      </c>
      <c r="I26" s="383">
        <f t="shared" si="0"/>
        <v>582.25279133759318</v>
      </c>
      <c r="J26" s="383">
        <f t="shared" si="0"/>
        <v>582.25279133759318</v>
      </c>
      <c r="K26" s="383">
        <f t="shared" si="0"/>
        <v>582.25279133759318</v>
      </c>
      <c r="L26" s="383">
        <f t="shared" si="0"/>
        <v>582.25279133759318</v>
      </c>
      <c r="M26" s="383">
        <f t="shared" si="0"/>
        <v>582.25279133759318</v>
      </c>
      <c r="N26" s="383">
        <f t="shared" si="0"/>
        <v>582.25279133759318</v>
      </c>
      <c r="O26" s="383">
        <f t="shared" si="0"/>
        <v>582.25279133759318</v>
      </c>
      <c r="P26" s="383">
        <f t="shared" si="0"/>
        <v>582.25279133759318</v>
      </c>
      <c r="Q26" s="385">
        <f t="shared" si="0"/>
        <v>6987.03349605112</v>
      </c>
    </row>
    <row r="27" spans="1:17">
      <c r="A27" s="386"/>
      <c r="B27" s="387"/>
      <c r="C27" s="388"/>
      <c r="D27" s="388"/>
      <c r="E27" s="388"/>
      <c r="F27" s="388"/>
      <c r="G27" s="388"/>
      <c r="H27" s="388"/>
      <c r="I27" s="388"/>
      <c r="J27" s="388"/>
      <c r="K27" s="388"/>
      <c r="L27" s="388"/>
      <c r="M27" s="388"/>
      <c r="N27" s="388"/>
      <c r="O27" s="388"/>
      <c r="P27" s="388"/>
      <c r="Q27" s="389"/>
    </row>
    <row r="28" spans="1:17"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26" t="s">
        <v>177</v>
      </c>
      <c r="P28" s="12"/>
      <c r="Q28" s="27">
        <f>Summary!O64</f>
        <v>15835.600000000002</v>
      </c>
    </row>
    <row r="29" spans="1:17"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28" t="s">
        <v>172</v>
      </c>
      <c r="P29" s="14"/>
      <c r="Q29" s="29">
        <f>Q26/Q28</f>
        <v>0.44122316148747881</v>
      </c>
    </row>
    <row r="30" spans="1:17"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30"/>
    </row>
  </sheetData>
  <customSheetViews>
    <customSheetView guid="{7691FA39-7EA9-407C-9567-49BEFD6339F8}" scale="75" showPageBreaks="1" fitToPage="1" showRuler="0" topLeftCell="A8">
      <selection activeCell="A8" sqref="A1:IV65536"/>
      <pageMargins left="0" right="0" top="0" bottom="0" header="0" footer="0"/>
      <printOptions horizontalCentered="1"/>
      <pageSetup scale="71" firstPageNumber="9" orientation="landscape" useFirstPageNumber="1" horizontalDpi="4294967292" r:id="rId1"/>
      <headerFooter alignWithMargins="0">
        <oddFooter>Page &amp;P</oddFooter>
      </headerFooter>
    </customSheetView>
  </customSheetViews>
  <mergeCells count="22">
    <mergeCell ref="B8:B10"/>
    <mergeCell ref="C8:C10"/>
    <mergeCell ref="D8:D10"/>
    <mergeCell ref="A8:A10"/>
    <mergeCell ref="E8:E10"/>
    <mergeCell ref="A6:Q6"/>
    <mergeCell ref="A2:Q2"/>
    <mergeCell ref="A3:Q3"/>
    <mergeCell ref="A4:Q4"/>
    <mergeCell ref="A5:Q5"/>
    <mergeCell ref="F8:F10"/>
    <mergeCell ref="Q8:Q10"/>
    <mergeCell ref="P8:P10"/>
    <mergeCell ref="O8:O10"/>
    <mergeCell ref="N8:N10"/>
    <mergeCell ref="M8:M10"/>
    <mergeCell ref="L8:L10"/>
    <mergeCell ref="K8:K10"/>
    <mergeCell ref="J8:J10"/>
    <mergeCell ref="I8:I10"/>
    <mergeCell ref="H8:H10"/>
    <mergeCell ref="G8:G10"/>
  </mergeCells>
  <phoneticPr fontId="5" type="noConversion"/>
  <printOptions horizontalCentered="1"/>
  <pageMargins left="0.5" right="0.5" top="0.5" bottom="0.75" header="0.5" footer="0.5"/>
  <pageSetup paperSize="3" scale="77" firstPageNumber="6" orientation="landscape" useFirstPageNumber="1" r:id="rId2"/>
  <headerFooter alignWithMargins="0">
    <oddFooter>Page &amp;P</oddFooter>
  </headerFooter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EA1E-C88E-45E1-857B-91611EC53B90}">
  <sheetPr>
    <pageSetUpPr fitToPage="1"/>
  </sheetPr>
  <dimension ref="A1:S41"/>
  <sheetViews>
    <sheetView view="pageBreakPreview" zoomScale="55" zoomScaleNormal="75" zoomScaleSheetLayoutView="55" workbookViewId="0">
      <selection activeCell="H15" sqref="H15"/>
    </sheetView>
  </sheetViews>
  <sheetFormatPr defaultRowHeight="12.5"/>
  <cols>
    <col min="1" max="1" width="49.453125" bestFit="1" customWidth="1"/>
    <col min="2" max="2" width="13.7265625" bestFit="1" customWidth="1"/>
    <col min="3" max="3" width="13.1796875" customWidth="1"/>
    <col min="4" max="4" width="15.7265625" customWidth="1"/>
    <col min="5" max="5" width="12.1796875" customWidth="1"/>
    <col min="6" max="6" width="12.7265625" customWidth="1"/>
    <col min="7" max="7" width="13.26953125" customWidth="1"/>
    <col min="8" max="8" width="11.54296875" customWidth="1"/>
    <col min="9" max="9" width="12" customWidth="1"/>
    <col min="10" max="10" width="12.7265625" customWidth="1"/>
    <col min="11" max="11" width="12.26953125" customWidth="1"/>
    <col min="12" max="12" width="13.1796875" customWidth="1"/>
    <col min="13" max="13" width="12.1796875" customWidth="1"/>
    <col min="14" max="14" width="13.7265625" customWidth="1"/>
    <col min="15" max="15" width="12.54296875" customWidth="1"/>
    <col min="16" max="16" width="12.26953125" customWidth="1"/>
    <col min="17" max="18" width="13.453125" customWidth="1"/>
  </cols>
  <sheetData>
    <row r="1" spans="1:19">
      <c r="P1" s="10"/>
      <c r="Q1" s="31"/>
      <c r="R1" s="31"/>
    </row>
    <row r="2" spans="1:19" ht="13">
      <c r="A2" s="490" t="str">
        <f>Summary!$A2</f>
        <v>ATHENA PROPERTY MANAGEMENT</v>
      </c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13"/>
    </row>
    <row r="3" spans="1:19" ht="13">
      <c r="A3" s="490" t="str">
        <f>Summary!$A3</f>
        <v>Goodyear Arizona Big Lots</v>
      </c>
      <c r="B3" s="490"/>
      <c r="C3" s="490"/>
      <c r="D3" s="490"/>
      <c r="E3" s="490"/>
      <c r="F3" s="490"/>
      <c r="G3" s="490"/>
      <c r="H3" s="490"/>
      <c r="I3" s="490"/>
      <c r="J3" s="490"/>
      <c r="K3" s="490"/>
      <c r="L3" s="490"/>
      <c r="M3" s="490"/>
      <c r="N3" s="490"/>
      <c r="O3" s="490"/>
      <c r="P3" s="490"/>
      <c r="Q3" s="490"/>
      <c r="R3" s="13"/>
    </row>
    <row r="4" spans="1:19" ht="13">
      <c r="A4" s="490"/>
      <c r="B4" s="490"/>
      <c r="C4" s="490"/>
      <c r="D4" s="490"/>
      <c r="E4" s="490"/>
      <c r="F4" s="490"/>
      <c r="G4" s="490"/>
      <c r="H4" s="490"/>
      <c r="I4" s="490"/>
      <c r="J4" s="490"/>
      <c r="K4" s="490"/>
      <c r="L4" s="490"/>
      <c r="M4" s="490"/>
      <c r="N4" s="490"/>
      <c r="O4" s="490"/>
      <c r="P4" s="490"/>
      <c r="Q4" s="490"/>
      <c r="R4" s="13"/>
    </row>
    <row r="5" spans="1:19" ht="13">
      <c r="A5" s="490" t="str">
        <f>Summary!$A5</f>
        <v>01/01/2026  TO   12/31/2026</v>
      </c>
      <c r="B5" s="490"/>
      <c r="C5" s="490"/>
      <c r="D5" s="490"/>
      <c r="E5" s="490"/>
      <c r="F5" s="490"/>
      <c r="G5" s="490"/>
      <c r="H5" s="490"/>
      <c r="I5" s="490"/>
      <c r="J5" s="490"/>
      <c r="K5" s="490"/>
      <c r="L5" s="490"/>
      <c r="M5" s="490"/>
      <c r="N5" s="490"/>
      <c r="O5" s="490"/>
      <c r="P5" s="490"/>
      <c r="Q5" s="490"/>
      <c r="R5" s="13"/>
    </row>
    <row r="6" spans="1:19" ht="13">
      <c r="A6" s="490" t="str">
        <f>Summary!$A6</f>
        <v>2026 OPERATING BUDGET</v>
      </c>
      <c r="B6" s="490"/>
      <c r="C6" s="490"/>
      <c r="D6" s="490"/>
      <c r="E6" s="490"/>
      <c r="F6" s="490"/>
      <c r="G6" s="490"/>
      <c r="H6" s="490"/>
      <c r="I6" s="490"/>
      <c r="J6" s="490"/>
      <c r="K6" s="490"/>
      <c r="L6" s="490"/>
      <c r="M6" s="490"/>
      <c r="N6" s="490"/>
      <c r="O6" s="490"/>
      <c r="P6" s="490"/>
      <c r="Q6" s="490"/>
      <c r="R6" s="13"/>
    </row>
    <row r="7" spans="1:19">
      <c r="H7" s="11"/>
    </row>
    <row r="8" spans="1:19" ht="13">
      <c r="A8" s="2"/>
      <c r="B8" s="2"/>
      <c r="C8" s="37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9" ht="13">
      <c r="A9" s="3" t="s">
        <v>152</v>
      </c>
      <c r="B9" s="3" t="s">
        <v>153</v>
      </c>
      <c r="C9" s="3" t="s">
        <v>154</v>
      </c>
      <c r="D9" s="3" t="s">
        <v>178</v>
      </c>
      <c r="E9" s="3" t="s">
        <v>39</v>
      </c>
      <c r="F9" s="3" t="s">
        <v>40</v>
      </c>
      <c r="G9" s="3" t="s">
        <v>3</v>
      </c>
      <c r="H9" s="3" t="s">
        <v>4</v>
      </c>
      <c r="I9" s="3" t="s">
        <v>5</v>
      </c>
      <c r="J9" s="3" t="s">
        <v>6</v>
      </c>
      <c r="K9" s="3" t="s">
        <v>7</v>
      </c>
      <c r="L9" s="3" t="s">
        <v>8</v>
      </c>
      <c r="M9" s="3" t="s">
        <v>41</v>
      </c>
      <c r="N9" s="3" t="s">
        <v>42</v>
      </c>
      <c r="O9" s="3" t="s">
        <v>43</v>
      </c>
      <c r="P9" s="3" t="s">
        <v>44</v>
      </c>
      <c r="Q9" s="3" t="s">
        <v>156</v>
      </c>
      <c r="R9" s="3" t="s">
        <v>179</v>
      </c>
    </row>
    <row r="10" spans="1:19" ht="13">
      <c r="A10" s="5"/>
      <c r="B10" s="4" t="s">
        <v>159</v>
      </c>
      <c r="C10" s="4" t="s">
        <v>160</v>
      </c>
      <c r="D10" s="4" t="s">
        <v>180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2" spans="1:19" ht="13">
      <c r="A12" s="25" t="s">
        <v>181</v>
      </c>
      <c r="D12" s="32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</row>
    <row r="13" spans="1:19" ht="14.5">
      <c r="A13" s="123" t="str">
        <f>Rent!A13</f>
        <v>VACANT (old Big Lots)</v>
      </c>
      <c r="B13" s="124" t="str">
        <f>Rent!B13</f>
        <v>409-117</v>
      </c>
      <c r="C13" s="125">
        <f>Rent!C13</f>
        <v>28159</v>
      </c>
      <c r="D13" s="126">
        <v>0.55879999999999996</v>
      </c>
      <c r="E13" s="127">
        <v>0</v>
      </c>
      <c r="F13" s="127">
        <f t="shared" ref="F13:N13" si="0">+E13</f>
        <v>0</v>
      </c>
      <c r="G13" s="127">
        <f t="shared" si="0"/>
        <v>0</v>
      </c>
      <c r="H13" s="127">
        <v>0</v>
      </c>
      <c r="I13" s="127">
        <v>0</v>
      </c>
      <c r="J13" s="127">
        <v>0</v>
      </c>
      <c r="K13" s="127">
        <f t="shared" si="0"/>
        <v>0</v>
      </c>
      <c r="L13" s="127">
        <f t="shared" si="0"/>
        <v>0</v>
      </c>
      <c r="M13" s="127">
        <f t="shared" si="0"/>
        <v>0</v>
      </c>
      <c r="N13" s="127">
        <f t="shared" si="0"/>
        <v>0</v>
      </c>
      <c r="O13" s="127">
        <f>H13</f>
        <v>0</v>
      </c>
      <c r="P13" s="127">
        <v>0</v>
      </c>
      <c r="Q13" s="128">
        <f>SUM(E13:O13)</f>
        <v>0</v>
      </c>
      <c r="R13" s="333">
        <f>+Q13/C13</f>
        <v>0</v>
      </c>
      <c r="S13" s="299"/>
    </row>
    <row r="14" spans="1:19" ht="14.5">
      <c r="A14" s="123" t="str">
        <f>Rent!A14</f>
        <v>Planet Fitness</v>
      </c>
      <c r="B14" s="124" t="str">
        <f>Rent!B14</f>
        <v>409-112</v>
      </c>
      <c r="C14" s="125">
        <f>Rent!C14</f>
        <v>22235</v>
      </c>
      <c r="D14" s="126">
        <v>0.44119999999999998</v>
      </c>
      <c r="E14" s="130">
        <f>IF(Rent!E14=0,0,'TENANT CHARGES'!$H$12)</f>
        <v>2562.0321475109467</v>
      </c>
      <c r="F14" s="130">
        <f>IF(Rent!F14=0,0,'TENANT CHARGES'!$H$12)</f>
        <v>2562.0321475109467</v>
      </c>
      <c r="G14" s="130">
        <f>IF(Rent!G14=0,0,'TENANT CHARGES'!$H$12)</f>
        <v>2562.0321475109467</v>
      </c>
      <c r="H14" s="130">
        <f>IF(Rent!H14=0,0,'TENANT CHARGES'!$H$12)</f>
        <v>2562.0321475109467</v>
      </c>
      <c r="I14" s="130">
        <f>IF(Rent!I14=0,0,'TENANT CHARGES'!$H$12)</f>
        <v>2562.0321475109467</v>
      </c>
      <c r="J14" s="130">
        <f>IF(Rent!J14=0,0,'TENANT CHARGES'!$H$12)</f>
        <v>2562.0321475109467</v>
      </c>
      <c r="K14" s="130">
        <f>IF(Rent!K14=0,0,'TENANT CHARGES'!$H$12)</f>
        <v>2562.0321475109467</v>
      </c>
      <c r="L14" s="130">
        <f>IF(Rent!L14=0,0,'TENANT CHARGES'!$H$12)</f>
        <v>2562.0321475109467</v>
      </c>
      <c r="M14" s="130">
        <f>IF(Rent!M14=0,0,'TENANT CHARGES'!$H$12)</f>
        <v>2562.0321475109467</v>
      </c>
      <c r="N14" s="130">
        <f>IF(Rent!N14=0,0,'TENANT CHARGES'!$H$12)</f>
        <v>2562.0321475109467</v>
      </c>
      <c r="O14" s="130">
        <f>IF(Rent!O14=0,0,'TENANT CHARGES'!$H$12)</f>
        <v>2562.0321475109467</v>
      </c>
      <c r="P14" s="130">
        <f>IF(Rent!P14=0,0,'TENANT CHARGES'!$H$12)</f>
        <v>2562.0321475109467</v>
      </c>
      <c r="Q14" s="130">
        <f>IF(Rent!Q14=0,0,'TENANT CHARGES'!$H$12)</f>
        <v>2562.0321475109467</v>
      </c>
      <c r="R14" s="97">
        <f>+Q14/C14</f>
        <v>0.11522519215250492</v>
      </c>
    </row>
    <row r="15" spans="1:19" ht="14.5">
      <c r="A15" s="123" t="str">
        <f>Rent!A15</f>
        <v>EV Charging Station</v>
      </c>
      <c r="B15" s="124" t="str">
        <f>Rent!B15</f>
        <v>PKG</v>
      </c>
      <c r="C15" s="125">
        <f>Rent!C15</f>
        <v>0</v>
      </c>
      <c r="D15" s="126">
        <v>0</v>
      </c>
      <c r="E15" s="127">
        <v>0</v>
      </c>
      <c r="F15" s="127">
        <v>0</v>
      </c>
      <c r="G15" s="127">
        <v>0</v>
      </c>
      <c r="H15" s="127">
        <v>0</v>
      </c>
      <c r="I15" s="127">
        <v>0</v>
      </c>
      <c r="J15" s="127">
        <v>0</v>
      </c>
      <c r="K15" s="127">
        <v>0</v>
      </c>
      <c r="L15" s="127">
        <v>0</v>
      </c>
      <c r="M15" s="127">
        <v>0</v>
      </c>
      <c r="N15" s="127">
        <v>0</v>
      </c>
      <c r="O15" s="127">
        <v>0</v>
      </c>
      <c r="P15" s="127">
        <v>0</v>
      </c>
      <c r="Q15" s="128">
        <f>SUM(E15:P15)</f>
        <v>0</v>
      </c>
      <c r="R15" s="97"/>
    </row>
    <row r="16" spans="1:19" ht="14.5">
      <c r="A16" s="123"/>
      <c r="B16" s="124"/>
      <c r="C16" s="125"/>
      <c r="D16" s="126"/>
      <c r="E16" s="127"/>
      <c r="F16" s="127"/>
      <c r="G16" s="127"/>
      <c r="H16" s="127"/>
      <c r="I16" s="131"/>
      <c r="J16" s="127"/>
      <c r="K16" s="127"/>
      <c r="L16" s="127"/>
      <c r="M16" s="127"/>
      <c r="N16" s="127"/>
      <c r="O16" s="127"/>
      <c r="P16" s="127"/>
      <c r="Q16" s="128"/>
      <c r="R16" s="97"/>
    </row>
    <row r="17" spans="1:18" ht="14.5">
      <c r="A17" s="123"/>
      <c r="B17" s="123"/>
      <c r="C17" s="125"/>
      <c r="D17" s="126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42"/>
    </row>
    <row r="18" spans="1:18" ht="14.5">
      <c r="A18" s="123"/>
      <c r="B18" s="123"/>
      <c r="C18" s="125"/>
      <c r="D18" s="126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42"/>
    </row>
    <row r="19" spans="1:18" ht="14.5">
      <c r="A19" s="123"/>
      <c r="B19" s="123"/>
      <c r="C19" s="125"/>
      <c r="D19" s="126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42"/>
    </row>
    <row r="20" spans="1:18" ht="14.5">
      <c r="A20" s="123"/>
      <c r="B20" s="123"/>
      <c r="C20" s="125"/>
      <c r="D20" s="126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42"/>
    </row>
    <row r="21" spans="1:18" ht="14.5">
      <c r="A21" s="123"/>
      <c r="B21" s="123"/>
      <c r="C21" s="125"/>
      <c r="D21" s="126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42"/>
    </row>
    <row r="22" spans="1:18" ht="14.5">
      <c r="A22" s="123"/>
      <c r="B22" s="123"/>
      <c r="C22" s="125"/>
      <c r="D22" s="126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42"/>
    </row>
    <row r="23" spans="1:18" ht="14.5">
      <c r="A23" s="123"/>
      <c r="B23" s="123"/>
      <c r="C23" s="125"/>
      <c r="D23" s="126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42"/>
    </row>
    <row r="24" spans="1:18" ht="14.5">
      <c r="A24" s="123"/>
      <c r="B24" s="123"/>
      <c r="C24" s="125"/>
      <c r="D24" s="126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42"/>
    </row>
    <row r="25" spans="1:18" ht="14.5">
      <c r="A25" s="123"/>
      <c r="B25" s="123"/>
      <c r="C25" s="125"/>
      <c r="D25" s="126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42"/>
    </row>
    <row r="26" spans="1:18" ht="14.5">
      <c r="A26" s="123"/>
      <c r="B26" s="123"/>
      <c r="C26" s="125"/>
      <c r="D26" s="126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42"/>
    </row>
    <row r="27" spans="1:18" ht="14.5">
      <c r="A27" s="123"/>
      <c r="B27" s="123"/>
      <c r="C27" s="125"/>
      <c r="D27" s="126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42"/>
    </row>
    <row r="28" spans="1:18" ht="14.5">
      <c r="A28" s="123"/>
      <c r="B28" s="123"/>
      <c r="C28" s="125"/>
      <c r="D28" s="126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42"/>
    </row>
    <row r="29" spans="1:18" ht="14.5">
      <c r="A29" s="123"/>
      <c r="B29" s="123"/>
      <c r="C29" s="125"/>
      <c r="D29" s="126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42"/>
    </row>
    <row r="30" spans="1:18" ht="14.5">
      <c r="A30" s="123" t="s">
        <v>144</v>
      </c>
      <c r="B30" s="123"/>
      <c r="C30" s="125" t="s">
        <v>144</v>
      </c>
      <c r="D30" s="126" t="s">
        <v>144</v>
      </c>
      <c r="E30" s="128" t="s">
        <v>144</v>
      </c>
      <c r="F30" s="128" t="s">
        <v>144</v>
      </c>
      <c r="G30" s="128" t="s">
        <v>144</v>
      </c>
      <c r="H30" s="128" t="s">
        <v>144</v>
      </c>
      <c r="I30" s="128" t="s">
        <v>144</v>
      </c>
      <c r="J30" s="128" t="s">
        <v>144</v>
      </c>
      <c r="K30" s="128" t="s">
        <v>144</v>
      </c>
      <c r="L30" s="128" t="s">
        <v>144</v>
      </c>
      <c r="M30" s="128" t="s">
        <v>144</v>
      </c>
      <c r="N30" s="128" t="s">
        <v>144</v>
      </c>
      <c r="O30" s="128" t="s">
        <v>144</v>
      </c>
      <c r="P30" s="128" t="s">
        <v>144</v>
      </c>
      <c r="Q30" s="128" t="s">
        <v>144</v>
      </c>
      <c r="R30" s="42"/>
    </row>
    <row r="31" spans="1:18" ht="14.5">
      <c r="A31" s="364"/>
      <c r="B31" s="365"/>
      <c r="C31" s="366"/>
      <c r="D31" s="366"/>
      <c r="E31" s="367"/>
      <c r="F31" s="367"/>
      <c r="G31" s="367"/>
      <c r="H31" s="367"/>
      <c r="I31" s="367"/>
      <c r="J31" s="367"/>
      <c r="K31" s="367"/>
      <c r="L31" s="367"/>
      <c r="M31" s="367"/>
      <c r="N31" s="367"/>
      <c r="O31" s="367"/>
      <c r="P31" s="367"/>
      <c r="Q31" s="368"/>
      <c r="R31" s="42"/>
    </row>
    <row r="32" spans="1:18" ht="14.5">
      <c r="A32" s="357" t="s">
        <v>156</v>
      </c>
      <c r="B32" s="358"/>
      <c r="C32" s="369">
        <f>SUM(C13:C31)</f>
        <v>50394</v>
      </c>
      <c r="D32" s="391">
        <f>SUM(D13:D31)</f>
        <v>1</v>
      </c>
      <c r="E32" s="369">
        <f t="shared" ref="E32:Q32" si="1">SUM(E13:E31)</f>
        <v>2562.0321475109467</v>
      </c>
      <c r="F32" s="369">
        <f t="shared" si="1"/>
        <v>2562.0321475109467</v>
      </c>
      <c r="G32" s="369">
        <f t="shared" si="1"/>
        <v>2562.0321475109467</v>
      </c>
      <c r="H32" s="369">
        <f>SUM(H13:H31)</f>
        <v>2562.0321475109467</v>
      </c>
      <c r="I32" s="369">
        <f t="shared" si="1"/>
        <v>2562.0321475109467</v>
      </c>
      <c r="J32" s="369">
        <f t="shared" si="1"/>
        <v>2562.0321475109467</v>
      </c>
      <c r="K32" s="369">
        <f t="shared" si="1"/>
        <v>2562.0321475109467</v>
      </c>
      <c r="L32" s="369">
        <f>SUM(L13:L31)</f>
        <v>2562.0321475109467</v>
      </c>
      <c r="M32" s="369">
        <f t="shared" si="1"/>
        <v>2562.0321475109467</v>
      </c>
      <c r="N32" s="369">
        <f t="shared" si="1"/>
        <v>2562.0321475109467</v>
      </c>
      <c r="O32" s="369">
        <f>SUM(O13:O31)</f>
        <v>2562.0321475109467</v>
      </c>
      <c r="P32" s="369">
        <f t="shared" si="1"/>
        <v>2562.0321475109467</v>
      </c>
      <c r="Q32" s="392">
        <f t="shared" si="1"/>
        <v>2562.0321475109467</v>
      </c>
      <c r="R32" s="7"/>
    </row>
    <row r="33" spans="1:18" ht="14.5">
      <c r="A33" s="373"/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5"/>
      <c r="M33" s="375"/>
      <c r="N33" s="375"/>
      <c r="O33" s="375"/>
      <c r="P33" s="375"/>
      <c r="Q33" s="376"/>
      <c r="R33" s="10"/>
    </row>
    <row r="34" spans="1:18" ht="14.5">
      <c r="A34" s="123"/>
      <c r="B34" s="123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3" t="s">
        <v>182</v>
      </c>
      <c r="P34" s="133"/>
      <c r="Q34" s="144">
        <f>Summary!O69</f>
        <v>69679.899999999994</v>
      </c>
      <c r="R34" s="7"/>
    </row>
    <row r="35" spans="1:18" ht="14.5">
      <c r="A35" s="123"/>
      <c r="B35" s="123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5" t="s">
        <v>172</v>
      </c>
      <c r="P35" s="139"/>
      <c r="Q35" s="146">
        <f>Q32/Q34</f>
        <v>3.676859679062322E-2</v>
      </c>
      <c r="R35" s="16"/>
    </row>
    <row r="36" spans="1:18" ht="14.5">
      <c r="A36" s="123"/>
      <c r="B36" s="123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7"/>
      <c r="R36" s="30"/>
    </row>
    <row r="37" spans="1:18" ht="14.5">
      <c r="A37" s="123"/>
      <c r="B37" s="123"/>
      <c r="C37" s="123"/>
      <c r="D37" s="123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43"/>
    </row>
    <row r="38" spans="1:18" ht="14.5">
      <c r="A38" s="123"/>
      <c r="B38" s="123"/>
      <c r="C38" s="123"/>
      <c r="D38" s="123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43"/>
    </row>
    <row r="39" spans="1:18" ht="14.5">
      <c r="A39" s="123"/>
      <c r="B39" s="123"/>
      <c r="C39" s="123"/>
      <c r="D39" s="123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43"/>
    </row>
    <row r="40" spans="1:18" ht="14.5">
      <c r="A40" s="123"/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</row>
    <row r="41" spans="1:18" ht="14.5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</row>
  </sheetData>
  <customSheetViews>
    <customSheetView guid="{7691FA39-7EA9-407C-9567-49BEFD6339F8}" scale="75" showPageBreaks="1" fitToPage="1" showRuler="0">
      <selection activeCell="A12" sqref="A12"/>
      <pageMargins left="0" right="0" top="0" bottom="0" header="0" footer="0"/>
      <printOptions horizontalCentered="1"/>
      <pageSetup scale="72" firstPageNumber="10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Q6"/>
    <mergeCell ref="A2:Q2"/>
    <mergeCell ref="A3:Q3"/>
    <mergeCell ref="A4:Q4"/>
    <mergeCell ref="A5:Q5"/>
  </mergeCells>
  <phoneticPr fontId="5" type="noConversion"/>
  <printOptions horizontalCentered="1"/>
  <pageMargins left="0.5" right="0.5" top="0.5" bottom="0.75" header="0.5" footer="0.5"/>
  <pageSetup paperSize="3" scale="77" firstPageNumber="7" orientation="landscape" useFirstPageNumber="1" r:id="rId2"/>
  <headerFooter alignWithMargins="0">
    <oddFooter>Page &amp;P</oddFooter>
  </headerFooter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1F7F7-F0F9-4084-980D-8C9D57C80BCE}">
  <sheetPr>
    <pageSetUpPr fitToPage="1"/>
  </sheetPr>
  <dimension ref="A1:X39"/>
  <sheetViews>
    <sheetView zoomScale="55" zoomScaleNormal="55" workbookViewId="0">
      <selection activeCell="S20" sqref="S20"/>
    </sheetView>
  </sheetViews>
  <sheetFormatPr defaultRowHeight="12.5"/>
  <cols>
    <col min="1" max="1" width="49.453125" bestFit="1" customWidth="1"/>
    <col min="2" max="2" width="13.7265625" bestFit="1" customWidth="1"/>
    <col min="3" max="3" width="14.81640625" customWidth="1"/>
    <col min="4" max="4" width="13.7265625" customWidth="1"/>
    <col min="5" max="5" width="12" customWidth="1"/>
    <col min="6" max="6" width="13.26953125" customWidth="1"/>
    <col min="7" max="7" width="12.453125" customWidth="1"/>
    <col min="8" max="8" width="13" customWidth="1"/>
    <col min="9" max="9" width="12" customWidth="1"/>
    <col min="10" max="10" width="12.7265625" customWidth="1"/>
    <col min="11" max="11" width="13" customWidth="1"/>
    <col min="12" max="13" width="12.453125" customWidth="1"/>
    <col min="14" max="14" width="13" customWidth="1"/>
    <col min="15" max="15" width="12.1796875" customWidth="1"/>
    <col min="16" max="16" width="13" customWidth="1"/>
    <col min="17" max="17" width="12.81640625" customWidth="1"/>
  </cols>
  <sheetData>
    <row r="1" spans="1:24" ht="14.5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42"/>
      <c r="Q1" s="217"/>
      <c r="R1" s="123"/>
      <c r="S1" s="123"/>
      <c r="T1" s="123"/>
      <c r="U1" s="123"/>
      <c r="V1" s="123"/>
      <c r="W1" s="123"/>
      <c r="X1" s="123"/>
    </row>
    <row r="2" spans="1:24" ht="14.5">
      <c r="A2" s="471" t="str">
        <f>Summary!$A2</f>
        <v>ATHENA PROPERTY MANAGEMENT</v>
      </c>
      <c r="B2" s="471"/>
      <c r="C2" s="471"/>
      <c r="D2" s="471"/>
      <c r="E2" s="471"/>
      <c r="F2" s="471"/>
      <c r="G2" s="471"/>
      <c r="H2" s="471"/>
      <c r="I2" s="471"/>
      <c r="J2" s="471"/>
      <c r="K2" s="471"/>
      <c r="L2" s="471"/>
      <c r="M2" s="471"/>
      <c r="N2" s="471"/>
      <c r="O2" s="471"/>
      <c r="P2" s="471"/>
      <c r="Q2" s="471"/>
      <c r="R2" s="123"/>
      <c r="S2" s="123"/>
      <c r="T2" s="123"/>
      <c r="U2" s="123"/>
      <c r="V2" s="123"/>
      <c r="W2" s="123"/>
      <c r="X2" s="123"/>
    </row>
    <row r="3" spans="1:24" ht="14.5">
      <c r="A3" s="471" t="str">
        <f>Summary!$A3</f>
        <v>Goodyear Arizona Big Lots</v>
      </c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  <c r="N3" s="471"/>
      <c r="O3" s="471"/>
      <c r="P3" s="471"/>
      <c r="Q3" s="471"/>
      <c r="R3" s="123"/>
      <c r="S3" s="123"/>
      <c r="T3" s="123"/>
      <c r="U3" s="123"/>
      <c r="V3" s="123"/>
      <c r="W3" s="123"/>
      <c r="X3" s="123"/>
    </row>
    <row r="4" spans="1:24" ht="14.5">
      <c r="A4" s="471"/>
      <c r="B4" s="471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471"/>
      <c r="N4" s="471"/>
      <c r="O4" s="471"/>
      <c r="P4" s="471"/>
      <c r="Q4" s="471"/>
      <c r="R4" s="123"/>
      <c r="S4" s="123"/>
      <c r="T4" s="123"/>
      <c r="U4" s="123"/>
      <c r="V4" s="123"/>
      <c r="W4" s="123"/>
      <c r="X4" s="123"/>
    </row>
    <row r="5" spans="1:24" ht="14.5">
      <c r="A5" s="471" t="str">
        <f>Summary!$A5</f>
        <v>01/01/2026  TO   12/31/2026</v>
      </c>
      <c r="B5" s="471"/>
      <c r="C5" s="471"/>
      <c r="D5" s="471"/>
      <c r="E5" s="471"/>
      <c r="F5" s="471"/>
      <c r="G5" s="471"/>
      <c r="H5" s="471"/>
      <c r="I5" s="471"/>
      <c r="J5" s="471"/>
      <c r="K5" s="471"/>
      <c r="L5" s="471"/>
      <c r="M5" s="471"/>
      <c r="N5" s="471"/>
      <c r="O5" s="471"/>
      <c r="P5" s="471"/>
      <c r="Q5" s="471"/>
      <c r="R5" s="123"/>
      <c r="S5" s="123"/>
      <c r="T5" s="123"/>
      <c r="U5" s="123"/>
      <c r="V5" s="123"/>
      <c r="W5" s="123"/>
      <c r="X5" s="123"/>
    </row>
    <row r="6" spans="1:24" ht="14.5">
      <c r="A6" s="471" t="str">
        <f>Summary!$A6</f>
        <v>2026 OPERATING BUDGET</v>
      </c>
      <c r="B6" s="471"/>
      <c r="C6" s="471"/>
      <c r="D6" s="471"/>
      <c r="E6" s="471"/>
      <c r="F6" s="471"/>
      <c r="G6" s="471"/>
      <c r="H6" s="471"/>
      <c r="I6" s="471"/>
      <c r="J6" s="471"/>
      <c r="K6" s="471"/>
      <c r="L6" s="471"/>
      <c r="M6" s="471"/>
      <c r="N6" s="471"/>
      <c r="O6" s="471"/>
      <c r="P6" s="471"/>
      <c r="Q6" s="471"/>
      <c r="R6" s="123"/>
      <c r="S6" s="123"/>
      <c r="T6" s="123"/>
      <c r="U6" s="123"/>
      <c r="V6" s="123"/>
      <c r="W6" s="123"/>
      <c r="X6" s="123"/>
    </row>
    <row r="7" spans="1:24" ht="14.5">
      <c r="A7" s="123"/>
      <c r="B7" s="123"/>
      <c r="C7" s="123"/>
      <c r="D7" s="123"/>
      <c r="E7" s="123"/>
      <c r="F7" s="123"/>
      <c r="G7" s="123"/>
      <c r="H7" s="218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</row>
    <row r="8" spans="1:24" ht="14.5">
      <c r="A8" s="219"/>
      <c r="B8" s="219"/>
      <c r="C8" s="231"/>
      <c r="D8" s="219"/>
      <c r="E8" s="219"/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219"/>
      <c r="R8" s="123"/>
      <c r="S8" s="123"/>
      <c r="T8" s="123"/>
      <c r="U8" s="123"/>
      <c r="V8" s="123"/>
      <c r="W8" s="123"/>
      <c r="X8" s="123"/>
    </row>
    <row r="9" spans="1:24" ht="14.5">
      <c r="A9" s="222" t="s">
        <v>152</v>
      </c>
      <c r="B9" s="222" t="s">
        <v>153</v>
      </c>
      <c r="C9" s="222" t="s">
        <v>154</v>
      </c>
      <c r="D9" s="222" t="s">
        <v>155</v>
      </c>
      <c r="E9" s="222" t="s">
        <v>39</v>
      </c>
      <c r="F9" s="222" t="s">
        <v>40</v>
      </c>
      <c r="G9" s="222" t="s">
        <v>3</v>
      </c>
      <c r="H9" s="222" t="s">
        <v>4</v>
      </c>
      <c r="I9" s="222" t="s">
        <v>5</v>
      </c>
      <c r="J9" s="222" t="s">
        <v>6</v>
      </c>
      <c r="K9" s="222" t="s">
        <v>7</v>
      </c>
      <c r="L9" s="222" t="s">
        <v>8</v>
      </c>
      <c r="M9" s="222" t="s">
        <v>41</v>
      </c>
      <c r="N9" s="222" t="s">
        <v>42</v>
      </c>
      <c r="O9" s="222" t="s">
        <v>43</v>
      </c>
      <c r="P9" s="222" t="s">
        <v>44</v>
      </c>
      <c r="Q9" s="222" t="s">
        <v>156</v>
      </c>
      <c r="R9" s="123"/>
      <c r="S9" s="123"/>
      <c r="T9" s="123"/>
      <c r="U9" s="123"/>
      <c r="V9" s="123"/>
      <c r="W9" s="123"/>
      <c r="X9" s="123"/>
    </row>
    <row r="10" spans="1:24" ht="14.5">
      <c r="A10" s="224"/>
      <c r="B10" s="225" t="s">
        <v>159</v>
      </c>
      <c r="C10" s="225" t="s">
        <v>160</v>
      </c>
      <c r="D10" s="224"/>
      <c r="E10" s="224"/>
      <c r="F10" s="224"/>
      <c r="G10" s="224"/>
      <c r="H10" s="224"/>
      <c r="I10" s="224"/>
      <c r="J10" s="224"/>
      <c r="K10" s="224"/>
      <c r="L10" s="224"/>
      <c r="M10" s="224"/>
      <c r="N10" s="224"/>
      <c r="O10" s="224"/>
      <c r="P10" s="224"/>
      <c r="Q10" s="224"/>
      <c r="R10" s="123"/>
      <c r="S10" s="123"/>
      <c r="T10" s="123"/>
      <c r="U10" s="123"/>
      <c r="V10" s="123"/>
      <c r="W10" s="123"/>
      <c r="X10" s="123"/>
    </row>
    <row r="11" spans="1:24" ht="14.5">
      <c r="A11" s="163"/>
      <c r="B11" s="123"/>
      <c r="C11" s="232"/>
      <c r="D11" s="233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123"/>
      <c r="S11" s="123"/>
      <c r="T11" s="123"/>
      <c r="U11" s="123"/>
      <c r="V11" s="123"/>
      <c r="W11" s="123"/>
      <c r="X11" s="123"/>
    </row>
    <row r="12" spans="1:24" ht="14.5">
      <c r="A12" s="227" t="s">
        <v>183</v>
      </c>
      <c r="B12" s="123"/>
      <c r="C12" s="232"/>
      <c r="D12" s="233"/>
      <c r="E12" s="234"/>
      <c r="F12" s="234"/>
      <c r="G12" s="235"/>
      <c r="H12" s="234"/>
      <c r="I12" s="234"/>
      <c r="J12" s="234"/>
      <c r="K12" s="234"/>
      <c r="L12" s="234"/>
      <c r="M12" s="234"/>
      <c r="N12" s="125"/>
      <c r="O12" s="236"/>
      <c r="P12" s="234"/>
      <c r="Q12" s="234"/>
      <c r="R12" s="123"/>
      <c r="S12" s="163"/>
      <c r="T12" s="123"/>
      <c r="U12" s="123"/>
      <c r="V12" s="123"/>
      <c r="W12" s="123"/>
      <c r="X12" s="123"/>
    </row>
    <row r="13" spans="1:24" ht="14.5">
      <c r="A13" s="123" t="str">
        <f>Rent!A13</f>
        <v>VACANT (old Big Lots)</v>
      </c>
      <c r="B13" s="124" t="str">
        <f>Rent!B13</f>
        <v>409-117</v>
      </c>
      <c r="C13" s="125">
        <f>Rent!C13</f>
        <v>28159</v>
      </c>
      <c r="D13" s="126">
        <v>0.55879999999999996</v>
      </c>
      <c r="E13" s="127">
        <v>0</v>
      </c>
      <c r="F13" s="127">
        <v>0</v>
      </c>
      <c r="G13" s="127">
        <v>0</v>
      </c>
      <c r="H13" s="127">
        <v>0</v>
      </c>
      <c r="I13" s="127">
        <v>0</v>
      </c>
      <c r="J13" s="127">
        <v>0</v>
      </c>
      <c r="K13" s="127">
        <v>0</v>
      </c>
      <c r="L13" s="127">
        <v>0</v>
      </c>
      <c r="M13" s="127">
        <v>0</v>
      </c>
      <c r="N13" s="127">
        <v>0</v>
      </c>
      <c r="O13" s="127">
        <v>0</v>
      </c>
      <c r="P13" s="127">
        <v>0</v>
      </c>
      <c r="Q13" s="128">
        <f>SUM(E13:P13)</f>
        <v>0</v>
      </c>
      <c r="R13" s="180">
        <f>+Q13/C13</f>
        <v>0</v>
      </c>
      <c r="S13" s="298"/>
      <c r="T13" s="123"/>
      <c r="U13" s="123"/>
      <c r="V13" s="123"/>
      <c r="W13" s="123"/>
      <c r="X13" s="123"/>
    </row>
    <row r="14" spans="1:24" ht="14.5">
      <c r="A14" s="123" t="str">
        <f>Rent!A14</f>
        <v>Planet Fitness</v>
      </c>
      <c r="B14" s="124" t="str">
        <f>Rent!B14</f>
        <v>409-112</v>
      </c>
      <c r="C14" s="125">
        <f>Rent!C14</f>
        <v>22235</v>
      </c>
      <c r="D14" s="126">
        <v>0.44219999999999998</v>
      </c>
      <c r="E14" s="127">
        <f>'TENANT CHARGES'!$G$12</f>
        <v>0</v>
      </c>
      <c r="F14" s="127">
        <f>'TENANT CHARGES'!$G$12</f>
        <v>0</v>
      </c>
      <c r="G14" s="127">
        <f>'TENANT CHARGES'!$G$12</f>
        <v>0</v>
      </c>
      <c r="H14" s="127">
        <f>'TENANT CHARGES'!$G$12</f>
        <v>0</v>
      </c>
      <c r="I14" s="127">
        <f>'TENANT CHARGES'!$G$12</f>
        <v>0</v>
      </c>
      <c r="J14" s="127">
        <f>'TENANT CHARGES'!$G$12</f>
        <v>0</v>
      </c>
      <c r="K14" s="127">
        <f>'TENANT CHARGES'!$G$12</f>
        <v>0</v>
      </c>
      <c r="L14" s="127">
        <f>'TENANT CHARGES'!$G$12</f>
        <v>0</v>
      </c>
      <c r="M14" s="127">
        <f>'TENANT CHARGES'!$G$12</f>
        <v>0</v>
      </c>
      <c r="N14" s="127">
        <f>'TENANT CHARGES'!$G$12</f>
        <v>0</v>
      </c>
      <c r="O14" s="127">
        <f>'TENANT CHARGES'!$G$12</f>
        <v>0</v>
      </c>
      <c r="P14" s="127">
        <f>'TENANT CHARGES'!$G$12</f>
        <v>0</v>
      </c>
      <c r="Q14" s="128">
        <f>SUM(E14:P14)</f>
        <v>0</v>
      </c>
      <c r="R14" s="180">
        <f>+Q14/C14</f>
        <v>0</v>
      </c>
      <c r="S14" s="298" t="s">
        <v>184</v>
      </c>
      <c r="T14" s="123"/>
      <c r="U14" s="123"/>
      <c r="V14" s="123"/>
      <c r="W14" s="123"/>
      <c r="X14" s="123"/>
    </row>
    <row r="15" spans="1:24" ht="14.5">
      <c r="A15" s="123" t="str">
        <f>Rent!A15</f>
        <v>EV Charging Station</v>
      </c>
      <c r="B15" s="124" t="str">
        <f>Rent!B15</f>
        <v>PKG</v>
      </c>
      <c r="C15" s="125">
        <v>0</v>
      </c>
      <c r="D15" s="126">
        <v>0</v>
      </c>
      <c r="E15" s="127">
        <v>0</v>
      </c>
      <c r="F15" s="127">
        <v>0</v>
      </c>
      <c r="G15" s="127">
        <v>0</v>
      </c>
      <c r="H15" s="127">
        <v>0</v>
      </c>
      <c r="I15" s="127">
        <v>0</v>
      </c>
      <c r="J15" s="127">
        <v>0</v>
      </c>
      <c r="K15" s="127">
        <v>0</v>
      </c>
      <c r="L15" s="127">
        <v>0</v>
      </c>
      <c r="M15" s="127">
        <v>0</v>
      </c>
      <c r="N15" s="127">
        <v>0</v>
      </c>
      <c r="O15" s="127">
        <v>0</v>
      </c>
      <c r="P15" s="127">
        <v>0</v>
      </c>
      <c r="Q15" s="128">
        <f>SUM(E15:P15)</f>
        <v>0</v>
      </c>
      <c r="R15" s="180"/>
      <c r="S15" s="163"/>
      <c r="T15" s="123"/>
      <c r="U15" s="123"/>
      <c r="V15" s="123"/>
      <c r="W15" s="123"/>
      <c r="X15" s="123"/>
    </row>
    <row r="16" spans="1:24" ht="14.5">
      <c r="A16" s="123"/>
      <c r="B16" s="124"/>
      <c r="C16" s="125"/>
      <c r="D16" s="126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8"/>
      <c r="R16" s="180"/>
      <c r="S16" s="163"/>
      <c r="T16" s="123"/>
      <c r="U16" s="123"/>
      <c r="V16" s="123"/>
      <c r="W16" s="123"/>
      <c r="X16" s="123"/>
    </row>
    <row r="17" spans="1:24" ht="14.5">
      <c r="A17" s="123"/>
      <c r="B17" s="123"/>
      <c r="C17" s="125"/>
      <c r="D17" s="126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3"/>
      <c r="S17" s="123"/>
      <c r="T17" s="123"/>
      <c r="U17" s="123"/>
      <c r="V17" s="123"/>
      <c r="W17" s="123"/>
      <c r="X17" s="123"/>
    </row>
    <row r="18" spans="1:24" ht="14.5">
      <c r="A18" s="123"/>
      <c r="B18" s="123"/>
      <c r="C18" s="125"/>
      <c r="D18" s="126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3"/>
      <c r="S18" s="123"/>
      <c r="T18" s="123"/>
      <c r="U18" s="123"/>
      <c r="V18" s="123"/>
      <c r="W18" s="123"/>
      <c r="X18" s="123"/>
    </row>
    <row r="19" spans="1:24" ht="14.5">
      <c r="A19" s="123"/>
      <c r="B19" s="123"/>
      <c r="C19" s="125"/>
      <c r="D19" s="126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3"/>
      <c r="S19" s="123"/>
      <c r="T19" s="123"/>
      <c r="U19" s="123"/>
      <c r="V19" s="123"/>
      <c r="W19" s="123"/>
      <c r="X19" s="123"/>
    </row>
    <row r="20" spans="1:24" ht="14.5">
      <c r="A20" s="123"/>
      <c r="B20" s="123"/>
      <c r="C20" s="125"/>
      <c r="D20" s="126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3"/>
      <c r="S20" s="123"/>
      <c r="T20" s="123"/>
      <c r="U20" s="123"/>
      <c r="V20" s="123"/>
      <c r="W20" s="123"/>
      <c r="X20" s="123"/>
    </row>
    <row r="21" spans="1:24" ht="14.5">
      <c r="A21" s="123"/>
      <c r="B21" s="123"/>
      <c r="C21" s="125"/>
      <c r="D21" s="126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3"/>
      <c r="S21" s="123"/>
      <c r="T21" s="123"/>
      <c r="U21" s="123"/>
      <c r="V21" s="123"/>
      <c r="W21" s="123"/>
      <c r="X21" s="123"/>
    </row>
    <row r="22" spans="1:24" ht="14.5">
      <c r="A22" s="123"/>
      <c r="B22" s="123"/>
      <c r="C22" s="125"/>
      <c r="D22" s="126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3"/>
      <c r="S22" s="123"/>
      <c r="T22" s="123"/>
      <c r="U22" s="123"/>
      <c r="V22" s="123"/>
      <c r="W22" s="123"/>
      <c r="X22" s="123"/>
    </row>
    <row r="23" spans="1:24" ht="14.5">
      <c r="A23" s="123"/>
      <c r="B23" s="123"/>
      <c r="C23" s="125"/>
      <c r="D23" s="126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3"/>
      <c r="S23" s="123"/>
      <c r="T23" s="123"/>
      <c r="U23" s="123"/>
      <c r="V23" s="123"/>
      <c r="W23" s="123"/>
      <c r="X23" s="123"/>
    </row>
    <row r="24" spans="1:24" ht="14.5">
      <c r="A24" s="123"/>
      <c r="B24" s="123"/>
      <c r="C24" s="125"/>
      <c r="D24" s="126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3"/>
      <c r="S24" s="123"/>
      <c r="T24" s="123"/>
      <c r="U24" s="123"/>
      <c r="V24" s="123"/>
      <c r="W24" s="123"/>
      <c r="X24" s="123"/>
    </row>
    <row r="25" spans="1:24" ht="14.5">
      <c r="A25" s="123" t="s">
        <v>144</v>
      </c>
      <c r="B25" s="123"/>
      <c r="C25" s="125" t="s">
        <v>144</v>
      </c>
      <c r="D25" s="126" t="s">
        <v>144</v>
      </c>
      <c r="E25" s="128" t="s">
        <v>144</v>
      </c>
      <c r="F25" s="128" t="s">
        <v>144</v>
      </c>
      <c r="G25" s="128" t="s">
        <v>144</v>
      </c>
      <c r="H25" s="128" t="s">
        <v>144</v>
      </c>
      <c r="I25" s="128" t="s">
        <v>144</v>
      </c>
      <c r="J25" s="128" t="s">
        <v>144</v>
      </c>
      <c r="K25" s="128" t="s">
        <v>144</v>
      </c>
      <c r="L25" s="128" t="s">
        <v>144</v>
      </c>
      <c r="M25" s="128" t="s">
        <v>144</v>
      </c>
      <c r="N25" s="128" t="s">
        <v>144</v>
      </c>
      <c r="O25" s="128" t="s">
        <v>144</v>
      </c>
      <c r="P25" s="128" t="s">
        <v>144</v>
      </c>
      <c r="Q25" s="128" t="s">
        <v>144</v>
      </c>
      <c r="R25" s="123"/>
      <c r="S25" s="123"/>
      <c r="T25" s="123"/>
      <c r="U25" s="123"/>
      <c r="V25" s="123"/>
      <c r="W25" s="123"/>
      <c r="X25" s="123"/>
    </row>
    <row r="26" spans="1:24" ht="14.5">
      <c r="A26" s="364"/>
      <c r="B26" s="365"/>
      <c r="C26" s="366"/>
      <c r="D26" s="366"/>
      <c r="E26" s="367"/>
      <c r="F26" s="367"/>
      <c r="G26" s="367"/>
      <c r="H26" s="367"/>
      <c r="I26" s="367"/>
      <c r="J26" s="367"/>
      <c r="K26" s="367"/>
      <c r="L26" s="367"/>
      <c r="M26" s="367"/>
      <c r="N26" s="367"/>
      <c r="O26" s="367"/>
      <c r="P26" s="367"/>
      <c r="Q26" s="368"/>
      <c r="R26" s="123"/>
      <c r="S26" s="123"/>
      <c r="T26" s="123"/>
      <c r="U26" s="123"/>
      <c r="V26" s="123"/>
      <c r="W26" s="123"/>
      <c r="X26" s="123"/>
    </row>
    <row r="27" spans="1:24" ht="14.5">
      <c r="A27" s="357" t="s">
        <v>156</v>
      </c>
      <c r="B27" s="358"/>
      <c r="C27" s="369">
        <f>SUM(C13:C26)</f>
        <v>50394</v>
      </c>
      <c r="D27" s="391">
        <f>D13+D14</f>
        <v>1.0009999999999999</v>
      </c>
      <c r="E27" s="369">
        <f t="shared" ref="E27:Q27" si="0">SUM(E13:E26)</f>
        <v>0</v>
      </c>
      <c r="F27" s="369">
        <f t="shared" si="0"/>
        <v>0</v>
      </c>
      <c r="G27" s="369">
        <f t="shared" si="0"/>
        <v>0</v>
      </c>
      <c r="H27" s="369">
        <f t="shared" si="0"/>
        <v>0</v>
      </c>
      <c r="I27" s="369">
        <f t="shared" si="0"/>
        <v>0</v>
      </c>
      <c r="J27" s="369">
        <f t="shared" si="0"/>
        <v>0</v>
      </c>
      <c r="K27" s="369">
        <f t="shared" si="0"/>
        <v>0</v>
      </c>
      <c r="L27" s="369">
        <f t="shared" si="0"/>
        <v>0</v>
      </c>
      <c r="M27" s="369">
        <f t="shared" si="0"/>
        <v>0</v>
      </c>
      <c r="N27" s="369">
        <f t="shared" si="0"/>
        <v>0</v>
      </c>
      <c r="O27" s="369">
        <f t="shared" si="0"/>
        <v>0</v>
      </c>
      <c r="P27" s="369">
        <f t="shared" si="0"/>
        <v>0</v>
      </c>
      <c r="Q27" s="392">
        <f t="shared" si="0"/>
        <v>0</v>
      </c>
      <c r="R27" s="123"/>
      <c r="S27" s="123"/>
      <c r="T27" s="123"/>
      <c r="U27" s="123"/>
      <c r="V27" s="123"/>
      <c r="W27" s="123"/>
      <c r="X27" s="123"/>
    </row>
    <row r="28" spans="1:24" ht="14.5">
      <c r="A28" s="373"/>
      <c r="B28" s="374"/>
      <c r="C28" s="375"/>
      <c r="D28" s="375"/>
      <c r="E28" s="375"/>
      <c r="F28" s="375"/>
      <c r="G28" s="375"/>
      <c r="H28" s="375"/>
      <c r="I28" s="375"/>
      <c r="J28" s="375"/>
      <c r="K28" s="375"/>
      <c r="L28" s="375"/>
      <c r="M28" s="375"/>
      <c r="N28" s="375"/>
      <c r="O28" s="375"/>
      <c r="P28" s="375"/>
      <c r="Q28" s="376"/>
      <c r="R28" s="123"/>
      <c r="S28" s="123"/>
      <c r="T28" s="123"/>
      <c r="U28" s="123"/>
      <c r="V28" s="123"/>
      <c r="W28" s="123"/>
      <c r="X28" s="123"/>
    </row>
    <row r="29" spans="1:24" ht="14.5">
      <c r="A29" s="123"/>
      <c r="B29" s="123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3" t="s">
        <v>185</v>
      </c>
      <c r="P29" s="133"/>
      <c r="Q29" s="144">
        <f>Summary!O41</f>
        <v>0</v>
      </c>
      <c r="R29" s="123"/>
      <c r="S29" s="123"/>
      <c r="T29" s="123"/>
      <c r="U29" s="123"/>
      <c r="V29" s="123"/>
      <c r="W29" s="123"/>
      <c r="X29" s="123"/>
    </row>
    <row r="30" spans="1:24" ht="14.5">
      <c r="A30" s="123"/>
      <c r="B30" s="123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5" t="s">
        <v>172</v>
      </c>
      <c r="P30" s="139"/>
      <c r="Q30" s="146" t="e">
        <f>Q27/Q29</f>
        <v>#DIV/0!</v>
      </c>
      <c r="R30" s="123"/>
      <c r="S30" s="123"/>
      <c r="T30" s="123"/>
      <c r="U30" s="123"/>
      <c r="V30" s="123"/>
      <c r="W30" s="123"/>
      <c r="X30" s="123"/>
    </row>
    <row r="31" spans="1:24" ht="14.5">
      <c r="A31" s="123"/>
      <c r="B31" s="123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7"/>
      <c r="R31" s="123"/>
      <c r="S31" s="123"/>
      <c r="T31" s="123"/>
      <c r="U31" s="123"/>
      <c r="V31" s="123"/>
      <c r="W31" s="123"/>
      <c r="X31" s="123"/>
    </row>
    <row r="32" spans="1:24" ht="14.5">
      <c r="A32" s="123"/>
      <c r="B32" s="123"/>
      <c r="C32" s="123"/>
      <c r="D32" s="123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3"/>
      <c r="S32" s="123"/>
      <c r="T32" s="123"/>
      <c r="U32" s="123"/>
      <c r="V32" s="123"/>
      <c r="W32" s="123"/>
      <c r="X32" s="123"/>
    </row>
    <row r="33" spans="1:24" ht="14.5">
      <c r="A33" s="123"/>
      <c r="B33" s="123"/>
      <c r="C33" s="123"/>
      <c r="D33" s="123"/>
      <c r="E33" s="154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3"/>
      <c r="S33" s="123"/>
      <c r="T33" s="123"/>
      <c r="U33" s="123"/>
      <c r="V33" s="123"/>
      <c r="W33" s="123"/>
      <c r="X33" s="123"/>
    </row>
    <row r="34" spans="1:24" ht="14.5">
      <c r="A34" s="123"/>
      <c r="B34" s="123"/>
      <c r="C34" s="123"/>
      <c r="D34" s="123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3"/>
      <c r="S34" s="123"/>
      <c r="T34" s="123"/>
      <c r="U34" s="123"/>
      <c r="V34" s="123"/>
      <c r="W34" s="123"/>
      <c r="X34" s="123"/>
    </row>
    <row r="35" spans="1:24" ht="14.5">
      <c r="A35" s="123"/>
      <c r="B35" s="123"/>
      <c r="C35" s="123"/>
      <c r="D35" s="123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3"/>
      <c r="S35" s="123"/>
      <c r="T35" s="123"/>
      <c r="U35" s="123"/>
      <c r="V35" s="123"/>
      <c r="W35" s="123"/>
      <c r="X35" s="123"/>
    </row>
    <row r="36" spans="1:24" ht="14.5">
      <c r="A36" s="123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</row>
    <row r="37" spans="1:24" ht="14.5">
      <c r="A37" s="123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</row>
    <row r="38" spans="1:24" ht="14.5">
      <c r="A38" s="123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</row>
    <row r="39" spans="1:24" ht="14.5">
      <c r="A39" s="123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</row>
  </sheetData>
  <customSheetViews>
    <customSheetView guid="{7691FA39-7EA9-407C-9567-49BEFD6339F8}" scale="75" showPageBreaks="1" fitToPage="1" showRuler="0">
      <selection sqref="A1:IV65536"/>
      <pageMargins left="0" right="0" top="0" bottom="0" header="0" footer="0"/>
      <printOptions horizontalCentered="1"/>
      <pageSetup scale="73" firstPageNumber="7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Q6"/>
    <mergeCell ref="A2:Q2"/>
    <mergeCell ref="A3:Q3"/>
    <mergeCell ref="A4:Q4"/>
    <mergeCell ref="A5:Q5"/>
  </mergeCells>
  <phoneticPr fontId="5" type="noConversion"/>
  <printOptions horizontalCentered="1"/>
  <pageMargins left="0.5" right="0.5" top="0.75" bottom="0.5" header="0.5" footer="0.5"/>
  <pageSetup paperSize="3" scale="81" firstPageNumber="8" orientation="landscape" useFirstPageNumber="1" r:id="rId2"/>
  <headerFooter alignWithMargins="0">
    <oddFooter>Page &amp;P</oddFooter>
  </headerFooter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927C6-D248-4056-B9AC-DFE1842C325E}">
  <sheetPr>
    <pageSetUpPr fitToPage="1"/>
  </sheetPr>
  <dimension ref="A1:Q51"/>
  <sheetViews>
    <sheetView zoomScale="70" zoomScaleNormal="70" workbookViewId="0">
      <selection activeCell="A23" sqref="A23:P25"/>
    </sheetView>
  </sheetViews>
  <sheetFormatPr defaultRowHeight="12.5"/>
  <cols>
    <col min="1" max="1" width="50.54296875" bestFit="1" customWidth="1"/>
    <col min="2" max="2" width="11.54296875" bestFit="1" customWidth="1"/>
    <col min="3" max="15" width="11.81640625" bestFit="1" customWidth="1"/>
    <col min="16" max="16" width="12.1796875" bestFit="1" customWidth="1"/>
    <col min="17" max="17" width="10.26953125" customWidth="1"/>
  </cols>
  <sheetData>
    <row r="1" spans="1:16" ht="14.5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42"/>
      <c r="P1" s="237"/>
    </row>
    <row r="2" spans="1:16" ht="14.5">
      <c r="A2" s="471" t="str">
        <f>+Summary!A2</f>
        <v>ATHENA PROPERTY MANAGEMENT</v>
      </c>
      <c r="B2" s="471"/>
      <c r="C2" s="471"/>
      <c r="D2" s="471"/>
      <c r="E2" s="471"/>
      <c r="F2" s="471"/>
      <c r="G2" s="471"/>
      <c r="H2" s="471"/>
      <c r="I2" s="471"/>
      <c r="J2" s="471"/>
      <c r="K2" s="471"/>
      <c r="L2" s="471"/>
      <c r="M2" s="471"/>
      <c r="N2" s="471"/>
      <c r="O2" s="471"/>
      <c r="P2" s="471"/>
    </row>
    <row r="3" spans="1:16" ht="14.5">
      <c r="A3" s="471" t="str">
        <f>Summary!$A3</f>
        <v>Goodyear Arizona Big Lots</v>
      </c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  <c r="N3" s="471"/>
      <c r="O3" s="471"/>
      <c r="P3" s="471"/>
    </row>
    <row r="4" spans="1:16" ht="14.5">
      <c r="A4" s="471"/>
      <c r="B4" s="471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471"/>
      <c r="N4" s="471"/>
      <c r="O4" s="471"/>
      <c r="P4" s="471"/>
    </row>
    <row r="5" spans="1:16" ht="14.5">
      <c r="A5" s="471" t="str">
        <f>Summary!$A5</f>
        <v>01/01/2026  TO   12/31/2026</v>
      </c>
      <c r="B5" s="471"/>
      <c r="C5" s="471"/>
      <c r="D5" s="471"/>
      <c r="E5" s="471"/>
      <c r="F5" s="471"/>
      <c r="G5" s="471"/>
      <c r="H5" s="471"/>
      <c r="I5" s="471"/>
      <c r="J5" s="471"/>
      <c r="K5" s="471"/>
      <c r="L5" s="471"/>
      <c r="M5" s="471"/>
      <c r="N5" s="471"/>
      <c r="O5" s="471"/>
      <c r="P5" s="471"/>
    </row>
    <row r="6" spans="1:16" ht="14.5">
      <c r="A6" s="471" t="str">
        <f>Summary!$A6</f>
        <v>2026 OPERATING BUDGET</v>
      </c>
      <c r="B6" s="471"/>
      <c r="C6" s="471"/>
      <c r="D6" s="471"/>
      <c r="E6" s="471"/>
      <c r="F6" s="471"/>
      <c r="G6" s="471"/>
      <c r="H6" s="471"/>
      <c r="I6" s="471"/>
      <c r="J6" s="471"/>
      <c r="K6" s="471"/>
      <c r="L6" s="471"/>
      <c r="M6" s="471"/>
      <c r="N6" s="471"/>
      <c r="O6" s="471"/>
      <c r="P6" s="471"/>
    </row>
    <row r="7" spans="1:16" ht="14.5">
      <c r="A7" s="123"/>
      <c r="B7" s="123"/>
      <c r="C7" s="123"/>
      <c r="D7" s="123"/>
      <c r="E7" s="123"/>
      <c r="F7" s="123"/>
      <c r="G7" s="123"/>
      <c r="H7" s="238"/>
      <c r="I7" s="123"/>
      <c r="J7" s="123"/>
      <c r="K7" s="123"/>
      <c r="L7" s="123"/>
      <c r="M7" s="123"/>
      <c r="N7" s="123"/>
      <c r="O7" s="123"/>
      <c r="P7" s="123"/>
    </row>
    <row r="8" spans="1:16" ht="14.5">
      <c r="A8" s="219"/>
      <c r="B8" s="219"/>
      <c r="C8" s="231"/>
      <c r="D8" s="219"/>
      <c r="E8" s="219"/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</row>
    <row r="9" spans="1:16" ht="14.5">
      <c r="A9" s="222" t="s">
        <v>152</v>
      </c>
      <c r="B9" s="222" t="s">
        <v>153</v>
      </c>
      <c r="C9" s="222" t="s">
        <v>154</v>
      </c>
      <c r="D9" s="222" t="s">
        <v>39</v>
      </c>
      <c r="E9" s="222" t="s">
        <v>40</v>
      </c>
      <c r="F9" s="222" t="s">
        <v>3</v>
      </c>
      <c r="G9" s="222" t="s">
        <v>4</v>
      </c>
      <c r="H9" s="222" t="s">
        <v>5</v>
      </c>
      <c r="I9" s="222" t="s">
        <v>6</v>
      </c>
      <c r="J9" s="222" t="s">
        <v>7</v>
      </c>
      <c r="K9" s="222" t="s">
        <v>8</v>
      </c>
      <c r="L9" s="222" t="s">
        <v>41</v>
      </c>
      <c r="M9" s="222" t="s">
        <v>42</v>
      </c>
      <c r="N9" s="222" t="s">
        <v>43</v>
      </c>
      <c r="O9" s="222" t="s">
        <v>44</v>
      </c>
      <c r="P9" s="222" t="s">
        <v>156</v>
      </c>
    </row>
    <row r="10" spans="1:16" ht="14.5">
      <c r="A10" s="224"/>
      <c r="B10" s="225" t="s">
        <v>159</v>
      </c>
      <c r="C10" s="225" t="s">
        <v>160</v>
      </c>
      <c r="D10" s="224"/>
      <c r="E10" s="224"/>
      <c r="F10" s="224"/>
      <c r="G10" s="224"/>
      <c r="H10" s="224"/>
      <c r="I10" s="224"/>
      <c r="J10" s="224"/>
      <c r="K10" s="224"/>
      <c r="L10" s="224"/>
      <c r="M10" s="224"/>
      <c r="N10" s="224"/>
      <c r="O10" s="224"/>
      <c r="P10" s="224"/>
    </row>
    <row r="11" spans="1:16" ht="14.5">
      <c r="A11" s="163"/>
      <c r="B11" s="123"/>
      <c r="C11" s="232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</row>
    <row r="12" spans="1:16" ht="14.5">
      <c r="A12" s="227" t="s">
        <v>186</v>
      </c>
      <c r="B12" s="123"/>
      <c r="C12" s="232"/>
      <c r="D12" s="234"/>
      <c r="E12" s="234"/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P12" s="234"/>
    </row>
    <row r="13" spans="1:16" ht="14.5">
      <c r="A13" s="123" t="str">
        <f>Rent!A13</f>
        <v>VACANT (old Big Lots)</v>
      </c>
      <c r="B13" s="124" t="str">
        <f>Rent!B13</f>
        <v>409-117</v>
      </c>
      <c r="C13" s="239">
        <f>Rent!C13</f>
        <v>28159</v>
      </c>
      <c r="D13" s="127">
        <f>IF(Rent!E13=0,0,($C13))</f>
        <v>0</v>
      </c>
      <c r="E13" s="127">
        <f>IF(Rent!F13=0,0,($C13))</f>
        <v>0</v>
      </c>
      <c r="F13" s="127">
        <f>IF(Rent!G13=0,0,($C13))</f>
        <v>0</v>
      </c>
      <c r="G13" s="127">
        <f>IF(Rent!H13=0,0,($C13))</f>
        <v>0</v>
      </c>
      <c r="H13" s="127">
        <f>IF(Rent!I13=0,0,($C13))</f>
        <v>0</v>
      </c>
      <c r="I13" s="127">
        <f>IF(Rent!J13=0,0,($C13))</f>
        <v>0</v>
      </c>
      <c r="J13" s="127">
        <f>IF(Rent!K13=0,0,($C13))</f>
        <v>0</v>
      </c>
      <c r="K13" s="127">
        <f>IF(Rent!L13=0,0,($C13))</f>
        <v>0</v>
      </c>
      <c r="L13" s="127">
        <f>IF(Rent!M13=0,0,($C13))</f>
        <v>0</v>
      </c>
      <c r="M13" s="127">
        <f>IF(Rent!N13=0,0,($C13))</f>
        <v>0</v>
      </c>
      <c r="N13" s="127">
        <f>IF(Rent!O13=0,0,($C13))</f>
        <v>0</v>
      </c>
      <c r="O13" s="127">
        <f>IF(Rent!P13=0,0,($C13))</f>
        <v>0</v>
      </c>
      <c r="P13" s="240">
        <f>(SUM(D13:O13))/12</f>
        <v>0</v>
      </c>
    </row>
    <row r="14" spans="1:16" ht="14.5">
      <c r="A14" s="123" t="str">
        <f>Rent!A14</f>
        <v>Planet Fitness</v>
      </c>
      <c r="B14" s="124" t="str">
        <f>Rent!B14</f>
        <v>409-112</v>
      </c>
      <c r="C14" s="239">
        <v>22235</v>
      </c>
      <c r="D14" s="127">
        <f>IF(Rent!E14=0,0,($C14))</f>
        <v>22235</v>
      </c>
      <c r="E14" s="127">
        <f>IF(Rent!F14=0,0,($C14))</f>
        <v>22235</v>
      </c>
      <c r="F14" s="127">
        <f>IF(Rent!G14=0,0,($C14))</f>
        <v>22235</v>
      </c>
      <c r="G14" s="127">
        <f>IF(Rent!H14=0,0,($C14))</f>
        <v>22235</v>
      </c>
      <c r="H14" s="127">
        <f>IF(Rent!I14=0,0,($C14))</f>
        <v>22235</v>
      </c>
      <c r="I14" s="127">
        <f>IF(Rent!J14=0,0,($C14))</f>
        <v>22235</v>
      </c>
      <c r="J14" s="127">
        <f>IF(Rent!K14=0,0,($C14))</f>
        <v>22235</v>
      </c>
      <c r="K14" s="127">
        <f>IF(Rent!L14=0,0,($C14))</f>
        <v>22235</v>
      </c>
      <c r="L14" s="127">
        <f>IF(Rent!M14=0,0,($C14))</f>
        <v>22235</v>
      </c>
      <c r="M14" s="127">
        <f>IF(Rent!N14=0,0,($C14))</f>
        <v>22235</v>
      </c>
      <c r="N14" s="127">
        <f>IF(Rent!O14=0,0,($C14))</f>
        <v>22235</v>
      </c>
      <c r="O14" s="127">
        <f>IF(Rent!P14=0,0,($C14))</f>
        <v>22235</v>
      </c>
      <c r="P14" s="240">
        <f>(SUM(D14:O14))/12</f>
        <v>22235</v>
      </c>
    </row>
    <row r="15" spans="1:16" ht="14.5">
      <c r="A15" s="123" t="str">
        <f>Rent!A15</f>
        <v>EV Charging Station</v>
      </c>
      <c r="B15" s="124" t="str">
        <f>Rent!B15</f>
        <v>PKG</v>
      </c>
      <c r="C15" s="239">
        <v>0</v>
      </c>
      <c r="D15" s="127">
        <f>IF(Rent!E15=0,0,($C15))</f>
        <v>0</v>
      </c>
      <c r="E15" s="127">
        <f>IF(Rent!F15=0,0,($C15))</f>
        <v>0</v>
      </c>
      <c r="F15" s="127">
        <f>IF(Rent!G15=0,0,($C15))</f>
        <v>0</v>
      </c>
      <c r="G15" s="127">
        <f>IF(Rent!H15=0,0,($C15))</f>
        <v>0</v>
      </c>
      <c r="H15" s="127">
        <f>IF(Rent!I15=0,0,($C15))</f>
        <v>0</v>
      </c>
      <c r="I15" s="127">
        <f>IF(Rent!J15=0,0,($C15))</f>
        <v>0</v>
      </c>
      <c r="J15" s="127">
        <f>IF(Rent!K15=0,0,($C15))</f>
        <v>0</v>
      </c>
      <c r="K15" s="127">
        <f>IF(Rent!L15=0,0,($C15))</f>
        <v>0</v>
      </c>
      <c r="L15" s="127">
        <f>IF(Rent!M15=0,0,($C15))</f>
        <v>0</v>
      </c>
      <c r="M15" s="127">
        <f>IF(Rent!N15=0,0,($C15))</f>
        <v>0</v>
      </c>
      <c r="N15" s="127">
        <f>IF(Rent!O15=0,0,($C15))</f>
        <v>0</v>
      </c>
      <c r="O15" s="127">
        <f>IF(Rent!P15=0,0,($C15))</f>
        <v>0</v>
      </c>
      <c r="P15" s="240">
        <f>(SUM(D15:O15))/12</f>
        <v>0</v>
      </c>
    </row>
    <row r="16" spans="1:16" ht="14.5">
      <c r="A16" s="123"/>
      <c r="B16" s="124"/>
      <c r="C16" s="239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240"/>
    </row>
    <row r="17" spans="1:17" ht="14.5">
      <c r="A17" s="123"/>
      <c r="B17" s="123"/>
      <c r="C17" s="125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7"/>
    </row>
    <row r="18" spans="1:17" ht="14.5">
      <c r="A18" s="123"/>
      <c r="B18" s="123"/>
      <c r="C18" s="125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7"/>
    </row>
    <row r="19" spans="1:17" ht="14.5">
      <c r="A19" s="123"/>
      <c r="B19" s="123"/>
      <c r="C19" s="125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7"/>
    </row>
    <row r="20" spans="1:17">
      <c r="A20" s="6"/>
      <c r="B20" s="6"/>
      <c r="C20" s="49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8"/>
    </row>
    <row r="21" spans="1:17">
      <c r="A21" s="6"/>
      <c r="B21" s="6"/>
      <c r="C21" s="49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8"/>
    </row>
    <row r="22" spans="1:17">
      <c r="A22" s="6"/>
      <c r="B22" s="6"/>
      <c r="C22" s="49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  <row r="23" spans="1:17">
      <c r="A23" s="343"/>
      <c r="B23" s="344"/>
      <c r="C23" s="345"/>
      <c r="D23" s="346"/>
      <c r="E23" s="346"/>
      <c r="F23" s="346"/>
      <c r="G23" s="346"/>
      <c r="H23" s="346"/>
      <c r="I23" s="346"/>
      <c r="J23" s="346"/>
      <c r="K23" s="346"/>
      <c r="L23" s="346"/>
      <c r="M23" s="346"/>
      <c r="N23" s="346"/>
      <c r="O23" s="346"/>
      <c r="P23" s="347"/>
    </row>
    <row r="24" spans="1:17" ht="13">
      <c r="A24" s="348" t="s">
        <v>156</v>
      </c>
      <c r="B24" s="349"/>
      <c r="C24" s="350">
        <f t="shared" ref="C24:O24" si="0">SUM(C13:C22)</f>
        <v>50394</v>
      </c>
      <c r="D24" s="351">
        <f t="shared" si="0"/>
        <v>22235</v>
      </c>
      <c r="E24" s="351">
        <f t="shared" si="0"/>
        <v>22235</v>
      </c>
      <c r="F24" s="351">
        <f t="shared" si="0"/>
        <v>22235</v>
      </c>
      <c r="G24" s="351">
        <f t="shared" si="0"/>
        <v>22235</v>
      </c>
      <c r="H24" s="351">
        <f t="shared" si="0"/>
        <v>22235</v>
      </c>
      <c r="I24" s="351">
        <f t="shared" si="0"/>
        <v>22235</v>
      </c>
      <c r="J24" s="351">
        <f t="shared" si="0"/>
        <v>22235</v>
      </c>
      <c r="K24" s="351">
        <f t="shared" si="0"/>
        <v>22235</v>
      </c>
      <c r="L24" s="351">
        <f t="shared" si="0"/>
        <v>22235</v>
      </c>
      <c r="M24" s="351">
        <f t="shared" si="0"/>
        <v>22235</v>
      </c>
      <c r="N24" s="351">
        <f t="shared" si="0"/>
        <v>22235</v>
      </c>
      <c r="O24" s="351">
        <f t="shared" si="0"/>
        <v>22235</v>
      </c>
      <c r="P24" s="352">
        <v>0</v>
      </c>
    </row>
    <row r="25" spans="1:17">
      <c r="A25" s="353"/>
      <c r="B25" s="354"/>
      <c r="C25" s="354"/>
      <c r="D25" s="355">
        <f>D24/$C$24</f>
        <v>0.44122316148747864</v>
      </c>
      <c r="E25" s="355">
        <f t="shared" ref="E25:O25" si="1">E24/$C$24</f>
        <v>0.44122316148747864</v>
      </c>
      <c r="F25" s="355">
        <f t="shared" si="1"/>
        <v>0.44122316148747864</v>
      </c>
      <c r="G25" s="355">
        <f t="shared" si="1"/>
        <v>0.44122316148747864</v>
      </c>
      <c r="H25" s="355">
        <f t="shared" si="1"/>
        <v>0.44122316148747864</v>
      </c>
      <c r="I25" s="355">
        <f t="shared" si="1"/>
        <v>0.44122316148747864</v>
      </c>
      <c r="J25" s="355">
        <f t="shared" si="1"/>
        <v>0.44122316148747864</v>
      </c>
      <c r="K25" s="355">
        <f t="shared" si="1"/>
        <v>0.44122316148747864</v>
      </c>
      <c r="L25" s="355">
        <f t="shared" si="1"/>
        <v>0.44122316148747864</v>
      </c>
      <c r="M25" s="355">
        <f t="shared" si="1"/>
        <v>0.44122316148747864</v>
      </c>
      <c r="N25" s="355">
        <f t="shared" si="1"/>
        <v>0.44122316148747864</v>
      </c>
      <c r="O25" s="355">
        <f t="shared" si="1"/>
        <v>0.44122316148747864</v>
      </c>
      <c r="P25" s="356"/>
    </row>
    <row r="26" spans="1:17">
      <c r="A26" s="6"/>
      <c r="B26" s="6"/>
      <c r="C26" s="34"/>
      <c r="D26" s="50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</row>
    <row r="27" spans="1:17">
      <c r="B27" s="9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7">
      <c r="B28" s="9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7">
      <c r="B29" s="9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7">
      <c r="B30" s="9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7">
      <c r="B31" s="9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7"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3:15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3:15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3:15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3:15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3:15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3:15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3:15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3:15"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3:15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3:15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3:15"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3:15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3:15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3:15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3:15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3:15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3:16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3:16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3:16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</sheetData>
  <customSheetViews>
    <customSheetView guid="{7691FA39-7EA9-407C-9567-49BEFD6339F8}" scale="75" showPageBreaks="1" printArea="1" showRuler="0">
      <selection activeCell="A32" sqref="A32"/>
      <rowBreaks count="1" manualBreakCount="1">
        <brk id="55" max="15" man="1"/>
      </rowBreaks>
      <pageMargins left="0" right="0" top="0" bottom="0" header="0" footer="0"/>
      <printOptions horizontalCentered="1"/>
      <pageSetup scale="65" firstPageNumber="13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P6"/>
    <mergeCell ref="A2:P2"/>
    <mergeCell ref="A3:P3"/>
    <mergeCell ref="A4:P4"/>
    <mergeCell ref="A5:P5"/>
  </mergeCells>
  <phoneticPr fontId="5" type="noConversion"/>
  <printOptions horizontalCentered="1"/>
  <pageMargins left="0.5" right="0.5" top="0.75" bottom="0.75" header="0.5" footer="0.5"/>
  <pageSetup paperSize="3" scale="88" firstPageNumber="9" orientation="landscape" useFirstPageNumber="1" r:id="rId2"/>
  <headerFooter alignWithMargins="0">
    <oddFooter>Page &amp;P</oddFooter>
  </headerFooter>
  <rowBreaks count="1" manualBreakCount="1">
    <brk id="25" max="15" man="1"/>
  </rowBrea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06D4B-E680-48B4-8023-7FD20850F506}">
  <sheetPr>
    <tabColor rgb="FFFFFF00"/>
    <pageSetUpPr fitToPage="1"/>
  </sheetPr>
  <dimension ref="A1:V49"/>
  <sheetViews>
    <sheetView view="pageBreakPreview" topLeftCell="A18" zoomScale="90" zoomScaleNormal="85" zoomScaleSheetLayoutView="90" workbookViewId="0">
      <selection activeCell="J30" sqref="J30"/>
    </sheetView>
  </sheetViews>
  <sheetFormatPr defaultColWidth="9.1796875" defaultRowHeight="12.5"/>
  <cols>
    <col min="1" max="1" width="51.54296875" style="6" customWidth="1"/>
    <col min="2" max="2" width="11.81640625" style="6" bestFit="1" customWidth="1"/>
    <col min="3" max="3" width="11.453125" style="6" customWidth="1"/>
    <col min="4" max="4" width="10.54296875" style="6" bestFit="1" customWidth="1"/>
    <col min="5" max="5" width="11.7265625" style="6" bestFit="1" customWidth="1"/>
    <col min="6" max="6" width="11.81640625" style="6" bestFit="1" customWidth="1"/>
    <col min="7" max="16" width="11.54296875" style="6" bestFit="1" customWidth="1"/>
    <col min="17" max="17" width="11.453125" style="6" bestFit="1" customWidth="1"/>
    <col min="18" max="19" width="0" style="6" hidden="1" customWidth="1"/>
    <col min="20" max="20" width="55.1796875" style="6" customWidth="1"/>
    <col min="21" max="16384" width="9.1796875" style="6"/>
  </cols>
  <sheetData>
    <row r="1" spans="1:22" ht="14.5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42"/>
      <c r="Q1" s="217"/>
      <c r="R1" s="123"/>
      <c r="S1" s="123"/>
      <c r="T1" s="123"/>
      <c r="U1" s="123"/>
      <c r="V1" s="123"/>
    </row>
    <row r="2" spans="1:22" ht="14.5">
      <c r="A2" s="471" t="str">
        <f>Summary!$A2</f>
        <v>ATHENA PROPERTY MANAGEMENT</v>
      </c>
      <c r="B2" s="471"/>
      <c r="C2" s="471"/>
      <c r="D2" s="471"/>
      <c r="E2" s="471"/>
      <c r="F2" s="471"/>
      <c r="G2" s="471"/>
      <c r="H2" s="471"/>
      <c r="I2" s="471"/>
      <c r="J2" s="471"/>
      <c r="K2" s="471"/>
      <c r="L2" s="471"/>
      <c r="M2" s="471"/>
      <c r="N2" s="471"/>
      <c r="O2" s="471"/>
      <c r="P2" s="471"/>
      <c r="Q2" s="471"/>
      <c r="R2" s="123"/>
      <c r="S2" s="123"/>
      <c r="T2" s="123"/>
      <c r="U2" s="123"/>
      <c r="V2" s="123"/>
    </row>
    <row r="3" spans="1:22" ht="14.5">
      <c r="A3" s="471" t="str">
        <f>Summary!$A3</f>
        <v>Goodyear Arizona Big Lots</v>
      </c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  <c r="N3" s="471"/>
      <c r="O3" s="471"/>
      <c r="P3" s="471"/>
      <c r="Q3" s="471"/>
      <c r="R3" s="123"/>
      <c r="S3" s="123"/>
      <c r="T3" s="123"/>
      <c r="U3" s="123"/>
      <c r="V3" s="123"/>
    </row>
    <row r="4" spans="1:22" ht="14.5">
      <c r="A4" s="471"/>
      <c r="B4" s="471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471"/>
      <c r="N4" s="471"/>
      <c r="O4" s="471"/>
      <c r="P4" s="471"/>
      <c r="Q4" s="471"/>
      <c r="R4" s="123"/>
      <c r="S4" s="123"/>
      <c r="T4" s="123"/>
      <c r="U4" s="123"/>
      <c r="V4" s="123"/>
    </row>
    <row r="5" spans="1:22" ht="14.5">
      <c r="A5" s="471" t="str">
        <f>Summary!$A5</f>
        <v>01/01/2026  TO   12/31/2026</v>
      </c>
      <c r="B5" s="471"/>
      <c r="C5" s="471"/>
      <c r="D5" s="471"/>
      <c r="E5" s="471"/>
      <c r="F5" s="471"/>
      <c r="G5" s="471"/>
      <c r="H5" s="471"/>
      <c r="I5" s="471"/>
      <c r="J5" s="471"/>
      <c r="K5" s="471"/>
      <c r="L5" s="471"/>
      <c r="M5" s="471"/>
      <c r="N5" s="471"/>
      <c r="O5" s="471"/>
      <c r="P5" s="471"/>
      <c r="Q5" s="471"/>
      <c r="R5" s="123"/>
      <c r="S5" s="123"/>
      <c r="T5" s="123"/>
      <c r="U5" s="123"/>
      <c r="V5" s="123"/>
    </row>
    <row r="6" spans="1:22" ht="14.5">
      <c r="A6" s="471" t="str">
        <f>Summary!$A6</f>
        <v>2026 OPERATING BUDGET</v>
      </c>
      <c r="B6" s="471"/>
      <c r="C6" s="471"/>
      <c r="D6" s="471"/>
      <c r="E6" s="471"/>
      <c r="F6" s="471"/>
      <c r="G6" s="471"/>
      <c r="H6" s="471"/>
      <c r="I6" s="471"/>
      <c r="J6" s="471"/>
      <c r="K6" s="471"/>
      <c r="L6" s="471"/>
      <c r="M6" s="471"/>
      <c r="N6" s="471"/>
      <c r="O6" s="471"/>
      <c r="P6" s="471"/>
      <c r="Q6" s="471"/>
      <c r="R6" s="123"/>
      <c r="S6" s="123"/>
      <c r="T6" s="123"/>
      <c r="U6" s="123"/>
      <c r="V6" s="123"/>
    </row>
    <row r="7" spans="1:22" ht="14.5">
      <c r="A7" s="123"/>
      <c r="B7" s="123"/>
      <c r="C7" s="123"/>
      <c r="D7" s="123"/>
      <c r="E7" s="123"/>
      <c r="F7" s="123"/>
      <c r="G7" s="123"/>
      <c r="H7" s="218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</row>
    <row r="8" spans="1:22" ht="14.5">
      <c r="A8" s="219"/>
      <c r="B8" s="219"/>
      <c r="C8" s="231"/>
      <c r="D8" s="219"/>
      <c r="E8" s="219"/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494" t="s">
        <v>187</v>
      </c>
      <c r="R8" s="123"/>
      <c r="S8" s="123"/>
      <c r="T8" s="123"/>
      <c r="U8" s="123"/>
      <c r="V8" s="123"/>
    </row>
    <row r="9" spans="1:22" ht="14.5">
      <c r="A9" s="222" t="s">
        <v>152</v>
      </c>
      <c r="B9" s="222" t="s">
        <v>153</v>
      </c>
      <c r="C9" s="222" t="s">
        <v>154</v>
      </c>
      <c r="D9" s="222" t="s">
        <v>155</v>
      </c>
      <c r="E9" s="222" t="s">
        <v>39</v>
      </c>
      <c r="F9" s="222" t="s">
        <v>40</v>
      </c>
      <c r="G9" s="222" t="s">
        <v>3</v>
      </c>
      <c r="H9" s="222" t="s">
        <v>4</v>
      </c>
      <c r="I9" s="222" t="s">
        <v>5</v>
      </c>
      <c r="J9" s="222" t="s">
        <v>6</v>
      </c>
      <c r="K9" s="222" t="s">
        <v>7</v>
      </c>
      <c r="L9" s="222" t="s">
        <v>8</v>
      </c>
      <c r="M9" s="222" t="s">
        <v>41</v>
      </c>
      <c r="N9" s="222" t="s">
        <v>42</v>
      </c>
      <c r="O9" s="222" t="s">
        <v>43</v>
      </c>
      <c r="P9" s="222" t="s">
        <v>44</v>
      </c>
      <c r="Q9" s="495"/>
      <c r="R9" s="222" t="s">
        <v>157</v>
      </c>
      <c r="S9" s="222" t="s">
        <v>158</v>
      </c>
      <c r="T9" s="123"/>
      <c r="U9" s="123"/>
      <c r="V9" s="123"/>
    </row>
    <row r="10" spans="1:22" ht="14.5">
      <c r="A10" s="224"/>
      <c r="B10" s="225" t="s">
        <v>159</v>
      </c>
      <c r="C10" s="225" t="s">
        <v>160</v>
      </c>
      <c r="D10" s="224"/>
      <c r="E10" s="224"/>
      <c r="F10" s="224"/>
      <c r="G10" s="224"/>
      <c r="H10" s="224"/>
      <c r="I10" s="224"/>
      <c r="J10" s="224"/>
      <c r="K10" s="224"/>
      <c r="L10" s="224"/>
      <c r="M10" s="224"/>
      <c r="N10" s="224"/>
      <c r="O10" s="224"/>
      <c r="P10" s="224"/>
      <c r="Q10" s="496"/>
      <c r="R10" s="123"/>
      <c r="S10" s="123"/>
      <c r="T10" s="123"/>
      <c r="U10" s="123"/>
      <c r="V10" s="123"/>
    </row>
    <row r="11" spans="1:22" ht="14.5">
      <c r="A11" s="281" t="s">
        <v>188</v>
      </c>
      <c r="B11" s="133"/>
      <c r="C11" s="133"/>
      <c r="D11" s="282">
        <f>0.5%+2.5%</f>
        <v>3.0000000000000002E-2</v>
      </c>
      <c r="E11" s="283"/>
      <c r="F11" s="283"/>
      <c r="G11" s="283"/>
      <c r="H11" s="283"/>
      <c r="I11" s="283"/>
      <c r="J11" s="283"/>
      <c r="K11" s="283"/>
      <c r="L11" s="283"/>
      <c r="M11" s="283"/>
      <c r="N11" s="283"/>
      <c r="O11" s="283"/>
      <c r="P11" s="283"/>
      <c r="Q11" s="284"/>
      <c r="R11" s="123"/>
      <c r="S11" s="123"/>
      <c r="T11" s="163"/>
      <c r="U11" s="123"/>
      <c r="V11" s="123"/>
    </row>
    <row r="12" spans="1:22" ht="14.5">
      <c r="A12" s="229"/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49"/>
      <c r="R12" s="123"/>
      <c r="S12" s="123"/>
      <c r="T12" s="163"/>
      <c r="U12" s="123"/>
      <c r="V12" s="123"/>
    </row>
    <row r="13" spans="1:22" ht="14.5">
      <c r="A13" s="152" t="s">
        <v>189</v>
      </c>
      <c r="B13" s="300"/>
      <c r="C13" s="134">
        <v>28159</v>
      </c>
      <c r="D13" s="301"/>
      <c r="E13" s="301"/>
      <c r="F13" s="301"/>
      <c r="G13" s="301"/>
      <c r="H13" s="301"/>
      <c r="I13" s="301"/>
      <c r="J13" s="301"/>
      <c r="K13" s="301"/>
      <c r="L13" s="301"/>
      <c r="M13" s="301"/>
      <c r="N13" s="301"/>
      <c r="O13" s="301"/>
      <c r="P13" s="301"/>
      <c r="Q13" s="136">
        <f>SUM(E13:P13)</f>
        <v>0</v>
      </c>
      <c r="R13" s="123"/>
      <c r="S13" s="123"/>
      <c r="T13" s="163"/>
      <c r="U13" s="123"/>
      <c r="V13" s="123"/>
    </row>
    <row r="14" spans="1:22" ht="14.5">
      <c r="A14" s="150"/>
      <c r="B14" s="124" t="s">
        <v>190</v>
      </c>
      <c r="C14" s="125"/>
      <c r="D14" s="137">
        <v>0.03</v>
      </c>
      <c r="E14" s="266">
        <f>Rent!E13*3%</f>
        <v>0</v>
      </c>
      <c r="F14" s="266">
        <f>Rent!F13*3%</f>
        <v>0</v>
      </c>
      <c r="G14" s="266">
        <f>Rent!H13*3%</f>
        <v>0</v>
      </c>
      <c r="H14" s="266">
        <f>Rent!I13*3%</f>
        <v>0</v>
      </c>
      <c r="I14" s="266">
        <f>Rent!J13*3%</f>
        <v>0</v>
      </c>
      <c r="J14" s="266">
        <f>Rent!K13*3%</f>
        <v>0</v>
      </c>
      <c r="K14" s="266">
        <f>Rent!L13*3%</f>
        <v>0</v>
      </c>
      <c r="L14" s="266">
        <f>Rent!M13*3%</f>
        <v>0</v>
      </c>
      <c r="M14" s="266">
        <f>Rent!N13*3%</f>
        <v>0</v>
      </c>
      <c r="N14" s="266">
        <f>Rent!O13*3%</f>
        <v>0</v>
      </c>
      <c r="O14" s="266">
        <f>Rent!P13*3%</f>
        <v>0</v>
      </c>
      <c r="P14" s="266">
        <f>Rent!P13*3%</f>
        <v>0</v>
      </c>
      <c r="Q14" s="148">
        <f>SUM(E14:P14)</f>
        <v>0</v>
      </c>
      <c r="R14" s="123"/>
      <c r="S14" s="123"/>
      <c r="T14" s="163"/>
      <c r="U14" s="123"/>
      <c r="V14" s="123"/>
    </row>
    <row r="15" spans="1:22" ht="14.5">
      <c r="A15" s="150"/>
      <c r="B15" s="124" t="s">
        <v>146</v>
      </c>
      <c r="C15" s="125"/>
      <c r="D15" s="137">
        <v>0.03</v>
      </c>
      <c r="E15" s="266">
        <f>CAM!E13*3%</f>
        <v>0</v>
      </c>
      <c r="F15" s="266">
        <f>CAM!F13*3%</f>
        <v>0</v>
      </c>
      <c r="G15" s="266">
        <f>CAM!G13*3%</f>
        <v>0</v>
      </c>
      <c r="H15" s="266">
        <f>CAM!H13*3%</f>
        <v>0</v>
      </c>
      <c r="I15" s="266">
        <f>CAM!I13*3%</f>
        <v>0</v>
      </c>
      <c r="J15" s="266">
        <f>CAM!J13*3%</f>
        <v>0</v>
      </c>
      <c r="K15" s="266">
        <f>CAM!K13*3%</f>
        <v>0</v>
      </c>
      <c r="L15" s="266">
        <f>CAM!L13*3%</f>
        <v>0</v>
      </c>
      <c r="M15" s="266">
        <f>CAM!M13*3%</f>
        <v>0</v>
      </c>
      <c r="N15" s="266">
        <f>CAM!N13*3%</f>
        <v>0</v>
      </c>
      <c r="O15" s="266">
        <f>CAM!O13*3%</f>
        <v>0</v>
      </c>
      <c r="P15" s="266">
        <f>CAM!P13*3%</f>
        <v>0</v>
      </c>
      <c r="Q15" s="148">
        <f>SUM(E15:P15)</f>
        <v>0</v>
      </c>
      <c r="R15" s="123"/>
      <c r="S15" s="123"/>
      <c r="T15" s="163"/>
      <c r="U15" s="123"/>
      <c r="V15" s="123"/>
    </row>
    <row r="16" spans="1:22" ht="14.5">
      <c r="A16" s="150"/>
      <c r="B16" s="124" t="s">
        <v>191</v>
      </c>
      <c r="C16" s="125"/>
      <c r="D16" s="137">
        <v>0.03</v>
      </c>
      <c r="E16" s="266">
        <f>Ins.!E13</f>
        <v>0</v>
      </c>
      <c r="F16" s="266">
        <f>Ins.!F13</f>
        <v>0</v>
      </c>
      <c r="G16" s="266">
        <f>Ins.!G13</f>
        <v>0</v>
      </c>
      <c r="H16" s="266">
        <f>Ins.!H13</f>
        <v>0</v>
      </c>
      <c r="I16" s="266">
        <f>Ins.!I13</f>
        <v>0</v>
      </c>
      <c r="J16" s="266">
        <f>Ins.!J13</f>
        <v>0</v>
      </c>
      <c r="K16" s="266">
        <f>Ins.!K13</f>
        <v>0</v>
      </c>
      <c r="L16" s="266">
        <f>Ins.!L13</f>
        <v>0</v>
      </c>
      <c r="M16" s="266">
        <f>Ins.!M13</f>
        <v>0</v>
      </c>
      <c r="N16" s="266">
        <f>Ins.!N13*3%</f>
        <v>0</v>
      </c>
      <c r="O16" s="266">
        <f>Ins.!O13</f>
        <v>0</v>
      </c>
      <c r="P16" s="266">
        <f>Ins.!P13</f>
        <v>0</v>
      </c>
      <c r="Q16" s="148">
        <f>SUM(E16:P16)</f>
        <v>0</v>
      </c>
      <c r="R16" s="123"/>
      <c r="S16" s="123"/>
      <c r="T16" s="163"/>
      <c r="U16" s="123"/>
      <c r="V16" s="123"/>
    </row>
    <row r="17" spans="1:22" ht="14.5">
      <c r="A17" s="150"/>
      <c r="B17" s="124" t="s">
        <v>192</v>
      </c>
      <c r="C17" s="125"/>
      <c r="D17" s="137">
        <v>0.03</v>
      </c>
      <c r="E17" s="266">
        <f>'RE Tax'!E13*3%</f>
        <v>0</v>
      </c>
      <c r="F17" s="266">
        <f>'RE Tax'!F13*3%</f>
        <v>0</v>
      </c>
      <c r="G17" s="266">
        <f>'RE Tax'!G13*3%</f>
        <v>0</v>
      </c>
      <c r="H17" s="266">
        <f>'RE Tax'!H13*3%</f>
        <v>0</v>
      </c>
      <c r="I17" s="266">
        <f>'RE Tax'!I13*3%</f>
        <v>0</v>
      </c>
      <c r="J17" s="266">
        <f>'RE Tax'!J13*3%</f>
        <v>0</v>
      </c>
      <c r="K17" s="266">
        <f>'RE Tax'!K13*3%</f>
        <v>0</v>
      </c>
      <c r="L17" s="266">
        <f>'RE Tax'!L13*3%</f>
        <v>0</v>
      </c>
      <c r="M17" s="266">
        <f>'RE Tax'!M13*3%</f>
        <v>0</v>
      </c>
      <c r="N17" s="266">
        <f>'RE Tax'!N13*3%</f>
        <v>0</v>
      </c>
      <c r="O17" s="266">
        <f>'RE Tax'!O13*3%</f>
        <v>0</v>
      </c>
      <c r="P17" s="266">
        <f>'RE Tax'!P13*3%</f>
        <v>0</v>
      </c>
      <c r="Q17" s="148">
        <f>SUM(E17:P17)</f>
        <v>0</v>
      </c>
      <c r="R17" s="123"/>
      <c r="S17" s="123"/>
      <c r="T17" s="163"/>
      <c r="U17" s="123"/>
      <c r="V17" s="123"/>
    </row>
    <row r="18" spans="1:22" ht="14.5">
      <c r="A18" s="150"/>
      <c r="B18" s="124" t="s">
        <v>193</v>
      </c>
      <c r="C18" s="125"/>
      <c r="D18" s="137">
        <v>0.03</v>
      </c>
      <c r="E18" s="266">
        <f>'Admin. Fee'!E13*3%</f>
        <v>0</v>
      </c>
      <c r="F18" s="266">
        <f>'Admin. Fee'!F13*3%</f>
        <v>0</v>
      </c>
      <c r="G18" s="266">
        <f>'Admin. Fee'!G13*3%</f>
        <v>0</v>
      </c>
      <c r="H18" s="266">
        <f>'Admin. Fee'!H13*3%</f>
        <v>0</v>
      </c>
      <c r="I18" s="266">
        <f>'Admin. Fee'!I13*3%</f>
        <v>0</v>
      </c>
      <c r="J18" s="266">
        <f>'Admin. Fee'!J13*3%</f>
        <v>0</v>
      </c>
      <c r="K18" s="266">
        <f>'Admin. Fee'!K13*3%</f>
        <v>0</v>
      </c>
      <c r="L18" s="266">
        <f>'Admin. Fee'!L13*3%</f>
        <v>0</v>
      </c>
      <c r="M18" s="266">
        <f>'Admin. Fee'!M13*3%</f>
        <v>0</v>
      </c>
      <c r="N18" s="266">
        <f>'Admin. Fee'!N13*3%</f>
        <v>0</v>
      </c>
      <c r="O18" s="266">
        <f>'Admin. Fee'!O13*3%</f>
        <v>0</v>
      </c>
      <c r="P18" s="266">
        <f>'Admin. Fee'!P13*3%</f>
        <v>0</v>
      </c>
      <c r="Q18" s="148"/>
      <c r="R18" s="123"/>
      <c r="S18" s="123"/>
      <c r="T18" s="163"/>
      <c r="U18" s="123"/>
      <c r="V18" s="123"/>
    </row>
    <row r="19" spans="1:22" ht="14.5">
      <c r="A19" s="151"/>
      <c r="B19" s="302"/>
      <c r="C19" s="307" t="s">
        <v>194</v>
      </c>
      <c r="D19" s="308"/>
      <c r="E19" s="308">
        <f t="shared" ref="E19:P19" si="0">SUM(E14:E18)</f>
        <v>0</v>
      </c>
      <c r="F19" s="308">
        <f t="shared" si="0"/>
        <v>0</v>
      </c>
      <c r="G19" s="308">
        <f t="shared" si="0"/>
        <v>0</v>
      </c>
      <c r="H19" s="308">
        <f t="shared" si="0"/>
        <v>0</v>
      </c>
      <c r="I19" s="308">
        <f t="shared" si="0"/>
        <v>0</v>
      </c>
      <c r="J19" s="308">
        <f t="shared" si="0"/>
        <v>0</v>
      </c>
      <c r="K19" s="308">
        <f t="shared" si="0"/>
        <v>0</v>
      </c>
      <c r="L19" s="308">
        <f t="shared" si="0"/>
        <v>0</v>
      </c>
      <c r="M19" s="308">
        <f t="shared" si="0"/>
        <v>0</v>
      </c>
      <c r="N19" s="308">
        <f t="shared" si="0"/>
        <v>0</v>
      </c>
      <c r="O19" s="308">
        <f t="shared" si="0"/>
        <v>0</v>
      </c>
      <c r="P19" s="308">
        <f t="shared" si="0"/>
        <v>0</v>
      </c>
      <c r="Q19" s="309">
        <f>SUM(E19:P19)</f>
        <v>0</v>
      </c>
      <c r="R19" s="123"/>
      <c r="S19" s="123"/>
      <c r="T19" s="163"/>
      <c r="U19" s="123"/>
      <c r="V19" s="123"/>
    </row>
    <row r="20" spans="1:22" ht="14.5">
      <c r="A20" s="163"/>
      <c r="B20" s="124"/>
      <c r="C20" s="125"/>
      <c r="D20" s="266"/>
      <c r="E20" s="266"/>
      <c r="F20" s="266"/>
      <c r="G20" s="266"/>
      <c r="H20" s="266"/>
      <c r="I20" s="266"/>
      <c r="J20" s="266"/>
      <c r="K20" s="266"/>
      <c r="L20" s="266"/>
      <c r="M20" s="266"/>
      <c r="N20" s="266"/>
      <c r="O20" s="266"/>
      <c r="P20" s="266"/>
      <c r="Q20" s="128"/>
      <c r="R20" s="123"/>
      <c r="S20" s="123"/>
      <c r="T20" s="163"/>
      <c r="U20" s="123"/>
      <c r="V20" s="123"/>
    </row>
    <row r="21" spans="1:22" ht="14.5">
      <c r="A21" s="152" t="s">
        <v>19</v>
      </c>
      <c r="B21" s="300"/>
      <c r="C21" s="134">
        <v>22235</v>
      </c>
      <c r="D21" s="301"/>
      <c r="E21" s="301"/>
      <c r="F21" s="301"/>
      <c r="G21" s="301"/>
      <c r="H21" s="301"/>
      <c r="I21" s="301"/>
      <c r="J21" s="301"/>
      <c r="K21" s="301"/>
      <c r="L21" s="301"/>
      <c r="M21" s="301"/>
      <c r="N21" s="301"/>
      <c r="O21" s="301"/>
      <c r="P21" s="301"/>
      <c r="Q21" s="136">
        <f t="shared" ref="Q21:Q26" si="1">SUM(E21:P21)</f>
        <v>0</v>
      </c>
      <c r="R21" s="123"/>
      <c r="S21" s="123"/>
      <c r="T21" s="163"/>
      <c r="U21" s="123"/>
      <c r="V21" s="123"/>
    </row>
    <row r="22" spans="1:22" ht="14.5">
      <c r="A22" s="229"/>
      <c r="B22" s="124" t="s">
        <v>190</v>
      </c>
      <c r="C22" s="125"/>
      <c r="D22" s="137">
        <v>0.03</v>
      </c>
      <c r="E22" s="266">
        <f>Rent!E14*3%</f>
        <v>611.4624</v>
      </c>
      <c r="F22" s="266">
        <f>Rent!F14*3%</f>
        <v>611.4624</v>
      </c>
      <c r="G22" s="266">
        <f>Rent!G14*3%</f>
        <v>611.4624</v>
      </c>
      <c r="H22" s="266">
        <f>Rent!H14*3%</f>
        <v>611.4624</v>
      </c>
      <c r="I22" s="266">
        <f>Rent!I14*3%</f>
        <v>611.4624</v>
      </c>
      <c r="J22" s="266">
        <f>Rent!J14*3%</f>
        <v>611.4624</v>
      </c>
      <c r="K22" s="266">
        <f>Rent!K14*3%</f>
        <v>611.4624</v>
      </c>
      <c r="L22" s="266">
        <f>Rent!L14*3%</f>
        <v>611.4624</v>
      </c>
      <c r="M22" s="266">
        <f>Rent!M14*3%</f>
        <v>611.4624</v>
      </c>
      <c r="N22" s="266">
        <f>Rent!N14*3%</f>
        <v>611.4624</v>
      </c>
      <c r="O22" s="266">
        <f>Rent!O14*3%</f>
        <v>611.4624</v>
      </c>
      <c r="P22" s="266">
        <f>Rent!P14*3%</f>
        <v>611.4624</v>
      </c>
      <c r="Q22" s="148">
        <f t="shared" si="1"/>
        <v>7337.5488000000014</v>
      </c>
      <c r="R22" s="123"/>
      <c r="S22" s="123"/>
      <c r="T22" s="163"/>
      <c r="U22" s="123"/>
      <c r="V22" s="123"/>
    </row>
    <row r="23" spans="1:22" ht="14.5">
      <c r="A23" s="229"/>
      <c r="B23" s="124" t="s">
        <v>146</v>
      </c>
      <c r="C23" s="125"/>
      <c r="D23" s="137">
        <v>0.03</v>
      </c>
      <c r="E23" s="266">
        <f>CAM!E14*3%</f>
        <v>136.45482533300094</v>
      </c>
      <c r="F23" s="266">
        <f>CAM!F14*3%</f>
        <v>136.45482533300094</v>
      </c>
      <c r="G23" s="266">
        <f>CAM!G14*3%</f>
        <v>136.45482533300094</v>
      </c>
      <c r="H23" s="266">
        <f>CAM!H14*3%</f>
        <v>136.45482533300094</v>
      </c>
      <c r="I23" s="266">
        <f>CAM!I14*3%</f>
        <v>136.45482533300094</v>
      </c>
      <c r="J23" s="266">
        <f>CAM!J14*3%</f>
        <v>136.45482533300094</v>
      </c>
      <c r="K23" s="266">
        <f>CAM!K14*3%</f>
        <v>136.45482533300094</v>
      </c>
      <c r="L23" s="266">
        <f>CAM!L14*3%</f>
        <v>136.45482533300094</v>
      </c>
      <c r="M23" s="266">
        <f>CAM!M14*3%</f>
        <v>136.45482533300094</v>
      </c>
      <c r="N23" s="266">
        <f>CAM!N14*3%</f>
        <v>136.45482533300094</v>
      </c>
      <c r="O23" s="266">
        <f>CAM!O14*3%</f>
        <v>136.45482533300094</v>
      </c>
      <c r="P23" s="266">
        <f>CAM!P14*3%</f>
        <v>136.45482533300094</v>
      </c>
      <c r="Q23" s="148">
        <f t="shared" si="1"/>
        <v>1637.4579039960108</v>
      </c>
      <c r="R23" s="123"/>
      <c r="S23" s="123"/>
      <c r="T23" s="163"/>
      <c r="U23" s="123"/>
      <c r="V23" s="123"/>
    </row>
    <row r="24" spans="1:22" ht="14.5">
      <c r="A24" s="229"/>
      <c r="B24" s="124" t="s">
        <v>191</v>
      </c>
      <c r="C24" s="125"/>
      <c r="D24" s="137">
        <v>0.03</v>
      </c>
      <c r="E24" s="266">
        <f>Ins.!E14*3%</f>
        <v>17.467583740127793</v>
      </c>
      <c r="F24" s="266">
        <f>Ins.!F14*3%</f>
        <v>17.467583740127793</v>
      </c>
      <c r="G24" s="266">
        <f>Ins.!G14*3%</f>
        <v>17.467583740127793</v>
      </c>
      <c r="H24" s="266">
        <f>Ins.!H14*3%</f>
        <v>17.467583740127793</v>
      </c>
      <c r="I24" s="266">
        <f>Ins.!I14*3%</f>
        <v>17.467583740127793</v>
      </c>
      <c r="J24" s="266">
        <f>Ins.!J14*3%</f>
        <v>17.467583740127793</v>
      </c>
      <c r="K24" s="266">
        <f>Ins.!K14*3%</f>
        <v>17.467583740127793</v>
      </c>
      <c r="L24" s="266">
        <f>Ins.!L14*3%</f>
        <v>17.467583740127793</v>
      </c>
      <c r="M24" s="266">
        <f>Ins.!M14*3%</f>
        <v>17.467583740127793</v>
      </c>
      <c r="N24" s="266">
        <f>Ins.!N14*3%</f>
        <v>17.467583740127793</v>
      </c>
      <c r="O24" s="266">
        <f>Ins.!O14*3%</f>
        <v>17.467583740127793</v>
      </c>
      <c r="P24" s="266">
        <f>Ins.!P14*3%</f>
        <v>17.467583740127793</v>
      </c>
      <c r="Q24" s="148">
        <f t="shared" si="1"/>
        <v>209.61100488153352</v>
      </c>
      <c r="R24" s="123"/>
      <c r="S24" s="123"/>
      <c r="T24" s="163"/>
      <c r="U24" s="123"/>
      <c r="V24" s="123"/>
    </row>
    <row r="25" spans="1:22" ht="14.5">
      <c r="A25" s="229"/>
      <c r="B25" s="124" t="s">
        <v>192</v>
      </c>
      <c r="C25" s="125"/>
      <c r="D25" s="137">
        <v>0.03</v>
      </c>
      <c r="E25" s="266">
        <f>'RE Tax'!E14*3%</f>
        <v>76.860964425328405</v>
      </c>
      <c r="F25" s="266">
        <f>'RE Tax'!F14*3%</f>
        <v>76.860964425328405</v>
      </c>
      <c r="G25" s="266">
        <f>'RE Tax'!G14*3%</f>
        <v>76.860964425328405</v>
      </c>
      <c r="H25" s="266">
        <f>'RE Tax'!H14*3%</f>
        <v>76.860964425328405</v>
      </c>
      <c r="I25" s="266">
        <f>'RE Tax'!I14*3%</f>
        <v>76.860964425328405</v>
      </c>
      <c r="J25" s="266">
        <f>'RE Tax'!J14*3%</f>
        <v>76.860964425328405</v>
      </c>
      <c r="K25" s="266">
        <f>'RE Tax'!K14*3%</f>
        <v>76.860964425328405</v>
      </c>
      <c r="L25" s="266">
        <f>'RE Tax'!L14*3%</f>
        <v>76.860964425328405</v>
      </c>
      <c r="M25" s="266">
        <f>'RE Tax'!M14*3%</f>
        <v>76.860964425328405</v>
      </c>
      <c r="N25" s="266">
        <f>'RE Tax'!N14*3%</f>
        <v>76.860964425328405</v>
      </c>
      <c r="O25" s="266">
        <f>'RE Tax'!O14*3%</f>
        <v>76.860964425328405</v>
      </c>
      <c r="P25" s="266">
        <f>'RE Tax'!P14*3%</f>
        <v>76.860964425328405</v>
      </c>
      <c r="Q25" s="148">
        <f t="shared" si="1"/>
        <v>922.33157310394063</v>
      </c>
      <c r="R25" s="123"/>
      <c r="S25" s="123"/>
      <c r="T25" s="163"/>
      <c r="U25" s="123"/>
      <c r="V25" s="123"/>
    </row>
    <row r="26" spans="1:22" ht="14.5">
      <c r="A26" s="229"/>
      <c r="B26" s="124" t="s">
        <v>193</v>
      </c>
      <c r="C26" s="125"/>
      <c r="D26" s="137">
        <v>0.03</v>
      </c>
      <c r="E26" s="266">
        <f>'Admin. Fee'!E14*3%</f>
        <v>0</v>
      </c>
      <c r="F26" s="266">
        <f>'Admin. Fee'!F14*3%</f>
        <v>0</v>
      </c>
      <c r="G26" s="266">
        <f>'Admin. Fee'!G14*3%</f>
        <v>0</v>
      </c>
      <c r="H26" s="266">
        <f>'Admin. Fee'!H14*3%</f>
        <v>0</v>
      </c>
      <c r="I26" s="266">
        <f>'Admin. Fee'!I14*3%</f>
        <v>0</v>
      </c>
      <c r="J26" s="266">
        <f>'Admin. Fee'!J14*3%</f>
        <v>0</v>
      </c>
      <c r="K26" s="266">
        <f>'Admin. Fee'!K14*3%</f>
        <v>0</v>
      </c>
      <c r="L26" s="266">
        <f>'Admin. Fee'!L14*3%</f>
        <v>0</v>
      </c>
      <c r="M26" s="266">
        <f>'Admin. Fee'!M14*3%</f>
        <v>0</v>
      </c>
      <c r="N26" s="266">
        <f>'Admin. Fee'!N14*3%</f>
        <v>0</v>
      </c>
      <c r="O26" s="266">
        <f>'Admin. Fee'!O14*3%</f>
        <v>0</v>
      </c>
      <c r="P26" s="266">
        <f>'Admin. Fee'!P14*3%</f>
        <v>0</v>
      </c>
      <c r="Q26" s="148">
        <f t="shared" si="1"/>
        <v>0</v>
      </c>
      <c r="R26" s="123"/>
      <c r="S26" s="123"/>
      <c r="T26" s="163"/>
      <c r="U26" s="123"/>
      <c r="V26" s="123"/>
    </row>
    <row r="27" spans="1:22" ht="14.5">
      <c r="A27" s="138"/>
      <c r="B27" s="302"/>
      <c r="C27" s="307" t="s">
        <v>194</v>
      </c>
      <c r="D27" s="308"/>
      <c r="E27" s="308">
        <f t="shared" ref="E27:Q27" si="2">SUM(E22:E26)</f>
        <v>842.24577349845708</v>
      </c>
      <c r="F27" s="308">
        <f t="shared" si="2"/>
        <v>842.24577349845708</v>
      </c>
      <c r="G27" s="308">
        <f t="shared" si="2"/>
        <v>842.24577349845708</v>
      </c>
      <c r="H27" s="308">
        <f t="shared" si="2"/>
        <v>842.24577349845708</v>
      </c>
      <c r="I27" s="308">
        <f t="shared" si="2"/>
        <v>842.24577349845708</v>
      </c>
      <c r="J27" s="308">
        <f t="shared" si="2"/>
        <v>842.24577349845708</v>
      </c>
      <c r="K27" s="308">
        <f t="shared" si="2"/>
        <v>842.24577349845708</v>
      </c>
      <c r="L27" s="308">
        <f t="shared" si="2"/>
        <v>842.24577349845708</v>
      </c>
      <c r="M27" s="308">
        <f t="shared" si="2"/>
        <v>842.24577349845708</v>
      </c>
      <c r="N27" s="308">
        <f t="shared" si="2"/>
        <v>842.24577349845708</v>
      </c>
      <c r="O27" s="308">
        <f t="shared" si="2"/>
        <v>842.24577349845708</v>
      </c>
      <c r="P27" s="308">
        <f t="shared" si="2"/>
        <v>842.24577349845708</v>
      </c>
      <c r="Q27" s="310">
        <f t="shared" si="2"/>
        <v>10106.949281981486</v>
      </c>
      <c r="R27" s="123"/>
      <c r="S27" s="123"/>
      <c r="T27" s="163"/>
      <c r="U27" s="123"/>
      <c r="V27" s="123"/>
    </row>
    <row r="28" spans="1:22" ht="14.5">
      <c r="A28" s="123"/>
      <c r="B28" s="124"/>
      <c r="C28" s="125"/>
      <c r="D28" s="266"/>
      <c r="E28" s="266"/>
      <c r="F28" s="266"/>
      <c r="G28" s="266"/>
      <c r="H28" s="266"/>
      <c r="I28" s="266"/>
      <c r="J28" s="266"/>
      <c r="K28" s="266"/>
      <c r="L28" s="266"/>
      <c r="M28" s="266"/>
      <c r="N28" s="266"/>
      <c r="O28" s="266"/>
      <c r="P28" s="266"/>
      <c r="Q28" s="266"/>
      <c r="R28" s="123"/>
      <c r="S28" s="123"/>
      <c r="T28" s="163"/>
      <c r="U28" s="123"/>
      <c r="V28" s="123"/>
    </row>
    <row r="29" spans="1:22" ht="14.5">
      <c r="A29" s="152" t="s">
        <v>20</v>
      </c>
      <c r="B29" s="300"/>
      <c r="C29" s="134">
        <v>0</v>
      </c>
      <c r="D29" s="301"/>
      <c r="E29" s="301"/>
      <c r="F29" s="301"/>
      <c r="G29" s="301"/>
      <c r="H29" s="301"/>
      <c r="I29" s="301"/>
      <c r="J29" s="301"/>
      <c r="K29" s="301"/>
      <c r="L29" s="301"/>
      <c r="M29" s="301"/>
      <c r="N29" s="301"/>
      <c r="O29" s="301"/>
      <c r="P29" s="301"/>
      <c r="Q29" s="136">
        <f t="shared" ref="Q29:Q35" si="3">SUM(E29:P29)</f>
        <v>0</v>
      </c>
      <c r="R29" s="123"/>
      <c r="S29" s="123"/>
      <c r="T29" s="163"/>
      <c r="U29" s="123"/>
      <c r="V29" s="123"/>
    </row>
    <row r="30" spans="1:22" ht="14.5">
      <c r="A30" s="229"/>
      <c r="B30" s="124" t="s">
        <v>190</v>
      </c>
      <c r="C30" s="125"/>
      <c r="D30" s="137">
        <v>0.03</v>
      </c>
      <c r="E30" s="266">
        <f>Rent!E15*3%</f>
        <v>52.450799999999994</v>
      </c>
      <c r="F30" s="266">
        <f>Rent!F15*3%</f>
        <v>52.450799999999994</v>
      </c>
      <c r="G30" s="266">
        <f>Rent!G15*3%</f>
        <v>54.024299999999997</v>
      </c>
      <c r="H30" s="266">
        <f>Rent!H15*3%</f>
        <v>54.024299999999997</v>
      </c>
      <c r="I30" s="266">
        <f>Rent!I15*3%</f>
        <v>54.024299999999997</v>
      </c>
      <c r="J30" s="266">
        <f>Rent!J15*3%</f>
        <v>54.024299999999997</v>
      </c>
      <c r="K30" s="266">
        <f>Rent!K15*3%</f>
        <v>54.024299999999997</v>
      </c>
      <c r="L30" s="266">
        <f>Rent!L15*3%</f>
        <v>54.024299999999997</v>
      </c>
      <c r="M30" s="266">
        <f>Rent!M15*3%</f>
        <v>54.024299999999997</v>
      </c>
      <c r="N30" s="266">
        <f>Rent!N15*3%</f>
        <v>54.024299999999997</v>
      </c>
      <c r="O30" s="266">
        <f>Rent!O15*3%</f>
        <v>54.024299999999997</v>
      </c>
      <c r="P30" s="266">
        <f>Rent!P15*3%</f>
        <v>54.024299999999997</v>
      </c>
      <c r="Q30" s="148">
        <f t="shared" si="3"/>
        <v>645.14459999999997</v>
      </c>
      <c r="R30" s="123"/>
      <c r="S30" s="123"/>
      <c r="T30" s="163"/>
      <c r="U30" s="123"/>
      <c r="V30" s="123"/>
    </row>
    <row r="31" spans="1:22" ht="14.5">
      <c r="A31" s="229"/>
      <c r="B31" s="124" t="s">
        <v>146</v>
      </c>
      <c r="C31" s="125"/>
      <c r="D31" s="137">
        <v>0.03</v>
      </c>
      <c r="E31" s="266">
        <f>CAM!E15*3%</f>
        <v>0</v>
      </c>
      <c r="F31" s="266">
        <f>CAM!F15*3%</f>
        <v>0</v>
      </c>
      <c r="G31" s="266">
        <f>CAM!G15*3%</f>
        <v>0</v>
      </c>
      <c r="H31" s="266">
        <f>CAM!H15*3%</f>
        <v>0</v>
      </c>
      <c r="I31" s="266">
        <f>CAM!I15*3%</f>
        <v>0</v>
      </c>
      <c r="J31" s="266">
        <f>CAM!J15*3%</f>
        <v>0</v>
      </c>
      <c r="K31" s="266">
        <f>CAM!K15*3%</f>
        <v>0</v>
      </c>
      <c r="L31" s="266">
        <f>CAM!L15*3%</f>
        <v>0</v>
      </c>
      <c r="M31" s="266">
        <f>CAM!M15*3%</f>
        <v>0</v>
      </c>
      <c r="N31" s="266">
        <f>CAM!N15*3%</f>
        <v>0</v>
      </c>
      <c r="O31" s="266">
        <f>CAM!O15*3%</f>
        <v>0</v>
      </c>
      <c r="P31" s="266">
        <f>CAM!P15*3%</f>
        <v>0</v>
      </c>
      <c r="Q31" s="148">
        <f t="shared" si="3"/>
        <v>0</v>
      </c>
      <c r="R31" s="123"/>
      <c r="S31" s="123"/>
      <c r="T31" s="163"/>
      <c r="U31" s="123"/>
      <c r="V31" s="123"/>
    </row>
    <row r="32" spans="1:22" ht="14.5">
      <c r="A32" s="229"/>
      <c r="B32" s="124" t="s">
        <v>191</v>
      </c>
      <c r="C32" s="125"/>
      <c r="D32" s="137">
        <v>0.03</v>
      </c>
      <c r="E32" s="266">
        <f>Ins.!E15*3%</f>
        <v>0</v>
      </c>
      <c r="F32" s="266">
        <f>Ins.!F15*3%</f>
        <v>0</v>
      </c>
      <c r="G32" s="266">
        <f>Ins.!G15*3%</f>
        <v>0</v>
      </c>
      <c r="H32" s="266">
        <f>Ins.!H15*3%</f>
        <v>0</v>
      </c>
      <c r="I32" s="266">
        <f>Ins.!I15*3%</f>
        <v>0</v>
      </c>
      <c r="J32" s="266">
        <f>Ins.!J15*3%</f>
        <v>0</v>
      </c>
      <c r="K32" s="266">
        <f>Ins.!K15*3%</f>
        <v>0</v>
      </c>
      <c r="L32" s="266">
        <f>Ins.!L15*3%</f>
        <v>0</v>
      </c>
      <c r="M32" s="266">
        <f>Ins.!M15*3%</f>
        <v>0</v>
      </c>
      <c r="N32" s="266">
        <f>Ins.!N15*3%</f>
        <v>0</v>
      </c>
      <c r="O32" s="266">
        <f>Ins.!O15*3%</f>
        <v>0</v>
      </c>
      <c r="P32" s="266">
        <f>Ins.!P15*3%</f>
        <v>0</v>
      </c>
      <c r="Q32" s="148">
        <f t="shared" si="3"/>
        <v>0</v>
      </c>
      <c r="R32" s="123"/>
      <c r="S32" s="123"/>
      <c r="T32" s="163"/>
      <c r="U32" s="123"/>
      <c r="V32" s="123"/>
    </row>
    <row r="33" spans="1:22" ht="14.5">
      <c r="A33" s="229"/>
      <c r="B33" s="124" t="s">
        <v>192</v>
      </c>
      <c r="C33" s="125"/>
      <c r="D33" s="137">
        <v>0.03</v>
      </c>
      <c r="E33" s="266">
        <f>'RE Tax'!E15*3%</f>
        <v>0</v>
      </c>
      <c r="F33" s="266">
        <f>'RE Tax'!F15*3%</f>
        <v>0</v>
      </c>
      <c r="G33" s="266">
        <f>'RE Tax'!G15*3%</f>
        <v>0</v>
      </c>
      <c r="H33" s="266">
        <f>'RE Tax'!H15*3%</f>
        <v>0</v>
      </c>
      <c r="I33" s="266">
        <f>'RE Tax'!I15*3%</f>
        <v>0</v>
      </c>
      <c r="J33" s="266">
        <f>'RE Tax'!J15*3%</f>
        <v>0</v>
      </c>
      <c r="K33" s="266">
        <f>'RE Tax'!K15*3%</f>
        <v>0</v>
      </c>
      <c r="L33" s="266">
        <f>'RE Tax'!L15*3%</f>
        <v>0</v>
      </c>
      <c r="M33" s="266">
        <f>'RE Tax'!M15*3%</f>
        <v>0</v>
      </c>
      <c r="N33" s="266">
        <f>'RE Tax'!N15*3%</f>
        <v>0</v>
      </c>
      <c r="O33" s="266">
        <f>'RE Tax'!O15*3%</f>
        <v>0</v>
      </c>
      <c r="P33" s="266">
        <f>'RE Tax'!P15*3%</f>
        <v>0</v>
      </c>
      <c r="Q33" s="148">
        <f t="shared" si="3"/>
        <v>0</v>
      </c>
      <c r="R33" s="123"/>
      <c r="S33" s="123"/>
      <c r="T33" s="163"/>
      <c r="U33" s="123"/>
      <c r="V33" s="123"/>
    </row>
    <row r="34" spans="1:22" ht="14.5">
      <c r="A34" s="229"/>
      <c r="B34" s="124" t="s">
        <v>193</v>
      </c>
      <c r="C34" s="125"/>
      <c r="D34" s="137">
        <v>0.03</v>
      </c>
      <c r="E34" s="266">
        <f>'Admin. Fee'!E15*3%</f>
        <v>0</v>
      </c>
      <c r="F34" s="266">
        <f>'Admin. Fee'!F15*3%</f>
        <v>0</v>
      </c>
      <c r="G34" s="266">
        <f>'Admin. Fee'!G15*3%</f>
        <v>0</v>
      </c>
      <c r="H34" s="266">
        <f>'Admin. Fee'!H15*3%</f>
        <v>0</v>
      </c>
      <c r="I34" s="266">
        <f>'Admin. Fee'!I15*3%</f>
        <v>0</v>
      </c>
      <c r="J34" s="266">
        <f>'Admin. Fee'!J15*3%</f>
        <v>0</v>
      </c>
      <c r="K34" s="266">
        <f>'Admin. Fee'!K15*3%</f>
        <v>0</v>
      </c>
      <c r="L34" s="266">
        <f>'Admin. Fee'!L15*3%</f>
        <v>0</v>
      </c>
      <c r="M34" s="266">
        <f>'Admin. Fee'!M15*3%</f>
        <v>0</v>
      </c>
      <c r="N34" s="266">
        <f>'Admin. Fee'!N15*3%</f>
        <v>0</v>
      </c>
      <c r="O34" s="266">
        <f>'Admin. Fee'!O15*3%</f>
        <v>0</v>
      </c>
      <c r="P34" s="266">
        <f>'Admin. Fee'!P15*3%</f>
        <v>0</v>
      </c>
      <c r="Q34" s="148">
        <f t="shared" si="3"/>
        <v>0</v>
      </c>
      <c r="R34" s="123"/>
      <c r="S34" s="123"/>
      <c r="T34" s="163"/>
      <c r="U34" s="123"/>
      <c r="V34" s="123"/>
    </row>
    <row r="35" spans="1:22" ht="14.5">
      <c r="A35" s="138"/>
      <c r="B35" s="302"/>
      <c r="C35" s="307" t="s">
        <v>194</v>
      </c>
      <c r="D35" s="311"/>
      <c r="E35" s="308">
        <f>SUM(E30:E34)</f>
        <v>52.450799999999994</v>
      </c>
      <c r="F35" s="308">
        <f t="shared" ref="F35:P35" si="4">SUM(F30:F34)</f>
        <v>52.450799999999994</v>
      </c>
      <c r="G35" s="308">
        <f t="shared" si="4"/>
        <v>54.024299999999997</v>
      </c>
      <c r="H35" s="308">
        <f t="shared" si="4"/>
        <v>54.024299999999997</v>
      </c>
      <c r="I35" s="308">
        <f t="shared" si="4"/>
        <v>54.024299999999997</v>
      </c>
      <c r="J35" s="308">
        <f t="shared" si="4"/>
        <v>54.024299999999997</v>
      </c>
      <c r="K35" s="308">
        <f t="shared" si="4"/>
        <v>54.024299999999997</v>
      </c>
      <c r="L35" s="308">
        <f t="shared" si="4"/>
        <v>54.024299999999997</v>
      </c>
      <c r="M35" s="308">
        <f t="shared" si="4"/>
        <v>54.024299999999997</v>
      </c>
      <c r="N35" s="308">
        <f t="shared" si="4"/>
        <v>54.024299999999997</v>
      </c>
      <c r="O35" s="308">
        <f t="shared" si="4"/>
        <v>54.024299999999997</v>
      </c>
      <c r="P35" s="308">
        <f t="shared" si="4"/>
        <v>54.024299999999997</v>
      </c>
      <c r="Q35" s="309">
        <f t="shared" si="3"/>
        <v>645.14459999999997</v>
      </c>
      <c r="R35" s="123"/>
      <c r="S35" s="123"/>
      <c r="T35" s="163"/>
      <c r="U35" s="123"/>
      <c r="V35" s="123"/>
    </row>
    <row r="36" spans="1:22" s="52" customFormat="1" ht="14.5">
      <c r="A36" s="229"/>
      <c r="B36" s="124"/>
      <c r="C36" s="125"/>
      <c r="D36" s="137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49"/>
      <c r="R36" s="139"/>
      <c r="S36" s="139"/>
      <c r="T36" s="153"/>
      <c r="U36" s="139"/>
      <c r="V36" s="139"/>
    </row>
    <row r="37" spans="1:22" ht="14.5">
      <c r="A37" s="303" t="s">
        <v>195</v>
      </c>
      <c r="B37" s="304"/>
      <c r="C37" s="304"/>
      <c r="D37" s="304"/>
      <c r="E37" s="305">
        <f>E19+E27+E35</f>
        <v>894.69657349845704</v>
      </c>
      <c r="F37" s="305">
        <f t="shared" ref="F37:P37" si="5">F19+F27+F35</f>
        <v>894.69657349845704</v>
      </c>
      <c r="G37" s="305">
        <f t="shared" si="5"/>
        <v>896.27007349845712</v>
      </c>
      <c r="H37" s="305">
        <f t="shared" si="5"/>
        <v>896.27007349845712</v>
      </c>
      <c r="I37" s="305">
        <f t="shared" si="5"/>
        <v>896.27007349845712</v>
      </c>
      <c r="J37" s="305">
        <f t="shared" si="5"/>
        <v>896.27007349845712</v>
      </c>
      <c r="K37" s="305">
        <f t="shared" si="5"/>
        <v>896.27007349845712</v>
      </c>
      <c r="L37" s="305">
        <f t="shared" si="5"/>
        <v>896.27007349845712</v>
      </c>
      <c r="M37" s="305">
        <f t="shared" si="5"/>
        <v>896.27007349845712</v>
      </c>
      <c r="N37" s="305">
        <f t="shared" si="5"/>
        <v>896.27007349845712</v>
      </c>
      <c r="O37" s="305">
        <f t="shared" si="5"/>
        <v>896.27007349845712</v>
      </c>
      <c r="P37" s="305">
        <f t="shared" si="5"/>
        <v>896.27007349845712</v>
      </c>
      <c r="Q37" s="306">
        <f>SUM(E37:P37)</f>
        <v>10752.093881981487</v>
      </c>
      <c r="R37" s="123"/>
      <c r="S37" s="123"/>
      <c r="T37" s="297" t="s">
        <v>196</v>
      </c>
      <c r="U37" s="123"/>
      <c r="V37" s="123"/>
    </row>
    <row r="38" spans="1:22" ht="14.5">
      <c r="A38" s="123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297"/>
      <c r="U38" s="123"/>
      <c r="V38" s="123"/>
    </row>
    <row r="39" spans="1:22" ht="14.5">
      <c r="A39" s="123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297"/>
      <c r="U39" s="123"/>
      <c r="V39" s="123"/>
    </row>
    <row r="40" spans="1:22" ht="34.5" customHeight="1">
      <c r="A40" s="269" t="s">
        <v>197</v>
      </c>
      <c r="B40" s="393"/>
      <c r="C40" s="393"/>
      <c r="D40" s="393"/>
      <c r="E40" s="394">
        <f>E37</f>
        <v>894.69657349845704</v>
      </c>
      <c r="F40" s="394">
        <f t="shared" ref="F40:Q40" si="6">F37</f>
        <v>894.69657349845704</v>
      </c>
      <c r="G40" s="394">
        <f t="shared" si="6"/>
        <v>896.27007349845712</v>
      </c>
      <c r="H40" s="394">
        <f t="shared" si="6"/>
        <v>896.27007349845712</v>
      </c>
      <c r="I40" s="394">
        <f t="shared" si="6"/>
        <v>896.27007349845712</v>
      </c>
      <c r="J40" s="394">
        <f t="shared" si="6"/>
        <v>896.27007349845712</v>
      </c>
      <c r="K40" s="394">
        <f t="shared" si="6"/>
        <v>896.27007349845712</v>
      </c>
      <c r="L40" s="394">
        <f t="shared" si="6"/>
        <v>896.27007349845712</v>
      </c>
      <c r="M40" s="394">
        <f t="shared" si="6"/>
        <v>896.27007349845712</v>
      </c>
      <c r="N40" s="394">
        <f t="shared" si="6"/>
        <v>896.27007349845712</v>
      </c>
      <c r="O40" s="394">
        <f t="shared" si="6"/>
        <v>896.27007349845712</v>
      </c>
      <c r="P40" s="394">
        <f t="shared" si="6"/>
        <v>896.27007349845712</v>
      </c>
      <c r="Q40" s="394">
        <f t="shared" si="6"/>
        <v>10752.093881981487</v>
      </c>
      <c r="R40" s="123"/>
      <c r="S40" s="123"/>
      <c r="T40" s="297"/>
      <c r="U40" s="123"/>
      <c r="V40" s="123"/>
    </row>
    <row r="41" spans="1:22" ht="14.5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</row>
    <row r="42" spans="1:22" ht="14.5">
      <c r="A42" s="123"/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</row>
    <row r="43" spans="1:22" ht="14.5">
      <c r="A43" s="123"/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</row>
    <row r="44" spans="1:22" ht="14.5">
      <c r="A44" s="123"/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</row>
    <row r="45" spans="1:22" ht="14.5">
      <c r="A45" s="123"/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</row>
    <row r="46" spans="1:22" ht="14.5">
      <c r="A46" s="123"/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</row>
    <row r="49" spans="5:5">
      <c r="E49"/>
    </row>
  </sheetData>
  <mergeCells count="6">
    <mergeCell ref="Q8:Q10"/>
    <mergeCell ref="A2:Q2"/>
    <mergeCell ref="A3:Q3"/>
    <mergeCell ref="A4:Q4"/>
    <mergeCell ref="A5:Q5"/>
    <mergeCell ref="A6:Q6"/>
  </mergeCells>
  <printOptions horizontalCentered="1"/>
  <pageMargins left="0.5" right="0.5" top="0.5" bottom="0.75" header="0.5" footer="0.5"/>
  <pageSetup paperSize="3" scale="88" firstPageNumber="3" orientation="landscape" useFirstPageNumber="1" r:id="rId1"/>
  <headerFooter alignWithMargins="0"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2D355-D79B-490A-9514-56E60FBD0F6C}">
  <sheetPr>
    <tabColor theme="9"/>
  </sheetPr>
  <dimension ref="B1:AF1614"/>
  <sheetViews>
    <sheetView topLeftCell="A58" zoomScaleNormal="100" workbookViewId="0">
      <selection activeCell="G51" sqref="G51"/>
    </sheetView>
  </sheetViews>
  <sheetFormatPr defaultRowHeight="12.5"/>
  <cols>
    <col min="1" max="1" width="2.453125" customWidth="1"/>
    <col min="2" max="2" width="10.54296875" customWidth="1"/>
    <col min="3" max="3" width="19.81640625" customWidth="1"/>
    <col min="5" max="5" width="17.54296875" customWidth="1"/>
    <col min="7" max="7" width="14.81640625" customWidth="1"/>
    <col min="8" max="8" width="15.81640625" customWidth="1"/>
    <col min="10" max="10" width="15.26953125" style="53" customWidth="1"/>
    <col min="11" max="11" width="33.26953125" style="53" customWidth="1"/>
    <col min="12" max="15" width="15.26953125" style="53" customWidth="1"/>
    <col min="16" max="16" width="17.1796875" style="53" customWidth="1"/>
    <col min="17" max="17" width="15.26953125" style="53" customWidth="1"/>
    <col min="18" max="18" width="16.81640625" style="53" bestFit="1" customWidth="1"/>
    <col min="19" max="19" width="15.453125" style="53" customWidth="1"/>
    <col min="20" max="20" width="15.26953125" style="80" customWidth="1"/>
    <col min="21" max="21" width="36.7265625" style="53" customWidth="1"/>
    <col min="22" max="27" width="15.26953125" style="53" customWidth="1"/>
    <col min="28" max="28" width="15.453125" style="53" bestFit="1" customWidth="1"/>
    <col min="32" max="32" width="13.26953125" customWidth="1"/>
  </cols>
  <sheetData>
    <row r="1" spans="2:32">
      <c r="O1" s="54"/>
      <c r="Y1" s="54"/>
    </row>
    <row r="3" spans="2:32" ht="13">
      <c r="B3" s="1" t="str">
        <f>Summary!A2</f>
        <v>ATHENA PROPERTY MANAGEMENT</v>
      </c>
      <c r="C3" s="1"/>
      <c r="D3" s="1"/>
      <c r="E3" s="1"/>
      <c r="F3" s="1"/>
      <c r="G3" s="1"/>
      <c r="H3" s="1"/>
      <c r="J3" s="55" t="str">
        <f>Summary!A6</f>
        <v>2026 OPERATING BUDGET</v>
      </c>
      <c r="K3" s="55"/>
      <c r="L3" s="55"/>
      <c r="M3" s="55"/>
      <c r="N3" s="55"/>
      <c r="O3" s="55"/>
      <c r="P3" s="55"/>
      <c r="Q3" s="55"/>
      <c r="R3" s="55"/>
      <c r="S3" s="55"/>
      <c r="T3" s="9"/>
      <c r="U3" s="55" t="str">
        <f>$J$3</f>
        <v>2026 OPERATING BUDGET</v>
      </c>
      <c r="V3" s="55"/>
      <c r="W3" s="55"/>
      <c r="X3" s="55"/>
      <c r="Y3" s="55"/>
      <c r="Z3" s="55"/>
      <c r="AA3" s="55"/>
      <c r="AB3" s="55"/>
    </row>
    <row r="4" spans="2:32" ht="13">
      <c r="B4" s="1" t="str">
        <f>Summary!A3</f>
        <v>Goodyear Arizona Big Lots</v>
      </c>
      <c r="C4" s="1"/>
      <c r="D4" s="1"/>
      <c r="E4" s="1"/>
      <c r="F4" s="1"/>
      <c r="G4" s="1"/>
      <c r="H4" s="1"/>
      <c r="J4" s="55" t="str">
        <f>Summary!A3</f>
        <v>Goodyear Arizona Big Lots</v>
      </c>
      <c r="K4" s="55"/>
      <c r="L4" s="55"/>
      <c r="M4" s="55"/>
      <c r="N4" s="55"/>
      <c r="O4" s="55"/>
      <c r="P4" s="55"/>
      <c r="Q4" s="55"/>
      <c r="R4" s="55"/>
      <c r="S4" s="55"/>
      <c r="T4" s="9"/>
      <c r="U4" s="55" t="str">
        <f>$J$4</f>
        <v>Goodyear Arizona Big Lots</v>
      </c>
      <c r="V4" s="55"/>
      <c r="W4" s="55"/>
      <c r="X4" s="55"/>
      <c r="Y4" s="55"/>
      <c r="Z4" s="55"/>
      <c r="AA4" s="55"/>
      <c r="AB4" s="55"/>
    </row>
    <row r="5" spans="2:32" ht="13">
      <c r="B5" s="1" t="str">
        <f>Summary!A5</f>
        <v>01/01/2026  TO   12/31/2026</v>
      </c>
      <c r="C5" s="1"/>
      <c r="D5" s="1"/>
      <c r="E5" s="1"/>
      <c r="F5" s="1"/>
      <c r="G5" s="1"/>
      <c r="H5" s="1"/>
      <c r="J5" s="55" t="str">
        <f>Summary!A5</f>
        <v>01/01/2026  TO   12/31/2026</v>
      </c>
      <c r="K5" s="55"/>
      <c r="L5" s="55"/>
      <c r="M5" s="55"/>
      <c r="N5" s="55"/>
      <c r="O5" s="55"/>
      <c r="P5" s="55"/>
      <c r="Q5" s="55"/>
      <c r="R5" s="55"/>
      <c r="S5" s="55"/>
      <c r="T5" s="9"/>
      <c r="U5" s="55" t="str">
        <f>J5</f>
        <v>01/01/2026  TO   12/31/2026</v>
      </c>
      <c r="V5" s="55"/>
      <c r="W5" s="55"/>
      <c r="X5" s="55"/>
      <c r="Y5" s="55"/>
      <c r="Z5" s="55"/>
      <c r="AA5" s="55"/>
      <c r="AB5" s="55"/>
    </row>
    <row r="6" spans="2:32" ht="13">
      <c r="B6" s="1" t="str">
        <f>Summary!A6</f>
        <v>2026 OPERATING BUDGET</v>
      </c>
      <c r="C6" s="1"/>
      <c r="D6" s="1"/>
      <c r="E6" s="1"/>
      <c r="F6" s="1"/>
      <c r="G6" s="1"/>
      <c r="H6" s="1"/>
      <c r="J6" s="55"/>
      <c r="K6" s="55"/>
      <c r="L6" s="55"/>
      <c r="M6" s="55"/>
      <c r="N6" s="55"/>
      <c r="O6" s="55"/>
      <c r="P6" s="55"/>
      <c r="Q6" s="55"/>
      <c r="R6" s="55"/>
      <c r="S6" s="94"/>
      <c r="T6" s="94"/>
      <c r="U6" s="94"/>
      <c r="V6" s="94"/>
      <c r="W6" s="94"/>
      <c r="X6" s="94"/>
      <c r="Y6" s="94"/>
      <c r="Z6" s="94"/>
      <c r="AA6" s="94"/>
      <c r="AB6" s="94"/>
    </row>
    <row r="7" spans="2:32" ht="13">
      <c r="B7" s="515"/>
      <c r="C7" s="515"/>
      <c r="D7" s="515"/>
      <c r="E7" s="515"/>
      <c r="F7" s="515"/>
      <c r="G7" s="515"/>
      <c r="H7" s="515"/>
      <c r="J7" s="55"/>
      <c r="T7" s="94"/>
    </row>
    <row r="8" spans="2:32" ht="12.75" customHeight="1">
      <c r="B8" s="517"/>
      <c r="C8" s="518"/>
      <c r="D8" s="518"/>
      <c r="E8" s="518"/>
      <c r="F8" s="518"/>
      <c r="G8" s="518"/>
      <c r="H8" s="519"/>
      <c r="J8" s="56"/>
      <c r="K8" s="57" t="s">
        <v>198</v>
      </c>
      <c r="L8" s="58" t="str">
        <f>Rent!A13</f>
        <v>VACANT (old Big Lots)</v>
      </c>
      <c r="M8" s="58"/>
      <c r="N8" s="59"/>
      <c r="O8" s="60"/>
      <c r="P8" s="60"/>
      <c r="Q8" s="60"/>
      <c r="R8" s="61"/>
      <c r="S8" s="58"/>
      <c r="T8" s="107"/>
      <c r="U8" s="57" t="s">
        <v>198</v>
      </c>
      <c r="V8" s="58" t="str">
        <f>Rent!A14</f>
        <v>Planet Fitness</v>
      </c>
      <c r="W8" s="58"/>
      <c r="X8" s="59"/>
      <c r="Y8" s="60"/>
      <c r="Z8" s="60"/>
      <c r="AA8" s="60"/>
      <c r="AB8" s="61"/>
    </row>
    <row r="9" spans="2:32" ht="12.75" customHeight="1">
      <c r="B9" s="520"/>
      <c r="C9" s="521"/>
      <c r="D9" s="521"/>
      <c r="E9" s="521"/>
      <c r="F9" s="521"/>
      <c r="G9" s="521"/>
      <c r="H9" s="522"/>
      <c r="J9" s="62"/>
      <c r="K9" s="63" t="s">
        <v>199</v>
      </c>
      <c r="L9" s="64" t="str">
        <f>Rent!B13</f>
        <v>409-117</v>
      </c>
      <c r="M9" s="65"/>
      <c r="N9" s="65"/>
      <c r="O9" s="65"/>
      <c r="P9" s="65"/>
      <c r="Q9" s="65"/>
      <c r="R9" s="66"/>
      <c r="S9" s="65"/>
      <c r="T9" s="108"/>
      <c r="U9" s="63" t="s">
        <v>199</v>
      </c>
      <c r="V9" s="64" t="str">
        <f>Rent!B14</f>
        <v>409-112</v>
      </c>
      <c r="W9" s="65"/>
      <c r="X9" s="65"/>
      <c r="Y9" s="65" t="s">
        <v>200</v>
      </c>
      <c r="Z9" s="65"/>
      <c r="AA9" s="65"/>
      <c r="AB9" s="66"/>
    </row>
    <row r="10" spans="2:32" ht="12.75" customHeight="1">
      <c r="B10" s="523"/>
      <c r="C10" s="524"/>
      <c r="D10" s="524"/>
      <c r="E10" s="524"/>
      <c r="F10" s="524"/>
      <c r="G10" s="524"/>
      <c r="H10" s="525"/>
      <c r="J10" s="67"/>
      <c r="K10" s="68" t="s">
        <v>201</v>
      </c>
      <c r="L10" s="69">
        <f>Rent!C13</f>
        <v>28159</v>
      </c>
      <c r="M10" s="69"/>
      <c r="N10" s="70"/>
      <c r="O10" s="70"/>
      <c r="P10" s="70"/>
      <c r="Q10" s="70"/>
      <c r="R10" s="395"/>
      <c r="S10" s="70"/>
      <c r="T10" s="109"/>
      <c r="U10" s="68" t="s">
        <v>201</v>
      </c>
      <c r="V10" s="69">
        <f>Rent!C14</f>
        <v>22235</v>
      </c>
      <c r="W10" s="69"/>
      <c r="X10" s="70"/>
      <c r="Y10" s="70"/>
      <c r="Z10" s="70"/>
      <c r="AA10" s="70"/>
      <c r="AB10" s="71"/>
    </row>
    <row r="11" spans="2:32">
      <c r="R11" s="53" t="s">
        <v>144</v>
      </c>
      <c r="AB11" s="53" t="s">
        <v>144</v>
      </c>
      <c r="AE11" s="497" t="s">
        <v>202</v>
      </c>
      <c r="AF11" s="498"/>
    </row>
    <row r="12" spans="2:32" ht="13">
      <c r="B12" s="503" t="s">
        <v>203</v>
      </c>
      <c r="C12" s="503" t="s">
        <v>204</v>
      </c>
      <c r="D12" s="504"/>
      <c r="E12" s="505"/>
      <c r="F12" s="503" t="s">
        <v>205</v>
      </c>
      <c r="G12" s="505"/>
      <c r="H12" s="512" t="s">
        <v>206</v>
      </c>
      <c r="J12" s="72"/>
      <c r="K12" s="73"/>
      <c r="L12" s="72"/>
      <c r="M12" s="72"/>
      <c r="N12" s="72"/>
      <c r="O12" s="72"/>
      <c r="P12" s="73"/>
      <c r="Q12" s="72" t="s">
        <v>207</v>
      </c>
      <c r="R12" s="72"/>
      <c r="S12" s="72"/>
      <c r="T12" s="72"/>
      <c r="U12" s="73"/>
      <c r="V12" s="72"/>
      <c r="W12" s="72"/>
      <c r="X12" s="72"/>
      <c r="Y12" s="72"/>
      <c r="Z12" s="73"/>
      <c r="AA12" s="72" t="s">
        <v>207</v>
      </c>
      <c r="AB12" s="72"/>
      <c r="AE12" s="499"/>
      <c r="AF12" s="500"/>
    </row>
    <row r="13" spans="2:32" ht="13">
      <c r="B13" s="506"/>
      <c r="C13" s="506"/>
      <c r="D13" s="507"/>
      <c r="E13" s="508"/>
      <c r="F13" s="506"/>
      <c r="G13" s="508"/>
      <c r="H13" s="513"/>
      <c r="J13" s="74" t="s">
        <v>208</v>
      </c>
      <c r="K13" s="75"/>
      <c r="L13" s="74" t="s">
        <v>209</v>
      </c>
      <c r="M13" s="74" t="s">
        <v>210</v>
      </c>
      <c r="N13" s="74" t="s">
        <v>211</v>
      </c>
      <c r="O13" s="74" t="s">
        <v>212</v>
      </c>
      <c r="P13" s="75" t="s">
        <v>211</v>
      </c>
      <c r="Q13" s="74" t="s">
        <v>213</v>
      </c>
      <c r="R13" s="74" t="s">
        <v>194</v>
      </c>
      <c r="S13" s="74"/>
      <c r="T13" s="74" t="s">
        <v>208</v>
      </c>
      <c r="U13" s="75"/>
      <c r="V13" s="74" t="s">
        <v>209</v>
      </c>
      <c r="W13" s="74" t="s">
        <v>210</v>
      </c>
      <c r="X13" s="74" t="s">
        <v>211</v>
      </c>
      <c r="Y13" s="74" t="s">
        <v>212</v>
      </c>
      <c r="Z13" s="75" t="s">
        <v>211</v>
      </c>
      <c r="AA13" s="74" t="s">
        <v>213</v>
      </c>
      <c r="AB13" s="74" t="s">
        <v>194</v>
      </c>
      <c r="AE13" s="499"/>
      <c r="AF13" s="500"/>
    </row>
    <row r="14" spans="2:32" ht="13">
      <c r="B14" s="509"/>
      <c r="C14" s="509"/>
      <c r="D14" s="510"/>
      <c r="E14" s="511"/>
      <c r="F14" s="509"/>
      <c r="G14" s="511"/>
      <c r="H14" s="514"/>
      <c r="J14" s="76" t="s">
        <v>214</v>
      </c>
      <c r="K14" s="77" t="s">
        <v>215</v>
      </c>
      <c r="L14" s="76" t="s">
        <v>194</v>
      </c>
      <c r="M14" s="76" t="s">
        <v>216</v>
      </c>
      <c r="N14" s="76" t="s">
        <v>217</v>
      </c>
      <c r="O14" s="78" t="s">
        <v>218</v>
      </c>
      <c r="P14" s="79" t="s">
        <v>217</v>
      </c>
      <c r="Q14" s="78">
        <v>0.1</v>
      </c>
      <c r="R14" s="76" t="s">
        <v>219</v>
      </c>
      <c r="S14" s="76"/>
      <c r="T14" s="76" t="s">
        <v>214</v>
      </c>
      <c r="U14" s="77" t="s">
        <v>215</v>
      </c>
      <c r="V14" s="76" t="s">
        <v>194</v>
      </c>
      <c r="W14" s="76" t="s">
        <v>216</v>
      </c>
      <c r="X14" s="76" t="s">
        <v>217</v>
      </c>
      <c r="Y14" s="78" t="s">
        <v>218</v>
      </c>
      <c r="Z14" s="79" t="s">
        <v>217</v>
      </c>
      <c r="AA14" s="78">
        <v>0.05</v>
      </c>
      <c r="AB14" s="76" t="s">
        <v>219</v>
      </c>
      <c r="AE14" s="499"/>
      <c r="AF14" s="500"/>
    </row>
    <row r="15" spans="2:32">
      <c r="AE15" s="501"/>
      <c r="AF15" s="502"/>
    </row>
    <row r="16" spans="2:32" ht="13">
      <c r="C16" s="516" t="s">
        <v>100</v>
      </c>
      <c r="D16" s="516"/>
      <c r="E16" s="516"/>
      <c r="K16" s="55" t="str">
        <f>Summary!B57</f>
        <v>INSURANCE</v>
      </c>
      <c r="U16" s="111" t="str">
        <f t="shared" ref="U16:U21" si="0">$K16</f>
        <v>INSURANCE</v>
      </c>
    </row>
    <row r="17" spans="2:32">
      <c r="B17">
        <f>Summary!A58</f>
        <v>50112</v>
      </c>
      <c r="C17" t="str">
        <f>Summary!B58</f>
        <v xml:space="preserve">Insurance - Liability </v>
      </c>
      <c r="G17" s="43">
        <f>Summary!O58</f>
        <v>0</v>
      </c>
      <c r="H17" s="210">
        <v>50394</v>
      </c>
      <c r="J17" s="312">
        <f>Summary!A58</f>
        <v>50112</v>
      </c>
      <c r="K17" s="155" t="str">
        <f>Summary!B58</f>
        <v xml:space="preserve">Insurance - Liability </v>
      </c>
      <c r="L17" s="156">
        <f>Summary!O58</f>
        <v>0</v>
      </c>
      <c r="M17" s="157">
        <f>-L17</f>
        <v>0</v>
      </c>
      <c r="N17" s="156">
        <f>L17+M17</f>
        <v>0</v>
      </c>
      <c r="O17" s="158">
        <f>L10/Rent!C20</f>
        <v>0.55877683851252136</v>
      </c>
      <c r="P17" s="82">
        <f>O17*N17</f>
        <v>0</v>
      </c>
      <c r="Q17" s="82">
        <f>P17*$Q$14</f>
        <v>0</v>
      </c>
      <c r="R17" s="81">
        <f>Q17+P17</f>
        <v>0</v>
      </c>
      <c r="S17" s="81"/>
      <c r="T17" s="80">
        <f>$J17</f>
        <v>50112</v>
      </c>
      <c r="U17" s="95" t="str">
        <f t="shared" si="0"/>
        <v xml:space="preserve">Insurance - Liability </v>
      </c>
      <c r="V17" s="81">
        <f>$L17</f>
        <v>0</v>
      </c>
      <c r="W17" s="82">
        <v>0</v>
      </c>
      <c r="X17" s="81">
        <f>V17+W17</f>
        <v>0</v>
      </c>
      <c r="Y17" s="83">
        <f>V10/Rent!C20</f>
        <v>0.44122316148747864</v>
      </c>
      <c r="Z17" s="82">
        <f>Y17*X17</f>
        <v>0</v>
      </c>
      <c r="AA17" s="82">
        <f>Z17*$AA$14</f>
        <v>0</v>
      </c>
      <c r="AB17" s="81">
        <f>AA17+Z17</f>
        <v>0</v>
      </c>
    </row>
    <row r="18" spans="2:32">
      <c r="B18">
        <f>Summary!A59</f>
        <v>50120</v>
      </c>
      <c r="C18" t="str">
        <f>Summary!B59</f>
        <v>Insurance - Property/General</v>
      </c>
      <c r="G18" s="43">
        <f>Summary!O59</f>
        <v>15835.600000000002</v>
      </c>
      <c r="H18" s="210">
        <v>50394</v>
      </c>
      <c r="J18" s="312">
        <f>Summary!A59</f>
        <v>50120</v>
      </c>
      <c r="K18" s="155" t="str">
        <f>Summary!B59</f>
        <v>Insurance - Property/General</v>
      </c>
      <c r="L18" s="156">
        <f>Summary!O59</f>
        <v>15835.600000000002</v>
      </c>
      <c r="M18" s="157">
        <f>-L18</f>
        <v>-15835.600000000002</v>
      </c>
      <c r="N18" s="156">
        <f>L18+M18</f>
        <v>0</v>
      </c>
      <c r="O18" s="158">
        <f>O$17</f>
        <v>0.55877683851252136</v>
      </c>
      <c r="P18" s="82">
        <f>O18*N18</f>
        <v>0</v>
      </c>
      <c r="Q18" s="82">
        <f>P18*$Q$14</f>
        <v>0</v>
      </c>
      <c r="R18" s="81">
        <f>Q18+P18</f>
        <v>0</v>
      </c>
      <c r="S18" s="81"/>
      <c r="T18" s="80">
        <f>$J18</f>
        <v>50120</v>
      </c>
      <c r="U18" s="95" t="str">
        <f t="shared" si="0"/>
        <v>Insurance - Property/General</v>
      </c>
      <c r="V18" s="81">
        <f>$L18</f>
        <v>15835.600000000002</v>
      </c>
      <c r="W18" s="82"/>
      <c r="X18" s="81">
        <f>V18+W18</f>
        <v>15835.600000000002</v>
      </c>
      <c r="Y18" s="83">
        <f>Y$17</f>
        <v>0.44122316148747864</v>
      </c>
      <c r="Z18" s="82">
        <f>Y18*X18</f>
        <v>6987.0334960511182</v>
      </c>
      <c r="AA18" s="82">
        <v>0</v>
      </c>
      <c r="AB18" s="81">
        <f>AA18+Z18</f>
        <v>6987.0334960511182</v>
      </c>
      <c r="AE18">
        <v>2024</v>
      </c>
      <c r="AF18" s="268">
        <v>32711.5</v>
      </c>
    </row>
    <row r="19" spans="2:32">
      <c r="B19">
        <f>Summary!A60</f>
        <v>51043</v>
      </c>
      <c r="C19" t="str">
        <f>Summary!B60</f>
        <v>Insurance - Business Owners Policy</v>
      </c>
      <c r="G19" s="43">
        <f>Summary!O60</f>
        <v>0</v>
      </c>
      <c r="H19" s="210">
        <v>50394</v>
      </c>
      <c r="J19" s="312">
        <f>Summary!A60</f>
        <v>51043</v>
      </c>
      <c r="K19" s="155" t="str">
        <f>Summary!B60</f>
        <v>Insurance - Business Owners Policy</v>
      </c>
      <c r="L19" s="156">
        <f>Summary!O60</f>
        <v>0</v>
      </c>
      <c r="M19" s="157">
        <f>-L19</f>
        <v>0</v>
      </c>
      <c r="N19" s="156">
        <f>L19+M19</f>
        <v>0</v>
      </c>
      <c r="O19" s="158">
        <f>O$17</f>
        <v>0.55877683851252136</v>
      </c>
      <c r="P19" s="82">
        <f>O19*N19</f>
        <v>0</v>
      </c>
      <c r="Q19" s="82">
        <f>P19*$Q$14</f>
        <v>0</v>
      </c>
      <c r="R19" s="81">
        <f>Q19+P19</f>
        <v>0</v>
      </c>
      <c r="S19" s="81"/>
      <c r="T19" s="80">
        <f>$J19</f>
        <v>51043</v>
      </c>
      <c r="U19" s="95" t="str">
        <f t="shared" si="0"/>
        <v>Insurance - Business Owners Policy</v>
      </c>
      <c r="V19" s="81">
        <f>$L19</f>
        <v>0</v>
      </c>
      <c r="W19" s="82">
        <v>0</v>
      </c>
      <c r="X19" s="81">
        <f>V19+W19</f>
        <v>0</v>
      </c>
      <c r="Y19" s="83">
        <f>Y$17</f>
        <v>0.44122316148747864</v>
      </c>
      <c r="Z19" s="82">
        <f>Y19*X19</f>
        <v>0</v>
      </c>
      <c r="AA19" s="82">
        <f>Z19*Y19</f>
        <v>0</v>
      </c>
      <c r="AB19" s="81">
        <f>AA19+Z19</f>
        <v>0</v>
      </c>
      <c r="AE19">
        <v>2025</v>
      </c>
      <c r="AF19" s="120">
        <f>AF18*103%</f>
        <v>33692.845000000001</v>
      </c>
    </row>
    <row r="20" spans="2:32">
      <c r="B20">
        <f>Summary!A61</f>
        <v>50140</v>
      </c>
      <c r="C20" t="str">
        <f>Summary!B61</f>
        <v>Insurance - Flood &amp; Earthquake</v>
      </c>
      <c r="G20" s="43">
        <f>Summary!O61</f>
        <v>0</v>
      </c>
      <c r="H20" s="210">
        <v>50394</v>
      </c>
      <c r="J20" s="312">
        <f>Summary!A61</f>
        <v>50140</v>
      </c>
      <c r="K20" s="155" t="str">
        <f>Summary!B61</f>
        <v>Insurance - Flood &amp; Earthquake</v>
      </c>
      <c r="L20" s="156">
        <f>Summary!O61</f>
        <v>0</v>
      </c>
      <c r="M20" s="157">
        <f>-L20</f>
        <v>0</v>
      </c>
      <c r="N20" s="156">
        <f>L20+M20</f>
        <v>0</v>
      </c>
      <c r="O20" s="158">
        <f>O$17</f>
        <v>0.55877683851252136</v>
      </c>
      <c r="P20" s="82">
        <f>O20*N20</f>
        <v>0</v>
      </c>
      <c r="Q20" s="82">
        <f>P20*$Q$14</f>
        <v>0</v>
      </c>
      <c r="R20" s="81">
        <f>Q20+P20</f>
        <v>0</v>
      </c>
      <c r="S20" s="81"/>
      <c r="T20" s="80">
        <f>$J20</f>
        <v>50140</v>
      </c>
      <c r="U20" s="95" t="str">
        <f t="shared" si="0"/>
        <v>Insurance - Flood &amp; Earthquake</v>
      </c>
      <c r="V20" s="81">
        <f>$L20</f>
        <v>0</v>
      </c>
      <c r="W20" s="82">
        <f>-V20</f>
        <v>0</v>
      </c>
      <c r="X20" s="81">
        <f>V20+W20</f>
        <v>0</v>
      </c>
      <c r="Y20" s="83">
        <f>Y$17</f>
        <v>0.44122316148747864</v>
      </c>
      <c r="Z20" s="82">
        <f>Y20*X20</f>
        <v>0</v>
      </c>
      <c r="AA20" s="82">
        <f>Z20*Y20</f>
        <v>0</v>
      </c>
      <c r="AB20" s="81">
        <f>AA20+Z20</f>
        <v>0</v>
      </c>
      <c r="AE20">
        <v>2026</v>
      </c>
      <c r="AF20" s="120">
        <f>AF19*103%</f>
        <v>34703.630349999999</v>
      </c>
    </row>
    <row r="21" spans="2:32">
      <c r="B21">
        <f>Summary!A62</f>
        <v>50130</v>
      </c>
      <c r="C21" t="str">
        <f>Summary!B62</f>
        <v xml:space="preserve">Umbrella - Insurance </v>
      </c>
      <c r="G21" s="43">
        <f>Summary!O62</f>
        <v>0</v>
      </c>
      <c r="H21" s="210">
        <v>50394</v>
      </c>
      <c r="J21" s="312">
        <f>Summary!A62</f>
        <v>50130</v>
      </c>
      <c r="K21" s="155" t="str">
        <f>Summary!B62</f>
        <v xml:space="preserve">Umbrella - Insurance </v>
      </c>
      <c r="L21" s="156">
        <f>Summary!O62</f>
        <v>0</v>
      </c>
      <c r="M21" s="157">
        <f>-L21</f>
        <v>0</v>
      </c>
      <c r="N21" s="156">
        <f>L21+M21</f>
        <v>0</v>
      </c>
      <c r="O21" s="158">
        <f>O$17</f>
        <v>0.55877683851252136</v>
      </c>
      <c r="P21" s="82">
        <f>O21*N21</f>
        <v>0</v>
      </c>
      <c r="Q21" s="82">
        <f>P21*$Q$14</f>
        <v>0</v>
      </c>
      <c r="R21" s="81">
        <f>Q21+P21</f>
        <v>0</v>
      </c>
      <c r="S21" s="81"/>
      <c r="T21" s="80">
        <f>$J21</f>
        <v>50130</v>
      </c>
      <c r="U21" s="95" t="str">
        <f t="shared" si="0"/>
        <v xml:space="preserve">Umbrella - Insurance </v>
      </c>
      <c r="V21" s="81">
        <f>$L21</f>
        <v>0</v>
      </c>
      <c r="X21" s="81">
        <f>V21+W21</f>
        <v>0</v>
      </c>
      <c r="Y21" s="83">
        <f>Y$17</f>
        <v>0.44122316148747864</v>
      </c>
      <c r="Z21" s="82">
        <f>Y21*X21</f>
        <v>0</v>
      </c>
      <c r="AA21" s="82">
        <f>Z21*Y21</f>
        <v>0</v>
      </c>
      <c r="AB21" s="81">
        <f>AA21+Z21</f>
        <v>0</v>
      </c>
    </row>
    <row r="22" spans="2:32">
      <c r="G22" s="43"/>
      <c r="J22" s="155"/>
      <c r="K22" s="119"/>
      <c r="L22" s="115"/>
      <c r="M22" s="119"/>
      <c r="N22" s="115"/>
      <c r="O22" s="118"/>
      <c r="P22" s="114"/>
      <c r="Q22" s="114"/>
      <c r="R22" s="115"/>
      <c r="S22" s="81"/>
      <c r="U22" s="95"/>
      <c r="V22" s="81"/>
      <c r="X22" s="81"/>
      <c r="Y22" s="83"/>
      <c r="Z22" s="82"/>
      <c r="AA22" s="82"/>
      <c r="AB22" s="81"/>
    </row>
    <row r="23" spans="2:32" ht="13">
      <c r="C23" s="213" t="s">
        <v>108</v>
      </c>
      <c r="D23" s="211"/>
      <c r="E23" s="211"/>
      <c r="F23" s="211"/>
      <c r="G23" s="212">
        <f>SUM(G17:G22)</f>
        <v>15835.600000000002</v>
      </c>
      <c r="J23" s="117"/>
      <c r="K23" s="215" t="s">
        <v>108</v>
      </c>
      <c r="L23" s="159">
        <f>SUM(L17:L21)</f>
        <v>15835.600000000002</v>
      </c>
      <c r="M23" s="159">
        <f>SUM(M17:M21)</f>
        <v>-15835.600000000002</v>
      </c>
      <c r="N23" s="159">
        <f>SUM(N17:N21)</f>
        <v>0</v>
      </c>
      <c r="O23" s="160"/>
      <c r="P23" s="159">
        <f>SUM(P17:P21)</f>
        <v>0</v>
      </c>
      <c r="Q23" s="159">
        <f>SUM(Q17:Q21)</f>
        <v>0</v>
      </c>
      <c r="R23" s="161">
        <f>SUM(R17:R22)</f>
        <v>0</v>
      </c>
      <c r="S23" s="86">
        <f>R23/L10</f>
        <v>0</v>
      </c>
      <c r="T23" s="110"/>
      <c r="U23" s="112" t="s">
        <v>108</v>
      </c>
      <c r="V23" s="86">
        <f>SUM(V17:V21)</f>
        <v>15835.600000000002</v>
      </c>
      <c r="W23" s="86">
        <f>SUM(W17:W21)</f>
        <v>0</v>
      </c>
      <c r="X23" s="86">
        <f>SUM(X17:X21)</f>
        <v>15835.600000000002</v>
      </c>
      <c r="Y23" s="87"/>
      <c r="Z23" s="86">
        <f>SUM(Z17:Z21)</f>
        <v>6987.0334960511182</v>
      </c>
      <c r="AA23" s="86">
        <f>SUM(AA17:AA21)</f>
        <v>0</v>
      </c>
      <c r="AB23" s="88">
        <f>SUM(AB17:AB21)</f>
        <v>6987.0334960511182</v>
      </c>
      <c r="AC23" s="45">
        <f>AB23/V10</f>
        <v>0.31423582172480857</v>
      </c>
    </row>
    <row r="24" spans="2:32">
      <c r="U24" s="95"/>
    </row>
    <row r="25" spans="2:32" ht="13">
      <c r="C25" s="516" t="s">
        <v>66</v>
      </c>
      <c r="D25" s="516"/>
      <c r="E25" s="516"/>
      <c r="K25" s="55" t="str">
        <f>Summary!B27</f>
        <v>COMMON AREA EXPENSES</v>
      </c>
      <c r="U25" s="111" t="str">
        <f>$K25</f>
        <v>COMMON AREA EXPENSES</v>
      </c>
    </row>
    <row r="26" spans="2:32">
      <c r="B26" s="121">
        <f>Summary!A28</f>
        <v>50105</v>
      </c>
      <c r="C26" s="121" t="str">
        <f>Summary!B28</f>
        <v>Common Area Association</v>
      </c>
      <c r="D26" s="121"/>
      <c r="E26" s="121" t="s">
        <v>220</v>
      </c>
      <c r="F26" s="121"/>
      <c r="G26" s="419">
        <f>Summary!O28-G27-G28-G29-G31-G32-G34-G38-G39-G42-G43-G46-G47-G50</f>
        <v>-17113.299999999985</v>
      </c>
      <c r="H26" s="210">
        <v>50394</v>
      </c>
      <c r="J26" s="80">
        <f>Summary!A28</f>
        <v>50105</v>
      </c>
      <c r="K26" s="95" t="str">
        <f>C26</f>
        <v>Common Area Association</v>
      </c>
      <c r="L26" s="93">
        <f>G26</f>
        <v>-17113.299999999985</v>
      </c>
      <c r="M26" s="82">
        <f>-L26</f>
        <v>17113.299999999985</v>
      </c>
      <c r="N26" s="81">
        <f>L26+M26</f>
        <v>0</v>
      </c>
      <c r="O26" s="89">
        <f>O19</f>
        <v>0.55877683851252136</v>
      </c>
      <c r="P26" s="82">
        <f>O26*N26</f>
        <v>0</v>
      </c>
      <c r="Q26" s="82">
        <f t="shared" ref="Q26:Q50" si="1">P26*$Q$14</f>
        <v>0</v>
      </c>
      <c r="R26" s="81">
        <f>Q26+P26</f>
        <v>0</v>
      </c>
      <c r="S26" s="81"/>
      <c r="T26" s="80">
        <f>$J26</f>
        <v>50105</v>
      </c>
      <c r="U26" s="95" t="str">
        <f t="shared" ref="U26:U50" si="2">C26</f>
        <v>Common Area Association</v>
      </c>
      <c r="V26" s="93">
        <f>$L26</f>
        <v>-17113.299999999985</v>
      </c>
      <c r="W26" s="82">
        <v>0</v>
      </c>
      <c r="X26" s="81"/>
      <c r="Y26" s="89">
        <f>Y19</f>
        <v>0.44122316148747864</v>
      </c>
      <c r="Z26" s="82">
        <f>Y26*X26</f>
        <v>0</v>
      </c>
      <c r="AA26" s="82">
        <f>Z26*$AA$14</f>
        <v>0</v>
      </c>
      <c r="AB26" s="81">
        <f>AA26+Z26</f>
        <v>0</v>
      </c>
    </row>
    <row r="27" spans="2:32" ht="13">
      <c r="B27" s="121">
        <f>Summary!A29</f>
        <v>50160</v>
      </c>
      <c r="C27" s="121" t="str">
        <f>Summary!B29</f>
        <v>Landscape Consumables</v>
      </c>
      <c r="D27" s="121"/>
      <c r="E27" s="121" t="s">
        <v>221</v>
      </c>
      <c r="F27" s="121"/>
      <c r="G27" s="421">
        <f>1475+737.5</f>
        <v>2212.5</v>
      </c>
      <c r="H27" s="210">
        <v>50394</v>
      </c>
      <c r="J27" s="80">
        <f>Summary!A29</f>
        <v>50160</v>
      </c>
      <c r="K27" s="95" t="str">
        <f t="shared" ref="K27:K50" si="3">C27</f>
        <v>Landscape Consumables</v>
      </c>
      <c r="L27" s="93">
        <f t="shared" ref="L27:L50" si="4">G27</f>
        <v>2212.5</v>
      </c>
      <c r="M27" s="82">
        <f t="shared" ref="M27:M50" si="5">-L27</f>
        <v>-2212.5</v>
      </c>
      <c r="N27" s="81">
        <f>L27+M27</f>
        <v>0</v>
      </c>
      <c r="O27" s="89">
        <f>O20</f>
        <v>0.55877683851252136</v>
      </c>
      <c r="P27" s="82">
        <f t="shared" ref="P27:P50" si="6">O27*N27</f>
        <v>0</v>
      </c>
      <c r="Q27" s="82">
        <f t="shared" si="1"/>
        <v>0</v>
      </c>
      <c r="R27" s="81">
        <f t="shared" ref="R27:R50" si="7">Q27+P27</f>
        <v>0</v>
      </c>
      <c r="S27" s="81"/>
      <c r="T27" s="80">
        <f>$J27</f>
        <v>50160</v>
      </c>
      <c r="U27" s="95" t="str">
        <f t="shared" si="2"/>
        <v>Landscape Consumables</v>
      </c>
      <c r="V27" s="93">
        <f>$L27</f>
        <v>2212.5</v>
      </c>
      <c r="W27" s="82">
        <v>0</v>
      </c>
      <c r="X27" s="81">
        <f t="shared" ref="X27:X35" si="8">V27+W27</f>
        <v>2212.5</v>
      </c>
      <c r="Y27" s="89">
        <f>Y20</f>
        <v>0.44122316148747864</v>
      </c>
      <c r="Z27" s="82">
        <f t="shared" ref="Z27:Z50" si="9">Y27*X27</f>
        <v>976.20624479104652</v>
      </c>
      <c r="AA27" s="82">
        <f t="shared" ref="AA27:AA50" si="10">Z27*$AA$14</f>
        <v>48.810312239552331</v>
      </c>
      <c r="AB27" s="81">
        <f t="shared" ref="AB27:AB50" si="11">AA27+Z27</f>
        <v>1025.016557030599</v>
      </c>
    </row>
    <row r="28" spans="2:32" ht="13">
      <c r="B28" s="121">
        <f>Summary!A30</f>
        <v>50190</v>
      </c>
      <c r="C28" s="121" t="str">
        <f>Summary!B30</f>
        <v>Sprinkler Repairs</v>
      </c>
      <c r="D28" s="121"/>
      <c r="E28" s="121"/>
      <c r="F28" s="121"/>
      <c r="G28" s="421">
        <v>2212.5</v>
      </c>
      <c r="H28" s="210">
        <v>50394</v>
      </c>
      <c r="J28" s="80">
        <f>Summary!A30</f>
        <v>50190</v>
      </c>
      <c r="K28" s="95" t="str">
        <f t="shared" si="3"/>
        <v>Sprinkler Repairs</v>
      </c>
      <c r="L28" s="93">
        <f t="shared" si="4"/>
        <v>2212.5</v>
      </c>
      <c r="M28" s="82">
        <f t="shared" si="5"/>
        <v>-2212.5</v>
      </c>
      <c r="N28" s="81">
        <f t="shared" ref="N28:N50" si="12">L28+M28</f>
        <v>0</v>
      </c>
      <c r="O28" s="89">
        <f t="shared" ref="O28:O36" si="13">O$27</f>
        <v>0.55877683851252136</v>
      </c>
      <c r="P28" s="82">
        <f t="shared" si="6"/>
        <v>0</v>
      </c>
      <c r="Q28" s="82">
        <f t="shared" si="1"/>
        <v>0</v>
      </c>
      <c r="R28" s="81">
        <f t="shared" si="7"/>
        <v>0</v>
      </c>
      <c r="S28" s="81"/>
      <c r="T28" s="80">
        <f t="shared" ref="T28:T50" si="14">$J28</f>
        <v>50190</v>
      </c>
      <c r="U28" s="95" t="str">
        <f t="shared" si="2"/>
        <v>Sprinkler Repairs</v>
      </c>
      <c r="V28" s="93">
        <f t="shared" ref="V28:V51" si="15">$L28</f>
        <v>2212.5</v>
      </c>
      <c r="W28" s="82">
        <v>0</v>
      </c>
      <c r="X28" s="81">
        <f t="shared" si="8"/>
        <v>2212.5</v>
      </c>
      <c r="Y28" s="89">
        <f t="shared" ref="Y28:Y36" si="16">Y$27</f>
        <v>0.44122316148747864</v>
      </c>
      <c r="Z28" s="82">
        <f t="shared" si="9"/>
        <v>976.20624479104652</v>
      </c>
      <c r="AA28" s="82">
        <f t="shared" si="10"/>
        <v>48.810312239552331</v>
      </c>
      <c r="AB28" s="81">
        <f t="shared" si="11"/>
        <v>1025.016557030599</v>
      </c>
    </row>
    <row r="29" spans="2:32" ht="13">
      <c r="B29" s="121">
        <f>Summary!A31</f>
        <v>50170</v>
      </c>
      <c r="C29" s="121" t="str">
        <f>Summary!B31</f>
        <v>Landscape Maintenance</v>
      </c>
      <c r="D29" s="121"/>
      <c r="E29" s="121"/>
      <c r="F29" s="121"/>
      <c r="G29" s="421">
        <v>10325</v>
      </c>
      <c r="H29" s="210">
        <v>50394</v>
      </c>
      <c r="J29" s="80">
        <f>Summary!A31</f>
        <v>50170</v>
      </c>
      <c r="K29" s="95" t="str">
        <f t="shared" si="3"/>
        <v>Landscape Maintenance</v>
      </c>
      <c r="L29" s="93">
        <f t="shared" si="4"/>
        <v>10325</v>
      </c>
      <c r="M29" s="82">
        <f t="shared" si="5"/>
        <v>-10325</v>
      </c>
      <c r="N29" s="81">
        <f t="shared" si="12"/>
        <v>0</v>
      </c>
      <c r="O29" s="89">
        <f t="shared" si="13"/>
        <v>0.55877683851252136</v>
      </c>
      <c r="P29" s="82">
        <f t="shared" si="6"/>
        <v>0</v>
      </c>
      <c r="Q29" s="82">
        <f t="shared" si="1"/>
        <v>0</v>
      </c>
      <c r="R29" s="81">
        <f t="shared" si="7"/>
        <v>0</v>
      </c>
      <c r="S29" s="81"/>
      <c r="T29" s="80">
        <f t="shared" si="14"/>
        <v>50170</v>
      </c>
      <c r="U29" s="95" t="str">
        <f t="shared" si="2"/>
        <v>Landscape Maintenance</v>
      </c>
      <c r="V29" s="93">
        <f t="shared" si="15"/>
        <v>10325</v>
      </c>
      <c r="W29" s="82">
        <v>0</v>
      </c>
      <c r="X29" s="81">
        <f t="shared" si="8"/>
        <v>10325</v>
      </c>
      <c r="Y29" s="89">
        <f t="shared" si="16"/>
        <v>0.44122316148747864</v>
      </c>
      <c r="Z29" s="82">
        <f t="shared" si="9"/>
        <v>4555.629142358217</v>
      </c>
      <c r="AA29" s="82">
        <f t="shared" si="10"/>
        <v>227.78145711791086</v>
      </c>
      <c r="AB29" s="81">
        <f t="shared" si="11"/>
        <v>4783.4105994761276</v>
      </c>
    </row>
    <row r="30" spans="2:32">
      <c r="B30">
        <f>Summary!A32</f>
        <v>50510</v>
      </c>
      <c r="C30" t="str">
        <f>Summary!B32</f>
        <v>Parking Lot Lights Maintenance</v>
      </c>
      <c r="G30" s="43">
        <f>Summary!O32</f>
        <v>300</v>
      </c>
      <c r="H30" s="210">
        <v>50394</v>
      </c>
      <c r="J30" s="80">
        <f>Summary!A32</f>
        <v>50510</v>
      </c>
      <c r="K30" s="95" t="str">
        <f t="shared" si="3"/>
        <v>Parking Lot Lights Maintenance</v>
      </c>
      <c r="L30" s="93">
        <f t="shared" si="4"/>
        <v>300</v>
      </c>
      <c r="M30" s="82">
        <f t="shared" si="5"/>
        <v>-300</v>
      </c>
      <c r="N30" s="81">
        <f t="shared" si="12"/>
        <v>0</v>
      </c>
      <c r="O30" s="89">
        <f t="shared" si="13"/>
        <v>0.55877683851252136</v>
      </c>
      <c r="P30" s="82">
        <f t="shared" si="6"/>
        <v>0</v>
      </c>
      <c r="Q30" s="82">
        <f t="shared" si="1"/>
        <v>0</v>
      </c>
      <c r="R30" s="81">
        <f t="shared" si="7"/>
        <v>0</v>
      </c>
      <c r="S30" s="81"/>
      <c r="T30" s="80">
        <f t="shared" si="14"/>
        <v>50510</v>
      </c>
      <c r="U30" s="95" t="str">
        <f t="shared" si="2"/>
        <v>Parking Lot Lights Maintenance</v>
      </c>
      <c r="V30" s="93">
        <f t="shared" si="15"/>
        <v>300</v>
      </c>
      <c r="W30" s="82">
        <v>0</v>
      </c>
      <c r="X30" s="81">
        <f t="shared" si="8"/>
        <v>300</v>
      </c>
      <c r="Y30" s="89">
        <f t="shared" si="16"/>
        <v>0.44122316148747864</v>
      </c>
      <c r="Z30" s="82">
        <f t="shared" si="9"/>
        <v>132.36694844624358</v>
      </c>
      <c r="AA30" s="82">
        <f t="shared" si="10"/>
        <v>6.6183474223121799</v>
      </c>
      <c r="AB30" s="81">
        <f t="shared" si="11"/>
        <v>138.98529586855577</v>
      </c>
    </row>
    <row r="31" spans="2:32" ht="13">
      <c r="B31" s="121">
        <f>Summary!A33</f>
        <v>50520</v>
      </c>
      <c r="C31" s="121" t="str">
        <f>Summary!B33</f>
        <v>Parking Lot Maintenance</v>
      </c>
      <c r="D31" s="121"/>
      <c r="E31" s="121" t="s">
        <v>222</v>
      </c>
      <c r="F31" s="121"/>
      <c r="G31" s="422">
        <f>15866.98+9130.25</f>
        <v>24997.23</v>
      </c>
      <c r="H31" s="210">
        <v>50394</v>
      </c>
      <c r="J31" s="80">
        <f>Summary!A33</f>
        <v>50520</v>
      </c>
      <c r="K31" s="95" t="str">
        <f t="shared" si="3"/>
        <v>Parking Lot Maintenance</v>
      </c>
      <c r="L31" s="93">
        <f t="shared" si="4"/>
        <v>24997.23</v>
      </c>
      <c r="M31" s="82">
        <f t="shared" si="5"/>
        <v>-24997.23</v>
      </c>
      <c r="N31" s="81">
        <f t="shared" si="12"/>
        <v>0</v>
      </c>
      <c r="O31" s="89">
        <f t="shared" si="13"/>
        <v>0.55877683851252136</v>
      </c>
      <c r="P31" s="82">
        <f t="shared" si="6"/>
        <v>0</v>
      </c>
      <c r="Q31" s="82">
        <f t="shared" si="1"/>
        <v>0</v>
      </c>
      <c r="R31" s="81">
        <f t="shared" si="7"/>
        <v>0</v>
      </c>
      <c r="S31" s="81"/>
      <c r="T31" s="80">
        <f t="shared" si="14"/>
        <v>50520</v>
      </c>
      <c r="U31" s="95" t="str">
        <f t="shared" si="2"/>
        <v>Parking Lot Maintenance</v>
      </c>
      <c r="V31" s="93">
        <f t="shared" si="15"/>
        <v>24997.23</v>
      </c>
      <c r="W31" s="82">
        <v>0</v>
      </c>
      <c r="X31" s="81">
        <f t="shared" si="8"/>
        <v>24997.23</v>
      </c>
      <c r="Y31" s="89">
        <f t="shared" si="16"/>
        <v>0.44122316148747864</v>
      </c>
      <c r="Z31" s="82">
        <f t="shared" si="9"/>
        <v>11029.356849029646</v>
      </c>
      <c r="AA31" s="82">
        <f t="shared" si="10"/>
        <v>551.46784245148228</v>
      </c>
      <c r="AB31" s="81">
        <f t="shared" si="11"/>
        <v>11580.824691481128</v>
      </c>
    </row>
    <row r="32" spans="2:32">
      <c r="B32" s="121">
        <f>Summary!A34</f>
        <v>50530</v>
      </c>
      <c r="C32" s="121" t="str">
        <f>Summary!B34</f>
        <v>Parking Lot Lights Repairs</v>
      </c>
      <c r="D32" s="121"/>
      <c r="E32" s="121"/>
      <c r="F32" s="121"/>
      <c r="G32" s="419">
        <v>2890.16</v>
      </c>
      <c r="H32" s="210">
        <v>50394</v>
      </c>
      <c r="J32" s="80">
        <f>Summary!A34</f>
        <v>50530</v>
      </c>
      <c r="K32" s="95" t="str">
        <f t="shared" si="3"/>
        <v>Parking Lot Lights Repairs</v>
      </c>
      <c r="L32" s="93">
        <f t="shared" si="4"/>
        <v>2890.16</v>
      </c>
      <c r="M32" s="82">
        <f t="shared" si="5"/>
        <v>-2890.16</v>
      </c>
      <c r="N32" s="81">
        <f t="shared" si="12"/>
        <v>0</v>
      </c>
      <c r="O32" s="89">
        <f t="shared" si="13"/>
        <v>0.55877683851252136</v>
      </c>
      <c r="P32" s="82">
        <f t="shared" si="6"/>
        <v>0</v>
      </c>
      <c r="Q32" s="82">
        <f t="shared" si="1"/>
        <v>0</v>
      </c>
      <c r="R32" s="81">
        <f t="shared" si="7"/>
        <v>0</v>
      </c>
      <c r="S32" s="81"/>
      <c r="T32" s="80">
        <f t="shared" si="14"/>
        <v>50530</v>
      </c>
      <c r="U32" s="95" t="str">
        <f t="shared" si="2"/>
        <v>Parking Lot Lights Repairs</v>
      </c>
      <c r="V32" s="93">
        <f t="shared" si="15"/>
        <v>2890.16</v>
      </c>
      <c r="W32" s="82">
        <v>0</v>
      </c>
      <c r="X32" s="81">
        <f t="shared" si="8"/>
        <v>2890.16</v>
      </c>
      <c r="Y32" s="89">
        <f t="shared" si="16"/>
        <v>0.44122316148747864</v>
      </c>
      <c r="Z32" s="82">
        <f t="shared" si="9"/>
        <v>1275.2055324046512</v>
      </c>
      <c r="AA32" s="82">
        <f t="shared" si="10"/>
        <v>63.76027662023256</v>
      </c>
      <c r="AB32" s="81">
        <f t="shared" si="11"/>
        <v>1338.9658090248838</v>
      </c>
    </row>
    <row r="33" spans="2:28">
      <c r="B33">
        <f>Summary!A35</f>
        <v>51020</v>
      </c>
      <c r="C33" t="str">
        <f>Summary!B35</f>
        <v>General Maintenance</v>
      </c>
      <c r="D33" s="121"/>
      <c r="E33" s="121"/>
      <c r="F33" s="121"/>
      <c r="G33" s="43">
        <f>Summary!O35</f>
        <v>6000</v>
      </c>
      <c r="H33" s="210">
        <v>50394</v>
      </c>
      <c r="J33" s="80">
        <f>Summary!A35</f>
        <v>51020</v>
      </c>
      <c r="K33" s="95" t="str">
        <f t="shared" si="3"/>
        <v>General Maintenance</v>
      </c>
      <c r="L33" s="93">
        <f t="shared" si="4"/>
        <v>6000</v>
      </c>
      <c r="M33" s="82">
        <f t="shared" si="5"/>
        <v>-6000</v>
      </c>
      <c r="N33" s="81">
        <f t="shared" si="12"/>
        <v>0</v>
      </c>
      <c r="O33" s="89">
        <f t="shared" si="13"/>
        <v>0.55877683851252136</v>
      </c>
      <c r="P33" s="82">
        <f t="shared" si="6"/>
        <v>0</v>
      </c>
      <c r="Q33" s="82">
        <f t="shared" si="1"/>
        <v>0</v>
      </c>
      <c r="R33" s="81">
        <f t="shared" si="7"/>
        <v>0</v>
      </c>
      <c r="S33" s="81"/>
      <c r="T33" s="80">
        <f t="shared" si="14"/>
        <v>51020</v>
      </c>
      <c r="U33" s="95" t="str">
        <f t="shared" si="2"/>
        <v>General Maintenance</v>
      </c>
      <c r="V33" s="93">
        <f t="shared" si="15"/>
        <v>6000</v>
      </c>
      <c r="W33" s="82">
        <v>0</v>
      </c>
      <c r="X33" s="81">
        <f t="shared" si="8"/>
        <v>6000</v>
      </c>
      <c r="Y33" s="89">
        <f t="shared" si="16"/>
        <v>0.44122316148747864</v>
      </c>
      <c r="Z33" s="82">
        <f t="shared" si="9"/>
        <v>2647.338968924872</v>
      </c>
      <c r="AA33" s="82">
        <f t="shared" si="10"/>
        <v>132.36694844624361</v>
      </c>
      <c r="AB33" s="81">
        <f t="shared" si="11"/>
        <v>2779.7059173711154</v>
      </c>
    </row>
    <row r="34" spans="2:28" ht="13">
      <c r="B34" s="121">
        <f>Summary!A36</f>
        <v>51040</v>
      </c>
      <c r="C34" s="121" t="str">
        <f>Summary!B36</f>
        <v xml:space="preserve">Janitorial </v>
      </c>
      <c r="D34" s="121"/>
      <c r="E34" s="121"/>
      <c r="F34" s="121"/>
      <c r="G34" s="421">
        <v>16962.5</v>
      </c>
      <c r="H34" s="210">
        <v>50394</v>
      </c>
      <c r="J34" s="80">
        <f>Summary!A36</f>
        <v>51040</v>
      </c>
      <c r="K34" s="95" t="str">
        <f t="shared" si="3"/>
        <v xml:space="preserve">Janitorial </v>
      </c>
      <c r="L34" s="93">
        <f t="shared" si="4"/>
        <v>16962.5</v>
      </c>
      <c r="M34" s="82">
        <f t="shared" si="5"/>
        <v>-16962.5</v>
      </c>
      <c r="N34" s="81">
        <f t="shared" si="12"/>
        <v>0</v>
      </c>
      <c r="O34" s="89">
        <f t="shared" si="13"/>
        <v>0.55877683851252136</v>
      </c>
      <c r="P34" s="82">
        <f t="shared" si="6"/>
        <v>0</v>
      </c>
      <c r="Q34" s="82">
        <f t="shared" si="1"/>
        <v>0</v>
      </c>
      <c r="R34" s="81">
        <f t="shared" si="7"/>
        <v>0</v>
      </c>
      <c r="S34" s="81"/>
      <c r="T34" s="80">
        <f t="shared" si="14"/>
        <v>51040</v>
      </c>
      <c r="U34" s="95" t="str">
        <f t="shared" si="2"/>
        <v xml:space="preserve">Janitorial </v>
      </c>
      <c r="V34" s="93">
        <f t="shared" si="15"/>
        <v>16962.5</v>
      </c>
      <c r="W34" s="82">
        <v>0</v>
      </c>
      <c r="X34" s="81">
        <f t="shared" si="8"/>
        <v>16962.5</v>
      </c>
      <c r="Y34" s="89">
        <f t="shared" si="16"/>
        <v>0.44122316148747864</v>
      </c>
      <c r="Z34" s="82">
        <f t="shared" si="9"/>
        <v>7484.2478767313569</v>
      </c>
      <c r="AA34" s="82">
        <f t="shared" si="10"/>
        <v>374.21239383656786</v>
      </c>
      <c r="AB34" s="81">
        <f t="shared" si="11"/>
        <v>7858.4602705679245</v>
      </c>
    </row>
    <row r="35" spans="2:28">
      <c r="B35">
        <f>Summary!A37</f>
        <v>52020</v>
      </c>
      <c r="C35" t="str">
        <f>Summary!B37</f>
        <v>Backflow Maintenance</v>
      </c>
      <c r="G35" s="43">
        <f>Summary!O37</f>
        <v>350</v>
      </c>
      <c r="H35" s="210">
        <f t="shared" ref="H35:H50" si="17">H26</f>
        <v>50394</v>
      </c>
      <c r="J35" s="80">
        <f>Summary!A37</f>
        <v>52020</v>
      </c>
      <c r="K35" s="95" t="str">
        <f t="shared" si="3"/>
        <v>Backflow Maintenance</v>
      </c>
      <c r="L35" s="93">
        <f t="shared" si="4"/>
        <v>350</v>
      </c>
      <c r="M35" s="82">
        <f t="shared" si="5"/>
        <v>-350</v>
      </c>
      <c r="N35" s="81">
        <f>L35+M35</f>
        <v>0</v>
      </c>
      <c r="O35" s="89">
        <f t="shared" si="13"/>
        <v>0.55877683851252136</v>
      </c>
      <c r="P35" s="82">
        <f t="shared" si="6"/>
        <v>0</v>
      </c>
      <c r="Q35" s="82">
        <f t="shared" si="1"/>
        <v>0</v>
      </c>
      <c r="R35" s="81">
        <f t="shared" si="7"/>
        <v>0</v>
      </c>
      <c r="S35" s="81"/>
      <c r="T35" s="80">
        <f t="shared" si="14"/>
        <v>52020</v>
      </c>
      <c r="U35" s="95" t="str">
        <f t="shared" si="2"/>
        <v>Backflow Maintenance</v>
      </c>
      <c r="V35" s="93">
        <f t="shared" si="15"/>
        <v>350</v>
      </c>
      <c r="W35" s="82">
        <v>0</v>
      </c>
      <c r="X35" s="81">
        <f t="shared" si="8"/>
        <v>350</v>
      </c>
      <c r="Y35" s="89">
        <f t="shared" si="16"/>
        <v>0.44122316148747864</v>
      </c>
      <c r="Z35" s="82">
        <f t="shared" si="9"/>
        <v>154.42810652061752</v>
      </c>
      <c r="AA35" s="82">
        <f t="shared" si="10"/>
        <v>7.7214053260308759</v>
      </c>
      <c r="AB35" s="81">
        <f t="shared" si="11"/>
        <v>162.14951184664841</v>
      </c>
    </row>
    <row r="36" spans="2:28">
      <c r="B36">
        <f>Summary!A39</f>
        <v>51060</v>
      </c>
      <c r="C36" t="str">
        <f>Summary!B39</f>
        <v>Roof Maintenance</v>
      </c>
      <c r="G36" s="43">
        <f>Summary!O39</f>
        <v>0</v>
      </c>
      <c r="H36" s="210">
        <f t="shared" si="17"/>
        <v>50394</v>
      </c>
      <c r="J36" s="80">
        <f>Summary!A39</f>
        <v>51060</v>
      </c>
      <c r="K36" s="95" t="str">
        <f t="shared" si="3"/>
        <v>Roof Maintenance</v>
      </c>
      <c r="L36" s="93">
        <f t="shared" si="4"/>
        <v>0</v>
      </c>
      <c r="M36" s="82">
        <f t="shared" si="5"/>
        <v>0</v>
      </c>
      <c r="N36" s="81">
        <f t="shared" si="12"/>
        <v>0</v>
      </c>
      <c r="O36" s="89">
        <f t="shared" si="13"/>
        <v>0.55877683851252136</v>
      </c>
      <c r="P36" s="82">
        <f t="shared" si="6"/>
        <v>0</v>
      </c>
      <c r="Q36" s="82">
        <f t="shared" si="1"/>
        <v>0</v>
      </c>
      <c r="R36" s="81">
        <f t="shared" si="7"/>
        <v>0</v>
      </c>
      <c r="S36" s="81"/>
      <c r="T36" s="80">
        <f t="shared" si="14"/>
        <v>51060</v>
      </c>
      <c r="U36" s="95" t="str">
        <f t="shared" si="2"/>
        <v>Roof Maintenance</v>
      </c>
      <c r="V36" s="93">
        <f t="shared" si="15"/>
        <v>0</v>
      </c>
      <c r="W36" s="82">
        <v>0</v>
      </c>
      <c r="X36" s="81">
        <f t="shared" ref="X36:X50" si="18">V36+W36</f>
        <v>0</v>
      </c>
      <c r="Y36" s="89">
        <f t="shared" si="16"/>
        <v>0.44122316148747864</v>
      </c>
      <c r="Z36" s="82">
        <f t="shared" si="9"/>
        <v>0</v>
      </c>
      <c r="AA36" s="82">
        <f t="shared" si="10"/>
        <v>0</v>
      </c>
      <c r="AB36" s="81">
        <f t="shared" si="11"/>
        <v>0</v>
      </c>
    </row>
    <row r="37" spans="2:28">
      <c r="B37">
        <f>Summary!A40</f>
        <v>51070</v>
      </c>
      <c r="C37" t="str">
        <f>Summary!B40</f>
        <v>Roof Repairs</v>
      </c>
      <c r="G37" s="43">
        <f>Summary!O40</f>
        <v>0</v>
      </c>
      <c r="H37" s="210">
        <f t="shared" si="17"/>
        <v>50394</v>
      </c>
      <c r="J37" s="80">
        <f>Summary!A40</f>
        <v>51070</v>
      </c>
      <c r="K37" s="95" t="str">
        <f t="shared" si="3"/>
        <v>Roof Repairs</v>
      </c>
      <c r="L37" s="93">
        <f t="shared" si="4"/>
        <v>0</v>
      </c>
      <c r="M37" s="82">
        <f t="shared" si="5"/>
        <v>0</v>
      </c>
      <c r="N37" s="81">
        <f t="shared" si="12"/>
        <v>0</v>
      </c>
      <c r="O37" s="89">
        <f>+O36</f>
        <v>0.55877683851252136</v>
      </c>
      <c r="P37" s="82">
        <f t="shared" si="6"/>
        <v>0</v>
      </c>
      <c r="Q37" s="82">
        <f t="shared" si="1"/>
        <v>0</v>
      </c>
      <c r="R37" s="81">
        <f t="shared" si="7"/>
        <v>0</v>
      </c>
      <c r="S37" s="81"/>
      <c r="T37" s="80">
        <f t="shared" si="14"/>
        <v>51070</v>
      </c>
      <c r="U37" s="95" t="str">
        <f t="shared" si="2"/>
        <v>Roof Repairs</v>
      </c>
      <c r="V37" s="93">
        <f t="shared" si="15"/>
        <v>0</v>
      </c>
      <c r="W37" s="82">
        <v>0</v>
      </c>
      <c r="X37" s="81">
        <f t="shared" si="18"/>
        <v>0</v>
      </c>
      <c r="Y37" s="89">
        <f>+Y36</f>
        <v>0.44122316148747864</v>
      </c>
      <c r="Z37" s="82">
        <f t="shared" si="9"/>
        <v>0</v>
      </c>
      <c r="AA37" s="82">
        <f t="shared" si="10"/>
        <v>0</v>
      </c>
      <c r="AB37" s="81">
        <f t="shared" si="11"/>
        <v>0</v>
      </c>
    </row>
    <row r="38" spans="2:28" ht="13">
      <c r="B38" s="121">
        <f>Summary!A41</f>
        <v>51080</v>
      </c>
      <c r="C38" s="121" t="str">
        <f>Summary!B41</f>
        <v>Onsite Management</v>
      </c>
      <c r="D38" s="121"/>
      <c r="E38" s="121"/>
      <c r="F38" s="121"/>
      <c r="G38" s="421">
        <v>9310.86</v>
      </c>
      <c r="H38" s="210">
        <f t="shared" si="17"/>
        <v>50394</v>
      </c>
      <c r="J38" s="80">
        <f>Summary!A41</f>
        <v>51080</v>
      </c>
      <c r="K38" s="95" t="str">
        <f t="shared" si="3"/>
        <v>Onsite Management</v>
      </c>
      <c r="L38" s="93">
        <f t="shared" si="4"/>
        <v>9310.86</v>
      </c>
      <c r="M38" s="82">
        <f t="shared" si="5"/>
        <v>-9310.86</v>
      </c>
      <c r="N38" s="81">
        <f t="shared" si="12"/>
        <v>0</v>
      </c>
      <c r="O38" s="89">
        <f>O$27</f>
        <v>0.55877683851252136</v>
      </c>
      <c r="P38" s="82">
        <f t="shared" si="6"/>
        <v>0</v>
      </c>
      <c r="Q38" s="82">
        <f t="shared" si="1"/>
        <v>0</v>
      </c>
      <c r="R38" s="81">
        <f t="shared" si="7"/>
        <v>0</v>
      </c>
      <c r="S38" s="81"/>
      <c r="T38" s="80">
        <f t="shared" si="14"/>
        <v>51080</v>
      </c>
      <c r="U38" s="95" t="str">
        <f t="shared" si="2"/>
        <v>Onsite Management</v>
      </c>
      <c r="V38" s="93">
        <f t="shared" si="15"/>
        <v>9310.86</v>
      </c>
      <c r="W38" s="82">
        <f>-V38</f>
        <v>-9310.86</v>
      </c>
      <c r="X38" s="81">
        <f t="shared" si="18"/>
        <v>0</v>
      </c>
      <c r="Y38" s="89">
        <f>Y$27</f>
        <v>0.44122316148747864</v>
      </c>
      <c r="Z38" s="82">
        <f t="shared" si="9"/>
        <v>0</v>
      </c>
      <c r="AA38" s="82">
        <f t="shared" si="10"/>
        <v>0</v>
      </c>
      <c r="AB38" s="81">
        <f t="shared" si="11"/>
        <v>0</v>
      </c>
    </row>
    <row r="39" spans="2:28" ht="13">
      <c r="B39" s="121">
        <f>Summary!A42</f>
        <v>51100</v>
      </c>
      <c r="C39" s="121" t="str">
        <f>Summary!B42</f>
        <v>Sidewalk Maintenance</v>
      </c>
      <c r="D39" s="121"/>
      <c r="E39" s="121"/>
      <c r="F39" s="121"/>
      <c r="G39" s="421">
        <v>1032.5</v>
      </c>
      <c r="H39" s="210">
        <f t="shared" si="17"/>
        <v>50394</v>
      </c>
      <c r="J39" s="80">
        <f>Summary!A42</f>
        <v>51100</v>
      </c>
      <c r="K39" s="95" t="str">
        <f t="shared" si="3"/>
        <v>Sidewalk Maintenance</v>
      </c>
      <c r="L39" s="93">
        <f t="shared" si="4"/>
        <v>1032.5</v>
      </c>
      <c r="M39" s="82">
        <f t="shared" si="5"/>
        <v>-1032.5</v>
      </c>
      <c r="N39" s="81">
        <f t="shared" si="12"/>
        <v>0</v>
      </c>
      <c r="O39" s="89">
        <f>O$27</f>
        <v>0.55877683851252136</v>
      </c>
      <c r="P39" s="82">
        <f t="shared" si="6"/>
        <v>0</v>
      </c>
      <c r="Q39" s="82">
        <f t="shared" si="1"/>
        <v>0</v>
      </c>
      <c r="R39" s="81">
        <f t="shared" si="7"/>
        <v>0</v>
      </c>
      <c r="S39" s="81"/>
      <c r="T39" s="80">
        <f t="shared" si="14"/>
        <v>51100</v>
      </c>
      <c r="U39" s="95" t="str">
        <f t="shared" si="2"/>
        <v>Sidewalk Maintenance</v>
      </c>
      <c r="V39" s="93">
        <f t="shared" si="15"/>
        <v>1032.5</v>
      </c>
      <c r="W39" s="82">
        <v>0</v>
      </c>
      <c r="X39" s="81">
        <f t="shared" si="18"/>
        <v>1032.5</v>
      </c>
      <c r="Y39" s="89">
        <f>Y$27</f>
        <v>0.44122316148747864</v>
      </c>
      <c r="Z39" s="82">
        <f t="shared" si="9"/>
        <v>455.56291423582172</v>
      </c>
      <c r="AA39" s="82">
        <f t="shared" si="10"/>
        <v>22.778145711791087</v>
      </c>
      <c r="AB39" s="81">
        <f t="shared" si="11"/>
        <v>478.34105994761279</v>
      </c>
    </row>
    <row r="40" spans="2:28">
      <c r="B40">
        <f>Summary!A43</f>
        <v>51110</v>
      </c>
      <c r="C40" t="str">
        <f>Summary!B43</f>
        <v>Monitor Fire Sprinklers</v>
      </c>
      <c r="G40" s="43">
        <f>Summary!O43</f>
        <v>1000</v>
      </c>
      <c r="H40" s="210">
        <f t="shared" si="17"/>
        <v>50394</v>
      </c>
      <c r="J40" s="80">
        <f>Summary!A43</f>
        <v>51110</v>
      </c>
      <c r="K40" s="95" t="str">
        <f t="shared" si="3"/>
        <v>Monitor Fire Sprinklers</v>
      </c>
      <c r="L40" s="93">
        <f t="shared" si="4"/>
        <v>1000</v>
      </c>
      <c r="M40" s="82">
        <f t="shared" si="5"/>
        <v>-1000</v>
      </c>
      <c r="N40" s="81">
        <f t="shared" si="12"/>
        <v>0</v>
      </c>
      <c r="O40" s="89">
        <f>+O39</f>
        <v>0.55877683851252136</v>
      </c>
      <c r="P40" s="82">
        <f t="shared" si="6"/>
        <v>0</v>
      </c>
      <c r="Q40" s="82">
        <f t="shared" si="1"/>
        <v>0</v>
      </c>
      <c r="R40" s="81">
        <f t="shared" si="7"/>
        <v>0</v>
      </c>
      <c r="S40" s="81"/>
      <c r="T40" s="80">
        <f t="shared" si="14"/>
        <v>51110</v>
      </c>
      <c r="U40" s="95" t="str">
        <f t="shared" si="2"/>
        <v>Monitor Fire Sprinklers</v>
      </c>
      <c r="V40" s="93">
        <f t="shared" si="15"/>
        <v>1000</v>
      </c>
      <c r="W40" s="82">
        <v>0</v>
      </c>
      <c r="X40" s="81">
        <f t="shared" si="18"/>
        <v>1000</v>
      </c>
      <c r="Y40" s="89">
        <f>+Y39</f>
        <v>0.44122316148747864</v>
      </c>
      <c r="Z40" s="82">
        <f t="shared" si="9"/>
        <v>441.22316148747865</v>
      </c>
      <c r="AA40" s="82">
        <f t="shared" si="10"/>
        <v>22.061158074373935</v>
      </c>
      <c r="AB40" s="81">
        <f t="shared" si="11"/>
        <v>463.28431956185261</v>
      </c>
    </row>
    <row r="41" spans="2:28">
      <c r="B41">
        <f>Summary!A44</f>
        <v>51120</v>
      </c>
      <c r="C41" t="str">
        <f>Summary!B44</f>
        <v>Fire Protection Repairs</v>
      </c>
      <c r="G41" s="43">
        <f>Summary!O44</f>
        <v>1000</v>
      </c>
      <c r="H41" s="210">
        <f t="shared" si="17"/>
        <v>50394</v>
      </c>
      <c r="J41" s="80">
        <f>Summary!A44</f>
        <v>51120</v>
      </c>
      <c r="K41" s="95" t="str">
        <f t="shared" si="3"/>
        <v>Fire Protection Repairs</v>
      </c>
      <c r="L41" s="93">
        <f t="shared" si="4"/>
        <v>1000</v>
      </c>
      <c r="M41" s="82">
        <f t="shared" si="5"/>
        <v>-1000</v>
      </c>
      <c r="N41" s="81">
        <f t="shared" si="12"/>
        <v>0</v>
      </c>
      <c r="O41" s="89">
        <f>O57</f>
        <v>0.55877683851252136</v>
      </c>
      <c r="P41" s="82">
        <f t="shared" si="6"/>
        <v>0</v>
      </c>
      <c r="Q41" s="82">
        <f t="shared" si="1"/>
        <v>0</v>
      </c>
      <c r="R41" s="81">
        <f t="shared" si="7"/>
        <v>0</v>
      </c>
      <c r="S41" s="81"/>
      <c r="T41" s="80">
        <f t="shared" si="14"/>
        <v>51120</v>
      </c>
      <c r="U41" s="95" t="str">
        <f t="shared" si="2"/>
        <v>Fire Protection Repairs</v>
      </c>
      <c r="V41" s="93">
        <f t="shared" si="15"/>
        <v>1000</v>
      </c>
      <c r="W41" s="82">
        <v>0</v>
      </c>
      <c r="X41" s="81">
        <f t="shared" si="18"/>
        <v>1000</v>
      </c>
      <c r="Y41" s="89">
        <f>Y57</f>
        <v>0.44122316148747864</v>
      </c>
      <c r="Z41" s="82">
        <f t="shared" si="9"/>
        <v>441.22316148747865</v>
      </c>
      <c r="AA41" s="82">
        <f t="shared" si="10"/>
        <v>22.061158074373935</v>
      </c>
      <c r="AB41" s="81">
        <f t="shared" si="11"/>
        <v>463.28431956185261</v>
      </c>
    </row>
    <row r="42" spans="2:28" ht="13">
      <c r="B42" s="121">
        <f>Summary!A45</f>
        <v>56130</v>
      </c>
      <c r="C42" s="121" t="str">
        <f>Summary!B45</f>
        <v>Misc Expense</v>
      </c>
      <c r="E42" s="121" t="s">
        <v>223</v>
      </c>
      <c r="G42" s="421">
        <f>737.5+3318.75</f>
        <v>4056.25</v>
      </c>
      <c r="H42" s="210">
        <f t="shared" si="17"/>
        <v>50394</v>
      </c>
      <c r="J42" s="80">
        <f>Summary!A45</f>
        <v>56130</v>
      </c>
      <c r="K42" s="95" t="str">
        <f t="shared" si="3"/>
        <v>Misc Expense</v>
      </c>
      <c r="L42" s="93">
        <f t="shared" si="4"/>
        <v>4056.25</v>
      </c>
      <c r="M42" s="82">
        <f t="shared" si="5"/>
        <v>-4056.25</v>
      </c>
      <c r="N42" s="81">
        <f t="shared" si="12"/>
        <v>0</v>
      </c>
      <c r="O42" s="89">
        <f>+O41</f>
        <v>0.55877683851252136</v>
      </c>
      <c r="P42" s="82">
        <f t="shared" si="6"/>
        <v>0</v>
      </c>
      <c r="Q42" s="82">
        <f t="shared" si="1"/>
        <v>0</v>
      </c>
      <c r="R42" s="81">
        <f t="shared" si="7"/>
        <v>0</v>
      </c>
      <c r="S42" s="81"/>
      <c r="T42" s="80">
        <f t="shared" si="14"/>
        <v>56130</v>
      </c>
      <c r="U42" s="95" t="str">
        <f t="shared" si="2"/>
        <v>Misc Expense</v>
      </c>
      <c r="V42" s="93">
        <f t="shared" si="15"/>
        <v>4056.25</v>
      </c>
      <c r="W42" s="82">
        <f>-V42</f>
        <v>-4056.25</v>
      </c>
      <c r="X42" s="81">
        <f t="shared" si="18"/>
        <v>0</v>
      </c>
      <c r="Y42" s="89">
        <f>+Y41</f>
        <v>0.44122316148747864</v>
      </c>
      <c r="Z42" s="82">
        <f t="shared" si="9"/>
        <v>0</v>
      </c>
      <c r="AA42" s="82">
        <f t="shared" si="10"/>
        <v>0</v>
      </c>
      <c r="AB42" s="81">
        <f t="shared" si="11"/>
        <v>0</v>
      </c>
    </row>
    <row r="43" spans="2:28" ht="13">
      <c r="B43" s="121">
        <f>Summary!A46</f>
        <v>51150</v>
      </c>
      <c r="C43" s="121" t="str">
        <f>Summary!B46</f>
        <v>Sweeping</v>
      </c>
      <c r="D43" s="121"/>
      <c r="E43" s="121"/>
      <c r="F43" s="121"/>
      <c r="G43" s="421">
        <v>3835</v>
      </c>
      <c r="H43" s="210">
        <f t="shared" si="17"/>
        <v>50394</v>
      </c>
      <c r="J43" s="80">
        <f>Summary!A46</f>
        <v>51150</v>
      </c>
      <c r="K43" s="95" t="str">
        <f t="shared" si="3"/>
        <v>Sweeping</v>
      </c>
      <c r="L43" s="93">
        <f t="shared" si="4"/>
        <v>3835</v>
      </c>
      <c r="M43" s="82">
        <f t="shared" si="5"/>
        <v>-3835</v>
      </c>
      <c r="N43" s="81">
        <f t="shared" si="12"/>
        <v>0</v>
      </c>
      <c r="O43" s="89">
        <f t="shared" ref="O43:O50" si="19">O$27</f>
        <v>0.55877683851252136</v>
      </c>
      <c r="P43" s="82">
        <f t="shared" si="6"/>
        <v>0</v>
      </c>
      <c r="Q43" s="82">
        <f t="shared" si="1"/>
        <v>0</v>
      </c>
      <c r="R43" s="81">
        <f t="shared" si="7"/>
        <v>0</v>
      </c>
      <c r="S43" s="81"/>
      <c r="T43" s="80">
        <f t="shared" si="14"/>
        <v>51150</v>
      </c>
      <c r="U43" s="95" t="str">
        <f t="shared" si="2"/>
        <v>Sweeping</v>
      </c>
      <c r="V43" s="93">
        <f t="shared" si="15"/>
        <v>3835</v>
      </c>
      <c r="W43" s="82">
        <v>0</v>
      </c>
      <c r="X43" s="81">
        <f t="shared" si="18"/>
        <v>3835</v>
      </c>
      <c r="Y43" s="89">
        <f t="shared" ref="Y43:Y50" si="20">Y$27</f>
        <v>0.44122316148747864</v>
      </c>
      <c r="Z43" s="82">
        <f t="shared" si="9"/>
        <v>1692.0908243044805</v>
      </c>
      <c r="AA43" s="82">
        <f t="shared" si="10"/>
        <v>84.604541215224032</v>
      </c>
      <c r="AB43" s="81">
        <f t="shared" si="11"/>
        <v>1776.6953655197046</v>
      </c>
    </row>
    <row r="44" spans="2:28">
      <c r="B44">
        <f>Summary!A47</f>
        <v>51160</v>
      </c>
      <c r="C44" t="str">
        <f>Summary!B47</f>
        <v>Security</v>
      </c>
      <c r="G44" s="43">
        <f>Summary!O47</f>
        <v>0</v>
      </c>
      <c r="H44" s="210">
        <f t="shared" si="17"/>
        <v>50394</v>
      </c>
      <c r="J44" s="80">
        <f>Summary!A47</f>
        <v>51160</v>
      </c>
      <c r="K44" s="95" t="str">
        <f t="shared" si="3"/>
        <v>Security</v>
      </c>
      <c r="L44" s="93">
        <f t="shared" si="4"/>
        <v>0</v>
      </c>
      <c r="M44" s="82">
        <f t="shared" si="5"/>
        <v>0</v>
      </c>
      <c r="N44" s="81">
        <f t="shared" si="12"/>
        <v>0</v>
      </c>
      <c r="O44" s="89">
        <f t="shared" si="19"/>
        <v>0.55877683851252136</v>
      </c>
      <c r="P44" s="82">
        <f t="shared" si="6"/>
        <v>0</v>
      </c>
      <c r="Q44" s="82">
        <f t="shared" si="1"/>
        <v>0</v>
      </c>
      <c r="R44" s="81">
        <f t="shared" si="7"/>
        <v>0</v>
      </c>
      <c r="S44" s="81"/>
      <c r="T44" s="80">
        <f t="shared" si="14"/>
        <v>51160</v>
      </c>
      <c r="U44" s="95" t="str">
        <f t="shared" si="2"/>
        <v>Security</v>
      </c>
      <c r="V44" s="93">
        <f t="shared" si="15"/>
        <v>0</v>
      </c>
      <c r="W44" s="82">
        <v>0</v>
      </c>
      <c r="X44" s="81">
        <f t="shared" si="18"/>
        <v>0</v>
      </c>
      <c r="Y44" s="89">
        <f t="shared" si="20"/>
        <v>0.44122316148747864</v>
      </c>
      <c r="Z44" s="82">
        <f t="shared" si="9"/>
        <v>0</v>
      </c>
      <c r="AA44" s="82">
        <f t="shared" si="10"/>
        <v>0</v>
      </c>
      <c r="AB44" s="81">
        <f t="shared" si="11"/>
        <v>0</v>
      </c>
    </row>
    <row r="45" spans="2:28">
      <c r="B45">
        <f>Summary!A48</f>
        <v>55110</v>
      </c>
      <c r="C45" t="str">
        <f>Summary!B48</f>
        <v>Electric/Common Area</v>
      </c>
      <c r="G45" s="43">
        <f>Summary!O48</f>
        <v>3000</v>
      </c>
      <c r="H45" s="210">
        <f t="shared" si="17"/>
        <v>50394</v>
      </c>
      <c r="J45" s="80">
        <f>Summary!A48</f>
        <v>55110</v>
      </c>
      <c r="K45" s="95" t="str">
        <f t="shared" si="3"/>
        <v>Electric/Common Area</v>
      </c>
      <c r="L45" s="93">
        <f t="shared" si="4"/>
        <v>3000</v>
      </c>
      <c r="M45" s="82">
        <f t="shared" si="5"/>
        <v>-3000</v>
      </c>
      <c r="N45" s="81">
        <f t="shared" si="12"/>
        <v>0</v>
      </c>
      <c r="O45" s="89">
        <f t="shared" si="19"/>
        <v>0.55877683851252136</v>
      </c>
      <c r="P45" s="82">
        <f t="shared" si="6"/>
        <v>0</v>
      </c>
      <c r="Q45" s="82">
        <f t="shared" si="1"/>
        <v>0</v>
      </c>
      <c r="R45" s="81">
        <f t="shared" si="7"/>
        <v>0</v>
      </c>
      <c r="S45" s="81"/>
      <c r="T45" s="80">
        <f t="shared" si="14"/>
        <v>55110</v>
      </c>
      <c r="U45" s="95" t="str">
        <f t="shared" si="2"/>
        <v>Electric/Common Area</v>
      </c>
      <c r="V45" s="93">
        <f t="shared" si="15"/>
        <v>3000</v>
      </c>
      <c r="W45" s="82">
        <v>0</v>
      </c>
      <c r="X45" s="81">
        <f t="shared" si="18"/>
        <v>3000</v>
      </c>
      <c r="Y45" s="89">
        <f t="shared" si="20"/>
        <v>0.44122316148747864</v>
      </c>
      <c r="Z45" s="82">
        <f t="shared" si="9"/>
        <v>1323.669484462436</v>
      </c>
      <c r="AA45" s="82">
        <f t="shared" si="10"/>
        <v>66.183474223121806</v>
      </c>
      <c r="AB45" s="81">
        <f t="shared" si="11"/>
        <v>1389.8529586855577</v>
      </c>
    </row>
    <row r="46" spans="2:28" ht="13">
      <c r="B46" s="121">
        <f>Summary!A49</f>
        <v>55110</v>
      </c>
      <c r="C46" s="121" t="str">
        <f>Summary!B49</f>
        <v>Electric/Association</v>
      </c>
      <c r="D46" s="121"/>
      <c r="E46" s="121"/>
      <c r="F46" s="121"/>
      <c r="G46" s="421">
        <v>21000</v>
      </c>
      <c r="H46" s="210">
        <f t="shared" si="17"/>
        <v>50394</v>
      </c>
      <c r="J46" s="80">
        <f>Summary!A49</f>
        <v>55110</v>
      </c>
      <c r="K46" s="95" t="str">
        <f t="shared" si="3"/>
        <v>Electric/Association</v>
      </c>
      <c r="L46" s="93">
        <f t="shared" si="4"/>
        <v>21000</v>
      </c>
      <c r="M46" s="82">
        <f t="shared" si="5"/>
        <v>-21000</v>
      </c>
      <c r="N46" s="81">
        <f t="shared" si="12"/>
        <v>0</v>
      </c>
      <c r="O46" s="89">
        <f t="shared" si="19"/>
        <v>0.55877683851252136</v>
      </c>
      <c r="P46" s="82">
        <f t="shared" si="6"/>
        <v>0</v>
      </c>
      <c r="Q46" s="82">
        <f t="shared" si="1"/>
        <v>0</v>
      </c>
      <c r="R46" s="81">
        <f t="shared" si="7"/>
        <v>0</v>
      </c>
      <c r="S46" s="81"/>
      <c r="T46" s="80">
        <f t="shared" si="14"/>
        <v>55110</v>
      </c>
      <c r="U46" s="95" t="str">
        <f t="shared" si="2"/>
        <v>Electric/Association</v>
      </c>
      <c r="V46" s="93">
        <f t="shared" si="15"/>
        <v>21000</v>
      </c>
      <c r="W46" s="82">
        <v>0</v>
      </c>
      <c r="X46" s="81">
        <f t="shared" si="18"/>
        <v>21000</v>
      </c>
      <c r="Y46" s="89">
        <f t="shared" si="20"/>
        <v>0.44122316148747864</v>
      </c>
      <c r="Z46" s="82">
        <f t="shared" si="9"/>
        <v>9265.6863912370518</v>
      </c>
      <c r="AA46" s="82">
        <f t="shared" si="10"/>
        <v>463.28431956185261</v>
      </c>
      <c r="AB46" s="81">
        <f t="shared" si="11"/>
        <v>9728.9707107989052</v>
      </c>
    </row>
    <row r="47" spans="2:28" ht="13">
      <c r="B47" s="121">
        <f>Summary!A50</f>
        <v>51050</v>
      </c>
      <c r="C47" s="121" t="str">
        <f>Summary!B50</f>
        <v>Pest Control</v>
      </c>
      <c r="D47" s="121"/>
      <c r="E47" s="121" t="s">
        <v>224</v>
      </c>
      <c r="F47" s="121"/>
      <c r="G47" s="421">
        <f>2460.3+737.5</f>
        <v>3197.8</v>
      </c>
      <c r="H47" s="210">
        <f t="shared" si="17"/>
        <v>50394</v>
      </c>
      <c r="J47" s="80">
        <f>Summary!A50</f>
        <v>51050</v>
      </c>
      <c r="K47" s="95" t="str">
        <f t="shared" si="3"/>
        <v>Pest Control</v>
      </c>
      <c r="L47" s="93">
        <f t="shared" si="4"/>
        <v>3197.8</v>
      </c>
      <c r="M47" s="82">
        <f t="shared" si="5"/>
        <v>-3197.8</v>
      </c>
      <c r="N47" s="81">
        <f t="shared" si="12"/>
        <v>0</v>
      </c>
      <c r="O47" s="89">
        <f t="shared" si="19"/>
        <v>0.55877683851252136</v>
      </c>
      <c r="P47" s="82">
        <f t="shared" si="6"/>
        <v>0</v>
      </c>
      <c r="Q47" s="82">
        <f t="shared" si="1"/>
        <v>0</v>
      </c>
      <c r="R47" s="81">
        <f t="shared" si="7"/>
        <v>0</v>
      </c>
      <c r="S47" s="81"/>
      <c r="T47" s="80">
        <f t="shared" si="14"/>
        <v>51050</v>
      </c>
      <c r="U47" s="95" t="str">
        <f t="shared" si="2"/>
        <v>Pest Control</v>
      </c>
      <c r="V47" s="93">
        <f t="shared" si="15"/>
        <v>3197.8</v>
      </c>
      <c r="W47" s="82">
        <v>0</v>
      </c>
      <c r="X47" s="81">
        <f t="shared" si="18"/>
        <v>3197.8</v>
      </c>
      <c r="Y47" s="89">
        <f t="shared" si="20"/>
        <v>0.44122316148747864</v>
      </c>
      <c r="Z47" s="82">
        <f t="shared" si="9"/>
        <v>1410.9434258046592</v>
      </c>
      <c r="AA47" s="82">
        <f t="shared" si="10"/>
        <v>70.547171290232967</v>
      </c>
      <c r="AB47" s="81">
        <f t="shared" si="11"/>
        <v>1481.4905970948921</v>
      </c>
    </row>
    <row r="48" spans="2:28">
      <c r="B48">
        <f>Summary!A51</f>
        <v>55120</v>
      </c>
      <c r="C48" t="str">
        <f>Summary!B51</f>
        <v>Trash Removal</v>
      </c>
      <c r="G48" s="43">
        <f>Summary!O51</f>
        <v>0</v>
      </c>
      <c r="H48" s="210">
        <f t="shared" si="17"/>
        <v>50394</v>
      </c>
      <c r="J48" s="80">
        <f>Summary!A51</f>
        <v>55120</v>
      </c>
      <c r="K48" s="95" t="str">
        <f t="shared" si="3"/>
        <v>Trash Removal</v>
      </c>
      <c r="L48" s="93">
        <f t="shared" si="4"/>
        <v>0</v>
      </c>
      <c r="M48" s="82">
        <f t="shared" si="5"/>
        <v>0</v>
      </c>
      <c r="N48" s="81">
        <f t="shared" si="12"/>
        <v>0</v>
      </c>
      <c r="O48" s="89">
        <f t="shared" si="19"/>
        <v>0.55877683851252136</v>
      </c>
      <c r="P48" s="82">
        <f t="shared" si="6"/>
        <v>0</v>
      </c>
      <c r="Q48" s="82">
        <f t="shared" si="1"/>
        <v>0</v>
      </c>
      <c r="R48" s="81">
        <f t="shared" si="7"/>
        <v>0</v>
      </c>
      <c r="S48" s="81"/>
      <c r="T48" s="80">
        <f t="shared" si="14"/>
        <v>55120</v>
      </c>
      <c r="U48" s="95" t="str">
        <f t="shared" si="2"/>
        <v>Trash Removal</v>
      </c>
      <c r="V48" s="93">
        <f t="shared" si="15"/>
        <v>0</v>
      </c>
      <c r="W48" s="82">
        <v>0</v>
      </c>
      <c r="X48" s="81">
        <f t="shared" si="18"/>
        <v>0</v>
      </c>
      <c r="Y48" s="89">
        <f t="shared" si="20"/>
        <v>0.44122316148747864</v>
      </c>
      <c r="Z48" s="82">
        <f t="shared" si="9"/>
        <v>0</v>
      </c>
      <c r="AA48" s="82">
        <f t="shared" si="10"/>
        <v>0</v>
      </c>
      <c r="AB48" s="81">
        <f t="shared" si="11"/>
        <v>0</v>
      </c>
    </row>
    <row r="49" spans="2:30">
      <c r="B49">
        <f>Summary!A52</f>
        <v>55130</v>
      </c>
      <c r="C49" t="str">
        <f>Summary!B52</f>
        <v>Water/Building</v>
      </c>
      <c r="G49" s="43">
        <f>Summary!O52</f>
        <v>0</v>
      </c>
      <c r="H49" s="210">
        <f t="shared" si="17"/>
        <v>50394</v>
      </c>
      <c r="J49" s="80">
        <f>Summary!A52</f>
        <v>55130</v>
      </c>
      <c r="K49" s="95" t="str">
        <f t="shared" si="3"/>
        <v>Water/Building</v>
      </c>
      <c r="L49" s="93">
        <f t="shared" si="4"/>
        <v>0</v>
      </c>
      <c r="M49" s="82">
        <f t="shared" si="5"/>
        <v>0</v>
      </c>
      <c r="N49" s="81">
        <f t="shared" si="12"/>
        <v>0</v>
      </c>
      <c r="O49" s="89">
        <f t="shared" si="19"/>
        <v>0.55877683851252136</v>
      </c>
      <c r="P49" s="82">
        <f t="shared" si="6"/>
        <v>0</v>
      </c>
      <c r="Q49" s="82">
        <f t="shared" si="1"/>
        <v>0</v>
      </c>
      <c r="R49" s="81">
        <f t="shared" si="7"/>
        <v>0</v>
      </c>
      <c r="S49" s="81"/>
      <c r="T49" s="80">
        <f t="shared" si="14"/>
        <v>55130</v>
      </c>
      <c r="U49" s="95" t="str">
        <f t="shared" si="2"/>
        <v>Water/Building</v>
      </c>
      <c r="V49" s="93">
        <f t="shared" si="15"/>
        <v>0</v>
      </c>
      <c r="W49" s="82">
        <v>0</v>
      </c>
      <c r="X49" s="81">
        <f t="shared" si="18"/>
        <v>0</v>
      </c>
      <c r="Y49" s="89">
        <f t="shared" si="20"/>
        <v>0.44122316148747864</v>
      </c>
      <c r="Z49" s="82">
        <f t="shared" si="9"/>
        <v>0</v>
      </c>
      <c r="AA49" s="82">
        <f t="shared" si="10"/>
        <v>0</v>
      </c>
      <c r="AB49" s="81">
        <f t="shared" si="11"/>
        <v>0</v>
      </c>
    </row>
    <row r="50" spans="2:30" ht="13">
      <c r="B50" s="121">
        <f>Summary!A53</f>
        <v>55140</v>
      </c>
      <c r="C50" s="121" t="str">
        <f>Summary!B53</f>
        <v>Water/Common Area</v>
      </c>
      <c r="D50" s="121"/>
      <c r="E50" s="121"/>
      <c r="F50" s="121"/>
      <c r="G50" s="421">
        <v>17500</v>
      </c>
      <c r="H50" s="210">
        <f t="shared" si="17"/>
        <v>50394</v>
      </c>
      <c r="J50" s="80">
        <f>Summary!A53</f>
        <v>55140</v>
      </c>
      <c r="K50" s="95" t="str">
        <f t="shared" si="3"/>
        <v>Water/Common Area</v>
      </c>
      <c r="L50" s="93">
        <f t="shared" si="4"/>
        <v>17500</v>
      </c>
      <c r="M50" s="82">
        <f t="shared" si="5"/>
        <v>-17500</v>
      </c>
      <c r="N50" s="81">
        <f t="shared" si="12"/>
        <v>0</v>
      </c>
      <c r="O50" s="89">
        <f t="shared" si="19"/>
        <v>0.55877683851252136</v>
      </c>
      <c r="P50" s="82">
        <f t="shared" si="6"/>
        <v>0</v>
      </c>
      <c r="Q50" s="82">
        <f t="shared" si="1"/>
        <v>0</v>
      </c>
      <c r="R50" s="81">
        <f t="shared" si="7"/>
        <v>0</v>
      </c>
      <c r="S50" s="81"/>
      <c r="T50" s="80">
        <f t="shared" si="14"/>
        <v>55140</v>
      </c>
      <c r="U50" s="95" t="str">
        <f t="shared" si="2"/>
        <v>Water/Common Area</v>
      </c>
      <c r="V50" s="93">
        <f t="shared" si="15"/>
        <v>17500</v>
      </c>
      <c r="W50" s="82">
        <v>0</v>
      </c>
      <c r="X50" s="81">
        <f t="shared" si="18"/>
        <v>17500</v>
      </c>
      <c r="Y50" s="89">
        <f t="shared" si="20"/>
        <v>0.44122316148747864</v>
      </c>
      <c r="Z50" s="82">
        <f t="shared" si="9"/>
        <v>7721.4053260308765</v>
      </c>
      <c r="AA50" s="82">
        <f t="shared" si="10"/>
        <v>386.07026630154382</v>
      </c>
      <c r="AB50" s="81">
        <f t="shared" si="11"/>
        <v>8107.4755923324201</v>
      </c>
    </row>
    <row r="51" spans="2:30">
      <c r="J51" s="80"/>
      <c r="K51" s="80"/>
      <c r="L51" s="93"/>
      <c r="M51" s="82"/>
      <c r="N51" s="81"/>
      <c r="O51" s="89"/>
      <c r="P51" s="82"/>
      <c r="Q51" s="81"/>
      <c r="R51" s="81"/>
      <c r="S51" s="81"/>
      <c r="U51" s="80"/>
      <c r="V51" s="93">
        <f t="shared" si="15"/>
        <v>0</v>
      </c>
      <c r="W51" s="82"/>
      <c r="X51" s="81"/>
      <c r="Y51" s="89"/>
      <c r="Z51" s="82"/>
      <c r="AA51" s="81"/>
      <c r="AB51" s="81"/>
    </row>
    <row r="52" spans="2:30">
      <c r="J52" s="80"/>
      <c r="K52" s="80"/>
      <c r="L52" s="93"/>
      <c r="M52" s="82"/>
      <c r="N52" s="81"/>
      <c r="O52" s="89"/>
      <c r="P52" s="82"/>
      <c r="Q52" s="81"/>
      <c r="R52" s="81"/>
      <c r="S52" s="81"/>
      <c r="U52" s="80"/>
      <c r="V52" s="93"/>
      <c r="W52" s="82"/>
      <c r="X52" s="81"/>
      <c r="Y52" s="89"/>
      <c r="Z52" s="82"/>
      <c r="AA52" s="81"/>
      <c r="AB52" s="81"/>
    </row>
    <row r="53" spans="2:30" ht="13">
      <c r="C53" s="213" t="s">
        <v>225</v>
      </c>
      <c r="D53" s="211"/>
      <c r="E53" s="211"/>
      <c r="F53" s="211"/>
      <c r="G53" s="212">
        <f>SUM(G26:G52)</f>
        <v>114069.00000000001</v>
      </c>
      <c r="J53" s="84"/>
      <c r="K53" s="112" t="s">
        <v>225</v>
      </c>
      <c r="L53" s="86">
        <f>SUM(L26:L52)</f>
        <v>114069.00000000001</v>
      </c>
      <c r="M53" s="86">
        <f>SUM(M26:M52)</f>
        <v>-114069.00000000001</v>
      </c>
      <c r="N53" s="86">
        <f>SUM(N26:N52)</f>
        <v>0</v>
      </c>
      <c r="O53" s="86"/>
      <c r="P53" s="86">
        <f>SUM(P26:P52)</f>
        <v>0</v>
      </c>
      <c r="Q53" s="86">
        <f>SUM(Q26:Q52)</f>
        <v>0</v>
      </c>
      <c r="R53" s="86">
        <f>SUM(R26:R52)</f>
        <v>0</v>
      </c>
      <c r="S53" s="86">
        <f>R53/L10</f>
        <v>0</v>
      </c>
      <c r="T53" s="110"/>
      <c r="U53" s="112" t="s">
        <v>225</v>
      </c>
      <c r="V53" s="86">
        <f>SUM(V26:V52)</f>
        <v>114069.00000000001</v>
      </c>
      <c r="W53" s="86">
        <f>SUM(W26:W52)</f>
        <v>-13367.11</v>
      </c>
      <c r="X53" s="86">
        <f>SUM(X26:X52)</f>
        <v>117815.19</v>
      </c>
      <c r="Y53" s="86">
        <v>0</v>
      </c>
      <c r="Z53" s="86">
        <f>SUM(Z26:Z52)</f>
        <v>51982.790603047986</v>
      </c>
      <c r="AA53" s="86">
        <f>SUM(AA26:AA52)</f>
        <v>2599.1395301523989</v>
      </c>
      <c r="AB53" s="86">
        <f>SUM(AB26:AB52)</f>
        <v>54581.930133200374</v>
      </c>
      <c r="AC53" s="45">
        <f>AB53/V10</f>
        <v>2.4547753601619235</v>
      </c>
    </row>
    <row r="54" spans="2:30">
      <c r="P54" s="81"/>
      <c r="R54" s="113"/>
      <c r="S54" s="106"/>
    </row>
    <row r="55" spans="2:30" ht="13" hidden="1">
      <c r="K55" s="55" t="str">
        <f>Summary!B66</f>
        <v>PROPERTY TAXES</v>
      </c>
      <c r="U55" s="55">
        <f>Summary!K66</f>
        <v>0</v>
      </c>
    </row>
    <row r="56" spans="2:30" ht="13">
      <c r="C56" s="516" t="s">
        <v>109</v>
      </c>
      <c r="D56" s="516"/>
      <c r="E56" s="516"/>
      <c r="K56" s="55" t="s">
        <v>226</v>
      </c>
      <c r="U56" s="55" t="str">
        <f>$K56</f>
        <v>Property Taxes</v>
      </c>
    </row>
    <row r="57" spans="2:30">
      <c r="B57">
        <f>Summary!A67</f>
        <v>54000</v>
      </c>
      <c r="C57" t="str">
        <f>Summary!B67</f>
        <v xml:space="preserve">Property Tax </v>
      </c>
      <c r="G57" s="43">
        <f>Summary!O67</f>
        <v>69679.899999999994</v>
      </c>
      <c r="H57" s="210">
        <v>50394</v>
      </c>
      <c r="J57" s="80">
        <f>Summary!A67</f>
        <v>54000</v>
      </c>
      <c r="K57" s="95" t="str">
        <f>Summary!B67</f>
        <v xml:space="preserve">Property Tax </v>
      </c>
      <c r="L57" s="81">
        <f>Summary!O69</f>
        <v>69679.899999999994</v>
      </c>
      <c r="M57" s="81">
        <f>-L57</f>
        <v>-69679.899999999994</v>
      </c>
      <c r="N57" s="81">
        <f>L57+M57</f>
        <v>0</v>
      </c>
      <c r="O57" s="90">
        <f>+O50</f>
        <v>0.55877683851252136</v>
      </c>
      <c r="P57" s="82">
        <f>O57*N57</f>
        <v>0</v>
      </c>
      <c r="Q57" s="82">
        <f>P57*$Q$14</f>
        <v>0</v>
      </c>
      <c r="R57" s="81">
        <f>Q57+P57</f>
        <v>0</v>
      </c>
      <c r="S57" s="81"/>
      <c r="T57" s="80">
        <f>$J57</f>
        <v>54000</v>
      </c>
      <c r="U57" s="95" t="str">
        <f>$K57</f>
        <v xml:space="preserve">Property Tax </v>
      </c>
      <c r="V57" s="81">
        <f>$L57</f>
        <v>69679.899999999994</v>
      </c>
      <c r="W57" s="81">
        <v>0</v>
      </c>
      <c r="X57" s="81">
        <f>V57+W57</f>
        <v>69679.899999999994</v>
      </c>
      <c r="Y57" s="90">
        <f>+Y50</f>
        <v>0.44122316148747864</v>
      </c>
      <c r="Z57" s="82">
        <f>Y57*X57</f>
        <v>30744.385770131361</v>
      </c>
      <c r="AA57" s="82">
        <v>0</v>
      </c>
      <c r="AB57" s="81">
        <f>AA57+Z57</f>
        <v>30744.385770131361</v>
      </c>
      <c r="AD57" s="121" t="s">
        <v>227</v>
      </c>
    </row>
    <row r="58" spans="2:30">
      <c r="L58" s="81"/>
      <c r="Q58" s="81"/>
      <c r="V58" s="81"/>
      <c r="AA58" s="81"/>
    </row>
    <row r="59" spans="2:30" ht="13">
      <c r="C59" s="213" t="s">
        <v>112</v>
      </c>
      <c r="D59" s="214"/>
      <c r="E59" s="214"/>
      <c r="F59" s="214"/>
      <c r="G59" s="212">
        <f>SUM(G57:G58)</f>
        <v>69679.899999999994</v>
      </c>
      <c r="J59" s="84"/>
      <c r="K59" s="112" t="s">
        <v>112</v>
      </c>
      <c r="L59" s="86">
        <f>SUM(L57:L58)</f>
        <v>69679.899999999994</v>
      </c>
      <c r="M59" s="86">
        <f>SUM(M57:M58)</f>
        <v>-69679.899999999994</v>
      </c>
      <c r="N59" s="86">
        <f>SUM(N57:N58)</f>
        <v>0</v>
      </c>
      <c r="O59" s="87"/>
      <c r="P59" s="86">
        <f>SUM(P57:P58)</f>
        <v>0</v>
      </c>
      <c r="Q59" s="86">
        <f>SUM(Q57:Q58)</f>
        <v>0</v>
      </c>
      <c r="R59" s="88">
        <f>SUM(R57:R58)</f>
        <v>0</v>
      </c>
      <c r="S59" s="86">
        <f>R59/L10</f>
        <v>0</v>
      </c>
      <c r="T59" s="110"/>
      <c r="U59" s="112" t="str">
        <f>K59</f>
        <v>SUBTOTAL TAXES</v>
      </c>
      <c r="V59" s="86">
        <f>SUM(V57:V58)</f>
        <v>69679.899999999994</v>
      </c>
      <c r="W59" s="86">
        <f>SUM(W57:W58)</f>
        <v>0</v>
      </c>
      <c r="X59" s="86">
        <f>SUM(X57:X58)</f>
        <v>69679.899999999994</v>
      </c>
      <c r="Y59" s="87"/>
      <c r="Z59" s="86">
        <f>SUM(Z57:Z58)</f>
        <v>30744.385770131361</v>
      </c>
      <c r="AA59" s="86">
        <f>SUM(AA57:AA58)</f>
        <v>0</v>
      </c>
      <c r="AB59" s="88">
        <f>SUM(AB57:AB58)</f>
        <v>30744.385770131361</v>
      </c>
      <c r="AC59" s="45">
        <f>AB59/V10</f>
        <v>1.3827023058300589</v>
      </c>
    </row>
    <row r="60" spans="2:30">
      <c r="L60" s="81"/>
      <c r="V60" s="81"/>
    </row>
    <row r="61" spans="2:30" ht="13">
      <c r="C61" s="213" t="s">
        <v>228</v>
      </c>
      <c r="D61" s="214"/>
      <c r="E61" s="214"/>
      <c r="F61" s="214"/>
      <c r="G61" s="212">
        <f>G23+G53+G59</f>
        <v>199584.5</v>
      </c>
      <c r="H61" s="277" t="s">
        <v>196</v>
      </c>
      <c r="J61" s="84"/>
      <c r="K61" s="112" t="s">
        <v>229</v>
      </c>
      <c r="L61" s="86">
        <f>L23+L53+L59</f>
        <v>199584.5</v>
      </c>
      <c r="M61" s="86">
        <f>M23+M53+M59</f>
        <v>-199584.5</v>
      </c>
      <c r="N61" s="86">
        <f>N23+N53+N59</f>
        <v>0</v>
      </c>
      <c r="O61" s="87"/>
      <c r="P61" s="86">
        <f>P23+P53+P59</f>
        <v>0</v>
      </c>
      <c r="Q61" s="86">
        <f>Q23+Q53+Q59</f>
        <v>0</v>
      </c>
      <c r="R61" s="88">
        <f>R23+R53+R59</f>
        <v>0</v>
      </c>
      <c r="S61" s="86">
        <f>R61/L10</f>
        <v>0</v>
      </c>
      <c r="T61" s="110"/>
      <c r="U61" s="112" t="s">
        <v>229</v>
      </c>
      <c r="V61" s="86">
        <f>V23+V53+V59</f>
        <v>199584.5</v>
      </c>
      <c r="W61" s="86">
        <f>W23+W53+W59</f>
        <v>-13367.11</v>
      </c>
      <c r="X61" s="86">
        <f>X23+X53+X59</f>
        <v>203330.69</v>
      </c>
      <c r="Y61" s="87"/>
      <c r="Z61" s="86">
        <f>Z23+Z53+Z59</f>
        <v>89714.209869230457</v>
      </c>
      <c r="AA61" s="86">
        <f>AA23+AA53+AA59</f>
        <v>2599.1395301523989</v>
      </c>
      <c r="AB61" s="88">
        <f>AB23+AB53+AB59</f>
        <v>92313.34939938286</v>
      </c>
    </row>
    <row r="63" spans="2:30" ht="14.5">
      <c r="G63" s="43">
        <f>Summary!O71</f>
        <v>199584.5</v>
      </c>
      <c r="U63" s="123" t="s">
        <v>230</v>
      </c>
      <c r="V63" s="124" t="s">
        <v>231</v>
      </c>
      <c r="W63" s="243" t="s">
        <v>232</v>
      </c>
      <c r="X63" s="123"/>
      <c r="Y63" s="123"/>
      <c r="Z63" s="123"/>
      <c r="AA63" s="126" t="s">
        <v>233</v>
      </c>
      <c r="AB63" s="129">
        <f>AB61-AB64</f>
        <v>56957.718527999372</v>
      </c>
    </row>
    <row r="64" spans="2:30" ht="14.5">
      <c r="G64" s="43">
        <f>G63-G61</f>
        <v>0</v>
      </c>
      <c r="K64" s="55"/>
      <c r="R64" s="91"/>
      <c r="S64" s="91"/>
      <c r="U64" s="123" t="s">
        <v>234</v>
      </c>
      <c r="V64" s="397">
        <f>AF19</f>
        <v>33692.845000000001</v>
      </c>
      <c r="W64" s="398">
        <f>V64*105%</f>
        <v>35377.487250000006</v>
      </c>
      <c r="X64" s="123"/>
      <c r="Y64" s="123"/>
      <c r="Z64" s="123"/>
      <c r="AA64" s="126" t="s">
        <v>235</v>
      </c>
      <c r="AB64" s="399">
        <f>AB53-AB50-AB49-AB48-AB45-AB44-AB46</f>
        <v>35355.630871383488</v>
      </c>
    </row>
    <row r="66" spans="10:28" ht="14.5">
      <c r="J66" s="84"/>
      <c r="K66" s="85" t="s">
        <v>236</v>
      </c>
      <c r="L66" s="86"/>
      <c r="M66" s="86"/>
      <c r="N66" s="86"/>
      <c r="O66" s="87"/>
      <c r="P66" s="86"/>
      <c r="Q66" s="86"/>
      <c r="R66" s="313">
        <v>0</v>
      </c>
      <c r="S66" s="86"/>
      <c r="T66" s="110"/>
      <c r="U66" s="85" t="s">
        <v>236</v>
      </c>
      <c r="V66" s="86"/>
      <c r="W66" s="86"/>
      <c r="X66" s="86"/>
      <c r="Y66" s="87"/>
      <c r="Z66" s="86"/>
      <c r="AA66" s="86"/>
      <c r="AB66" s="396">
        <f>(IF(AB64&lt;W64,AB64,W64))+AB63</f>
        <v>92313.34939938286</v>
      </c>
    </row>
    <row r="67" spans="10:28">
      <c r="R67" s="314">
        <f>R66/12</f>
        <v>0</v>
      </c>
      <c r="AB67" s="81">
        <f>AB66/12</f>
        <v>7692.7791166152383</v>
      </c>
    </row>
    <row r="68" spans="10:28" ht="13">
      <c r="L68" s="94"/>
      <c r="M68" s="94"/>
      <c r="O68" s="315">
        <v>0.03</v>
      </c>
      <c r="P68" s="92" t="s">
        <v>237</v>
      </c>
      <c r="R68" s="316">
        <f>R67*1.03</f>
        <v>0</v>
      </c>
      <c r="S68" s="81"/>
      <c r="Y68" s="315"/>
      <c r="Z68" s="55"/>
      <c r="AB68" s="316"/>
    </row>
    <row r="69" spans="10:28" ht="13">
      <c r="K69" s="106"/>
      <c r="L69" s="314"/>
      <c r="M69" s="314"/>
      <c r="N69" s="113"/>
      <c r="O69" s="315"/>
      <c r="P69" s="92"/>
      <c r="R69" s="316"/>
      <c r="S69" s="81"/>
      <c r="Z69" s="55"/>
      <c r="AA69" s="400" t="s">
        <v>238</v>
      </c>
      <c r="AB69" s="401">
        <f>AB66-AB61</f>
        <v>0</v>
      </c>
    </row>
    <row r="70" spans="10:28" ht="13">
      <c r="O70" s="315"/>
      <c r="P70" s="92"/>
      <c r="R70" s="316"/>
      <c r="S70" s="81"/>
      <c r="Z70" s="55"/>
      <c r="AB70" s="81"/>
    </row>
    <row r="71" spans="10:28" ht="13">
      <c r="K71" s="106"/>
      <c r="L71" s="113"/>
      <c r="M71" s="314"/>
      <c r="N71" s="113"/>
      <c r="O71" s="315"/>
      <c r="P71" s="92"/>
      <c r="R71" s="316"/>
      <c r="S71" s="81"/>
      <c r="Z71" s="55"/>
      <c r="AB71" s="81"/>
    </row>
    <row r="72" spans="10:28" ht="13">
      <c r="O72" s="318"/>
      <c r="P72" s="317"/>
      <c r="Q72" s="320"/>
      <c r="R72" s="319"/>
      <c r="S72" s="81"/>
      <c r="Z72" s="55"/>
      <c r="AB72" s="81"/>
    </row>
    <row r="73" spans="10:28">
      <c r="R73" s="81"/>
    </row>
    <row r="74" spans="10:28">
      <c r="J74"/>
      <c r="K74"/>
      <c r="L74"/>
      <c r="M74"/>
      <c r="N74"/>
      <c r="O74"/>
      <c r="P74"/>
      <c r="Q74"/>
      <c r="R74" s="81"/>
      <c r="S74" s="81"/>
      <c r="T74" s="9"/>
      <c r="U74"/>
      <c r="V74"/>
      <c r="W74"/>
      <c r="X74"/>
      <c r="Y74"/>
      <c r="Z74"/>
      <c r="AA74"/>
      <c r="AB74" s="81"/>
    </row>
    <row r="75" spans="10:28">
      <c r="J75"/>
      <c r="K75"/>
      <c r="L75"/>
      <c r="M75"/>
      <c r="N75"/>
      <c r="O75" s="45" t="s">
        <v>144</v>
      </c>
      <c r="P75"/>
      <c r="Q75"/>
      <c r="R75" s="81"/>
      <c r="S75" s="81"/>
      <c r="T75" s="9"/>
      <c r="U75"/>
      <c r="V75"/>
      <c r="W75"/>
      <c r="X75"/>
      <c r="Y75" s="45" t="s">
        <v>144</v>
      </c>
      <c r="Z75"/>
      <c r="AA75"/>
      <c r="AB75" s="81"/>
    </row>
    <row r="76" spans="10:28">
      <c r="J76"/>
      <c r="K76"/>
      <c r="L76"/>
      <c r="M76"/>
      <c r="N76"/>
      <c r="O76"/>
      <c r="P76"/>
      <c r="Q76"/>
      <c r="R76" s="81"/>
      <c r="S76" s="81"/>
      <c r="T76" s="9"/>
      <c r="U76"/>
      <c r="V76"/>
      <c r="W76"/>
      <c r="X76"/>
      <c r="Y76"/>
      <c r="Z76"/>
      <c r="AA76"/>
      <c r="AB76" s="81"/>
    </row>
    <row r="77" spans="10:28">
      <c r="J77"/>
      <c r="K77"/>
      <c r="L77"/>
      <c r="M77"/>
      <c r="N77"/>
      <c r="O77"/>
      <c r="P77"/>
      <c r="Q77"/>
      <c r="R77" s="81"/>
      <c r="S77" s="81"/>
      <c r="T77" s="9"/>
      <c r="U77"/>
      <c r="V77"/>
      <c r="W77"/>
      <c r="X77"/>
      <c r="Y77"/>
      <c r="Z77"/>
      <c r="AA77"/>
      <c r="AB77" s="81"/>
    </row>
    <row r="78" spans="10:28">
      <c r="J78"/>
      <c r="K78"/>
      <c r="L78"/>
      <c r="M78"/>
      <c r="N78"/>
      <c r="O78"/>
      <c r="P78"/>
      <c r="Q78"/>
      <c r="R78" s="81"/>
      <c r="S78" s="81"/>
      <c r="T78" s="9"/>
      <c r="U78"/>
      <c r="V78"/>
      <c r="W78"/>
      <c r="X78"/>
      <c r="Y78"/>
      <c r="Z78"/>
      <c r="AA78"/>
      <c r="AB78" s="81"/>
    </row>
    <row r="79" spans="10:28">
      <c r="J79"/>
      <c r="K79"/>
      <c r="L79"/>
      <c r="M79"/>
      <c r="N79"/>
      <c r="O79"/>
      <c r="P79"/>
      <c r="Q79"/>
      <c r="R79" s="81"/>
      <c r="S79" s="81"/>
      <c r="T79" s="9"/>
      <c r="U79"/>
      <c r="V79"/>
      <c r="W79"/>
      <c r="X79"/>
      <c r="Y79"/>
      <c r="Z79"/>
      <c r="AA79"/>
      <c r="AB79" s="81"/>
    </row>
    <row r="80" spans="10:28">
      <c r="J80"/>
      <c r="K80"/>
      <c r="L80"/>
      <c r="M80"/>
      <c r="N80"/>
      <c r="O80"/>
      <c r="P80"/>
      <c r="Q80"/>
      <c r="R80" s="81"/>
      <c r="S80" s="81"/>
      <c r="T80" s="9"/>
      <c r="U80"/>
      <c r="V80"/>
      <c r="W80"/>
      <c r="X80"/>
      <c r="Y80"/>
      <c r="Z80"/>
      <c r="AA80"/>
      <c r="AB80" s="81"/>
    </row>
    <row r="81" spans="10:28">
      <c r="J81"/>
      <c r="K81"/>
      <c r="L81"/>
      <c r="M81"/>
      <c r="N81"/>
      <c r="O81"/>
      <c r="P81"/>
      <c r="Q81"/>
      <c r="R81" s="81"/>
      <c r="S81" s="81"/>
      <c r="T81" s="9"/>
      <c r="U81"/>
      <c r="V81"/>
      <c r="W81"/>
      <c r="X81"/>
      <c r="Y81"/>
      <c r="Z81"/>
      <c r="AA81"/>
      <c r="AB81" s="81"/>
    </row>
    <row r="82" spans="10:28">
      <c r="J82"/>
      <c r="K82"/>
      <c r="L82"/>
      <c r="M82"/>
      <c r="N82"/>
      <c r="O82"/>
      <c r="P82"/>
      <c r="Q82"/>
      <c r="R82" s="81"/>
      <c r="S82" s="81"/>
      <c r="T82" s="9"/>
      <c r="U82"/>
      <c r="V82"/>
      <c r="W82"/>
      <c r="X82"/>
      <c r="Y82"/>
      <c r="Z82"/>
      <c r="AA82"/>
      <c r="AB82" s="81"/>
    </row>
    <row r="83" spans="10:28">
      <c r="J83"/>
      <c r="K83"/>
      <c r="L83"/>
      <c r="M83"/>
      <c r="N83"/>
      <c r="O83"/>
      <c r="P83"/>
      <c r="Q83"/>
      <c r="R83" s="81"/>
      <c r="S83" s="81"/>
      <c r="T83" s="9"/>
      <c r="U83"/>
      <c r="V83"/>
      <c r="W83"/>
      <c r="X83"/>
      <c r="Y83"/>
      <c r="Z83"/>
      <c r="AA83"/>
      <c r="AB83" s="81"/>
    </row>
    <row r="84" spans="10:28">
      <c r="J84"/>
      <c r="K84"/>
      <c r="L84"/>
      <c r="M84"/>
      <c r="N84"/>
      <c r="O84"/>
      <c r="P84"/>
      <c r="Q84"/>
      <c r="R84" s="81"/>
      <c r="S84" s="81"/>
      <c r="T84" s="9"/>
      <c r="U84"/>
      <c r="V84"/>
      <c r="W84"/>
      <c r="X84"/>
      <c r="Y84"/>
      <c r="Z84"/>
      <c r="AA84"/>
      <c r="AB84" s="81"/>
    </row>
    <row r="85" spans="10:28">
      <c r="J85"/>
      <c r="K85"/>
      <c r="L85"/>
      <c r="M85"/>
      <c r="N85"/>
      <c r="O85"/>
      <c r="P85"/>
      <c r="Q85"/>
      <c r="R85" s="81"/>
      <c r="S85" s="81"/>
      <c r="T85" s="9"/>
      <c r="U85"/>
      <c r="V85"/>
      <c r="W85"/>
      <c r="X85"/>
      <c r="Y85"/>
      <c r="Z85"/>
      <c r="AA85"/>
      <c r="AB85" s="81"/>
    </row>
    <row r="86" spans="10:28">
      <c r="J86"/>
      <c r="K86"/>
      <c r="L86"/>
      <c r="M86"/>
      <c r="N86"/>
      <c r="O86"/>
      <c r="P86"/>
      <c r="Q86"/>
      <c r="R86" s="81"/>
      <c r="S86" s="81"/>
      <c r="T86" s="9"/>
      <c r="U86"/>
      <c r="V86"/>
      <c r="W86"/>
      <c r="X86"/>
      <c r="Y86"/>
      <c r="Z86"/>
      <c r="AA86"/>
      <c r="AB86" s="81"/>
    </row>
    <row r="87" spans="10:28">
      <c r="J87"/>
      <c r="K87"/>
      <c r="L87"/>
      <c r="M87"/>
      <c r="N87"/>
      <c r="O87"/>
      <c r="P87"/>
      <c r="Q87"/>
      <c r="R87" s="81"/>
      <c r="S87" s="81"/>
      <c r="T87" s="9"/>
      <c r="U87"/>
      <c r="V87"/>
      <c r="W87"/>
      <c r="X87"/>
      <c r="Y87"/>
      <c r="Z87"/>
      <c r="AA87"/>
      <c r="AB87" s="81"/>
    </row>
    <row r="88" spans="10:28">
      <c r="J88"/>
      <c r="K88"/>
      <c r="L88"/>
      <c r="M88"/>
      <c r="N88"/>
      <c r="O88"/>
      <c r="P88"/>
      <c r="Q88"/>
      <c r="R88" s="81"/>
      <c r="S88" s="81"/>
      <c r="T88" s="9"/>
      <c r="U88"/>
      <c r="V88"/>
      <c r="W88"/>
      <c r="X88"/>
      <c r="Y88"/>
      <c r="Z88"/>
      <c r="AA88"/>
      <c r="AB88" s="81"/>
    </row>
    <row r="89" spans="10:28">
      <c r="J89"/>
      <c r="K89"/>
      <c r="L89"/>
      <c r="M89"/>
      <c r="N89"/>
      <c r="O89"/>
      <c r="P89"/>
      <c r="Q89"/>
      <c r="R89" s="81"/>
      <c r="S89" s="81"/>
      <c r="T89" s="9"/>
      <c r="U89"/>
      <c r="V89"/>
      <c r="W89"/>
      <c r="X89"/>
      <c r="Y89"/>
      <c r="Z89"/>
      <c r="AA89"/>
      <c r="AB89" s="81"/>
    </row>
    <row r="90" spans="10:28">
      <c r="J90"/>
      <c r="K90"/>
      <c r="L90"/>
      <c r="M90"/>
      <c r="N90"/>
      <c r="O90"/>
      <c r="P90"/>
      <c r="Q90"/>
      <c r="R90" s="81"/>
      <c r="S90" s="81"/>
      <c r="T90" s="9"/>
      <c r="U90"/>
      <c r="V90"/>
      <c r="W90"/>
      <c r="X90"/>
      <c r="Y90"/>
      <c r="Z90"/>
      <c r="AA90"/>
      <c r="AB90" s="81"/>
    </row>
    <row r="91" spans="10:28">
      <c r="J91"/>
      <c r="K91"/>
      <c r="L91"/>
      <c r="M91"/>
      <c r="N91"/>
      <c r="O91"/>
      <c r="P91"/>
      <c r="Q91"/>
      <c r="R91" s="81"/>
      <c r="S91" s="81"/>
      <c r="T91" s="9"/>
      <c r="U91"/>
      <c r="V91"/>
      <c r="W91"/>
      <c r="X91"/>
      <c r="Y91"/>
      <c r="Z91"/>
      <c r="AA91"/>
      <c r="AB91" s="81"/>
    </row>
    <row r="92" spans="10:28">
      <c r="J92"/>
      <c r="K92"/>
      <c r="L92"/>
      <c r="M92"/>
      <c r="N92"/>
      <c r="O92"/>
      <c r="P92"/>
      <c r="Q92"/>
      <c r="R92" s="81"/>
      <c r="S92" s="81"/>
      <c r="T92" s="9"/>
      <c r="U92"/>
      <c r="V92"/>
      <c r="W92"/>
      <c r="X92"/>
      <c r="Y92"/>
      <c r="Z92"/>
      <c r="AA92"/>
      <c r="AB92" s="81"/>
    </row>
    <row r="93" spans="10:28">
      <c r="J93"/>
      <c r="K93"/>
      <c r="L93"/>
      <c r="M93"/>
      <c r="N93"/>
      <c r="O93"/>
      <c r="P93"/>
      <c r="Q93"/>
      <c r="R93" s="81"/>
      <c r="S93" s="81"/>
      <c r="T93" s="9"/>
      <c r="U93"/>
      <c r="V93"/>
      <c r="W93"/>
      <c r="X93"/>
      <c r="Y93"/>
      <c r="Z93"/>
      <c r="AA93"/>
      <c r="AB93" s="81"/>
    </row>
    <row r="94" spans="10:28">
      <c r="J94"/>
      <c r="K94"/>
      <c r="L94"/>
      <c r="M94"/>
      <c r="N94"/>
      <c r="O94"/>
      <c r="P94"/>
      <c r="Q94"/>
      <c r="R94" s="81"/>
      <c r="S94" s="81"/>
      <c r="T94" s="9"/>
      <c r="U94"/>
      <c r="V94"/>
      <c r="W94"/>
      <c r="X94"/>
      <c r="Y94"/>
      <c r="Z94"/>
      <c r="AA94"/>
      <c r="AB94" s="81"/>
    </row>
    <row r="95" spans="10:28">
      <c r="J95"/>
      <c r="K95"/>
      <c r="L95"/>
      <c r="M95"/>
      <c r="N95"/>
      <c r="O95"/>
      <c r="P95"/>
      <c r="Q95"/>
      <c r="R95" s="81"/>
      <c r="S95" s="81"/>
      <c r="T95" s="9"/>
      <c r="U95"/>
      <c r="V95"/>
      <c r="W95"/>
      <c r="X95"/>
      <c r="Y95"/>
      <c r="Z95"/>
      <c r="AA95"/>
      <c r="AB95" s="81"/>
    </row>
    <row r="96" spans="10:28">
      <c r="J96"/>
      <c r="K96"/>
      <c r="L96"/>
      <c r="M96"/>
      <c r="N96"/>
      <c r="O96"/>
      <c r="P96"/>
      <c r="Q96"/>
      <c r="R96" s="81"/>
      <c r="S96" s="81"/>
      <c r="T96" s="9"/>
      <c r="U96"/>
      <c r="V96"/>
      <c r="W96"/>
      <c r="X96"/>
      <c r="Y96"/>
      <c r="Z96"/>
      <c r="AA96"/>
      <c r="AB96" s="81"/>
    </row>
    <row r="97" spans="10:28">
      <c r="J97"/>
      <c r="K97"/>
      <c r="L97"/>
      <c r="M97"/>
      <c r="N97"/>
      <c r="O97"/>
      <c r="P97"/>
      <c r="Q97"/>
      <c r="R97" s="81"/>
      <c r="S97" s="81"/>
      <c r="T97" s="9"/>
      <c r="U97"/>
      <c r="V97"/>
      <c r="W97"/>
      <c r="X97"/>
      <c r="Y97"/>
      <c r="Z97"/>
      <c r="AA97"/>
      <c r="AB97" s="81"/>
    </row>
    <row r="98" spans="10:28">
      <c r="J98"/>
      <c r="K98"/>
      <c r="L98"/>
      <c r="M98"/>
      <c r="N98"/>
      <c r="O98"/>
      <c r="P98"/>
      <c r="Q98"/>
      <c r="R98" s="81"/>
      <c r="S98" s="81"/>
      <c r="T98" s="9"/>
      <c r="U98"/>
      <c r="V98"/>
      <c r="W98"/>
      <c r="X98"/>
      <c r="Y98"/>
      <c r="Z98"/>
      <c r="AA98"/>
      <c r="AB98" s="81"/>
    </row>
    <row r="99" spans="10:28">
      <c r="J99"/>
      <c r="K99"/>
      <c r="L99"/>
      <c r="M99"/>
      <c r="N99"/>
      <c r="O99"/>
      <c r="P99"/>
      <c r="Q99"/>
      <c r="R99" s="81"/>
      <c r="S99" s="81"/>
      <c r="T99" s="9"/>
      <c r="U99"/>
      <c r="V99"/>
      <c r="W99"/>
      <c r="X99"/>
      <c r="Y99"/>
      <c r="Z99"/>
      <c r="AA99"/>
      <c r="AB99" s="81"/>
    </row>
    <row r="100" spans="10:28">
      <c r="J100"/>
      <c r="K100"/>
      <c r="L100"/>
      <c r="M100"/>
      <c r="N100"/>
      <c r="O100"/>
      <c r="P100"/>
      <c r="Q100"/>
      <c r="R100" s="81"/>
      <c r="S100" s="81"/>
      <c r="T100" s="9"/>
      <c r="U100"/>
      <c r="V100"/>
      <c r="W100"/>
      <c r="X100"/>
      <c r="Y100"/>
      <c r="Z100"/>
      <c r="AA100"/>
      <c r="AB100" s="81"/>
    </row>
    <row r="101" spans="10:28">
      <c r="J101"/>
      <c r="K101"/>
      <c r="L101"/>
      <c r="M101"/>
      <c r="N101"/>
      <c r="O101"/>
      <c r="P101"/>
      <c r="Q101"/>
      <c r="R101" s="81"/>
      <c r="S101" s="81"/>
      <c r="T101" s="9"/>
      <c r="U101"/>
      <c r="V101"/>
      <c r="W101"/>
      <c r="X101"/>
      <c r="Y101"/>
      <c r="Z101"/>
      <c r="AA101"/>
      <c r="AB101" s="81"/>
    </row>
    <row r="102" spans="10:28">
      <c r="J102"/>
      <c r="K102"/>
      <c r="L102"/>
      <c r="M102"/>
      <c r="N102"/>
      <c r="O102"/>
      <c r="P102"/>
      <c r="Q102"/>
      <c r="R102" s="81"/>
      <c r="S102" s="81"/>
      <c r="T102" s="9"/>
      <c r="U102"/>
      <c r="V102"/>
      <c r="W102"/>
      <c r="X102"/>
      <c r="Y102"/>
      <c r="Z102"/>
      <c r="AA102"/>
      <c r="AB102" s="81"/>
    </row>
    <row r="103" spans="10:28">
      <c r="J103"/>
      <c r="K103"/>
      <c r="L103"/>
      <c r="M103"/>
      <c r="N103"/>
      <c r="O103"/>
      <c r="P103"/>
      <c r="Q103"/>
      <c r="R103" s="81"/>
      <c r="S103" s="81"/>
      <c r="T103" s="9"/>
      <c r="U103"/>
      <c r="V103"/>
      <c r="W103"/>
      <c r="X103"/>
      <c r="Y103"/>
      <c r="Z103"/>
      <c r="AA103"/>
      <c r="AB103" s="81"/>
    </row>
    <row r="104" spans="10:28">
      <c r="J104"/>
      <c r="K104"/>
      <c r="L104"/>
      <c r="M104"/>
      <c r="N104"/>
      <c r="O104"/>
      <c r="P104"/>
      <c r="Q104"/>
      <c r="R104" s="81"/>
      <c r="S104" s="81"/>
      <c r="T104" s="9"/>
      <c r="U104"/>
      <c r="V104"/>
      <c r="W104"/>
      <c r="X104"/>
      <c r="Y104"/>
      <c r="Z104"/>
      <c r="AA104"/>
      <c r="AB104" s="81"/>
    </row>
    <row r="105" spans="10:28">
      <c r="J105"/>
      <c r="K105"/>
      <c r="L105"/>
      <c r="M105"/>
      <c r="N105"/>
      <c r="O105"/>
      <c r="P105"/>
      <c r="Q105"/>
      <c r="R105" s="81"/>
      <c r="S105" s="81"/>
      <c r="T105" s="9"/>
      <c r="U105"/>
      <c r="V105"/>
      <c r="W105"/>
      <c r="X105"/>
      <c r="Y105"/>
      <c r="Z105"/>
      <c r="AA105"/>
      <c r="AB105" s="81"/>
    </row>
    <row r="106" spans="10:28">
      <c r="J106"/>
      <c r="K106"/>
      <c r="L106"/>
      <c r="M106"/>
      <c r="N106"/>
      <c r="O106"/>
      <c r="P106"/>
      <c r="Q106"/>
      <c r="R106" s="81"/>
      <c r="S106" s="81"/>
      <c r="T106" s="9"/>
      <c r="U106"/>
      <c r="V106"/>
      <c r="W106"/>
      <c r="X106"/>
      <c r="Y106"/>
      <c r="Z106"/>
      <c r="AA106"/>
      <c r="AB106" s="81"/>
    </row>
    <row r="107" spans="10:28">
      <c r="J107"/>
      <c r="K107"/>
      <c r="L107"/>
      <c r="M107"/>
      <c r="N107"/>
      <c r="O107"/>
      <c r="P107"/>
      <c r="Q107"/>
      <c r="R107" s="81"/>
      <c r="S107" s="81"/>
      <c r="T107" s="9"/>
      <c r="U107"/>
      <c r="V107"/>
      <c r="W107"/>
      <c r="X107"/>
      <c r="Y107"/>
      <c r="Z107"/>
      <c r="AA107"/>
      <c r="AB107" s="81"/>
    </row>
    <row r="108" spans="10:28">
      <c r="J108"/>
      <c r="K108"/>
      <c r="L108"/>
      <c r="M108"/>
      <c r="N108"/>
      <c r="O108"/>
      <c r="P108"/>
      <c r="Q108"/>
      <c r="R108" s="81"/>
      <c r="S108" s="81"/>
      <c r="T108" s="9"/>
      <c r="U108"/>
      <c r="V108"/>
      <c r="W108"/>
      <c r="X108"/>
      <c r="Y108"/>
      <c r="Z108"/>
      <c r="AA108"/>
      <c r="AB108" s="81"/>
    </row>
    <row r="109" spans="10:28">
      <c r="J109"/>
      <c r="K109"/>
      <c r="L109"/>
      <c r="M109"/>
      <c r="N109"/>
      <c r="O109"/>
      <c r="P109"/>
      <c r="Q109"/>
      <c r="R109" s="81"/>
      <c r="S109" s="81"/>
      <c r="T109" s="9"/>
      <c r="U109"/>
      <c r="V109"/>
      <c r="W109"/>
      <c r="X109"/>
      <c r="Y109"/>
      <c r="Z109"/>
      <c r="AA109"/>
      <c r="AB109" s="81"/>
    </row>
    <row r="110" spans="10:28">
      <c r="J110"/>
      <c r="K110"/>
      <c r="L110"/>
      <c r="M110"/>
      <c r="N110"/>
      <c r="O110"/>
      <c r="P110"/>
      <c r="Q110"/>
      <c r="R110" s="81"/>
      <c r="S110" s="81"/>
      <c r="T110" s="9"/>
      <c r="U110"/>
      <c r="V110"/>
      <c r="W110"/>
      <c r="X110"/>
      <c r="Y110"/>
      <c r="Z110"/>
      <c r="AA110"/>
      <c r="AB110" s="81"/>
    </row>
    <row r="111" spans="10:28">
      <c r="J111"/>
      <c r="K111"/>
      <c r="L111"/>
      <c r="M111"/>
      <c r="N111"/>
      <c r="O111"/>
      <c r="P111"/>
      <c r="Q111"/>
      <c r="R111" s="81"/>
      <c r="S111" s="81"/>
      <c r="T111" s="9"/>
      <c r="U111"/>
      <c r="V111"/>
      <c r="W111"/>
      <c r="X111"/>
      <c r="Y111"/>
      <c r="Z111"/>
      <c r="AA111"/>
      <c r="AB111" s="81"/>
    </row>
    <row r="112" spans="10:28">
      <c r="J112"/>
      <c r="K112"/>
      <c r="L112"/>
      <c r="M112"/>
      <c r="N112"/>
      <c r="O112"/>
      <c r="P112"/>
      <c r="Q112"/>
      <c r="R112" s="81"/>
      <c r="S112" s="81"/>
      <c r="T112" s="9"/>
      <c r="U112"/>
      <c r="V112"/>
      <c r="W112"/>
      <c r="X112"/>
      <c r="Y112"/>
      <c r="Z112"/>
      <c r="AA112"/>
      <c r="AB112" s="81"/>
    </row>
    <row r="113" spans="10:28">
      <c r="J113"/>
      <c r="K113"/>
      <c r="L113"/>
      <c r="M113"/>
      <c r="N113"/>
      <c r="O113"/>
      <c r="P113"/>
      <c r="Q113"/>
      <c r="R113" s="81"/>
      <c r="S113" s="81"/>
      <c r="T113" s="9"/>
      <c r="U113"/>
      <c r="V113"/>
      <c r="W113"/>
      <c r="X113"/>
      <c r="Y113"/>
      <c r="Z113"/>
      <c r="AA113"/>
      <c r="AB113" s="81"/>
    </row>
    <row r="114" spans="10:28">
      <c r="J114"/>
      <c r="K114"/>
      <c r="L114"/>
      <c r="M114"/>
      <c r="N114"/>
      <c r="O114"/>
      <c r="P114"/>
      <c r="Q114"/>
      <c r="R114" s="81"/>
      <c r="S114" s="81"/>
      <c r="T114" s="9"/>
      <c r="U114"/>
      <c r="V114"/>
      <c r="W114"/>
      <c r="X114"/>
      <c r="Y114"/>
      <c r="Z114"/>
      <c r="AA114"/>
      <c r="AB114" s="81"/>
    </row>
    <row r="115" spans="10:28">
      <c r="J115"/>
      <c r="K115"/>
      <c r="L115"/>
      <c r="M115"/>
      <c r="N115"/>
      <c r="O115"/>
      <c r="P115"/>
      <c r="Q115"/>
      <c r="R115" s="81"/>
      <c r="S115" s="81"/>
      <c r="T115" s="9"/>
      <c r="U115"/>
      <c r="V115"/>
      <c r="W115"/>
      <c r="X115"/>
      <c r="Y115"/>
      <c r="Z115"/>
      <c r="AA115"/>
      <c r="AB115" s="81"/>
    </row>
    <row r="116" spans="10:28">
      <c r="J116"/>
      <c r="K116"/>
      <c r="L116"/>
      <c r="M116"/>
      <c r="N116"/>
      <c r="O116"/>
      <c r="P116"/>
      <c r="Q116"/>
      <c r="R116" s="81"/>
      <c r="S116" s="81"/>
      <c r="T116" s="9"/>
      <c r="U116"/>
      <c r="V116"/>
      <c r="W116"/>
      <c r="X116"/>
      <c r="Y116"/>
      <c r="Z116"/>
      <c r="AA116"/>
      <c r="AB116" s="81"/>
    </row>
    <row r="117" spans="10:28">
      <c r="J117"/>
      <c r="K117"/>
      <c r="L117"/>
      <c r="M117"/>
      <c r="N117"/>
      <c r="O117"/>
      <c r="P117"/>
      <c r="Q117"/>
      <c r="R117" s="81"/>
      <c r="S117" s="81"/>
      <c r="T117" s="9"/>
      <c r="U117"/>
      <c r="V117"/>
      <c r="W117"/>
      <c r="X117"/>
      <c r="Y117"/>
      <c r="Z117"/>
      <c r="AA117"/>
      <c r="AB117" s="81"/>
    </row>
    <row r="118" spans="10:28">
      <c r="J118"/>
      <c r="K118"/>
      <c r="L118"/>
      <c r="M118"/>
      <c r="N118"/>
      <c r="O118"/>
      <c r="P118"/>
      <c r="Q118"/>
      <c r="R118" s="81"/>
      <c r="S118" s="81"/>
      <c r="T118" s="9"/>
      <c r="U118"/>
      <c r="V118"/>
      <c r="W118"/>
      <c r="X118"/>
      <c r="Y118"/>
      <c r="Z118"/>
      <c r="AA118"/>
      <c r="AB118" s="81"/>
    </row>
    <row r="119" spans="10:28">
      <c r="J119"/>
      <c r="K119"/>
      <c r="L119"/>
      <c r="M119"/>
      <c r="N119"/>
      <c r="O119"/>
      <c r="P119"/>
      <c r="Q119"/>
      <c r="R119" s="81"/>
      <c r="S119" s="81"/>
      <c r="T119" s="9"/>
      <c r="U119"/>
      <c r="V119"/>
      <c r="W119"/>
      <c r="X119"/>
      <c r="Y119"/>
      <c r="Z119"/>
      <c r="AA119"/>
      <c r="AB119" s="81"/>
    </row>
    <row r="120" spans="10:28">
      <c r="J120"/>
      <c r="K120"/>
      <c r="L120"/>
      <c r="M120"/>
      <c r="N120"/>
      <c r="O120"/>
      <c r="P120"/>
      <c r="Q120"/>
      <c r="R120" s="81"/>
      <c r="S120" s="81"/>
      <c r="T120" s="9"/>
      <c r="U120"/>
      <c r="V120"/>
      <c r="W120"/>
      <c r="X120"/>
      <c r="Y120"/>
      <c r="Z120"/>
      <c r="AA120"/>
      <c r="AB120" s="81"/>
    </row>
    <row r="121" spans="10:28">
      <c r="J121"/>
      <c r="K121"/>
      <c r="L121"/>
      <c r="M121"/>
      <c r="N121"/>
      <c r="O121"/>
      <c r="P121"/>
      <c r="Q121"/>
      <c r="R121" s="81"/>
      <c r="S121" s="81"/>
      <c r="T121" s="9"/>
      <c r="U121"/>
      <c r="V121"/>
      <c r="W121"/>
      <c r="X121"/>
      <c r="Y121"/>
      <c r="Z121"/>
      <c r="AA121"/>
      <c r="AB121" s="81"/>
    </row>
    <row r="122" spans="10:28">
      <c r="J122"/>
      <c r="K122"/>
      <c r="L122"/>
      <c r="M122"/>
      <c r="N122"/>
      <c r="O122"/>
      <c r="P122"/>
      <c r="Q122"/>
      <c r="R122" s="81"/>
      <c r="S122" s="81"/>
      <c r="T122" s="9"/>
      <c r="U122"/>
      <c r="V122"/>
      <c r="W122"/>
      <c r="X122"/>
      <c r="Y122"/>
      <c r="Z122"/>
      <c r="AA122"/>
      <c r="AB122" s="81"/>
    </row>
    <row r="123" spans="10:28">
      <c r="J123"/>
      <c r="K123"/>
      <c r="L123"/>
      <c r="M123"/>
      <c r="N123"/>
      <c r="O123"/>
      <c r="P123"/>
      <c r="Q123"/>
      <c r="R123" s="81"/>
      <c r="S123" s="81"/>
      <c r="T123" s="9"/>
      <c r="U123"/>
      <c r="V123"/>
      <c r="W123"/>
      <c r="X123"/>
      <c r="Y123"/>
      <c r="Z123"/>
      <c r="AA123"/>
      <c r="AB123" s="81"/>
    </row>
    <row r="124" spans="10:28">
      <c r="J124"/>
      <c r="K124"/>
      <c r="L124"/>
      <c r="M124"/>
      <c r="N124"/>
      <c r="O124"/>
      <c r="P124"/>
      <c r="Q124"/>
      <c r="R124" s="81"/>
      <c r="S124" s="81"/>
      <c r="T124" s="9"/>
      <c r="U124"/>
      <c r="V124"/>
      <c r="W124"/>
      <c r="X124"/>
      <c r="Y124"/>
      <c r="Z124"/>
      <c r="AA124"/>
      <c r="AB124" s="81"/>
    </row>
    <row r="125" spans="10:28">
      <c r="J125"/>
      <c r="K125"/>
      <c r="L125"/>
      <c r="M125"/>
      <c r="N125"/>
      <c r="O125"/>
      <c r="P125"/>
      <c r="Q125"/>
      <c r="R125" s="81"/>
      <c r="S125" s="81"/>
      <c r="T125" s="9"/>
      <c r="U125"/>
      <c r="V125"/>
      <c r="W125"/>
      <c r="X125"/>
      <c r="Y125"/>
      <c r="Z125"/>
      <c r="AA125"/>
      <c r="AB125" s="81"/>
    </row>
    <row r="126" spans="10:28">
      <c r="J126"/>
      <c r="K126"/>
      <c r="L126"/>
      <c r="M126"/>
      <c r="N126"/>
      <c r="O126"/>
      <c r="P126"/>
      <c r="Q126"/>
      <c r="R126" s="81"/>
      <c r="S126" s="81"/>
      <c r="T126" s="9"/>
      <c r="U126"/>
      <c r="V126"/>
      <c r="W126"/>
      <c r="X126"/>
      <c r="Y126"/>
      <c r="Z126"/>
      <c r="AA126"/>
      <c r="AB126" s="81"/>
    </row>
    <row r="127" spans="10:28">
      <c r="J127"/>
      <c r="K127"/>
      <c r="L127"/>
      <c r="M127"/>
      <c r="N127"/>
      <c r="O127"/>
      <c r="P127"/>
      <c r="Q127"/>
      <c r="R127" s="81"/>
      <c r="S127" s="81"/>
      <c r="T127" s="9"/>
      <c r="U127"/>
      <c r="V127"/>
      <c r="W127"/>
      <c r="X127"/>
      <c r="Y127"/>
      <c r="Z127"/>
      <c r="AA127"/>
      <c r="AB127" s="81"/>
    </row>
    <row r="128" spans="10:28">
      <c r="J128"/>
      <c r="K128"/>
      <c r="L128"/>
      <c r="M128"/>
      <c r="N128"/>
      <c r="O128"/>
      <c r="P128"/>
      <c r="Q128"/>
      <c r="R128" s="81"/>
      <c r="S128" s="81"/>
      <c r="T128" s="9"/>
      <c r="U128"/>
      <c r="V128"/>
      <c r="W128"/>
      <c r="X128"/>
      <c r="Y128"/>
      <c r="Z128"/>
      <c r="AA128"/>
      <c r="AB128" s="81"/>
    </row>
    <row r="129" spans="10:28">
      <c r="J129"/>
      <c r="K129"/>
      <c r="L129"/>
      <c r="M129"/>
      <c r="N129"/>
      <c r="O129"/>
      <c r="P129"/>
      <c r="Q129"/>
      <c r="R129" s="81"/>
      <c r="S129" s="81"/>
      <c r="T129" s="9"/>
      <c r="U129"/>
      <c r="V129"/>
      <c r="W129"/>
      <c r="X129"/>
      <c r="Y129"/>
      <c r="Z129"/>
      <c r="AA129"/>
      <c r="AB129" s="81"/>
    </row>
    <row r="130" spans="10:28">
      <c r="J130"/>
      <c r="K130"/>
      <c r="L130"/>
      <c r="M130"/>
      <c r="N130"/>
      <c r="O130"/>
      <c r="P130"/>
      <c r="Q130"/>
      <c r="R130" s="81"/>
      <c r="S130" s="81"/>
      <c r="T130" s="9"/>
      <c r="U130"/>
      <c r="V130"/>
      <c r="W130"/>
      <c r="X130"/>
      <c r="Y130"/>
      <c r="Z130"/>
      <c r="AA130"/>
      <c r="AB130" s="81"/>
    </row>
    <row r="131" spans="10:28">
      <c r="J131"/>
      <c r="K131"/>
      <c r="L131"/>
      <c r="M131"/>
      <c r="N131"/>
      <c r="O131"/>
      <c r="P131"/>
      <c r="Q131"/>
      <c r="R131" s="81"/>
      <c r="S131" s="81"/>
      <c r="T131" s="9"/>
      <c r="U131"/>
      <c r="V131"/>
      <c r="W131"/>
      <c r="X131"/>
      <c r="Y131"/>
      <c r="Z131"/>
      <c r="AA131"/>
      <c r="AB131" s="81"/>
    </row>
    <row r="132" spans="10:28">
      <c r="J132"/>
      <c r="K132"/>
      <c r="L132"/>
      <c r="M132"/>
      <c r="N132"/>
      <c r="O132"/>
      <c r="P132"/>
      <c r="Q132"/>
      <c r="R132" s="81"/>
      <c r="S132" s="81"/>
      <c r="T132" s="9"/>
      <c r="U132"/>
      <c r="V132"/>
      <c r="W132"/>
      <c r="X132"/>
      <c r="Y132"/>
      <c r="Z132"/>
      <c r="AA132"/>
      <c r="AB132" s="81"/>
    </row>
    <row r="133" spans="10:28">
      <c r="J133"/>
      <c r="K133"/>
      <c r="L133"/>
      <c r="M133"/>
      <c r="N133"/>
      <c r="O133"/>
      <c r="P133"/>
      <c r="Q133"/>
      <c r="R133" s="81"/>
      <c r="S133" s="81"/>
      <c r="T133" s="9"/>
      <c r="U133"/>
      <c r="V133"/>
      <c r="W133"/>
      <c r="X133"/>
      <c r="Y133"/>
      <c r="Z133"/>
      <c r="AA133"/>
      <c r="AB133" s="81"/>
    </row>
    <row r="134" spans="10:28">
      <c r="J134"/>
      <c r="K134"/>
      <c r="L134"/>
      <c r="M134"/>
      <c r="N134"/>
      <c r="O134"/>
      <c r="P134"/>
      <c r="Q134"/>
      <c r="R134" s="81"/>
      <c r="S134" s="81"/>
      <c r="T134" s="9"/>
      <c r="U134"/>
      <c r="V134"/>
      <c r="W134"/>
      <c r="X134"/>
      <c r="Y134"/>
      <c r="Z134"/>
      <c r="AA134"/>
      <c r="AB134" s="81"/>
    </row>
    <row r="135" spans="10:28">
      <c r="J135"/>
      <c r="K135"/>
      <c r="L135"/>
      <c r="M135"/>
      <c r="N135"/>
      <c r="O135"/>
      <c r="P135"/>
      <c r="Q135"/>
      <c r="R135" s="81"/>
      <c r="S135" s="81"/>
      <c r="T135" s="9"/>
      <c r="U135"/>
      <c r="V135"/>
      <c r="W135"/>
      <c r="X135"/>
      <c r="Y135"/>
      <c r="Z135"/>
      <c r="AA135"/>
      <c r="AB135" s="81"/>
    </row>
    <row r="136" spans="10:28">
      <c r="J136"/>
      <c r="K136"/>
      <c r="L136"/>
      <c r="M136"/>
      <c r="N136"/>
      <c r="O136"/>
      <c r="P136"/>
      <c r="Q136"/>
      <c r="R136" s="81"/>
      <c r="S136" s="81"/>
      <c r="T136" s="9"/>
      <c r="U136"/>
      <c r="V136"/>
      <c r="W136"/>
      <c r="X136"/>
      <c r="Y136"/>
      <c r="Z136"/>
      <c r="AA136"/>
      <c r="AB136" s="81"/>
    </row>
    <row r="137" spans="10:28">
      <c r="J137"/>
      <c r="K137"/>
      <c r="L137"/>
      <c r="M137"/>
      <c r="N137"/>
      <c r="O137"/>
      <c r="P137"/>
      <c r="Q137"/>
      <c r="R137" s="81"/>
      <c r="S137" s="81"/>
      <c r="T137" s="9"/>
      <c r="U137"/>
      <c r="V137"/>
      <c r="W137"/>
      <c r="X137"/>
      <c r="Y137"/>
      <c r="Z137"/>
      <c r="AA137"/>
      <c r="AB137" s="81"/>
    </row>
    <row r="138" spans="10:28">
      <c r="J138"/>
      <c r="K138"/>
      <c r="L138"/>
      <c r="M138"/>
      <c r="N138"/>
      <c r="O138"/>
      <c r="P138"/>
      <c r="Q138"/>
      <c r="R138" s="81"/>
      <c r="S138" s="81"/>
      <c r="T138" s="9"/>
      <c r="U138"/>
      <c r="V138"/>
      <c r="W138"/>
      <c r="X138"/>
      <c r="Y138"/>
      <c r="Z138"/>
      <c r="AA138"/>
      <c r="AB138" s="81"/>
    </row>
    <row r="139" spans="10:28">
      <c r="J139"/>
      <c r="K139"/>
      <c r="L139"/>
      <c r="M139"/>
      <c r="N139"/>
      <c r="O139"/>
      <c r="P139"/>
      <c r="Q139"/>
      <c r="R139" s="81"/>
      <c r="S139" s="81"/>
      <c r="T139" s="9"/>
      <c r="U139"/>
      <c r="V139"/>
      <c r="W139"/>
      <c r="X139"/>
      <c r="Y139"/>
      <c r="Z139"/>
      <c r="AA139"/>
      <c r="AB139" s="81"/>
    </row>
    <row r="140" spans="10:28">
      <c r="J140"/>
      <c r="K140"/>
      <c r="L140"/>
      <c r="M140"/>
      <c r="N140"/>
      <c r="O140"/>
      <c r="P140"/>
      <c r="Q140"/>
      <c r="R140" s="81"/>
      <c r="S140" s="81"/>
      <c r="T140" s="9"/>
      <c r="U140"/>
      <c r="V140"/>
      <c r="W140"/>
      <c r="X140"/>
      <c r="Y140"/>
      <c r="Z140"/>
      <c r="AA140"/>
      <c r="AB140" s="81"/>
    </row>
    <row r="141" spans="10:28">
      <c r="J141"/>
      <c r="K141"/>
      <c r="L141"/>
      <c r="M141"/>
      <c r="N141"/>
      <c r="O141"/>
      <c r="P141"/>
      <c r="Q141"/>
      <c r="R141" s="81"/>
      <c r="S141" s="81"/>
      <c r="T141" s="9"/>
      <c r="U141"/>
      <c r="V141"/>
      <c r="W141"/>
      <c r="X141"/>
      <c r="Y141"/>
      <c r="Z141"/>
      <c r="AA141"/>
      <c r="AB141" s="81"/>
    </row>
    <row r="142" spans="10:28">
      <c r="J142"/>
      <c r="K142"/>
      <c r="L142"/>
      <c r="M142"/>
      <c r="N142"/>
      <c r="O142"/>
      <c r="P142"/>
      <c r="Q142"/>
      <c r="R142" s="81"/>
      <c r="S142" s="81"/>
      <c r="T142" s="9"/>
      <c r="U142"/>
      <c r="V142"/>
      <c r="W142"/>
      <c r="X142"/>
      <c r="Y142"/>
      <c r="Z142"/>
      <c r="AA142"/>
      <c r="AB142" s="81"/>
    </row>
    <row r="143" spans="10:28">
      <c r="J143"/>
      <c r="K143"/>
      <c r="L143"/>
      <c r="M143"/>
      <c r="N143"/>
      <c r="O143"/>
      <c r="P143"/>
      <c r="Q143"/>
      <c r="R143" s="81"/>
      <c r="S143" s="81"/>
      <c r="T143" s="9"/>
      <c r="U143"/>
      <c r="V143"/>
      <c r="W143"/>
      <c r="X143"/>
      <c r="Y143"/>
      <c r="Z143"/>
      <c r="AA143"/>
      <c r="AB143" s="81"/>
    </row>
    <row r="144" spans="10:28">
      <c r="J144"/>
      <c r="K144"/>
      <c r="L144"/>
      <c r="M144"/>
      <c r="N144"/>
      <c r="O144"/>
      <c r="P144"/>
      <c r="Q144"/>
      <c r="R144" s="81"/>
      <c r="S144" s="81"/>
      <c r="T144" s="9"/>
      <c r="U144"/>
      <c r="V144"/>
      <c r="W144"/>
      <c r="X144"/>
      <c r="Y144"/>
      <c r="Z144"/>
      <c r="AA144"/>
      <c r="AB144" s="81"/>
    </row>
    <row r="145" spans="10:28">
      <c r="J145"/>
      <c r="K145"/>
      <c r="L145"/>
      <c r="M145"/>
      <c r="N145"/>
      <c r="O145"/>
      <c r="P145"/>
      <c r="Q145"/>
      <c r="R145" s="81"/>
      <c r="S145" s="81"/>
      <c r="T145" s="9"/>
      <c r="U145"/>
      <c r="V145"/>
      <c r="W145"/>
      <c r="X145"/>
      <c r="Y145"/>
      <c r="Z145"/>
      <c r="AA145"/>
      <c r="AB145" s="81"/>
    </row>
    <row r="146" spans="10:28">
      <c r="J146"/>
      <c r="K146"/>
      <c r="L146"/>
      <c r="M146"/>
      <c r="N146"/>
      <c r="O146"/>
      <c r="P146"/>
      <c r="Q146"/>
      <c r="R146" s="81"/>
      <c r="S146" s="81"/>
      <c r="T146" s="9"/>
      <c r="U146"/>
      <c r="V146"/>
      <c r="W146"/>
      <c r="X146"/>
      <c r="Y146"/>
      <c r="Z146"/>
      <c r="AA146"/>
      <c r="AB146" s="81"/>
    </row>
    <row r="147" spans="10:28">
      <c r="J147"/>
      <c r="K147"/>
      <c r="L147"/>
      <c r="M147"/>
      <c r="N147"/>
      <c r="O147"/>
      <c r="P147"/>
      <c r="Q147"/>
      <c r="R147" s="81"/>
      <c r="S147" s="81"/>
      <c r="T147" s="9"/>
      <c r="U147"/>
      <c r="V147"/>
      <c r="W147"/>
      <c r="X147"/>
      <c r="Y147"/>
      <c r="Z147"/>
      <c r="AA147"/>
      <c r="AB147" s="81"/>
    </row>
    <row r="148" spans="10:28">
      <c r="J148"/>
      <c r="K148"/>
      <c r="L148"/>
      <c r="M148"/>
      <c r="N148"/>
      <c r="O148"/>
      <c r="P148"/>
      <c r="Q148"/>
      <c r="R148" s="81"/>
      <c r="S148" s="81"/>
      <c r="T148" s="9"/>
      <c r="U148"/>
      <c r="V148"/>
      <c r="W148"/>
      <c r="X148"/>
      <c r="Y148"/>
      <c r="Z148"/>
      <c r="AA148"/>
      <c r="AB148" s="81"/>
    </row>
    <row r="149" spans="10:28">
      <c r="J149"/>
      <c r="K149"/>
      <c r="L149"/>
      <c r="M149"/>
      <c r="N149"/>
      <c r="O149"/>
      <c r="P149"/>
      <c r="Q149"/>
      <c r="R149" s="81"/>
      <c r="S149" s="81"/>
      <c r="T149" s="9"/>
      <c r="U149"/>
      <c r="V149"/>
      <c r="W149"/>
      <c r="X149"/>
      <c r="Y149"/>
      <c r="Z149"/>
      <c r="AA149"/>
      <c r="AB149" s="81"/>
    </row>
    <row r="150" spans="10:28">
      <c r="J150"/>
      <c r="K150"/>
      <c r="L150"/>
      <c r="M150"/>
      <c r="N150"/>
      <c r="O150"/>
      <c r="P150"/>
      <c r="Q150"/>
      <c r="R150" s="81"/>
      <c r="S150" s="81"/>
      <c r="T150" s="9"/>
      <c r="U150"/>
      <c r="V150"/>
      <c r="W150"/>
      <c r="X150"/>
      <c r="Y150"/>
      <c r="Z150"/>
      <c r="AA150"/>
      <c r="AB150" s="81"/>
    </row>
    <row r="151" spans="10:28">
      <c r="J151"/>
      <c r="K151"/>
      <c r="L151"/>
      <c r="M151"/>
      <c r="N151"/>
      <c r="O151"/>
      <c r="P151"/>
      <c r="Q151"/>
      <c r="R151" s="81"/>
      <c r="S151" s="81"/>
      <c r="T151" s="9"/>
      <c r="U151"/>
      <c r="V151"/>
      <c r="W151"/>
      <c r="X151"/>
      <c r="Y151"/>
      <c r="Z151"/>
      <c r="AA151"/>
      <c r="AB151" s="81"/>
    </row>
    <row r="152" spans="10:28">
      <c r="J152"/>
      <c r="K152"/>
      <c r="L152"/>
      <c r="M152"/>
      <c r="N152"/>
      <c r="O152"/>
      <c r="P152"/>
      <c r="Q152"/>
      <c r="R152" s="81"/>
      <c r="S152" s="81"/>
      <c r="T152" s="9"/>
      <c r="U152"/>
      <c r="V152"/>
      <c r="W152"/>
      <c r="X152"/>
      <c r="Y152"/>
      <c r="Z152"/>
      <c r="AA152"/>
      <c r="AB152" s="81"/>
    </row>
    <row r="153" spans="10:28">
      <c r="J153"/>
      <c r="K153"/>
      <c r="L153"/>
      <c r="M153"/>
      <c r="N153"/>
      <c r="O153"/>
      <c r="P153"/>
      <c r="Q153"/>
      <c r="R153" s="81"/>
      <c r="S153" s="81"/>
      <c r="T153" s="9"/>
      <c r="U153"/>
      <c r="V153"/>
      <c r="W153"/>
      <c r="X153"/>
      <c r="Y153"/>
      <c r="Z153"/>
      <c r="AA153"/>
      <c r="AB153" s="81"/>
    </row>
    <row r="154" spans="10:28">
      <c r="J154"/>
      <c r="K154"/>
      <c r="L154"/>
      <c r="M154"/>
      <c r="N154"/>
      <c r="O154"/>
      <c r="P154"/>
      <c r="Q154"/>
      <c r="R154" s="81"/>
      <c r="S154" s="81"/>
      <c r="T154" s="9"/>
      <c r="U154"/>
      <c r="V154"/>
      <c r="W154"/>
      <c r="X154"/>
      <c r="Y154"/>
      <c r="Z154"/>
      <c r="AA154"/>
      <c r="AB154" s="81"/>
    </row>
    <row r="155" spans="10:28">
      <c r="J155"/>
      <c r="K155"/>
      <c r="L155"/>
      <c r="M155"/>
      <c r="N155"/>
      <c r="O155"/>
      <c r="P155"/>
      <c r="Q155"/>
      <c r="R155" s="81"/>
      <c r="S155" s="81"/>
      <c r="T155" s="9"/>
      <c r="U155"/>
      <c r="V155"/>
      <c r="W155"/>
      <c r="X155"/>
      <c r="Y155"/>
      <c r="Z155"/>
      <c r="AA155"/>
      <c r="AB155" s="81"/>
    </row>
    <row r="156" spans="10:28">
      <c r="J156"/>
      <c r="K156"/>
      <c r="L156"/>
      <c r="M156"/>
      <c r="N156"/>
      <c r="O156"/>
      <c r="P156"/>
      <c r="Q156"/>
      <c r="R156" s="81"/>
      <c r="S156" s="81"/>
      <c r="T156" s="9"/>
      <c r="U156"/>
      <c r="V156"/>
      <c r="W156"/>
      <c r="X156"/>
      <c r="Y156"/>
      <c r="Z156"/>
      <c r="AA156"/>
      <c r="AB156" s="81"/>
    </row>
    <row r="157" spans="10:28">
      <c r="J157"/>
      <c r="K157"/>
      <c r="L157"/>
      <c r="M157"/>
      <c r="N157"/>
      <c r="O157"/>
      <c r="P157"/>
      <c r="Q157"/>
      <c r="R157" s="81"/>
      <c r="S157" s="81"/>
      <c r="T157" s="9"/>
      <c r="U157"/>
      <c r="V157"/>
      <c r="W157"/>
      <c r="X157"/>
      <c r="Y157"/>
      <c r="Z157"/>
      <c r="AA157"/>
      <c r="AB157" s="81"/>
    </row>
    <row r="158" spans="10:28">
      <c r="J158"/>
      <c r="K158"/>
      <c r="L158"/>
      <c r="M158"/>
      <c r="N158"/>
      <c r="O158"/>
      <c r="P158"/>
      <c r="Q158"/>
      <c r="R158" s="81"/>
      <c r="S158" s="81"/>
      <c r="T158" s="9"/>
      <c r="U158"/>
      <c r="V158"/>
      <c r="W158"/>
      <c r="X158"/>
      <c r="Y158"/>
      <c r="Z158"/>
      <c r="AA158"/>
      <c r="AB158" s="81"/>
    </row>
    <row r="159" spans="10:28">
      <c r="J159"/>
      <c r="K159"/>
      <c r="L159"/>
      <c r="M159"/>
      <c r="N159"/>
      <c r="O159"/>
      <c r="P159"/>
      <c r="Q159"/>
      <c r="R159" s="81"/>
      <c r="S159" s="81"/>
      <c r="T159" s="9"/>
      <c r="U159"/>
      <c r="V159"/>
      <c r="W159"/>
      <c r="X159"/>
      <c r="Y159"/>
      <c r="Z159"/>
      <c r="AA159"/>
      <c r="AB159" s="81"/>
    </row>
    <row r="160" spans="10:28">
      <c r="J160"/>
      <c r="K160"/>
      <c r="L160"/>
      <c r="M160"/>
      <c r="N160"/>
      <c r="O160"/>
      <c r="P160"/>
      <c r="Q160"/>
      <c r="R160" s="81"/>
      <c r="S160" s="81"/>
      <c r="T160" s="9"/>
      <c r="U160"/>
      <c r="V160"/>
      <c r="W160"/>
      <c r="X160"/>
      <c r="Y160"/>
      <c r="Z160"/>
      <c r="AA160"/>
      <c r="AB160" s="81"/>
    </row>
    <row r="161" spans="10:28">
      <c r="J161"/>
      <c r="K161"/>
      <c r="L161"/>
      <c r="M161"/>
      <c r="N161"/>
      <c r="O161"/>
      <c r="P161"/>
      <c r="Q161"/>
      <c r="R161" s="81"/>
      <c r="S161" s="81"/>
      <c r="T161" s="9"/>
      <c r="U161"/>
      <c r="V161"/>
      <c r="W161"/>
      <c r="X161"/>
      <c r="Y161"/>
      <c r="Z161"/>
      <c r="AA161"/>
      <c r="AB161" s="81"/>
    </row>
    <row r="162" spans="10:28">
      <c r="J162"/>
      <c r="K162"/>
      <c r="L162"/>
      <c r="M162"/>
      <c r="N162"/>
      <c r="O162"/>
      <c r="P162"/>
      <c r="Q162"/>
      <c r="R162" s="81"/>
      <c r="S162" s="81"/>
      <c r="T162" s="9"/>
      <c r="U162"/>
      <c r="V162"/>
      <c r="W162"/>
      <c r="X162"/>
      <c r="Y162"/>
      <c r="Z162"/>
      <c r="AA162"/>
      <c r="AB162" s="81"/>
    </row>
    <row r="163" spans="10:28">
      <c r="J163"/>
      <c r="K163"/>
      <c r="L163"/>
      <c r="M163"/>
      <c r="N163"/>
      <c r="O163"/>
      <c r="P163"/>
      <c r="Q163"/>
      <c r="R163" s="81"/>
      <c r="S163" s="81"/>
      <c r="T163" s="9"/>
      <c r="U163"/>
      <c r="V163"/>
      <c r="W163"/>
      <c r="X163"/>
      <c r="Y163"/>
      <c r="Z163"/>
      <c r="AA163"/>
      <c r="AB163" s="81"/>
    </row>
    <row r="164" spans="10:28">
      <c r="J164"/>
      <c r="K164"/>
      <c r="L164"/>
      <c r="M164"/>
      <c r="N164"/>
      <c r="O164"/>
      <c r="P164"/>
      <c r="Q164"/>
      <c r="R164" s="81"/>
      <c r="S164" s="81"/>
      <c r="T164" s="9"/>
      <c r="U164"/>
      <c r="V164"/>
      <c r="W164"/>
      <c r="X164"/>
      <c r="Y164"/>
      <c r="Z164"/>
      <c r="AA164"/>
      <c r="AB164" s="81"/>
    </row>
    <row r="165" spans="10:28">
      <c r="J165"/>
      <c r="K165"/>
      <c r="L165"/>
      <c r="M165"/>
      <c r="N165"/>
      <c r="O165"/>
      <c r="P165"/>
      <c r="Q165"/>
      <c r="R165" s="81"/>
      <c r="S165" s="81"/>
      <c r="T165" s="9"/>
      <c r="U165"/>
      <c r="V165"/>
      <c r="W165"/>
      <c r="X165"/>
      <c r="Y165"/>
      <c r="Z165"/>
      <c r="AA165"/>
      <c r="AB165" s="81"/>
    </row>
    <row r="166" spans="10:28">
      <c r="J166"/>
      <c r="K166"/>
      <c r="L166"/>
      <c r="M166"/>
      <c r="N166"/>
      <c r="O166"/>
      <c r="P166"/>
      <c r="Q166"/>
      <c r="R166" s="81"/>
      <c r="S166" s="81"/>
      <c r="T166" s="9"/>
      <c r="U166"/>
      <c r="V166"/>
      <c r="W166"/>
      <c r="X166"/>
      <c r="Y166"/>
      <c r="Z166"/>
      <c r="AA166"/>
      <c r="AB166" s="81"/>
    </row>
    <row r="167" spans="10:28">
      <c r="J167"/>
      <c r="K167"/>
      <c r="L167"/>
      <c r="M167"/>
      <c r="N167"/>
      <c r="O167"/>
      <c r="P167"/>
      <c r="Q167"/>
      <c r="R167" s="81"/>
      <c r="S167" s="81"/>
      <c r="T167" s="9"/>
      <c r="U167"/>
      <c r="V167"/>
      <c r="W167"/>
      <c r="X167"/>
      <c r="Y167"/>
      <c r="Z167"/>
      <c r="AA167"/>
      <c r="AB167" s="81"/>
    </row>
    <row r="168" spans="10:28">
      <c r="J168"/>
      <c r="K168"/>
      <c r="L168"/>
      <c r="M168"/>
      <c r="N168"/>
      <c r="O168"/>
      <c r="P168"/>
      <c r="Q168"/>
      <c r="R168" s="81"/>
      <c r="S168" s="81"/>
      <c r="T168" s="9"/>
      <c r="U168"/>
      <c r="V168"/>
      <c r="W168"/>
      <c r="X168"/>
      <c r="Y168"/>
      <c r="Z168"/>
      <c r="AA168"/>
      <c r="AB168" s="81"/>
    </row>
    <row r="169" spans="10:28">
      <c r="J169"/>
      <c r="K169"/>
      <c r="L169"/>
      <c r="M169"/>
      <c r="N169"/>
      <c r="O169"/>
      <c r="P169"/>
      <c r="Q169"/>
      <c r="R169" s="81"/>
      <c r="S169" s="81"/>
      <c r="T169" s="9"/>
      <c r="U169"/>
      <c r="V169"/>
      <c r="W169"/>
      <c r="X169"/>
      <c r="Y169"/>
      <c r="Z169"/>
      <c r="AA169"/>
      <c r="AB169" s="81"/>
    </row>
    <row r="170" spans="10:28">
      <c r="J170"/>
      <c r="K170"/>
      <c r="L170"/>
      <c r="M170"/>
      <c r="N170"/>
      <c r="O170"/>
      <c r="P170"/>
      <c r="Q170"/>
      <c r="R170" s="81"/>
      <c r="S170" s="81"/>
      <c r="T170" s="9"/>
      <c r="U170"/>
      <c r="V170"/>
      <c r="W170"/>
      <c r="X170"/>
      <c r="Y170"/>
      <c r="Z170"/>
      <c r="AA170"/>
      <c r="AB170" s="81"/>
    </row>
    <row r="171" spans="10:28">
      <c r="J171"/>
      <c r="K171"/>
      <c r="L171"/>
      <c r="M171"/>
      <c r="N171"/>
      <c r="O171"/>
      <c r="P171"/>
      <c r="Q171"/>
      <c r="R171" s="81"/>
      <c r="S171" s="81"/>
      <c r="T171" s="9"/>
      <c r="U171"/>
      <c r="V171"/>
      <c r="W171"/>
      <c r="X171"/>
      <c r="Y171"/>
      <c r="Z171"/>
      <c r="AA171"/>
      <c r="AB171" s="81"/>
    </row>
    <row r="172" spans="10:28">
      <c r="J172"/>
      <c r="K172"/>
      <c r="L172"/>
      <c r="M172"/>
      <c r="N172"/>
      <c r="O172"/>
      <c r="P172"/>
      <c r="Q172"/>
      <c r="R172" s="81"/>
      <c r="S172" s="81"/>
      <c r="T172" s="9"/>
      <c r="U172"/>
      <c r="V172"/>
      <c r="W172"/>
      <c r="X172"/>
      <c r="Y172"/>
      <c r="Z172"/>
      <c r="AA172"/>
      <c r="AB172" s="81"/>
    </row>
    <row r="173" spans="10:28">
      <c r="J173"/>
      <c r="K173"/>
      <c r="L173"/>
      <c r="M173"/>
      <c r="N173"/>
      <c r="O173"/>
      <c r="P173"/>
      <c r="Q173"/>
      <c r="R173" s="81"/>
      <c r="S173" s="81"/>
      <c r="T173" s="9"/>
      <c r="U173"/>
      <c r="V173"/>
      <c r="W173"/>
      <c r="X173"/>
      <c r="Y173"/>
      <c r="Z173"/>
      <c r="AA173"/>
      <c r="AB173" s="81"/>
    </row>
    <row r="174" spans="10:28">
      <c r="J174"/>
      <c r="K174"/>
      <c r="L174"/>
      <c r="M174"/>
      <c r="N174"/>
      <c r="O174"/>
      <c r="P174"/>
      <c r="Q174"/>
      <c r="R174" s="81"/>
      <c r="S174" s="81"/>
      <c r="T174" s="9"/>
      <c r="U174"/>
      <c r="V174"/>
      <c r="W174"/>
      <c r="X174"/>
      <c r="Y174"/>
      <c r="Z174"/>
      <c r="AA174"/>
      <c r="AB174" s="81"/>
    </row>
    <row r="175" spans="10:28">
      <c r="J175"/>
      <c r="K175"/>
      <c r="L175"/>
      <c r="M175"/>
      <c r="N175"/>
      <c r="O175"/>
      <c r="P175"/>
      <c r="Q175"/>
      <c r="R175" s="81"/>
      <c r="S175" s="81"/>
      <c r="T175" s="9"/>
      <c r="U175"/>
      <c r="V175"/>
      <c r="W175"/>
      <c r="X175"/>
      <c r="Y175"/>
      <c r="Z175"/>
      <c r="AA175"/>
      <c r="AB175" s="81"/>
    </row>
    <row r="176" spans="10:28">
      <c r="J176"/>
      <c r="K176"/>
      <c r="L176"/>
      <c r="M176"/>
      <c r="N176"/>
      <c r="O176"/>
      <c r="P176"/>
      <c r="Q176"/>
      <c r="R176" s="81"/>
      <c r="S176" s="81"/>
      <c r="T176" s="9"/>
      <c r="U176"/>
      <c r="V176"/>
      <c r="W176"/>
      <c r="X176"/>
      <c r="Y176"/>
      <c r="Z176"/>
      <c r="AA176"/>
      <c r="AB176" s="81"/>
    </row>
    <row r="177" spans="10:28">
      <c r="J177"/>
      <c r="K177"/>
      <c r="L177"/>
      <c r="M177"/>
      <c r="N177"/>
      <c r="O177"/>
      <c r="P177"/>
      <c r="Q177"/>
      <c r="R177" s="81"/>
      <c r="S177" s="81"/>
      <c r="T177" s="9"/>
      <c r="U177"/>
      <c r="V177"/>
      <c r="W177"/>
      <c r="X177"/>
      <c r="Y177"/>
      <c r="Z177"/>
      <c r="AA177"/>
      <c r="AB177" s="81"/>
    </row>
    <row r="178" spans="10:28">
      <c r="J178"/>
      <c r="K178"/>
      <c r="L178"/>
      <c r="M178"/>
      <c r="N178"/>
      <c r="O178"/>
      <c r="P178"/>
      <c r="Q178"/>
      <c r="R178" s="81"/>
      <c r="S178" s="81"/>
      <c r="T178" s="9"/>
      <c r="U178"/>
      <c r="V178"/>
      <c r="W178"/>
      <c r="X178"/>
      <c r="Y178"/>
      <c r="Z178"/>
      <c r="AA178"/>
      <c r="AB178" s="81"/>
    </row>
    <row r="179" spans="10:28">
      <c r="J179"/>
      <c r="K179"/>
      <c r="L179"/>
      <c r="M179"/>
      <c r="N179"/>
      <c r="O179"/>
      <c r="P179"/>
      <c r="Q179"/>
      <c r="R179" s="81"/>
      <c r="S179" s="81"/>
      <c r="T179" s="9"/>
      <c r="U179"/>
      <c r="V179"/>
      <c r="W179"/>
      <c r="X179"/>
      <c r="Y179"/>
      <c r="Z179"/>
      <c r="AA179"/>
      <c r="AB179" s="81"/>
    </row>
    <row r="180" spans="10:28">
      <c r="J180"/>
      <c r="K180"/>
      <c r="L180"/>
      <c r="M180"/>
      <c r="N180"/>
      <c r="O180"/>
      <c r="P180"/>
      <c r="Q180"/>
      <c r="R180" s="81"/>
      <c r="S180" s="81"/>
      <c r="T180" s="9"/>
      <c r="U180"/>
      <c r="V180"/>
      <c r="W180"/>
      <c r="X180"/>
      <c r="Y180"/>
      <c r="Z180"/>
      <c r="AA180"/>
      <c r="AB180" s="81"/>
    </row>
    <row r="181" spans="10:28">
      <c r="J181"/>
      <c r="K181"/>
      <c r="L181"/>
      <c r="M181"/>
      <c r="N181"/>
      <c r="O181"/>
      <c r="P181"/>
      <c r="Q181"/>
      <c r="R181" s="81"/>
      <c r="S181" s="81"/>
      <c r="T181" s="9"/>
      <c r="U181"/>
      <c r="V181"/>
      <c r="W181"/>
      <c r="X181"/>
      <c r="Y181"/>
      <c r="Z181"/>
      <c r="AA181"/>
      <c r="AB181" s="81"/>
    </row>
    <row r="182" spans="10:28">
      <c r="J182"/>
      <c r="K182"/>
      <c r="L182"/>
      <c r="M182"/>
      <c r="N182"/>
      <c r="O182"/>
      <c r="P182"/>
      <c r="Q182"/>
      <c r="R182" s="81"/>
      <c r="S182" s="81"/>
      <c r="T182" s="9"/>
      <c r="U182"/>
      <c r="V182"/>
      <c r="W182"/>
      <c r="X182"/>
      <c r="Y182"/>
      <c r="Z182"/>
      <c r="AA182"/>
      <c r="AB182" s="81"/>
    </row>
    <row r="183" spans="10:28">
      <c r="J183"/>
      <c r="K183"/>
      <c r="L183"/>
      <c r="M183"/>
      <c r="N183"/>
      <c r="O183"/>
      <c r="P183"/>
      <c r="Q183"/>
      <c r="R183" s="81"/>
      <c r="S183" s="81"/>
      <c r="T183" s="9"/>
      <c r="U183"/>
      <c r="V183"/>
      <c r="W183"/>
      <c r="X183"/>
      <c r="Y183"/>
      <c r="Z183"/>
      <c r="AA183"/>
      <c r="AB183" s="81"/>
    </row>
    <row r="184" spans="10:28">
      <c r="J184"/>
      <c r="K184"/>
      <c r="L184"/>
      <c r="M184"/>
      <c r="N184"/>
      <c r="O184"/>
      <c r="P184"/>
      <c r="Q184"/>
      <c r="R184" s="81"/>
      <c r="S184" s="81"/>
      <c r="T184" s="9"/>
      <c r="U184"/>
      <c r="V184"/>
      <c r="W184"/>
      <c r="X184"/>
      <c r="Y184"/>
      <c r="Z184"/>
      <c r="AA184"/>
      <c r="AB184" s="81"/>
    </row>
    <row r="185" spans="10:28">
      <c r="J185"/>
      <c r="K185"/>
      <c r="L185"/>
      <c r="M185"/>
      <c r="N185"/>
      <c r="O185"/>
      <c r="P185"/>
      <c r="Q185"/>
      <c r="R185" s="81"/>
      <c r="S185" s="81"/>
      <c r="T185" s="9"/>
      <c r="U185"/>
      <c r="V185"/>
      <c r="W185"/>
      <c r="X185"/>
      <c r="Y185"/>
      <c r="Z185"/>
      <c r="AA185"/>
      <c r="AB185" s="81"/>
    </row>
    <row r="186" spans="10:28">
      <c r="J186"/>
      <c r="K186"/>
      <c r="L186"/>
      <c r="M186"/>
      <c r="N186"/>
      <c r="O186"/>
      <c r="P186"/>
      <c r="Q186"/>
      <c r="R186" s="81"/>
      <c r="S186" s="81"/>
      <c r="T186" s="9"/>
      <c r="U186"/>
      <c r="V186"/>
      <c r="W186"/>
      <c r="X186"/>
      <c r="Y186"/>
      <c r="Z186"/>
      <c r="AA186"/>
      <c r="AB186" s="81"/>
    </row>
    <row r="187" spans="10:28">
      <c r="J187"/>
      <c r="K187"/>
      <c r="L187"/>
      <c r="M187"/>
      <c r="N187"/>
      <c r="O187"/>
      <c r="P187"/>
      <c r="Q187"/>
      <c r="R187" s="81"/>
      <c r="S187" s="81"/>
      <c r="T187" s="9"/>
      <c r="U187"/>
      <c r="V187"/>
      <c r="W187"/>
      <c r="X187"/>
      <c r="Y187"/>
      <c r="Z187"/>
      <c r="AA187"/>
      <c r="AB187" s="81"/>
    </row>
    <row r="188" spans="10:28">
      <c r="J188"/>
      <c r="K188"/>
      <c r="L188"/>
      <c r="M188"/>
      <c r="N188"/>
      <c r="O188"/>
      <c r="P188"/>
      <c r="Q188"/>
      <c r="R188" s="81"/>
      <c r="S188" s="81"/>
      <c r="T188" s="9"/>
      <c r="U188"/>
      <c r="V188"/>
      <c r="W188"/>
      <c r="X188"/>
      <c r="Y188"/>
      <c r="Z188"/>
      <c r="AA188"/>
      <c r="AB188" s="81"/>
    </row>
    <row r="189" spans="10:28">
      <c r="J189"/>
      <c r="K189"/>
      <c r="L189"/>
      <c r="M189"/>
      <c r="N189"/>
      <c r="O189"/>
      <c r="P189"/>
      <c r="Q189"/>
      <c r="R189" s="81"/>
      <c r="S189" s="81"/>
      <c r="T189" s="9"/>
      <c r="U189"/>
      <c r="V189"/>
      <c r="W189"/>
      <c r="X189"/>
      <c r="Y189"/>
      <c r="Z189"/>
      <c r="AA189"/>
      <c r="AB189" s="81"/>
    </row>
    <row r="190" spans="10:28">
      <c r="J190"/>
      <c r="K190"/>
      <c r="L190"/>
      <c r="M190"/>
      <c r="N190"/>
      <c r="O190"/>
      <c r="P190"/>
      <c r="Q190"/>
      <c r="R190" s="81"/>
      <c r="S190" s="81"/>
      <c r="T190" s="9"/>
      <c r="U190"/>
      <c r="V190"/>
      <c r="W190"/>
      <c r="X190"/>
      <c r="Y190"/>
      <c r="Z190"/>
      <c r="AA190"/>
      <c r="AB190" s="81"/>
    </row>
    <row r="191" spans="10:28">
      <c r="J191"/>
      <c r="K191"/>
      <c r="L191"/>
      <c r="M191"/>
      <c r="N191"/>
      <c r="O191"/>
      <c r="P191"/>
      <c r="Q191"/>
      <c r="R191" s="81"/>
      <c r="S191" s="81"/>
      <c r="T191" s="9"/>
      <c r="U191"/>
      <c r="V191"/>
      <c r="W191"/>
      <c r="X191"/>
      <c r="Y191"/>
      <c r="Z191"/>
      <c r="AA191"/>
      <c r="AB191" s="81"/>
    </row>
    <row r="192" spans="10:28">
      <c r="J192"/>
      <c r="K192"/>
      <c r="L192"/>
      <c r="M192"/>
      <c r="N192"/>
      <c r="O192"/>
      <c r="P192"/>
      <c r="Q192"/>
      <c r="R192" s="81"/>
      <c r="S192" s="81"/>
      <c r="T192" s="9"/>
      <c r="U192"/>
      <c r="V192"/>
      <c r="W192"/>
      <c r="X192"/>
      <c r="Y192"/>
      <c r="Z192"/>
      <c r="AA192"/>
      <c r="AB192" s="81"/>
    </row>
    <row r="193" spans="10:28">
      <c r="J193"/>
      <c r="K193"/>
      <c r="L193"/>
      <c r="M193"/>
      <c r="N193"/>
      <c r="O193"/>
      <c r="P193"/>
      <c r="Q193"/>
      <c r="R193" s="81"/>
      <c r="S193" s="81"/>
      <c r="T193" s="9"/>
      <c r="U193"/>
      <c r="V193"/>
      <c r="W193"/>
      <c r="X193"/>
      <c r="Y193"/>
      <c r="Z193"/>
      <c r="AA193"/>
      <c r="AB193" s="81"/>
    </row>
    <row r="194" spans="10:28">
      <c r="J194"/>
      <c r="K194"/>
      <c r="L194"/>
      <c r="M194"/>
      <c r="N194"/>
      <c r="O194"/>
      <c r="P194"/>
      <c r="Q194"/>
      <c r="R194" s="81"/>
      <c r="S194" s="81"/>
      <c r="T194" s="9"/>
      <c r="U194"/>
      <c r="V194"/>
      <c r="W194"/>
      <c r="X194"/>
      <c r="Y194"/>
      <c r="Z194"/>
      <c r="AA194"/>
      <c r="AB194" s="81"/>
    </row>
    <row r="195" spans="10:28">
      <c r="J195"/>
      <c r="K195"/>
      <c r="L195"/>
      <c r="M195"/>
      <c r="N195"/>
      <c r="O195"/>
      <c r="P195"/>
      <c r="Q195"/>
      <c r="R195" s="81"/>
      <c r="S195" s="81"/>
      <c r="T195" s="9"/>
      <c r="U195"/>
      <c r="V195"/>
      <c r="W195"/>
      <c r="X195"/>
      <c r="Y195"/>
      <c r="Z195"/>
      <c r="AA195"/>
      <c r="AB195" s="81"/>
    </row>
    <row r="196" spans="10:28">
      <c r="J196"/>
      <c r="K196"/>
      <c r="L196"/>
      <c r="M196"/>
      <c r="N196"/>
      <c r="O196"/>
      <c r="P196"/>
      <c r="Q196"/>
      <c r="R196" s="81"/>
      <c r="S196" s="81"/>
      <c r="T196" s="9"/>
      <c r="U196"/>
      <c r="V196"/>
      <c r="W196"/>
      <c r="X196"/>
      <c r="Y196"/>
      <c r="Z196"/>
      <c r="AA196"/>
      <c r="AB196" s="81"/>
    </row>
    <row r="197" spans="10:28">
      <c r="J197"/>
      <c r="K197"/>
      <c r="L197"/>
      <c r="M197"/>
      <c r="N197"/>
      <c r="O197"/>
      <c r="P197"/>
      <c r="Q197"/>
      <c r="R197" s="81"/>
      <c r="S197" s="81"/>
      <c r="T197" s="9"/>
      <c r="U197"/>
      <c r="V197"/>
      <c r="W197"/>
      <c r="X197"/>
      <c r="Y197"/>
      <c r="Z197"/>
      <c r="AA197"/>
      <c r="AB197" s="81"/>
    </row>
    <row r="198" spans="10:28">
      <c r="J198"/>
      <c r="K198"/>
      <c r="L198"/>
      <c r="M198"/>
      <c r="N198"/>
      <c r="O198"/>
      <c r="P198"/>
      <c r="Q198"/>
      <c r="R198" s="81"/>
      <c r="S198" s="81"/>
      <c r="T198" s="9"/>
      <c r="U198"/>
      <c r="V198"/>
      <c r="W198"/>
      <c r="X198"/>
      <c r="Y198"/>
      <c r="Z198"/>
      <c r="AA198"/>
      <c r="AB198" s="81"/>
    </row>
    <row r="199" spans="10:28">
      <c r="J199"/>
      <c r="K199"/>
      <c r="L199"/>
      <c r="M199"/>
      <c r="N199"/>
      <c r="O199"/>
      <c r="P199"/>
      <c r="Q199"/>
      <c r="R199" s="81"/>
      <c r="S199" s="81"/>
      <c r="T199" s="9"/>
      <c r="U199"/>
      <c r="V199"/>
      <c r="W199"/>
      <c r="X199"/>
      <c r="Y199"/>
      <c r="Z199"/>
      <c r="AA199"/>
      <c r="AB199" s="81"/>
    </row>
    <row r="200" spans="10:28">
      <c r="J200"/>
      <c r="K200"/>
      <c r="L200"/>
      <c r="M200"/>
      <c r="N200"/>
      <c r="O200"/>
      <c r="P200"/>
      <c r="Q200"/>
      <c r="R200" s="81"/>
      <c r="S200" s="81"/>
      <c r="T200" s="9"/>
      <c r="U200"/>
      <c r="V200"/>
      <c r="W200"/>
      <c r="X200"/>
      <c r="Y200"/>
      <c r="Z200"/>
      <c r="AA200"/>
      <c r="AB200" s="81"/>
    </row>
    <row r="201" spans="10:28">
      <c r="J201"/>
      <c r="K201"/>
      <c r="L201"/>
      <c r="M201"/>
      <c r="N201"/>
      <c r="O201"/>
      <c r="P201"/>
      <c r="Q201"/>
      <c r="R201" s="81"/>
      <c r="S201" s="81"/>
      <c r="T201" s="9"/>
      <c r="U201"/>
      <c r="V201"/>
      <c r="W201"/>
      <c r="X201"/>
      <c r="Y201"/>
      <c r="Z201"/>
      <c r="AA201"/>
      <c r="AB201" s="81"/>
    </row>
    <row r="202" spans="10:28">
      <c r="J202"/>
      <c r="K202"/>
      <c r="L202"/>
      <c r="M202"/>
      <c r="N202"/>
      <c r="O202"/>
      <c r="P202"/>
      <c r="Q202"/>
      <c r="R202" s="81"/>
      <c r="S202" s="81"/>
      <c r="T202" s="9"/>
      <c r="U202"/>
      <c r="V202"/>
      <c r="W202"/>
      <c r="X202"/>
      <c r="Y202"/>
      <c r="Z202"/>
      <c r="AA202"/>
      <c r="AB202" s="81"/>
    </row>
    <row r="203" spans="10:28">
      <c r="J203"/>
      <c r="K203"/>
      <c r="L203"/>
      <c r="M203"/>
      <c r="N203"/>
      <c r="O203"/>
      <c r="P203"/>
      <c r="Q203"/>
      <c r="R203" s="81"/>
      <c r="S203" s="81"/>
      <c r="T203" s="9"/>
      <c r="U203"/>
      <c r="V203"/>
      <c r="W203"/>
      <c r="X203"/>
      <c r="Y203"/>
      <c r="Z203"/>
      <c r="AA203"/>
      <c r="AB203" s="81"/>
    </row>
    <row r="204" spans="10:28">
      <c r="J204"/>
      <c r="K204"/>
      <c r="L204"/>
      <c r="M204"/>
      <c r="N204"/>
      <c r="O204"/>
      <c r="P204"/>
      <c r="Q204"/>
      <c r="R204" s="81"/>
      <c r="S204" s="81"/>
      <c r="T204" s="9"/>
      <c r="U204"/>
      <c r="V204"/>
      <c r="W204"/>
      <c r="X204"/>
      <c r="Y204"/>
      <c r="Z204"/>
      <c r="AA204"/>
      <c r="AB204" s="81"/>
    </row>
    <row r="205" spans="10:28">
      <c r="J205"/>
      <c r="K205"/>
      <c r="L205"/>
      <c r="M205"/>
      <c r="N205"/>
      <c r="O205"/>
      <c r="P205"/>
      <c r="Q205"/>
      <c r="R205" s="81"/>
      <c r="S205" s="81"/>
      <c r="T205" s="9"/>
      <c r="U205"/>
      <c r="V205"/>
      <c r="W205"/>
      <c r="X205"/>
      <c r="Y205"/>
      <c r="Z205"/>
      <c r="AA205"/>
      <c r="AB205" s="81"/>
    </row>
    <row r="206" spans="10:28">
      <c r="J206"/>
      <c r="K206"/>
      <c r="L206"/>
      <c r="M206"/>
      <c r="N206"/>
      <c r="O206"/>
      <c r="P206"/>
      <c r="Q206"/>
      <c r="R206" s="81"/>
      <c r="S206" s="81"/>
      <c r="T206" s="9"/>
      <c r="U206"/>
      <c r="V206"/>
      <c r="W206"/>
      <c r="X206"/>
      <c r="Y206"/>
      <c r="Z206"/>
      <c r="AA206"/>
      <c r="AB206" s="81"/>
    </row>
    <row r="207" spans="10:28">
      <c r="J207"/>
      <c r="K207"/>
      <c r="L207"/>
      <c r="M207"/>
      <c r="N207"/>
      <c r="O207"/>
      <c r="P207"/>
      <c r="Q207"/>
      <c r="R207" s="81"/>
      <c r="S207" s="81"/>
      <c r="T207" s="9"/>
      <c r="U207"/>
      <c r="V207"/>
      <c r="W207"/>
      <c r="X207"/>
      <c r="Y207"/>
      <c r="Z207"/>
      <c r="AA207"/>
      <c r="AB207" s="81"/>
    </row>
    <row r="208" spans="10:28">
      <c r="J208"/>
      <c r="K208"/>
      <c r="L208"/>
      <c r="M208"/>
      <c r="N208"/>
      <c r="O208"/>
      <c r="P208"/>
      <c r="Q208"/>
      <c r="R208" s="81"/>
      <c r="S208" s="81"/>
      <c r="T208" s="9"/>
      <c r="U208"/>
      <c r="V208"/>
      <c r="W208"/>
      <c r="X208"/>
      <c r="Y208"/>
      <c r="Z208"/>
      <c r="AA208"/>
      <c r="AB208" s="81"/>
    </row>
    <row r="209" spans="10:28">
      <c r="J209"/>
      <c r="K209"/>
      <c r="L209"/>
      <c r="M209"/>
      <c r="N209"/>
      <c r="O209"/>
      <c r="P209"/>
      <c r="Q209"/>
      <c r="R209" s="81"/>
      <c r="S209" s="81"/>
      <c r="T209" s="9"/>
      <c r="U209"/>
      <c r="V209"/>
      <c r="W209"/>
      <c r="X209"/>
      <c r="Y209"/>
      <c r="Z209"/>
      <c r="AA209"/>
      <c r="AB209" s="81"/>
    </row>
    <row r="210" spans="10:28">
      <c r="J210"/>
      <c r="K210"/>
      <c r="L210"/>
      <c r="M210"/>
      <c r="N210"/>
      <c r="O210"/>
      <c r="P210"/>
      <c r="Q210"/>
      <c r="R210" s="81"/>
      <c r="S210" s="81"/>
      <c r="T210" s="9"/>
      <c r="U210"/>
      <c r="V210"/>
      <c r="W210"/>
      <c r="X210"/>
      <c r="Y210"/>
      <c r="Z210"/>
      <c r="AA210"/>
      <c r="AB210" s="81"/>
    </row>
    <row r="211" spans="10:28">
      <c r="J211"/>
      <c r="K211"/>
      <c r="L211"/>
      <c r="M211"/>
      <c r="N211"/>
      <c r="O211"/>
      <c r="P211"/>
      <c r="Q211"/>
      <c r="R211" s="81"/>
      <c r="S211" s="81"/>
      <c r="T211" s="9"/>
      <c r="U211"/>
      <c r="V211"/>
      <c r="W211"/>
      <c r="X211"/>
      <c r="Y211"/>
      <c r="Z211"/>
      <c r="AA211"/>
      <c r="AB211" s="81"/>
    </row>
    <row r="212" spans="10:28">
      <c r="J212"/>
      <c r="K212"/>
      <c r="L212"/>
      <c r="M212"/>
      <c r="N212"/>
      <c r="O212"/>
      <c r="P212"/>
      <c r="Q212"/>
      <c r="R212" s="81"/>
      <c r="S212" s="81"/>
      <c r="T212" s="9"/>
      <c r="U212"/>
      <c r="V212"/>
      <c r="W212"/>
      <c r="X212"/>
      <c r="Y212"/>
      <c r="Z212"/>
      <c r="AA212"/>
      <c r="AB212" s="81"/>
    </row>
    <row r="213" spans="10:28">
      <c r="J213"/>
      <c r="K213"/>
      <c r="L213"/>
      <c r="M213"/>
      <c r="N213"/>
      <c r="O213"/>
      <c r="P213"/>
      <c r="Q213"/>
      <c r="R213" s="81"/>
      <c r="S213" s="81"/>
      <c r="T213" s="9"/>
      <c r="U213"/>
      <c r="V213"/>
      <c r="W213"/>
      <c r="X213"/>
      <c r="Y213"/>
      <c r="Z213"/>
      <c r="AA213"/>
      <c r="AB213" s="81"/>
    </row>
    <row r="214" spans="10:28">
      <c r="J214"/>
      <c r="K214"/>
      <c r="L214"/>
      <c r="M214"/>
      <c r="N214"/>
      <c r="O214"/>
      <c r="P214"/>
      <c r="Q214"/>
      <c r="R214" s="81"/>
      <c r="S214" s="81"/>
      <c r="T214" s="9"/>
      <c r="U214"/>
      <c r="V214"/>
      <c r="W214"/>
      <c r="X214"/>
      <c r="Y214"/>
      <c r="Z214"/>
      <c r="AA214"/>
      <c r="AB214" s="81"/>
    </row>
    <row r="215" spans="10:28">
      <c r="J215"/>
      <c r="K215"/>
      <c r="L215"/>
      <c r="M215"/>
      <c r="N215"/>
      <c r="O215"/>
      <c r="P215"/>
      <c r="Q215"/>
      <c r="R215" s="81"/>
      <c r="S215" s="81"/>
      <c r="T215" s="9"/>
      <c r="U215"/>
      <c r="V215"/>
      <c r="W215"/>
      <c r="X215"/>
      <c r="Y215"/>
      <c r="Z215"/>
      <c r="AA215"/>
      <c r="AB215" s="81"/>
    </row>
    <row r="216" spans="10:28">
      <c r="J216"/>
      <c r="K216"/>
      <c r="L216"/>
      <c r="M216"/>
      <c r="N216"/>
      <c r="O216"/>
      <c r="P216"/>
      <c r="Q216"/>
      <c r="R216" s="81"/>
      <c r="S216" s="81"/>
      <c r="T216" s="9"/>
      <c r="U216"/>
      <c r="V216"/>
      <c r="W216"/>
      <c r="X216"/>
      <c r="Y216"/>
      <c r="Z216"/>
      <c r="AA216"/>
      <c r="AB216" s="81"/>
    </row>
    <row r="217" spans="10:28">
      <c r="J217"/>
      <c r="K217"/>
      <c r="L217"/>
      <c r="M217"/>
      <c r="N217"/>
      <c r="O217"/>
      <c r="P217"/>
      <c r="Q217"/>
      <c r="R217" s="81"/>
      <c r="S217" s="81"/>
      <c r="T217" s="9"/>
      <c r="U217"/>
      <c r="V217"/>
      <c r="W217"/>
      <c r="X217"/>
      <c r="Y217"/>
      <c r="Z217"/>
      <c r="AA217"/>
      <c r="AB217" s="81"/>
    </row>
    <row r="218" spans="10:28">
      <c r="J218"/>
      <c r="K218"/>
      <c r="L218"/>
      <c r="M218"/>
      <c r="N218"/>
      <c r="O218"/>
      <c r="P218"/>
      <c r="Q218"/>
      <c r="R218"/>
      <c r="S218"/>
      <c r="T218" s="9"/>
      <c r="U218"/>
      <c r="V218"/>
      <c r="W218"/>
      <c r="X218"/>
      <c r="Y218"/>
      <c r="Z218"/>
      <c r="AA218"/>
      <c r="AB218"/>
    </row>
    <row r="219" spans="10:28">
      <c r="J219"/>
      <c r="K219"/>
      <c r="L219"/>
      <c r="M219"/>
      <c r="N219"/>
      <c r="O219"/>
      <c r="P219"/>
      <c r="Q219"/>
      <c r="R219"/>
      <c r="S219"/>
      <c r="T219" s="9"/>
      <c r="U219"/>
      <c r="V219"/>
      <c r="W219"/>
      <c r="X219"/>
      <c r="Y219"/>
      <c r="Z219"/>
      <c r="AA219"/>
      <c r="AB219"/>
    </row>
    <row r="220" spans="10:28">
      <c r="J220"/>
      <c r="K220"/>
      <c r="L220"/>
      <c r="M220"/>
      <c r="N220"/>
      <c r="O220"/>
      <c r="P220"/>
      <c r="Q220"/>
      <c r="R220"/>
      <c r="S220"/>
      <c r="T220" s="9"/>
      <c r="U220"/>
      <c r="V220"/>
      <c r="W220"/>
      <c r="X220"/>
      <c r="Y220"/>
      <c r="Z220"/>
      <c r="AA220"/>
      <c r="AB220"/>
    </row>
    <row r="221" spans="10:28">
      <c r="J221"/>
      <c r="K221"/>
      <c r="L221"/>
      <c r="M221"/>
      <c r="N221"/>
      <c r="O221"/>
      <c r="P221"/>
      <c r="Q221"/>
      <c r="R221"/>
      <c r="S221"/>
      <c r="T221" s="9"/>
      <c r="U221"/>
      <c r="V221"/>
      <c r="W221"/>
      <c r="X221"/>
      <c r="Y221"/>
      <c r="Z221"/>
      <c r="AA221"/>
      <c r="AB221"/>
    </row>
    <row r="222" spans="10:28">
      <c r="J222"/>
      <c r="K222"/>
      <c r="L222"/>
      <c r="M222"/>
      <c r="N222"/>
      <c r="O222"/>
      <c r="P222"/>
      <c r="Q222"/>
      <c r="R222"/>
      <c r="S222"/>
      <c r="T222" s="9"/>
      <c r="U222"/>
      <c r="V222"/>
      <c r="W222"/>
      <c r="X222"/>
      <c r="Y222"/>
      <c r="Z222"/>
      <c r="AA222"/>
      <c r="AB222"/>
    </row>
    <row r="223" spans="10:28">
      <c r="J223"/>
      <c r="K223"/>
      <c r="L223"/>
      <c r="M223"/>
      <c r="N223"/>
      <c r="O223"/>
      <c r="P223"/>
      <c r="Q223"/>
      <c r="R223"/>
      <c r="S223"/>
      <c r="T223" s="9"/>
      <c r="U223"/>
      <c r="V223"/>
      <c r="W223"/>
      <c r="X223"/>
      <c r="Y223"/>
      <c r="Z223"/>
      <c r="AA223"/>
      <c r="AB223"/>
    </row>
    <row r="224" spans="10:28">
      <c r="J224"/>
      <c r="K224"/>
      <c r="L224"/>
      <c r="M224"/>
      <c r="N224"/>
      <c r="O224"/>
      <c r="P224"/>
      <c r="Q224"/>
      <c r="R224"/>
      <c r="S224"/>
      <c r="T224" s="9"/>
      <c r="U224"/>
      <c r="V224"/>
      <c r="W224"/>
      <c r="X224"/>
      <c r="Y224"/>
      <c r="Z224"/>
      <c r="AA224"/>
      <c r="AB224"/>
    </row>
    <row r="225" spans="20:20" customFormat="1">
      <c r="T225" s="9"/>
    </row>
    <row r="226" spans="20:20" customFormat="1">
      <c r="T226" s="9"/>
    </row>
    <row r="227" spans="20:20" customFormat="1">
      <c r="T227" s="9"/>
    </row>
    <row r="228" spans="20:20" customFormat="1">
      <c r="T228" s="9"/>
    </row>
    <row r="229" spans="20:20" customFormat="1">
      <c r="T229" s="9"/>
    </row>
    <row r="230" spans="20:20" customFormat="1">
      <c r="T230" s="9"/>
    </row>
    <row r="231" spans="20:20" customFormat="1">
      <c r="T231" s="9"/>
    </row>
    <row r="232" spans="20:20" customFormat="1">
      <c r="T232" s="9"/>
    </row>
    <row r="233" spans="20:20" customFormat="1">
      <c r="T233" s="9"/>
    </row>
    <row r="234" spans="20:20" customFormat="1">
      <c r="T234" s="9"/>
    </row>
    <row r="235" spans="20:20" customFormat="1">
      <c r="T235" s="9"/>
    </row>
    <row r="236" spans="20:20" customFormat="1">
      <c r="T236" s="9"/>
    </row>
    <row r="237" spans="20:20" customFormat="1">
      <c r="T237" s="9"/>
    </row>
    <row r="238" spans="20:20" customFormat="1">
      <c r="T238" s="9"/>
    </row>
    <row r="239" spans="20:20" customFormat="1">
      <c r="T239" s="9"/>
    </row>
    <row r="240" spans="20:20" customFormat="1">
      <c r="T240" s="9"/>
    </row>
    <row r="241" spans="20:20" customFormat="1">
      <c r="T241" s="9"/>
    </row>
    <row r="242" spans="20:20" customFormat="1">
      <c r="T242" s="9"/>
    </row>
    <row r="243" spans="20:20" customFormat="1">
      <c r="T243" s="9"/>
    </row>
    <row r="244" spans="20:20" customFormat="1">
      <c r="T244" s="9"/>
    </row>
    <row r="245" spans="20:20" customFormat="1">
      <c r="T245" s="9"/>
    </row>
    <row r="246" spans="20:20" customFormat="1">
      <c r="T246" s="9"/>
    </row>
    <row r="247" spans="20:20" customFormat="1">
      <c r="T247" s="9"/>
    </row>
    <row r="248" spans="20:20" customFormat="1">
      <c r="T248" s="9"/>
    </row>
    <row r="249" spans="20:20" customFormat="1">
      <c r="T249" s="9"/>
    </row>
    <row r="250" spans="20:20" customFormat="1">
      <c r="T250" s="9"/>
    </row>
    <row r="251" spans="20:20" customFormat="1">
      <c r="T251" s="9"/>
    </row>
    <row r="252" spans="20:20" customFormat="1">
      <c r="T252" s="9"/>
    </row>
    <row r="253" spans="20:20" customFormat="1">
      <c r="T253" s="9"/>
    </row>
    <row r="254" spans="20:20" customFormat="1">
      <c r="T254" s="9"/>
    </row>
    <row r="255" spans="20:20" customFormat="1">
      <c r="T255" s="9"/>
    </row>
    <row r="256" spans="20:20" customFormat="1">
      <c r="T256" s="9"/>
    </row>
    <row r="257" spans="20:20" customFormat="1">
      <c r="T257" s="9"/>
    </row>
    <row r="258" spans="20:20" customFormat="1">
      <c r="T258" s="9"/>
    </row>
    <row r="259" spans="20:20" customFormat="1">
      <c r="T259" s="9"/>
    </row>
    <row r="260" spans="20:20" customFormat="1">
      <c r="T260" s="9"/>
    </row>
    <row r="261" spans="20:20" customFormat="1">
      <c r="T261" s="9"/>
    </row>
    <row r="262" spans="20:20" customFormat="1">
      <c r="T262" s="9"/>
    </row>
    <row r="263" spans="20:20" customFormat="1">
      <c r="T263" s="9"/>
    </row>
    <row r="264" spans="20:20" customFormat="1">
      <c r="T264" s="9"/>
    </row>
    <row r="265" spans="20:20" customFormat="1">
      <c r="T265" s="9"/>
    </row>
    <row r="266" spans="20:20" customFormat="1">
      <c r="T266" s="9"/>
    </row>
    <row r="267" spans="20:20" customFormat="1">
      <c r="T267" s="9"/>
    </row>
    <row r="268" spans="20:20" customFormat="1">
      <c r="T268" s="9"/>
    </row>
    <row r="269" spans="20:20" customFormat="1">
      <c r="T269" s="9"/>
    </row>
    <row r="270" spans="20:20" customFormat="1">
      <c r="T270" s="9"/>
    </row>
    <row r="271" spans="20:20" customFormat="1">
      <c r="T271" s="9"/>
    </row>
    <row r="272" spans="20:20" customFormat="1">
      <c r="T272" s="9"/>
    </row>
    <row r="273" spans="20:20" customFormat="1">
      <c r="T273" s="9"/>
    </row>
    <row r="274" spans="20:20" customFormat="1">
      <c r="T274" s="9"/>
    </row>
    <row r="275" spans="20:20" customFormat="1">
      <c r="T275" s="9"/>
    </row>
    <row r="276" spans="20:20" customFormat="1">
      <c r="T276" s="9"/>
    </row>
    <row r="277" spans="20:20" customFormat="1">
      <c r="T277" s="9"/>
    </row>
    <row r="278" spans="20:20" customFormat="1">
      <c r="T278" s="9"/>
    </row>
    <row r="279" spans="20:20" customFormat="1">
      <c r="T279" s="9"/>
    </row>
    <row r="280" spans="20:20" customFormat="1">
      <c r="T280" s="9"/>
    </row>
    <row r="281" spans="20:20" customFormat="1">
      <c r="T281" s="9"/>
    </row>
    <row r="282" spans="20:20" customFormat="1">
      <c r="T282" s="9"/>
    </row>
    <row r="283" spans="20:20" customFormat="1">
      <c r="T283" s="9"/>
    </row>
    <row r="284" spans="20:20" customFormat="1">
      <c r="T284" s="9"/>
    </row>
    <row r="285" spans="20:20" customFormat="1">
      <c r="T285" s="9"/>
    </row>
    <row r="286" spans="20:20" customFormat="1">
      <c r="T286" s="9"/>
    </row>
    <row r="287" spans="20:20" customFormat="1">
      <c r="T287" s="9"/>
    </row>
    <row r="288" spans="20:20" customFormat="1">
      <c r="T288" s="9"/>
    </row>
    <row r="289" spans="20:20" customFormat="1">
      <c r="T289" s="9"/>
    </row>
    <row r="290" spans="20:20" customFormat="1">
      <c r="T290" s="9"/>
    </row>
    <row r="291" spans="20:20" customFormat="1">
      <c r="T291" s="9"/>
    </row>
    <row r="292" spans="20:20" customFormat="1">
      <c r="T292" s="9"/>
    </row>
    <row r="293" spans="20:20" customFormat="1">
      <c r="T293" s="9"/>
    </row>
    <row r="294" spans="20:20" customFormat="1">
      <c r="T294" s="9"/>
    </row>
    <row r="295" spans="20:20" customFormat="1">
      <c r="T295" s="9"/>
    </row>
    <row r="296" spans="20:20" customFormat="1">
      <c r="T296" s="9"/>
    </row>
    <row r="297" spans="20:20" customFormat="1">
      <c r="T297" s="9"/>
    </row>
    <row r="298" spans="20:20" customFormat="1">
      <c r="T298" s="9"/>
    </row>
    <row r="299" spans="20:20" customFormat="1">
      <c r="T299" s="9"/>
    </row>
    <row r="300" spans="20:20" customFormat="1">
      <c r="T300" s="9"/>
    </row>
    <row r="301" spans="20:20" customFormat="1">
      <c r="T301" s="9"/>
    </row>
    <row r="302" spans="20:20" customFormat="1">
      <c r="T302" s="9"/>
    </row>
    <row r="303" spans="20:20" customFormat="1">
      <c r="T303" s="9"/>
    </row>
    <row r="304" spans="20:20" customFormat="1">
      <c r="T304" s="9"/>
    </row>
    <row r="305" spans="20:20" customFormat="1">
      <c r="T305" s="9"/>
    </row>
    <row r="306" spans="20:20" customFormat="1">
      <c r="T306" s="9"/>
    </row>
    <row r="307" spans="20:20" customFormat="1">
      <c r="T307" s="9"/>
    </row>
    <row r="308" spans="20:20" customFormat="1">
      <c r="T308" s="9"/>
    </row>
    <row r="309" spans="20:20" customFormat="1">
      <c r="T309" s="9"/>
    </row>
    <row r="310" spans="20:20" customFormat="1">
      <c r="T310" s="9"/>
    </row>
    <row r="311" spans="20:20" customFormat="1">
      <c r="T311" s="9"/>
    </row>
    <row r="312" spans="20:20" customFormat="1">
      <c r="T312" s="9"/>
    </row>
    <row r="313" spans="20:20" customFormat="1">
      <c r="T313" s="9"/>
    </row>
    <row r="314" spans="20:20" customFormat="1">
      <c r="T314" s="9"/>
    </row>
    <row r="315" spans="20:20" customFormat="1">
      <c r="T315" s="9"/>
    </row>
    <row r="316" spans="20:20" customFormat="1">
      <c r="T316" s="9"/>
    </row>
    <row r="317" spans="20:20" customFormat="1">
      <c r="T317" s="9"/>
    </row>
    <row r="318" spans="20:20" customFormat="1">
      <c r="T318" s="9"/>
    </row>
    <row r="319" spans="20:20" customFormat="1">
      <c r="T319" s="9"/>
    </row>
    <row r="320" spans="20:20" customFormat="1">
      <c r="T320" s="9"/>
    </row>
    <row r="321" spans="10:28">
      <c r="J321"/>
      <c r="K321"/>
      <c r="L321"/>
      <c r="M321"/>
      <c r="N321"/>
      <c r="O321"/>
      <c r="P321"/>
      <c r="Q321"/>
      <c r="R321"/>
      <c r="S321"/>
      <c r="T321" s="9"/>
      <c r="U321"/>
      <c r="V321"/>
      <c r="W321"/>
      <c r="X321"/>
      <c r="Y321"/>
      <c r="Z321"/>
      <c r="AA321"/>
      <c r="AB321"/>
    </row>
    <row r="322" spans="10:28">
      <c r="J322"/>
      <c r="K322"/>
      <c r="L322"/>
      <c r="M322"/>
      <c r="N322"/>
      <c r="O322"/>
      <c r="P322"/>
      <c r="Q322"/>
      <c r="R322"/>
      <c r="S322"/>
      <c r="T322" s="9"/>
      <c r="U322"/>
      <c r="V322"/>
      <c r="W322"/>
      <c r="X322"/>
      <c r="Y322"/>
      <c r="Z322"/>
      <c r="AA322"/>
      <c r="AB322"/>
    </row>
    <row r="323" spans="10:28">
      <c r="J323"/>
      <c r="K323"/>
      <c r="L323"/>
      <c r="M323"/>
      <c r="N323"/>
      <c r="O323"/>
      <c r="P323"/>
      <c r="Q323"/>
      <c r="R323"/>
      <c r="S323"/>
      <c r="T323" s="9"/>
      <c r="U323"/>
      <c r="V323"/>
      <c r="W323"/>
      <c r="X323"/>
      <c r="Y323"/>
      <c r="Z323"/>
      <c r="AA323"/>
      <c r="AB323"/>
    </row>
    <row r="324" spans="10:28">
      <c r="J324"/>
      <c r="K324"/>
      <c r="L324"/>
      <c r="M324"/>
      <c r="N324"/>
      <c r="O324"/>
      <c r="P324"/>
      <c r="Q324"/>
      <c r="R324"/>
      <c r="S324"/>
      <c r="T324" s="9"/>
      <c r="U324"/>
      <c r="V324"/>
      <c r="W324"/>
      <c r="X324"/>
      <c r="Y324"/>
      <c r="Z324"/>
      <c r="AA324"/>
      <c r="AB324"/>
    </row>
    <row r="325" spans="10:28">
      <c r="J325"/>
      <c r="K325"/>
      <c r="L325"/>
      <c r="M325"/>
      <c r="N325"/>
      <c r="O325"/>
      <c r="P325"/>
      <c r="Q325"/>
      <c r="R325"/>
      <c r="S325"/>
      <c r="T325" s="9"/>
      <c r="U325"/>
      <c r="V325"/>
      <c r="W325"/>
      <c r="X325"/>
      <c r="Y325"/>
      <c r="Z325"/>
      <c r="AA325"/>
      <c r="AB325"/>
    </row>
    <row r="326" spans="10:28">
      <c r="J326"/>
      <c r="K326"/>
      <c r="L326"/>
      <c r="M326"/>
      <c r="N326"/>
      <c r="O326"/>
      <c r="P326"/>
      <c r="Q326"/>
      <c r="R326"/>
      <c r="S326"/>
      <c r="T326" s="9"/>
      <c r="U326"/>
      <c r="V326"/>
      <c r="W326"/>
      <c r="X326"/>
      <c r="Y326"/>
      <c r="Z326"/>
      <c r="AA326"/>
      <c r="AB326"/>
    </row>
    <row r="327" spans="10:28">
      <c r="O327"/>
      <c r="R327"/>
      <c r="S327"/>
      <c r="Y327"/>
      <c r="AB327"/>
    </row>
    <row r="328" spans="10:28">
      <c r="O328"/>
      <c r="R328"/>
      <c r="S328"/>
      <c r="Y328"/>
      <c r="AB328"/>
    </row>
    <row r="329" spans="10:28">
      <c r="O329"/>
      <c r="R329"/>
      <c r="S329"/>
      <c r="Y329"/>
      <c r="AB329"/>
    </row>
    <row r="330" spans="10:28">
      <c r="O330"/>
      <c r="R330"/>
      <c r="S330"/>
      <c r="Y330"/>
      <c r="AB330"/>
    </row>
    <row r="331" spans="10:28">
      <c r="O331"/>
      <c r="R331"/>
      <c r="S331"/>
      <c r="Y331"/>
      <c r="AB331"/>
    </row>
    <row r="332" spans="10:28">
      <c r="O332"/>
      <c r="R332"/>
      <c r="S332"/>
      <c r="Y332"/>
      <c r="AB332"/>
    </row>
    <row r="333" spans="10:28">
      <c r="O333"/>
      <c r="R333"/>
      <c r="S333"/>
      <c r="Y333"/>
      <c r="AB333"/>
    </row>
    <row r="334" spans="10:28">
      <c r="O334"/>
      <c r="R334"/>
      <c r="S334"/>
      <c r="Y334"/>
      <c r="AB334"/>
    </row>
    <row r="335" spans="10:28">
      <c r="O335"/>
      <c r="R335"/>
      <c r="S335"/>
      <c r="Y335"/>
      <c r="AB335"/>
    </row>
    <row r="336" spans="10:28">
      <c r="O336"/>
      <c r="R336"/>
      <c r="S336"/>
      <c r="Y336"/>
      <c r="AB336"/>
    </row>
    <row r="337" spans="15:28">
      <c r="O337"/>
      <c r="R337"/>
      <c r="S337"/>
      <c r="Y337"/>
      <c r="AB337"/>
    </row>
    <row r="338" spans="15:28">
      <c r="O338"/>
      <c r="R338"/>
      <c r="S338"/>
      <c r="Y338"/>
      <c r="AB338"/>
    </row>
    <row r="339" spans="15:28">
      <c r="O339"/>
      <c r="R339"/>
      <c r="S339"/>
      <c r="Y339"/>
      <c r="AB339"/>
    </row>
    <row r="340" spans="15:28">
      <c r="O340"/>
      <c r="R340"/>
      <c r="S340"/>
      <c r="Y340"/>
      <c r="AB340"/>
    </row>
    <row r="341" spans="15:28">
      <c r="O341"/>
      <c r="R341"/>
      <c r="S341"/>
      <c r="Y341"/>
      <c r="AB341"/>
    </row>
    <row r="342" spans="15:28">
      <c r="O342"/>
      <c r="R342"/>
      <c r="S342"/>
      <c r="Y342"/>
      <c r="AB342"/>
    </row>
    <row r="343" spans="15:28">
      <c r="O343"/>
      <c r="R343"/>
      <c r="S343"/>
      <c r="Y343"/>
      <c r="AB343"/>
    </row>
    <row r="344" spans="15:28">
      <c r="O344"/>
      <c r="R344"/>
      <c r="S344"/>
      <c r="Y344"/>
      <c r="AB344"/>
    </row>
    <row r="345" spans="15:28">
      <c r="O345"/>
      <c r="R345"/>
      <c r="S345"/>
      <c r="Y345"/>
      <c r="AB345"/>
    </row>
    <row r="346" spans="15:28">
      <c r="O346"/>
      <c r="R346"/>
      <c r="S346"/>
      <c r="Y346"/>
      <c r="AB346"/>
    </row>
    <row r="347" spans="15:28">
      <c r="O347"/>
      <c r="R347"/>
      <c r="S347"/>
      <c r="Y347"/>
      <c r="AB347"/>
    </row>
    <row r="348" spans="15:28">
      <c r="O348"/>
      <c r="R348"/>
      <c r="S348"/>
      <c r="Y348"/>
      <c r="AB348"/>
    </row>
    <row r="349" spans="15:28">
      <c r="O349"/>
      <c r="R349"/>
      <c r="S349"/>
      <c r="Y349"/>
      <c r="AB349"/>
    </row>
    <row r="350" spans="15:28">
      <c r="O350"/>
      <c r="R350"/>
      <c r="S350"/>
      <c r="Y350"/>
      <c r="AB350"/>
    </row>
    <row r="351" spans="15:28">
      <c r="O351"/>
      <c r="R351"/>
      <c r="S351"/>
      <c r="Y351"/>
      <c r="AB351"/>
    </row>
    <row r="352" spans="15:28">
      <c r="O352"/>
      <c r="R352"/>
      <c r="S352"/>
      <c r="Y352"/>
      <c r="AB352"/>
    </row>
    <row r="353" spans="15:28">
      <c r="O353"/>
      <c r="R353"/>
      <c r="S353"/>
      <c r="Y353"/>
      <c r="AB353"/>
    </row>
    <row r="354" spans="15:28">
      <c r="O354"/>
      <c r="R354"/>
      <c r="S354"/>
      <c r="Y354"/>
      <c r="AB354"/>
    </row>
    <row r="355" spans="15:28">
      <c r="O355"/>
      <c r="R355"/>
      <c r="S355"/>
      <c r="Y355"/>
      <c r="AB355"/>
    </row>
    <row r="356" spans="15:28">
      <c r="O356"/>
      <c r="R356"/>
      <c r="S356"/>
      <c r="Y356"/>
      <c r="AB356"/>
    </row>
    <row r="357" spans="15:28">
      <c r="O357"/>
      <c r="R357"/>
      <c r="S357"/>
      <c r="Y357"/>
      <c r="AB357"/>
    </row>
    <row r="358" spans="15:28">
      <c r="O358"/>
      <c r="R358"/>
      <c r="S358"/>
      <c r="Y358"/>
      <c r="AB358"/>
    </row>
    <row r="359" spans="15:28">
      <c r="O359"/>
      <c r="R359"/>
      <c r="S359"/>
      <c r="Y359"/>
      <c r="AB359"/>
    </row>
    <row r="360" spans="15:28">
      <c r="O360"/>
      <c r="R360"/>
      <c r="S360"/>
      <c r="Y360"/>
      <c r="AB360"/>
    </row>
    <row r="361" spans="15:28">
      <c r="O361"/>
      <c r="R361"/>
      <c r="S361"/>
      <c r="Y361"/>
      <c r="AB361"/>
    </row>
    <row r="362" spans="15:28">
      <c r="O362"/>
      <c r="R362"/>
      <c r="S362"/>
      <c r="Y362"/>
      <c r="AB362"/>
    </row>
    <row r="363" spans="15:28">
      <c r="O363"/>
      <c r="R363"/>
      <c r="S363"/>
      <c r="Y363"/>
      <c r="AB363"/>
    </row>
    <row r="364" spans="15:28">
      <c r="O364"/>
      <c r="R364"/>
      <c r="S364"/>
      <c r="Y364"/>
      <c r="AB364"/>
    </row>
    <row r="365" spans="15:28">
      <c r="O365"/>
      <c r="R365"/>
      <c r="S365"/>
      <c r="Y365"/>
      <c r="AB365"/>
    </row>
    <row r="366" spans="15:28">
      <c r="O366"/>
      <c r="R366"/>
      <c r="S366"/>
      <c r="Y366"/>
      <c r="AB366"/>
    </row>
    <row r="367" spans="15:28">
      <c r="O367"/>
      <c r="R367"/>
      <c r="S367"/>
      <c r="Y367"/>
      <c r="AB367"/>
    </row>
    <row r="368" spans="15:28">
      <c r="O368"/>
      <c r="R368"/>
      <c r="S368"/>
      <c r="Y368"/>
      <c r="AB368"/>
    </row>
    <row r="369" spans="15:28">
      <c r="O369"/>
      <c r="R369"/>
      <c r="S369"/>
      <c r="Y369"/>
      <c r="AB369"/>
    </row>
    <row r="370" spans="15:28">
      <c r="O370"/>
      <c r="R370"/>
      <c r="S370"/>
      <c r="Y370"/>
      <c r="AB370"/>
    </row>
    <row r="371" spans="15:28">
      <c r="O371"/>
      <c r="R371"/>
      <c r="S371"/>
      <c r="Y371"/>
      <c r="AB371"/>
    </row>
    <row r="372" spans="15:28">
      <c r="O372"/>
      <c r="R372"/>
      <c r="S372"/>
      <c r="Y372"/>
      <c r="AB372"/>
    </row>
    <row r="373" spans="15:28">
      <c r="O373"/>
      <c r="R373"/>
      <c r="S373"/>
      <c r="Y373"/>
      <c r="AB373"/>
    </row>
    <row r="374" spans="15:28">
      <c r="O374"/>
      <c r="R374"/>
      <c r="S374"/>
      <c r="Y374"/>
      <c r="AB374"/>
    </row>
    <row r="375" spans="15:28">
      <c r="O375"/>
      <c r="R375"/>
      <c r="S375"/>
      <c r="Y375"/>
      <c r="AB375"/>
    </row>
    <row r="376" spans="15:28">
      <c r="O376"/>
      <c r="R376"/>
      <c r="S376"/>
      <c r="Y376"/>
      <c r="AB376"/>
    </row>
    <row r="377" spans="15:28">
      <c r="O377"/>
      <c r="R377"/>
      <c r="S377"/>
      <c r="Y377"/>
      <c r="AB377"/>
    </row>
    <row r="378" spans="15:28">
      <c r="O378"/>
      <c r="R378"/>
      <c r="S378"/>
      <c r="Y378"/>
      <c r="AB378"/>
    </row>
    <row r="379" spans="15:28">
      <c r="O379"/>
      <c r="R379"/>
      <c r="S379"/>
      <c r="Y379"/>
      <c r="AB379"/>
    </row>
    <row r="380" spans="15:28">
      <c r="O380"/>
      <c r="R380"/>
      <c r="S380"/>
      <c r="Y380"/>
      <c r="AB380"/>
    </row>
    <row r="381" spans="15:28">
      <c r="O381"/>
      <c r="R381"/>
      <c r="S381"/>
      <c r="Y381"/>
      <c r="AB381"/>
    </row>
    <row r="382" spans="15:28">
      <c r="O382"/>
      <c r="R382"/>
      <c r="S382"/>
      <c r="Y382"/>
      <c r="AB382"/>
    </row>
    <row r="383" spans="15:28">
      <c r="O383"/>
      <c r="R383"/>
      <c r="S383"/>
      <c r="Y383"/>
      <c r="AB383"/>
    </row>
    <row r="384" spans="15:28">
      <c r="O384"/>
      <c r="R384"/>
      <c r="S384"/>
      <c r="Y384"/>
      <c r="AB384"/>
    </row>
    <row r="385" spans="15:28">
      <c r="O385"/>
      <c r="R385"/>
      <c r="S385"/>
      <c r="Y385"/>
      <c r="AB385"/>
    </row>
    <row r="386" spans="15:28">
      <c r="O386"/>
      <c r="R386"/>
      <c r="S386"/>
      <c r="Y386"/>
      <c r="AB386"/>
    </row>
    <row r="387" spans="15:28">
      <c r="O387"/>
      <c r="R387"/>
      <c r="S387"/>
      <c r="Y387"/>
      <c r="AB387"/>
    </row>
    <row r="388" spans="15:28">
      <c r="O388"/>
      <c r="R388"/>
      <c r="S388"/>
      <c r="Y388"/>
      <c r="AB388"/>
    </row>
    <row r="389" spans="15:28">
      <c r="O389"/>
      <c r="R389"/>
      <c r="S389"/>
      <c r="Y389"/>
      <c r="AB389"/>
    </row>
    <row r="390" spans="15:28">
      <c r="O390"/>
      <c r="R390"/>
      <c r="S390"/>
      <c r="Y390"/>
      <c r="AB390"/>
    </row>
    <row r="391" spans="15:28">
      <c r="O391"/>
      <c r="R391"/>
      <c r="S391"/>
      <c r="Y391"/>
      <c r="AB391"/>
    </row>
    <row r="392" spans="15:28">
      <c r="O392"/>
      <c r="R392"/>
      <c r="S392"/>
      <c r="Y392"/>
      <c r="AB392"/>
    </row>
    <row r="393" spans="15:28">
      <c r="O393"/>
      <c r="R393"/>
      <c r="S393"/>
      <c r="Y393"/>
      <c r="AB393"/>
    </row>
    <row r="394" spans="15:28">
      <c r="O394"/>
      <c r="R394"/>
      <c r="S394"/>
      <c r="Y394"/>
      <c r="AB394"/>
    </row>
    <row r="395" spans="15:28">
      <c r="O395"/>
      <c r="R395"/>
      <c r="S395"/>
      <c r="Y395"/>
      <c r="AB395"/>
    </row>
    <row r="396" spans="15:28">
      <c r="O396"/>
      <c r="R396"/>
      <c r="S396"/>
      <c r="Y396"/>
      <c r="AB396"/>
    </row>
    <row r="397" spans="15:28">
      <c r="O397"/>
      <c r="R397"/>
      <c r="S397"/>
      <c r="Y397"/>
      <c r="AB397"/>
    </row>
    <row r="398" spans="15:28">
      <c r="O398"/>
      <c r="R398"/>
      <c r="S398"/>
      <c r="Y398"/>
      <c r="AB398"/>
    </row>
    <row r="399" spans="15:28">
      <c r="O399"/>
      <c r="R399"/>
      <c r="S399"/>
      <c r="Y399"/>
      <c r="AB399"/>
    </row>
    <row r="400" spans="15:28">
      <c r="O400"/>
      <c r="R400"/>
      <c r="S400"/>
      <c r="Y400"/>
      <c r="AB400"/>
    </row>
    <row r="401" spans="15:28">
      <c r="O401"/>
      <c r="R401"/>
      <c r="S401"/>
      <c r="Y401"/>
      <c r="AB401"/>
    </row>
    <row r="402" spans="15:28">
      <c r="O402"/>
      <c r="R402"/>
      <c r="S402"/>
      <c r="Y402"/>
      <c r="AB402"/>
    </row>
    <row r="403" spans="15:28">
      <c r="O403"/>
      <c r="R403"/>
      <c r="S403"/>
      <c r="Y403"/>
      <c r="AB403"/>
    </row>
    <row r="404" spans="15:28">
      <c r="O404"/>
      <c r="R404"/>
      <c r="S404"/>
      <c r="Y404"/>
      <c r="AB404"/>
    </row>
    <row r="405" spans="15:28">
      <c r="O405"/>
      <c r="R405"/>
      <c r="S405"/>
      <c r="Y405"/>
      <c r="AB405"/>
    </row>
    <row r="406" spans="15:28">
      <c r="O406"/>
      <c r="R406"/>
      <c r="S406"/>
      <c r="Y406"/>
      <c r="AB406"/>
    </row>
    <row r="407" spans="15:28">
      <c r="O407"/>
      <c r="R407"/>
      <c r="S407"/>
      <c r="Y407"/>
      <c r="AB407"/>
    </row>
    <row r="408" spans="15:28">
      <c r="O408"/>
      <c r="R408"/>
      <c r="S408"/>
      <c r="Y408"/>
      <c r="AB408"/>
    </row>
    <row r="409" spans="15:28">
      <c r="O409"/>
      <c r="R409"/>
      <c r="S409"/>
      <c r="Y409"/>
      <c r="AB409"/>
    </row>
    <row r="410" spans="15:28">
      <c r="O410"/>
      <c r="R410"/>
      <c r="S410"/>
      <c r="Y410"/>
      <c r="AB410"/>
    </row>
    <row r="411" spans="15:28">
      <c r="O411"/>
      <c r="R411"/>
      <c r="S411"/>
      <c r="Y411"/>
      <c r="AB411"/>
    </row>
    <row r="412" spans="15:28">
      <c r="O412"/>
      <c r="R412"/>
      <c r="S412"/>
      <c r="Y412"/>
      <c r="AB412"/>
    </row>
    <row r="413" spans="15:28">
      <c r="O413"/>
      <c r="R413"/>
      <c r="S413"/>
      <c r="Y413"/>
      <c r="AB413"/>
    </row>
    <row r="414" spans="15:28">
      <c r="O414"/>
      <c r="R414"/>
      <c r="S414"/>
      <c r="Y414"/>
      <c r="AB414"/>
    </row>
    <row r="415" spans="15:28">
      <c r="O415"/>
      <c r="R415"/>
      <c r="S415"/>
      <c r="Y415"/>
      <c r="AB415"/>
    </row>
    <row r="416" spans="15:28">
      <c r="O416"/>
      <c r="R416"/>
      <c r="S416"/>
      <c r="Y416"/>
      <c r="AB416"/>
    </row>
    <row r="417" spans="15:28">
      <c r="O417"/>
      <c r="R417"/>
      <c r="S417"/>
      <c r="Y417"/>
      <c r="AB417"/>
    </row>
    <row r="418" spans="15:28">
      <c r="O418"/>
      <c r="R418"/>
      <c r="S418"/>
      <c r="Y418"/>
      <c r="AB418"/>
    </row>
    <row r="419" spans="15:28">
      <c r="O419"/>
      <c r="R419"/>
      <c r="S419"/>
      <c r="Y419"/>
      <c r="AB419"/>
    </row>
    <row r="420" spans="15:28">
      <c r="O420"/>
      <c r="R420"/>
      <c r="S420"/>
      <c r="Y420"/>
      <c r="AB420"/>
    </row>
    <row r="421" spans="15:28">
      <c r="O421"/>
      <c r="R421"/>
      <c r="S421"/>
      <c r="Y421"/>
      <c r="AB421"/>
    </row>
    <row r="422" spans="15:28">
      <c r="O422"/>
      <c r="R422"/>
      <c r="S422"/>
      <c r="Y422"/>
      <c r="AB422"/>
    </row>
    <row r="423" spans="15:28">
      <c r="O423"/>
      <c r="R423"/>
      <c r="S423"/>
      <c r="Y423"/>
      <c r="AB423"/>
    </row>
    <row r="424" spans="15:28">
      <c r="O424"/>
      <c r="R424"/>
      <c r="S424"/>
      <c r="Y424"/>
      <c r="AB424"/>
    </row>
    <row r="425" spans="15:28">
      <c r="O425"/>
      <c r="R425"/>
      <c r="S425"/>
      <c r="Y425"/>
      <c r="AB425"/>
    </row>
    <row r="426" spans="15:28">
      <c r="O426"/>
      <c r="R426"/>
      <c r="S426"/>
      <c r="Y426"/>
      <c r="AB426"/>
    </row>
    <row r="427" spans="15:28">
      <c r="O427"/>
      <c r="R427"/>
      <c r="S427"/>
      <c r="Y427"/>
      <c r="AB427"/>
    </row>
    <row r="428" spans="15:28">
      <c r="O428"/>
      <c r="R428"/>
      <c r="S428"/>
      <c r="Y428"/>
      <c r="AB428"/>
    </row>
    <row r="429" spans="15:28">
      <c r="O429"/>
      <c r="R429"/>
      <c r="S429"/>
      <c r="Y429"/>
      <c r="AB429"/>
    </row>
    <row r="430" spans="15:28">
      <c r="O430"/>
      <c r="R430"/>
      <c r="S430"/>
      <c r="Y430"/>
      <c r="AB430"/>
    </row>
    <row r="431" spans="15:28">
      <c r="O431"/>
      <c r="R431"/>
      <c r="S431"/>
      <c r="Y431"/>
      <c r="AB431"/>
    </row>
    <row r="432" spans="15:28">
      <c r="O432"/>
      <c r="R432"/>
      <c r="S432"/>
      <c r="Y432"/>
      <c r="AB432"/>
    </row>
    <row r="433" spans="15:28">
      <c r="O433"/>
      <c r="R433"/>
      <c r="S433"/>
      <c r="Y433"/>
      <c r="AB433"/>
    </row>
    <row r="434" spans="15:28">
      <c r="O434"/>
      <c r="R434"/>
      <c r="S434"/>
      <c r="Y434"/>
      <c r="AB434"/>
    </row>
    <row r="435" spans="15:28">
      <c r="O435"/>
      <c r="R435"/>
      <c r="S435"/>
      <c r="Y435"/>
      <c r="AB435"/>
    </row>
    <row r="436" spans="15:28">
      <c r="O436"/>
      <c r="R436"/>
      <c r="S436"/>
      <c r="Y436"/>
      <c r="AB436"/>
    </row>
    <row r="437" spans="15:28">
      <c r="O437"/>
      <c r="R437"/>
      <c r="S437"/>
      <c r="Y437"/>
      <c r="AB437"/>
    </row>
    <row r="438" spans="15:28">
      <c r="O438"/>
      <c r="R438"/>
      <c r="S438"/>
      <c r="Y438"/>
      <c r="AB438"/>
    </row>
    <row r="439" spans="15:28">
      <c r="O439"/>
      <c r="R439"/>
      <c r="S439"/>
      <c r="Y439"/>
      <c r="AB439"/>
    </row>
    <row r="440" spans="15:28">
      <c r="O440"/>
      <c r="R440"/>
      <c r="S440"/>
      <c r="Y440"/>
      <c r="AB440"/>
    </row>
    <row r="441" spans="15:28">
      <c r="O441"/>
      <c r="R441"/>
      <c r="S441"/>
      <c r="Y441"/>
      <c r="AB441"/>
    </row>
    <row r="442" spans="15:28">
      <c r="O442"/>
      <c r="R442"/>
      <c r="S442"/>
      <c r="Y442"/>
      <c r="AB442"/>
    </row>
    <row r="443" spans="15:28">
      <c r="O443"/>
      <c r="R443"/>
      <c r="S443"/>
      <c r="Y443"/>
      <c r="AB443"/>
    </row>
    <row r="444" spans="15:28">
      <c r="O444"/>
      <c r="R444"/>
      <c r="S444"/>
      <c r="Y444"/>
      <c r="AB444"/>
    </row>
    <row r="445" spans="15:28">
      <c r="O445"/>
      <c r="R445"/>
      <c r="S445"/>
      <c r="Y445"/>
      <c r="AB445"/>
    </row>
    <row r="446" spans="15:28">
      <c r="O446"/>
      <c r="R446"/>
      <c r="S446"/>
      <c r="Y446"/>
      <c r="AB446"/>
    </row>
    <row r="447" spans="15:28">
      <c r="O447"/>
      <c r="R447"/>
      <c r="S447"/>
      <c r="Y447"/>
      <c r="AB447"/>
    </row>
    <row r="448" spans="15:28">
      <c r="O448"/>
      <c r="R448"/>
      <c r="S448"/>
      <c r="Y448"/>
      <c r="AB448"/>
    </row>
    <row r="449" spans="15:28">
      <c r="O449"/>
      <c r="R449"/>
      <c r="S449"/>
      <c r="Y449"/>
      <c r="AB449"/>
    </row>
    <row r="450" spans="15:28">
      <c r="O450"/>
      <c r="R450"/>
      <c r="S450"/>
      <c r="Y450"/>
      <c r="AB450"/>
    </row>
    <row r="451" spans="15:28">
      <c r="O451"/>
      <c r="R451"/>
      <c r="S451"/>
      <c r="Y451"/>
      <c r="AB451"/>
    </row>
    <row r="452" spans="15:28">
      <c r="O452"/>
      <c r="R452"/>
      <c r="S452"/>
      <c r="Y452"/>
      <c r="AB452"/>
    </row>
    <row r="453" spans="15:28">
      <c r="O453"/>
      <c r="R453"/>
      <c r="S453"/>
      <c r="Y453"/>
      <c r="AB453"/>
    </row>
    <row r="454" spans="15:28">
      <c r="O454"/>
      <c r="R454"/>
      <c r="S454"/>
      <c r="Y454"/>
      <c r="AB454"/>
    </row>
    <row r="455" spans="15:28">
      <c r="O455"/>
      <c r="R455"/>
      <c r="S455"/>
      <c r="Y455"/>
      <c r="AB455"/>
    </row>
    <row r="456" spans="15:28">
      <c r="O456"/>
      <c r="R456"/>
      <c r="S456"/>
      <c r="Y456"/>
      <c r="AB456"/>
    </row>
    <row r="457" spans="15:28">
      <c r="O457"/>
      <c r="R457"/>
      <c r="S457"/>
      <c r="Y457"/>
      <c r="AB457"/>
    </row>
    <row r="458" spans="15:28">
      <c r="O458"/>
      <c r="R458"/>
      <c r="S458"/>
      <c r="Y458"/>
      <c r="AB458"/>
    </row>
    <row r="459" spans="15:28">
      <c r="O459"/>
      <c r="R459"/>
      <c r="S459"/>
      <c r="Y459"/>
      <c r="AB459"/>
    </row>
    <row r="460" spans="15:28">
      <c r="O460"/>
      <c r="R460"/>
      <c r="S460"/>
      <c r="Y460"/>
      <c r="AB460"/>
    </row>
    <row r="461" spans="15:28">
      <c r="O461"/>
      <c r="R461"/>
      <c r="S461"/>
      <c r="Y461"/>
      <c r="AB461"/>
    </row>
    <row r="462" spans="15:28">
      <c r="O462"/>
      <c r="R462"/>
      <c r="S462"/>
      <c r="Y462"/>
      <c r="AB462"/>
    </row>
    <row r="463" spans="15:28">
      <c r="O463"/>
      <c r="R463"/>
      <c r="S463"/>
      <c r="Y463"/>
      <c r="AB463"/>
    </row>
    <row r="464" spans="15:28">
      <c r="O464"/>
      <c r="R464"/>
      <c r="S464"/>
      <c r="Y464"/>
      <c r="AB464"/>
    </row>
    <row r="465" spans="15:28">
      <c r="O465"/>
      <c r="R465"/>
      <c r="S465"/>
      <c r="Y465"/>
      <c r="AB465"/>
    </row>
    <row r="466" spans="15:28">
      <c r="O466"/>
      <c r="R466"/>
      <c r="S466"/>
      <c r="Y466"/>
      <c r="AB466"/>
    </row>
    <row r="467" spans="15:28">
      <c r="O467"/>
      <c r="R467"/>
      <c r="S467"/>
      <c r="Y467"/>
      <c r="AB467"/>
    </row>
    <row r="468" spans="15:28">
      <c r="O468"/>
      <c r="R468"/>
      <c r="S468"/>
      <c r="Y468"/>
      <c r="AB468"/>
    </row>
    <row r="469" spans="15:28">
      <c r="O469"/>
      <c r="R469"/>
      <c r="S469"/>
      <c r="Y469"/>
      <c r="AB469"/>
    </row>
    <row r="470" spans="15:28">
      <c r="O470"/>
      <c r="R470"/>
      <c r="S470"/>
      <c r="Y470"/>
      <c r="AB470"/>
    </row>
    <row r="471" spans="15:28">
      <c r="O471"/>
      <c r="R471"/>
      <c r="S471"/>
      <c r="Y471"/>
      <c r="AB471"/>
    </row>
    <row r="472" spans="15:28">
      <c r="O472"/>
      <c r="R472"/>
      <c r="S472"/>
      <c r="Y472"/>
      <c r="AB472"/>
    </row>
    <row r="473" spans="15:28">
      <c r="O473"/>
      <c r="R473"/>
      <c r="S473"/>
      <c r="Y473"/>
      <c r="AB473"/>
    </row>
    <row r="474" spans="15:28">
      <c r="O474"/>
      <c r="R474"/>
      <c r="S474"/>
      <c r="Y474"/>
      <c r="AB474"/>
    </row>
    <row r="475" spans="15:28">
      <c r="O475"/>
      <c r="R475"/>
      <c r="S475"/>
      <c r="Y475"/>
      <c r="AB475"/>
    </row>
    <row r="476" spans="15:28">
      <c r="O476"/>
      <c r="R476"/>
      <c r="S476"/>
      <c r="Y476"/>
      <c r="AB476"/>
    </row>
    <row r="477" spans="15:28">
      <c r="O477"/>
      <c r="R477"/>
      <c r="S477"/>
      <c r="Y477"/>
      <c r="AB477"/>
    </row>
    <row r="478" spans="15:28">
      <c r="O478"/>
      <c r="R478"/>
      <c r="S478"/>
      <c r="Y478"/>
      <c r="AB478"/>
    </row>
    <row r="479" spans="15:28">
      <c r="O479"/>
      <c r="R479"/>
      <c r="S479"/>
      <c r="Y479"/>
      <c r="AB479"/>
    </row>
    <row r="480" spans="15:28">
      <c r="O480"/>
      <c r="R480"/>
      <c r="S480"/>
      <c r="Y480"/>
      <c r="AB480"/>
    </row>
    <row r="481" spans="15:28">
      <c r="O481"/>
      <c r="R481"/>
      <c r="S481"/>
      <c r="Y481"/>
      <c r="AB481"/>
    </row>
    <row r="482" spans="15:28">
      <c r="O482"/>
      <c r="R482"/>
      <c r="S482"/>
      <c r="Y482"/>
      <c r="AB482"/>
    </row>
    <row r="483" spans="15:28">
      <c r="O483"/>
      <c r="R483"/>
      <c r="S483"/>
      <c r="Y483"/>
      <c r="AB483"/>
    </row>
    <row r="484" spans="15:28">
      <c r="O484"/>
      <c r="R484"/>
      <c r="S484"/>
      <c r="Y484"/>
      <c r="AB484"/>
    </row>
    <row r="485" spans="15:28">
      <c r="O485"/>
      <c r="R485"/>
      <c r="S485"/>
      <c r="Y485"/>
      <c r="AB485"/>
    </row>
    <row r="486" spans="15:28">
      <c r="O486"/>
      <c r="R486"/>
      <c r="S486"/>
      <c r="Y486"/>
      <c r="AB486"/>
    </row>
    <row r="487" spans="15:28">
      <c r="O487"/>
      <c r="R487"/>
      <c r="S487"/>
      <c r="Y487"/>
      <c r="AB487"/>
    </row>
    <row r="488" spans="15:28">
      <c r="O488"/>
      <c r="R488"/>
      <c r="S488"/>
      <c r="Y488"/>
      <c r="AB488"/>
    </row>
    <row r="489" spans="15:28">
      <c r="O489"/>
      <c r="R489"/>
      <c r="S489"/>
      <c r="Y489"/>
      <c r="AB489"/>
    </row>
    <row r="490" spans="15:28">
      <c r="O490"/>
      <c r="R490"/>
      <c r="S490"/>
      <c r="Y490"/>
      <c r="AB490"/>
    </row>
    <row r="491" spans="15:28">
      <c r="O491"/>
      <c r="R491"/>
      <c r="S491"/>
      <c r="Y491"/>
      <c r="AB491"/>
    </row>
    <row r="492" spans="15:28">
      <c r="O492"/>
      <c r="R492"/>
      <c r="S492"/>
      <c r="Y492"/>
      <c r="AB492"/>
    </row>
    <row r="493" spans="15:28">
      <c r="O493"/>
      <c r="R493"/>
      <c r="S493"/>
      <c r="Y493"/>
      <c r="AB493"/>
    </row>
    <row r="494" spans="15:28">
      <c r="O494"/>
      <c r="R494"/>
      <c r="S494"/>
      <c r="Y494"/>
      <c r="AB494"/>
    </row>
    <row r="495" spans="15:28">
      <c r="O495"/>
      <c r="R495"/>
      <c r="S495"/>
      <c r="Y495"/>
      <c r="AB495"/>
    </row>
    <row r="496" spans="15:28">
      <c r="O496"/>
      <c r="R496"/>
      <c r="S496"/>
      <c r="Y496"/>
      <c r="AB496"/>
    </row>
    <row r="497" spans="15:28">
      <c r="O497"/>
      <c r="R497"/>
      <c r="S497"/>
      <c r="Y497"/>
      <c r="AB497"/>
    </row>
    <row r="498" spans="15:28">
      <c r="O498"/>
      <c r="R498"/>
      <c r="S498"/>
      <c r="Y498"/>
      <c r="AB498"/>
    </row>
    <row r="499" spans="15:28">
      <c r="O499"/>
      <c r="R499"/>
      <c r="S499"/>
      <c r="Y499"/>
      <c r="AB499"/>
    </row>
    <row r="500" spans="15:28">
      <c r="O500"/>
      <c r="R500"/>
      <c r="S500"/>
      <c r="Y500"/>
      <c r="AB500"/>
    </row>
    <row r="501" spans="15:28">
      <c r="O501"/>
      <c r="R501"/>
      <c r="S501"/>
      <c r="Y501"/>
      <c r="AB501"/>
    </row>
    <row r="502" spans="15:28">
      <c r="O502"/>
      <c r="R502"/>
      <c r="S502"/>
      <c r="Y502"/>
      <c r="AB502"/>
    </row>
    <row r="503" spans="15:28">
      <c r="O503"/>
      <c r="R503"/>
      <c r="S503"/>
      <c r="Y503"/>
      <c r="AB503"/>
    </row>
    <row r="504" spans="15:28">
      <c r="O504"/>
      <c r="R504"/>
      <c r="S504"/>
      <c r="Y504"/>
      <c r="AB504"/>
    </row>
    <row r="505" spans="15:28">
      <c r="O505"/>
      <c r="R505"/>
      <c r="S505"/>
      <c r="Y505"/>
      <c r="AB505"/>
    </row>
    <row r="506" spans="15:28">
      <c r="O506"/>
      <c r="R506"/>
      <c r="S506"/>
      <c r="Y506"/>
      <c r="AB506"/>
    </row>
    <row r="507" spans="15:28">
      <c r="O507"/>
      <c r="R507"/>
      <c r="S507"/>
      <c r="Y507"/>
      <c r="AB507"/>
    </row>
    <row r="508" spans="15:28">
      <c r="O508"/>
      <c r="R508"/>
      <c r="S508"/>
      <c r="Y508"/>
      <c r="AB508"/>
    </row>
    <row r="509" spans="15:28">
      <c r="O509"/>
      <c r="R509"/>
      <c r="S509"/>
      <c r="Y509"/>
      <c r="AB509"/>
    </row>
    <row r="510" spans="15:28">
      <c r="O510"/>
      <c r="R510"/>
      <c r="S510"/>
      <c r="Y510"/>
      <c r="AB510"/>
    </row>
    <row r="511" spans="15:28">
      <c r="O511"/>
      <c r="R511"/>
      <c r="S511"/>
      <c r="Y511"/>
      <c r="AB511"/>
    </row>
    <row r="512" spans="15:28">
      <c r="O512"/>
      <c r="R512"/>
      <c r="S512"/>
      <c r="Y512"/>
      <c r="AB512"/>
    </row>
    <row r="513" spans="15:28">
      <c r="O513"/>
      <c r="R513"/>
      <c r="S513"/>
      <c r="Y513"/>
      <c r="AB513"/>
    </row>
    <row r="514" spans="15:28">
      <c r="O514"/>
      <c r="R514"/>
      <c r="S514"/>
      <c r="Y514"/>
      <c r="AB514"/>
    </row>
    <row r="515" spans="15:28">
      <c r="O515"/>
      <c r="R515"/>
      <c r="S515"/>
      <c r="Y515"/>
      <c r="AB515"/>
    </row>
    <row r="516" spans="15:28">
      <c r="O516"/>
      <c r="R516"/>
      <c r="S516"/>
      <c r="Y516"/>
      <c r="AB516"/>
    </row>
    <row r="517" spans="15:28">
      <c r="O517"/>
      <c r="R517"/>
      <c r="S517"/>
      <c r="Y517"/>
      <c r="AB517"/>
    </row>
    <row r="518" spans="15:28">
      <c r="O518"/>
      <c r="R518"/>
      <c r="S518"/>
      <c r="Y518"/>
      <c r="AB518"/>
    </row>
    <row r="519" spans="15:28">
      <c r="O519"/>
      <c r="R519"/>
      <c r="S519"/>
      <c r="Y519"/>
      <c r="AB519"/>
    </row>
    <row r="520" spans="15:28">
      <c r="O520"/>
      <c r="R520"/>
      <c r="S520"/>
      <c r="Y520"/>
      <c r="AB520"/>
    </row>
    <row r="521" spans="15:28">
      <c r="O521"/>
      <c r="R521"/>
      <c r="S521"/>
      <c r="Y521"/>
      <c r="AB521"/>
    </row>
    <row r="522" spans="15:28">
      <c r="O522"/>
      <c r="R522"/>
      <c r="S522"/>
      <c r="Y522"/>
      <c r="AB522"/>
    </row>
    <row r="523" spans="15:28">
      <c r="O523"/>
      <c r="R523"/>
      <c r="S523"/>
      <c r="Y523"/>
      <c r="AB523"/>
    </row>
    <row r="524" spans="15:28">
      <c r="O524"/>
      <c r="R524"/>
      <c r="S524"/>
      <c r="Y524"/>
      <c r="AB524"/>
    </row>
    <row r="525" spans="15:28">
      <c r="O525"/>
      <c r="R525"/>
      <c r="S525"/>
      <c r="Y525"/>
      <c r="AB525"/>
    </row>
    <row r="526" spans="15:28">
      <c r="O526"/>
      <c r="R526"/>
      <c r="S526"/>
      <c r="Y526"/>
      <c r="AB526"/>
    </row>
    <row r="527" spans="15:28">
      <c r="O527"/>
      <c r="R527"/>
      <c r="S527"/>
      <c r="Y527"/>
      <c r="AB527"/>
    </row>
    <row r="528" spans="15:28">
      <c r="O528"/>
      <c r="R528"/>
      <c r="S528"/>
      <c r="Y528"/>
      <c r="AB528"/>
    </row>
    <row r="529" spans="15:28">
      <c r="O529"/>
      <c r="R529"/>
      <c r="S529"/>
      <c r="Y529"/>
      <c r="AB529"/>
    </row>
    <row r="530" spans="15:28">
      <c r="O530"/>
      <c r="R530"/>
      <c r="S530"/>
      <c r="Y530"/>
      <c r="AB530"/>
    </row>
    <row r="531" spans="15:28">
      <c r="O531"/>
      <c r="R531"/>
      <c r="S531"/>
      <c r="Y531"/>
      <c r="AB531"/>
    </row>
    <row r="532" spans="15:28">
      <c r="O532"/>
      <c r="R532"/>
      <c r="S532"/>
      <c r="Y532"/>
      <c r="AB532"/>
    </row>
    <row r="533" spans="15:28">
      <c r="O533"/>
      <c r="R533"/>
      <c r="S533"/>
      <c r="Y533"/>
      <c r="AB533"/>
    </row>
    <row r="534" spans="15:28">
      <c r="O534"/>
      <c r="R534"/>
      <c r="S534"/>
      <c r="Y534"/>
      <c r="AB534"/>
    </row>
    <row r="535" spans="15:28">
      <c r="O535"/>
      <c r="R535"/>
      <c r="S535"/>
      <c r="Y535"/>
      <c r="AB535"/>
    </row>
    <row r="536" spans="15:28">
      <c r="O536"/>
      <c r="R536"/>
      <c r="S536"/>
      <c r="Y536"/>
      <c r="AB536"/>
    </row>
    <row r="537" spans="15:28">
      <c r="O537"/>
      <c r="R537"/>
      <c r="S537"/>
      <c r="Y537"/>
      <c r="AB537"/>
    </row>
    <row r="538" spans="15:28">
      <c r="O538"/>
      <c r="R538"/>
      <c r="S538"/>
      <c r="Y538"/>
      <c r="AB538"/>
    </row>
    <row r="539" spans="15:28">
      <c r="O539"/>
      <c r="R539"/>
      <c r="S539"/>
      <c r="Y539"/>
      <c r="AB539"/>
    </row>
    <row r="540" spans="15:28">
      <c r="O540"/>
      <c r="R540"/>
      <c r="S540"/>
      <c r="Y540"/>
      <c r="AB540"/>
    </row>
    <row r="541" spans="15:28">
      <c r="O541"/>
      <c r="R541"/>
      <c r="S541"/>
      <c r="Y541"/>
      <c r="AB541"/>
    </row>
    <row r="542" spans="15:28">
      <c r="O542"/>
      <c r="R542"/>
      <c r="S542"/>
      <c r="Y542"/>
      <c r="AB542"/>
    </row>
    <row r="543" spans="15:28">
      <c r="O543"/>
      <c r="R543"/>
      <c r="S543"/>
      <c r="Y543"/>
      <c r="AB543"/>
    </row>
    <row r="544" spans="15:28">
      <c r="O544"/>
      <c r="R544"/>
      <c r="S544"/>
      <c r="Y544"/>
      <c r="AB544"/>
    </row>
    <row r="545" spans="15:28">
      <c r="O545"/>
      <c r="R545"/>
      <c r="S545"/>
      <c r="Y545"/>
      <c r="AB545"/>
    </row>
    <row r="546" spans="15:28">
      <c r="O546"/>
      <c r="R546"/>
      <c r="S546"/>
      <c r="Y546"/>
      <c r="AB546"/>
    </row>
    <row r="547" spans="15:28">
      <c r="O547"/>
      <c r="R547"/>
      <c r="S547"/>
      <c r="Y547"/>
      <c r="AB547"/>
    </row>
    <row r="548" spans="15:28">
      <c r="O548"/>
      <c r="R548"/>
      <c r="S548"/>
      <c r="Y548"/>
      <c r="AB548"/>
    </row>
    <row r="549" spans="15:28">
      <c r="O549"/>
      <c r="R549"/>
      <c r="S549"/>
      <c r="Y549"/>
      <c r="AB549"/>
    </row>
    <row r="550" spans="15:28">
      <c r="O550"/>
      <c r="R550"/>
      <c r="S550"/>
      <c r="Y550"/>
      <c r="AB550"/>
    </row>
    <row r="551" spans="15:28">
      <c r="O551"/>
      <c r="R551"/>
      <c r="S551"/>
      <c r="Y551"/>
      <c r="AB551"/>
    </row>
    <row r="552" spans="15:28">
      <c r="O552"/>
      <c r="R552"/>
      <c r="S552"/>
      <c r="Y552"/>
      <c r="AB552"/>
    </row>
    <row r="553" spans="15:28">
      <c r="O553"/>
      <c r="R553"/>
      <c r="S553"/>
      <c r="Y553"/>
      <c r="AB553"/>
    </row>
    <row r="554" spans="15:28">
      <c r="O554"/>
      <c r="R554"/>
      <c r="S554"/>
      <c r="Y554"/>
      <c r="AB554"/>
    </row>
    <row r="555" spans="15:28">
      <c r="O555"/>
      <c r="R555"/>
      <c r="S555"/>
      <c r="Y555"/>
      <c r="AB555"/>
    </row>
    <row r="556" spans="15:28">
      <c r="O556"/>
      <c r="R556"/>
      <c r="S556"/>
      <c r="Y556"/>
      <c r="AB556"/>
    </row>
    <row r="557" spans="15:28">
      <c r="O557"/>
      <c r="R557"/>
      <c r="S557"/>
      <c r="Y557"/>
      <c r="AB557"/>
    </row>
    <row r="558" spans="15:28">
      <c r="O558"/>
      <c r="R558"/>
      <c r="S558"/>
      <c r="Y558"/>
      <c r="AB558"/>
    </row>
    <row r="559" spans="15:28">
      <c r="O559"/>
      <c r="R559"/>
      <c r="S559"/>
      <c r="Y559"/>
      <c r="AB559"/>
    </row>
    <row r="560" spans="15:28">
      <c r="O560"/>
      <c r="R560"/>
      <c r="S560"/>
      <c r="Y560"/>
      <c r="AB560"/>
    </row>
    <row r="561" spans="15:28">
      <c r="O561"/>
      <c r="R561"/>
      <c r="S561"/>
      <c r="Y561"/>
      <c r="AB561"/>
    </row>
    <row r="562" spans="15:28">
      <c r="O562"/>
      <c r="R562"/>
      <c r="S562"/>
      <c r="Y562"/>
      <c r="AB562"/>
    </row>
    <row r="563" spans="15:28">
      <c r="O563"/>
      <c r="R563"/>
      <c r="S563"/>
      <c r="Y563"/>
      <c r="AB563"/>
    </row>
    <row r="564" spans="15:28">
      <c r="O564"/>
      <c r="R564"/>
      <c r="S564"/>
      <c r="Y564"/>
      <c r="AB564"/>
    </row>
    <row r="565" spans="15:28">
      <c r="O565"/>
      <c r="R565"/>
      <c r="S565"/>
      <c r="Y565"/>
      <c r="AB565"/>
    </row>
    <row r="566" spans="15:28">
      <c r="O566"/>
      <c r="R566"/>
      <c r="S566"/>
      <c r="Y566"/>
      <c r="AB566"/>
    </row>
    <row r="567" spans="15:28">
      <c r="O567"/>
      <c r="R567"/>
      <c r="S567"/>
      <c r="Y567"/>
      <c r="AB567"/>
    </row>
    <row r="568" spans="15:28">
      <c r="O568"/>
      <c r="R568"/>
      <c r="S568"/>
      <c r="Y568"/>
      <c r="AB568"/>
    </row>
    <row r="569" spans="15:28">
      <c r="O569"/>
      <c r="R569"/>
      <c r="S569"/>
      <c r="Y569"/>
      <c r="AB569"/>
    </row>
    <row r="570" spans="15:28">
      <c r="O570"/>
      <c r="R570"/>
      <c r="S570"/>
      <c r="Y570"/>
      <c r="AB570"/>
    </row>
    <row r="571" spans="15:28">
      <c r="O571"/>
      <c r="R571"/>
      <c r="S571"/>
      <c r="Y571"/>
      <c r="AB571"/>
    </row>
    <row r="572" spans="15:28">
      <c r="O572"/>
      <c r="R572"/>
      <c r="S572"/>
      <c r="Y572"/>
      <c r="AB572"/>
    </row>
    <row r="573" spans="15:28">
      <c r="O573"/>
      <c r="R573"/>
      <c r="S573"/>
      <c r="Y573"/>
      <c r="AB573"/>
    </row>
    <row r="574" spans="15:28">
      <c r="O574"/>
      <c r="R574"/>
      <c r="S574"/>
      <c r="Y574"/>
      <c r="AB574"/>
    </row>
    <row r="575" spans="15:28">
      <c r="O575"/>
      <c r="R575"/>
      <c r="S575"/>
      <c r="Y575"/>
      <c r="AB575"/>
    </row>
    <row r="576" spans="15:28">
      <c r="O576"/>
      <c r="R576"/>
      <c r="S576"/>
      <c r="Y576"/>
      <c r="AB576"/>
    </row>
    <row r="577" spans="15:28">
      <c r="O577"/>
      <c r="R577"/>
      <c r="S577"/>
      <c r="Y577"/>
      <c r="AB577"/>
    </row>
    <row r="578" spans="15:28">
      <c r="O578"/>
      <c r="R578"/>
      <c r="S578"/>
      <c r="Y578"/>
      <c r="AB578"/>
    </row>
    <row r="579" spans="15:28">
      <c r="O579"/>
      <c r="R579"/>
      <c r="S579"/>
      <c r="Y579"/>
      <c r="AB579"/>
    </row>
    <row r="580" spans="15:28">
      <c r="O580"/>
      <c r="R580"/>
      <c r="S580"/>
      <c r="Y580"/>
      <c r="AB580"/>
    </row>
    <row r="581" spans="15:28">
      <c r="O581"/>
      <c r="R581"/>
      <c r="S581"/>
      <c r="Y581"/>
      <c r="AB581"/>
    </row>
    <row r="582" spans="15:28">
      <c r="O582"/>
      <c r="R582"/>
      <c r="S582"/>
      <c r="Y582"/>
      <c r="AB582"/>
    </row>
    <row r="583" spans="15:28">
      <c r="O583"/>
      <c r="R583"/>
      <c r="S583"/>
      <c r="Y583"/>
      <c r="AB583"/>
    </row>
    <row r="584" spans="15:28">
      <c r="O584"/>
      <c r="R584"/>
      <c r="S584"/>
      <c r="Y584"/>
      <c r="AB584"/>
    </row>
    <row r="585" spans="15:28">
      <c r="O585"/>
      <c r="R585"/>
      <c r="S585"/>
      <c r="Y585"/>
      <c r="AB585"/>
    </row>
    <row r="586" spans="15:28">
      <c r="O586"/>
      <c r="R586"/>
      <c r="S586"/>
      <c r="Y586"/>
      <c r="AB586"/>
    </row>
    <row r="587" spans="15:28">
      <c r="O587"/>
      <c r="R587"/>
      <c r="S587"/>
      <c r="Y587"/>
      <c r="AB587"/>
    </row>
    <row r="588" spans="15:28">
      <c r="O588"/>
      <c r="R588"/>
      <c r="S588"/>
      <c r="Y588"/>
      <c r="AB588"/>
    </row>
    <row r="589" spans="15:28">
      <c r="O589"/>
      <c r="R589"/>
      <c r="S589"/>
      <c r="Y589"/>
      <c r="AB589"/>
    </row>
    <row r="590" spans="15:28">
      <c r="O590"/>
      <c r="R590"/>
      <c r="S590"/>
      <c r="Y590"/>
      <c r="AB590"/>
    </row>
    <row r="591" spans="15:28">
      <c r="O591"/>
      <c r="R591"/>
      <c r="S591"/>
      <c r="Y591"/>
      <c r="AB591"/>
    </row>
    <row r="592" spans="15:28">
      <c r="O592"/>
      <c r="R592"/>
      <c r="S592"/>
      <c r="Y592"/>
      <c r="AB592"/>
    </row>
    <row r="593" spans="15:28">
      <c r="O593"/>
      <c r="R593"/>
      <c r="S593"/>
      <c r="Y593"/>
      <c r="AB593"/>
    </row>
    <row r="594" spans="15:28">
      <c r="O594"/>
      <c r="R594"/>
      <c r="S594"/>
      <c r="Y594"/>
      <c r="AB594"/>
    </row>
    <row r="595" spans="15:28">
      <c r="O595"/>
      <c r="R595"/>
      <c r="S595"/>
      <c r="Y595"/>
      <c r="AB595"/>
    </row>
    <row r="596" spans="15:28">
      <c r="O596"/>
      <c r="R596"/>
      <c r="S596"/>
      <c r="Y596"/>
      <c r="AB596"/>
    </row>
    <row r="597" spans="15:28">
      <c r="O597"/>
      <c r="R597"/>
      <c r="S597"/>
      <c r="Y597"/>
      <c r="AB597"/>
    </row>
    <row r="598" spans="15:28">
      <c r="O598"/>
      <c r="R598"/>
      <c r="S598"/>
      <c r="Y598"/>
      <c r="AB598"/>
    </row>
    <row r="599" spans="15:28">
      <c r="O599"/>
      <c r="R599"/>
      <c r="S599"/>
      <c r="Y599"/>
      <c r="AB599"/>
    </row>
    <row r="600" spans="15:28">
      <c r="O600"/>
      <c r="R600"/>
      <c r="S600"/>
      <c r="Y600"/>
      <c r="AB600"/>
    </row>
    <row r="601" spans="15:28">
      <c r="O601"/>
      <c r="R601"/>
      <c r="S601"/>
      <c r="Y601"/>
      <c r="AB601"/>
    </row>
    <row r="602" spans="15:28">
      <c r="O602"/>
      <c r="R602"/>
      <c r="S602"/>
      <c r="Y602"/>
      <c r="AB602"/>
    </row>
    <row r="603" spans="15:28">
      <c r="O603"/>
      <c r="R603"/>
      <c r="S603"/>
      <c r="Y603"/>
      <c r="AB603"/>
    </row>
    <row r="604" spans="15:28">
      <c r="O604"/>
      <c r="R604"/>
      <c r="S604"/>
      <c r="Y604"/>
      <c r="AB604"/>
    </row>
    <row r="605" spans="15:28">
      <c r="O605"/>
      <c r="R605"/>
      <c r="S605"/>
      <c r="Y605"/>
      <c r="AB605"/>
    </row>
    <row r="606" spans="15:28">
      <c r="O606"/>
      <c r="R606"/>
      <c r="S606"/>
      <c r="Y606"/>
      <c r="AB606"/>
    </row>
    <row r="607" spans="15:28">
      <c r="O607"/>
      <c r="R607"/>
      <c r="S607"/>
      <c r="Y607"/>
      <c r="AB607"/>
    </row>
    <row r="608" spans="15:28">
      <c r="O608"/>
      <c r="R608"/>
      <c r="S608"/>
      <c r="Y608"/>
      <c r="AB608"/>
    </row>
    <row r="609" spans="15:28">
      <c r="O609"/>
      <c r="R609"/>
      <c r="S609"/>
      <c r="Y609"/>
      <c r="AB609"/>
    </row>
    <row r="610" spans="15:28">
      <c r="O610"/>
      <c r="R610"/>
      <c r="S610"/>
      <c r="Y610"/>
      <c r="AB610"/>
    </row>
    <row r="611" spans="15:28">
      <c r="O611"/>
      <c r="R611"/>
      <c r="S611"/>
      <c r="Y611"/>
      <c r="AB611"/>
    </row>
    <row r="612" spans="15:28">
      <c r="O612"/>
      <c r="R612"/>
      <c r="S612"/>
      <c r="Y612"/>
      <c r="AB612"/>
    </row>
    <row r="613" spans="15:28">
      <c r="O613"/>
      <c r="R613"/>
      <c r="S613"/>
      <c r="Y613"/>
      <c r="AB613"/>
    </row>
    <row r="614" spans="15:28">
      <c r="O614"/>
      <c r="R614"/>
      <c r="S614"/>
      <c r="Y614"/>
      <c r="AB614"/>
    </row>
    <row r="615" spans="15:28">
      <c r="O615"/>
      <c r="R615"/>
      <c r="S615"/>
      <c r="Y615"/>
      <c r="AB615"/>
    </row>
    <row r="616" spans="15:28">
      <c r="O616"/>
      <c r="R616"/>
      <c r="S616"/>
      <c r="Y616"/>
      <c r="AB616"/>
    </row>
    <row r="617" spans="15:28">
      <c r="O617"/>
      <c r="R617"/>
      <c r="S617"/>
      <c r="Y617"/>
      <c r="AB617"/>
    </row>
    <row r="618" spans="15:28">
      <c r="O618"/>
      <c r="R618"/>
      <c r="S618"/>
      <c r="Y618"/>
      <c r="AB618"/>
    </row>
    <row r="619" spans="15:28">
      <c r="O619"/>
      <c r="R619"/>
      <c r="S619"/>
      <c r="Y619"/>
      <c r="AB619"/>
    </row>
    <row r="620" spans="15:28">
      <c r="O620"/>
      <c r="R620"/>
      <c r="S620"/>
      <c r="Y620"/>
      <c r="AB620"/>
    </row>
    <row r="621" spans="15:28">
      <c r="O621"/>
      <c r="R621"/>
      <c r="S621"/>
      <c r="Y621"/>
      <c r="AB621"/>
    </row>
    <row r="622" spans="15:28">
      <c r="O622"/>
      <c r="R622"/>
      <c r="S622"/>
      <c r="Y622"/>
      <c r="AB622"/>
    </row>
    <row r="623" spans="15:28">
      <c r="O623"/>
      <c r="R623"/>
      <c r="S623"/>
      <c r="Y623"/>
      <c r="AB623"/>
    </row>
    <row r="624" spans="15:28">
      <c r="O624"/>
      <c r="R624"/>
      <c r="S624"/>
      <c r="Y624"/>
      <c r="AB624"/>
    </row>
    <row r="625" spans="15:28">
      <c r="O625"/>
      <c r="R625"/>
      <c r="S625"/>
      <c r="Y625"/>
      <c r="AB625"/>
    </row>
    <row r="626" spans="15:28">
      <c r="O626"/>
      <c r="R626"/>
      <c r="S626"/>
      <c r="Y626"/>
      <c r="AB626"/>
    </row>
    <row r="627" spans="15:28">
      <c r="O627"/>
      <c r="R627"/>
      <c r="S627"/>
      <c r="Y627"/>
      <c r="AB627"/>
    </row>
    <row r="628" spans="15:28">
      <c r="O628"/>
      <c r="R628"/>
      <c r="S628"/>
      <c r="Y628"/>
      <c r="AB628"/>
    </row>
    <row r="629" spans="15:28">
      <c r="O629"/>
      <c r="R629"/>
      <c r="S629"/>
      <c r="Y629"/>
      <c r="AB629"/>
    </row>
    <row r="630" spans="15:28">
      <c r="O630"/>
      <c r="R630"/>
      <c r="S630"/>
      <c r="Y630"/>
      <c r="AB630"/>
    </row>
    <row r="631" spans="15:28">
      <c r="O631"/>
      <c r="R631"/>
      <c r="S631"/>
      <c r="Y631"/>
      <c r="AB631"/>
    </row>
    <row r="632" spans="15:28">
      <c r="O632"/>
      <c r="R632"/>
      <c r="S632"/>
      <c r="Y632"/>
      <c r="AB632"/>
    </row>
    <row r="633" spans="15:28">
      <c r="O633"/>
      <c r="R633"/>
      <c r="S633"/>
      <c r="Y633"/>
      <c r="AB633"/>
    </row>
    <row r="634" spans="15:28">
      <c r="O634"/>
      <c r="R634"/>
      <c r="S634"/>
      <c r="Y634"/>
      <c r="AB634"/>
    </row>
    <row r="635" spans="15:28">
      <c r="O635"/>
      <c r="R635"/>
      <c r="S635"/>
      <c r="Y635"/>
      <c r="AB635"/>
    </row>
    <row r="636" spans="15:28">
      <c r="O636"/>
      <c r="R636"/>
      <c r="S636"/>
      <c r="Y636"/>
      <c r="AB636"/>
    </row>
    <row r="637" spans="15:28">
      <c r="O637"/>
      <c r="R637"/>
      <c r="S637"/>
      <c r="Y637"/>
      <c r="AB637"/>
    </row>
    <row r="638" spans="15:28">
      <c r="O638"/>
      <c r="R638"/>
      <c r="S638"/>
      <c r="Y638"/>
      <c r="AB638"/>
    </row>
    <row r="639" spans="15:28">
      <c r="O639"/>
      <c r="R639"/>
      <c r="S639"/>
      <c r="Y639"/>
      <c r="AB639"/>
    </row>
    <row r="640" spans="15:28">
      <c r="O640"/>
      <c r="R640"/>
      <c r="S640"/>
      <c r="Y640"/>
      <c r="AB640"/>
    </row>
    <row r="641" spans="15:28">
      <c r="O641"/>
      <c r="R641"/>
      <c r="S641"/>
      <c r="Y641"/>
      <c r="AB641"/>
    </row>
    <row r="642" spans="15:28">
      <c r="O642"/>
      <c r="R642"/>
      <c r="S642"/>
      <c r="Y642"/>
      <c r="AB642"/>
    </row>
    <row r="643" spans="15:28">
      <c r="O643"/>
      <c r="R643"/>
      <c r="S643"/>
      <c r="Y643"/>
      <c r="AB643"/>
    </row>
    <row r="644" spans="15:28">
      <c r="O644"/>
      <c r="R644"/>
      <c r="S644"/>
      <c r="Y644"/>
      <c r="AB644"/>
    </row>
    <row r="645" spans="15:28">
      <c r="O645"/>
      <c r="R645"/>
      <c r="S645"/>
      <c r="Y645"/>
      <c r="AB645"/>
    </row>
    <row r="646" spans="15:28">
      <c r="O646"/>
      <c r="R646"/>
      <c r="S646"/>
      <c r="Y646"/>
      <c r="AB646"/>
    </row>
    <row r="647" spans="15:28">
      <c r="O647"/>
      <c r="R647"/>
      <c r="S647"/>
      <c r="Y647"/>
      <c r="AB647"/>
    </row>
    <row r="648" spans="15:28">
      <c r="O648"/>
      <c r="R648"/>
      <c r="S648"/>
      <c r="Y648"/>
      <c r="AB648"/>
    </row>
    <row r="649" spans="15:28">
      <c r="O649"/>
      <c r="R649"/>
      <c r="S649"/>
      <c r="Y649"/>
      <c r="AB649"/>
    </row>
    <row r="650" spans="15:28">
      <c r="O650"/>
      <c r="R650"/>
      <c r="S650"/>
      <c r="Y650"/>
      <c r="AB650"/>
    </row>
    <row r="651" spans="15:28">
      <c r="O651"/>
      <c r="R651"/>
      <c r="S651"/>
      <c r="Y651"/>
      <c r="AB651"/>
    </row>
    <row r="652" spans="15:28">
      <c r="O652"/>
      <c r="R652"/>
      <c r="S652"/>
      <c r="Y652"/>
      <c r="AB652"/>
    </row>
    <row r="653" spans="15:28">
      <c r="O653"/>
      <c r="R653"/>
      <c r="S653"/>
      <c r="Y653"/>
      <c r="AB653"/>
    </row>
    <row r="654" spans="15:28">
      <c r="O654"/>
      <c r="R654"/>
      <c r="S654"/>
      <c r="Y654"/>
      <c r="AB654"/>
    </row>
    <row r="655" spans="15:28">
      <c r="O655"/>
      <c r="R655"/>
      <c r="S655"/>
      <c r="Y655"/>
      <c r="AB655"/>
    </row>
    <row r="656" spans="15:28">
      <c r="O656"/>
      <c r="R656"/>
      <c r="S656"/>
      <c r="Y656"/>
      <c r="AB656"/>
    </row>
    <row r="657" spans="15:28">
      <c r="O657"/>
      <c r="R657"/>
      <c r="S657"/>
      <c r="Y657"/>
      <c r="AB657"/>
    </row>
    <row r="658" spans="15:28">
      <c r="O658"/>
      <c r="R658"/>
      <c r="S658"/>
      <c r="Y658"/>
      <c r="AB658"/>
    </row>
    <row r="659" spans="15:28">
      <c r="O659"/>
      <c r="R659"/>
      <c r="S659"/>
      <c r="Y659"/>
      <c r="AB659"/>
    </row>
    <row r="660" spans="15:28">
      <c r="O660"/>
      <c r="R660"/>
      <c r="S660"/>
      <c r="Y660"/>
      <c r="AB660"/>
    </row>
    <row r="661" spans="15:28">
      <c r="O661"/>
      <c r="R661"/>
      <c r="S661"/>
      <c r="Y661"/>
      <c r="AB661"/>
    </row>
    <row r="662" spans="15:28">
      <c r="O662"/>
      <c r="R662"/>
      <c r="S662"/>
      <c r="Y662"/>
      <c r="AB662"/>
    </row>
    <row r="663" spans="15:28">
      <c r="O663"/>
      <c r="R663"/>
      <c r="S663"/>
      <c r="Y663"/>
      <c r="AB663"/>
    </row>
    <row r="664" spans="15:28">
      <c r="O664"/>
      <c r="R664"/>
      <c r="S664"/>
      <c r="Y664"/>
      <c r="AB664"/>
    </row>
    <row r="665" spans="15:28">
      <c r="O665"/>
      <c r="R665"/>
      <c r="S665"/>
      <c r="Y665"/>
      <c r="AB665"/>
    </row>
    <row r="666" spans="15:28">
      <c r="O666"/>
      <c r="R666"/>
      <c r="S666"/>
      <c r="Y666"/>
      <c r="AB666"/>
    </row>
    <row r="667" spans="15:28">
      <c r="O667"/>
      <c r="R667"/>
      <c r="S667"/>
      <c r="Y667"/>
      <c r="AB667"/>
    </row>
    <row r="668" spans="15:28">
      <c r="O668"/>
      <c r="R668"/>
      <c r="S668"/>
      <c r="Y668"/>
      <c r="AB668"/>
    </row>
    <row r="669" spans="15:28">
      <c r="O669"/>
      <c r="R669"/>
      <c r="S669"/>
      <c r="Y669"/>
      <c r="AB669"/>
    </row>
    <row r="670" spans="15:28">
      <c r="O670"/>
      <c r="R670"/>
      <c r="S670"/>
      <c r="Y670"/>
      <c r="AB670"/>
    </row>
    <row r="671" spans="15:28">
      <c r="O671"/>
      <c r="R671"/>
      <c r="S671"/>
      <c r="Y671"/>
      <c r="AB671"/>
    </row>
    <row r="672" spans="15:28">
      <c r="O672"/>
      <c r="R672"/>
      <c r="S672"/>
      <c r="Y672"/>
      <c r="AB672"/>
    </row>
    <row r="673" spans="15:28">
      <c r="O673"/>
      <c r="R673"/>
      <c r="S673"/>
      <c r="Y673"/>
      <c r="AB673"/>
    </row>
    <row r="674" spans="15:28">
      <c r="O674"/>
      <c r="R674"/>
      <c r="S674"/>
      <c r="Y674"/>
      <c r="AB674"/>
    </row>
    <row r="675" spans="15:28">
      <c r="O675"/>
      <c r="R675"/>
      <c r="S675"/>
      <c r="Y675"/>
      <c r="AB675"/>
    </row>
    <row r="676" spans="15:28">
      <c r="O676"/>
      <c r="R676"/>
      <c r="S676"/>
      <c r="Y676"/>
      <c r="AB676"/>
    </row>
    <row r="677" spans="15:28">
      <c r="O677"/>
      <c r="R677"/>
      <c r="S677"/>
      <c r="Y677"/>
      <c r="AB677"/>
    </row>
    <row r="678" spans="15:28">
      <c r="O678"/>
      <c r="R678"/>
      <c r="S678"/>
      <c r="Y678"/>
      <c r="AB678"/>
    </row>
    <row r="679" spans="15:28">
      <c r="O679"/>
      <c r="R679"/>
      <c r="S679"/>
      <c r="Y679"/>
      <c r="AB679"/>
    </row>
    <row r="680" spans="15:28">
      <c r="O680"/>
      <c r="R680"/>
      <c r="S680"/>
      <c r="Y680"/>
      <c r="AB680"/>
    </row>
    <row r="681" spans="15:28">
      <c r="O681"/>
      <c r="R681"/>
      <c r="S681"/>
      <c r="Y681"/>
      <c r="AB681"/>
    </row>
    <row r="682" spans="15:28">
      <c r="O682"/>
      <c r="R682"/>
      <c r="S682"/>
      <c r="Y682"/>
      <c r="AB682"/>
    </row>
    <row r="683" spans="15:28">
      <c r="O683"/>
      <c r="R683"/>
      <c r="S683"/>
      <c r="Y683"/>
      <c r="AB683"/>
    </row>
    <row r="684" spans="15:28">
      <c r="O684"/>
      <c r="R684"/>
      <c r="S684"/>
      <c r="Y684"/>
      <c r="AB684"/>
    </row>
    <row r="685" spans="15:28">
      <c r="O685"/>
      <c r="R685"/>
      <c r="S685"/>
      <c r="Y685"/>
      <c r="AB685"/>
    </row>
    <row r="686" spans="15:28">
      <c r="O686"/>
      <c r="R686"/>
      <c r="S686"/>
      <c r="Y686"/>
      <c r="AB686"/>
    </row>
    <row r="687" spans="15:28">
      <c r="O687"/>
      <c r="R687"/>
      <c r="S687"/>
      <c r="Y687"/>
      <c r="AB687"/>
    </row>
    <row r="688" spans="15:28">
      <c r="O688"/>
      <c r="R688"/>
      <c r="S688"/>
      <c r="Y688"/>
      <c r="AB688"/>
    </row>
    <row r="689" spans="15:28">
      <c r="O689"/>
      <c r="R689"/>
      <c r="S689"/>
      <c r="Y689"/>
      <c r="AB689"/>
    </row>
    <row r="690" spans="15:28">
      <c r="O690"/>
      <c r="R690"/>
      <c r="S690"/>
      <c r="Y690"/>
      <c r="AB690"/>
    </row>
    <row r="691" spans="15:28">
      <c r="O691"/>
      <c r="R691"/>
      <c r="S691"/>
      <c r="Y691"/>
      <c r="AB691"/>
    </row>
    <row r="692" spans="15:28">
      <c r="O692"/>
      <c r="R692"/>
      <c r="S692"/>
      <c r="Y692"/>
      <c r="AB692"/>
    </row>
    <row r="693" spans="15:28">
      <c r="O693"/>
      <c r="R693"/>
      <c r="S693"/>
      <c r="Y693"/>
      <c r="AB693"/>
    </row>
    <row r="694" spans="15:28">
      <c r="O694"/>
      <c r="R694"/>
      <c r="S694"/>
      <c r="Y694"/>
      <c r="AB694"/>
    </row>
    <row r="695" spans="15:28">
      <c r="O695"/>
      <c r="R695"/>
      <c r="S695"/>
      <c r="Y695"/>
      <c r="AB695"/>
    </row>
    <row r="696" spans="15:28">
      <c r="O696"/>
      <c r="R696"/>
      <c r="S696"/>
      <c r="Y696"/>
      <c r="AB696"/>
    </row>
    <row r="697" spans="15:28">
      <c r="O697"/>
      <c r="R697"/>
      <c r="S697"/>
      <c r="Y697"/>
      <c r="AB697"/>
    </row>
    <row r="698" spans="15:28">
      <c r="O698"/>
      <c r="R698"/>
      <c r="S698"/>
      <c r="Y698"/>
      <c r="AB698"/>
    </row>
    <row r="699" spans="15:28">
      <c r="O699"/>
      <c r="R699"/>
      <c r="S699"/>
      <c r="Y699"/>
      <c r="AB699"/>
    </row>
    <row r="700" spans="15:28">
      <c r="O700"/>
      <c r="R700"/>
      <c r="S700"/>
      <c r="Y700"/>
      <c r="AB700"/>
    </row>
    <row r="701" spans="15:28">
      <c r="O701"/>
      <c r="R701"/>
      <c r="S701"/>
      <c r="Y701"/>
      <c r="AB701"/>
    </row>
    <row r="702" spans="15:28">
      <c r="O702"/>
      <c r="R702"/>
      <c r="S702"/>
      <c r="Y702"/>
      <c r="AB702"/>
    </row>
    <row r="703" spans="15:28">
      <c r="O703"/>
      <c r="R703"/>
      <c r="S703"/>
      <c r="Y703"/>
      <c r="AB703"/>
    </row>
    <row r="704" spans="15:28">
      <c r="O704"/>
      <c r="R704"/>
      <c r="S704"/>
      <c r="Y704"/>
      <c r="AB704"/>
    </row>
    <row r="705" spans="15:28">
      <c r="O705"/>
      <c r="R705"/>
      <c r="S705"/>
      <c r="Y705"/>
      <c r="AB705"/>
    </row>
    <row r="706" spans="15:28">
      <c r="O706"/>
      <c r="R706"/>
      <c r="S706"/>
      <c r="Y706"/>
      <c r="AB706"/>
    </row>
    <row r="707" spans="15:28">
      <c r="O707"/>
      <c r="R707"/>
      <c r="S707"/>
      <c r="Y707"/>
      <c r="AB707"/>
    </row>
    <row r="708" spans="15:28">
      <c r="O708"/>
      <c r="R708"/>
      <c r="S708"/>
      <c r="Y708"/>
      <c r="AB708"/>
    </row>
    <row r="709" spans="15:28">
      <c r="O709"/>
      <c r="R709"/>
      <c r="S709"/>
      <c r="Y709"/>
      <c r="AB709"/>
    </row>
    <row r="710" spans="15:28">
      <c r="O710"/>
      <c r="R710"/>
      <c r="S710"/>
      <c r="Y710"/>
      <c r="AB710"/>
    </row>
    <row r="711" spans="15:28">
      <c r="O711"/>
      <c r="R711"/>
      <c r="S711"/>
      <c r="Y711"/>
      <c r="AB711"/>
    </row>
    <row r="712" spans="15:28">
      <c r="O712"/>
      <c r="R712"/>
      <c r="S712"/>
      <c r="Y712"/>
      <c r="AB712"/>
    </row>
    <row r="713" spans="15:28">
      <c r="O713"/>
      <c r="R713"/>
      <c r="S713"/>
      <c r="Y713"/>
      <c r="AB713"/>
    </row>
    <row r="714" spans="15:28">
      <c r="O714"/>
      <c r="R714"/>
      <c r="S714"/>
      <c r="Y714"/>
      <c r="AB714"/>
    </row>
    <row r="715" spans="15:28">
      <c r="O715"/>
      <c r="R715"/>
      <c r="S715"/>
      <c r="Y715"/>
      <c r="AB715"/>
    </row>
    <row r="716" spans="15:28">
      <c r="O716"/>
      <c r="R716"/>
      <c r="S716"/>
      <c r="Y716"/>
      <c r="AB716"/>
    </row>
    <row r="717" spans="15:28">
      <c r="O717"/>
      <c r="R717"/>
      <c r="S717"/>
      <c r="Y717"/>
      <c r="AB717"/>
    </row>
    <row r="718" spans="15:28">
      <c r="O718"/>
      <c r="R718"/>
      <c r="S718"/>
      <c r="Y718"/>
      <c r="AB718"/>
    </row>
    <row r="719" spans="15:28">
      <c r="O719"/>
      <c r="R719"/>
      <c r="S719"/>
      <c r="Y719"/>
      <c r="AB719"/>
    </row>
    <row r="720" spans="15:28">
      <c r="O720"/>
      <c r="R720"/>
      <c r="S720"/>
      <c r="Y720"/>
      <c r="AB720"/>
    </row>
    <row r="721" spans="15:28">
      <c r="O721"/>
      <c r="R721"/>
      <c r="S721"/>
      <c r="Y721"/>
      <c r="AB721"/>
    </row>
    <row r="722" spans="15:28">
      <c r="O722"/>
      <c r="R722"/>
      <c r="S722"/>
      <c r="Y722"/>
      <c r="AB722"/>
    </row>
    <row r="723" spans="15:28">
      <c r="O723"/>
      <c r="R723"/>
      <c r="S723"/>
      <c r="Y723"/>
      <c r="AB723"/>
    </row>
    <row r="724" spans="15:28">
      <c r="O724"/>
      <c r="R724"/>
      <c r="S724"/>
      <c r="Y724"/>
      <c r="AB724"/>
    </row>
    <row r="725" spans="15:28">
      <c r="O725"/>
      <c r="R725"/>
      <c r="S725"/>
      <c r="Y725"/>
      <c r="AB725"/>
    </row>
    <row r="726" spans="15:28">
      <c r="O726"/>
      <c r="R726"/>
      <c r="S726"/>
      <c r="Y726"/>
      <c r="AB726"/>
    </row>
    <row r="727" spans="15:28">
      <c r="O727"/>
      <c r="R727"/>
      <c r="S727"/>
      <c r="Y727"/>
      <c r="AB727"/>
    </row>
    <row r="728" spans="15:28">
      <c r="O728"/>
      <c r="R728"/>
      <c r="S728"/>
      <c r="Y728"/>
      <c r="AB728"/>
    </row>
    <row r="729" spans="15:28">
      <c r="O729"/>
      <c r="R729"/>
      <c r="S729"/>
      <c r="Y729"/>
      <c r="AB729"/>
    </row>
    <row r="730" spans="15:28">
      <c r="O730"/>
      <c r="R730"/>
      <c r="S730"/>
      <c r="Y730"/>
      <c r="AB730"/>
    </row>
    <row r="731" spans="15:28">
      <c r="O731"/>
      <c r="R731"/>
      <c r="S731"/>
      <c r="Y731"/>
      <c r="AB731"/>
    </row>
    <row r="732" spans="15:28">
      <c r="O732"/>
      <c r="R732"/>
      <c r="S732"/>
      <c r="Y732"/>
      <c r="AB732"/>
    </row>
    <row r="733" spans="15:28">
      <c r="O733"/>
      <c r="R733"/>
      <c r="S733"/>
      <c r="Y733"/>
      <c r="AB733"/>
    </row>
    <row r="734" spans="15:28">
      <c r="O734"/>
      <c r="R734"/>
      <c r="S734"/>
      <c r="Y734"/>
      <c r="AB734"/>
    </row>
    <row r="735" spans="15:28">
      <c r="O735"/>
      <c r="R735"/>
      <c r="S735"/>
      <c r="Y735"/>
      <c r="AB735"/>
    </row>
    <row r="736" spans="15:28">
      <c r="O736"/>
      <c r="R736"/>
      <c r="S736"/>
      <c r="Y736"/>
      <c r="AB736"/>
    </row>
    <row r="737" spans="15:28">
      <c r="O737"/>
      <c r="R737"/>
      <c r="S737"/>
      <c r="Y737"/>
      <c r="AB737"/>
    </row>
    <row r="738" spans="15:28">
      <c r="O738"/>
      <c r="R738"/>
      <c r="S738"/>
      <c r="Y738"/>
      <c r="AB738"/>
    </row>
    <row r="739" spans="15:28">
      <c r="O739"/>
      <c r="R739"/>
      <c r="S739"/>
      <c r="Y739"/>
      <c r="AB739"/>
    </row>
    <row r="740" spans="15:28">
      <c r="O740"/>
      <c r="R740"/>
      <c r="S740"/>
      <c r="Y740"/>
      <c r="AB740"/>
    </row>
    <row r="741" spans="15:28">
      <c r="O741"/>
      <c r="R741"/>
      <c r="S741"/>
      <c r="Y741"/>
      <c r="AB741"/>
    </row>
    <row r="742" spans="15:28">
      <c r="O742"/>
      <c r="R742"/>
      <c r="S742"/>
      <c r="Y742"/>
      <c r="AB742"/>
    </row>
    <row r="743" spans="15:28">
      <c r="O743"/>
      <c r="R743"/>
      <c r="S743"/>
      <c r="Y743"/>
      <c r="AB743"/>
    </row>
    <row r="744" spans="15:28">
      <c r="O744"/>
      <c r="R744"/>
      <c r="S744"/>
      <c r="Y744"/>
      <c r="AB744"/>
    </row>
    <row r="745" spans="15:28">
      <c r="O745"/>
      <c r="R745"/>
      <c r="S745"/>
      <c r="Y745"/>
      <c r="AB745"/>
    </row>
    <row r="746" spans="15:28">
      <c r="O746"/>
      <c r="R746"/>
      <c r="S746"/>
      <c r="Y746"/>
      <c r="AB746"/>
    </row>
    <row r="747" spans="15:28">
      <c r="O747"/>
      <c r="R747"/>
      <c r="S747"/>
      <c r="Y747"/>
      <c r="AB747"/>
    </row>
    <row r="748" spans="15:28">
      <c r="O748"/>
      <c r="R748"/>
      <c r="S748"/>
      <c r="Y748"/>
      <c r="AB748"/>
    </row>
    <row r="749" spans="15:28">
      <c r="O749"/>
      <c r="R749"/>
      <c r="S749"/>
      <c r="Y749"/>
      <c r="AB749"/>
    </row>
    <row r="750" spans="15:28">
      <c r="O750"/>
      <c r="R750"/>
      <c r="S750"/>
      <c r="Y750"/>
      <c r="AB750"/>
    </row>
    <row r="751" spans="15:28">
      <c r="O751"/>
      <c r="R751"/>
      <c r="S751"/>
      <c r="Y751"/>
      <c r="AB751"/>
    </row>
    <row r="752" spans="15:28">
      <c r="O752"/>
      <c r="R752"/>
      <c r="S752"/>
      <c r="Y752"/>
      <c r="AB752"/>
    </row>
    <row r="753" spans="15:28">
      <c r="O753"/>
      <c r="R753"/>
      <c r="S753"/>
      <c r="Y753"/>
      <c r="AB753"/>
    </row>
    <row r="754" spans="15:28">
      <c r="O754"/>
      <c r="R754"/>
      <c r="S754"/>
      <c r="Y754"/>
      <c r="AB754"/>
    </row>
    <row r="755" spans="15:28">
      <c r="O755"/>
      <c r="R755"/>
      <c r="S755"/>
      <c r="Y755"/>
      <c r="AB755"/>
    </row>
    <row r="756" spans="15:28">
      <c r="O756"/>
      <c r="R756"/>
      <c r="S756"/>
      <c r="Y756"/>
      <c r="AB756"/>
    </row>
    <row r="757" spans="15:28">
      <c r="O757"/>
      <c r="R757"/>
      <c r="S757"/>
      <c r="Y757"/>
      <c r="AB757"/>
    </row>
    <row r="758" spans="15:28">
      <c r="O758"/>
      <c r="R758"/>
      <c r="S758"/>
      <c r="Y758"/>
      <c r="AB758"/>
    </row>
    <row r="759" spans="15:28">
      <c r="O759"/>
      <c r="R759"/>
      <c r="S759"/>
      <c r="Y759"/>
      <c r="AB759"/>
    </row>
    <row r="760" spans="15:28">
      <c r="O760"/>
      <c r="R760"/>
      <c r="S760"/>
      <c r="Y760"/>
      <c r="AB760"/>
    </row>
    <row r="761" spans="15:28">
      <c r="O761"/>
      <c r="R761"/>
      <c r="S761"/>
      <c r="Y761"/>
      <c r="AB761"/>
    </row>
    <row r="762" spans="15:28">
      <c r="O762"/>
      <c r="R762"/>
      <c r="S762"/>
      <c r="Y762"/>
      <c r="AB762"/>
    </row>
    <row r="763" spans="15:28">
      <c r="O763"/>
      <c r="R763"/>
      <c r="S763"/>
      <c r="Y763"/>
      <c r="AB763"/>
    </row>
    <row r="764" spans="15:28">
      <c r="O764"/>
      <c r="R764"/>
      <c r="S764"/>
      <c r="Y764"/>
      <c r="AB764"/>
    </row>
    <row r="765" spans="15:28">
      <c r="O765"/>
      <c r="R765"/>
      <c r="S765"/>
      <c r="Y765"/>
      <c r="AB765"/>
    </row>
    <row r="766" spans="15:28">
      <c r="O766"/>
      <c r="R766"/>
      <c r="S766"/>
      <c r="Y766"/>
      <c r="AB766"/>
    </row>
    <row r="767" spans="15:28">
      <c r="O767"/>
      <c r="R767"/>
      <c r="S767"/>
      <c r="Y767"/>
      <c r="AB767"/>
    </row>
    <row r="768" spans="15:28">
      <c r="O768"/>
      <c r="R768"/>
      <c r="S768"/>
      <c r="Y768"/>
      <c r="AB768"/>
    </row>
    <row r="769" spans="15:28">
      <c r="O769"/>
      <c r="R769"/>
      <c r="S769"/>
      <c r="Y769"/>
      <c r="AB769"/>
    </row>
    <row r="770" spans="15:28">
      <c r="O770"/>
      <c r="R770"/>
      <c r="S770"/>
      <c r="Y770"/>
      <c r="AB770"/>
    </row>
    <row r="771" spans="15:28">
      <c r="O771"/>
      <c r="R771"/>
      <c r="S771"/>
      <c r="Y771"/>
      <c r="AB771"/>
    </row>
    <row r="772" spans="15:28">
      <c r="O772"/>
      <c r="R772"/>
      <c r="S772"/>
      <c r="Y772"/>
      <c r="AB772"/>
    </row>
    <row r="773" spans="15:28">
      <c r="O773"/>
      <c r="R773"/>
      <c r="S773"/>
      <c r="Y773"/>
      <c r="AB773"/>
    </row>
    <row r="774" spans="15:28">
      <c r="O774"/>
      <c r="R774"/>
      <c r="S774"/>
      <c r="Y774"/>
      <c r="AB774"/>
    </row>
    <row r="775" spans="15:28">
      <c r="O775"/>
      <c r="R775"/>
      <c r="S775"/>
      <c r="Y775"/>
      <c r="AB775"/>
    </row>
    <row r="776" spans="15:28">
      <c r="O776"/>
      <c r="R776"/>
      <c r="S776"/>
      <c r="Y776"/>
      <c r="AB776"/>
    </row>
    <row r="777" spans="15:28">
      <c r="O777"/>
      <c r="R777"/>
      <c r="S777"/>
      <c r="Y777"/>
      <c r="AB777"/>
    </row>
    <row r="778" spans="15:28">
      <c r="O778"/>
      <c r="R778"/>
      <c r="S778"/>
      <c r="Y778"/>
      <c r="AB778"/>
    </row>
    <row r="779" spans="15:28">
      <c r="O779"/>
      <c r="R779"/>
      <c r="S779"/>
      <c r="Y779"/>
      <c r="AB779"/>
    </row>
    <row r="780" spans="15:28">
      <c r="O780"/>
      <c r="R780"/>
      <c r="S780"/>
      <c r="Y780"/>
      <c r="AB780"/>
    </row>
    <row r="781" spans="15:28">
      <c r="O781"/>
      <c r="R781"/>
      <c r="S781"/>
      <c r="Y781"/>
      <c r="AB781"/>
    </row>
    <row r="782" spans="15:28">
      <c r="O782"/>
      <c r="R782"/>
      <c r="S782"/>
      <c r="Y782"/>
      <c r="AB782"/>
    </row>
    <row r="783" spans="15:28">
      <c r="O783"/>
      <c r="R783"/>
      <c r="S783"/>
      <c r="Y783"/>
      <c r="AB783"/>
    </row>
    <row r="784" spans="15:28">
      <c r="O784"/>
      <c r="R784"/>
      <c r="S784"/>
      <c r="Y784"/>
      <c r="AB784"/>
    </row>
    <row r="785" spans="15:28">
      <c r="O785"/>
      <c r="R785"/>
      <c r="S785"/>
      <c r="Y785"/>
      <c r="AB785"/>
    </row>
    <row r="786" spans="15:28">
      <c r="O786"/>
      <c r="R786"/>
      <c r="S786"/>
      <c r="Y786"/>
      <c r="AB786"/>
    </row>
    <row r="787" spans="15:28">
      <c r="O787"/>
      <c r="R787"/>
      <c r="S787"/>
      <c r="Y787"/>
      <c r="AB787"/>
    </row>
    <row r="788" spans="15:28">
      <c r="O788"/>
      <c r="R788"/>
      <c r="S788"/>
      <c r="Y788"/>
      <c r="AB788"/>
    </row>
    <row r="789" spans="15:28">
      <c r="O789"/>
      <c r="R789"/>
      <c r="S789"/>
      <c r="Y789"/>
      <c r="AB789"/>
    </row>
    <row r="790" spans="15:28">
      <c r="O790"/>
      <c r="R790"/>
      <c r="S790"/>
      <c r="Y790"/>
      <c r="AB790"/>
    </row>
    <row r="791" spans="15:28">
      <c r="O791"/>
      <c r="R791"/>
      <c r="S791"/>
      <c r="Y791"/>
      <c r="AB791"/>
    </row>
    <row r="792" spans="15:28">
      <c r="O792"/>
      <c r="R792"/>
      <c r="S792"/>
      <c r="Y792"/>
      <c r="AB792"/>
    </row>
    <row r="793" spans="15:28">
      <c r="O793"/>
      <c r="R793"/>
      <c r="S793"/>
      <c r="Y793"/>
      <c r="AB793"/>
    </row>
    <row r="794" spans="15:28">
      <c r="O794"/>
      <c r="R794"/>
      <c r="S794"/>
      <c r="Y794"/>
      <c r="AB794"/>
    </row>
    <row r="795" spans="15:28">
      <c r="O795"/>
      <c r="R795"/>
      <c r="S795"/>
      <c r="Y795"/>
      <c r="AB795"/>
    </row>
    <row r="796" spans="15:28">
      <c r="O796"/>
      <c r="R796"/>
      <c r="S796"/>
      <c r="Y796"/>
      <c r="AB796"/>
    </row>
    <row r="797" spans="15:28">
      <c r="O797"/>
      <c r="R797"/>
      <c r="S797"/>
      <c r="Y797"/>
      <c r="AB797"/>
    </row>
    <row r="798" spans="15:28">
      <c r="O798"/>
      <c r="R798"/>
      <c r="S798"/>
      <c r="Y798"/>
      <c r="AB798"/>
    </row>
    <row r="799" spans="15:28">
      <c r="O799"/>
      <c r="R799"/>
      <c r="S799"/>
      <c r="Y799"/>
      <c r="AB799"/>
    </row>
    <row r="800" spans="15:28">
      <c r="O800"/>
      <c r="R800"/>
      <c r="S800"/>
      <c r="Y800"/>
      <c r="AB800"/>
    </row>
    <row r="801" spans="15:28">
      <c r="O801"/>
      <c r="R801"/>
      <c r="S801"/>
      <c r="Y801"/>
      <c r="AB801"/>
    </row>
    <row r="802" spans="15:28">
      <c r="O802"/>
      <c r="R802"/>
      <c r="S802"/>
      <c r="Y802"/>
      <c r="AB802"/>
    </row>
    <row r="803" spans="15:28">
      <c r="O803"/>
      <c r="R803"/>
      <c r="S803"/>
      <c r="Y803"/>
      <c r="AB803"/>
    </row>
    <row r="804" spans="15:28">
      <c r="O804"/>
      <c r="R804"/>
      <c r="S804"/>
      <c r="Y804"/>
      <c r="AB804"/>
    </row>
    <row r="805" spans="15:28">
      <c r="O805"/>
      <c r="R805"/>
      <c r="S805"/>
      <c r="Y805"/>
      <c r="AB805"/>
    </row>
    <row r="806" spans="15:28">
      <c r="O806"/>
      <c r="R806"/>
      <c r="S806"/>
      <c r="Y806"/>
      <c r="AB806"/>
    </row>
    <row r="807" spans="15:28">
      <c r="O807"/>
      <c r="R807"/>
      <c r="S807"/>
      <c r="Y807"/>
      <c r="AB807"/>
    </row>
    <row r="808" spans="15:28">
      <c r="O808"/>
      <c r="R808"/>
      <c r="S808"/>
      <c r="Y808"/>
      <c r="AB808"/>
    </row>
    <row r="809" spans="15:28">
      <c r="O809"/>
      <c r="R809"/>
      <c r="S809"/>
      <c r="Y809"/>
      <c r="AB809"/>
    </row>
    <row r="810" spans="15:28">
      <c r="O810"/>
      <c r="R810"/>
      <c r="S810"/>
      <c r="Y810"/>
      <c r="AB810"/>
    </row>
    <row r="811" spans="15:28">
      <c r="O811"/>
      <c r="R811"/>
      <c r="S811"/>
      <c r="Y811"/>
      <c r="AB811"/>
    </row>
    <row r="812" spans="15:28">
      <c r="O812"/>
      <c r="R812"/>
      <c r="S812"/>
      <c r="Y812"/>
      <c r="AB812"/>
    </row>
    <row r="813" spans="15:28">
      <c r="O813"/>
      <c r="R813"/>
      <c r="S813"/>
      <c r="Y813"/>
      <c r="AB813"/>
    </row>
    <row r="814" spans="15:28">
      <c r="O814"/>
      <c r="R814"/>
      <c r="S814"/>
      <c r="Y814"/>
      <c r="AB814"/>
    </row>
    <row r="815" spans="15:28">
      <c r="O815"/>
      <c r="R815"/>
      <c r="S815"/>
      <c r="Y815"/>
      <c r="AB815"/>
    </row>
    <row r="816" spans="15:28">
      <c r="O816"/>
      <c r="R816"/>
      <c r="S816"/>
      <c r="Y816"/>
      <c r="AB816"/>
    </row>
    <row r="817" spans="15:28">
      <c r="O817"/>
      <c r="R817"/>
      <c r="S817"/>
      <c r="Y817"/>
      <c r="AB817"/>
    </row>
    <row r="818" spans="15:28">
      <c r="O818"/>
      <c r="R818"/>
      <c r="S818"/>
      <c r="Y818"/>
      <c r="AB818"/>
    </row>
    <row r="819" spans="15:28">
      <c r="O819"/>
      <c r="R819"/>
      <c r="S819"/>
      <c r="Y819"/>
      <c r="AB819"/>
    </row>
    <row r="820" spans="15:28">
      <c r="O820"/>
      <c r="R820"/>
      <c r="S820"/>
      <c r="Y820"/>
      <c r="AB820"/>
    </row>
    <row r="821" spans="15:28">
      <c r="O821"/>
      <c r="R821"/>
      <c r="S821"/>
      <c r="Y821"/>
      <c r="AB821"/>
    </row>
    <row r="822" spans="15:28">
      <c r="O822"/>
      <c r="R822"/>
      <c r="S822"/>
      <c r="Y822"/>
      <c r="AB822"/>
    </row>
    <row r="823" spans="15:28">
      <c r="O823"/>
      <c r="R823"/>
      <c r="S823"/>
      <c r="Y823"/>
      <c r="AB823"/>
    </row>
    <row r="824" spans="15:28">
      <c r="O824"/>
      <c r="R824"/>
      <c r="S824"/>
      <c r="Y824"/>
      <c r="AB824"/>
    </row>
    <row r="825" spans="15:28">
      <c r="O825"/>
      <c r="R825"/>
      <c r="S825"/>
      <c r="Y825"/>
      <c r="AB825"/>
    </row>
    <row r="826" spans="15:28">
      <c r="O826"/>
      <c r="R826"/>
      <c r="S826"/>
      <c r="Y826"/>
      <c r="AB826"/>
    </row>
    <row r="827" spans="15:28">
      <c r="O827"/>
      <c r="R827"/>
      <c r="S827"/>
      <c r="Y827"/>
      <c r="AB827"/>
    </row>
    <row r="828" spans="15:28">
      <c r="O828"/>
      <c r="R828"/>
      <c r="S828"/>
      <c r="Y828"/>
      <c r="AB828"/>
    </row>
    <row r="829" spans="15:28">
      <c r="O829"/>
      <c r="R829"/>
      <c r="S829"/>
      <c r="Y829"/>
      <c r="AB829"/>
    </row>
    <row r="830" spans="15:28">
      <c r="O830"/>
      <c r="R830"/>
      <c r="S830"/>
      <c r="Y830"/>
      <c r="AB830"/>
    </row>
    <row r="831" spans="15:28">
      <c r="O831"/>
      <c r="R831"/>
      <c r="S831"/>
      <c r="Y831"/>
      <c r="AB831"/>
    </row>
    <row r="832" spans="15:28">
      <c r="O832"/>
      <c r="R832"/>
      <c r="S832"/>
      <c r="Y832"/>
      <c r="AB832"/>
    </row>
    <row r="833" spans="15:28">
      <c r="O833"/>
      <c r="R833"/>
      <c r="S833"/>
      <c r="Y833"/>
      <c r="AB833"/>
    </row>
    <row r="834" spans="15:28">
      <c r="O834"/>
      <c r="R834"/>
      <c r="S834"/>
      <c r="Y834"/>
      <c r="AB834"/>
    </row>
    <row r="835" spans="15:28">
      <c r="O835"/>
      <c r="R835"/>
      <c r="S835"/>
      <c r="Y835"/>
      <c r="AB835"/>
    </row>
    <row r="836" spans="15:28">
      <c r="O836"/>
      <c r="R836"/>
      <c r="S836"/>
      <c r="Y836"/>
      <c r="AB836"/>
    </row>
    <row r="837" spans="15:28">
      <c r="O837"/>
      <c r="R837"/>
      <c r="S837"/>
      <c r="Y837"/>
      <c r="AB837"/>
    </row>
    <row r="838" spans="15:28">
      <c r="O838"/>
      <c r="R838"/>
      <c r="S838"/>
      <c r="Y838"/>
      <c r="AB838"/>
    </row>
    <row r="839" spans="15:28">
      <c r="O839"/>
      <c r="R839"/>
      <c r="S839"/>
      <c r="Y839"/>
      <c r="AB839"/>
    </row>
    <row r="840" spans="15:28">
      <c r="O840"/>
      <c r="R840"/>
      <c r="S840"/>
      <c r="Y840"/>
      <c r="AB840"/>
    </row>
    <row r="841" spans="15:28">
      <c r="O841"/>
      <c r="R841"/>
      <c r="S841"/>
      <c r="Y841"/>
      <c r="AB841"/>
    </row>
    <row r="842" spans="15:28">
      <c r="O842"/>
      <c r="R842"/>
      <c r="S842"/>
      <c r="Y842"/>
      <c r="AB842"/>
    </row>
    <row r="843" spans="15:28">
      <c r="O843"/>
      <c r="R843"/>
      <c r="S843"/>
      <c r="Y843"/>
      <c r="AB843"/>
    </row>
    <row r="844" spans="15:28">
      <c r="O844"/>
      <c r="R844"/>
      <c r="S844"/>
      <c r="Y844"/>
      <c r="AB844"/>
    </row>
    <row r="845" spans="15:28">
      <c r="O845"/>
      <c r="R845"/>
      <c r="S845"/>
      <c r="Y845"/>
      <c r="AB845"/>
    </row>
    <row r="846" spans="15:28">
      <c r="O846"/>
      <c r="R846"/>
      <c r="S846"/>
      <c r="Y846"/>
      <c r="AB846"/>
    </row>
    <row r="847" spans="15:28">
      <c r="O847"/>
      <c r="R847"/>
      <c r="S847"/>
      <c r="Y847"/>
      <c r="AB847"/>
    </row>
    <row r="848" spans="15:28">
      <c r="O848"/>
      <c r="R848"/>
      <c r="S848"/>
      <c r="Y848"/>
      <c r="AB848"/>
    </row>
    <row r="849" spans="15:28">
      <c r="O849"/>
      <c r="R849"/>
      <c r="S849"/>
      <c r="Y849"/>
      <c r="AB849"/>
    </row>
    <row r="850" spans="15:28">
      <c r="O850"/>
      <c r="R850"/>
      <c r="S850"/>
      <c r="Y850"/>
      <c r="AB850"/>
    </row>
    <row r="851" spans="15:28">
      <c r="O851"/>
      <c r="R851"/>
      <c r="S851"/>
      <c r="Y851"/>
      <c r="AB851"/>
    </row>
    <row r="852" spans="15:28">
      <c r="O852"/>
      <c r="R852"/>
      <c r="S852"/>
      <c r="Y852"/>
      <c r="AB852"/>
    </row>
    <row r="853" spans="15:28">
      <c r="O853"/>
      <c r="R853"/>
      <c r="S853"/>
      <c r="Y853"/>
      <c r="AB853"/>
    </row>
    <row r="854" spans="15:28">
      <c r="O854"/>
      <c r="R854"/>
      <c r="S854"/>
      <c r="Y854"/>
      <c r="AB854"/>
    </row>
    <row r="855" spans="15:28">
      <c r="O855"/>
      <c r="R855"/>
      <c r="S855"/>
      <c r="Y855"/>
      <c r="AB855"/>
    </row>
    <row r="856" spans="15:28">
      <c r="O856"/>
      <c r="R856"/>
      <c r="S856"/>
      <c r="Y856"/>
      <c r="AB856"/>
    </row>
    <row r="857" spans="15:28">
      <c r="O857"/>
      <c r="R857"/>
      <c r="S857"/>
      <c r="Y857"/>
      <c r="AB857"/>
    </row>
    <row r="858" spans="15:28">
      <c r="O858"/>
      <c r="R858"/>
      <c r="S858"/>
      <c r="Y858"/>
      <c r="AB858"/>
    </row>
    <row r="859" spans="15:28">
      <c r="O859"/>
      <c r="R859"/>
      <c r="S859"/>
      <c r="Y859"/>
      <c r="AB859"/>
    </row>
    <row r="860" spans="15:28">
      <c r="O860"/>
      <c r="R860"/>
      <c r="S860"/>
      <c r="Y860"/>
      <c r="AB860"/>
    </row>
    <row r="861" spans="15:28">
      <c r="O861"/>
      <c r="R861"/>
      <c r="S861"/>
      <c r="Y861"/>
      <c r="AB861"/>
    </row>
    <row r="862" spans="15:28">
      <c r="O862"/>
      <c r="R862"/>
      <c r="S862"/>
      <c r="Y862"/>
      <c r="AB862"/>
    </row>
    <row r="863" spans="15:28">
      <c r="O863"/>
      <c r="R863"/>
      <c r="S863"/>
      <c r="Y863"/>
      <c r="AB863"/>
    </row>
    <row r="864" spans="15:28">
      <c r="O864"/>
      <c r="R864"/>
      <c r="S864"/>
      <c r="Y864"/>
      <c r="AB864"/>
    </row>
    <row r="865" spans="15:28">
      <c r="O865"/>
      <c r="R865"/>
      <c r="S865"/>
      <c r="Y865"/>
      <c r="AB865"/>
    </row>
    <row r="866" spans="15:28">
      <c r="O866"/>
      <c r="R866"/>
      <c r="S866"/>
      <c r="Y866"/>
      <c r="AB866"/>
    </row>
    <row r="867" spans="15:28">
      <c r="O867"/>
      <c r="R867"/>
      <c r="S867"/>
      <c r="Y867"/>
      <c r="AB867"/>
    </row>
    <row r="868" spans="15:28">
      <c r="O868"/>
      <c r="R868"/>
      <c r="S868"/>
      <c r="Y868"/>
      <c r="AB868"/>
    </row>
    <row r="869" spans="15:28">
      <c r="O869"/>
      <c r="R869"/>
      <c r="S869"/>
      <c r="Y869"/>
      <c r="AB869"/>
    </row>
    <row r="870" spans="15:28">
      <c r="O870"/>
      <c r="R870"/>
      <c r="S870"/>
      <c r="Y870"/>
      <c r="AB870"/>
    </row>
    <row r="871" spans="15:28">
      <c r="O871"/>
      <c r="R871"/>
      <c r="S871"/>
      <c r="Y871"/>
      <c r="AB871"/>
    </row>
    <row r="872" spans="15:28">
      <c r="O872"/>
      <c r="R872"/>
      <c r="S872"/>
      <c r="Y872"/>
      <c r="AB872"/>
    </row>
    <row r="873" spans="15:28">
      <c r="O873"/>
      <c r="R873"/>
      <c r="S873"/>
      <c r="Y873"/>
      <c r="AB873"/>
    </row>
    <row r="874" spans="15:28">
      <c r="O874"/>
      <c r="R874"/>
      <c r="S874"/>
      <c r="Y874"/>
      <c r="AB874"/>
    </row>
    <row r="875" spans="15:28">
      <c r="O875"/>
      <c r="R875"/>
      <c r="S875"/>
      <c r="Y875"/>
      <c r="AB875"/>
    </row>
    <row r="876" spans="15:28">
      <c r="O876"/>
      <c r="R876"/>
      <c r="S876"/>
      <c r="Y876"/>
      <c r="AB876"/>
    </row>
    <row r="877" spans="15:28">
      <c r="O877"/>
      <c r="R877"/>
      <c r="S877"/>
      <c r="Y877"/>
      <c r="AB877"/>
    </row>
    <row r="878" spans="15:28">
      <c r="O878"/>
      <c r="R878"/>
      <c r="S878"/>
      <c r="Y878"/>
      <c r="AB878"/>
    </row>
    <row r="879" spans="15:28">
      <c r="O879"/>
      <c r="R879"/>
      <c r="S879"/>
      <c r="Y879"/>
      <c r="AB879"/>
    </row>
    <row r="880" spans="15:28">
      <c r="O880"/>
      <c r="R880"/>
      <c r="S880"/>
      <c r="Y880"/>
      <c r="AB880"/>
    </row>
    <row r="881" spans="15:28">
      <c r="O881"/>
      <c r="R881"/>
      <c r="S881"/>
      <c r="Y881"/>
      <c r="AB881"/>
    </row>
    <row r="882" spans="15:28">
      <c r="O882"/>
      <c r="R882"/>
      <c r="S882"/>
      <c r="Y882"/>
      <c r="AB882"/>
    </row>
    <row r="883" spans="15:28">
      <c r="O883"/>
      <c r="R883"/>
      <c r="S883"/>
      <c r="Y883"/>
      <c r="AB883"/>
    </row>
    <row r="884" spans="15:28">
      <c r="O884"/>
      <c r="R884"/>
      <c r="S884"/>
      <c r="Y884"/>
      <c r="AB884"/>
    </row>
    <row r="885" spans="15:28">
      <c r="O885"/>
      <c r="R885"/>
      <c r="S885"/>
      <c r="Y885"/>
      <c r="AB885"/>
    </row>
    <row r="886" spans="15:28">
      <c r="O886"/>
      <c r="R886"/>
      <c r="S886"/>
      <c r="Y886"/>
      <c r="AB886"/>
    </row>
    <row r="887" spans="15:28">
      <c r="O887"/>
      <c r="R887"/>
      <c r="S887"/>
      <c r="Y887"/>
      <c r="AB887"/>
    </row>
    <row r="888" spans="15:28">
      <c r="O888"/>
      <c r="R888"/>
      <c r="S888"/>
      <c r="Y888"/>
      <c r="AB888"/>
    </row>
    <row r="889" spans="15:28">
      <c r="O889"/>
      <c r="R889"/>
      <c r="S889"/>
      <c r="Y889"/>
      <c r="AB889"/>
    </row>
    <row r="890" spans="15:28">
      <c r="O890"/>
      <c r="R890"/>
      <c r="S890"/>
      <c r="Y890"/>
      <c r="AB890"/>
    </row>
    <row r="891" spans="15:28">
      <c r="O891"/>
      <c r="R891"/>
      <c r="S891"/>
      <c r="Y891"/>
      <c r="AB891"/>
    </row>
    <row r="892" spans="15:28">
      <c r="O892"/>
      <c r="R892"/>
      <c r="S892"/>
      <c r="Y892"/>
      <c r="AB892"/>
    </row>
    <row r="893" spans="15:28">
      <c r="O893"/>
      <c r="R893"/>
      <c r="S893"/>
      <c r="Y893"/>
      <c r="AB893"/>
    </row>
    <row r="894" spans="15:28">
      <c r="O894"/>
      <c r="R894"/>
      <c r="S894"/>
      <c r="Y894"/>
      <c r="AB894"/>
    </row>
    <row r="895" spans="15:28">
      <c r="O895"/>
      <c r="R895"/>
      <c r="S895"/>
      <c r="Y895"/>
      <c r="AB895"/>
    </row>
    <row r="896" spans="15:28">
      <c r="O896"/>
      <c r="R896"/>
      <c r="S896"/>
      <c r="Y896"/>
      <c r="AB896"/>
    </row>
    <row r="897" spans="15:28">
      <c r="O897"/>
      <c r="R897"/>
      <c r="S897"/>
      <c r="Y897"/>
      <c r="AB897"/>
    </row>
    <row r="898" spans="15:28">
      <c r="O898"/>
      <c r="R898"/>
      <c r="S898"/>
      <c r="Y898"/>
      <c r="AB898"/>
    </row>
    <row r="899" spans="15:28">
      <c r="O899"/>
      <c r="R899"/>
      <c r="S899"/>
      <c r="Y899"/>
      <c r="AB899"/>
    </row>
    <row r="900" spans="15:28">
      <c r="O900"/>
      <c r="R900"/>
      <c r="S900"/>
      <c r="Y900"/>
      <c r="AB900"/>
    </row>
    <row r="901" spans="15:28">
      <c r="O901"/>
      <c r="R901"/>
      <c r="S901"/>
      <c r="Y901"/>
      <c r="AB901"/>
    </row>
    <row r="902" spans="15:28">
      <c r="O902"/>
      <c r="R902"/>
      <c r="S902"/>
      <c r="Y902"/>
      <c r="AB902"/>
    </row>
    <row r="903" spans="15:28">
      <c r="O903"/>
      <c r="R903"/>
      <c r="S903"/>
      <c r="Y903"/>
      <c r="AB903"/>
    </row>
    <row r="904" spans="15:28">
      <c r="O904"/>
      <c r="R904"/>
      <c r="S904"/>
      <c r="Y904"/>
      <c r="AB904"/>
    </row>
    <row r="905" spans="15:28">
      <c r="O905"/>
      <c r="R905"/>
      <c r="S905"/>
      <c r="Y905"/>
      <c r="AB905"/>
    </row>
    <row r="906" spans="15:28">
      <c r="O906"/>
      <c r="R906"/>
      <c r="S906"/>
      <c r="Y906"/>
      <c r="AB906"/>
    </row>
    <row r="907" spans="15:28">
      <c r="O907"/>
      <c r="R907"/>
      <c r="S907"/>
      <c r="Y907"/>
      <c r="AB907"/>
    </row>
    <row r="908" spans="15:28">
      <c r="O908"/>
      <c r="R908"/>
      <c r="S908"/>
      <c r="Y908"/>
      <c r="AB908"/>
    </row>
    <row r="909" spans="15:28">
      <c r="O909"/>
      <c r="R909"/>
      <c r="S909"/>
      <c r="Y909"/>
      <c r="AB909"/>
    </row>
    <row r="910" spans="15:28">
      <c r="O910"/>
      <c r="R910"/>
      <c r="S910"/>
      <c r="Y910"/>
      <c r="AB910"/>
    </row>
    <row r="911" spans="15:28">
      <c r="O911"/>
      <c r="R911"/>
      <c r="S911"/>
      <c r="Y911"/>
      <c r="AB911"/>
    </row>
    <row r="912" spans="15:28">
      <c r="O912"/>
      <c r="R912"/>
      <c r="S912"/>
      <c r="Y912"/>
      <c r="AB912"/>
    </row>
    <row r="913" spans="15:28">
      <c r="O913"/>
      <c r="R913"/>
      <c r="S913"/>
      <c r="Y913"/>
      <c r="AB913"/>
    </row>
    <row r="914" spans="15:28">
      <c r="O914"/>
      <c r="R914"/>
      <c r="S914"/>
      <c r="Y914"/>
      <c r="AB914"/>
    </row>
    <row r="915" spans="15:28">
      <c r="O915"/>
      <c r="R915"/>
      <c r="S915"/>
      <c r="Y915"/>
      <c r="AB915"/>
    </row>
    <row r="916" spans="15:28">
      <c r="O916"/>
      <c r="R916"/>
      <c r="S916"/>
      <c r="Y916"/>
      <c r="AB916"/>
    </row>
    <row r="917" spans="15:28">
      <c r="O917"/>
      <c r="R917"/>
      <c r="S917"/>
      <c r="Y917"/>
      <c r="AB917"/>
    </row>
    <row r="918" spans="15:28">
      <c r="O918"/>
      <c r="R918"/>
      <c r="S918"/>
      <c r="Y918"/>
      <c r="AB918"/>
    </row>
    <row r="919" spans="15:28">
      <c r="O919"/>
      <c r="R919"/>
      <c r="S919"/>
      <c r="Y919"/>
      <c r="AB919"/>
    </row>
    <row r="920" spans="15:28">
      <c r="O920"/>
      <c r="R920"/>
      <c r="S920"/>
      <c r="Y920"/>
      <c r="AB920"/>
    </row>
    <row r="921" spans="15:28">
      <c r="O921"/>
      <c r="R921"/>
      <c r="S921"/>
      <c r="Y921"/>
      <c r="AB921"/>
    </row>
    <row r="922" spans="15:28">
      <c r="O922"/>
      <c r="R922"/>
      <c r="S922"/>
      <c r="Y922"/>
      <c r="AB922"/>
    </row>
    <row r="923" spans="15:28">
      <c r="O923"/>
      <c r="R923"/>
      <c r="S923"/>
      <c r="Y923"/>
      <c r="AB923"/>
    </row>
    <row r="924" spans="15:28">
      <c r="O924"/>
      <c r="R924"/>
      <c r="S924"/>
      <c r="Y924"/>
      <c r="AB924"/>
    </row>
    <row r="925" spans="15:28">
      <c r="O925"/>
      <c r="R925"/>
      <c r="S925"/>
      <c r="Y925"/>
      <c r="AB925"/>
    </row>
    <row r="926" spans="15:28">
      <c r="O926"/>
      <c r="R926"/>
      <c r="S926"/>
      <c r="Y926"/>
      <c r="AB926"/>
    </row>
    <row r="927" spans="15:28">
      <c r="O927"/>
      <c r="R927"/>
      <c r="S927"/>
      <c r="Y927"/>
      <c r="AB927"/>
    </row>
    <row r="928" spans="15:28">
      <c r="O928"/>
      <c r="R928"/>
      <c r="S928"/>
      <c r="Y928"/>
      <c r="AB928"/>
    </row>
    <row r="929" spans="15:28">
      <c r="O929"/>
      <c r="R929"/>
      <c r="S929"/>
      <c r="Y929"/>
      <c r="AB929"/>
    </row>
    <row r="930" spans="15:28">
      <c r="O930"/>
      <c r="R930"/>
      <c r="S930"/>
      <c r="Y930"/>
      <c r="AB930"/>
    </row>
    <row r="931" spans="15:28">
      <c r="O931"/>
      <c r="R931"/>
      <c r="S931"/>
      <c r="Y931"/>
      <c r="AB931"/>
    </row>
    <row r="932" spans="15:28">
      <c r="O932"/>
      <c r="R932"/>
      <c r="S932"/>
      <c r="Y932"/>
      <c r="AB932"/>
    </row>
    <row r="933" spans="15:28">
      <c r="O933"/>
      <c r="R933"/>
      <c r="S933"/>
      <c r="Y933"/>
      <c r="AB933"/>
    </row>
    <row r="934" spans="15:28">
      <c r="O934"/>
      <c r="R934"/>
      <c r="S934"/>
      <c r="Y934"/>
      <c r="AB934"/>
    </row>
    <row r="935" spans="15:28">
      <c r="O935"/>
      <c r="R935"/>
      <c r="S935"/>
      <c r="Y935"/>
      <c r="AB935"/>
    </row>
    <row r="936" spans="15:28">
      <c r="O936"/>
      <c r="R936"/>
      <c r="S936"/>
      <c r="Y936"/>
      <c r="AB936"/>
    </row>
    <row r="937" spans="15:28">
      <c r="O937"/>
      <c r="R937"/>
      <c r="S937"/>
      <c r="Y937"/>
      <c r="AB937"/>
    </row>
    <row r="938" spans="15:28">
      <c r="O938"/>
      <c r="R938"/>
      <c r="S938"/>
      <c r="Y938"/>
      <c r="AB938"/>
    </row>
    <row r="939" spans="15:28">
      <c r="O939"/>
      <c r="R939"/>
      <c r="S939"/>
      <c r="Y939"/>
      <c r="AB939"/>
    </row>
    <row r="940" spans="15:28">
      <c r="O940"/>
      <c r="R940"/>
      <c r="S940"/>
      <c r="Y940"/>
      <c r="AB940"/>
    </row>
    <row r="941" spans="15:28">
      <c r="O941"/>
      <c r="R941"/>
      <c r="S941"/>
      <c r="Y941"/>
      <c r="AB941"/>
    </row>
    <row r="942" spans="15:28">
      <c r="O942"/>
      <c r="R942"/>
      <c r="S942"/>
      <c r="Y942"/>
      <c r="AB942"/>
    </row>
    <row r="943" spans="15:28">
      <c r="O943"/>
      <c r="R943"/>
      <c r="S943"/>
      <c r="Y943"/>
      <c r="AB943"/>
    </row>
    <row r="944" spans="15:28">
      <c r="O944"/>
      <c r="R944"/>
      <c r="S944"/>
      <c r="Y944"/>
      <c r="AB944"/>
    </row>
    <row r="945" spans="15:28">
      <c r="O945"/>
      <c r="R945"/>
      <c r="S945"/>
      <c r="Y945"/>
      <c r="AB945"/>
    </row>
    <row r="946" spans="15:28">
      <c r="O946"/>
      <c r="R946"/>
      <c r="S946"/>
      <c r="Y946"/>
      <c r="AB946"/>
    </row>
    <row r="947" spans="15:28">
      <c r="O947"/>
      <c r="R947"/>
      <c r="S947"/>
      <c r="Y947"/>
      <c r="AB947"/>
    </row>
    <row r="948" spans="15:28">
      <c r="O948"/>
      <c r="R948"/>
      <c r="S948"/>
      <c r="Y948"/>
      <c r="AB948"/>
    </row>
    <row r="949" spans="15:28">
      <c r="O949"/>
      <c r="R949"/>
      <c r="S949"/>
      <c r="Y949"/>
      <c r="AB949"/>
    </row>
    <row r="950" spans="15:28">
      <c r="O950"/>
      <c r="R950"/>
      <c r="S950"/>
      <c r="Y950"/>
      <c r="AB950"/>
    </row>
    <row r="951" spans="15:28">
      <c r="O951"/>
      <c r="R951"/>
      <c r="S951"/>
      <c r="Y951"/>
      <c r="AB951"/>
    </row>
    <row r="952" spans="15:28">
      <c r="O952"/>
      <c r="R952"/>
      <c r="S952"/>
      <c r="Y952"/>
      <c r="AB952"/>
    </row>
    <row r="953" spans="15:28">
      <c r="O953"/>
      <c r="R953"/>
      <c r="S953"/>
      <c r="Y953"/>
      <c r="AB953"/>
    </row>
    <row r="954" spans="15:28">
      <c r="O954"/>
      <c r="R954"/>
      <c r="S954"/>
      <c r="Y954"/>
      <c r="AB954"/>
    </row>
    <row r="955" spans="15:28">
      <c r="O955"/>
      <c r="R955"/>
      <c r="S955"/>
      <c r="Y955"/>
      <c r="AB955"/>
    </row>
    <row r="956" spans="15:28">
      <c r="O956"/>
      <c r="R956"/>
      <c r="S956"/>
      <c r="Y956"/>
      <c r="AB956"/>
    </row>
    <row r="957" spans="15:28">
      <c r="O957"/>
      <c r="R957"/>
      <c r="S957"/>
      <c r="Y957"/>
      <c r="AB957"/>
    </row>
    <row r="958" spans="15:28">
      <c r="O958"/>
      <c r="R958"/>
      <c r="S958"/>
      <c r="Y958"/>
      <c r="AB958"/>
    </row>
    <row r="959" spans="15:28">
      <c r="O959"/>
      <c r="R959"/>
      <c r="S959"/>
      <c r="Y959"/>
      <c r="AB959"/>
    </row>
    <row r="960" spans="15:28">
      <c r="O960"/>
      <c r="R960"/>
      <c r="S960"/>
      <c r="Y960"/>
      <c r="AB960"/>
    </row>
    <row r="961" spans="15:28">
      <c r="O961"/>
      <c r="R961"/>
      <c r="S961"/>
      <c r="Y961"/>
      <c r="AB961"/>
    </row>
    <row r="962" spans="15:28">
      <c r="O962"/>
      <c r="R962"/>
      <c r="S962"/>
      <c r="Y962"/>
      <c r="AB962"/>
    </row>
    <row r="963" spans="15:28">
      <c r="O963"/>
      <c r="R963"/>
      <c r="S963"/>
      <c r="Y963"/>
      <c r="AB963"/>
    </row>
    <row r="964" spans="15:28">
      <c r="O964"/>
      <c r="R964"/>
      <c r="S964"/>
      <c r="Y964"/>
      <c r="AB964"/>
    </row>
    <row r="965" spans="15:28">
      <c r="O965"/>
      <c r="R965"/>
      <c r="S965"/>
      <c r="Y965"/>
      <c r="AB965"/>
    </row>
    <row r="966" spans="15:28">
      <c r="O966"/>
      <c r="R966"/>
      <c r="S966"/>
      <c r="Y966"/>
      <c r="AB966"/>
    </row>
    <row r="967" spans="15:28">
      <c r="O967"/>
      <c r="R967"/>
      <c r="S967"/>
      <c r="Y967"/>
      <c r="AB967"/>
    </row>
    <row r="968" spans="15:28">
      <c r="O968"/>
      <c r="R968"/>
      <c r="S968"/>
      <c r="Y968"/>
      <c r="AB968"/>
    </row>
    <row r="969" spans="15:28">
      <c r="O969"/>
      <c r="R969"/>
      <c r="S969"/>
      <c r="Y969"/>
      <c r="AB969"/>
    </row>
    <row r="970" spans="15:28">
      <c r="O970"/>
      <c r="R970"/>
      <c r="S970"/>
      <c r="Y970"/>
      <c r="AB970"/>
    </row>
    <row r="971" spans="15:28">
      <c r="O971"/>
      <c r="R971"/>
      <c r="S971"/>
      <c r="Y971"/>
      <c r="AB971"/>
    </row>
    <row r="972" spans="15:28">
      <c r="O972"/>
      <c r="R972"/>
      <c r="S972"/>
      <c r="Y972"/>
      <c r="AB972"/>
    </row>
    <row r="973" spans="15:28">
      <c r="O973"/>
      <c r="R973"/>
      <c r="S973"/>
      <c r="Y973"/>
      <c r="AB973"/>
    </row>
    <row r="974" spans="15:28">
      <c r="O974"/>
      <c r="R974"/>
      <c r="S974"/>
      <c r="Y974"/>
      <c r="AB974"/>
    </row>
    <row r="975" spans="15:28">
      <c r="O975"/>
      <c r="R975"/>
      <c r="S975"/>
      <c r="Y975"/>
      <c r="AB975"/>
    </row>
    <row r="976" spans="15:28">
      <c r="O976"/>
      <c r="R976"/>
      <c r="S976"/>
      <c r="Y976"/>
      <c r="AB976"/>
    </row>
    <row r="977" spans="15:28">
      <c r="O977"/>
      <c r="R977"/>
      <c r="S977"/>
      <c r="Y977"/>
      <c r="AB977"/>
    </row>
    <row r="978" spans="15:28">
      <c r="O978"/>
      <c r="R978"/>
      <c r="S978"/>
      <c r="Y978"/>
      <c r="AB978"/>
    </row>
    <row r="979" spans="15:28">
      <c r="O979"/>
      <c r="R979"/>
      <c r="S979"/>
      <c r="Y979"/>
      <c r="AB979"/>
    </row>
    <row r="980" spans="15:28">
      <c r="O980"/>
      <c r="R980"/>
      <c r="S980"/>
      <c r="Y980"/>
      <c r="AB980"/>
    </row>
    <row r="981" spans="15:28">
      <c r="O981"/>
      <c r="R981"/>
      <c r="S981"/>
      <c r="Y981"/>
      <c r="AB981"/>
    </row>
    <row r="982" spans="15:28">
      <c r="O982"/>
      <c r="R982"/>
      <c r="S982"/>
      <c r="Y982"/>
      <c r="AB982"/>
    </row>
    <row r="983" spans="15:28">
      <c r="O983"/>
      <c r="R983"/>
      <c r="S983"/>
      <c r="Y983"/>
      <c r="AB983"/>
    </row>
    <row r="984" spans="15:28">
      <c r="O984"/>
      <c r="R984"/>
      <c r="S984"/>
      <c r="Y984"/>
      <c r="AB984"/>
    </row>
    <row r="985" spans="15:28">
      <c r="O985"/>
      <c r="R985"/>
      <c r="S985"/>
      <c r="Y985"/>
      <c r="AB985"/>
    </row>
    <row r="986" spans="15:28">
      <c r="O986"/>
      <c r="R986"/>
      <c r="S986"/>
      <c r="Y986"/>
      <c r="AB986"/>
    </row>
    <row r="987" spans="15:28">
      <c r="O987"/>
      <c r="R987"/>
      <c r="S987"/>
      <c r="Y987"/>
      <c r="AB987"/>
    </row>
    <row r="988" spans="15:28">
      <c r="O988"/>
      <c r="R988"/>
      <c r="S988"/>
      <c r="Y988"/>
      <c r="AB988"/>
    </row>
    <row r="989" spans="15:28">
      <c r="O989"/>
      <c r="R989"/>
      <c r="S989"/>
      <c r="Y989"/>
      <c r="AB989"/>
    </row>
    <row r="990" spans="15:28">
      <c r="O990"/>
      <c r="R990"/>
      <c r="S990"/>
      <c r="Y990"/>
      <c r="AB990"/>
    </row>
    <row r="991" spans="15:28">
      <c r="O991"/>
      <c r="R991"/>
      <c r="S991"/>
      <c r="Y991"/>
      <c r="AB991"/>
    </row>
    <row r="992" spans="15:28">
      <c r="O992"/>
      <c r="R992"/>
      <c r="S992"/>
      <c r="Y992"/>
      <c r="AB992"/>
    </row>
    <row r="993" spans="15:28">
      <c r="O993"/>
      <c r="R993"/>
      <c r="S993"/>
      <c r="Y993"/>
      <c r="AB993"/>
    </row>
    <row r="994" spans="15:28">
      <c r="O994"/>
      <c r="R994"/>
      <c r="S994"/>
      <c r="Y994"/>
      <c r="AB994"/>
    </row>
    <row r="995" spans="15:28">
      <c r="O995"/>
      <c r="R995"/>
      <c r="S995"/>
      <c r="Y995"/>
      <c r="AB995"/>
    </row>
    <row r="996" spans="15:28">
      <c r="O996"/>
      <c r="R996"/>
      <c r="S996"/>
      <c r="Y996"/>
      <c r="AB996"/>
    </row>
    <row r="997" spans="15:28">
      <c r="O997"/>
      <c r="R997"/>
      <c r="S997"/>
      <c r="Y997"/>
      <c r="AB997"/>
    </row>
    <row r="998" spans="15:28">
      <c r="O998"/>
      <c r="R998"/>
      <c r="S998"/>
      <c r="Y998"/>
      <c r="AB998"/>
    </row>
    <row r="999" spans="15:28">
      <c r="O999"/>
      <c r="R999"/>
      <c r="S999"/>
      <c r="Y999"/>
      <c r="AB999"/>
    </row>
    <row r="1000" spans="15:28">
      <c r="O1000"/>
      <c r="R1000"/>
      <c r="S1000"/>
      <c r="Y1000"/>
      <c r="AB1000"/>
    </row>
    <row r="1001" spans="15:28">
      <c r="O1001"/>
      <c r="R1001"/>
      <c r="S1001"/>
      <c r="Y1001"/>
      <c r="AB1001"/>
    </row>
    <row r="1002" spans="15:28">
      <c r="O1002"/>
      <c r="R1002"/>
      <c r="S1002"/>
      <c r="Y1002"/>
      <c r="AB1002"/>
    </row>
    <row r="1003" spans="15:28">
      <c r="O1003"/>
      <c r="R1003"/>
      <c r="S1003"/>
      <c r="Y1003"/>
      <c r="AB1003"/>
    </row>
    <row r="1004" spans="15:28">
      <c r="O1004"/>
      <c r="R1004"/>
      <c r="S1004"/>
      <c r="Y1004"/>
      <c r="AB1004"/>
    </row>
    <row r="1005" spans="15:28">
      <c r="O1005"/>
      <c r="R1005"/>
      <c r="S1005"/>
      <c r="Y1005"/>
      <c r="AB1005"/>
    </row>
    <row r="1006" spans="15:28">
      <c r="O1006"/>
      <c r="R1006"/>
      <c r="S1006"/>
      <c r="Y1006"/>
      <c r="AB1006"/>
    </row>
    <row r="1007" spans="15:28">
      <c r="O1007"/>
      <c r="R1007"/>
      <c r="S1007"/>
      <c r="Y1007"/>
      <c r="AB1007"/>
    </row>
    <row r="1008" spans="15:28">
      <c r="O1008"/>
      <c r="R1008"/>
      <c r="S1008"/>
      <c r="Y1008"/>
      <c r="AB1008"/>
    </row>
    <row r="1009" spans="15:28">
      <c r="O1009"/>
      <c r="R1009"/>
      <c r="S1009"/>
      <c r="Y1009"/>
      <c r="AB1009"/>
    </row>
    <row r="1010" spans="15:28">
      <c r="O1010"/>
      <c r="R1010"/>
      <c r="S1010"/>
      <c r="Y1010"/>
      <c r="AB1010"/>
    </row>
    <row r="1011" spans="15:28">
      <c r="O1011"/>
      <c r="R1011"/>
      <c r="S1011"/>
      <c r="Y1011"/>
      <c r="AB1011"/>
    </row>
    <row r="1012" spans="15:28">
      <c r="O1012"/>
      <c r="R1012"/>
      <c r="S1012"/>
      <c r="Y1012"/>
      <c r="AB1012"/>
    </row>
    <row r="1013" spans="15:28">
      <c r="O1013"/>
      <c r="R1013"/>
      <c r="S1013"/>
      <c r="Y1013"/>
      <c r="AB1013"/>
    </row>
    <row r="1014" spans="15:28">
      <c r="O1014"/>
      <c r="R1014"/>
      <c r="S1014"/>
      <c r="Y1014"/>
      <c r="AB1014"/>
    </row>
    <row r="1015" spans="15:28">
      <c r="O1015"/>
      <c r="R1015"/>
      <c r="S1015"/>
      <c r="Y1015"/>
      <c r="AB1015"/>
    </row>
    <row r="1016" spans="15:28">
      <c r="O1016"/>
      <c r="R1016"/>
      <c r="S1016"/>
      <c r="Y1016"/>
      <c r="AB1016"/>
    </row>
    <row r="1017" spans="15:28">
      <c r="O1017"/>
      <c r="R1017"/>
      <c r="S1017"/>
      <c r="Y1017"/>
      <c r="AB1017"/>
    </row>
    <row r="1018" spans="15:28">
      <c r="O1018"/>
      <c r="R1018"/>
      <c r="S1018"/>
      <c r="Y1018"/>
      <c r="AB1018"/>
    </row>
    <row r="1019" spans="15:28">
      <c r="O1019"/>
      <c r="R1019"/>
      <c r="S1019"/>
      <c r="Y1019"/>
      <c r="AB1019"/>
    </row>
    <row r="1020" spans="15:28">
      <c r="O1020"/>
      <c r="R1020"/>
      <c r="S1020"/>
      <c r="Y1020"/>
      <c r="AB1020"/>
    </row>
    <row r="1021" spans="15:28">
      <c r="O1021"/>
      <c r="R1021"/>
      <c r="S1021"/>
      <c r="Y1021"/>
      <c r="AB1021"/>
    </row>
    <row r="1022" spans="15:28">
      <c r="O1022"/>
      <c r="R1022"/>
      <c r="S1022"/>
      <c r="Y1022"/>
      <c r="AB1022"/>
    </row>
    <row r="1023" spans="15:28">
      <c r="O1023"/>
      <c r="R1023"/>
      <c r="S1023"/>
      <c r="Y1023"/>
      <c r="AB1023"/>
    </row>
    <row r="1024" spans="15:28">
      <c r="O1024"/>
      <c r="R1024"/>
      <c r="S1024"/>
      <c r="Y1024"/>
      <c r="AB1024"/>
    </row>
    <row r="1025" spans="15:28">
      <c r="O1025"/>
      <c r="R1025"/>
      <c r="S1025"/>
      <c r="Y1025"/>
      <c r="AB1025"/>
    </row>
    <row r="1026" spans="15:28">
      <c r="O1026"/>
      <c r="R1026"/>
      <c r="S1026"/>
      <c r="Y1026"/>
      <c r="AB1026"/>
    </row>
    <row r="1027" spans="15:28">
      <c r="O1027"/>
      <c r="R1027"/>
      <c r="S1027"/>
      <c r="Y1027"/>
      <c r="AB1027"/>
    </row>
    <row r="1028" spans="15:28">
      <c r="O1028"/>
      <c r="R1028"/>
      <c r="S1028"/>
      <c r="Y1028"/>
      <c r="AB1028"/>
    </row>
    <row r="1029" spans="15:28">
      <c r="O1029"/>
      <c r="R1029"/>
      <c r="S1029"/>
      <c r="Y1029"/>
      <c r="AB1029"/>
    </row>
    <row r="1030" spans="15:28">
      <c r="O1030"/>
      <c r="R1030"/>
      <c r="S1030"/>
      <c r="Y1030"/>
      <c r="AB1030"/>
    </row>
    <row r="1031" spans="15:28">
      <c r="O1031"/>
      <c r="R1031"/>
      <c r="S1031"/>
      <c r="Y1031"/>
      <c r="AB1031"/>
    </row>
    <row r="1032" spans="15:28">
      <c r="O1032"/>
      <c r="R1032"/>
      <c r="S1032"/>
      <c r="Y1032"/>
      <c r="AB1032"/>
    </row>
    <row r="1033" spans="15:28">
      <c r="O1033"/>
      <c r="R1033"/>
      <c r="S1033"/>
      <c r="Y1033"/>
      <c r="AB1033"/>
    </row>
    <row r="1034" spans="15:28">
      <c r="O1034"/>
      <c r="R1034"/>
      <c r="S1034"/>
      <c r="Y1034"/>
      <c r="AB1034"/>
    </row>
    <row r="1035" spans="15:28">
      <c r="O1035"/>
      <c r="R1035"/>
      <c r="S1035"/>
      <c r="Y1035"/>
      <c r="AB1035"/>
    </row>
    <row r="1036" spans="15:28">
      <c r="O1036"/>
      <c r="R1036"/>
      <c r="S1036"/>
      <c r="Y1036"/>
      <c r="AB1036"/>
    </row>
    <row r="1037" spans="15:28">
      <c r="O1037"/>
      <c r="R1037"/>
      <c r="S1037"/>
      <c r="Y1037"/>
      <c r="AB1037"/>
    </row>
    <row r="1038" spans="15:28">
      <c r="O1038"/>
      <c r="R1038"/>
      <c r="S1038"/>
      <c r="Y1038"/>
      <c r="AB1038"/>
    </row>
    <row r="1039" spans="15:28">
      <c r="O1039"/>
      <c r="R1039"/>
      <c r="S1039"/>
      <c r="Y1039"/>
      <c r="AB1039"/>
    </row>
    <row r="1040" spans="15:28">
      <c r="O1040"/>
      <c r="R1040"/>
      <c r="S1040"/>
      <c r="Y1040"/>
      <c r="AB1040"/>
    </row>
    <row r="1041" spans="15:28">
      <c r="O1041"/>
      <c r="R1041"/>
      <c r="S1041"/>
      <c r="Y1041"/>
      <c r="AB1041"/>
    </row>
    <row r="1042" spans="15:28">
      <c r="O1042"/>
      <c r="R1042"/>
      <c r="S1042"/>
      <c r="Y1042"/>
      <c r="AB1042"/>
    </row>
    <row r="1043" spans="15:28">
      <c r="O1043"/>
      <c r="R1043"/>
      <c r="S1043"/>
      <c r="Y1043"/>
      <c r="AB1043"/>
    </row>
    <row r="1044" spans="15:28">
      <c r="O1044"/>
      <c r="R1044"/>
      <c r="S1044"/>
      <c r="Y1044"/>
      <c r="AB1044"/>
    </row>
    <row r="1045" spans="15:28">
      <c r="O1045"/>
      <c r="R1045"/>
      <c r="S1045"/>
      <c r="Y1045"/>
      <c r="AB1045"/>
    </row>
    <row r="1046" spans="15:28">
      <c r="O1046"/>
      <c r="R1046"/>
      <c r="S1046"/>
      <c r="Y1046"/>
      <c r="AB1046"/>
    </row>
    <row r="1047" spans="15:28">
      <c r="O1047"/>
      <c r="R1047"/>
      <c r="S1047"/>
      <c r="Y1047"/>
      <c r="AB1047"/>
    </row>
    <row r="1048" spans="15:28">
      <c r="O1048"/>
      <c r="R1048"/>
      <c r="S1048"/>
      <c r="Y1048"/>
      <c r="AB1048"/>
    </row>
    <row r="1049" spans="15:28">
      <c r="O1049"/>
      <c r="R1049"/>
      <c r="S1049"/>
      <c r="Y1049"/>
      <c r="AB1049"/>
    </row>
    <row r="1050" spans="15:28">
      <c r="O1050"/>
      <c r="R1050"/>
      <c r="S1050"/>
      <c r="Y1050"/>
      <c r="AB1050"/>
    </row>
    <row r="1051" spans="15:28">
      <c r="O1051"/>
      <c r="R1051"/>
      <c r="S1051"/>
      <c r="Y1051"/>
      <c r="AB1051"/>
    </row>
    <row r="1052" spans="15:28">
      <c r="O1052"/>
      <c r="R1052"/>
      <c r="S1052"/>
      <c r="Y1052"/>
      <c r="AB1052"/>
    </row>
    <row r="1053" spans="15:28">
      <c r="O1053"/>
      <c r="R1053"/>
      <c r="S1053"/>
      <c r="Y1053"/>
      <c r="AB1053"/>
    </row>
    <row r="1054" spans="15:28">
      <c r="O1054"/>
      <c r="R1054"/>
      <c r="S1054"/>
      <c r="Y1054"/>
      <c r="AB1054"/>
    </row>
    <row r="1055" spans="15:28">
      <c r="O1055"/>
      <c r="R1055"/>
      <c r="S1055"/>
      <c r="Y1055"/>
      <c r="AB1055"/>
    </row>
    <row r="1056" spans="15:28">
      <c r="O1056"/>
      <c r="R1056"/>
      <c r="S1056"/>
      <c r="Y1056"/>
      <c r="AB1056"/>
    </row>
    <row r="1057" spans="15:28">
      <c r="O1057"/>
      <c r="R1057"/>
      <c r="S1057"/>
      <c r="Y1057"/>
      <c r="AB1057"/>
    </row>
    <row r="1058" spans="15:28">
      <c r="O1058"/>
      <c r="R1058"/>
      <c r="S1058"/>
      <c r="Y1058"/>
      <c r="AB1058"/>
    </row>
    <row r="1059" spans="15:28">
      <c r="O1059"/>
      <c r="R1059"/>
      <c r="S1059"/>
      <c r="Y1059"/>
      <c r="AB1059"/>
    </row>
    <row r="1060" spans="15:28">
      <c r="O1060"/>
      <c r="R1060"/>
      <c r="S1060"/>
      <c r="Y1060"/>
      <c r="AB1060"/>
    </row>
    <row r="1061" spans="15:28">
      <c r="O1061"/>
      <c r="R1061"/>
      <c r="S1061"/>
      <c r="Y1061"/>
      <c r="AB1061"/>
    </row>
    <row r="1062" spans="15:28">
      <c r="O1062"/>
      <c r="R1062"/>
      <c r="S1062"/>
      <c r="Y1062"/>
      <c r="AB1062"/>
    </row>
    <row r="1063" spans="15:28">
      <c r="O1063"/>
      <c r="R1063"/>
      <c r="S1063"/>
      <c r="Y1063"/>
      <c r="AB1063"/>
    </row>
    <row r="1064" spans="15:28">
      <c r="O1064"/>
      <c r="R1064"/>
      <c r="S1064"/>
      <c r="Y1064"/>
      <c r="AB1064"/>
    </row>
    <row r="1065" spans="15:28">
      <c r="O1065"/>
      <c r="R1065"/>
      <c r="S1065"/>
      <c r="Y1065"/>
      <c r="AB1065"/>
    </row>
    <row r="1066" spans="15:28">
      <c r="O1066"/>
      <c r="R1066"/>
      <c r="S1066"/>
      <c r="Y1066"/>
      <c r="AB1066"/>
    </row>
    <row r="1067" spans="15:28">
      <c r="O1067"/>
      <c r="R1067"/>
      <c r="S1067"/>
      <c r="Y1067"/>
      <c r="AB1067"/>
    </row>
    <row r="1068" spans="15:28">
      <c r="O1068"/>
      <c r="R1068"/>
      <c r="S1068"/>
      <c r="Y1068"/>
      <c r="AB1068"/>
    </row>
    <row r="1069" spans="15:28">
      <c r="O1069"/>
      <c r="R1069"/>
      <c r="S1069"/>
      <c r="Y1069"/>
      <c r="AB1069"/>
    </row>
    <row r="1070" spans="15:28">
      <c r="O1070"/>
      <c r="R1070"/>
      <c r="S1070"/>
      <c r="Y1070"/>
      <c r="AB1070"/>
    </row>
    <row r="1071" spans="15:28">
      <c r="O1071"/>
      <c r="R1071"/>
      <c r="S1071"/>
      <c r="Y1071"/>
      <c r="AB1071"/>
    </row>
    <row r="1072" spans="15:28">
      <c r="O1072"/>
      <c r="R1072"/>
      <c r="S1072"/>
      <c r="Y1072"/>
      <c r="AB1072"/>
    </row>
    <row r="1073" spans="15:28">
      <c r="O1073"/>
      <c r="R1073"/>
      <c r="S1073"/>
      <c r="Y1073"/>
      <c r="AB1073"/>
    </row>
    <row r="1074" spans="15:28">
      <c r="O1074"/>
      <c r="R1074"/>
      <c r="S1074"/>
      <c r="Y1074"/>
      <c r="AB1074"/>
    </row>
    <row r="1075" spans="15:28">
      <c r="O1075"/>
      <c r="R1075"/>
      <c r="S1075"/>
      <c r="Y1075"/>
      <c r="AB1075"/>
    </row>
    <row r="1076" spans="15:28">
      <c r="O1076"/>
      <c r="R1076"/>
      <c r="S1076"/>
      <c r="Y1076"/>
      <c r="AB1076"/>
    </row>
    <row r="1077" spans="15:28">
      <c r="O1077"/>
      <c r="R1077"/>
      <c r="S1077"/>
      <c r="Y1077"/>
      <c r="AB1077"/>
    </row>
    <row r="1078" spans="15:28">
      <c r="O1078"/>
      <c r="R1078"/>
      <c r="S1078"/>
      <c r="Y1078"/>
      <c r="AB1078"/>
    </row>
    <row r="1079" spans="15:28">
      <c r="O1079"/>
      <c r="R1079"/>
      <c r="S1079"/>
      <c r="Y1079"/>
      <c r="AB1079"/>
    </row>
    <row r="1080" spans="15:28">
      <c r="O1080"/>
      <c r="R1080"/>
      <c r="S1080"/>
      <c r="Y1080"/>
      <c r="AB1080"/>
    </row>
    <row r="1081" spans="15:28">
      <c r="O1081"/>
      <c r="R1081"/>
      <c r="S1081"/>
      <c r="Y1081"/>
      <c r="AB1081"/>
    </row>
    <row r="1082" spans="15:28">
      <c r="O1082"/>
      <c r="R1082"/>
      <c r="S1082"/>
      <c r="Y1082"/>
      <c r="AB1082"/>
    </row>
    <row r="1083" spans="15:28">
      <c r="O1083"/>
      <c r="R1083"/>
      <c r="S1083"/>
      <c r="Y1083"/>
      <c r="AB1083"/>
    </row>
    <row r="1084" spans="15:28">
      <c r="O1084"/>
      <c r="R1084"/>
      <c r="S1084"/>
      <c r="Y1084"/>
      <c r="AB1084"/>
    </row>
    <row r="1085" spans="15:28">
      <c r="O1085"/>
      <c r="R1085"/>
      <c r="S1085"/>
      <c r="Y1085"/>
      <c r="AB1085"/>
    </row>
    <row r="1086" spans="15:28">
      <c r="O1086"/>
      <c r="R1086"/>
      <c r="S1086"/>
      <c r="Y1086"/>
      <c r="AB1086"/>
    </row>
    <row r="1087" spans="15:28">
      <c r="O1087"/>
      <c r="R1087"/>
      <c r="S1087"/>
      <c r="Y1087"/>
      <c r="AB1087"/>
    </row>
    <row r="1088" spans="15:28">
      <c r="O1088"/>
      <c r="R1088"/>
      <c r="S1088"/>
      <c r="Y1088"/>
      <c r="AB1088"/>
    </row>
    <row r="1089" spans="15:28">
      <c r="O1089"/>
      <c r="R1089"/>
      <c r="S1089"/>
      <c r="Y1089"/>
      <c r="AB1089"/>
    </row>
    <row r="1090" spans="15:28">
      <c r="O1090"/>
      <c r="R1090"/>
      <c r="S1090"/>
      <c r="Y1090"/>
      <c r="AB1090"/>
    </row>
    <row r="1091" spans="15:28">
      <c r="O1091"/>
      <c r="R1091"/>
      <c r="S1091"/>
      <c r="Y1091"/>
      <c r="AB1091"/>
    </row>
    <row r="1092" spans="15:28">
      <c r="O1092"/>
      <c r="R1092"/>
      <c r="S1092"/>
      <c r="Y1092"/>
      <c r="AB1092"/>
    </row>
    <row r="1093" spans="15:28">
      <c r="O1093"/>
      <c r="R1093"/>
      <c r="S1093"/>
      <c r="Y1093"/>
      <c r="AB1093"/>
    </row>
    <row r="1094" spans="15:28">
      <c r="O1094"/>
      <c r="R1094"/>
      <c r="S1094"/>
      <c r="Y1094"/>
      <c r="AB1094"/>
    </row>
    <row r="1095" spans="15:28">
      <c r="O1095"/>
      <c r="R1095"/>
      <c r="S1095"/>
      <c r="Y1095"/>
      <c r="AB1095"/>
    </row>
    <row r="1096" spans="15:28">
      <c r="O1096"/>
      <c r="R1096"/>
      <c r="S1096"/>
      <c r="Y1096"/>
      <c r="AB1096"/>
    </row>
    <row r="1097" spans="15:28">
      <c r="O1097"/>
      <c r="R1097"/>
      <c r="S1097"/>
      <c r="Y1097"/>
      <c r="AB1097"/>
    </row>
    <row r="1098" spans="15:28">
      <c r="O1098"/>
      <c r="R1098"/>
      <c r="S1098"/>
      <c r="Y1098"/>
      <c r="AB1098"/>
    </row>
    <row r="1099" spans="15:28">
      <c r="O1099"/>
      <c r="R1099"/>
      <c r="S1099"/>
      <c r="Y1099"/>
      <c r="AB1099"/>
    </row>
    <row r="1100" spans="15:28">
      <c r="O1100"/>
      <c r="R1100"/>
      <c r="S1100"/>
      <c r="Y1100"/>
      <c r="AB1100"/>
    </row>
    <row r="1101" spans="15:28">
      <c r="O1101"/>
      <c r="R1101"/>
      <c r="S1101"/>
      <c r="Y1101"/>
      <c r="AB1101"/>
    </row>
    <row r="1102" spans="15:28">
      <c r="O1102"/>
      <c r="R1102"/>
      <c r="S1102"/>
      <c r="Y1102"/>
      <c r="AB1102"/>
    </row>
    <row r="1103" spans="15:28">
      <c r="O1103"/>
      <c r="R1103"/>
      <c r="S1103"/>
      <c r="Y1103"/>
      <c r="AB1103"/>
    </row>
    <row r="1104" spans="15:28">
      <c r="O1104"/>
      <c r="R1104"/>
      <c r="S1104"/>
      <c r="Y1104"/>
      <c r="AB1104"/>
    </row>
    <row r="1105" spans="15:28">
      <c r="O1105"/>
      <c r="R1105"/>
      <c r="S1105"/>
      <c r="Y1105"/>
      <c r="AB1105"/>
    </row>
    <row r="1106" spans="15:28">
      <c r="O1106"/>
      <c r="R1106"/>
      <c r="S1106"/>
      <c r="Y1106"/>
      <c r="AB1106"/>
    </row>
    <row r="1107" spans="15:28">
      <c r="O1107"/>
      <c r="R1107"/>
      <c r="S1107"/>
      <c r="Y1107"/>
      <c r="AB1107"/>
    </row>
    <row r="1108" spans="15:28">
      <c r="O1108"/>
      <c r="R1108"/>
      <c r="S1108"/>
      <c r="Y1108"/>
      <c r="AB1108"/>
    </row>
    <row r="1109" spans="15:28">
      <c r="O1109"/>
      <c r="R1109"/>
      <c r="S1109"/>
      <c r="Y1109"/>
      <c r="AB1109"/>
    </row>
    <row r="1110" spans="15:28">
      <c r="O1110"/>
      <c r="R1110"/>
      <c r="S1110"/>
      <c r="Y1110"/>
      <c r="AB1110"/>
    </row>
    <row r="1111" spans="15:28">
      <c r="O1111"/>
      <c r="R1111"/>
      <c r="S1111"/>
      <c r="Y1111"/>
      <c r="AB1111"/>
    </row>
    <row r="1112" spans="15:28">
      <c r="O1112"/>
      <c r="R1112"/>
      <c r="S1112"/>
      <c r="Y1112"/>
      <c r="AB1112"/>
    </row>
    <row r="1113" spans="15:28">
      <c r="O1113"/>
      <c r="R1113"/>
      <c r="S1113"/>
      <c r="Y1113"/>
      <c r="AB1113"/>
    </row>
    <row r="1114" spans="15:28">
      <c r="O1114"/>
      <c r="R1114"/>
      <c r="S1114"/>
      <c r="Y1114"/>
      <c r="AB1114"/>
    </row>
    <row r="1115" spans="15:28">
      <c r="O1115"/>
      <c r="R1115"/>
      <c r="S1115"/>
      <c r="Y1115"/>
      <c r="AB1115"/>
    </row>
    <row r="1116" spans="15:28">
      <c r="O1116"/>
      <c r="R1116"/>
      <c r="S1116"/>
      <c r="Y1116"/>
      <c r="AB1116"/>
    </row>
    <row r="1117" spans="15:28">
      <c r="O1117"/>
      <c r="R1117"/>
      <c r="S1117"/>
      <c r="Y1117"/>
      <c r="AB1117"/>
    </row>
    <row r="1118" spans="15:28">
      <c r="O1118"/>
      <c r="R1118"/>
      <c r="S1118"/>
      <c r="Y1118"/>
      <c r="AB1118"/>
    </row>
    <row r="1119" spans="15:28">
      <c r="O1119"/>
      <c r="R1119"/>
      <c r="S1119"/>
      <c r="Y1119"/>
      <c r="AB1119"/>
    </row>
    <row r="1120" spans="15:28">
      <c r="O1120"/>
      <c r="R1120"/>
      <c r="S1120"/>
      <c r="Y1120"/>
      <c r="AB1120"/>
    </row>
    <row r="1121" spans="15:28">
      <c r="O1121"/>
      <c r="R1121"/>
      <c r="S1121"/>
      <c r="Y1121"/>
      <c r="AB1121"/>
    </row>
    <row r="1122" spans="15:28">
      <c r="O1122"/>
      <c r="R1122"/>
      <c r="S1122"/>
      <c r="Y1122"/>
      <c r="AB1122"/>
    </row>
    <row r="1123" spans="15:28">
      <c r="O1123"/>
      <c r="R1123"/>
      <c r="S1123"/>
      <c r="Y1123"/>
      <c r="AB1123"/>
    </row>
    <row r="1124" spans="15:28">
      <c r="O1124"/>
      <c r="R1124"/>
      <c r="S1124"/>
      <c r="Y1124"/>
      <c r="AB1124"/>
    </row>
    <row r="1125" spans="15:28">
      <c r="O1125"/>
      <c r="R1125"/>
      <c r="S1125"/>
      <c r="Y1125"/>
      <c r="AB1125"/>
    </row>
    <row r="1126" spans="15:28">
      <c r="O1126"/>
      <c r="R1126"/>
      <c r="S1126"/>
      <c r="Y1126"/>
      <c r="AB1126"/>
    </row>
    <row r="1127" spans="15:28">
      <c r="O1127"/>
      <c r="R1127"/>
      <c r="S1127"/>
      <c r="Y1127"/>
      <c r="AB1127"/>
    </row>
    <row r="1128" spans="15:28">
      <c r="O1128"/>
      <c r="R1128"/>
      <c r="S1128"/>
      <c r="Y1128"/>
      <c r="AB1128"/>
    </row>
    <row r="1129" spans="15:28">
      <c r="O1129"/>
      <c r="R1129"/>
      <c r="S1129"/>
      <c r="Y1129"/>
      <c r="AB1129"/>
    </row>
    <row r="1130" spans="15:28">
      <c r="O1130"/>
      <c r="R1130"/>
      <c r="S1130"/>
      <c r="Y1130"/>
      <c r="AB1130"/>
    </row>
    <row r="1131" spans="15:28">
      <c r="O1131"/>
      <c r="R1131"/>
      <c r="S1131"/>
      <c r="Y1131"/>
      <c r="AB1131"/>
    </row>
    <row r="1132" spans="15:28">
      <c r="O1132"/>
      <c r="R1132"/>
      <c r="S1132"/>
      <c r="Y1132"/>
      <c r="AB1132"/>
    </row>
    <row r="1133" spans="15:28">
      <c r="O1133"/>
      <c r="R1133"/>
      <c r="S1133"/>
      <c r="Y1133"/>
      <c r="AB1133"/>
    </row>
    <row r="1134" spans="15:28">
      <c r="O1134"/>
      <c r="R1134"/>
      <c r="S1134"/>
      <c r="Y1134"/>
      <c r="AB1134"/>
    </row>
    <row r="1135" spans="15:28">
      <c r="O1135"/>
      <c r="R1135"/>
      <c r="S1135"/>
      <c r="Y1135"/>
      <c r="AB1135"/>
    </row>
    <row r="1136" spans="15:28">
      <c r="O1136"/>
      <c r="R1136"/>
      <c r="S1136"/>
      <c r="Y1136"/>
      <c r="AB1136"/>
    </row>
    <row r="1137" spans="15:28">
      <c r="O1137"/>
      <c r="R1137"/>
      <c r="S1137"/>
      <c r="Y1137"/>
      <c r="AB1137"/>
    </row>
    <row r="1138" spans="15:28">
      <c r="O1138"/>
      <c r="R1138"/>
      <c r="S1138"/>
      <c r="Y1138"/>
      <c r="AB1138"/>
    </row>
    <row r="1139" spans="15:28">
      <c r="O1139"/>
      <c r="R1139"/>
      <c r="S1139"/>
      <c r="Y1139"/>
      <c r="AB1139"/>
    </row>
    <row r="1140" spans="15:28">
      <c r="O1140"/>
      <c r="R1140"/>
      <c r="S1140"/>
      <c r="Y1140"/>
      <c r="AB1140"/>
    </row>
    <row r="1141" spans="15:28">
      <c r="O1141"/>
      <c r="R1141"/>
      <c r="S1141"/>
      <c r="Y1141"/>
      <c r="AB1141"/>
    </row>
    <row r="1142" spans="15:28">
      <c r="O1142"/>
      <c r="R1142"/>
      <c r="S1142"/>
      <c r="Y1142"/>
      <c r="AB1142"/>
    </row>
    <row r="1143" spans="15:28">
      <c r="O1143"/>
      <c r="R1143"/>
      <c r="S1143"/>
      <c r="Y1143"/>
      <c r="AB1143"/>
    </row>
    <row r="1144" spans="15:28">
      <c r="O1144"/>
      <c r="R1144"/>
      <c r="S1144"/>
      <c r="Y1144"/>
      <c r="AB1144"/>
    </row>
    <row r="1145" spans="15:28">
      <c r="O1145"/>
      <c r="R1145"/>
      <c r="S1145"/>
      <c r="Y1145"/>
      <c r="AB1145"/>
    </row>
    <row r="1146" spans="15:28">
      <c r="O1146"/>
      <c r="R1146"/>
      <c r="S1146"/>
      <c r="Y1146"/>
      <c r="AB1146"/>
    </row>
    <row r="1147" spans="15:28">
      <c r="O1147"/>
      <c r="R1147"/>
      <c r="S1147"/>
      <c r="Y1147"/>
      <c r="AB1147"/>
    </row>
    <row r="1148" spans="15:28">
      <c r="O1148"/>
      <c r="R1148"/>
      <c r="S1148"/>
      <c r="Y1148"/>
      <c r="AB1148"/>
    </row>
    <row r="1149" spans="15:28">
      <c r="O1149"/>
      <c r="R1149"/>
      <c r="S1149"/>
      <c r="Y1149"/>
      <c r="AB1149"/>
    </row>
    <row r="1150" spans="15:28">
      <c r="O1150"/>
      <c r="R1150"/>
      <c r="S1150"/>
      <c r="Y1150"/>
      <c r="AB1150"/>
    </row>
    <row r="1151" spans="15:28">
      <c r="O1151"/>
      <c r="R1151"/>
      <c r="S1151"/>
      <c r="Y1151"/>
      <c r="AB1151"/>
    </row>
    <row r="1152" spans="15:28">
      <c r="O1152"/>
      <c r="R1152"/>
      <c r="S1152"/>
      <c r="Y1152"/>
      <c r="AB1152"/>
    </row>
    <row r="1153" spans="15:28">
      <c r="O1153"/>
      <c r="R1153"/>
      <c r="S1153"/>
      <c r="Y1153"/>
      <c r="AB1153"/>
    </row>
    <row r="1154" spans="15:28">
      <c r="O1154"/>
      <c r="R1154"/>
      <c r="S1154"/>
      <c r="Y1154"/>
      <c r="AB1154"/>
    </row>
    <row r="1155" spans="15:28">
      <c r="O1155"/>
      <c r="R1155"/>
      <c r="S1155"/>
      <c r="Y1155"/>
      <c r="AB1155"/>
    </row>
    <row r="1156" spans="15:28">
      <c r="O1156"/>
      <c r="R1156"/>
      <c r="S1156"/>
      <c r="Y1156"/>
      <c r="AB1156"/>
    </row>
    <row r="1157" spans="15:28">
      <c r="O1157"/>
      <c r="R1157"/>
      <c r="S1157"/>
      <c r="Y1157"/>
      <c r="AB1157"/>
    </row>
    <row r="1158" spans="15:28">
      <c r="O1158"/>
      <c r="R1158"/>
      <c r="S1158"/>
      <c r="Y1158"/>
      <c r="AB1158"/>
    </row>
    <row r="1159" spans="15:28">
      <c r="O1159"/>
      <c r="R1159"/>
      <c r="S1159"/>
      <c r="Y1159"/>
      <c r="AB1159"/>
    </row>
    <row r="1160" spans="15:28">
      <c r="O1160"/>
      <c r="R1160"/>
      <c r="S1160"/>
      <c r="Y1160"/>
      <c r="AB1160"/>
    </row>
    <row r="1161" spans="15:28">
      <c r="O1161"/>
      <c r="R1161"/>
      <c r="S1161"/>
      <c r="Y1161"/>
      <c r="AB1161"/>
    </row>
    <row r="1162" spans="15:28">
      <c r="O1162"/>
      <c r="R1162"/>
      <c r="S1162"/>
      <c r="Y1162"/>
      <c r="AB1162"/>
    </row>
    <row r="1163" spans="15:28">
      <c r="O1163"/>
      <c r="R1163"/>
      <c r="S1163"/>
      <c r="Y1163"/>
      <c r="AB1163"/>
    </row>
    <row r="1164" spans="15:28">
      <c r="O1164"/>
      <c r="R1164"/>
      <c r="S1164"/>
      <c r="Y1164"/>
      <c r="AB1164"/>
    </row>
    <row r="1165" spans="15:28">
      <c r="O1165"/>
      <c r="R1165"/>
      <c r="S1165"/>
      <c r="Y1165"/>
      <c r="AB1165"/>
    </row>
    <row r="1166" spans="15:28">
      <c r="O1166"/>
      <c r="R1166"/>
      <c r="S1166"/>
      <c r="Y1166"/>
      <c r="AB1166"/>
    </row>
    <row r="1167" spans="15:28">
      <c r="O1167"/>
      <c r="R1167"/>
      <c r="S1167"/>
      <c r="Y1167"/>
      <c r="AB1167"/>
    </row>
    <row r="1168" spans="15:28">
      <c r="O1168"/>
      <c r="R1168"/>
      <c r="S1168"/>
      <c r="Y1168"/>
      <c r="AB1168"/>
    </row>
    <row r="1169" spans="15:28">
      <c r="O1169"/>
      <c r="R1169"/>
      <c r="S1169"/>
      <c r="Y1169"/>
      <c r="AB1169"/>
    </row>
    <row r="1170" spans="15:28">
      <c r="O1170"/>
      <c r="R1170"/>
      <c r="S1170"/>
      <c r="Y1170"/>
      <c r="AB1170"/>
    </row>
    <row r="1171" spans="15:28">
      <c r="O1171"/>
      <c r="R1171"/>
      <c r="S1171"/>
      <c r="Y1171"/>
      <c r="AB1171"/>
    </row>
    <row r="1172" spans="15:28">
      <c r="O1172"/>
      <c r="R1172"/>
      <c r="S1172"/>
      <c r="Y1172"/>
      <c r="AB1172"/>
    </row>
    <row r="1173" spans="15:28">
      <c r="O1173"/>
      <c r="R1173"/>
      <c r="S1173"/>
      <c r="Y1173"/>
      <c r="AB1173"/>
    </row>
    <row r="1174" spans="15:28">
      <c r="O1174"/>
      <c r="R1174"/>
      <c r="S1174"/>
      <c r="Y1174"/>
      <c r="AB1174"/>
    </row>
    <row r="1175" spans="15:28">
      <c r="O1175"/>
      <c r="R1175"/>
      <c r="S1175"/>
      <c r="Y1175"/>
      <c r="AB1175"/>
    </row>
    <row r="1176" spans="15:28">
      <c r="O1176"/>
      <c r="R1176"/>
      <c r="S1176"/>
      <c r="Y1176"/>
      <c r="AB1176"/>
    </row>
    <row r="1177" spans="15:28">
      <c r="O1177"/>
      <c r="R1177"/>
      <c r="S1177"/>
      <c r="Y1177"/>
      <c r="AB1177"/>
    </row>
    <row r="1178" spans="15:28">
      <c r="O1178"/>
      <c r="R1178"/>
      <c r="S1178"/>
      <c r="Y1178"/>
      <c r="AB1178"/>
    </row>
    <row r="1179" spans="15:28">
      <c r="O1179"/>
      <c r="R1179"/>
      <c r="S1179"/>
      <c r="Y1179"/>
      <c r="AB1179"/>
    </row>
    <row r="1180" spans="15:28">
      <c r="O1180"/>
      <c r="R1180"/>
      <c r="S1180"/>
      <c r="Y1180"/>
      <c r="AB1180"/>
    </row>
    <row r="1181" spans="15:28">
      <c r="O1181"/>
      <c r="R1181"/>
      <c r="S1181"/>
      <c r="Y1181"/>
      <c r="AB1181"/>
    </row>
    <row r="1182" spans="15:28">
      <c r="O1182"/>
      <c r="R1182"/>
      <c r="S1182"/>
      <c r="Y1182"/>
      <c r="AB1182"/>
    </row>
    <row r="1183" spans="15:28">
      <c r="O1183"/>
      <c r="R1183"/>
      <c r="S1183"/>
      <c r="Y1183"/>
      <c r="AB1183"/>
    </row>
    <row r="1184" spans="15:28">
      <c r="O1184"/>
      <c r="R1184"/>
      <c r="S1184"/>
      <c r="Y1184"/>
      <c r="AB1184"/>
    </row>
    <row r="1185" spans="15:28">
      <c r="O1185"/>
      <c r="R1185"/>
      <c r="S1185"/>
      <c r="Y1185"/>
      <c r="AB1185"/>
    </row>
    <row r="1186" spans="15:28">
      <c r="O1186"/>
      <c r="R1186"/>
      <c r="S1186"/>
      <c r="Y1186"/>
      <c r="AB1186"/>
    </row>
    <row r="1187" spans="15:28">
      <c r="O1187"/>
      <c r="R1187"/>
      <c r="S1187"/>
      <c r="Y1187"/>
      <c r="AB1187"/>
    </row>
    <row r="1188" spans="15:28">
      <c r="O1188"/>
      <c r="R1188"/>
      <c r="S1188"/>
      <c r="Y1188"/>
      <c r="AB1188"/>
    </row>
    <row r="1189" spans="15:28">
      <c r="O1189"/>
      <c r="R1189"/>
      <c r="S1189"/>
      <c r="Y1189"/>
      <c r="AB1189"/>
    </row>
    <row r="1190" spans="15:28">
      <c r="O1190"/>
      <c r="R1190"/>
      <c r="S1190"/>
      <c r="Y1190"/>
      <c r="AB1190"/>
    </row>
    <row r="1191" spans="15:28">
      <c r="O1191"/>
      <c r="R1191"/>
      <c r="S1191"/>
      <c r="Y1191"/>
      <c r="AB1191"/>
    </row>
    <row r="1192" spans="15:28">
      <c r="O1192"/>
      <c r="R1192"/>
      <c r="S1192"/>
      <c r="Y1192"/>
      <c r="AB1192"/>
    </row>
    <row r="1193" spans="15:28">
      <c r="O1193"/>
      <c r="R1193"/>
      <c r="S1193"/>
      <c r="Y1193"/>
      <c r="AB1193"/>
    </row>
    <row r="1194" spans="15:28">
      <c r="O1194"/>
      <c r="R1194"/>
      <c r="S1194"/>
      <c r="Y1194"/>
      <c r="AB1194"/>
    </row>
    <row r="1195" spans="15:28">
      <c r="O1195"/>
      <c r="R1195"/>
      <c r="S1195"/>
      <c r="Y1195"/>
      <c r="AB1195"/>
    </row>
    <row r="1196" spans="15:28">
      <c r="O1196"/>
      <c r="R1196"/>
      <c r="S1196"/>
      <c r="Y1196"/>
      <c r="AB1196"/>
    </row>
    <row r="1197" spans="15:28">
      <c r="O1197"/>
      <c r="R1197"/>
      <c r="S1197"/>
      <c r="Y1197"/>
      <c r="AB1197"/>
    </row>
    <row r="1198" spans="15:28">
      <c r="O1198"/>
      <c r="R1198"/>
      <c r="S1198"/>
      <c r="Y1198"/>
      <c r="AB1198"/>
    </row>
    <row r="1199" spans="15:28">
      <c r="O1199"/>
      <c r="R1199"/>
      <c r="S1199"/>
      <c r="Y1199"/>
      <c r="AB1199"/>
    </row>
    <row r="1200" spans="15:28">
      <c r="O1200"/>
      <c r="R1200"/>
      <c r="S1200"/>
      <c r="Y1200"/>
      <c r="AB1200"/>
    </row>
    <row r="1201" spans="15:28">
      <c r="O1201"/>
      <c r="R1201"/>
      <c r="S1201"/>
      <c r="Y1201"/>
      <c r="AB1201"/>
    </row>
    <row r="1202" spans="15:28">
      <c r="O1202"/>
      <c r="R1202"/>
      <c r="S1202"/>
      <c r="Y1202"/>
      <c r="AB1202"/>
    </row>
    <row r="1203" spans="15:28">
      <c r="O1203"/>
      <c r="R1203"/>
      <c r="S1203"/>
      <c r="Y1203"/>
      <c r="AB1203"/>
    </row>
    <row r="1204" spans="15:28">
      <c r="O1204"/>
      <c r="R1204"/>
      <c r="S1204"/>
      <c r="Y1204"/>
      <c r="AB1204"/>
    </row>
    <row r="1205" spans="15:28">
      <c r="O1205"/>
      <c r="R1205"/>
      <c r="S1205"/>
      <c r="Y1205"/>
      <c r="AB1205"/>
    </row>
    <row r="1206" spans="15:28">
      <c r="O1206"/>
      <c r="R1206"/>
      <c r="S1206"/>
      <c r="Y1206"/>
      <c r="AB1206"/>
    </row>
    <row r="1207" spans="15:28">
      <c r="O1207"/>
      <c r="R1207"/>
      <c r="S1207"/>
      <c r="Y1207"/>
      <c r="AB1207"/>
    </row>
    <row r="1208" spans="15:28">
      <c r="O1208"/>
      <c r="R1208"/>
      <c r="S1208"/>
      <c r="Y1208"/>
      <c r="AB1208"/>
    </row>
    <row r="1209" spans="15:28">
      <c r="O1209"/>
      <c r="R1209"/>
      <c r="S1209"/>
      <c r="Y1209"/>
      <c r="AB1209"/>
    </row>
    <row r="1210" spans="15:28">
      <c r="O1210"/>
      <c r="R1210"/>
      <c r="S1210"/>
      <c r="Y1210"/>
      <c r="AB1210"/>
    </row>
    <row r="1211" spans="15:28">
      <c r="O1211"/>
      <c r="R1211"/>
      <c r="S1211"/>
      <c r="Y1211"/>
      <c r="AB1211"/>
    </row>
    <row r="1212" spans="15:28">
      <c r="O1212"/>
      <c r="R1212"/>
      <c r="S1212"/>
      <c r="Y1212"/>
      <c r="AB1212"/>
    </row>
    <row r="1213" spans="15:28">
      <c r="O1213"/>
      <c r="R1213"/>
      <c r="S1213"/>
      <c r="Y1213"/>
      <c r="AB1213"/>
    </row>
    <row r="1214" spans="15:28">
      <c r="O1214"/>
      <c r="R1214"/>
      <c r="S1214"/>
      <c r="Y1214"/>
      <c r="AB1214"/>
    </row>
    <row r="1215" spans="15:28">
      <c r="O1215"/>
      <c r="R1215"/>
      <c r="S1215"/>
      <c r="Y1215"/>
      <c r="AB1215"/>
    </row>
    <row r="1216" spans="15:28">
      <c r="O1216"/>
      <c r="R1216"/>
      <c r="S1216"/>
      <c r="Y1216"/>
      <c r="AB1216"/>
    </row>
    <row r="1217" spans="15:28">
      <c r="O1217"/>
      <c r="R1217"/>
      <c r="S1217"/>
      <c r="Y1217"/>
      <c r="AB1217"/>
    </row>
    <row r="1218" spans="15:28">
      <c r="O1218"/>
      <c r="R1218"/>
      <c r="S1218"/>
      <c r="Y1218"/>
      <c r="AB1218"/>
    </row>
    <row r="1219" spans="15:28">
      <c r="O1219"/>
      <c r="R1219"/>
      <c r="S1219"/>
      <c r="Y1219"/>
      <c r="AB1219"/>
    </row>
    <row r="1220" spans="15:28">
      <c r="O1220"/>
      <c r="R1220"/>
      <c r="S1220"/>
      <c r="Y1220"/>
      <c r="AB1220"/>
    </row>
    <row r="1221" spans="15:28">
      <c r="O1221"/>
      <c r="R1221"/>
      <c r="S1221"/>
      <c r="Y1221"/>
      <c r="AB1221"/>
    </row>
    <row r="1222" spans="15:28">
      <c r="O1222"/>
      <c r="R1222"/>
      <c r="S1222"/>
      <c r="Y1222"/>
      <c r="AB1222"/>
    </row>
    <row r="1223" spans="15:28">
      <c r="O1223"/>
      <c r="R1223"/>
      <c r="S1223"/>
      <c r="Y1223"/>
      <c r="AB1223"/>
    </row>
    <row r="1224" spans="15:28">
      <c r="O1224"/>
      <c r="R1224"/>
      <c r="S1224"/>
      <c r="Y1224"/>
      <c r="AB1224"/>
    </row>
    <row r="1225" spans="15:28">
      <c r="O1225"/>
      <c r="R1225"/>
      <c r="S1225"/>
      <c r="Y1225"/>
      <c r="AB1225"/>
    </row>
    <row r="1226" spans="15:28">
      <c r="O1226"/>
      <c r="R1226"/>
      <c r="S1226"/>
      <c r="Y1226"/>
      <c r="AB1226"/>
    </row>
    <row r="1227" spans="15:28">
      <c r="O1227"/>
      <c r="R1227"/>
      <c r="S1227"/>
      <c r="Y1227"/>
      <c r="AB1227"/>
    </row>
    <row r="1228" spans="15:28">
      <c r="O1228"/>
      <c r="R1228"/>
      <c r="S1228"/>
      <c r="Y1228"/>
      <c r="AB1228"/>
    </row>
    <row r="1229" spans="15:28">
      <c r="O1229"/>
      <c r="R1229"/>
      <c r="S1229"/>
      <c r="Y1229"/>
      <c r="AB1229"/>
    </row>
    <row r="1230" spans="15:28">
      <c r="O1230"/>
      <c r="R1230"/>
      <c r="S1230"/>
      <c r="Y1230"/>
      <c r="AB1230"/>
    </row>
    <row r="1231" spans="15:28">
      <c r="O1231"/>
      <c r="R1231"/>
      <c r="S1231"/>
      <c r="Y1231"/>
      <c r="AB1231"/>
    </row>
    <row r="1232" spans="15:28">
      <c r="O1232"/>
      <c r="R1232"/>
      <c r="S1232"/>
      <c r="Y1232"/>
      <c r="AB1232"/>
    </row>
    <row r="1233" spans="15:28">
      <c r="O1233"/>
      <c r="R1233"/>
      <c r="S1233"/>
      <c r="Y1233"/>
      <c r="AB1233"/>
    </row>
    <row r="1234" spans="15:28">
      <c r="O1234"/>
      <c r="R1234"/>
      <c r="S1234"/>
      <c r="Y1234"/>
      <c r="AB1234"/>
    </row>
    <row r="1235" spans="15:28">
      <c r="O1235"/>
      <c r="R1235"/>
      <c r="S1235"/>
      <c r="Y1235"/>
      <c r="AB1235"/>
    </row>
    <row r="1236" spans="15:28">
      <c r="O1236"/>
      <c r="R1236"/>
      <c r="S1236"/>
      <c r="Y1236"/>
      <c r="AB1236"/>
    </row>
    <row r="1237" spans="15:28">
      <c r="O1237"/>
      <c r="R1237"/>
      <c r="S1237"/>
      <c r="Y1237"/>
      <c r="AB1237"/>
    </row>
    <row r="1238" spans="15:28">
      <c r="O1238"/>
      <c r="R1238"/>
      <c r="S1238"/>
      <c r="Y1238"/>
      <c r="AB1238"/>
    </row>
    <row r="1239" spans="15:28">
      <c r="O1239"/>
      <c r="R1239"/>
      <c r="S1239"/>
      <c r="Y1239"/>
      <c r="AB1239"/>
    </row>
    <row r="1240" spans="15:28">
      <c r="O1240"/>
      <c r="R1240"/>
      <c r="S1240"/>
      <c r="Y1240"/>
      <c r="AB1240"/>
    </row>
    <row r="1241" spans="15:28">
      <c r="O1241"/>
      <c r="R1241"/>
      <c r="S1241"/>
      <c r="Y1241"/>
      <c r="AB1241"/>
    </row>
    <row r="1242" spans="15:28">
      <c r="O1242"/>
      <c r="R1242"/>
      <c r="S1242"/>
      <c r="Y1242"/>
      <c r="AB1242"/>
    </row>
    <row r="1243" spans="15:28">
      <c r="O1243"/>
      <c r="R1243"/>
      <c r="S1243"/>
      <c r="Y1243"/>
      <c r="AB1243"/>
    </row>
    <row r="1244" spans="15:28">
      <c r="O1244"/>
      <c r="R1244"/>
      <c r="S1244"/>
      <c r="Y1244"/>
      <c r="AB1244"/>
    </row>
    <row r="1245" spans="15:28">
      <c r="O1245"/>
      <c r="R1245"/>
      <c r="S1245"/>
      <c r="Y1245"/>
      <c r="AB1245"/>
    </row>
    <row r="1246" spans="15:28">
      <c r="O1246"/>
      <c r="R1246"/>
      <c r="S1246"/>
      <c r="Y1246"/>
      <c r="AB1246"/>
    </row>
    <row r="1247" spans="15:28">
      <c r="O1247"/>
      <c r="R1247"/>
      <c r="S1247"/>
      <c r="Y1247"/>
      <c r="AB1247"/>
    </row>
    <row r="1248" spans="15:28">
      <c r="O1248"/>
      <c r="R1248"/>
      <c r="S1248"/>
      <c r="Y1248"/>
      <c r="AB1248"/>
    </row>
    <row r="1249" spans="15:28">
      <c r="O1249"/>
      <c r="R1249"/>
      <c r="S1249"/>
      <c r="Y1249"/>
      <c r="AB1249"/>
    </row>
    <row r="1250" spans="15:28">
      <c r="O1250"/>
      <c r="R1250"/>
      <c r="S1250"/>
      <c r="Y1250"/>
      <c r="AB1250"/>
    </row>
    <row r="1251" spans="15:28">
      <c r="O1251"/>
      <c r="R1251"/>
      <c r="S1251"/>
      <c r="Y1251"/>
      <c r="AB1251"/>
    </row>
    <row r="1252" spans="15:28">
      <c r="O1252"/>
      <c r="R1252"/>
      <c r="S1252"/>
      <c r="Y1252"/>
      <c r="AB1252"/>
    </row>
    <row r="1253" spans="15:28">
      <c r="O1253"/>
      <c r="R1253"/>
      <c r="S1253"/>
      <c r="Y1253"/>
      <c r="AB1253"/>
    </row>
    <row r="1254" spans="15:28">
      <c r="O1254"/>
      <c r="R1254"/>
      <c r="S1254"/>
      <c r="Y1254"/>
      <c r="AB1254"/>
    </row>
    <row r="1255" spans="15:28">
      <c r="O1255"/>
      <c r="R1255"/>
      <c r="S1255"/>
      <c r="Y1255"/>
      <c r="AB1255"/>
    </row>
    <row r="1256" spans="15:28">
      <c r="O1256"/>
      <c r="R1256"/>
      <c r="S1256"/>
      <c r="Y1256"/>
      <c r="AB1256"/>
    </row>
    <row r="1257" spans="15:28">
      <c r="O1257"/>
      <c r="R1257"/>
      <c r="S1257"/>
      <c r="Y1257"/>
      <c r="AB1257"/>
    </row>
    <row r="1258" spans="15:28">
      <c r="O1258"/>
      <c r="R1258"/>
      <c r="S1258"/>
      <c r="Y1258"/>
      <c r="AB1258"/>
    </row>
    <row r="1259" spans="15:28">
      <c r="O1259"/>
      <c r="R1259"/>
      <c r="S1259"/>
      <c r="Y1259"/>
      <c r="AB1259"/>
    </row>
    <row r="1260" spans="15:28">
      <c r="O1260"/>
      <c r="R1260"/>
      <c r="S1260"/>
      <c r="Y1260"/>
      <c r="AB1260"/>
    </row>
    <row r="1261" spans="15:28">
      <c r="O1261"/>
      <c r="R1261"/>
      <c r="S1261"/>
      <c r="Y1261"/>
      <c r="AB1261"/>
    </row>
    <row r="1262" spans="15:28">
      <c r="O1262"/>
      <c r="R1262"/>
      <c r="S1262"/>
      <c r="Y1262"/>
      <c r="AB1262"/>
    </row>
    <row r="1263" spans="15:28">
      <c r="O1263"/>
      <c r="R1263"/>
      <c r="S1263"/>
      <c r="Y1263"/>
      <c r="AB1263"/>
    </row>
    <row r="1264" spans="15:28">
      <c r="O1264"/>
      <c r="R1264"/>
      <c r="S1264"/>
      <c r="Y1264"/>
      <c r="AB1264"/>
    </row>
    <row r="1265" spans="15:28">
      <c r="O1265"/>
      <c r="R1265"/>
      <c r="S1265"/>
      <c r="Y1265"/>
      <c r="AB1265"/>
    </row>
    <row r="1266" spans="15:28">
      <c r="O1266"/>
      <c r="R1266"/>
      <c r="S1266"/>
      <c r="Y1266"/>
      <c r="AB1266"/>
    </row>
    <row r="1267" spans="15:28">
      <c r="O1267"/>
      <c r="R1267"/>
      <c r="S1267"/>
      <c r="Y1267"/>
      <c r="AB1267"/>
    </row>
    <row r="1268" spans="15:28">
      <c r="O1268"/>
      <c r="R1268"/>
      <c r="S1268"/>
      <c r="Y1268"/>
      <c r="AB1268"/>
    </row>
    <row r="1269" spans="15:28">
      <c r="O1269"/>
      <c r="R1269"/>
      <c r="S1269"/>
      <c r="Y1269"/>
      <c r="AB1269"/>
    </row>
    <row r="1270" spans="15:28">
      <c r="O1270"/>
      <c r="R1270"/>
      <c r="S1270"/>
      <c r="Y1270"/>
      <c r="AB1270"/>
    </row>
    <row r="1271" spans="15:28">
      <c r="O1271"/>
      <c r="R1271"/>
      <c r="S1271"/>
      <c r="Y1271"/>
      <c r="AB1271"/>
    </row>
    <row r="1272" spans="15:28">
      <c r="O1272"/>
      <c r="R1272"/>
      <c r="S1272"/>
      <c r="Y1272"/>
      <c r="AB1272"/>
    </row>
    <row r="1273" spans="15:28">
      <c r="O1273"/>
      <c r="R1273"/>
      <c r="S1273"/>
      <c r="Y1273"/>
      <c r="AB1273"/>
    </row>
    <row r="1274" spans="15:28">
      <c r="O1274"/>
      <c r="R1274"/>
      <c r="S1274"/>
      <c r="Y1274"/>
      <c r="AB1274"/>
    </row>
    <row r="1275" spans="15:28">
      <c r="O1275"/>
      <c r="R1275"/>
      <c r="S1275"/>
      <c r="Y1275"/>
      <c r="AB1275"/>
    </row>
    <row r="1276" spans="15:28">
      <c r="O1276"/>
      <c r="R1276"/>
      <c r="S1276"/>
      <c r="Y1276"/>
      <c r="AB1276"/>
    </row>
    <row r="1277" spans="15:28">
      <c r="O1277"/>
      <c r="R1277"/>
      <c r="S1277"/>
      <c r="Y1277"/>
      <c r="AB1277"/>
    </row>
    <row r="1278" spans="15:28">
      <c r="O1278"/>
      <c r="R1278"/>
      <c r="S1278"/>
      <c r="Y1278"/>
      <c r="AB1278"/>
    </row>
    <row r="1279" spans="15:28">
      <c r="O1279"/>
      <c r="R1279"/>
      <c r="S1279"/>
      <c r="Y1279"/>
      <c r="AB1279"/>
    </row>
    <row r="1280" spans="15:28">
      <c r="O1280"/>
      <c r="R1280"/>
      <c r="S1280"/>
      <c r="Y1280"/>
      <c r="AB1280"/>
    </row>
    <row r="1281" spans="15:28">
      <c r="O1281"/>
      <c r="R1281"/>
      <c r="S1281"/>
      <c r="Y1281"/>
      <c r="AB1281"/>
    </row>
    <row r="1282" spans="15:28">
      <c r="O1282"/>
      <c r="R1282"/>
      <c r="S1282"/>
      <c r="Y1282"/>
      <c r="AB1282"/>
    </row>
    <row r="1283" spans="15:28">
      <c r="O1283"/>
      <c r="R1283"/>
      <c r="S1283"/>
      <c r="Y1283"/>
      <c r="AB1283"/>
    </row>
    <row r="1284" spans="15:28">
      <c r="O1284"/>
      <c r="R1284"/>
      <c r="S1284"/>
      <c r="Y1284"/>
      <c r="AB1284"/>
    </row>
    <row r="1285" spans="15:28">
      <c r="O1285"/>
      <c r="R1285"/>
      <c r="S1285"/>
      <c r="Y1285"/>
      <c r="AB1285"/>
    </row>
    <row r="1286" spans="15:28">
      <c r="O1286"/>
      <c r="R1286"/>
      <c r="S1286"/>
      <c r="Y1286"/>
      <c r="AB1286"/>
    </row>
    <row r="1287" spans="15:28">
      <c r="O1287"/>
      <c r="R1287"/>
      <c r="S1287"/>
      <c r="Y1287"/>
      <c r="AB1287"/>
    </row>
    <row r="1288" spans="15:28">
      <c r="O1288"/>
      <c r="R1288"/>
      <c r="S1288"/>
      <c r="Y1288"/>
      <c r="AB1288"/>
    </row>
    <row r="1289" spans="15:28">
      <c r="O1289"/>
      <c r="R1289"/>
      <c r="S1289"/>
      <c r="Y1289"/>
      <c r="AB1289"/>
    </row>
    <row r="1290" spans="15:28">
      <c r="O1290"/>
      <c r="R1290"/>
      <c r="S1290"/>
      <c r="Y1290"/>
      <c r="AB1290"/>
    </row>
    <row r="1291" spans="15:28">
      <c r="O1291"/>
      <c r="R1291"/>
      <c r="S1291"/>
      <c r="Y1291"/>
      <c r="AB1291"/>
    </row>
    <row r="1292" spans="15:28">
      <c r="O1292"/>
      <c r="R1292"/>
      <c r="S1292"/>
      <c r="Y1292"/>
      <c r="AB1292"/>
    </row>
    <row r="1293" spans="15:28">
      <c r="O1293"/>
      <c r="R1293"/>
      <c r="S1293"/>
      <c r="Y1293"/>
      <c r="AB1293"/>
    </row>
    <row r="1294" spans="15:28">
      <c r="O1294"/>
      <c r="R1294"/>
      <c r="S1294"/>
      <c r="Y1294"/>
      <c r="AB1294"/>
    </row>
    <row r="1295" spans="15:28">
      <c r="O1295"/>
      <c r="R1295"/>
      <c r="S1295"/>
      <c r="Y1295"/>
      <c r="AB1295"/>
    </row>
    <row r="1296" spans="15:28">
      <c r="O1296"/>
      <c r="R1296"/>
      <c r="S1296"/>
      <c r="Y1296"/>
      <c r="AB1296"/>
    </row>
    <row r="1297" spans="15:28">
      <c r="O1297"/>
      <c r="R1297"/>
      <c r="S1297"/>
      <c r="Y1297"/>
      <c r="AB1297"/>
    </row>
    <row r="1298" spans="15:28">
      <c r="O1298"/>
      <c r="R1298"/>
      <c r="S1298"/>
      <c r="Y1298"/>
      <c r="AB1298"/>
    </row>
    <row r="1299" spans="15:28">
      <c r="O1299"/>
      <c r="R1299"/>
      <c r="S1299"/>
      <c r="Y1299"/>
      <c r="AB1299"/>
    </row>
    <row r="1300" spans="15:28">
      <c r="O1300"/>
      <c r="R1300"/>
      <c r="S1300"/>
      <c r="Y1300"/>
      <c r="AB1300"/>
    </row>
    <row r="1301" spans="15:28">
      <c r="O1301"/>
      <c r="R1301"/>
      <c r="S1301"/>
      <c r="Y1301"/>
      <c r="AB1301"/>
    </row>
    <row r="1302" spans="15:28">
      <c r="O1302"/>
      <c r="R1302"/>
      <c r="S1302"/>
      <c r="Y1302"/>
      <c r="AB1302"/>
    </row>
    <row r="1303" spans="15:28">
      <c r="O1303"/>
      <c r="R1303"/>
      <c r="S1303"/>
      <c r="Y1303"/>
      <c r="AB1303"/>
    </row>
    <row r="1304" spans="15:28">
      <c r="O1304"/>
      <c r="R1304"/>
      <c r="S1304"/>
      <c r="Y1304"/>
      <c r="AB1304"/>
    </row>
    <row r="1305" spans="15:28">
      <c r="O1305"/>
      <c r="R1305"/>
      <c r="S1305"/>
      <c r="Y1305"/>
      <c r="AB1305"/>
    </row>
    <row r="1306" spans="15:28">
      <c r="O1306"/>
      <c r="R1306"/>
      <c r="S1306"/>
      <c r="Y1306"/>
      <c r="AB1306"/>
    </row>
    <row r="1307" spans="15:28">
      <c r="O1307"/>
      <c r="R1307"/>
      <c r="S1307"/>
      <c r="Y1307"/>
      <c r="AB1307"/>
    </row>
    <row r="1308" spans="15:28">
      <c r="O1308"/>
      <c r="R1308"/>
      <c r="S1308"/>
      <c r="Y1308"/>
      <c r="AB1308"/>
    </row>
    <row r="1309" spans="15:28">
      <c r="O1309"/>
      <c r="R1309"/>
      <c r="S1309"/>
      <c r="Y1309"/>
      <c r="AB1309"/>
    </row>
    <row r="1310" spans="15:28">
      <c r="O1310"/>
      <c r="R1310"/>
      <c r="S1310"/>
      <c r="Y1310"/>
      <c r="AB1310"/>
    </row>
    <row r="1311" spans="15:28">
      <c r="O1311"/>
      <c r="R1311"/>
      <c r="S1311"/>
      <c r="Y1311"/>
      <c r="AB1311"/>
    </row>
    <row r="1312" spans="15:28">
      <c r="O1312"/>
      <c r="R1312"/>
      <c r="S1312"/>
      <c r="Y1312"/>
      <c r="AB1312"/>
    </row>
    <row r="1313" spans="15:28">
      <c r="O1313"/>
      <c r="R1313"/>
      <c r="S1313"/>
      <c r="Y1313"/>
      <c r="AB1313"/>
    </row>
    <row r="1314" spans="15:28">
      <c r="O1314"/>
      <c r="R1314"/>
      <c r="S1314"/>
      <c r="Y1314"/>
      <c r="AB1314"/>
    </row>
    <row r="1315" spans="15:28">
      <c r="O1315"/>
      <c r="R1315"/>
      <c r="S1315"/>
      <c r="Y1315"/>
      <c r="AB1315"/>
    </row>
    <row r="1316" spans="15:28">
      <c r="O1316"/>
      <c r="R1316"/>
      <c r="S1316"/>
      <c r="Y1316"/>
      <c r="AB1316"/>
    </row>
    <row r="1317" spans="15:28">
      <c r="O1317"/>
      <c r="R1317"/>
      <c r="S1317"/>
      <c r="Y1317"/>
      <c r="AB1317"/>
    </row>
    <row r="1318" spans="15:28">
      <c r="O1318"/>
      <c r="R1318"/>
      <c r="S1318"/>
      <c r="Y1318"/>
      <c r="AB1318"/>
    </row>
    <row r="1319" spans="15:28">
      <c r="O1319"/>
      <c r="R1319"/>
      <c r="S1319"/>
      <c r="Y1319"/>
      <c r="AB1319"/>
    </row>
    <row r="1320" spans="15:28">
      <c r="O1320"/>
      <c r="R1320"/>
      <c r="S1320"/>
      <c r="Y1320"/>
      <c r="AB1320"/>
    </row>
    <row r="1321" spans="15:28">
      <c r="O1321"/>
      <c r="R1321"/>
      <c r="S1321"/>
      <c r="Y1321"/>
      <c r="AB1321"/>
    </row>
    <row r="1322" spans="15:28">
      <c r="O1322"/>
      <c r="R1322"/>
      <c r="S1322"/>
      <c r="Y1322"/>
      <c r="AB1322"/>
    </row>
    <row r="1323" spans="15:28">
      <c r="O1323"/>
      <c r="R1323"/>
      <c r="S1323"/>
      <c r="Y1323"/>
      <c r="AB1323"/>
    </row>
    <row r="1324" spans="15:28">
      <c r="O1324"/>
      <c r="R1324"/>
      <c r="S1324"/>
      <c r="Y1324"/>
      <c r="AB1324"/>
    </row>
    <row r="1325" spans="15:28">
      <c r="O1325"/>
      <c r="R1325"/>
      <c r="S1325"/>
      <c r="Y1325"/>
      <c r="AB1325"/>
    </row>
    <row r="1326" spans="15:28">
      <c r="O1326"/>
      <c r="R1326"/>
      <c r="S1326"/>
      <c r="Y1326"/>
      <c r="AB1326"/>
    </row>
    <row r="1327" spans="15:28">
      <c r="O1327"/>
      <c r="R1327"/>
      <c r="S1327"/>
      <c r="Y1327"/>
      <c r="AB1327"/>
    </row>
    <row r="1328" spans="15:28">
      <c r="O1328"/>
      <c r="R1328"/>
      <c r="S1328"/>
      <c r="Y1328"/>
      <c r="AB1328"/>
    </row>
    <row r="1329" spans="15:28">
      <c r="O1329"/>
      <c r="R1329"/>
      <c r="S1329"/>
      <c r="Y1329"/>
      <c r="AB1329"/>
    </row>
    <row r="1330" spans="15:28">
      <c r="O1330"/>
      <c r="R1330"/>
      <c r="S1330"/>
      <c r="Y1330"/>
      <c r="AB1330"/>
    </row>
    <row r="1331" spans="15:28">
      <c r="O1331"/>
      <c r="R1331"/>
      <c r="S1331"/>
      <c r="Y1331"/>
      <c r="AB1331"/>
    </row>
    <row r="1332" spans="15:28">
      <c r="O1332"/>
      <c r="R1332"/>
      <c r="S1332"/>
      <c r="Y1332"/>
      <c r="AB1332"/>
    </row>
    <row r="1333" spans="15:28">
      <c r="O1333"/>
      <c r="R1333"/>
      <c r="S1333"/>
      <c r="Y1333"/>
      <c r="AB1333"/>
    </row>
    <row r="1334" spans="15:28">
      <c r="O1334"/>
      <c r="R1334"/>
      <c r="S1334"/>
      <c r="Y1334"/>
      <c r="AB1334"/>
    </row>
    <row r="1335" spans="15:28">
      <c r="O1335"/>
      <c r="R1335"/>
      <c r="S1335"/>
      <c r="Y1335"/>
      <c r="AB1335"/>
    </row>
    <row r="1336" spans="15:28">
      <c r="O1336"/>
      <c r="R1336"/>
      <c r="S1336"/>
      <c r="Y1336"/>
      <c r="AB1336"/>
    </row>
    <row r="1337" spans="15:28">
      <c r="O1337"/>
      <c r="R1337"/>
      <c r="S1337"/>
      <c r="Y1337"/>
      <c r="AB1337"/>
    </row>
    <row r="1338" spans="15:28">
      <c r="O1338"/>
      <c r="R1338"/>
      <c r="S1338"/>
      <c r="Y1338"/>
      <c r="AB1338"/>
    </row>
    <row r="1339" spans="15:28">
      <c r="O1339"/>
      <c r="R1339"/>
      <c r="S1339"/>
      <c r="Y1339"/>
      <c r="AB1339"/>
    </row>
    <row r="1340" spans="15:28">
      <c r="O1340"/>
      <c r="R1340"/>
      <c r="S1340"/>
      <c r="Y1340"/>
      <c r="AB1340"/>
    </row>
    <row r="1341" spans="15:28">
      <c r="O1341"/>
      <c r="R1341"/>
      <c r="S1341"/>
      <c r="Y1341"/>
      <c r="AB1341"/>
    </row>
    <row r="1342" spans="15:28">
      <c r="O1342"/>
      <c r="R1342"/>
      <c r="S1342"/>
      <c r="Y1342"/>
      <c r="AB1342"/>
    </row>
    <row r="1343" spans="15:28">
      <c r="O1343"/>
      <c r="R1343"/>
      <c r="S1343"/>
      <c r="Y1343"/>
      <c r="AB1343"/>
    </row>
    <row r="1344" spans="15:28">
      <c r="O1344"/>
      <c r="R1344"/>
      <c r="S1344"/>
      <c r="Y1344"/>
      <c r="AB1344"/>
    </row>
    <row r="1345" spans="15:28">
      <c r="O1345"/>
      <c r="R1345"/>
      <c r="S1345"/>
      <c r="Y1345"/>
      <c r="AB1345"/>
    </row>
    <row r="1346" spans="15:28">
      <c r="O1346"/>
      <c r="R1346"/>
      <c r="S1346"/>
      <c r="Y1346"/>
      <c r="AB1346"/>
    </row>
    <row r="1347" spans="15:28">
      <c r="O1347"/>
      <c r="R1347"/>
      <c r="S1347"/>
      <c r="Y1347"/>
      <c r="AB1347"/>
    </row>
    <row r="1348" spans="15:28">
      <c r="O1348"/>
      <c r="R1348"/>
      <c r="S1348"/>
      <c r="Y1348"/>
      <c r="AB1348"/>
    </row>
    <row r="1349" spans="15:28">
      <c r="O1349"/>
      <c r="R1349"/>
      <c r="S1349"/>
      <c r="Y1349"/>
      <c r="AB1349"/>
    </row>
    <row r="1350" spans="15:28">
      <c r="O1350"/>
      <c r="R1350"/>
      <c r="S1350"/>
      <c r="Y1350"/>
      <c r="AB1350"/>
    </row>
    <row r="1351" spans="15:28">
      <c r="O1351"/>
      <c r="R1351"/>
      <c r="S1351"/>
      <c r="Y1351"/>
      <c r="AB1351"/>
    </row>
    <row r="1352" spans="15:28">
      <c r="O1352"/>
      <c r="R1352"/>
      <c r="S1352"/>
      <c r="Y1352"/>
      <c r="AB1352"/>
    </row>
    <row r="1353" spans="15:28">
      <c r="O1353"/>
      <c r="R1353"/>
      <c r="S1353"/>
      <c r="Y1353"/>
      <c r="AB1353"/>
    </row>
    <row r="1354" spans="15:28">
      <c r="O1354"/>
      <c r="R1354"/>
      <c r="S1354"/>
      <c r="Y1354"/>
      <c r="AB1354"/>
    </row>
    <row r="1355" spans="15:28">
      <c r="O1355"/>
      <c r="R1355"/>
      <c r="S1355"/>
      <c r="Y1355"/>
      <c r="AB1355"/>
    </row>
    <row r="1356" spans="15:28">
      <c r="O1356"/>
      <c r="R1356"/>
      <c r="S1356"/>
      <c r="Y1356"/>
      <c r="AB1356"/>
    </row>
    <row r="1357" spans="15:28">
      <c r="O1357"/>
      <c r="R1357"/>
      <c r="S1357"/>
      <c r="Y1357"/>
      <c r="AB1357"/>
    </row>
    <row r="1358" spans="15:28">
      <c r="O1358"/>
      <c r="R1358"/>
      <c r="S1358"/>
      <c r="Y1358"/>
      <c r="AB1358"/>
    </row>
    <row r="1359" spans="15:28">
      <c r="O1359"/>
      <c r="R1359"/>
      <c r="S1359"/>
      <c r="Y1359"/>
      <c r="AB1359"/>
    </row>
    <row r="1360" spans="15:28">
      <c r="O1360"/>
      <c r="R1360"/>
      <c r="S1360"/>
      <c r="Y1360"/>
      <c r="AB1360"/>
    </row>
    <row r="1361" spans="15:28">
      <c r="O1361"/>
      <c r="R1361"/>
      <c r="S1361"/>
      <c r="Y1361"/>
      <c r="AB1361"/>
    </row>
    <row r="1362" spans="15:28">
      <c r="O1362"/>
      <c r="R1362"/>
      <c r="S1362"/>
      <c r="Y1362"/>
      <c r="AB1362"/>
    </row>
    <row r="1363" spans="15:28">
      <c r="O1363"/>
      <c r="R1363"/>
      <c r="S1363"/>
      <c r="Y1363"/>
      <c r="AB1363"/>
    </row>
    <row r="1364" spans="15:28">
      <c r="O1364"/>
      <c r="R1364"/>
      <c r="S1364"/>
      <c r="Y1364"/>
      <c r="AB1364"/>
    </row>
    <row r="1365" spans="15:28">
      <c r="O1365"/>
      <c r="R1365"/>
      <c r="S1365"/>
      <c r="Y1365"/>
      <c r="AB1365"/>
    </row>
    <row r="1366" spans="15:28">
      <c r="O1366"/>
      <c r="R1366"/>
      <c r="S1366"/>
      <c r="Y1366"/>
      <c r="AB1366"/>
    </row>
    <row r="1367" spans="15:28">
      <c r="O1367"/>
      <c r="R1367"/>
      <c r="S1367"/>
      <c r="Y1367"/>
      <c r="AB1367"/>
    </row>
    <row r="1368" spans="15:28">
      <c r="O1368"/>
      <c r="R1368"/>
      <c r="S1368"/>
      <c r="Y1368"/>
      <c r="AB1368"/>
    </row>
    <row r="1369" spans="15:28">
      <c r="O1369"/>
      <c r="R1369"/>
      <c r="S1369"/>
      <c r="Y1369"/>
      <c r="AB1369"/>
    </row>
    <row r="1370" spans="15:28">
      <c r="O1370"/>
      <c r="R1370"/>
      <c r="S1370"/>
      <c r="Y1370"/>
      <c r="AB1370"/>
    </row>
    <row r="1371" spans="15:28">
      <c r="O1371"/>
      <c r="R1371"/>
      <c r="S1371"/>
      <c r="Y1371"/>
      <c r="AB1371"/>
    </row>
    <row r="1372" spans="15:28">
      <c r="O1372"/>
      <c r="R1372"/>
      <c r="S1372"/>
      <c r="Y1372"/>
      <c r="AB1372"/>
    </row>
    <row r="1373" spans="15:28">
      <c r="O1373"/>
      <c r="R1373"/>
      <c r="S1373"/>
      <c r="Y1373"/>
      <c r="AB1373"/>
    </row>
    <row r="1374" spans="15:28">
      <c r="O1374"/>
      <c r="R1374"/>
      <c r="S1374"/>
      <c r="Y1374"/>
      <c r="AB1374"/>
    </row>
    <row r="1375" spans="15:28">
      <c r="O1375"/>
      <c r="R1375"/>
      <c r="S1375"/>
      <c r="Y1375"/>
      <c r="AB1375"/>
    </row>
    <row r="1376" spans="15:28">
      <c r="O1376"/>
      <c r="R1376"/>
      <c r="S1376"/>
      <c r="Y1376"/>
      <c r="AB1376"/>
    </row>
    <row r="1377" spans="15:28">
      <c r="O1377"/>
      <c r="R1377"/>
      <c r="S1377"/>
      <c r="Y1377"/>
      <c r="AB1377"/>
    </row>
    <row r="1378" spans="15:28">
      <c r="O1378"/>
      <c r="R1378"/>
      <c r="S1378"/>
      <c r="Y1378"/>
      <c r="AB1378"/>
    </row>
    <row r="1379" spans="15:28">
      <c r="O1379"/>
      <c r="R1379"/>
      <c r="S1379"/>
      <c r="Y1379"/>
      <c r="AB1379"/>
    </row>
    <row r="1380" spans="15:28">
      <c r="O1380"/>
      <c r="R1380"/>
      <c r="S1380"/>
      <c r="Y1380"/>
      <c r="AB1380"/>
    </row>
    <row r="1381" spans="15:28">
      <c r="O1381"/>
      <c r="R1381"/>
      <c r="S1381"/>
      <c r="Y1381"/>
      <c r="AB1381"/>
    </row>
    <row r="1382" spans="15:28">
      <c r="O1382"/>
      <c r="R1382"/>
      <c r="S1382"/>
      <c r="Y1382"/>
      <c r="AB1382"/>
    </row>
    <row r="1383" spans="15:28">
      <c r="O1383"/>
      <c r="R1383"/>
      <c r="S1383"/>
      <c r="Y1383"/>
      <c r="AB1383"/>
    </row>
    <row r="1384" spans="15:28">
      <c r="O1384"/>
      <c r="R1384"/>
      <c r="S1384"/>
      <c r="Y1384"/>
      <c r="AB1384"/>
    </row>
    <row r="1385" spans="15:28">
      <c r="O1385"/>
      <c r="R1385"/>
      <c r="S1385"/>
      <c r="Y1385"/>
      <c r="AB1385"/>
    </row>
    <row r="1386" spans="15:28">
      <c r="O1386"/>
      <c r="R1386"/>
      <c r="S1386"/>
      <c r="Y1386"/>
      <c r="AB1386"/>
    </row>
    <row r="1387" spans="15:28">
      <c r="O1387"/>
      <c r="R1387"/>
      <c r="S1387"/>
      <c r="Y1387"/>
      <c r="AB1387"/>
    </row>
    <row r="1388" spans="15:28">
      <c r="O1388"/>
      <c r="R1388"/>
      <c r="S1388"/>
      <c r="Y1388"/>
      <c r="AB1388"/>
    </row>
    <row r="1389" spans="15:28">
      <c r="O1389"/>
      <c r="R1389"/>
      <c r="S1389"/>
      <c r="Y1389"/>
      <c r="AB1389"/>
    </row>
    <row r="1390" spans="15:28">
      <c r="O1390"/>
      <c r="R1390"/>
      <c r="S1390"/>
      <c r="Y1390"/>
      <c r="AB1390"/>
    </row>
    <row r="1391" spans="15:28">
      <c r="O1391"/>
      <c r="R1391"/>
      <c r="S1391"/>
      <c r="Y1391"/>
      <c r="AB1391"/>
    </row>
    <row r="1392" spans="15:28">
      <c r="O1392"/>
      <c r="R1392"/>
      <c r="S1392"/>
      <c r="Y1392"/>
      <c r="AB1392"/>
    </row>
    <row r="1393" spans="15:28">
      <c r="O1393"/>
      <c r="R1393"/>
      <c r="S1393"/>
      <c r="Y1393"/>
      <c r="AB1393"/>
    </row>
    <row r="1394" spans="15:28">
      <c r="O1394"/>
      <c r="R1394"/>
      <c r="S1394"/>
      <c r="Y1394"/>
      <c r="AB1394"/>
    </row>
    <row r="1395" spans="15:28">
      <c r="O1395"/>
      <c r="R1395"/>
      <c r="S1395"/>
      <c r="Y1395"/>
      <c r="AB1395"/>
    </row>
    <row r="1396" spans="15:28">
      <c r="O1396"/>
      <c r="R1396"/>
      <c r="S1396"/>
      <c r="Y1396"/>
      <c r="AB1396"/>
    </row>
    <row r="1397" spans="15:28">
      <c r="O1397"/>
      <c r="R1397"/>
      <c r="S1397"/>
      <c r="Y1397"/>
      <c r="AB1397"/>
    </row>
    <row r="1398" spans="15:28">
      <c r="O1398"/>
      <c r="R1398"/>
      <c r="S1398"/>
      <c r="Y1398"/>
      <c r="AB1398"/>
    </row>
    <row r="1399" spans="15:28">
      <c r="O1399"/>
      <c r="R1399"/>
      <c r="S1399"/>
      <c r="Y1399"/>
      <c r="AB1399"/>
    </row>
    <row r="1400" spans="15:28">
      <c r="O1400"/>
      <c r="R1400"/>
      <c r="S1400"/>
      <c r="Y1400"/>
      <c r="AB1400"/>
    </row>
    <row r="1401" spans="15:28">
      <c r="O1401"/>
      <c r="R1401"/>
      <c r="S1401"/>
      <c r="Y1401"/>
      <c r="AB1401"/>
    </row>
    <row r="1402" spans="15:28">
      <c r="O1402"/>
      <c r="R1402"/>
      <c r="S1402"/>
      <c r="Y1402"/>
      <c r="AB1402"/>
    </row>
    <row r="1403" spans="15:28">
      <c r="O1403"/>
      <c r="R1403"/>
      <c r="S1403"/>
      <c r="Y1403"/>
      <c r="AB1403"/>
    </row>
    <row r="1404" spans="15:28">
      <c r="O1404"/>
      <c r="R1404"/>
      <c r="S1404"/>
      <c r="Y1404"/>
      <c r="AB1404"/>
    </row>
    <row r="1405" spans="15:28">
      <c r="O1405"/>
      <c r="R1405"/>
      <c r="S1405"/>
      <c r="Y1405"/>
      <c r="AB1405"/>
    </row>
    <row r="1406" spans="15:28">
      <c r="O1406"/>
      <c r="R1406"/>
      <c r="S1406"/>
      <c r="Y1406"/>
      <c r="AB1406"/>
    </row>
    <row r="1407" spans="15:28">
      <c r="O1407"/>
      <c r="R1407"/>
      <c r="S1407"/>
      <c r="Y1407"/>
      <c r="AB1407"/>
    </row>
    <row r="1408" spans="15:28">
      <c r="O1408"/>
      <c r="R1408"/>
      <c r="S1408"/>
      <c r="Y1408"/>
      <c r="AB1408"/>
    </row>
    <row r="1409" spans="15:28">
      <c r="O1409"/>
      <c r="R1409"/>
      <c r="S1409"/>
      <c r="Y1409"/>
      <c r="AB1409"/>
    </row>
    <row r="1410" spans="15:28">
      <c r="O1410"/>
      <c r="R1410"/>
      <c r="S1410"/>
      <c r="Y1410"/>
      <c r="AB1410"/>
    </row>
    <row r="1411" spans="15:28">
      <c r="O1411"/>
      <c r="R1411"/>
      <c r="S1411"/>
      <c r="Y1411"/>
      <c r="AB1411"/>
    </row>
    <row r="1412" spans="15:28">
      <c r="O1412"/>
      <c r="R1412"/>
      <c r="S1412"/>
      <c r="Y1412"/>
      <c r="AB1412"/>
    </row>
    <row r="1413" spans="15:28">
      <c r="O1413"/>
      <c r="R1413"/>
      <c r="S1413"/>
      <c r="Y1413"/>
      <c r="AB1413"/>
    </row>
    <row r="1414" spans="15:28">
      <c r="O1414"/>
      <c r="R1414"/>
      <c r="S1414"/>
      <c r="Y1414"/>
      <c r="AB1414"/>
    </row>
    <row r="1415" spans="15:28">
      <c r="O1415"/>
      <c r="R1415"/>
      <c r="S1415"/>
      <c r="Y1415"/>
      <c r="AB1415"/>
    </row>
    <row r="1416" spans="15:28">
      <c r="O1416"/>
      <c r="R1416"/>
      <c r="S1416"/>
      <c r="Y1416"/>
      <c r="AB1416"/>
    </row>
    <row r="1417" spans="15:28">
      <c r="O1417"/>
      <c r="R1417"/>
      <c r="S1417"/>
      <c r="Y1417"/>
      <c r="AB1417"/>
    </row>
    <row r="1418" spans="15:28">
      <c r="O1418"/>
      <c r="R1418"/>
      <c r="S1418"/>
      <c r="Y1418"/>
      <c r="AB1418"/>
    </row>
    <row r="1419" spans="15:28">
      <c r="O1419"/>
      <c r="R1419"/>
      <c r="S1419"/>
      <c r="Y1419"/>
      <c r="AB1419"/>
    </row>
    <row r="1420" spans="15:28">
      <c r="O1420"/>
      <c r="R1420"/>
      <c r="S1420"/>
      <c r="Y1420"/>
      <c r="AB1420"/>
    </row>
    <row r="1421" spans="15:28">
      <c r="O1421"/>
      <c r="R1421"/>
      <c r="S1421"/>
      <c r="Y1421"/>
      <c r="AB1421"/>
    </row>
    <row r="1422" spans="15:28">
      <c r="O1422"/>
      <c r="R1422"/>
      <c r="S1422"/>
      <c r="Y1422"/>
      <c r="AB1422"/>
    </row>
    <row r="1423" spans="15:28">
      <c r="O1423"/>
      <c r="R1423"/>
      <c r="S1423"/>
      <c r="Y1423"/>
      <c r="AB1423"/>
    </row>
    <row r="1424" spans="15:28">
      <c r="O1424"/>
      <c r="R1424"/>
      <c r="S1424"/>
      <c r="Y1424"/>
      <c r="AB1424"/>
    </row>
    <row r="1425" spans="15:28">
      <c r="O1425"/>
      <c r="R1425"/>
      <c r="S1425"/>
      <c r="Y1425"/>
      <c r="AB1425"/>
    </row>
    <row r="1426" spans="15:28">
      <c r="O1426"/>
      <c r="R1426"/>
      <c r="S1426"/>
      <c r="Y1426"/>
      <c r="AB1426"/>
    </row>
    <row r="1427" spans="15:28">
      <c r="O1427"/>
      <c r="R1427"/>
      <c r="S1427"/>
      <c r="Y1427"/>
      <c r="AB1427"/>
    </row>
    <row r="1428" spans="15:28">
      <c r="O1428"/>
      <c r="R1428"/>
      <c r="S1428"/>
      <c r="Y1428"/>
      <c r="AB1428"/>
    </row>
    <row r="1429" spans="15:28">
      <c r="O1429"/>
      <c r="R1429"/>
      <c r="S1429"/>
      <c r="Y1429"/>
      <c r="AB1429"/>
    </row>
    <row r="1430" spans="15:28">
      <c r="O1430"/>
      <c r="R1430"/>
      <c r="S1430"/>
      <c r="Y1430"/>
      <c r="AB1430"/>
    </row>
    <row r="1431" spans="15:28">
      <c r="O1431"/>
      <c r="R1431"/>
      <c r="S1431"/>
      <c r="Y1431"/>
      <c r="AB1431"/>
    </row>
    <row r="1432" spans="15:28">
      <c r="O1432"/>
      <c r="R1432"/>
      <c r="S1432"/>
      <c r="Y1432"/>
      <c r="AB1432"/>
    </row>
    <row r="1433" spans="15:28">
      <c r="O1433"/>
      <c r="R1433"/>
      <c r="S1433"/>
      <c r="Y1433"/>
      <c r="AB1433"/>
    </row>
    <row r="1434" spans="15:28">
      <c r="O1434"/>
      <c r="R1434"/>
      <c r="S1434"/>
      <c r="Y1434"/>
      <c r="AB1434"/>
    </row>
    <row r="1435" spans="15:28">
      <c r="O1435"/>
      <c r="R1435"/>
      <c r="S1435"/>
      <c r="Y1435"/>
      <c r="AB1435"/>
    </row>
    <row r="1436" spans="15:28">
      <c r="O1436"/>
      <c r="R1436"/>
      <c r="S1436"/>
      <c r="Y1436"/>
      <c r="AB1436"/>
    </row>
    <row r="1437" spans="15:28">
      <c r="O1437"/>
      <c r="R1437"/>
      <c r="S1437"/>
      <c r="Y1437"/>
      <c r="AB1437"/>
    </row>
    <row r="1438" spans="15:28">
      <c r="O1438"/>
      <c r="R1438"/>
      <c r="S1438"/>
      <c r="Y1438"/>
      <c r="AB1438"/>
    </row>
    <row r="1439" spans="15:28">
      <c r="O1439"/>
      <c r="R1439"/>
      <c r="S1439"/>
      <c r="Y1439"/>
      <c r="AB1439"/>
    </row>
    <row r="1440" spans="15:28">
      <c r="O1440"/>
      <c r="R1440"/>
      <c r="S1440"/>
      <c r="Y1440"/>
      <c r="AB1440"/>
    </row>
    <row r="1441" spans="15:28">
      <c r="O1441"/>
      <c r="R1441"/>
      <c r="S1441"/>
      <c r="Y1441"/>
      <c r="AB1441"/>
    </row>
    <row r="1442" spans="15:28">
      <c r="O1442"/>
      <c r="R1442"/>
      <c r="S1442"/>
      <c r="Y1442"/>
      <c r="AB1442"/>
    </row>
    <row r="1443" spans="15:28">
      <c r="O1443"/>
      <c r="R1443"/>
      <c r="S1443"/>
      <c r="Y1443"/>
      <c r="AB1443"/>
    </row>
    <row r="1444" spans="15:28">
      <c r="O1444"/>
      <c r="R1444"/>
      <c r="S1444"/>
      <c r="Y1444"/>
      <c r="AB1444"/>
    </row>
    <row r="1445" spans="15:28">
      <c r="O1445"/>
      <c r="R1445"/>
      <c r="S1445"/>
      <c r="Y1445"/>
      <c r="AB1445"/>
    </row>
    <row r="1446" spans="15:28">
      <c r="O1446"/>
      <c r="R1446"/>
      <c r="S1446"/>
      <c r="Y1446"/>
      <c r="AB1446"/>
    </row>
    <row r="1447" spans="15:28">
      <c r="O1447"/>
      <c r="R1447"/>
      <c r="S1447"/>
      <c r="Y1447"/>
      <c r="AB1447"/>
    </row>
    <row r="1448" spans="15:28">
      <c r="O1448"/>
      <c r="R1448"/>
      <c r="S1448"/>
      <c r="Y1448"/>
      <c r="AB1448"/>
    </row>
    <row r="1449" spans="15:28">
      <c r="O1449"/>
      <c r="R1449"/>
      <c r="S1449"/>
      <c r="Y1449"/>
      <c r="AB1449"/>
    </row>
    <row r="1450" spans="15:28">
      <c r="O1450"/>
      <c r="R1450"/>
      <c r="S1450"/>
      <c r="Y1450"/>
      <c r="AB1450"/>
    </row>
    <row r="1451" spans="15:28">
      <c r="O1451"/>
      <c r="R1451"/>
      <c r="S1451"/>
      <c r="Y1451"/>
      <c r="AB1451"/>
    </row>
    <row r="1452" spans="15:28">
      <c r="O1452"/>
      <c r="R1452"/>
      <c r="S1452"/>
      <c r="Y1452"/>
      <c r="AB1452"/>
    </row>
    <row r="1453" spans="15:28">
      <c r="O1453"/>
      <c r="R1453"/>
      <c r="S1453"/>
      <c r="Y1453"/>
      <c r="AB1453"/>
    </row>
    <row r="1454" spans="15:28">
      <c r="O1454"/>
      <c r="R1454"/>
      <c r="S1454"/>
      <c r="Y1454"/>
      <c r="AB1454"/>
    </row>
    <row r="1455" spans="15:28">
      <c r="O1455"/>
      <c r="R1455"/>
      <c r="S1455"/>
      <c r="Y1455"/>
      <c r="AB1455"/>
    </row>
    <row r="1456" spans="15:28">
      <c r="O1456"/>
      <c r="R1456"/>
      <c r="S1456"/>
      <c r="Y1456"/>
      <c r="AB1456"/>
    </row>
    <row r="1457" spans="15:28">
      <c r="O1457"/>
      <c r="R1457"/>
      <c r="S1457"/>
      <c r="Y1457"/>
      <c r="AB1457"/>
    </row>
    <row r="1458" spans="15:28">
      <c r="O1458"/>
      <c r="R1458"/>
      <c r="S1458"/>
      <c r="Y1458"/>
      <c r="AB1458"/>
    </row>
    <row r="1459" spans="15:28">
      <c r="O1459"/>
      <c r="R1459"/>
      <c r="S1459"/>
      <c r="Y1459"/>
      <c r="AB1459"/>
    </row>
    <row r="1460" spans="15:28">
      <c r="O1460"/>
      <c r="R1460"/>
      <c r="S1460"/>
      <c r="Y1460"/>
      <c r="AB1460"/>
    </row>
    <row r="1461" spans="15:28">
      <c r="O1461"/>
      <c r="R1461"/>
      <c r="S1461"/>
      <c r="Y1461"/>
      <c r="AB1461"/>
    </row>
    <row r="1462" spans="15:28">
      <c r="O1462"/>
      <c r="R1462"/>
      <c r="S1462"/>
      <c r="Y1462"/>
      <c r="AB1462"/>
    </row>
    <row r="1463" spans="15:28">
      <c r="O1463"/>
      <c r="R1463"/>
      <c r="S1463"/>
      <c r="Y1463"/>
      <c r="AB1463"/>
    </row>
    <row r="1464" spans="15:28">
      <c r="O1464"/>
      <c r="R1464"/>
      <c r="S1464"/>
      <c r="Y1464"/>
      <c r="AB1464"/>
    </row>
    <row r="1465" spans="15:28">
      <c r="O1465"/>
      <c r="R1465"/>
      <c r="S1465"/>
      <c r="Y1465"/>
      <c r="AB1465"/>
    </row>
    <row r="1466" spans="15:28">
      <c r="O1466"/>
      <c r="R1466"/>
      <c r="S1466"/>
      <c r="Y1466"/>
      <c r="AB1466"/>
    </row>
    <row r="1467" spans="15:28">
      <c r="O1467"/>
      <c r="R1467"/>
      <c r="S1467"/>
      <c r="Y1467"/>
      <c r="AB1467"/>
    </row>
    <row r="1468" spans="15:28">
      <c r="O1468"/>
      <c r="R1468"/>
      <c r="S1468"/>
      <c r="Y1468"/>
      <c r="AB1468"/>
    </row>
    <row r="1469" spans="15:28">
      <c r="O1469"/>
      <c r="R1469"/>
      <c r="S1469"/>
      <c r="Y1469"/>
      <c r="AB1469"/>
    </row>
    <row r="1470" spans="15:28">
      <c r="O1470"/>
      <c r="R1470"/>
      <c r="S1470"/>
      <c r="Y1470"/>
      <c r="AB1470"/>
    </row>
    <row r="1471" spans="15:28">
      <c r="O1471"/>
      <c r="R1471"/>
      <c r="S1471"/>
      <c r="Y1471"/>
      <c r="AB1471"/>
    </row>
    <row r="1472" spans="15:28">
      <c r="O1472"/>
      <c r="R1472"/>
      <c r="S1472"/>
      <c r="Y1472"/>
      <c r="AB1472"/>
    </row>
    <row r="1473" spans="15:28">
      <c r="O1473"/>
      <c r="R1473"/>
      <c r="S1473"/>
      <c r="Y1473"/>
      <c r="AB1473"/>
    </row>
    <row r="1474" spans="15:28">
      <c r="O1474"/>
      <c r="R1474"/>
      <c r="S1474"/>
      <c r="Y1474"/>
      <c r="AB1474"/>
    </row>
    <row r="1475" spans="15:28">
      <c r="O1475"/>
      <c r="R1475"/>
      <c r="S1475"/>
      <c r="Y1475"/>
      <c r="AB1475"/>
    </row>
    <row r="1476" spans="15:28">
      <c r="O1476"/>
      <c r="R1476"/>
      <c r="S1476"/>
      <c r="Y1476"/>
      <c r="AB1476"/>
    </row>
    <row r="1477" spans="15:28">
      <c r="O1477"/>
      <c r="R1477"/>
      <c r="S1477"/>
      <c r="Y1477"/>
      <c r="AB1477"/>
    </row>
    <row r="1478" spans="15:28">
      <c r="O1478"/>
      <c r="R1478"/>
      <c r="S1478"/>
      <c r="Y1478"/>
      <c r="AB1478"/>
    </row>
    <row r="1479" spans="15:28">
      <c r="O1479"/>
      <c r="R1479"/>
      <c r="S1479"/>
      <c r="Y1479"/>
      <c r="AB1479"/>
    </row>
    <row r="1480" spans="15:28">
      <c r="O1480"/>
      <c r="R1480"/>
      <c r="S1480"/>
      <c r="Y1480"/>
      <c r="AB1480"/>
    </row>
    <row r="1481" spans="15:28">
      <c r="O1481"/>
      <c r="R1481"/>
      <c r="S1481"/>
      <c r="Y1481"/>
      <c r="AB1481"/>
    </row>
    <row r="1482" spans="15:28">
      <c r="O1482"/>
      <c r="R1482"/>
      <c r="S1482"/>
      <c r="Y1482"/>
      <c r="AB1482"/>
    </row>
    <row r="1483" spans="15:28">
      <c r="O1483"/>
      <c r="R1483"/>
      <c r="S1483"/>
      <c r="Y1483"/>
      <c r="AB1483"/>
    </row>
    <row r="1484" spans="15:28">
      <c r="O1484"/>
      <c r="R1484"/>
      <c r="S1484"/>
      <c r="Y1484"/>
      <c r="AB1484"/>
    </row>
    <row r="1485" spans="15:28">
      <c r="O1485"/>
      <c r="R1485"/>
      <c r="S1485"/>
      <c r="Y1485"/>
      <c r="AB1485"/>
    </row>
    <row r="1486" spans="15:28">
      <c r="O1486"/>
      <c r="R1486"/>
      <c r="S1486"/>
      <c r="Y1486"/>
      <c r="AB1486"/>
    </row>
    <row r="1487" spans="15:28">
      <c r="O1487"/>
      <c r="R1487"/>
      <c r="S1487"/>
      <c r="Y1487"/>
      <c r="AB1487"/>
    </row>
    <row r="1488" spans="15:28">
      <c r="O1488"/>
      <c r="R1488"/>
      <c r="S1488"/>
      <c r="Y1488"/>
      <c r="AB1488"/>
    </row>
    <row r="1489" spans="15:28">
      <c r="O1489"/>
      <c r="R1489"/>
      <c r="S1489"/>
      <c r="Y1489"/>
      <c r="AB1489"/>
    </row>
    <row r="1490" spans="15:28">
      <c r="O1490"/>
      <c r="R1490"/>
      <c r="S1490"/>
      <c r="Y1490"/>
      <c r="AB1490"/>
    </row>
    <row r="1491" spans="15:28">
      <c r="O1491"/>
      <c r="R1491"/>
      <c r="S1491"/>
      <c r="Y1491"/>
      <c r="AB1491"/>
    </row>
    <row r="1492" spans="15:28">
      <c r="O1492"/>
      <c r="R1492"/>
      <c r="S1492"/>
      <c r="Y1492"/>
      <c r="AB1492"/>
    </row>
    <row r="1493" spans="15:28">
      <c r="O1493"/>
      <c r="R1493"/>
      <c r="S1493"/>
      <c r="Y1493"/>
      <c r="AB1493"/>
    </row>
    <row r="1494" spans="15:28">
      <c r="O1494"/>
      <c r="R1494"/>
      <c r="S1494"/>
      <c r="Y1494"/>
      <c r="AB1494"/>
    </row>
    <row r="1495" spans="15:28">
      <c r="O1495"/>
      <c r="R1495"/>
      <c r="S1495"/>
      <c r="Y1495"/>
      <c r="AB1495"/>
    </row>
    <row r="1496" spans="15:28">
      <c r="O1496"/>
      <c r="R1496"/>
      <c r="S1496"/>
      <c r="Y1496"/>
      <c r="AB1496"/>
    </row>
    <row r="1497" spans="15:28">
      <c r="O1497"/>
      <c r="R1497"/>
      <c r="S1497"/>
      <c r="Y1497"/>
      <c r="AB1497"/>
    </row>
    <row r="1498" spans="15:28">
      <c r="O1498"/>
      <c r="R1498"/>
      <c r="S1498"/>
      <c r="Y1498"/>
      <c r="AB1498"/>
    </row>
    <row r="1499" spans="15:28">
      <c r="O1499"/>
      <c r="R1499"/>
      <c r="S1499"/>
      <c r="Y1499"/>
      <c r="AB1499"/>
    </row>
    <row r="1500" spans="15:28">
      <c r="O1500"/>
      <c r="R1500"/>
      <c r="S1500"/>
      <c r="Y1500"/>
      <c r="AB1500"/>
    </row>
    <row r="1501" spans="15:28">
      <c r="O1501"/>
      <c r="R1501"/>
      <c r="S1501"/>
      <c r="Y1501"/>
      <c r="AB1501"/>
    </row>
    <row r="1502" spans="15:28">
      <c r="O1502"/>
      <c r="R1502"/>
      <c r="S1502"/>
      <c r="Y1502"/>
      <c r="AB1502"/>
    </row>
    <row r="1503" spans="15:28">
      <c r="O1503"/>
      <c r="R1503"/>
      <c r="S1503"/>
      <c r="Y1503"/>
      <c r="AB1503"/>
    </row>
    <row r="1504" spans="15:28">
      <c r="O1504"/>
      <c r="R1504"/>
      <c r="S1504"/>
      <c r="Y1504"/>
      <c r="AB1504"/>
    </row>
    <row r="1505" spans="15:28">
      <c r="O1505"/>
      <c r="R1505"/>
      <c r="S1505"/>
      <c r="Y1505"/>
      <c r="AB1505"/>
    </row>
    <row r="1506" spans="15:28">
      <c r="O1506"/>
      <c r="R1506"/>
      <c r="S1506"/>
      <c r="Y1506"/>
      <c r="AB1506"/>
    </row>
    <row r="1507" spans="15:28">
      <c r="O1507"/>
      <c r="R1507"/>
      <c r="S1507"/>
      <c r="Y1507"/>
      <c r="AB1507"/>
    </row>
    <row r="1508" spans="15:28">
      <c r="O1508"/>
      <c r="R1508"/>
      <c r="S1508"/>
      <c r="Y1508"/>
      <c r="AB1508"/>
    </row>
    <row r="1509" spans="15:28">
      <c r="O1509"/>
      <c r="R1509"/>
      <c r="S1509"/>
      <c r="Y1509"/>
      <c r="AB1509"/>
    </row>
    <row r="1510" spans="15:28">
      <c r="O1510"/>
      <c r="R1510"/>
      <c r="S1510"/>
      <c r="Y1510"/>
      <c r="AB1510"/>
    </row>
    <row r="1511" spans="15:28">
      <c r="O1511"/>
      <c r="R1511"/>
      <c r="S1511"/>
      <c r="Y1511"/>
      <c r="AB1511"/>
    </row>
    <row r="1512" spans="15:28">
      <c r="O1512"/>
      <c r="R1512"/>
      <c r="S1512"/>
      <c r="Y1512"/>
      <c r="AB1512"/>
    </row>
    <row r="1513" spans="15:28">
      <c r="O1513"/>
      <c r="R1513"/>
      <c r="S1513"/>
      <c r="Y1513"/>
      <c r="AB1513"/>
    </row>
    <row r="1514" spans="15:28">
      <c r="O1514"/>
      <c r="R1514"/>
      <c r="S1514"/>
      <c r="Y1514"/>
      <c r="AB1514"/>
    </row>
    <row r="1515" spans="15:28">
      <c r="O1515"/>
      <c r="R1515"/>
      <c r="S1515"/>
      <c r="Y1515"/>
      <c r="AB1515"/>
    </row>
    <row r="1516" spans="15:28">
      <c r="O1516"/>
      <c r="R1516"/>
      <c r="S1516"/>
      <c r="Y1516"/>
      <c r="AB1516"/>
    </row>
    <row r="1517" spans="15:28">
      <c r="O1517"/>
      <c r="R1517"/>
      <c r="S1517"/>
      <c r="Y1517"/>
      <c r="AB1517"/>
    </row>
    <row r="1518" spans="15:28">
      <c r="O1518"/>
      <c r="R1518"/>
      <c r="S1518"/>
      <c r="Y1518"/>
      <c r="AB1518"/>
    </row>
    <row r="1519" spans="15:28">
      <c r="O1519"/>
      <c r="R1519"/>
      <c r="S1519"/>
      <c r="Y1519"/>
      <c r="AB1519"/>
    </row>
    <row r="1520" spans="15:28">
      <c r="O1520"/>
      <c r="R1520"/>
      <c r="S1520"/>
      <c r="Y1520"/>
      <c r="AB1520"/>
    </row>
    <row r="1521" spans="15:28">
      <c r="O1521"/>
      <c r="R1521"/>
      <c r="S1521"/>
      <c r="Y1521"/>
      <c r="AB1521"/>
    </row>
    <row r="1522" spans="15:28">
      <c r="O1522"/>
      <c r="R1522"/>
      <c r="S1522"/>
      <c r="Y1522"/>
      <c r="AB1522"/>
    </row>
    <row r="1523" spans="15:28">
      <c r="O1523"/>
      <c r="R1523"/>
      <c r="S1523"/>
      <c r="Y1523"/>
      <c r="AB1523"/>
    </row>
    <row r="1524" spans="15:28">
      <c r="O1524"/>
      <c r="R1524"/>
      <c r="S1524"/>
      <c r="Y1524"/>
      <c r="AB1524"/>
    </row>
    <row r="1525" spans="15:28">
      <c r="O1525"/>
      <c r="R1525"/>
      <c r="S1525"/>
      <c r="Y1525"/>
      <c r="AB1525"/>
    </row>
    <row r="1526" spans="15:28">
      <c r="O1526"/>
      <c r="R1526"/>
      <c r="S1526"/>
      <c r="Y1526"/>
      <c r="AB1526"/>
    </row>
    <row r="1527" spans="15:28">
      <c r="O1527"/>
      <c r="R1527"/>
      <c r="S1527"/>
      <c r="Y1527"/>
      <c r="AB1527"/>
    </row>
    <row r="1528" spans="15:28">
      <c r="O1528"/>
      <c r="R1528"/>
      <c r="S1528"/>
      <c r="Y1528"/>
      <c r="AB1528"/>
    </row>
    <row r="1529" spans="15:28">
      <c r="O1529"/>
      <c r="R1529"/>
      <c r="S1529"/>
      <c r="Y1529"/>
      <c r="AB1529"/>
    </row>
    <row r="1530" spans="15:28">
      <c r="O1530"/>
      <c r="R1530"/>
      <c r="S1530"/>
      <c r="Y1530"/>
      <c r="AB1530"/>
    </row>
    <row r="1531" spans="15:28">
      <c r="O1531"/>
      <c r="R1531"/>
      <c r="S1531"/>
      <c r="Y1531"/>
      <c r="AB1531"/>
    </row>
    <row r="1532" spans="15:28">
      <c r="O1532"/>
      <c r="R1532"/>
      <c r="S1532"/>
      <c r="Y1532"/>
      <c r="AB1532"/>
    </row>
    <row r="1533" spans="15:28">
      <c r="O1533"/>
      <c r="R1533"/>
      <c r="S1533"/>
      <c r="Y1533"/>
      <c r="AB1533"/>
    </row>
    <row r="1534" spans="15:28">
      <c r="O1534"/>
      <c r="R1534"/>
      <c r="S1534"/>
      <c r="Y1534"/>
      <c r="AB1534"/>
    </row>
    <row r="1535" spans="15:28">
      <c r="O1535"/>
      <c r="R1535"/>
      <c r="S1535"/>
      <c r="Y1535"/>
      <c r="AB1535"/>
    </row>
    <row r="1536" spans="15:28">
      <c r="O1536"/>
      <c r="R1536"/>
      <c r="S1536"/>
      <c r="Y1536"/>
      <c r="AB1536"/>
    </row>
    <row r="1537" spans="15:28">
      <c r="O1537"/>
      <c r="R1537"/>
      <c r="S1537"/>
      <c r="Y1537"/>
      <c r="AB1537"/>
    </row>
    <row r="1538" spans="15:28">
      <c r="O1538"/>
      <c r="R1538"/>
      <c r="S1538"/>
      <c r="Y1538"/>
      <c r="AB1538"/>
    </row>
    <row r="1539" spans="15:28">
      <c r="O1539"/>
      <c r="R1539"/>
      <c r="S1539"/>
      <c r="Y1539"/>
      <c r="AB1539"/>
    </row>
    <row r="1540" spans="15:28">
      <c r="O1540"/>
      <c r="R1540"/>
      <c r="S1540"/>
      <c r="Y1540"/>
      <c r="AB1540"/>
    </row>
    <row r="1541" spans="15:28">
      <c r="O1541"/>
      <c r="R1541"/>
      <c r="S1541"/>
      <c r="Y1541"/>
      <c r="AB1541"/>
    </row>
    <row r="1542" spans="15:28">
      <c r="O1542"/>
      <c r="R1542"/>
      <c r="S1542"/>
      <c r="Y1542"/>
      <c r="AB1542"/>
    </row>
    <row r="1543" spans="15:28">
      <c r="O1543"/>
      <c r="R1543"/>
      <c r="S1543"/>
      <c r="Y1543"/>
      <c r="AB1543"/>
    </row>
    <row r="1544" spans="15:28">
      <c r="O1544"/>
      <c r="R1544"/>
      <c r="S1544"/>
      <c r="Y1544"/>
      <c r="AB1544"/>
    </row>
    <row r="1545" spans="15:28">
      <c r="O1545"/>
      <c r="R1545"/>
      <c r="S1545"/>
      <c r="Y1545"/>
      <c r="AB1545"/>
    </row>
    <row r="1546" spans="15:28">
      <c r="O1546"/>
      <c r="R1546"/>
      <c r="S1546"/>
      <c r="Y1546"/>
      <c r="AB1546"/>
    </row>
    <row r="1547" spans="15:28">
      <c r="O1547"/>
      <c r="R1547"/>
      <c r="S1547"/>
      <c r="Y1547"/>
      <c r="AB1547"/>
    </row>
    <row r="1548" spans="15:28">
      <c r="O1548"/>
      <c r="R1548"/>
      <c r="S1548"/>
      <c r="Y1548"/>
      <c r="AB1548"/>
    </row>
    <row r="1549" spans="15:28">
      <c r="O1549"/>
      <c r="R1549"/>
      <c r="S1549"/>
      <c r="Y1549"/>
      <c r="AB1549"/>
    </row>
    <row r="1550" spans="15:28">
      <c r="O1550"/>
      <c r="R1550"/>
      <c r="S1550"/>
      <c r="Y1550"/>
      <c r="AB1550"/>
    </row>
    <row r="1551" spans="15:28">
      <c r="O1551"/>
      <c r="R1551"/>
      <c r="S1551"/>
      <c r="Y1551"/>
      <c r="AB1551"/>
    </row>
    <row r="1552" spans="15:28">
      <c r="O1552"/>
      <c r="R1552"/>
      <c r="S1552"/>
      <c r="Y1552"/>
      <c r="AB1552"/>
    </row>
    <row r="1553" spans="15:28">
      <c r="O1553"/>
      <c r="R1553"/>
      <c r="S1553"/>
      <c r="Y1553"/>
      <c r="AB1553"/>
    </row>
    <row r="1554" spans="15:28">
      <c r="O1554"/>
      <c r="R1554"/>
      <c r="S1554"/>
      <c r="Y1554"/>
      <c r="AB1554"/>
    </row>
    <row r="1555" spans="15:28">
      <c r="O1555"/>
      <c r="R1555"/>
      <c r="S1555"/>
      <c r="Y1555"/>
      <c r="AB1555"/>
    </row>
    <row r="1556" spans="15:28">
      <c r="O1556"/>
      <c r="R1556"/>
      <c r="S1556"/>
      <c r="Y1556"/>
      <c r="AB1556"/>
    </row>
    <row r="1557" spans="15:28">
      <c r="O1557"/>
      <c r="R1557"/>
      <c r="S1557"/>
      <c r="Y1557"/>
      <c r="AB1557"/>
    </row>
    <row r="1558" spans="15:28">
      <c r="O1558"/>
      <c r="R1558"/>
      <c r="S1558"/>
      <c r="Y1558"/>
      <c r="AB1558"/>
    </row>
    <row r="1559" spans="15:28">
      <c r="O1559"/>
      <c r="R1559"/>
      <c r="S1559"/>
      <c r="Y1559"/>
      <c r="AB1559"/>
    </row>
    <row r="1560" spans="15:28">
      <c r="O1560"/>
      <c r="R1560"/>
      <c r="S1560"/>
      <c r="Y1560"/>
      <c r="AB1560"/>
    </row>
    <row r="1561" spans="15:28">
      <c r="O1561"/>
      <c r="R1561"/>
      <c r="S1561"/>
      <c r="Y1561"/>
      <c r="AB1561"/>
    </row>
    <row r="1562" spans="15:28">
      <c r="O1562"/>
      <c r="R1562"/>
      <c r="S1562"/>
      <c r="Y1562"/>
      <c r="AB1562"/>
    </row>
    <row r="1563" spans="15:28">
      <c r="O1563"/>
      <c r="R1563"/>
      <c r="S1563"/>
      <c r="Y1563"/>
      <c r="AB1563"/>
    </row>
    <row r="1564" spans="15:28">
      <c r="O1564"/>
      <c r="R1564"/>
      <c r="S1564"/>
      <c r="Y1564"/>
      <c r="AB1564"/>
    </row>
    <row r="1565" spans="15:28">
      <c r="O1565"/>
      <c r="R1565"/>
      <c r="S1565"/>
      <c r="Y1565"/>
      <c r="AB1565"/>
    </row>
    <row r="1566" spans="15:28">
      <c r="O1566"/>
      <c r="R1566"/>
      <c r="S1566"/>
      <c r="Y1566"/>
      <c r="AB1566"/>
    </row>
    <row r="1567" spans="15:28">
      <c r="O1567"/>
      <c r="R1567"/>
      <c r="S1567"/>
      <c r="Y1567"/>
      <c r="AB1567"/>
    </row>
    <row r="1568" spans="15:28">
      <c r="O1568"/>
      <c r="R1568"/>
      <c r="S1568"/>
      <c r="Y1568"/>
      <c r="AB1568"/>
    </row>
    <row r="1569" spans="15:28">
      <c r="O1569"/>
      <c r="R1569"/>
      <c r="S1569"/>
      <c r="Y1569"/>
      <c r="AB1569"/>
    </row>
    <row r="1570" spans="15:28">
      <c r="O1570"/>
      <c r="R1570"/>
      <c r="S1570"/>
      <c r="Y1570"/>
      <c r="AB1570"/>
    </row>
    <row r="1571" spans="15:28">
      <c r="O1571"/>
      <c r="R1571"/>
      <c r="S1571"/>
      <c r="Y1571"/>
      <c r="AB1571"/>
    </row>
    <row r="1572" spans="15:28">
      <c r="O1572"/>
      <c r="R1572"/>
      <c r="S1572"/>
      <c r="Y1572"/>
      <c r="AB1572"/>
    </row>
    <row r="1573" spans="15:28">
      <c r="O1573"/>
      <c r="R1573"/>
      <c r="S1573"/>
      <c r="Y1573"/>
      <c r="AB1573"/>
    </row>
    <row r="1574" spans="15:28">
      <c r="O1574"/>
      <c r="R1574"/>
      <c r="S1574"/>
      <c r="Y1574"/>
      <c r="AB1574"/>
    </row>
    <row r="1575" spans="15:28">
      <c r="O1575"/>
      <c r="R1575"/>
      <c r="S1575"/>
      <c r="Y1575"/>
      <c r="AB1575"/>
    </row>
    <row r="1576" spans="15:28">
      <c r="O1576"/>
      <c r="R1576"/>
      <c r="S1576"/>
      <c r="Y1576"/>
      <c r="AB1576"/>
    </row>
    <row r="1577" spans="15:28">
      <c r="O1577"/>
      <c r="R1577"/>
      <c r="S1577"/>
      <c r="Y1577"/>
      <c r="AB1577"/>
    </row>
    <row r="1578" spans="15:28">
      <c r="O1578"/>
      <c r="R1578"/>
      <c r="S1578"/>
      <c r="Y1578"/>
      <c r="AB1578"/>
    </row>
    <row r="1579" spans="15:28">
      <c r="O1579"/>
      <c r="R1579"/>
      <c r="S1579"/>
      <c r="Y1579"/>
      <c r="AB1579"/>
    </row>
    <row r="1580" spans="15:28">
      <c r="O1580"/>
      <c r="R1580"/>
      <c r="S1580"/>
      <c r="Y1580"/>
      <c r="AB1580"/>
    </row>
    <row r="1581" spans="15:28">
      <c r="O1581"/>
      <c r="R1581"/>
      <c r="S1581"/>
      <c r="Y1581"/>
      <c r="AB1581"/>
    </row>
    <row r="1582" spans="15:28">
      <c r="O1582"/>
      <c r="R1582"/>
      <c r="S1582"/>
      <c r="Y1582"/>
      <c r="AB1582"/>
    </row>
    <row r="1583" spans="15:28">
      <c r="O1583"/>
      <c r="R1583"/>
      <c r="S1583"/>
      <c r="Y1583"/>
      <c r="AB1583"/>
    </row>
    <row r="1584" spans="15:28">
      <c r="O1584"/>
      <c r="R1584"/>
      <c r="S1584"/>
      <c r="Y1584"/>
      <c r="AB1584"/>
    </row>
    <row r="1585" spans="15:28">
      <c r="O1585"/>
      <c r="R1585"/>
      <c r="S1585"/>
      <c r="Y1585"/>
      <c r="AB1585"/>
    </row>
    <row r="1586" spans="15:28">
      <c r="O1586"/>
      <c r="R1586"/>
      <c r="S1586"/>
      <c r="Y1586"/>
      <c r="AB1586"/>
    </row>
    <row r="1587" spans="15:28">
      <c r="O1587"/>
      <c r="R1587"/>
      <c r="S1587"/>
      <c r="Y1587"/>
      <c r="AB1587"/>
    </row>
    <row r="1588" spans="15:28">
      <c r="O1588"/>
      <c r="R1588"/>
      <c r="S1588"/>
      <c r="Y1588"/>
      <c r="AB1588"/>
    </row>
    <row r="1589" spans="15:28">
      <c r="O1589"/>
      <c r="R1589"/>
      <c r="S1589"/>
      <c r="Y1589"/>
      <c r="AB1589"/>
    </row>
    <row r="1590" spans="15:28">
      <c r="O1590"/>
      <c r="R1590"/>
      <c r="S1590"/>
      <c r="Y1590"/>
      <c r="AB1590"/>
    </row>
    <row r="1591" spans="15:28">
      <c r="O1591"/>
      <c r="R1591"/>
      <c r="S1591"/>
      <c r="Y1591"/>
      <c r="AB1591"/>
    </row>
    <row r="1592" spans="15:28">
      <c r="O1592"/>
      <c r="R1592"/>
      <c r="S1592"/>
      <c r="Y1592"/>
      <c r="AB1592"/>
    </row>
    <row r="1593" spans="15:28">
      <c r="O1593"/>
      <c r="R1593"/>
      <c r="S1593"/>
      <c r="Y1593"/>
      <c r="AB1593"/>
    </row>
    <row r="1594" spans="15:28">
      <c r="O1594"/>
      <c r="R1594"/>
      <c r="S1594"/>
      <c r="Y1594"/>
      <c r="AB1594"/>
    </row>
    <row r="1595" spans="15:28">
      <c r="O1595"/>
      <c r="R1595"/>
      <c r="S1595"/>
      <c r="Y1595"/>
      <c r="AB1595"/>
    </row>
    <row r="1596" spans="15:28">
      <c r="O1596"/>
      <c r="R1596"/>
      <c r="S1596"/>
      <c r="Y1596"/>
      <c r="AB1596"/>
    </row>
    <row r="1597" spans="15:28">
      <c r="O1597"/>
      <c r="R1597"/>
      <c r="S1597"/>
      <c r="Y1597"/>
      <c r="AB1597"/>
    </row>
    <row r="1598" spans="15:28">
      <c r="O1598"/>
      <c r="R1598"/>
      <c r="S1598"/>
      <c r="Y1598"/>
      <c r="AB1598"/>
    </row>
    <row r="1599" spans="15:28">
      <c r="O1599"/>
      <c r="R1599"/>
      <c r="S1599"/>
      <c r="Y1599"/>
      <c r="AB1599"/>
    </row>
    <row r="1600" spans="15:28">
      <c r="O1600"/>
      <c r="R1600"/>
      <c r="S1600"/>
      <c r="Y1600"/>
      <c r="AB1600"/>
    </row>
    <row r="1601" spans="15:28">
      <c r="O1601"/>
      <c r="R1601"/>
      <c r="S1601"/>
      <c r="Y1601"/>
      <c r="AB1601"/>
    </row>
    <row r="1602" spans="15:28">
      <c r="O1602"/>
      <c r="R1602"/>
      <c r="S1602"/>
      <c r="Y1602"/>
      <c r="AB1602"/>
    </row>
    <row r="1603" spans="15:28">
      <c r="O1603"/>
      <c r="R1603"/>
      <c r="S1603"/>
      <c r="Y1603"/>
      <c r="AB1603"/>
    </row>
    <row r="1604" spans="15:28">
      <c r="O1604"/>
      <c r="R1604"/>
      <c r="S1604"/>
      <c r="Y1604"/>
      <c r="AB1604"/>
    </row>
    <row r="1605" spans="15:28">
      <c r="O1605"/>
      <c r="R1605"/>
      <c r="S1605"/>
      <c r="Y1605"/>
      <c r="AB1605"/>
    </row>
    <row r="1606" spans="15:28">
      <c r="O1606"/>
      <c r="R1606"/>
      <c r="S1606"/>
      <c r="Y1606"/>
      <c r="AB1606"/>
    </row>
    <row r="1607" spans="15:28">
      <c r="O1607"/>
      <c r="R1607"/>
      <c r="S1607"/>
      <c r="Y1607"/>
      <c r="AB1607"/>
    </row>
    <row r="1608" spans="15:28">
      <c r="O1608"/>
      <c r="R1608"/>
      <c r="S1608"/>
      <c r="Y1608"/>
      <c r="AB1608"/>
    </row>
    <row r="1609" spans="15:28">
      <c r="O1609"/>
      <c r="R1609"/>
      <c r="S1609"/>
      <c r="Y1609"/>
      <c r="AB1609"/>
    </row>
    <row r="1610" spans="15:28">
      <c r="O1610"/>
      <c r="R1610"/>
      <c r="S1610"/>
      <c r="Y1610"/>
      <c r="AB1610"/>
    </row>
    <row r="1611" spans="15:28">
      <c r="O1611"/>
      <c r="R1611"/>
      <c r="S1611"/>
      <c r="Y1611"/>
      <c r="AB1611"/>
    </row>
    <row r="1612" spans="15:28">
      <c r="O1612"/>
      <c r="R1612"/>
      <c r="S1612"/>
      <c r="Y1612"/>
      <c r="AB1612"/>
    </row>
    <row r="1613" spans="15:28">
      <c r="O1613"/>
      <c r="R1613"/>
      <c r="S1613"/>
      <c r="Y1613"/>
      <c r="AB1613"/>
    </row>
    <row r="1614" spans="15:28">
      <c r="O1614"/>
      <c r="R1614"/>
      <c r="S1614"/>
      <c r="Y1614"/>
      <c r="AB1614"/>
    </row>
  </sheetData>
  <mergeCells count="10">
    <mergeCell ref="C56:E56"/>
    <mergeCell ref="B8:H10"/>
    <mergeCell ref="B12:B14"/>
    <mergeCell ref="C16:E16"/>
    <mergeCell ref="C25:E25"/>
    <mergeCell ref="AE11:AF15"/>
    <mergeCell ref="C12:E14"/>
    <mergeCell ref="F12:G14"/>
    <mergeCell ref="H12:H14"/>
    <mergeCell ref="B7:H7"/>
  </mergeCells>
  <phoneticPr fontId="10" type="noConversion"/>
  <printOptions horizontalCentered="1"/>
  <pageMargins left="0" right="0" top="0.75" bottom="0" header="0.5" footer="0.5"/>
  <pageSetup scale="55" fitToHeight="0" orientation="portrait" r:id="rId1"/>
  <headerFooter alignWithMargins="0"/>
  <colBreaks count="1" manualBreakCount="1">
    <brk id="20" max="1048575" man="1"/>
  </colBreak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C5916-E1A7-431A-8FF1-65D9134507F2}">
  <sheetPr>
    <pageSetUpPr fitToPage="1"/>
  </sheetPr>
  <dimension ref="A2:X107"/>
  <sheetViews>
    <sheetView zoomScaleNormal="100" zoomScaleSheetLayoutView="100" workbookViewId="0">
      <pane ySplit="9" topLeftCell="A10" activePane="bottomLeft" state="frozen"/>
      <selection activeCell="Q20" sqref="Q20"/>
      <selection pane="bottomLeft" activeCell="J23" sqref="J23"/>
    </sheetView>
  </sheetViews>
  <sheetFormatPr defaultColWidth="9.1796875" defaultRowHeight="13"/>
  <cols>
    <col min="1" max="1" width="17" style="162" customWidth="1"/>
    <col min="2" max="2" width="21" style="162" customWidth="1"/>
    <col min="3" max="3" width="11.26953125" style="195" customWidth="1"/>
    <col min="4" max="4" width="15.453125" style="162" customWidth="1"/>
    <col min="5" max="5" width="13.7265625" style="162" customWidth="1"/>
    <col min="6" max="6" width="12.1796875" style="162" customWidth="1"/>
    <col min="7" max="7" width="12.81640625" style="162" customWidth="1"/>
    <col min="8" max="9" width="14.453125" style="162" customWidth="1"/>
    <col min="10" max="10" width="16.453125" style="162" customWidth="1"/>
    <col min="11" max="11" width="15" style="162" customWidth="1"/>
    <col min="12" max="12" width="13.81640625" style="165" customWidth="1"/>
    <col min="13" max="13" width="12.54296875" style="162" customWidth="1"/>
    <col min="14" max="14" width="12.7265625" style="162" customWidth="1"/>
    <col min="15" max="15" width="13.1796875" style="162" hidden="1" customWidth="1"/>
    <col min="16" max="16" width="13" style="162" hidden="1" customWidth="1"/>
    <col min="17" max="17" width="11.81640625" style="162" hidden="1" customWidth="1"/>
    <col min="18" max="18" width="11.26953125" style="162" hidden="1" customWidth="1"/>
    <col min="19" max="19" width="0" style="162" hidden="1" customWidth="1"/>
    <col min="20" max="20" width="10.54296875" style="162" hidden="1" customWidth="1"/>
    <col min="21" max="21" width="0.81640625" style="162" hidden="1" customWidth="1"/>
    <col min="22" max="22" width="64.54296875" style="162" customWidth="1"/>
    <col min="23" max="23" width="3.54296875" style="162" customWidth="1"/>
    <col min="24" max="16384" width="9.1796875" style="162"/>
  </cols>
  <sheetData>
    <row r="2" spans="1:24">
      <c r="A2" s="528" t="str">
        <f>Summary!A2</f>
        <v>ATHENA PROPERTY MANAGEMENT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8"/>
      <c r="R2" s="528"/>
      <c r="S2" s="528"/>
      <c r="T2" s="528"/>
      <c r="U2" s="528"/>
      <c r="V2" s="528"/>
    </row>
    <row r="3" spans="1:24">
      <c r="A3" s="528" t="str">
        <f>Summary!A3</f>
        <v>Goodyear Arizona Big Lots</v>
      </c>
      <c r="B3" s="528"/>
      <c r="C3" s="528"/>
      <c r="D3" s="528"/>
      <c r="E3" s="528"/>
      <c r="F3" s="528"/>
      <c r="G3" s="528"/>
      <c r="H3" s="528"/>
      <c r="I3" s="528"/>
      <c r="J3" s="528"/>
      <c r="K3" s="528"/>
      <c r="L3" s="528"/>
      <c r="M3" s="528"/>
      <c r="N3" s="528"/>
      <c r="O3" s="528"/>
      <c r="P3" s="528"/>
      <c r="Q3" s="528"/>
      <c r="R3" s="528"/>
      <c r="S3" s="528"/>
      <c r="T3" s="528"/>
      <c r="U3" s="528"/>
      <c r="V3" s="528"/>
    </row>
    <row r="4" spans="1:24">
      <c r="A4" s="528" t="str">
        <f>Summary!A4</f>
        <v>Property Number: 731</v>
      </c>
      <c r="B4" s="528"/>
      <c r="C4" s="528"/>
      <c r="D4" s="528"/>
      <c r="E4" s="528"/>
      <c r="F4" s="528"/>
      <c r="G4" s="528"/>
      <c r="H4" s="528"/>
      <c r="I4" s="528"/>
      <c r="J4" s="528"/>
      <c r="K4" s="528"/>
      <c r="L4" s="528"/>
      <c r="M4" s="528"/>
      <c r="N4" s="528"/>
      <c r="O4" s="528"/>
      <c r="P4" s="528"/>
      <c r="Q4" s="528"/>
      <c r="R4" s="528"/>
      <c r="S4" s="528"/>
      <c r="T4" s="528"/>
      <c r="U4" s="528"/>
      <c r="V4" s="528"/>
    </row>
    <row r="5" spans="1:24">
      <c r="A5" s="528" t="str">
        <f>Summary!A5</f>
        <v>01/01/2026  TO   12/31/2026</v>
      </c>
      <c r="B5" s="528"/>
      <c r="C5" s="528"/>
      <c r="D5" s="528"/>
      <c r="E5" s="528"/>
      <c r="F5" s="528"/>
      <c r="G5" s="528"/>
      <c r="H5" s="528"/>
      <c r="I5" s="528"/>
      <c r="J5" s="528"/>
      <c r="K5" s="528"/>
      <c r="L5" s="528"/>
      <c r="M5" s="528"/>
      <c r="N5" s="528"/>
      <c r="O5" s="528"/>
      <c r="P5" s="528"/>
      <c r="Q5" s="528"/>
      <c r="R5" s="528"/>
      <c r="S5" s="528"/>
      <c r="T5" s="528"/>
      <c r="U5" s="528"/>
      <c r="V5" s="528"/>
    </row>
    <row r="6" spans="1:24">
      <c r="A6" s="528" t="str">
        <f>Summary!A6</f>
        <v>2026 OPERATING BUDGET</v>
      </c>
      <c r="B6" s="528"/>
      <c r="C6" s="528"/>
      <c r="D6" s="528"/>
      <c r="E6" s="528"/>
      <c r="F6" s="528"/>
      <c r="G6" s="528"/>
      <c r="H6" s="528"/>
      <c r="I6" s="528"/>
      <c r="J6" s="528"/>
      <c r="K6" s="528"/>
      <c r="L6" s="528"/>
      <c r="M6" s="528"/>
      <c r="N6" s="528"/>
      <c r="O6" s="528"/>
      <c r="P6" s="528"/>
      <c r="Q6" s="528"/>
      <c r="R6" s="528"/>
      <c r="S6" s="528"/>
      <c r="T6" s="528"/>
      <c r="U6" s="528"/>
      <c r="V6" s="528"/>
    </row>
    <row r="7" spans="1:24" ht="12" customHeight="1">
      <c r="A7" s="163"/>
      <c r="C7" s="164"/>
    </row>
    <row r="8" spans="1:24" ht="14.5">
      <c r="A8" s="163" t="s">
        <v>239</v>
      </c>
      <c r="C8" s="164"/>
      <c r="H8" s="166"/>
      <c r="I8" s="166"/>
    </row>
    <row r="9" spans="1:24" ht="59.5" customHeight="1">
      <c r="A9" s="167"/>
      <c r="B9" s="167" t="s">
        <v>152</v>
      </c>
      <c r="C9" s="167" t="s">
        <v>240</v>
      </c>
      <c r="D9" s="168" t="s">
        <v>241</v>
      </c>
      <c r="E9" s="168" t="s">
        <v>242</v>
      </c>
      <c r="F9" s="168" t="s">
        <v>243</v>
      </c>
      <c r="G9" s="168" t="s">
        <v>244</v>
      </c>
      <c r="H9" s="168" t="s">
        <v>245</v>
      </c>
      <c r="I9" s="168" t="s">
        <v>246</v>
      </c>
      <c r="J9" s="169" t="s">
        <v>247</v>
      </c>
      <c r="K9" s="169" t="s">
        <v>248</v>
      </c>
      <c r="L9" s="170" t="s">
        <v>249</v>
      </c>
      <c r="M9" s="168" t="s">
        <v>250</v>
      </c>
      <c r="N9" s="168" t="s">
        <v>251</v>
      </c>
      <c r="O9" s="171" t="s">
        <v>252</v>
      </c>
      <c r="P9" s="172" t="s">
        <v>253</v>
      </c>
      <c r="Q9" s="171" t="s">
        <v>254</v>
      </c>
      <c r="R9" s="171" t="s">
        <v>255</v>
      </c>
      <c r="V9" s="167" t="s">
        <v>256</v>
      </c>
    </row>
    <row r="10" spans="1:24" ht="16.5" customHeight="1">
      <c r="A10" s="216" t="s">
        <v>257</v>
      </c>
      <c r="B10" s="164"/>
      <c r="C10" s="164"/>
      <c r="D10" s="173"/>
      <c r="E10" s="173"/>
      <c r="F10" s="173"/>
      <c r="G10" s="173"/>
      <c r="H10" s="173"/>
      <c r="I10" s="173"/>
      <c r="J10" s="173"/>
      <c r="K10" s="173"/>
      <c r="L10" s="174"/>
      <c r="M10" s="173"/>
      <c r="N10" s="173"/>
      <c r="O10" s="173"/>
      <c r="P10" s="175"/>
      <c r="Q10" s="173"/>
      <c r="R10" s="173"/>
      <c r="T10" s="176" t="s">
        <v>258</v>
      </c>
      <c r="U10" s="177"/>
    </row>
    <row r="11" spans="1:24" s="123" customFormat="1" ht="14.5">
      <c r="A11" s="178" t="s">
        <v>259</v>
      </c>
      <c r="B11" s="123" t="str">
        <f>Rent!A13</f>
        <v>VACANT (old Big Lots)</v>
      </c>
      <c r="C11" s="179">
        <f>Rent!C13</f>
        <v>28159</v>
      </c>
      <c r="D11" s="180">
        <f>Rent!E13</f>
        <v>0</v>
      </c>
      <c r="E11" s="180">
        <v>0</v>
      </c>
      <c r="F11" s="341">
        <v>0</v>
      </c>
      <c r="G11" s="180">
        <v>0</v>
      </c>
      <c r="H11" s="341">
        <v>0</v>
      </c>
      <c r="I11" s="208">
        <v>0</v>
      </c>
      <c r="J11" s="180">
        <f>SUM(D11:I11)</f>
        <v>0</v>
      </c>
      <c r="K11" s="180">
        <f>E11+I11</f>
        <v>0</v>
      </c>
      <c r="L11" s="180"/>
      <c r="M11" s="182">
        <f>+K11-L11</f>
        <v>0</v>
      </c>
      <c r="N11" s="183" t="e">
        <f>SUM((1)-(L11/K11))</f>
        <v>#DIV/0!</v>
      </c>
      <c r="O11" s="180">
        <f>4020.58+494.79+93.1+933.64+7615.76</f>
        <v>13157.87</v>
      </c>
      <c r="P11" s="182">
        <f>+K11-O11</f>
        <v>-13157.87</v>
      </c>
      <c r="Q11" s="183" t="e">
        <f>P11/K11</f>
        <v>#DIV/0!</v>
      </c>
      <c r="R11" s="182">
        <f>(K11*12)/C11</f>
        <v>0</v>
      </c>
      <c r="S11" s="184" t="e">
        <f>SUM(1)-(O11/K11)</f>
        <v>#DIV/0!</v>
      </c>
      <c r="T11" s="262">
        <v>472.33</v>
      </c>
      <c r="U11" s="324">
        <v>9.2299999999999993E-2</v>
      </c>
      <c r="V11" s="325"/>
    </row>
    <row r="12" spans="1:24" s="123" customFormat="1" ht="14.5">
      <c r="A12" s="178" t="s">
        <v>260</v>
      </c>
      <c r="B12" s="123" t="str">
        <f>Rent!A14</f>
        <v>Planet Fitness</v>
      </c>
      <c r="C12" s="179">
        <f>Rent!C14</f>
        <v>22235</v>
      </c>
      <c r="D12" s="180">
        <f>Rent!E14</f>
        <v>20382.080000000002</v>
      </c>
      <c r="E12" s="180">
        <f>('CAM Majors'!AB66-'CAM Majors'!AB59-'CAM Majors'!AB23)/12</f>
        <v>4548.4941777666982</v>
      </c>
      <c r="F12" s="180">
        <f>'CAM Majors'!AB23/12</f>
        <v>582.25279133759318</v>
      </c>
      <c r="G12" s="180">
        <v>0</v>
      </c>
      <c r="H12" s="208">
        <f>'CAM Majors'!AB59/12</f>
        <v>2562.0321475109467</v>
      </c>
      <c r="I12" s="208">
        <f>'Sales Tax'!E27</f>
        <v>842.24577349845708</v>
      </c>
      <c r="J12" s="180">
        <f>SUM(D12:H12)</f>
        <v>28074.85911661524</v>
      </c>
      <c r="K12" s="180">
        <f>E12+F12+G12+H12</f>
        <v>7692.7791166152383</v>
      </c>
      <c r="L12" s="180">
        <v>7695.51</v>
      </c>
      <c r="M12" s="182">
        <f>+K12-L12</f>
        <v>-2.7308833847619098</v>
      </c>
      <c r="N12" s="183">
        <f>SUM((1)-(L12/K12))</f>
        <v>-3.5499308421105269E-4</v>
      </c>
      <c r="O12" s="180">
        <f>11816.48+1604.24+1198.26+166.15+24692.1</f>
        <v>39477.229999999996</v>
      </c>
      <c r="P12" s="182">
        <f>+K12-O12</f>
        <v>-31784.450883384758</v>
      </c>
      <c r="Q12" s="183">
        <f>P12/K12</f>
        <v>-4.1317254013877971</v>
      </c>
      <c r="R12" s="182">
        <f>(K12*12)/C12</f>
        <v>4.1517134877167914</v>
      </c>
      <c r="S12" s="184">
        <f>SUM(1)-(O12/K12)</f>
        <v>-4.1317254013877971</v>
      </c>
      <c r="T12" s="185">
        <v>633.29999999999995</v>
      </c>
      <c r="U12" s="186">
        <v>9.2299999999999993E-2</v>
      </c>
      <c r="V12" s="187"/>
    </row>
    <row r="13" spans="1:24" ht="14.5">
      <c r="A13" s="178" t="s">
        <v>261</v>
      </c>
      <c r="B13" s="123" t="str">
        <f>Rent!A15</f>
        <v>EV Charging Station</v>
      </c>
      <c r="C13" s="130" t="s">
        <v>165</v>
      </c>
      <c r="D13" s="180">
        <f>Rent!E15</f>
        <v>1748.36</v>
      </c>
      <c r="E13" s="180">
        <v>0</v>
      </c>
      <c r="F13" s="180">
        <v>0</v>
      </c>
      <c r="G13" s="180">
        <v>0</v>
      </c>
      <c r="H13" s="188">
        <v>0</v>
      </c>
      <c r="I13" s="188">
        <f>'Sales Tax'!E35</f>
        <v>52.450799999999994</v>
      </c>
      <c r="J13" s="180">
        <f>SUM(D13:I13)</f>
        <v>1800.8108</v>
      </c>
      <c r="K13" s="180">
        <v>0</v>
      </c>
      <c r="L13" s="180">
        <v>0</v>
      </c>
      <c r="M13" s="182">
        <f>+K13-L13</f>
        <v>0</v>
      </c>
      <c r="N13" s="183"/>
      <c r="O13" s="189"/>
      <c r="P13" s="166"/>
      <c r="Q13" s="190"/>
      <c r="R13" s="166"/>
      <c r="S13" s="191"/>
      <c r="V13" s="187"/>
      <c r="W13" s="166"/>
      <c r="X13" s="166"/>
    </row>
    <row r="14" spans="1:24" ht="14.5">
      <c r="A14" s="192"/>
      <c r="B14" s="123"/>
      <c r="C14" s="179">
        <v>0</v>
      </c>
      <c r="D14" s="180"/>
      <c r="E14" s="180"/>
      <c r="F14" s="189"/>
      <c r="G14" s="189"/>
      <c r="H14" s="193"/>
      <c r="I14" s="193"/>
      <c r="J14" s="180"/>
      <c r="K14" s="180"/>
      <c r="L14" s="181"/>
      <c r="M14" s="182"/>
      <c r="N14" s="183"/>
      <c r="O14" s="189"/>
      <c r="P14" s="166"/>
      <c r="Q14" s="190"/>
      <c r="R14" s="166"/>
      <c r="S14" s="191"/>
    </row>
    <row r="15" spans="1:24" ht="14.5">
      <c r="A15" s="178"/>
      <c r="B15" s="123"/>
      <c r="C15" s="179">
        <v>0</v>
      </c>
      <c r="D15" s="180"/>
      <c r="E15" s="189"/>
      <c r="F15" s="189"/>
      <c r="G15" s="189"/>
      <c r="H15" s="193"/>
      <c r="I15" s="193"/>
      <c r="J15" s="180"/>
      <c r="K15" s="180"/>
      <c r="L15" s="181"/>
      <c r="M15" s="182"/>
      <c r="N15" s="183"/>
      <c r="O15" s="189"/>
      <c r="P15" s="166"/>
    </row>
    <row r="16" spans="1:24" hidden="1">
      <c r="A16" s="194"/>
      <c r="D16" s="189"/>
      <c r="E16" s="189"/>
      <c r="F16" s="189"/>
      <c r="G16" s="189"/>
      <c r="H16" s="196"/>
      <c r="I16" s="196"/>
      <c r="J16" s="189"/>
      <c r="K16" s="189"/>
      <c r="L16" s="189"/>
      <c r="M16" s="166"/>
      <c r="N16" s="197"/>
    </row>
    <row r="17" spans="1:23" hidden="1">
      <c r="A17" s="194"/>
      <c r="D17" s="189"/>
      <c r="E17" s="189"/>
      <c r="F17" s="189"/>
      <c r="G17" s="189"/>
      <c r="H17" s="196"/>
      <c r="I17" s="196"/>
      <c r="J17" s="189"/>
      <c r="K17" s="189"/>
      <c r="L17" s="189"/>
      <c r="M17" s="166"/>
      <c r="N17" s="197"/>
    </row>
    <row r="18" spans="1:23">
      <c r="A18" s="194"/>
      <c r="D18" s="189"/>
      <c r="E18" s="189"/>
      <c r="F18" s="189"/>
      <c r="G18" s="189"/>
      <c r="H18" s="196"/>
      <c r="I18" s="196"/>
      <c r="J18" s="189"/>
      <c r="K18" s="189"/>
      <c r="L18" s="189"/>
      <c r="M18" s="166"/>
      <c r="N18" s="197"/>
    </row>
    <row r="19" spans="1:23" s="198" customFormat="1" ht="16.5" customHeight="1">
      <c r="B19" s="199" t="s">
        <v>262</v>
      </c>
      <c r="C19" s="200"/>
      <c r="D19" s="201">
        <f>SUM(D11:D18)</f>
        <v>22130.440000000002</v>
      </c>
      <c r="E19" s="201">
        <f>SUM(E11:E18)</f>
        <v>4548.4941777666982</v>
      </c>
      <c r="F19" s="201">
        <f>SUM(F11:F18)</f>
        <v>582.25279133759318</v>
      </c>
      <c r="G19" s="201">
        <f>SUM(G11:G14)</f>
        <v>0</v>
      </c>
      <c r="H19" s="201">
        <f>SUM(H13:H18)</f>
        <v>0</v>
      </c>
      <c r="I19" s="201">
        <f>SUM(I11:I18)</f>
        <v>894.69657349845704</v>
      </c>
      <c r="J19" s="201">
        <f>SUM(J11:J18)</f>
        <v>29875.669916615239</v>
      </c>
      <c r="K19" s="201">
        <f>SUM(K11:K18)</f>
        <v>7692.7791166152383</v>
      </c>
      <c r="L19" s="201">
        <f>SUM(L11:L18)</f>
        <v>7695.51</v>
      </c>
      <c r="M19" s="201">
        <f>K19-L19</f>
        <v>-2.7308833847619098</v>
      </c>
      <c r="N19" s="202" t="e">
        <f>SUM(N11:N18)</f>
        <v>#DIV/0!</v>
      </c>
      <c r="O19" s="201">
        <f>SUM(O11:O18)</f>
        <v>52635.1</v>
      </c>
      <c r="P19" s="201">
        <f>SUM(P11:P18)</f>
        <v>-44942.32088338476</v>
      </c>
      <c r="W19" s="162"/>
    </row>
    <row r="21" spans="1:23" ht="26.25" customHeight="1">
      <c r="B21" s="529" t="s">
        <v>263</v>
      </c>
      <c r="C21" s="529"/>
      <c r="D21" s="529"/>
      <c r="E21" s="529"/>
      <c r="F21" s="529"/>
      <c r="G21" s="529"/>
      <c r="H21" s="529"/>
      <c r="I21" s="529"/>
      <c r="J21" s="529"/>
      <c r="K21" s="529"/>
      <c r="L21" s="529"/>
      <c r="M21" s="529"/>
    </row>
    <row r="22" spans="1:23" ht="14.5">
      <c r="B22" s="527"/>
      <c r="C22" s="527"/>
      <c r="D22" s="203"/>
      <c r="E22" s="204"/>
      <c r="F22" s="205"/>
    </row>
    <row r="23" spans="1:23" ht="14.5">
      <c r="B23" s="123"/>
      <c r="D23" s="123"/>
      <c r="E23" s="123"/>
    </row>
    <row r="24" spans="1:23" ht="18.75" customHeight="1">
      <c r="B24" s="123"/>
      <c r="C24" s="124"/>
      <c r="D24" s="123"/>
      <c r="E24" s="166"/>
      <c r="F24" s="166"/>
      <c r="G24" s="166"/>
      <c r="K24" s="209"/>
      <c r="L24" s="189"/>
    </row>
    <row r="25" spans="1:23" ht="14.5">
      <c r="B25" s="526" t="s">
        <v>264</v>
      </c>
      <c r="C25" s="526"/>
      <c r="D25" s="139"/>
      <c r="E25" s="206"/>
      <c r="F25" s="166"/>
      <c r="G25" s="166"/>
    </row>
    <row r="26" spans="1:23" ht="14.5">
      <c r="B26" s="123"/>
      <c r="D26" s="207" t="s">
        <v>265</v>
      </c>
      <c r="E26" s="166"/>
      <c r="F26" s="166"/>
      <c r="G26" s="166"/>
    </row>
    <row r="27" spans="1:23" ht="12" customHeight="1">
      <c r="B27" s="123"/>
      <c r="C27" s="124"/>
      <c r="D27" s="123"/>
    </row>
    <row r="28" spans="1:23" ht="23.25" customHeight="1">
      <c r="B28" s="527" t="s">
        <v>266</v>
      </c>
      <c r="C28" s="527"/>
      <c r="D28" s="139"/>
      <c r="E28" s="206"/>
      <c r="F28" s="166"/>
      <c r="G28" s="166"/>
    </row>
    <row r="29" spans="1:23" ht="14.5">
      <c r="B29" s="123"/>
      <c r="D29" s="124" t="s">
        <v>267</v>
      </c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</row>
    <row r="30" spans="1:23" ht="12" customHeight="1">
      <c r="B30" s="123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</row>
    <row r="47" spans="4:12">
      <c r="D47" s="195"/>
      <c r="E47" s="195"/>
      <c r="F47" s="195"/>
      <c r="G47" s="195"/>
      <c r="H47" s="195"/>
      <c r="I47" s="195"/>
      <c r="J47" s="195"/>
      <c r="K47" s="195"/>
      <c r="L47" s="195"/>
    </row>
    <row r="107" spans="3:12">
      <c r="C107" s="195">
        <f>-(C47+C44)</f>
        <v>0</v>
      </c>
      <c r="D107" s="195">
        <f t="shared" ref="D107:L107" si="0">-(D47+D44)</f>
        <v>0</v>
      </c>
      <c r="E107" s="195">
        <f t="shared" si="0"/>
        <v>0</v>
      </c>
      <c r="F107" s="195"/>
      <c r="G107" s="195"/>
      <c r="H107" s="195">
        <f t="shared" si="0"/>
        <v>0</v>
      </c>
      <c r="I107" s="195"/>
      <c r="J107" s="195">
        <f t="shared" si="0"/>
        <v>0</v>
      </c>
      <c r="K107" s="195">
        <f t="shared" si="0"/>
        <v>0</v>
      </c>
      <c r="L107" s="195">
        <f t="shared" si="0"/>
        <v>0</v>
      </c>
    </row>
  </sheetData>
  <mergeCells count="9">
    <mergeCell ref="B25:C25"/>
    <mergeCell ref="B28:C28"/>
    <mergeCell ref="A2:V2"/>
    <mergeCell ref="A3:V3"/>
    <mergeCell ref="A4:V4"/>
    <mergeCell ref="A5:V5"/>
    <mergeCell ref="A6:V6"/>
    <mergeCell ref="B22:C22"/>
    <mergeCell ref="B21:M21"/>
  </mergeCells>
  <printOptions horizontalCentered="1"/>
  <pageMargins left="0" right="0" top="0" bottom="0" header="0" footer="0"/>
  <pageSetup paperSize="3" scale="80" fitToHeight="0" orientation="landscape" useFirstPageNumber="1" r:id="rId1"/>
  <headerFooter scaleWithDoc="0">
    <oddFooter>&amp;C&amp;7Page &amp;P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16EC1-5E17-4015-B188-B9785C38821D}">
  <dimension ref="A2:H20"/>
  <sheetViews>
    <sheetView topLeftCell="A16" workbookViewId="0">
      <selection activeCell="A3" sqref="A3"/>
    </sheetView>
  </sheetViews>
  <sheetFormatPr defaultRowHeight="12.5"/>
  <sheetData>
    <row r="2" spans="1:8" ht="13">
      <c r="A2" s="530" t="s">
        <v>268</v>
      </c>
      <c r="B2" s="531"/>
      <c r="C2" s="531"/>
      <c r="D2" s="531"/>
      <c r="E2" s="531"/>
      <c r="F2" s="531"/>
      <c r="G2" s="531"/>
      <c r="H2" s="532"/>
    </row>
    <row r="3" spans="1:8" ht="13">
      <c r="A3" s="1"/>
    </row>
    <row r="18" spans="1:8" ht="13">
      <c r="A18" s="533" t="s">
        <v>269</v>
      </c>
      <c r="B18" s="534"/>
      <c r="C18" s="534"/>
      <c r="D18" s="534"/>
      <c r="E18" s="534"/>
      <c r="F18" s="534"/>
      <c r="G18" s="534"/>
      <c r="H18" s="535"/>
    </row>
    <row r="20" spans="1:8" ht="13">
      <c r="A20" s="1" t="s">
        <v>270</v>
      </c>
    </row>
  </sheetData>
  <mergeCells count="2">
    <mergeCell ref="A2:H2"/>
    <mergeCell ref="A18:H18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26311-0324-4400-936C-981E146436FC}">
  <sheetPr>
    <pageSetUpPr fitToPage="1"/>
  </sheetPr>
  <dimension ref="A1:I54"/>
  <sheetViews>
    <sheetView zoomScale="85" zoomScaleNormal="85" workbookViewId="0">
      <pane ySplit="3" topLeftCell="A24" activePane="bottomLeft" state="frozen"/>
      <selection pane="bottomLeft" activeCell="E35" sqref="E35"/>
    </sheetView>
  </sheetViews>
  <sheetFormatPr defaultRowHeight="12.5"/>
  <cols>
    <col min="1" max="1" width="33.81640625" style="6" customWidth="1"/>
    <col min="2" max="2" width="11.1796875" customWidth="1"/>
    <col min="3" max="3" width="3.1796875" customWidth="1"/>
    <col min="4" max="5" width="11.1796875" customWidth="1"/>
    <col min="6" max="6" width="8.81640625" customWidth="1"/>
    <col min="7" max="7" width="12" bestFit="1" customWidth="1"/>
  </cols>
  <sheetData>
    <row r="1" spans="1:9" ht="13">
      <c r="B1" s="1" t="str">
        <f>Summary!A3</f>
        <v>Goodyear Arizona Big Lots</v>
      </c>
    </row>
    <row r="2" spans="1:9" ht="13">
      <c r="B2" s="1" t="str">
        <f>Summary!A5</f>
        <v>01/01/2026  TO   12/31/2026</v>
      </c>
    </row>
    <row r="3" spans="1:9" s="22" customFormat="1" ht="155.25" customHeight="1" thickBot="1">
      <c r="A3" s="19" t="s">
        <v>271</v>
      </c>
      <c r="B3" s="19" t="s">
        <v>272</v>
      </c>
      <c r="C3" s="19"/>
      <c r="D3" s="19" t="str">
        <f>Rent!$A13</f>
        <v>VACANT (old Big Lots)</v>
      </c>
      <c r="E3" s="19" t="s">
        <v>19</v>
      </c>
      <c r="F3" s="20" t="s">
        <v>273</v>
      </c>
      <c r="G3" s="20" t="s">
        <v>253</v>
      </c>
      <c r="H3" s="21" t="s">
        <v>274</v>
      </c>
    </row>
    <row r="4" spans="1:9" s="1" customFormat="1" ht="13">
      <c r="A4" s="18"/>
      <c r="B4" s="18"/>
      <c r="C4" s="18"/>
      <c r="D4" s="18"/>
      <c r="E4" s="18"/>
      <c r="F4" s="18"/>
    </row>
    <row r="5" spans="1:9" ht="13">
      <c r="A5" s="1" t="str">
        <f>Summary!B27</f>
        <v>COMMON AREA EXPENSES</v>
      </c>
    </row>
    <row r="7" spans="1:9" ht="14.5">
      <c r="A7" s="48" t="str">
        <f>Summary!B28</f>
        <v>Common Area Association</v>
      </c>
      <c r="B7" s="43">
        <f>Summary!O28</f>
        <v>102419.00000000001</v>
      </c>
      <c r="D7" s="116">
        <f>'CAM Majors'!R26</f>
        <v>0</v>
      </c>
      <c r="E7" s="116">
        <f>'CAM Majors'!AB26</f>
        <v>0</v>
      </c>
      <c r="F7" s="116">
        <f>SUM(D7:E7)</f>
        <v>0</v>
      </c>
      <c r="G7" s="98">
        <f>B7-F7</f>
        <v>102419.00000000001</v>
      </c>
      <c r="H7" s="99">
        <f t="shared" ref="H7:H31" si="0">IF(G7=0,0,G7/B7)</f>
        <v>1</v>
      </c>
      <c r="I7" s="121" t="s">
        <v>275</v>
      </c>
    </row>
    <row r="8" spans="1:9" ht="14.5">
      <c r="A8" s="6" t="str">
        <f>Summary!B29</f>
        <v>Landscape Consumables</v>
      </c>
      <c r="B8" s="15">
        <f>Summary!O29</f>
        <v>0</v>
      </c>
      <c r="C8" s="15"/>
      <c r="D8" s="116">
        <f>'CAM Majors'!R27</f>
        <v>0</v>
      </c>
      <c r="E8" s="116">
        <f>'CAM Majors'!AB27</f>
        <v>1025.016557030599</v>
      </c>
      <c r="F8" s="116">
        <f t="shared" ref="F8:F31" si="1">SUM(D8:E8)</f>
        <v>1025.016557030599</v>
      </c>
      <c r="G8" s="98">
        <f t="shared" ref="G8:G31" si="2">B8-F8</f>
        <v>-1025.016557030599</v>
      </c>
      <c r="H8" s="99" t="e">
        <f t="shared" si="0"/>
        <v>#DIV/0!</v>
      </c>
    </row>
    <row r="9" spans="1:9" ht="14.5">
      <c r="A9" s="6" t="str">
        <f>Summary!B30</f>
        <v>Sprinkler Repairs</v>
      </c>
      <c r="B9" s="15">
        <f>Summary!O30</f>
        <v>0</v>
      </c>
      <c r="C9" s="15"/>
      <c r="D9" s="116">
        <f>'CAM Majors'!R28</f>
        <v>0</v>
      </c>
      <c r="E9" s="116">
        <f>'CAM Majors'!AB28</f>
        <v>1025.016557030599</v>
      </c>
      <c r="F9" s="116">
        <f t="shared" si="1"/>
        <v>1025.016557030599</v>
      </c>
      <c r="G9" s="98">
        <f t="shared" si="2"/>
        <v>-1025.016557030599</v>
      </c>
      <c r="H9" s="99" t="e">
        <f t="shared" si="0"/>
        <v>#DIV/0!</v>
      </c>
    </row>
    <row r="10" spans="1:9" ht="14.5">
      <c r="A10" s="6" t="str">
        <f>Summary!B31</f>
        <v>Landscape Maintenance</v>
      </c>
      <c r="B10" s="15">
        <f>Summary!O31</f>
        <v>0</v>
      </c>
      <c r="C10" s="15"/>
      <c r="D10" s="116">
        <f>'CAM Majors'!R29</f>
        <v>0</v>
      </c>
      <c r="E10" s="116">
        <f>'CAM Majors'!AB29</f>
        <v>4783.4105994761276</v>
      </c>
      <c r="F10" s="116">
        <f t="shared" si="1"/>
        <v>4783.4105994761276</v>
      </c>
      <c r="G10" s="98">
        <f t="shared" si="2"/>
        <v>-4783.4105994761276</v>
      </c>
      <c r="H10" s="99" t="e">
        <f t="shared" si="0"/>
        <v>#DIV/0!</v>
      </c>
    </row>
    <row r="11" spans="1:9" ht="14.5">
      <c r="A11" s="6" t="str">
        <f>Summary!B32</f>
        <v>Parking Lot Lights Maintenance</v>
      </c>
      <c r="B11" s="15">
        <f>Summary!O32</f>
        <v>300</v>
      </c>
      <c r="C11" s="15"/>
      <c r="D11" s="116">
        <f>'CAM Majors'!R30</f>
        <v>0</v>
      </c>
      <c r="E11" s="116">
        <f>'CAM Majors'!AB30</f>
        <v>138.98529586855577</v>
      </c>
      <c r="F11" s="116">
        <f t="shared" si="1"/>
        <v>138.98529586855577</v>
      </c>
      <c r="G11" s="98">
        <f t="shared" si="2"/>
        <v>161.01470413144423</v>
      </c>
      <c r="H11" s="99">
        <f t="shared" si="0"/>
        <v>0.53671568043814744</v>
      </c>
    </row>
    <row r="12" spans="1:9" ht="14.5">
      <c r="A12" s="6" t="str">
        <f>Summary!B33</f>
        <v>Parking Lot Maintenance</v>
      </c>
      <c r="B12" s="15">
        <f>Summary!O33</f>
        <v>0</v>
      </c>
      <c r="C12" s="15"/>
      <c r="D12" s="116">
        <f>'CAM Majors'!R31</f>
        <v>0</v>
      </c>
      <c r="E12" s="116">
        <f>'CAM Majors'!AB31</f>
        <v>11580.824691481128</v>
      </c>
      <c r="F12" s="116">
        <f t="shared" si="1"/>
        <v>11580.824691481128</v>
      </c>
      <c r="G12" s="98">
        <f t="shared" si="2"/>
        <v>-11580.824691481128</v>
      </c>
      <c r="H12" s="99" t="e">
        <f t="shared" si="0"/>
        <v>#DIV/0!</v>
      </c>
    </row>
    <row r="13" spans="1:9" ht="14.5">
      <c r="A13" s="6" t="str">
        <f>Summary!B34</f>
        <v>Parking Lot Lights Repairs</v>
      </c>
      <c r="B13" s="15">
        <f>Summary!O34</f>
        <v>0</v>
      </c>
      <c r="C13" s="15"/>
      <c r="D13" s="116">
        <f>'CAM Majors'!R32</f>
        <v>0</v>
      </c>
      <c r="E13" s="116">
        <f>'CAM Majors'!AB32</f>
        <v>1338.9658090248838</v>
      </c>
      <c r="F13" s="116">
        <f t="shared" si="1"/>
        <v>1338.9658090248838</v>
      </c>
      <c r="G13" s="98">
        <f t="shared" si="2"/>
        <v>-1338.9658090248838</v>
      </c>
      <c r="H13" s="99" t="e">
        <f t="shared" si="0"/>
        <v>#DIV/0!</v>
      </c>
    </row>
    <row r="14" spans="1:9" ht="14.5">
      <c r="A14" s="6" t="str">
        <f>Summary!B35</f>
        <v>General Maintenance</v>
      </c>
      <c r="B14" s="15">
        <f>Summary!O35</f>
        <v>6000</v>
      </c>
      <c r="C14" s="15"/>
      <c r="D14" s="116">
        <f>'CAM Majors'!R33</f>
        <v>0</v>
      </c>
      <c r="E14" s="116">
        <f>'CAM Majors'!AB33</f>
        <v>2779.7059173711154</v>
      </c>
      <c r="F14" s="116">
        <f t="shared" si="1"/>
        <v>2779.7059173711154</v>
      </c>
      <c r="G14" s="98">
        <f t="shared" si="2"/>
        <v>3220.2940826288846</v>
      </c>
      <c r="H14" s="99">
        <f t="shared" si="0"/>
        <v>0.53671568043814744</v>
      </c>
    </row>
    <row r="15" spans="1:9" ht="14.5">
      <c r="A15" s="6" t="str">
        <f>Summary!B36</f>
        <v xml:space="preserve">Janitorial </v>
      </c>
      <c r="B15" s="15">
        <f>Summary!O36</f>
        <v>0</v>
      </c>
      <c r="C15" s="15"/>
      <c r="D15" s="116">
        <f>'CAM Majors'!R34</f>
        <v>0</v>
      </c>
      <c r="E15" s="116">
        <f>'CAM Majors'!AB34</f>
        <v>7858.4602705679245</v>
      </c>
      <c r="F15" s="116">
        <f t="shared" si="1"/>
        <v>7858.4602705679245</v>
      </c>
      <c r="G15" s="98">
        <f t="shared" si="2"/>
        <v>-7858.4602705679245</v>
      </c>
      <c r="H15" s="99" t="e">
        <f t="shared" si="0"/>
        <v>#DIV/0!</v>
      </c>
    </row>
    <row r="16" spans="1:9" ht="14.5">
      <c r="A16" s="6" t="str">
        <f>Summary!B37</f>
        <v>Backflow Maintenance</v>
      </c>
      <c r="B16" s="15">
        <f>Summary!O37</f>
        <v>350</v>
      </c>
      <c r="C16" s="15"/>
      <c r="D16" s="116">
        <f>'CAM Majors'!R35</f>
        <v>0</v>
      </c>
      <c r="E16" s="116">
        <f>'CAM Majors'!AB35</f>
        <v>162.14951184664841</v>
      </c>
      <c r="F16" s="116">
        <f t="shared" si="1"/>
        <v>162.14951184664841</v>
      </c>
      <c r="G16" s="98">
        <f t="shared" si="2"/>
        <v>187.85048815335159</v>
      </c>
      <c r="H16" s="99">
        <f t="shared" si="0"/>
        <v>0.53671568043814744</v>
      </c>
    </row>
    <row r="17" spans="1:9" ht="14.5">
      <c r="A17" s="6" t="str">
        <f>Summary!B39</f>
        <v>Roof Maintenance</v>
      </c>
      <c r="B17" s="15">
        <f>Summary!O39</f>
        <v>0</v>
      </c>
      <c r="C17" s="15"/>
      <c r="D17" s="116">
        <f>'CAM Majors'!R36</f>
        <v>0</v>
      </c>
      <c r="E17" s="116">
        <f>'CAM Majors'!AB36</f>
        <v>0</v>
      </c>
      <c r="F17" s="116">
        <f t="shared" si="1"/>
        <v>0</v>
      </c>
      <c r="G17" s="98">
        <f t="shared" si="2"/>
        <v>0</v>
      </c>
      <c r="H17" s="99">
        <f t="shared" si="0"/>
        <v>0</v>
      </c>
    </row>
    <row r="18" spans="1:9" ht="14.5">
      <c r="A18" s="6" t="str">
        <f>Summary!B40</f>
        <v>Roof Repairs</v>
      </c>
      <c r="B18" s="15">
        <f>Summary!O40</f>
        <v>0</v>
      </c>
      <c r="C18" s="15"/>
      <c r="D18" s="116">
        <f>'CAM Majors'!R37</f>
        <v>0</v>
      </c>
      <c r="E18" s="116">
        <f>'CAM Majors'!AB37</f>
        <v>0</v>
      </c>
      <c r="F18" s="116">
        <f t="shared" si="1"/>
        <v>0</v>
      </c>
      <c r="G18" s="98">
        <f t="shared" si="2"/>
        <v>0</v>
      </c>
      <c r="H18" s="99">
        <f t="shared" si="0"/>
        <v>0</v>
      </c>
    </row>
    <row r="19" spans="1:9" ht="14.5">
      <c r="A19" s="6" t="str">
        <f>Summary!B41</f>
        <v>Onsite Management</v>
      </c>
      <c r="B19" s="15">
        <f>Summary!O41</f>
        <v>0</v>
      </c>
      <c r="C19" s="15"/>
      <c r="D19" s="116">
        <f>'CAM Majors'!R38</f>
        <v>0</v>
      </c>
      <c r="E19" s="116">
        <f>'CAM Majors'!AB38</f>
        <v>0</v>
      </c>
      <c r="F19" s="116">
        <f t="shared" si="1"/>
        <v>0</v>
      </c>
      <c r="G19" s="98">
        <f t="shared" si="2"/>
        <v>0</v>
      </c>
      <c r="H19" s="99">
        <f t="shared" si="0"/>
        <v>0</v>
      </c>
      <c r="I19" s="280" t="s">
        <v>276</v>
      </c>
    </row>
    <row r="20" spans="1:9" ht="14.5">
      <c r="A20" s="6" t="str">
        <f>Summary!B42</f>
        <v>Sidewalk Maintenance</v>
      </c>
      <c r="B20" s="15">
        <f>Summary!O42</f>
        <v>0</v>
      </c>
      <c r="C20" s="15"/>
      <c r="D20" s="116">
        <f>'CAM Majors'!R39</f>
        <v>0</v>
      </c>
      <c r="E20" s="116">
        <f>'CAM Majors'!AB39</f>
        <v>478.34105994761279</v>
      </c>
      <c r="F20" s="116">
        <f t="shared" si="1"/>
        <v>478.34105994761279</v>
      </c>
      <c r="G20" s="98">
        <f t="shared" si="2"/>
        <v>-478.34105994761279</v>
      </c>
      <c r="H20" s="99" t="e">
        <f t="shared" si="0"/>
        <v>#DIV/0!</v>
      </c>
    </row>
    <row r="21" spans="1:9" ht="14.5">
      <c r="A21" s="6" t="str">
        <f>Summary!B43</f>
        <v>Monitor Fire Sprinklers</v>
      </c>
      <c r="B21" s="15">
        <f>Summary!O43</f>
        <v>1000</v>
      </c>
      <c r="C21" s="15"/>
      <c r="D21" s="116">
        <f>'CAM Majors'!R40</f>
        <v>0</v>
      </c>
      <c r="E21" s="116">
        <f>'CAM Majors'!AB40</f>
        <v>463.28431956185261</v>
      </c>
      <c r="F21" s="116">
        <f t="shared" si="1"/>
        <v>463.28431956185261</v>
      </c>
      <c r="G21" s="98">
        <f t="shared" si="2"/>
        <v>536.71568043814739</v>
      </c>
      <c r="H21" s="99">
        <f t="shared" si="0"/>
        <v>0.53671568043814744</v>
      </c>
    </row>
    <row r="22" spans="1:9" ht="14.5">
      <c r="A22" s="6" t="str">
        <f>Summary!B44</f>
        <v>Fire Protection Repairs</v>
      </c>
      <c r="B22" s="15">
        <f>Summary!O44</f>
        <v>1000</v>
      </c>
      <c r="C22" s="15"/>
      <c r="D22" s="116">
        <f>'CAM Majors'!R41</f>
        <v>0</v>
      </c>
      <c r="E22" s="116">
        <f>'CAM Majors'!AB41</f>
        <v>463.28431956185261</v>
      </c>
      <c r="F22" s="116">
        <f t="shared" si="1"/>
        <v>463.28431956185261</v>
      </c>
      <c r="G22" s="98">
        <f t="shared" si="2"/>
        <v>536.71568043814739</v>
      </c>
      <c r="H22" s="99">
        <f t="shared" si="0"/>
        <v>0.53671568043814744</v>
      </c>
    </row>
    <row r="23" spans="1:9" ht="14.5">
      <c r="A23" s="6" t="str">
        <f>Summary!B45</f>
        <v>Misc Expense</v>
      </c>
      <c r="B23" s="15">
        <f>Summary!O45</f>
        <v>0</v>
      </c>
      <c r="C23" s="15"/>
      <c r="D23" s="116">
        <f>'CAM Majors'!R42</f>
        <v>0</v>
      </c>
      <c r="E23" s="116">
        <f>'CAM Majors'!AB42</f>
        <v>0</v>
      </c>
      <c r="F23" s="116">
        <f t="shared" si="1"/>
        <v>0</v>
      </c>
      <c r="G23" s="98">
        <f t="shared" si="2"/>
        <v>0</v>
      </c>
      <c r="H23" s="99">
        <f t="shared" si="0"/>
        <v>0</v>
      </c>
    </row>
    <row r="24" spans="1:9" ht="14.5">
      <c r="A24" s="6" t="str">
        <f>Summary!B46</f>
        <v>Sweeping</v>
      </c>
      <c r="B24" s="15">
        <f>Summary!O46</f>
        <v>0</v>
      </c>
      <c r="C24" s="15"/>
      <c r="D24" s="116">
        <f>'CAM Majors'!R43</f>
        <v>0</v>
      </c>
      <c r="E24" s="116">
        <f>'CAM Majors'!AB43</f>
        <v>1776.6953655197046</v>
      </c>
      <c r="F24" s="116">
        <f t="shared" si="1"/>
        <v>1776.6953655197046</v>
      </c>
      <c r="G24" s="98">
        <f t="shared" si="2"/>
        <v>-1776.6953655197046</v>
      </c>
      <c r="H24" s="99" t="e">
        <f t="shared" si="0"/>
        <v>#DIV/0!</v>
      </c>
    </row>
    <row r="25" spans="1:9" ht="14.5">
      <c r="A25" s="6" t="str">
        <f>Summary!B47</f>
        <v>Security</v>
      </c>
      <c r="B25" s="15">
        <f>Summary!O47</f>
        <v>0</v>
      </c>
      <c r="C25" s="15"/>
      <c r="D25" s="116">
        <f>'CAM Majors'!R44</f>
        <v>0</v>
      </c>
      <c r="E25" s="116">
        <f>'CAM Majors'!AB44</f>
        <v>0</v>
      </c>
      <c r="F25" s="116">
        <f t="shared" si="1"/>
        <v>0</v>
      </c>
      <c r="G25" s="98">
        <f t="shared" si="2"/>
        <v>0</v>
      </c>
      <c r="H25" s="99">
        <f t="shared" si="0"/>
        <v>0</v>
      </c>
    </row>
    <row r="26" spans="1:9" ht="14.5">
      <c r="A26" s="6" t="str">
        <f>Summary!B48</f>
        <v>Electric/Common Area</v>
      </c>
      <c r="B26" s="15">
        <f>Summary!O48</f>
        <v>3000</v>
      </c>
      <c r="C26" s="15"/>
      <c r="D26" s="116">
        <f>'CAM Majors'!R45</f>
        <v>0</v>
      </c>
      <c r="E26" s="116">
        <f>'CAM Majors'!AB45</f>
        <v>1389.8529586855577</v>
      </c>
      <c r="F26" s="116">
        <f t="shared" si="1"/>
        <v>1389.8529586855577</v>
      </c>
      <c r="G26" s="98">
        <f t="shared" si="2"/>
        <v>1610.1470413144423</v>
      </c>
      <c r="H26" s="99">
        <f t="shared" si="0"/>
        <v>0.53671568043814744</v>
      </c>
    </row>
    <row r="27" spans="1:9" ht="14.5">
      <c r="A27" s="6" t="str">
        <f>Summary!B49</f>
        <v>Electric/Association</v>
      </c>
      <c r="B27" s="15">
        <f>Summary!O49</f>
        <v>0</v>
      </c>
      <c r="C27" s="15"/>
      <c r="D27" s="116">
        <f>'CAM Majors'!R46</f>
        <v>0</v>
      </c>
      <c r="E27" s="116">
        <f>'CAM Majors'!AB46</f>
        <v>9728.9707107989052</v>
      </c>
      <c r="F27" s="116">
        <f t="shared" si="1"/>
        <v>9728.9707107989052</v>
      </c>
      <c r="G27" s="98">
        <f t="shared" si="2"/>
        <v>-9728.9707107989052</v>
      </c>
      <c r="H27" s="99" t="e">
        <f t="shared" si="0"/>
        <v>#DIV/0!</v>
      </c>
    </row>
    <row r="28" spans="1:9" ht="14.5">
      <c r="A28" s="6" t="str">
        <f>Summary!B50</f>
        <v>Pest Control</v>
      </c>
      <c r="B28" s="15">
        <f>Summary!O50</f>
        <v>0</v>
      </c>
      <c r="C28" s="15"/>
      <c r="D28" s="116">
        <f>'CAM Majors'!R47</f>
        <v>0</v>
      </c>
      <c r="E28" s="116">
        <f>'CAM Majors'!AB47</f>
        <v>1481.4905970948921</v>
      </c>
      <c r="F28" s="116">
        <f t="shared" si="1"/>
        <v>1481.4905970948921</v>
      </c>
      <c r="G28" s="98">
        <f t="shared" si="2"/>
        <v>-1481.4905970948921</v>
      </c>
      <c r="H28" s="99" t="e">
        <f t="shared" si="0"/>
        <v>#DIV/0!</v>
      </c>
    </row>
    <row r="29" spans="1:9" ht="14.5">
      <c r="A29" s="6" t="str">
        <f>Summary!B51</f>
        <v>Trash Removal</v>
      </c>
      <c r="B29" s="15">
        <f>Summary!O51</f>
        <v>0</v>
      </c>
      <c r="C29" s="15"/>
      <c r="D29" s="116">
        <f>'CAM Majors'!R48</f>
        <v>0</v>
      </c>
      <c r="E29" s="116">
        <f>'CAM Majors'!AB48</f>
        <v>0</v>
      </c>
      <c r="F29" s="116">
        <f t="shared" si="1"/>
        <v>0</v>
      </c>
      <c r="G29" s="98">
        <f t="shared" si="2"/>
        <v>0</v>
      </c>
      <c r="H29" s="99">
        <f t="shared" si="0"/>
        <v>0</v>
      </c>
    </row>
    <row r="30" spans="1:9" ht="14.5">
      <c r="A30" s="6" t="str">
        <f>Summary!B52</f>
        <v>Water/Building</v>
      </c>
      <c r="B30" s="15">
        <f>Summary!O52</f>
        <v>0</v>
      </c>
      <c r="C30" s="15"/>
      <c r="D30" s="116">
        <f>'CAM Majors'!R49</f>
        <v>0</v>
      </c>
      <c r="E30" s="116">
        <f>'CAM Majors'!AB49</f>
        <v>0</v>
      </c>
      <c r="F30" s="116">
        <f t="shared" si="1"/>
        <v>0</v>
      </c>
      <c r="G30" s="98">
        <f t="shared" si="2"/>
        <v>0</v>
      </c>
      <c r="H30" s="99">
        <f t="shared" si="0"/>
        <v>0</v>
      </c>
    </row>
    <row r="31" spans="1:9" ht="14.5">
      <c r="A31" s="6" t="str">
        <f>Summary!B53</f>
        <v>Water/Common Area</v>
      </c>
      <c r="B31" s="15">
        <f>Summary!O53</f>
        <v>0</v>
      </c>
      <c r="C31" s="15"/>
      <c r="D31" s="116">
        <f>'CAM Majors'!R50</f>
        <v>0</v>
      </c>
      <c r="E31" s="116">
        <f>'CAM Majors'!AB50</f>
        <v>8107.4755923324201</v>
      </c>
      <c r="F31" s="116">
        <f t="shared" si="1"/>
        <v>8107.4755923324201</v>
      </c>
      <c r="G31" s="98">
        <f t="shared" si="2"/>
        <v>-8107.4755923324201</v>
      </c>
      <c r="H31" s="99" t="e">
        <f t="shared" si="0"/>
        <v>#DIV/0!</v>
      </c>
    </row>
    <row r="32" spans="1:9">
      <c r="B32" s="15"/>
      <c r="C32" s="15"/>
      <c r="D32" s="15"/>
      <c r="E32" s="116"/>
      <c r="F32" s="15"/>
      <c r="G32" s="15"/>
      <c r="H32" s="8"/>
    </row>
    <row r="33" spans="1:8">
      <c r="A33" s="121" t="s">
        <v>238</v>
      </c>
      <c r="B33" s="402"/>
      <c r="C33" s="402"/>
      <c r="D33" s="402"/>
      <c r="E33" s="402">
        <f>'CAM Majors'!AB69</f>
        <v>0</v>
      </c>
      <c r="F33" s="402"/>
      <c r="G33" s="402"/>
      <c r="H33" s="403"/>
    </row>
    <row r="34" spans="1:8" s="1" customFormat="1" ht="13">
      <c r="A34" s="38" t="str">
        <f>Summary!B55</f>
        <v>SUBTOTAL COMMON AREA</v>
      </c>
      <c r="B34" s="39">
        <f>SUM(B7:B33)</f>
        <v>114069.00000000001</v>
      </c>
      <c r="C34" s="39"/>
      <c r="D34" s="39">
        <f>SUM(D7:D33)</f>
        <v>0</v>
      </c>
      <c r="E34" s="39">
        <f>SUM(E7:E33)</f>
        <v>54581.930133200374</v>
      </c>
      <c r="F34" s="39">
        <f>SUM(F7:F33)</f>
        <v>54581.930133200374</v>
      </c>
      <c r="G34" s="39">
        <f>SUM(G8:G33)</f>
        <v>-42931.930133200374</v>
      </c>
      <c r="H34" s="332">
        <f>G34/B34</f>
        <v>-0.3763680766308144</v>
      </c>
    </row>
    <row r="35" spans="1:8">
      <c r="B35" s="15"/>
      <c r="C35" s="15"/>
      <c r="D35" s="15"/>
      <c r="E35" s="15"/>
      <c r="F35" s="15"/>
      <c r="G35" s="15"/>
      <c r="H35" s="8"/>
    </row>
    <row r="36" spans="1:8" ht="13">
      <c r="A36" s="1" t="str">
        <f>Summary!B57</f>
        <v>INSURANCE</v>
      </c>
      <c r="B36" s="15"/>
      <c r="C36" s="15"/>
      <c r="D36" s="15"/>
      <c r="E36" s="15"/>
      <c r="F36" s="15"/>
      <c r="G36" s="15"/>
      <c r="H36" s="8"/>
    </row>
    <row r="37" spans="1:8" ht="14.5">
      <c r="A37" s="6" t="str">
        <f>Summary!B58</f>
        <v xml:space="preserve">Insurance - Liability </v>
      </c>
      <c r="B37" s="15">
        <f>Summary!O58</f>
        <v>0</v>
      </c>
      <c r="C37" s="15"/>
      <c r="D37" s="15">
        <f>'CAM Majors'!R17</f>
        <v>0</v>
      </c>
      <c r="E37" s="15">
        <f>'CAM Majors'!AB17</f>
        <v>0</v>
      </c>
      <c r="F37" s="15">
        <f>SUM(D37:E37)</f>
        <v>0</v>
      </c>
      <c r="G37" s="98">
        <f>B37-F37</f>
        <v>0</v>
      </c>
      <c r="H37" s="99">
        <f>IF(G37=0,0,G37/B37)</f>
        <v>0</v>
      </c>
    </row>
    <row r="38" spans="1:8" ht="14.5">
      <c r="A38" s="6" t="str">
        <f>Summary!B59</f>
        <v>Insurance - Property/General</v>
      </c>
      <c r="B38" s="15">
        <f>Summary!O59</f>
        <v>15835.600000000002</v>
      </c>
      <c r="C38" s="15"/>
      <c r="D38" s="15">
        <f>Ins.!Q13</f>
        <v>0</v>
      </c>
      <c r="E38" s="15">
        <f>'CAM Majors'!AB18</f>
        <v>6987.0334960511182</v>
      </c>
      <c r="F38" s="15">
        <f>SUM(D38:E38)</f>
        <v>6987.0334960511182</v>
      </c>
      <c r="G38" s="98">
        <f>B38-F38</f>
        <v>8848.5665039488849</v>
      </c>
      <c r="H38" s="99">
        <f>IF(G38=0,0,G38/B38)</f>
        <v>0.55877683851252136</v>
      </c>
    </row>
    <row r="39" spans="1:8" ht="14.5">
      <c r="A39" s="6" t="str">
        <f>Summary!B60</f>
        <v>Insurance - Business Owners Policy</v>
      </c>
      <c r="B39" s="15">
        <f>Summary!O60</f>
        <v>0</v>
      </c>
      <c r="C39" s="15"/>
      <c r="D39" s="15">
        <f>'CAM Majors'!R19</f>
        <v>0</v>
      </c>
      <c r="E39" s="15">
        <f>'CAM Majors'!AB19</f>
        <v>0</v>
      </c>
      <c r="F39" s="15">
        <f>SUM(D39:D39)</f>
        <v>0</v>
      </c>
      <c r="G39" s="98">
        <f>B39-F39</f>
        <v>0</v>
      </c>
      <c r="H39" s="99">
        <f>IF(G39=0,0,G39/B39)</f>
        <v>0</v>
      </c>
    </row>
    <row r="40" spans="1:8" ht="14.5">
      <c r="A40" s="6" t="str">
        <f>Summary!B61</f>
        <v>Insurance - Flood &amp; Earthquake</v>
      </c>
      <c r="B40" s="15">
        <f>Summary!O61</f>
        <v>0</v>
      </c>
      <c r="C40" s="15"/>
      <c r="D40" s="15">
        <f>'CAM Majors'!R20</f>
        <v>0</v>
      </c>
      <c r="E40" s="15">
        <f>'CAM Majors'!AB20</f>
        <v>0</v>
      </c>
      <c r="F40" s="15">
        <f>SUM(D40:D40)</f>
        <v>0</v>
      </c>
      <c r="G40" s="98">
        <f>B40-F40</f>
        <v>0</v>
      </c>
      <c r="H40" s="99">
        <f>IF(G40=0,0,G40/B40)</f>
        <v>0</v>
      </c>
    </row>
    <row r="41" spans="1:8" ht="14.5">
      <c r="A41" s="6" t="str">
        <f>Summary!B62</f>
        <v xml:space="preserve">Umbrella - Insurance </v>
      </c>
      <c r="B41" s="15">
        <f>Summary!O62</f>
        <v>0</v>
      </c>
      <c r="C41" s="15"/>
      <c r="D41" s="15">
        <f>'CAM Majors'!R21</f>
        <v>0</v>
      </c>
      <c r="E41" s="15">
        <f>'CAM Majors'!AB21</f>
        <v>0</v>
      </c>
      <c r="F41" s="15">
        <f>SUM(D41:E42)</f>
        <v>0</v>
      </c>
      <c r="G41" s="98">
        <f>B41-F41</f>
        <v>0</v>
      </c>
      <c r="H41" s="99">
        <f>IF(G41=0,0,G41/B41)</f>
        <v>0</v>
      </c>
    </row>
    <row r="42" spans="1:8">
      <c r="B42" s="15"/>
      <c r="C42" s="15"/>
      <c r="D42" s="15"/>
      <c r="E42" s="15"/>
      <c r="F42" s="15"/>
      <c r="G42" s="15"/>
    </row>
    <row r="43" spans="1:8" s="1" customFormat="1" ht="13">
      <c r="A43" s="38" t="str">
        <f>Summary!B64</f>
        <v>SUBTOTAL INSURANCE</v>
      </c>
      <c r="B43" s="39">
        <f>SUM(B37:B42)</f>
        <v>15835.600000000002</v>
      </c>
      <c r="C43" s="39"/>
      <c r="D43" s="39">
        <f>SUM(D37:D42)</f>
        <v>0</v>
      </c>
      <c r="E43" s="39">
        <f>SUM(E37:E42)</f>
        <v>6987.0334960511182</v>
      </c>
      <c r="F43" s="39">
        <f>SUM(F37:F42)</f>
        <v>6987.0334960511182</v>
      </c>
      <c r="G43" s="39">
        <f>SUM(G37:G42)</f>
        <v>8848.5665039488849</v>
      </c>
      <c r="H43" s="332">
        <f>G43/B43</f>
        <v>0.55877683851252136</v>
      </c>
    </row>
    <row r="44" spans="1:8">
      <c r="B44" s="15"/>
      <c r="C44" s="15"/>
      <c r="D44" s="15"/>
      <c r="E44" s="15"/>
      <c r="F44" s="15"/>
      <c r="G44" s="15"/>
      <c r="H44" s="8"/>
    </row>
    <row r="45" spans="1:8" ht="13">
      <c r="A45" s="1" t="str">
        <f>Summary!B66</f>
        <v>PROPERTY TAXES</v>
      </c>
      <c r="B45" s="15"/>
      <c r="C45" s="15"/>
      <c r="D45" s="15"/>
      <c r="E45" s="15"/>
      <c r="F45" s="15"/>
      <c r="G45" s="15"/>
      <c r="H45" s="8"/>
    </row>
    <row r="46" spans="1:8" ht="14.5">
      <c r="A46" s="6" t="str">
        <f>Summary!B67</f>
        <v xml:space="preserve">Property Tax </v>
      </c>
      <c r="B46" s="15">
        <f>Summary!O67</f>
        <v>69679.899999999994</v>
      </c>
      <c r="C46" s="15"/>
      <c r="D46" s="15">
        <f>'RE Tax'!Q13</f>
        <v>0</v>
      </c>
      <c r="E46" s="15">
        <f>'CAM Majors'!AB57</f>
        <v>30744.385770131361</v>
      </c>
      <c r="F46" s="15">
        <f>SUM(D46:E46)</f>
        <v>30744.385770131361</v>
      </c>
      <c r="G46" s="98">
        <f>B46-F46</f>
        <v>38935.514229868633</v>
      </c>
      <c r="H46" s="99">
        <f>IF(G46=0,0,G46/B46)</f>
        <v>0.55877683851252136</v>
      </c>
    </row>
    <row r="47" spans="1:8">
      <c r="B47" s="15"/>
      <c r="C47" s="15"/>
      <c r="D47" s="15"/>
      <c r="E47" s="15"/>
      <c r="F47" s="15"/>
      <c r="G47" s="15"/>
      <c r="H47" s="8"/>
    </row>
    <row r="48" spans="1:8" s="1" customFormat="1" ht="13">
      <c r="A48" s="38" t="str">
        <f>Summary!B69</f>
        <v>SUBTOTAL TAXES</v>
      </c>
      <c r="B48" s="39">
        <f>B46</f>
        <v>69679.899999999994</v>
      </c>
      <c r="C48" s="39"/>
      <c r="D48" s="39">
        <f>D46</f>
        <v>0</v>
      </c>
      <c r="E48" s="39">
        <f>E46</f>
        <v>30744.385770131361</v>
      </c>
      <c r="F48" s="39">
        <f>F46</f>
        <v>30744.385770131361</v>
      </c>
      <c r="G48" s="39">
        <f>G46</f>
        <v>38935.514229868633</v>
      </c>
      <c r="H48" s="39">
        <f>H46</f>
        <v>0.55877683851252136</v>
      </c>
    </row>
    <row r="49" spans="1:9">
      <c r="B49" s="15"/>
      <c r="C49" s="15"/>
      <c r="D49" s="15"/>
      <c r="E49" s="15"/>
      <c r="F49" s="15"/>
      <c r="G49" s="15"/>
      <c r="H49" s="8"/>
    </row>
    <row r="50" spans="1:9" s="1" customFormat="1" ht="13">
      <c r="A50" s="41" t="str">
        <f>Summary!B71</f>
        <v>TOTAL COMMON AREA</v>
      </c>
      <c r="B50" s="39">
        <f>B34+B43+B48</f>
        <v>199584.5</v>
      </c>
      <c r="C50" s="39"/>
      <c r="D50" s="39">
        <f>D34+D43+D48</f>
        <v>0</v>
      </c>
      <c r="E50" s="39">
        <f>E48+E43+E34</f>
        <v>92313.34939938286</v>
      </c>
      <c r="F50" s="39">
        <f>SUM(D50:E50)</f>
        <v>92313.34939938286</v>
      </c>
      <c r="G50" s="39">
        <f>B50-F50</f>
        <v>107271.15060061714</v>
      </c>
      <c r="H50" s="40">
        <f>G50/B50</f>
        <v>0.53747235181397923</v>
      </c>
      <c r="I50" s="280" t="s">
        <v>277</v>
      </c>
    </row>
    <row r="51" spans="1:9">
      <c r="B51" s="15"/>
      <c r="C51" s="15"/>
      <c r="D51" s="15"/>
      <c r="E51" s="15"/>
      <c r="F51" s="15"/>
      <c r="G51" s="15"/>
    </row>
    <row r="52" spans="1:9" s="1" customFormat="1" ht="13">
      <c r="A52"/>
      <c r="B52" s="23"/>
      <c r="C52" s="23"/>
      <c r="D52" s="23"/>
      <c r="E52" s="23"/>
      <c r="F52" s="23"/>
      <c r="G52" s="23"/>
      <c r="H52" s="24"/>
    </row>
    <row r="53" spans="1:9">
      <c r="B53" s="15"/>
      <c r="C53" s="15"/>
      <c r="D53" s="15"/>
      <c r="E53" s="15"/>
      <c r="F53" s="15"/>
      <c r="G53" s="15"/>
    </row>
    <row r="54" spans="1:9" s="1" customFormat="1" ht="13">
      <c r="A54" s="6"/>
      <c r="B54" s="23"/>
      <c r="C54" s="23"/>
      <c r="D54" s="23"/>
      <c r="E54" s="23"/>
      <c r="F54" s="23"/>
      <c r="G54" s="23"/>
      <c r="H54" s="24"/>
    </row>
  </sheetData>
  <customSheetViews>
    <customSheetView guid="{7691FA39-7EA9-407C-9567-49BEFD6339F8}" showPageBreaks="1" fitToPage="1" printArea="1" showRuler="0" topLeftCell="A36">
      <selection activeCell="G53" sqref="G53"/>
      <pageMargins left="0" right="0" top="0" bottom="0" header="0" footer="0"/>
      <pageSetup scale="45" orientation="landscape" r:id="rId1"/>
      <headerFooter alignWithMargins="0"/>
    </customSheetView>
  </customSheetViews>
  <phoneticPr fontId="5" type="noConversion"/>
  <pageMargins left="0" right="0" top="1" bottom="1" header="0.5" footer="0.5"/>
  <pageSetup scale="56" orientation="landscape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22CF68C055114DA97EF8D138719082" ma:contentTypeVersion="20" ma:contentTypeDescription="Create a new document." ma:contentTypeScope="" ma:versionID="b5c0750b72c46c851de52cf1d6b36029">
  <xsd:schema xmlns:xsd="http://www.w3.org/2001/XMLSchema" xmlns:xs="http://www.w3.org/2001/XMLSchema" xmlns:p="http://schemas.microsoft.com/office/2006/metadata/properties" xmlns:ns2="069880a5-8f46-414f-ac65-5519fcf06b35" xmlns:ns3="3f9c4c49-468b-4537-8750-498022e10f14" targetNamespace="http://schemas.microsoft.com/office/2006/metadata/properties" ma:root="true" ma:fieldsID="5f9bc3218f61d724115d45943e1be625" ns2:_="" ns3:_="">
    <xsd:import namespace="069880a5-8f46-414f-ac65-5519fcf06b35"/>
    <xsd:import namespace="3f9c4c49-468b-4537-8750-498022e10f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9880a5-8f46-414f-ac65-5519fcf06b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971a3b6-96de-4df1-a824-c11b637850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9c4c49-468b-4537-8750-498022e10f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4055440-4ea0-421c-ac8c-ae1343c94cdc}" ma:internalName="TaxCatchAll" ma:showField="CatchAllData" ma:web="3f9c4c49-468b-4537-8750-498022e10f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69880a5-8f46-414f-ac65-5519fcf06b35">
      <Terms xmlns="http://schemas.microsoft.com/office/infopath/2007/PartnerControls"/>
    </lcf76f155ced4ddcb4097134ff3c332f>
    <TaxCatchAll xmlns="3f9c4c49-468b-4537-8750-498022e10f1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F76358EF-703D-4784-8E8B-CD239F8586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9880a5-8f46-414f-ac65-5519fcf06b35"/>
    <ds:schemaRef ds:uri="3f9c4c49-468b-4537-8750-498022e10f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57643A-56A4-4051-B122-937884507FE5}">
  <ds:schemaRefs>
    <ds:schemaRef ds:uri="http://schemas.microsoft.com/office/2006/metadata/properties"/>
    <ds:schemaRef ds:uri="http://schemas.microsoft.com/office/infopath/2007/PartnerControls"/>
    <ds:schemaRef ds:uri="069880a5-8f46-414f-ac65-5519fcf06b35"/>
    <ds:schemaRef ds:uri="3f9c4c49-468b-4537-8750-498022e10f14"/>
  </ds:schemaRefs>
</ds:datastoreItem>
</file>

<file path=customXml/itemProps3.xml><?xml version="1.0" encoding="utf-8"?>
<ds:datastoreItem xmlns:ds="http://schemas.openxmlformats.org/officeDocument/2006/customXml" ds:itemID="{C78226CC-73FF-47D5-B1E0-C93BF249F32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700A458-5CBC-46A1-B0FB-F50A84D63C84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Variance</vt:lpstr>
      <vt:lpstr>Summary</vt:lpstr>
      <vt:lpstr>Rent</vt:lpstr>
      <vt:lpstr>CAM</vt:lpstr>
      <vt:lpstr>Ins.</vt:lpstr>
      <vt:lpstr>RE Tax</vt:lpstr>
      <vt:lpstr>Admin. Fee</vt:lpstr>
      <vt:lpstr>Occup.</vt:lpstr>
      <vt:lpstr>Sales Tax</vt:lpstr>
      <vt:lpstr>CAM Majors</vt:lpstr>
      <vt:lpstr>TENANT CHARGES</vt:lpstr>
      <vt:lpstr>CAM CAPS</vt:lpstr>
      <vt:lpstr>Slippage</vt:lpstr>
      <vt:lpstr>'Admin. Fee'!Print_Area</vt:lpstr>
      <vt:lpstr>CAM!Print_Area</vt:lpstr>
      <vt:lpstr>'CAM Majors'!Print_Area</vt:lpstr>
      <vt:lpstr>Ins.!Print_Area</vt:lpstr>
      <vt:lpstr>Occup.!Print_Area</vt:lpstr>
      <vt:lpstr>'RE Tax'!Print_Area</vt:lpstr>
      <vt:lpstr>Rent!Print_Area</vt:lpstr>
      <vt:lpstr>'Sales Tax'!Print_Area</vt:lpstr>
      <vt:lpstr>Slippage!Print_Area</vt:lpstr>
      <vt:lpstr>Summary!Print_Area</vt:lpstr>
      <vt:lpstr>'TENANT CHARGES'!Print_Area</vt:lpstr>
      <vt:lpstr>Occup.!Print_Titles</vt:lpstr>
      <vt:lpstr>Summary!Print_Titles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Heather Hohenstein</dc:creator>
  <cp:keywords/>
  <dc:description/>
  <cp:lastModifiedBy>Deva Mahendran</cp:lastModifiedBy>
  <cp:revision/>
  <dcterms:created xsi:type="dcterms:W3CDTF">1998-08-21T21:44:49Z</dcterms:created>
  <dcterms:modified xsi:type="dcterms:W3CDTF">2026-07-30T21:23:29Z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Melissa Bee</vt:lpwstr>
  </property>
  <property fmtid="{D5CDD505-2E9C-101B-9397-08002B2CF9AE}" pid="3" name="Order">
    <vt:lpwstr>1654800.00000000</vt:lpwstr>
  </property>
  <property fmtid="{D5CDD505-2E9C-101B-9397-08002B2CF9AE}" pid="4" name="display_urn:schemas-microsoft-com:office:office#Author">
    <vt:lpwstr>Melissa Bee</vt:lpwstr>
  </property>
  <property fmtid="{D5CDD505-2E9C-101B-9397-08002B2CF9AE}" pid="5" name="Numerical Order">
    <vt:lpwstr/>
  </property>
  <property fmtid="{D5CDD505-2E9C-101B-9397-08002B2CF9AE}" pid="6" name="lcf76f155ced4ddcb4097134ff3c332f">
    <vt:lpwstr/>
  </property>
  <property fmtid="{D5CDD505-2E9C-101B-9397-08002B2CF9AE}" pid="7" name="TaxCatchAll">
    <vt:lpwstr/>
  </property>
  <property fmtid="{D5CDD505-2E9C-101B-9397-08002B2CF9AE}" pid="8" name="MediaServiceImageTags">
    <vt:lpwstr/>
  </property>
  <property fmtid="{D5CDD505-2E9C-101B-9397-08002B2CF9AE}" pid="9" name="ContentTypeId">
    <vt:lpwstr>0x010100E822CF68C055114DA97EF8D138719082</vt:lpwstr>
  </property>
</Properties>
</file>