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athenapropertymanagement.sharepoint.com/sites/athenasharepoint/Shared Documents/VARIANCE/2026/Newmark/08.26/"/>
    </mc:Choice>
  </mc:AlternateContent>
  <xr:revisionPtr revIDLastSave="518" documentId="13_ncr:1_{842C5C9A-3520-4730-91BF-7D74F488A230}" xr6:coauthVersionLast="47" xr6:coauthVersionMax="47" xr10:uidLastSave="{8FBB138D-0A4E-45C7-BF10-B22BECDE5F8C}"/>
  <bookViews>
    <workbookView xWindow="25480" yWindow="-120" windowWidth="25840" windowHeight="13920" tabRatio="848" firstSheet="1" activeTab="1" xr2:uid="{00000000-000D-0000-FFFF-FFFF00000000}"/>
  </bookViews>
  <sheets>
    <sheet name="Notes" sheetId="21" state="hidden" r:id="rId1"/>
    <sheet name="2026" sheetId="28" r:id="rId2"/>
    <sheet name="Final Data" sheetId="27" r:id="rId3"/>
    <sheet name="Pivot" sheetId="30" r:id="rId4"/>
    <sheet name="Data" sheetId="25" r:id="rId5"/>
    <sheet name="Summary" sheetId="9" r:id="rId6"/>
    <sheet name="Cap-EX" sheetId="22" state="hidden" r:id="rId7"/>
    <sheet name="Rent" sheetId="8" r:id="rId8"/>
    <sheet name="Rent Deferral Recovery" sheetId="7" state="hidden" r:id="rId9"/>
    <sheet name="CAM" sheetId="2" r:id="rId10"/>
    <sheet name="Building Expenses" sheetId="16" r:id="rId11"/>
    <sheet name="Ins." sheetId="4" r:id="rId12"/>
    <sheet name="Admin Fee" sheetId="6" r:id="rId13"/>
    <sheet name="RE Tax" sheetId="19" r:id="rId14"/>
    <sheet name="Signage" sheetId="23" r:id="rId15"/>
    <sheet name="Sheet" sheetId="29" r:id="rId16"/>
    <sheet name="Sales Tax" sheetId="24" r:id="rId17"/>
    <sheet name="Occup," sheetId="1" state="hidden" r:id="rId18"/>
    <sheet name="Tenant Charges" sheetId="15" state="hidden" r:id="rId19"/>
    <sheet name="Slippage" sheetId="14" state="hidden" r:id="rId20"/>
    <sheet name="CAM Majors" sheetId="12" state="hidden" r:id="rId21"/>
    <sheet name="CAM Shops" sheetId="17" state="hidden" r:id="rId22"/>
    <sheet name="Checks and Balances" sheetId="20" state="hidden" r:id="rId23"/>
  </sheets>
  <definedNames>
    <definedName name="_Builtin0">#N/A</definedName>
    <definedName name="_xlnm._FilterDatabase" localSheetId="4" hidden="1">Data!$A$1:$N$135</definedName>
    <definedName name="_xlnm.Print_Area" localSheetId="12">'Admin Fee'!$A$1:$Q$38</definedName>
    <definedName name="_xlnm.Print_Area" localSheetId="10">'Building Expenses'!$A$1:$Q$40</definedName>
    <definedName name="_xlnm.Print_Area" localSheetId="9">CAM!$A$1:$U$39</definedName>
    <definedName name="_xlnm.Print_Area" localSheetId="20">'CAM Majors'!$F$1:$N$77</definedName>
    <definedName name="_xlnm.Print_Area" localSheetId="21">'CAM Shops'!$A$1:$DW$77</definedName>
    <definedName name="_xlnm.Print_Area" localSheetId="11">Ins.!$A$1:$Q$38</definedName>
    <definedName name="_xlnm.Print_Area" localSheetId="0">Notes!$A$1:$C$38</definedName>
    <definedName name="_xlnm.Print_Area" localSheetId="17">'Occup,'!$A$1:$P$40</definedName>
    <definedName name="_xlnm.Print_Area" localSheetId="13">'RE Tax'!$A$1:$Q$40</definedName>
    <definedName name="_xlnm.Print_Area" localSheetId="7">Rent!$A$1:$Q$35</definedName>
    <definedName name="_xlnm.Print_Area" localSheetId="16">'Sales Tax'!$A$1:$S$112</definedName>
    <definedName name="_xlnm.Print_Area" localSheetId="14">Signage!$A$1:$Q$40</definedName>
    <definedName name="_xlnm.Print_Area" localSheetId="19">Slippage!$A$1:$U$80</definedName>
    <definedName name="_xlnm.Print_Area" localSheetId="5">Summary!$A$1:$R$134</definedName>
    <definedName name="_xlnm.Print_Area" localSheetId="18">'Tenant Charges'!$A$1:$S$42</definedName>
    <definedName name="_xlnm.Print_Titles" localSheetId="17">'Occup,'!$1:$11</definedName>
    <definedName name="_xlnm.Print_Titles" localSheetId="5">Summary!$1:$11</definedName>
    <definedName name="_xlnm.Print_Titles" localSheetId="18">'Tenant Charges'!$1:$6</definedName>
    <definedName name="Z_7691FA39_7EA9_407C_9567_49BEFD6339F8_.wvu.PrintArea" localSheetId="9" hidden="1">CAM!$A$1:$Q$42</definedName>
    <definedName name="Z_7691FA39_7EA9_407C_9567_49BEFD6339F8_.wvu.PrintArea" localSheetId="17" hidden="1">'Occup,'!$A$12:$P$64</definedName>
    <definedName name="Z_7691FA39_7EA9_407C_9567_49BEFD6339F8_.wvu.PrintArea" localSheetId="19" hidden="1">Slippage!$A$7:$U$66</definedName>
    <definedName name="Z_7691FA39_7EA9_407C_9567_49BEFD6339F8_.wvu.PrintArea" localSheetId="5" hidden="1">Summary!$A$1:$O$168</definedName>
    <definedName name="Z_7691FA39_7EA9_407C_9567_49BEFD6339F8_.wvu.PrintArea" localSheetId="18" hidden="1">'Tenant Charges'!$A$1:$O$24</definedName>
    <definedName name="Z_7691FA39_7EA9_407C_9567_49BEFD6339F8_.wvu.PrintTitles" localSheetId="17" hidden="1">'Occup,'!$1:$11</definedName>
    <definedName name="Z_7691FA39_7EA9_407C_9567_49BEFD6339F8_.wvu.PrintTitles" localSheetId="5" hidden="1">Summary!$1:$11</definedName>
    <definedName name="Z_7691FA39_7EA9_407C_9567_49BEFD6339F8_.wvu.PrintTitles" localSheetId="18" hidden="1">'Tenant Charges'!$1:$6</definedName>
  </definedNames>
  <calcPr calcId="191028"/>
  <customWorkbookViews>
    <customWorkbookView name="Rose - Personal View" guid="{7691FA39-7EA9-407C-9567-49BEFD6339F8}" mergeInterval="0" personalView="1" maximized="1" windowWidth="1020" windowHeight="631" tabRatio="906" activeSheetId="2"/>
  </customWorkbookViews>
  <pivotCaches>
    <pivotCache cacheId="343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0" i="25" l="1"/>
  <c r="AL5" i="28"/>
  <c r="AL6" i="28"/>
  <c r="AL7" i="28"/>
  <c r="AL8" i="28"/>
  <c r="AL9" i="28"/>
  <c r="AL10" i="28"/>
  <c r="AL11" i="28"/>
  <c r="AL12" i="28"/>
  <c r="AL13" i="28"/>
  <c r="AL14" i="28"/>
  <c r="AL26" i="28" s="1"/>
  <c r="AL28" i="28" s="1"/>
  <c r="AL15" i="28"/>
  <c r="AL16" i="28"/>
  <c r="AL17" i="28"/>
  <c r="AL18" i="28"/>
  <c r="AL19" i="28"/>
  <c r="AL20" i="28"/>
  <c r="AL21" i="28"/>
  <c r="AL22" i="28"/>
  <c r="AL23" i="28"/>
  <c r="AL4" i="28"/>
  <c r="BJ23" i="28"/>
  <c r="BI23" i="28"/>
  <c r="BH23" i="28"/>
  <c r="AK26" i="28"/>
  <c r="AK28" i="28" s="1"/>
  <c r="AJ26" i="28"/>
  <c r="AJ28" i="28" s="1"/>
  <c r="AJ22" i="28"/>
  <c r="AJ21" i="28"/>
  <c r="AJ20" i="28"/>
  <c r="AJ19" i="28"/>
  <c r="AJ18" i="28"/>
  <c r="AE18" i="28"/>
  <c r="AJ17" i="28"/>
  <c r="AE17" i="28"/>
  <c r="AJ16" i="28"/>
  <c r="AE16" i="28"/>
  <c r="AJ15" i="28"/>
  <c r="AJ14" i="28"/>
  <c r="AJ13" i="28"/>
  <c r="AJ12" i="28"/>
  <c r="AJ11" i="28"/>
  <c r="AJ10" i="28"/>
  <c r="AJ9" i="28"/>
  <c r="AJ8" i="28"/>
  <c r="AJ7" i="28"/>
  <c r="AJ6" i="28"/>
  <c r="AJ5" i="28"/>
  <c r="AJ4" i="28"/>
  <c r="AG9" i="28"/>
  <c r="AF28" i="28"/>
  <c r="AF26" i="28"/>
  <c r="AE9" i="28"/>
  <c r="AE14" i="28"/>
  <c r="AG14" i="28" s="1"/>
  <c r="AE22" i="28"/>
  <c r="AG22" i="28" s="1"/>
  <c r="H142" i="25"/>
  <c r="H140" i="25"/>
  <c r="AB9" i="28"/>
  <c r="AB22" i="28"/>
  <c r="AA28" i="28"/>
  <c r="AA26" i="28"/>
  <c r="Z9" i="28"/>
  <c r="Z14" i="28"/>
  <c r="AB14" i="28" s="1"/>
  <c r="Z22" i="28"/>
  <c r="G9" i="28"/>
  <c r="G141" i="25"/>
  <c r="G144" i="25" s="1"/>
  <c r="W26" i="28" l="1"/>
  <c r="W29" i="28" s="1"/>
  <c r="V22" i="28"/>
  <c r="X22" i="28" s="1"/>
  <c r="V9" i="28"/>
  <c r="X9" i="28" s="1"/>
  <c r="V14" i="28"/>
  <c r="X14" i="28" s="1"/>
  <c r="F139" i="25"/>
  <c r="T9" i="28" l="1"/>
  <c r="S26" i="28"/>
  <c r="S29" i="28" s="1"/>
  <c r="R9" i="28"/>
  <c r="R14" i="28"/>
  <c r="T14" i="28" s="1"/>
  <c r="R22" i="28"/>
  <c r="T22" i="28" s="1"/>
  <c r="N26" i="28"/>
  <c r="N29" i="28" s="1"/>
  <c r="M9" i="28"/>
  <c r="O9" i="28" s="1"/>
  <c r="M14" i="28"/>
  <c r="O14" i="28" s="1"/>
  <c r="M22" i="28"/>
  <c r="O22" i="28" s="1"/>
  <c r="J23" i="28"/>
  <c r="I26" i="28"/>
  <c r="I28" i="28" s="1"/>
  <c r="H9" i="28"/>
  <c r="H14" i="28"/>
  <c r="H22" i="28"/>
  <c r="BI5" i="28"/>
  <c r="BI6" i="28"/>
  <c r="BI7" i="28"/>
  <c r="BI8" i="28"/>
  <c r="BI9" i="28"/>
  <c r="BI10" i="28"/>
  <c r="BI11" i="28"/>
  <c r="BI12" i="28"/>
  <c r="BI13" i="28"/>
  <c r="BI14" i="28"/>
  <c r="BI15" i="28"/>
  <c r="BI16" i="28"/>
  <c r="BI17" i="28"/>
  <c r="BI18" i="28"/>
  <c r="BI19" i="28"/>
  <c r="BI20" i="28"/>
  <c r="BI21" i="28"/>
  <c r="BI22" i="28"/>
  <c r="BI4" i="28"/>
  <c r="BH22" i="28" l="1"/>
  <c r="BH14" i="28"/>
  <c r="BH9" i="28"/>
  <c r="J22" i="28"/>
  <c r="J9" i="28"/>
  <c r="J14" i="28"/>
  <c r="BI26" i="28"/>
  <c r="BI28" i="28" s="1"/>
  <c r="E22" i="28"/>
  <c r="E14" i="28"/>
  <c r="E9" i="28"/>
  <c r="D26" i="28"/>
  <c r="D28" i="28" s="1"/>
  <c r="E10" i="28"/>
  <c r="E12" i="28"/>
  <c r="E17" i="28"/>
  <c r="E18" i="28"/>
  <c r="B5" i="28"/>
  <c r="B6" i="28"/>
  <c r="B7" i="28"/>
  <c r="B8" i="28"/>
  <c r="B10" i="28"/>
  <c r="B11" i="28"/>
  <c r="B12" i="28"/>
  <c r="B13" i="28"/>
  <c r="B15" i="28"/>
  <c r="B16" i="28"/>
  <c r="B17" i="28"/>
  <c r="B18" i="28"/>
  <c r="B19" i="28"/>
  <c r="B20" i="28"/>
  <c r="B21" i="28"/>
  <c r="B4" i="28"/>
  <c r="A5" i="28"/>
  <c r="A6" i="28"/>
  <c r="A7" i="28"/>
  <c r="A8" i="28"/>
  <c r="A10" i="28"/>
  <c r="A11" i="28"/>
  <c r="A12" i="28"/>
  <c r="A13" i="28"/>
  <c r="A15" i="28"/>
  <c r="A16" i="28"/>
  <c r="A17" i="28"/>
  <c r="A18" i="28"/>
  <c r="A19" i="28"/>
  <c r="A20" i="28"/>
  <c r="A21" i="28"/>
  <c r="A4" i="28"/>
  <c r="E25" i="28"/>
  <c r="E24" i="28"/>
  <c r="E20" i="28"/>
  <c r="E19" i="28"/>
  <c r="F19" i="23"/>
  <c r="G19" i="23"/>
  <c r="H19" i="23"/>
  <c r="I19" i="23"/>
  <c r="J19" i="23"/>
  <c r="K19" i="23"/>
  <c r="L19" i="23"/>
  <c r="M19" i="23"/>
  <c r="N19" i="23"/>
  <c r="O19" i="23"/>
  <c r="P19" i="23"/>
  <c r="F23" i="23"/>
  <c r="G23" i="23"/>
  <c r="H23" i="23"/>
  <c r="I23" i="23" s="1"/>
  <c r="J23" i="23" s="1"/>
  <c r="K23" i="23" s="1"/>
  <c r="L23" i="23" s="1"/>
  <c r="M23" i="23" s="1"/>
  <c r="N23" i="23" s="1"/>
  <c r="O23" i="23" s="1"/>
  <c r="P23" i="23" s="1"/>
  <c r="F25" i="23"/>
  <c r="G25" i="23"/>
  <c r="H25" i="23"/>
  <c r="I25" i="23"/>
  <c r="J25" i="23"/>
  <c r="K25" i="23"/>
  <c r="L25" i="23" s="1"/>
  <c r="M25" i="23" s="1"/>
  <c r="N25" i="23" s="1"/>
  <c r="O25" i="23" s="1"/>
  <c r="P25" i="23" s="1"/>
  <c r="AE12" i="28" l="1"/>
  <c r="AG12" i="28" s="1"/>
  <c r="Z12" i="28"/>
  <c r="AB12" i="28" s="1"/>
  <c r="Z6" i="28"/>
  <c r="AB6" i="28" s="1"/>
  <c r="AE6" i="28"/>
  <c r="AG6" i="28" s="1"/>
  <c r="AE11" i="28"/>
  <c r="AG11" i="28" s="1"/>
  <c r="Z11" i="28"/>
  <c r="AB11" i="28" s="1"/>
  <c r="Z4" i="28"/>
  <c r="AE4" i="28"/>
  <c r="AE19" i="28"/>
  <c r="AG19" i="28" s="1"/>
  <c r="Z19" i="28"/>
  <c r="AB19" i="28" s="1"/>
  <c r="Z5" i="28"/>
  <c r="AB5" i="28" s="1"/>
  <c r="AE5" i="28"/>
  <c r="AG5" i="28" s="1"/>
  <c r="Z15" i="28"/>
  <c r="AB15" i="28" s="1"/>
  <c r="AE15" i="28"/>
  <c r="AG15" i="28" s="1"/>
  <c r="AE13" i="28"/>
  <c r="AG13" i="28" s="1"/>
  <c r="Z13" i="28"/>
  <c r="AB13" i="28" s="1"/>
  <c r="Z21" i="28"/>
  <c r="AB21" i="28" s="1"/>
  <c r="AE21" i="28"/>
  <c r="AG21" i="28" s="1"/>
  <c r="Z18" i="28"/>
  <c r="AB18" i="28" s="1"/>
  <c r="AG18" i="28"/>
  <c r="Z10" i="28"/>
  <c r="AB10" i="28" s="1"/>
  <c r="AE10" i="28"/>
  <c r="AG10" i="28" s="1"/>
  <c r="AE7" i="28"/>
  <c r="AG7" i="28" s="1"/>
  <c r="Z7" i="28"/>
  <c r="AB7" i="28" s="1"/>
  <c r="Z17" i="28"/>
  <c r="AB17" i="28" s="1"/>
  <c r="AG17" i="28"/>
  <c r="Z8" i="28"/>
  <c r="AB8" i="28" s="1"/>
  <c r="AE8" i="28"/>
  <c r="AG8" i="28" s="1"/>
  <c r="Z20" i="28"/>
  <c r="AB20" i="28" s="1"/>
  <c r="AE20" i="28"/>
  <c r="AG20" i="28" s="1"/>
  <c r="Z16" i="28"/>
  <c r="AB16" i="28" s="1"/>
  <c r="AG16" i="28"/>
  <c r="M6" i="28"/>
  <c r="O6" i="28" s="1"/>
  <c r="V6" i="28"/>
  <c r="X6" i="28" s="1"/>
  <c r="R6" i="28"/>
  <c r="T6" i="28" s="1"/>
  <c r="V12" i="28"/>
  <c r="X12" i="28" s="1"/>
  <c r="R12" i="28"/>
  <c r="T12" i="28" s="1"/>
  <c r="V10" i="28"/>
  <c r="X10" i="28" s="1"/>
  <c r="R10" i="28"/>
  <c r="T10" i="28" s="1"/>
  <c r="BJ9" i="28"/>
  <c r="M4" i="28"/>
  <c r="V4" i="28"/>
  <c r="R4" i="28"/>
  <c r="M8" i="28"/>
  <c r="O8" i="28" s="1"/>
  <c r="V8" i="28"/>
  <c r="X8" i="28" s="1"/>
  <c r="R8" i="28"/>
  <c r="T8" i="28" s="1"/>
  <c r="M21" i="28"/>
  <c r="O21" i="28" s="1"/>
  <c r="V21" i="28"/>
  <c r="X21" i="28" s="1"/>
  <c r="R21" i="28"/>
  <c r="T21" i="28" s="1"/>
  <c r="M7" i="28"/>
  <c r="O7" i="28" s="1"/>
  <c r="V7" i="28"/>
  <c r="X7" i="28" s="1"/>
  <c r="R7" i="28"/>
  <c r="T7" i="28" s="1"/>
  <c r="BJ22" i="28"/>
  <c r="V20" i="28"/>
  <c r="X20" i="28" s="1"/>
  <c r="R20" i="28"/>
  <c r="T20" i="28" s="1"/>
  <c r="V19" i="28"/>
  <c r="X19" i="28" s="1"/>
  <c r="R19" i="28"/>
  <c r="T19" i="28" s="1"/>
  <c r="M5" i="28"/>
  <c r="O5" i="28" s="1"/>
  <c r="V5" i="28"/>
  <c r="X5" i="28" s="1"/>
  <c r="R5" i="28"/>
  <c r="T5" i="28" s="1"/>
  <c r="M11" i="28"/>
  <c r="O11" i="28" s="1"/>
  <c r="V11" i="28"/>
  <c r="X11" i="28" s="1"/>
  <c r="R11" i="28"/>
  <c r="T11" i="28" s="1"/>
  <c r="V18" i="28"/>
  <c r="X18" i="28" s="1"/>
  <c r="R18" i="28"/>
  <c r="T18" i="28" s="1"/>
  <c r="V17" i="28"/>
  <c r="X17" i="28" s="1"/>
  <c r="R17" i="28"/>
  <c r="T17" i="28" s="1"/>
  <c r="M16" i="28"/>
  <c r="O16" i="28" s="1"/>
  <c r="V16" i="28"/>
  <c r="X16" i="28" s="1"/>
  <c r="R16" i="28"/>
  <c r="T16" i="28" s="1"/>
  <c r="M15" i="28"/>
  <c r="O15" i="28" s="1"/>
  <c r="V15" i="28"/>
  <c r="X15" i="28" s="1"/>
  <c r="R15" i="28"/>
  <c r="T15" i="28" s="1"/>
  <c r="M13" i="28"/>
  <c r="O13" i="28" s="1"/>
  <c r="V13" i="28"/>
  <c r="X13" i="28" s="1"/>
  <c r="R13" i="28"/>
  <c r="T13" i="28" s="1"/>
  <c r="H10" i="28"/>
  <c r="M10" i="28"/>
  <c r="O10" i="28" s="1"/>
  <c r="H18" i="28"/>
  <c r="J18" i="28" s="1"/>
  <c r="M18" i="28"/>
  <c r="O18" i="28" s="1"/>
  <c r="H17" i="28"/>
  <c r="BH17" i="28" s="1"/>
  <c r="M17" i="28"/>
  <c r="O17" i="28" s="1"/>
  <c r="H12" i="28"/>
  <c r="M12" i="28"/>
  <c r="O12" i="28" s="1"/>
  <c r="O4" i="28"/>
  <c r="H20" i="28"/>
  <c r="J20" i="28" s="1"/>
  <c r="M20" i="28"/>
  <c r="O20" i="28" s="1"/>
  <c r="H19" i="28"/>
  <c r="BH19" i="28" s="1"/>
  <c r="M19" i="28"/>
  <c r="O19" i="28" s="1"/>
  <c r="C13" i="28"/>
  <c r="E13" i="28" s="1"/>
  <c r="H13" i="28"/>
  <c r="J13" i="28" s="1"/>
  <c r="C11" i="28"/>
  <c r="E11" i="28" s="1"/>
  <c r="H11" i="28"/>
  <c r="J11" i="28" s="1"/>
  <c r="C4" i="28"/>
  <c r="E4" i="28" s="1"/>
  <c r="H4" i="28"/>
  <c r="C6" i="28"/>
  <c r="E6" i="28" s="1"/>
  <c r="H6" i="28"/>
  <c r="J6" i="28" s="1"/>
  <c r="C16" i="28"/>
  <c r="E16" i="28" s="1"/>
  <c r="H16" i="28"/>
  <c r="J16" i="28" s="1"/>
  <c r="C15" i="28"/>
  <c r="E15" i="28" s="1"/>
  <c r="H15" i="28"/>
  <c r="J15" i="28" s="1"/>
  <c r="J10" i="28"/>
  <c r="C8" i="28"/>
  <c r="E8" i="28" s="1"/>
  <c r="H8" i="28"/>
  <c r="J8" i="28" s="1"/>
  <c r="BJ14" i="28"/>
  <c r="C21" i="28"/>
  <c r="E21" i="28" s="1"/>
  <c r="H21" i="28"/>
  <c r="J21" i="28" s="1"/>
  <c r="C7" i="28"/>
  <c r="E7" i="28" s="1"/>
  <c r="H7" i="28"/>
  <c r="J7" i="28" s="1"/>
  <c r="J19" i="28"/>
  <c r="C5" i="28"/>
  <c r="H5" i="28"/>
  <c r="J5" i="28" s="1"/>
  <c r="J17" i="28" l="1"/>
  <c r="BJ17" i="28" s="1"/>
  <c r="BH12" i="28"/>
  <c r="Z26" i="28"/>
  <c r="Z28" i="28" s="1"/>
  <c r="AB4" i="28"/>
  <c r="AB26" i="28" s="1"/>
  <c r="AB28" i="28" s="1"/>
  <c r="BJ10" i="28"/>
  <c r="AG4" i="28"/>
  <c r="AG26" i="28" s="1"/>
  <c r="AG28" i="28" s="1"/>
  <c r="AE26" i="28"/>
  <c r="AE28" i="28" s="1"/>
  <c r="BJ20" i="28"/>
  <c r="R26" i="28"/>
  <c r="R29" i="28" s="1"/>
  <c r="T4" i="28"/>
  <c r="T26" i="28" s="1"/>
  <c r="T29" i="28" s="1"/>
  <c r="BJ19" i="28"/>
  <c r="BJ18" i="28"/>
  <c r="X4" i="28"/>
  <c r="X26" i="28" s="1"/>
  <c r="X29" i="28" s="1"/>
  <c r="V26" i="28"/>
  <c r="V29" i="28" s="1"/>
  <c r="J12" i="28"/>
  <c r="BJ12" i="28" s="1"/>
  <c r="C26" i="28"/>
  <c r="C28" i="28" s="1"/>
  <c r="BH18" i="28"/>
  <c r="BJ8" i="28"/>
  <c r="O26" i="28"/>
  <c r="O29" i="28" s="1"/>
  <c r="M26" i="28"/>
  <c r="M29" i="28" s="1"/>
  <c r="BH20" i="28"/>
  <c r="BH10" i="28"/>
  <c r="BJ11" i="28"/>
  <c r="BH8" i="28"/>
  <c r="BJ15" i="28"/>
  <c r="BJ16" i="28"/>
  <c r="BJ7" i="28"/>
  <c r="BH16" i="28"/>
  <c r="BJ21" i="28"/>
  <c r="BH4" i="28"/>
  <c r="BH11" i="28"/>
  <c r="BJ6" i="28"/>
  <c r="BJ13" i="28"/>
  <c r="BH13" i="28"/>
  <c r="J4" i="28"/>
  <c r="H26" i="28"/>
  <c r="H28" i="28" s="1"/>
  <c r="BH7" i="28"/>
  <c r="BH15" i="28"/>
  <c r="BH21" i="28"/>
  <c r="BH5" i="28"/>
  <c r="E5" i="28"/>
  <c r="BJ5" i="28" s="1"/>
  <c r="BH6" i="28"/>
  <c r="L28" i="15"/>
  <c r="L27" i="15"/>
  <c r="N117" i="9"/>
  <c r="M117" i="9"/>
  <c r="L117" i="9"/>
  <c r="H117" i="9"/>
  <c r="I117" i="9" s="1"/>
  <c r="J117" i="9" s="1"/>
  <c r="K117" i="9" s="1"/>
  <c r="G117" i="9"/>
  <c r="F117" i="9"/>
  <c r="E117" i="9"/>
  <c r="L78" i="9"/>
  <c r="E78" i="9"/>
  <c r="L119" i="9"/>
  <c r="K119" i="9"/>
  <c r="O82" i="9"/>
  <c r="P53" i="9"/>
  <c r="E38" i="9"/>
  <c r="F38" i="9"/>
  <c r="G38" i="9"/>
  <c r="H38" i="9"/>
  <c r="I38" i="9"/>
  <c r="J38" i="9"/>
  <c r="K38" i="9"/>
  <c r="L38" i="9"/>
  <c r="M38" i="9"/>
  <c r="N38" i="9"/>
  <c r="D37" i="9"/>
  <c r="E37" i="9" s="1"/>
  <c r="F37" i="9" s="1"/>
  <c r="G37" i="9" s="1"/>
  <c r="H37" i="9" s="1"/>
  <c r="I37" i="9" s="1"/>
  <c r="J37" i="9" s="1"/>
  <c r="K37" i="9" s="1"/>
  <c r="L37" i="9" s="1"/>
  <c r="M37" i="9" s="1"/>
  <c r="N37" i="9" s="1"/>
  <c r="C50" i="9"/>
  <c r="E47" i="9"/>
  <c r="F47" i="9"/>
  <c r="G47" i="9"/>
  <c r="H47" i="9"/>
  <c r="I47" i="9"/>
  <c r="J47" i="9"/>
  <c r="K47" i="9"/>
  <c r="L47" i="9"/>
  <c r="M47" i="9"/>
  <c r="N47" i="9"/>
  <c r="D47" i="9"/>
  <c r="D95" i="9"/>
  <c r="E95" i="9" s="1"/>
  <c r="F95" i="9" s="1"/>
  <c r="G95" i="9" s="1"/>
  <c r="H95" i="9" s="1"/>
  <c r="I95" i="9" s="1"/>
  <c r="J95" i="9" s="1"/>
  <c r="K95" i="9" s="1"/>
  <c r="L95" i="9" s="1"/>
  <c r="M95" i="9" s="1"/>
  <c r="N95" i="9" s="1"/>
  <c r="O95" i="9"/>
  <c r="O96" i="9"/>
  <c r="L72" i="9"/>
  <c r="L70" i="9"/>
  <c r="G18" i="15"/>
  <c r="D41" i="16"/>
  <c r="G25" i="15"/>
  <c r="N82" i="9"/>
  <c r="J121" i="9"/>
  <c r="C162" i="9"/>
  <c r="L29" i="8"/>
  <c r="M29" i="8" s="1"/>
  <c r="N29" i="8" s="1"/>
  <c r="O29" i="8" s="1"/>
  <c r="P29" i="8" s="1"/>
  <c r="R10" i="15"/>
  <c r="R18" i="15"/>
  <c r="R17" i="15"/>
  <c r="R16" i="15"/>
  <c r="R15" i="15"/>
  <c r="R14" i="15"/>
  <c r="R13" i="15"/>
  <c r="R12" i="15"/>
  <c r="R11" i="15"/>
  <c r="R25" i="15"/>
  <c r="R24" i="15"/>
  <c r="R23" i="15"/>
  <c r="R22" i="15"/>
  <c r="R21" i="15"/>
  <c r="R20" i="15"/>
  <c r="R19" i="15"/>
  <c r="D34" i="9"/>
  <c r="E34" i="9" s="1"/>
  <c r="F34" i="9" s="1"/>
  <c r="G34" i="9" s="1"/>
  <c r="H34" i="9" s="1"/>
  <c r="I34" i="9" s="1"/>
  <c r="J34" i="9" s="1"/>
  <c r="K34" i="9" s="1"/>
  <c r="L34" i="9" s="1"/>
  <c r="M34" i="9" s="1"/>
  <c r="N34" i="9" s="1"/>
  <c r="A5" i="24"/>
  <c r="A4" i="24"/>
  <c r="A3" i="24"/>
  <c r="T58" i="9"/>
  <c r="T59" i="9" s="1"/>
  <c r="T60" i="9" s="1"/>
  <c r="T61" i="9" s="1"/>
  <c r="T62" i="9" s="1"/>
  <c r="T63" i="9" s="1"/>
  <c r="T64" i="9" s="1"/>
  <c r="T65" i="9" s="1"/>
  <c r="DI74" i="17"/>
  <c r="DH74" i="17"/>
  <c r="CZ74" i="17"/>
  <c r="CY74" i="17"/>
  <c r="CQ74" i="17"/>
  <c r="CP74" i="17"/>
  <c r="BG74" i="17"/>
  <c r="BF74" i="17"/>
  <c r="AO74" i="17"/>
  <c r="AN74" i="17"/>
  <c r="N74" i="17"/>
  <c r="M74" i="17"/>
  <c r="E94" i="24"/>
  <c r="F89" i="24"/>
  <c r="G89" i="24"/>
  <c r="H89" i="24"/>
  <c r="I89" i="24"/>
  <c r="J89" i="24"/>
  <c r="E89" i="24"/>
  <c r="E14" i="15"/>
  <c r="E10" i="15"/>
  <c r="C35" i="14"/>
  <c r="I74" i="12"/>
  <c r="H74" i="12"/>
  <c r="Q78" i="9"/>
  <c r="F25" i="8"/>
  <c r="G25" i="8"/>
  <c r="H25" i="8"/>
  <c r="I25" i="8"/>
  <c r="J25" i="8"/>
  <c r="K25" i="8"/>
  <c r="L25" i="8"/>
  <c r="M25" i="8"/>
  <c r="N25" i="8"/>
  <c r="O25" i="8"/>
  <c r="P25" i="8"/>
  <c r="CU38" i="17"/>
  <c r="AS38" i="17"/>
  <c r="A36" i="12"/>
  <c r="B36" i="12"/>
  <c r="F36" i="12"/>
  <c r="G36" i="12"/>
  <c r="N53" i="9"/>
  <c r="O53" i="9" s="1"/>
  <c r="F6" i="22"/>
  <c r="C6" i="22"/>
  <c r="P55" i="9"/>
  <c r="Q55" i="9"/>
  <c r="D50" i="9"/>
  <c r="E50" i="9" s="1"/>
  <c r="F50" i="9" s="1"/>
  <c r="G50" i="9" s="1"/>
  <c r="H50" i="9" s="1"/>
  <c r="I50" i="9" s="1"/>
  <c r="J50" i="9" s="1"/>
  <c r="K50" i="9" s="1"/>
  <c r="L50" i="9" s="1"/>
  <c r="M50" i="9" s="1"/>
  <c r="N50" i="9" s="1"/>
  <c r="C64" i="9"/>
  <c r="C65" i="9"/>
  <c r="F8" i="22"/>
  <c r="F7" i="22"/>
  <c r="N29" i="15"/>
  <c r="N28" i="15"/>
  <c r="S26" i="15"/>
  <c r="J26" i="28" l="1"/>
  <c r="J28" i="28" s="1"/>
  <c r="E26" i="28"/>
  <c r="E28" i="28" s="1"/>
  <c r="BH26" i="28"/>
  <c r="BH28" i="28" s="1"/>
  <c r="BJ4" i="28"/>
  <c r="D162" i="9"/>
  <c r="C163" i="9"/>
  <c r="S53" i="9"/>
  <c r="C36" i="12"/>
  <c r="A32" i="14"/>
  <c r="B36" i="17"/>
  <c r="L36" i="17"/>
  <c r="U36" i="17"/>
  <c r="AD36" i="17"/>
  <c r="AM36" i="17"/>
  <c r="AV36" i="17"/>
  <c r="BE36" i="17"/>
  <c r="BN36" i="17"/>
  <c r="BW36" i="17"/>
  <c r="CF36" i="17"/>
  <c r="CO36" i="17"/>
  <c r="CX36" i="17"/>
  <c r="DG36" i="17"/>
  <c r="DP36" i="17"/>
  <c r="DY36" i="17"/>
  <c r="K36" i="17"/>
  <c r="T36" i="17"/>
  <c r="AC36" i="17"/>
  <c r="AL36" i="17"/>
  <c r="AU36" i="17"/>
  <c r="BD36" i="17"/>
  <c r="BM36" i="17"/>
  <c r="BV36" i="17"/>
  <c r="CE36" i="17"/>
  <c r="CN36" i="17"/>
  <c r="CW36" i="17"/>
  <c r="DF36" i="17"/>
  <c r="DO36" i="17"/>
  <c r="DX36" i="17"/>
  <c r="C55" i="9"/>
  <c r="P27" i="9"/>
  <c r="BJ26" i="28" l="1"/>
  <c r="BJ28" i="28" s="1"/>
  <c r="D163" i="9"/>
  <c r="C164" i="9"/>
  <c r="B32" i="14"/>
  <c r="C36" i="17"/>
  <c r="E36" i="17" s="1"/>
  <c r="M36" i="17"/>
  <c r="O36" i="17" s="1"/>
  <c r="V36" i="17"/>
  <c r="X36" i="17" s="1"/>
  <c r="AE36" i="17"/>
  <c r="AG36" i="17" s="1"/>
  <c r="AN36" i="17"/>
  <c r="AP36" i="17" s="1"/>
  <c r="AW36" i="17"/>
  <c r="AY36" i="17" s="1"/>
  <c r="BF36" i="17"/>
  <c r="BH36" i="17" s="1"/>
  <c r="BO36" i="17"/>
  <c r="BQ36" i="17" s="1"/>
  <c r="BX36" i="17"/>
  <c r="BZ36" i="17" s="1"/>
  <c r="CG36" i="17"/>
  <c r="CI36" i="17" s="1"/>
  <c r="CP36" i="17"/>
  <c r="CR36" i="17" s="1"/>
  <c r="CY36" i="17"/>
  <c r="DA36" i="17" s="1"/>
  <c r="DH36" i="17"/>
  <c r="DJ36" i="17" s="1"/>
  <c r="DQ36" i="17"/>
  <c r="DS36" i="17" s="1"/>
  <c r="DZ36" i="17"/>
  <c r="EB36" i="17" s="1"/>
  <c r="H36" i="12"/>
  <c r="C66" i="14"/>
  <c r="D164" i="9" l="1"/>
  <c r="C165" i="9"/>
  <c r="I36" i="12"/>
  <c r="J36" i="12"/>
  <c r="Q27" i="9"/>
  <c r="O24" i="9"/>
  <c r="O25" i="9"/>
  <c r="O26" i="9"/>
  <c r="S26" i="9" s="1"/>
  <c r="P67" i="9"/>
  <c r="P132" i="9"/>
  <c r="Q132" i="9"/>
  <c r="D165" i="9" l="1"/>
  <c r="C166" i="9"/>
  <c r="D166" i="9" s="1"/>
  <c r="D167" i="9"/>
  <c r="F167" i="9" s="1"/>
  <c r="E123" i="9" s="1"/>
  <c r="J123" i="9" s="1"/>
  <c r="O126" i="9"/>
  <c r="S126" i="9" s="1"/>
  <c r="O127" i="9"/>
  <c r="S127" i="9" s="1"/>
  <c r="O128" i="9"/>
  <c r="S128" i="9" s="1"/>
  <c r="O129" i="9"/>
  <c r="S129" i="9" s="1"/>
  <c r="O125" i="9"/>
  <c r="S125" i="9" s="1"/>
  <c r="Q112" i="9"/>
  <c r="P112" i="9"/>
  <c r="O93" i="9"/>
  <c r="S93" i="9" s="1"/>
  <c r="Q103" i="9"/>
  <c r="S66" i="9"/>
  <c r="S54" i="9"/>
  <c r="Q80" i="9"/>
  <c r="Q75" i="9"/>
  <c r="S25" i="9"/>
  <c r="O39" i="9" l="1"/>
  <c r="S39" i="9" s="1"/>
  <c r="O20" i="9"/>
  <c r="S20" i="9" s="1"/>
  <c r="F104" i="24" l="1"/>
  <c r="G104" i="24"/>
  <c r="H104" i="24"/>
  <c r="I104" i="24"/>
  <c r="J104" i="24"/>
  <c r="K104" i="24"/>
  <c r="L104" i="24"/>
  <c r="M104" i="24"/>
  <c r="N104" i="24"/>
  <c r="O104" i="24"/>
  <c r="E104" i="24"/>
  <c r="C103" i="24"/>
  <c r="B103" i="24"/>
  <c r="A103" i="24"/>
  <c r="Q103" i="24"/>
  <c r="F99" i="24"/>
  <c r="G99" i="24"/>
  <c r="H99" i="24"/>
  <c r="I99" i="24"/>
  <c r="J99" i="24"/>
  <c r="K99" i="24"/>
  <c r="L99" i="24"/>
  <c r="M99" i="24"/>
  <c r="N99" i="24"/>
  <c r="O99" i="24"/>
  <c r="P99" i="24"/>
  <c r="E99" i="24"/>
  <c r="Q99" i="24" s="1"/>
  <c r="C98" i="24"/>
  <c r="C93" i="24"/>
  <c r="B93" i="24"/>
  <c r="B98" i="24"/>
  <c r="A98" i="24"/>
  <c r="Q98" i="24"/>
  <c r="F94" i="24"/>
  <c r="G94" i="24"/>
  <c r="H94" i="24"/>
  <c r="I94" i="24"/>
  <c r="J94" i="24"/>
  <c r="K94" i="24"/>
  <c r="L94" i="24"/>
  <c r="M94" i="24"/>
  <c r="N94" i="24"/>
  <c r="O94" i="24"/>
  <c r="P94" i="24"/>
  <c r="A93" i="24"/>
  <c r="Q93" i="24"/>
  <c r="C88" i="24"/>
  <c r="B88" i="24"/>
  <c r="A88" i="24"/>
  <c r="Q88" i="24"/>
  <c r="C83" i="24"/>
  <c r="B83" i="24"/>
  <c r="A83" i="24"/>
  <c r="Q83" i="24"/>
  <c r="C78" i="24"/>
  <c r="B78" i="24"/>
  <c r="A78" i="24"/>
  <c r="Q78" i="24"/>
  <c r="Q94" i="24" l="1"/>
  <c r="C73" i="24"/>
  <c r="B73" i="24"/>
  <c r="A73" i="24"/>
  <c r="Q73" i="24"/>
  <c r="C68" i="24"/>
  <c r="B68" i="24"/>
  <c r="A68" i="24"/>
  <c r="Q68" i="24"/>
  <c r="C63" i="24"/>
  <c r="B63" i="24"/>
  <c r="A63" i="24"/>
  <c r="Q63" i="24"/>
  <c r="C58" i="24"/>
  <c r="B58" i="24"/>
  <c r="A58" i="24"/>
  <c r="Q58" i="24"/>
  <c r="C53" i="24"/>
  <c r="B53" i="24"/>
  <c r="A53" i="24"/>
  <c r="Q53" i="24"/>
  <c r="C48" i="24" l="1"/>
  <c r="B48" i="24"/>
  <c r="A48" i="24"/>
  <c r="Q48" i="24"/>
  <c r="C43" i="24"/>
  <c r="B43" i="24"/>
  <c r="A43" i="24"/>
  <c r="Q43" i="24"/>
  <c r="C38" i="24"/>
  <c r="B38" i="24"/>
  <c r="A38" i="24"/>
  <c r="Q38" i="24"/>
  <c r="C33" i="24"/>
  <c r="B33" i="24"/>
  <c r="A33" i="24"/>
  <c r="Q33" i="24"/>
  <c r="C28" i="24"/>
  <c r="B28" i="24"/>
  <c r="A28" i="24"/>
  <c r="Q28" i="24"/>
  <c r="B23" i="24"/>
  <c r="C23" i="24"/>
  <c r="A23" i="24"/>
  <c r="B18" i="24"/>
  <c r="C18" i="24"/>
  <c r="A18" i="24"/>
  <c r="O31" i="15"/>
  <c r="Q31" i="15"/>
  <c r="R31" i="15"/>
  <c r="M26" i="15"/>
  <c r="B13" i="24"/>
  <c r="A13" i="24"/>
  <c r="Q23" i="24"/>
  <c r="Q18" i="24"/>
  <c r="Q13" i="24"/>
  <c r="M80" i="17"/>
  <c r="M81" i="17" s="1"/>
  <c r="M82" i="17" s="1"/>
  <c r="DH80" i="17"/>
  <c r="DQ80" i="17"/>
  <c r="DQ81" i="17" s="1"/>
  <c r="DQ82" i="17" s="1"/>
  <c r="CY80" i="17"/>
  <c r="CY81" i="17" s="1"/>
  <c r="CY82" i="17" s="1"/>
  <c r="CP80" i="17"/>
  <c r="BF80" i="17"/>
  <c r="AN80" i="17"/>
  <c r="H79" i="12"/>
  <c r="K27" i="15"/>
  <c r="B27" i="15"/>
  <c r="G14" i="23"/>
  <c r="H14" i="23" s="1"/>
  <c r="I14" i="23" s="1"/>
  <c r="J14" i="23" s="1"/>
  <c r="K14" i="23" s="1"/>
  <c r="L14" i="23" s="1"/>
  <c r="M14" i="23" s="1"/>
  <c r="N14" i="23" s="1"/>
  <c r="O14" i="23" s="1"/>
  <c r="P14" i="23" s="1"/>
  <c r="F14" i="23"/>
  <c r="E34" i="8"/>
  <c r="E38" i="8" s="1"/>
  <c r="Q30" i="8"/>
  <c r="I24" i="8"/>
  <c r="J24" i="8" s="1"/>
  <c r="K24" i="8" s="1"/>
  <c r="L24" i="8" s="1"/>
  <c r="M24" i="8" s="1"/>
  <c r="N24" i="8" s="1"/>
  <c r="O24" i="8" s="1"/>
  <c r="P24" i="8" s="1"/>
  <c r="I27" i="8"/>
  <c r="J27" i="8" s="1"/>
  <c r="K27" i="8" s="1"/>
  <c r="L27" i="8" s="1"/>
  <c r="M27" i="8" s="1"/>
  <c r="N27" i="8" s="1"/>
  <c r="O27" i="8" s="1"/>
  <c r="P27" i="8" s="1"/>
  <c r="I20" i="8"/>
  <c r="J20" i="8" s="1"/>
  <c r="K20" i="8" s="1"/>
  <c r="L20" i="8" s="1"/>
  <c r="M20" i="8" s="1"/>
  <c r="N20" i="8" s="1"/>
  <c r="O20" i="8" s="1"/>
  <c r="P20" i="8" s="1"/>
  <c r="O15" i="8"/>
  <c r="P15" i="8" s="1"/>
  <c r="F15" i="8"/>
  <c r="G15" i="8" s="1"/>
  <c r="H15" i="8" s="1"/>
  <c r="I15" i="8" s="1"/>
  <c r="J15" i="8" s="1"/>
  <c r="K15" i="8" s="1"/>
  <c r="L15" i="8" s="1"/>
  <c r="M15" i="8" s="1"/>
  <c r="F16" i="8"/>
  <c r="G16" i="8" s="1"/>
  <c r="H16" i="8" s="1"/>
  <c r="I16" i="8" s="1"/>
  <c r="J16" i="8" s="1"/>
  <c r="K16" i="8" s="1"/>
  <c r="L16" i="8" s="1"/>
  <c r="M16" i="8" s="1"/>
  <c r="N16" i="8" s="1"/>
  <c r="O16" i="8" s="1"/>
  <c r="F17" i="8"/>
  <c r="G17" i="8" s="1"/>
  <c r="H17" i="8" s="1"/>
  <c r="F18" i="8"/>
  <c r="G18" i="8" s="1"/>
  <c r="I18" i="8" s="1"/>
  <c r="J18" i="8" s="1"/>
  <c r="K18" i="8" s="1"/>
  <c r="L18" i="8" s="1"/>
  <c r="M18" i="8" s="1"/>
  <c r="N18" i="8" s="1"/>
  <c r="O18" i="8" s="1"/>
  <c r="P18" i="8" s="1"/>
  <c r="F19" i="8"/>
  <c r="G19" i="8" s="1"/>
  <c r="F20" i="8"/>
  <c r="G20" i="8" s="1"/>
  <c r="F21" i="8"/>
  <c r="G21" i="8" s="1"/>
  <c r="H21" i="8" s="1"/>
  <c r="I21" i="8" s="1"/>
  <c r="J21" i="8" s="1"/>
  <c r="K21" i="8" s="1"/>
  <c r="M21" i="8" s="1"/>
  <c r="F22" i="8"/>
  <c r="G22" i="8" s="1"/>
  <c r="H22" i="8" s="1"/>
  <c r="I22" i="8" s="1"/>
  <c r="J22" i="8" s="1"/>
  <c r="K22" i="8" s="1"/>
  <c r="L22" i="8" s="1"/>
  <c r="M22" i="8" s="1"/>
  <c r="N22" i="8" s="1"/>
  <c r="P22" i="8" s="1"/>
  <c r="F23" i="8"/>
  <c r="G23" i="8" s="1"/>
  <c r="H23" i="8" s="1"/>
  <c r="I23" i="8" s="1"/>
  <c r="J23" i="8" s="1"/>
  <c r="L23" i="8" s="1"/>
  <c r="M23" i="8" s="1"/>
  <c r="N23" i="8" s="1"/>
  <c r="O23" i="8" s="1"/>
  <c r="P23" i="8" s="1"/>
  <c r="F24" i="8"/>
  <c r="G24" i="8" s="1"/>
  <c r="F26" i="8"/>
  <c r="G26" i="8" s="1"/>
  <c r="H26" i="8" s="1"/>
  <c r="I26" i="8" s="1"/>
  <c r="J26" i="8" s="1"/>
  <c r="K26" i="8" s="1"/>
  <c r="L26" i="8" s="1"/>
  <c r="M26" i="8" s="1"/>
  <c r="O26" i="8" s="1"/>
  <c r="P26" i="8" s="1"/>
  <c r="F27" i="8"/>
  <c r="G27" i="8" s="1"/>
  <c r="F28" i="8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F14" i="8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J17" i="8"/>
  <c r="K17" i="8" s="1"/>
  <c r="L17" i="8" s="1"/>
  <c r="M17" i="8" s="1"/>
  <c r="N17" i="8" s="1"/>
  <c r="O17" i="8" s="1"/>
  <c r="P17" i="8" s="1"/>
  <c r="Q33" i="23"/>
  <c r="G33" i="23"/>
  <c r="H33" i="23" s="1"/>
  <c r="I33" i="23" s="1"/>
  <c r="J33" i="23" s="1"/>
  <c r="K33" i="23" s="1"/>
  <c r="L33" i="23" s="1"/>
  <c r="M33" i="23" s="1"/>
  <c r="N33" i="23" s="1"/>
  <c r="O33" i="23" s="1"/>
  <c r="P33" i="23" s="1"/>
  <c r="F33" i="23"/>
  <c r="O109" i="9"/>
  <c r="D108" i="9"/>
  <c r="O110" i="9"/>
  <c r="S110" i="9" s="1"/>
  <c r="D124" i="9"/>
  <c r="E124" i="9" s="1"/>
  <c r="O121" i="9"/>
  <c r="O122" i="9"/>
  <c r="O123" i="9"/>
  <c r="S123" i="9" s="1"/>
  <c r="O130" i="9"/>
  <c r="S130" i="9" s="1"/>
  <c r="D120" i="9"/>
  <c r="E120" i="9" s="1"/>
  <c r="N118" i="9"/>
  <c r="O118" i="9" s="1"/>
  <c r="H19" i="8" l="1"/>
  <c r="I19" i="8" s="1"/>
  <c r="J19" i="8" s="1"/>
  <c r="K19" i="8" s="1"/>
  <c r="L19" i="8" s="1"/>
  <c r="M19" i="8" s="1"/>
  <c r="N19" i="8" s="1"/>
  <c r="O19" i="8" s="1"/>
  <c r="P19" i="8" s="1"/>
  <c r="AN81" i="17"/>
  <c r="BF81" i="17"/>
  <c r="CP81" i="17"/>
  <c r="CP82" i="17" s="1"/>
  <c r="DH81" i="17"/>
  <c r="D100" i="24"/>
  <c r="D105" i="24"/>
  <c r="D95" i="24"/>
  <c r="D90" i="24"/>
  <c r="G95" i="24" s="1"/>
  <c r="M27" i="15" s="1"/>
  <c r="N27" i="15" s="1"/>
  <c r="D85" i="24"/>
  <c r="D75" i="24"/>
  <c r="D80" i="24"/>
  <c r="N21" i="8"/>
  <c r="D65" i="24"/>
  <c r="D70" i="24"/>
  <c r="D55" i="24"/>
  <c r="D60" i="24"/>
  <c r="D35" i="24"/>
  <c r="D40" i="24"/>
  <c r="D15" i="24"/>
  <c r="D45" i="24"/>
  <c r="D20" i="24"/>
  <c r="D50" i="24"/>
  <c r="D25" i="24"/>
  <c r="D30" i="24"/>
  <c r="E108" i="9"/>
  <c r="F108" i="9" s="1"/>
  <c r="G108" i="9" s="1"/>
  <c r="H108" i="9" s="1"/>
  <c r="I108" i="9" s="1"/>
  <c r="J108" i="9" s="1"/>
  <c r="K108" i="9" s="1"/>
  <c r="L108" i="9" s="1"/>
  <c r="M108" i="9" s="1"/>
  <c r="N108" i="9" s="1"/>
  <c r="H80" i="12"/>
  <c r="F120" i="9"/>
  <c r="G120" i="9" s="1"/>
  <c r="H120" i="9" s="1"/>
  <c r="I120" i="9" s="1"/>
  <c r="J120" i="9" s="1"/>
  <c r="K120" i="9" s="1"/>
  <c r="L120" i="9" s="1"/>
  <c r="M120" i="9" s="1"/>
  <c r="N120" i="9" s="1"/>
  <c r="F124" i="9"/>
  <c r="G124" i="9" s="1"/>
  <c r="H124" i="9" s="1"/>
  <c r="I124" i="9" s="1"/>
  <c r="J124" i="9" s="1"/>
  <c r="K124" i="9" s="1"/>
  <c r="L124" i="9" s="1"/>
  <c r="M124" i="9" s="1"/>
  <c r="N124" i="9" s="1"/>
  <c r="D65" i="9"/>
  <c r="E65" i="9" s="1"/>
  <c r="F65" i="9" s="1"/>
  <c r="G65" i="9" s="1"/>
  <c r="H65" i="9" s="1"/>
  <c r="I65" i="9" s="1"/>
  <c r="J65" i="9" s="1"/>
  <c r="K65" i="9" s="1"/>
  <c r="L65" i="9" s="1"/>
  <c r="M65" i="9" s="1"/>
  <c r="N65" i="9" s="1"/>
  <c r="D51" i="9"/>
  <c r="E51" i="9" s="1"/>
  <c r="F51" i="9" s="1"/>
  <c r="G51" i="9" s="1"/>
  <c r="H51" i="9" s="1"/>
  <c r="I51" i="9" s="1"/>
  <c r="J51" i="9" s="1"/>
  <c r="K51" i="9" s="1"/>
  <c r="L51" i="9" s="1"/>
  <c r="M51" i="9" s="1"/>
  <c r="N51" i="9" s="1"/>
  <c r="C60" i="9"/>
  <c r="F60" i="9" s="1"/>
  <c r="I60" i="9" s="1"/>
  <c r="L60" i="9" s="1"/>
  <c r="D64" i="9"/>
  <c r="E64" i="9" s="1"/>
  <c r="F64" i="9" s="1"/>
  <c r="G64" i="9" s="1"/>
  <c r="H64" i="9" s="1"/>
  <c r="I64" i="9" s="1"/>
  <c r="J64" i="9" s="1"/>
  <c r="K64" i="9" s="1"/>
  <c r="L64" i="9" s="1"/>
  <c r="M64" i="9" s="1"/>
  <c r="N64" i="9" s="1"/>
  <c r="D42" i="9"/>
  <c r="E42" i="9" s="1"/>
  <c r="F42" i="9" s="1"/>
  <c r="G42" i="9" s="1"/>
  <c r="H42" i="9" s="1"/>
  <c r="I42" i="9" s="1"/>
  <c r="J42" i="9" s="1"/>
  <c r="K42" i="9" s="1"/>
  <c r="L42" i="9" s="1"/>
  <c r="M42" i="9" s="1"/>
  <c r="N42" i="9" s="1"/>
  <c r="D41" i="9"/>
  <c r="G41" i="9" s="1"/>
  <c r="J41" i="9" s="1"/>
  <c r="M41" i="9" s="1"/>
  <c r="D40" i="9"/>
  <c r="E40" i="9" s="1"/>
  <c r="F40" i="9" s="1"/>
  <c r="G40" i="9" s="1"/>
  <c r="H40" i="9" s="1"/>
  <c r="I40" i="9" s="1"/>
  <c r="J40" i="9" s="1"/>
  <c r="K40" i="9" s="1"/>
  <c r="L40" i="9" s="1"/>
  <c r="M40" i="9" s="1"/>
  <c r="N40" i="9" s="1"/>
  <c r="D38" i="9"/>
  <c r="D46" i="9"/>
  <c r="E46" i="9" s="1"/>
  <c r="F46" i="9" s="1"/>
  <c r="G46" i="9" s="1"/>
  <c r="H46" i="9" s="1"/>
  <c r="I46" i="9" s="1"/>
  <c r="J46" i="9" s="1"/>
  <c r="K46" i="9" s="1"/>
  <c r="L46" i="9" s="1"/>
  <c r="M46" i="9" s="1"/>
  <c r="N46" i="9" s="1"/>
  <c r="K29" i="15"/>
  <c r="K28" i="15"/>
  <c r="B29" i="15"/>
  <c r="B28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10" i="15"/>
  <c r="F37" i="23"/>
  <c r="G37" i="23"/>
  <c r="H37" i="23"/>
  <c r="I37" i="23"/>
  <c r="J37" i="23"/>
  <c r="K37" i="23"/>
  <c r="L37" i="23"/>
  <c r="M37" i="23"/>
  <c r="N37" i="23"/>
  <c r="O37" i="23"/>
  <c r="P37" i="23"/>
  <c r="E37" i="23"/>
  <c r="Q32" i="23"/>
  <c r="G32" i="23"/>
  <c r="H32" i="23"/>
  <c r="I32" i="23"/>
  <c r="J32" i="23"/>
  <c r="K32" i="23"/>
  <c r="L32" i="23"/>
  <c r="M32" i="23"/>
  <c r="N32" i="23"/>
  <c r="O32" i="23"/>
  <c r="P32" i="23"/>
  <c r="F32" i="23"/>
  <c r="Q26" i="23"/>
  <c r="Q27" i="23"/>
  <c r="Q28" i="23"/>
  <c r="Q29" i="23"/>
  <c r="Q30" i="23"/>
  <c r="Q31" i="23"/>
  <c r="G31" i="23"/>
  <c r="H31" i="23"/>
  <c r="I31" i="23"/>
  <c r="J31" i="23"/>
  <c r="K31" i="23"/>
  <c r="L31" i="23"/>
  <c r="M31" i="23"/>
  <c r="N31" i="23" s="1"/>
  <c r="O31" i="23" s="1"/>
  <c r="P31" i="23" s="1"/>
  <c r="F31" i="23"/>
  <c r="Q25" i="23"/>
  <c r="C29" i="23"/>
  <c r="B29" i="23"/>
  <c r="A29" i="23"/>
  <c r="C28" i="23"/>
  <c r="B28" i="23"/>
  <c r="A28" i="23"/>
  <c r="C27" i="23"/>
  <c r="B27" i="23"/>
  <c r="A27" i="23"/>
  <c r="C26" i="23"/>
  <c r="B26" i="23"/>
  <c r="A26" i="23"/>
  <c r="C25" i="23"/>
  <c r="B25" i="23"/>
  <c r="A25" i="23"/>
  <c r="Q24" i="23"/>
  <c r="C24" i="23"/>
  <c r="B24" i="23"/>
  <c r="A24" i="23"/>
  <c r="Q23" i="23"/>
  <c r="C23" i="23"/>
  <c r="B23" i="23"/>
  <c r="A23" i="23"/>
  <c r="Q22" i="23"/>
  <c r="C22" i="23"/>
  <c r="B22" i="23"/>
  <c r="A22" i="23"/>
  <c r="Q21" i="23"/>
  <c r="C21" i="23"/>
  <c r="B21" i="23"/>
  <c r="A21" i="23"/>
  <c r="Q20" i="23"/>
  <c r="C20" i="23"/>
  <c r="B20" i="23"/>
  <c r="A20" i="23"/>
  <c r="C19" i="23"/>
  <c r="B19" i="23"/>
  <c r="A19" i="23"/>
  <c r="Q18" i="23"/>
  <c r="C18" i="23"/>
  <c r="B18" i="23"/>
  <c r="A18" i="23"/>
  <c r="Q17" i="23"/>
  <c r="C17" i="23"/>
  <c r="B17" i="23"/>
  <c r="A17" i="23"/>
  <c r="Q16" i="23"/>
  <c r="C16" i="23"/>
  <c r="B16" i="23"/>
  <c r="A16" i="23"/>
  <c r="C15" i="23"/>
  <c r="B15" i="23"/>
  <c r="A15" i="23"/>
  <c r="Q14" i="23"/>
  <c r="C14" i="23"/>
  <c r="B14" i="23"/>
  <c r="A14" i="23"/>
  <c r="A6" i="23"/>
  <c r="A5" i="23"/>
  <c r="A4" i="23"/>
  <c r="A3" i="23"/>
  <c r="A2" i="23"/>
  <c r="R1" i="23"/>
  <c r="P1" i="23"/>
  <c r="C14" i="19"/>
  <c r="C14" i="4"/>
  <c r="C14" i="16"/>
  <c r="C15" i="16"/>
  <c r="C14" i="2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E11" i="15"/>
  <c r="E12" i="15"/>
  <c r="E13" i="15"/>
  <c r="E15" i="15"/>
  <c r="E16" i="15"/>
  <c r="E17" i="15"/>
  <c r="E18" i="15"/>
  <c r="E19" i="15"/>
  <c r="E20" i="15"/>
  <c r="E21" i="15"/>
  <c r="E22" i="15"/>
  <c r="E23" i="15"/>
  <c r="E24" i="15"/>
  <c r="E25" i="15"/>
  <c r="EE12" i="17"/>
  <c r="DZ8" i="17"/>
  <c r="DZ7" i="17"/>
  <c r="DZ6" i="17"/>
  <c r="EA63" i="17"/>
  <c r="DX4" i="17"/>
  <c r="DX3" i="17"/>
  <c r="DX2" i="17"/>
  <c r="EF1" i="17"/>
  <c r="DV12" i="17"/>
  <c r="DM12" i="17"/>
  <c r="DD12" i="17"/>
  <c r="CU12" i="17"/>
  <c r="CL12" i="17"/>
  <c r="CC12" i="17"/>
  <c r="BT12" i="17"/>
  <c r="BK12" i="17"/>
  <c r="BB12" i="17"/>
  <c r="AS12" i="17"/>
  <c r="AJ12" i="17"/>
  <c r="AA12" i="17"/>
  <c r="R12" i="17"/>
  <c r="H12" i="17"/>
  <c r="M12" i="12"/>
  <c r="O71" i="9"/>
  <c r="O72" i="9"/>
  <c r="O73" i="9"/>
  <c r="O70" i="9"/>
  <c r="F34" i="8"/>
  <c r="F38" i="8" s="1"/>
  <c r="C34" i="8"/>
  <c r="D29" i="8"/>
  <c r="R26" i="23" l="1"/>
  <c r="R27" i="23"/>
  <c r="D22" i="12"/>
  <c r="D36" i="12"/>
  <c r="T26" i="9"/>
  <c r="T25" i="9"/>
  <c r="T20" i="9"/>
  <c r="T15" i="9"/>
  <c r="C38" i="8"/>
  <c r="D16" i="12"/>
  <c r="D17" i="12"/>
  <c r="D18" i="12"/>
  <c r="D19" i="12"/>
  <c r="D20" i="12"/>
  <c r="D21" i="12"/>
  <c r="D33" i="12"/>
  <c r="D34" i="12"/>
  <c r="D35" i="12"/>
  <c r="D15" i="12"/>
  <c r="EC36" i="17"/>
  <c r="ED36" i="17" s="1"/>
  <c r="R20" i="23"/>
  <c r="R25" i="23"/>
  <c r="D55" i="9"/>
  <c r="BF82" i="17"/>
  <c r="AN82" i="17"/>
  <c r="DH82" i="17"/>
  <c r="EC18" i="17"/>
  <c r="K31" i="15"/>
  <c r="K34" i="15" s="1"/>
  <c r="H22" i="9"/>
  <c r="J45" i="23" s="1"/>
  <c r="F22" i="9"/>
  <c r="H45" i="23"/>
  <c r="P104" i="24"/>
  <c r="Q104" i="24" s="1"/>
  <c r="M22" i="9"/>
  <c r="O45" i="23"/>
  <c r="K22" i="9"/>
  <c r="M45" i="23" s="1"/>
  <c r="J22" i="9"/>
  <c r="L45" i="23"/>
  <c r="L22" i="9"/>
  <c r="N45" i="23" s="1"/>
  <c r="I22" i="9"/>
  <c r="K45" i="23"/>
  <c r="G22" i="9"/>
  <c r="I45" i="23" s="1"/>
  <c r="E22" i="9"/>
  <c r="G45" i="23" s="1"/>
  <c r="N22" i="9"/>
  <c r="P45" i="23" s="1"/>
  <c r="D22" i="9"/>
  <c r="F45" i="23"/>
  <c r="C22" i="9"/>
  <c r="E45" i="23" s="1"/>
  <c r="R24" i="23"/>
  <c r="R17" i="23"/>
  <c r="R22" i="23"/>
  <c r="R21" i="23"/>
  <c r="R18" i="23"/>
  <c r="R28" i="23"/>
  <c r="O120" i="9"/>
  <c r="O108" i="9"/>
  <c r="J105" i="24"/>
  <c r="J106" i="24" s="1"/>
  <c r="E105" i="24"/>
  <c r="L29" i="15" s="1"/>
  <c r="M29" i="15" s="1"/>
  <c r="H105" i="24"/>
  <c r="H106" i="24" s="1"/>
  <c r="O105" i="24"/>
  <c r="O106" i="24" s="1"/>
  <c r="F105" i="24"/>
  <c r="F106" i="24" s="1"/>
  <c r="I105" i="24"/>
  <c r="I106" i="24" s="1"/>
  <c r="G105" i="24"/>
  <c r="G106" i="24" s="1"/>
  <c r="M105" i="24"/>
  <c r="M106" i="24" s="1"/>
  <c r="N105" i="24"/>
  <c r="N106" i="24" s="1"/>
  <c r="L105" i="24"/>
  <c r="L106" i="24" s="1"/>
  <c r="K105" i="24"/>
  <c r="K106" i="24" s="1"/>
  <c r="E100" i="24"/>
  <c r="M28" i="15" s="1"/>
  <c r="K100" i="24"/>
  <c r="K101" i="24" s="1"/>
  <c r="P100" i="24"/>
  <c r="P101" i="24" s="1"/>
  <c r="J100" i="24"/>
  <c r="J101" i="24" s="1"/>
  <c r="O100" i="24"/>
  <c r="O101" i="24" s="1"/>
  <c r="F100" i="24"/>
  <c r="F101" i="24" s="1"/>
  <c r="L100" i="24"/>
  <c r="L101" i="24" s="1"/>
  <c r="H100" i="24"/>
  <c r="H101" i="24" s="1"/>
  <c r="G100" i="24"/>
  <c r="G101" i="24" s="1"/>
  <c r="N100" i="24"/>
  <c r="N101" i="24" s="1"/>
  <c r="M100" i="24"/>
  <c r="M101" i="24" s="1"/>
  <c r="I100" i="24"/>
  <c r="I101" i="24" s="1"/>
  <c r="N95" i="24"/>
  <c r="N96" i="24" s="1"/>
  <c r="H95" i="24"/>
  <c r="H96" i="24" s="1"/>
  <c r="G96" i="24"/>
  <c r="M95" i="24"/>
  <c r="M96" i="24" s="1"/>
  <c r="L95" i="24"/>
  <c r="L96" i="24" s="1"/>
  <c r="E95" i="24"/>
  <c r="F95" i="24"/>
  <c r="F96" i="24" s="1"/>
  <c r="I95" i="24"/>
  <c r="I96" i="24" s="1"/>
  <c r="O95" i="24"/>
  <c r="O96" i="24" s="1"/>
  <c r="K95" i="24"/>
  <c r="K96" i="24" s="1"/>
  <c r="J95" i="24"/>
  <c r="J96" i="24" s="1"/>
  <c r="P95" i="24"/>
  <c r="P96" i="24" s="1"/>
  <c r="O21" i="8"/>
  <c r="H81" i="12"/>
  <c r="EC17" i="17"/>
  <c r="EC22" i="17"/>
  <c r="EC15" i="17"/>
  <c r="EC16" i="17"/>
  <c r="EC35" i="17"/>
  <c r="EC21" i="17"/>
  <c r="EC34" i="17"/>
  <c r="EC20" i="17"/>
  <c r="EC33" i="17"/>
  <c r="EC19" i="17"/>
  <c r="O34" i="8"/>
  <c r="O38" i="8" s="1"/>
  <c r="N34" i="8"/>
  <c r="N38" i="8" s="1"/>
  <c r="M34" i="8"/>
  <c r="M38" i="8" s="1"/>
  <c r="L34" i="8"/>
  <c r="L38" i="8" s="1"/>
  <c r="G34" i="8"/>
  <c r="G38" i="8" s="1"/>
  <c r="K34" i="8"/>
  <c r="K38" i="8" s="1"/>
  <c r="J34" i="8"/>
  <c r="J38" i="8" s="1"/>
  <c r="I34" i="8"/>
  <c r="I38" i="8" s="1"/>
  <c r="H34" i="8"/>
  <c r="H38" i="8" s="1"/>
  <c r="D32" i="12"/>
  <c r="EC32" i="17" s="1"/>
  <c r="D31" i="12"/>
  <c r="EC31" i="17" s="1"/>
  <c r="D53" i="12"/>
  <c r="EC53" i="17" s="1"/>
  <c r="D30" i="12"/>
  <c r="EC30" i="17" s="1"/>
  <c r="D54" i="12"/>
  <c r="EC54" i="17" s="1"/>
  <c r="D29" i="12"/>
  <c r="EC29" i="17" s="1"/>
  <c r="D55" i="12"/>
  <c r="EC55" i="17" s="1"/>
  <c r="D28" i="12"/>
  <c r="EC28" i="17" s="1"/>
  <c r="D56" i="12"/>
  <c r="EC56" i="17" s="1"/>
  <c r="D27" i="12"/>
  <c r="EC27" i="17" s="1"/>
  <c r="D61" i="12"/>
  <c r="EC61" i="17" s="1"/>
  <c r="D26" i="12"/>
  <c r="EC26" i="17" s="1"/>
  <c r="D25" i="12"/>
  <c r="EC25" i="17" s="1"/>
  <c r="D24" i="12"/>
  <c r="EC24" i="17" s="1"/>
  <c r="D23" i="12"/>
  <c r="EC23" i="17" s="1"/>
  <c r="O124" i="9"/>
  <c r="S124" i="9" s="1"/>
  <c r="D119" i="9"/>
  <c r="Q15" i="23"/>
  <c r="R15" i="23" s="1"/>
  <c r="C37" i="23"/>
  <c r="EC38" i="17" l="1"/>
  <c r="EE36" i="17"/>
  <c r="EF36" i="17"/>
  <c r="D42" i="12"/>
  <c r="EC42" i="17" s="1"/>
  <c r="D43" i="12"/>
  <c r="EC43" i="17" s="1"/>
  <c r="D44" i="12"/>
  <c r="EC44" i="17" s="1"/>
  <c r="D45" i="12"/>
  <c r="EC45" i="17" s="1"/>
  <c r="D46" i="12"/>
  <c r="EC46" i="17" s="1"/>
  <c r="D47" i="12"/>
  <c r="EC47" i="17" s="1"/>
  <c r="D48" i="12"/>
  <c r="EC48" i="17" s="1"/>
  <c r="D41" i="12"/>
  <c r="EC41" i="17" s="1"/>
  <c r="E55" i="9"/>
  <c r="P105" i="24"/>
  <c r="P106" i="24" s="1"/>
  <c r="E106" i="24"/>
  <c r="E101" i="24"/>
  <c r="Q101" i="24" s="1"/>
  <c r="Q100" i="24"/>
  <c r="E96" i="24"/>
  <c r="Q96" i="24" s="1"/>
  <c r="Q95" i="24"/>
  <c r="P21" i="8"/>
  <c r="F119" i="9"/>
  <c r="G119" i="9" s="1"/>
  <c r="H119" i="9" s="1"/>
  <c r="I119" i="9" s="1"/>
  <c r="J119" i="9" s="1"/>
  <c r="M119" i="9" s="1"/>
  <c r="N119" i="9" s="1"/>
  <c r="E119" i="9"/>
  <c r="D28" i="23"/>
  <c r="D24" i="23"/>
  <c r="D18" i="23"/>
  <c r="D20" i="23"/>
  <c r="D22" i="23"/>
  <c r="D25" i="23"/>
  <c r="D17" i="23"/>
  <c r="D23" i="23"/>
  <c r="D15" i="23"/>
  <c r="D21" i="23"/>
  <c r="D19" i="23"/>
  <c r="D26" i="23"/>
  <c r="D29" i="23"/>
  <c r="D16" i="23"/>
  <c r="D27" i="23"/>
  <c r="D14" i="23"/>
  <c r="EE58" i="17"/>
  <c r="CL63" i="17"/>
  <c r="CC63" i="17"/>
  <c r="AS63" i="17"/>
  <c r="Q105" i="24" l="1"/>
  <c r="Q106" i="24"/>
  <c r="F55" i="9"/>
  <c r="P34" i="8"/>
  <c r="P38" i="8" s="1"/>
  <c r="O119" i="9"/>
  <c r="D37" i="23"/>
  <c r="EE63" i="17"/>
  <c r="AS58" i="17"/>
  <c r="G55" i="9" l="1"/>
  <c r="H55" i="9" l="1"/>
  <c r="O99" i="9"/>
  <c r="S99" i="9" s="1"/>
  <c r="I55" i="9" l="1"/>
  <c r="A23" i="1"/>
  <c r="B23" i="1"/>
  <c r="C23" i="1"/>
  <c r="K23" i="1" s="1"/>
  <c r="A16" i="1"/>
  <c r="B16" i="1"/>
  <c r="C16" i="1"/>
  <c r="F16" i="1" s="1"/>
  <c r="O31" i="9"/>
  <c r="O58" i="9"/>
  <c r="C67" i="9"/>
  <c r="S58" i="9" l="1"/>
  <c r="R58" i="9"/>
  <c r="S31" i="9"/>
  <c r="J55" i="9"/>
  <c r="Q19" i="23"/>
  <c r="Q37" i="23" s="1"/>
  <c r="J23" i="1"/>
  <c r="I23" i="1"/>
  <c r="H23" i="1"/>
  <c r="G23" i="1"/>
  <c r="F23" i="1"/>
  <c r="E23" i="1"/>
  <c r="D16" i="1"/>
  <c r="O16" i="1"/>
  <c r="N16" i="1"/>
  <c r="M16" i="1"/>
  <c r="L16" i="1"/>
  <c r="K16" i="1"/>
  <c r="H16" i="1"/>
  <c r="E16" i="1"/>
  <c r="N23" i="1"/>
  <c r="O23" i="1"/>
  <c r="J16" i="1"/>
  <c r="I16" i="1"/>
  <c r="G16" i="1"/>
  <c r="L23" i="1"/>
  <c r="D23" i="1"/>
  <c r="M23" i="1"/>
  <c r="D28" i="8"/>
  <c r="D26" i="8"/>
  <c r="D23" i="9"/>
  <c r="E23" i="9"/>
  <c r="F23" i="9"/>
  <c r="G23" i="9"/>
  <c r="H23" i="9"/>
  <c r="I23" i="9"/>
  <c r="J23" i="9"/>
  <c r="K23" i="9"/>
  <c r="L23" i="9"/>
  <c r="M23" i="9"/>
  <c r="N23" i="9"/>
  <c r="C23" i="9"/>
  <c r="C35" i="7"/>
  <c r="O35" i="7"/>
  <c r="N35" i="7"/>
  <c r="M35" i="7"/>
  <c r="L35" i="7"/>
  <c r="K35" i="7"/>
  <c r="J35" i="7"/>
  <c r="I35" i="7"/>
  <c r="H35" i="7"/>
  <c r="G35" i="7"/>
  <c r="F35" i="7"/>
  <c r="E35" i="7"/>
  <c r="D35" i="7"/>
  <c r="P30" i="7"/>
  <c r="P35" i="7"/>
  <c r="O47" i="9"/>
  <c r="U1" i="14"/>
  <c r="S1" i="14"/>
  <c r="A6" i="14"/>
  <c r="A5" i="14"/>
  <c r="A4" i="14"/>
  <c r="A3" i="14"/>
  <c r="A3" i="1"/>
  <c r="A2" i="14"/>
  <c r="A2" i="15"/>
  <c r="M7" i="14"/>
  <c r="F7" i="14"/>
  <c r="S1" i="15"/>
  <c r="CH50" i="17"/>
  <c r="BY50" i="17"/>
  <c r="AF63" i="17"/>
  <c r="W63" i="17"/>
  <c r="N63" i="17"/>
  <c r="D63" i="17"/>
  <c r="A17" i="12"/>
  <c r="A16" i="17"/>
  <c r="A15" i="17"/>
  <c r="A15" i="12"/>
  <c r="DX15" i="17" s="1"/>
  <c r="I63" i="12"/>
  <c r="M1" i="12"/>
  <c r="B16" i="12"/>
  <c r="H1" i="17"/>
  <c r="A17" i="1"/>
  <c r="Q1" i="1"/>
  <c r="O1" i="1"/>
  <c r="R1" i="19"/>
  <c r="P1" i="19"/>
  <c r="R1" i="6"/>
  <c r="P1" i="6"/>
  <c r="C16" i="4"/>
  <c r="C18" i="4"/>
  <c r="C19" i="4"/>
  <c r="C20" i="4"/>
  <c r="C21" i="4"/>
  <c r="C22" i="4"/>
  <c r="C23" i="4"/>
  <c r="C24" i="4"/>
  <c r="C25" i="4"/>
  <c r="C26" i="4"/>
  <c r="C27" i="4"/>
  <c r="C28" i="4"/>
  <c r="C29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R1" i="4"/>
  <c r="P1" i="4"/>
  <c r="C16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R1" i="16"/>
  <c r="P1" i="16"/>
  <c r="C23" i="2"/>
  <c r="T23" i="2" s="1"/>
  <c r="C24" i="2"/>
  <c r="C25" i="2"/>
  <c r="C26" i="2"/>
  <c r="C27" i="2"/>
  <c r="C28" i="2"/>
  <c r="T28" i="2" s="1"/>
  <c r="C29" i="2"/>
  <c r="C16" i="2"/>
  <c r="C18" i="2"/>
  <c r="C19" i="2"/>
  <c r="T19" i="2" s="1"/>
  <c r="C20" i="2"/>
  <c r="C21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V1" i="2"/>
  <c r="P1" i="2"/>
  <c r="E19" i="7"/>
  <c r="F19" i="7"/>
  <c r="G19" i="7"/>
  <c r="H19" i="7"/>
  <c r="I19" i="7"/>
  <c r="J19" i="7"/>
  <c r="K19" i="7"/>
  <c r="L19" i="7"/>
  <c r="M19" i="7"/>
  <c r="N19" i="7"/>
  <c r="O19" i="7"/>
  <c r="D19" i="7"/>
  <c r="P14" i="7"/>
  <c r="Q1" i="7"/>
  <c r="O1" i="7"/>
  <c r="Q16" i="8"/>
  <c r="Q23" i="8"/>
  <c r="Q15" i="8"/>
  <c r="P19" i="7"/>
  <c r="Q14" i="8"/>
  <c r="R1" i="8"/>
  <c r="P1" i="8"/>
  <c r="C80" i="9"/>
  <c r="D80" i="9"/>
  <c r="E80" i="9"/>
  <c r="F80" i="9"/>
  <c r="G80" i="9"/>
  <c r="H80" i="9"/>
  <c r="I80" i="9"/>
  <c r="J80" i="9"/>
  <c r="K80" i="9"/>
  <c r="L80" i="9"/>
  <c r="C75" i="9"/>
  <c r="D112" i="9"/>
  <c r="E112" i="9"/>
  <c r="F112" i="9"/>
  <c r="G112" i="9"/>
  <c r="H112" i="9"/>
  <c r="I112" i="9"/>
  <c r="J112" i="9"/>
  <c r="K112" i="9"/>
  <c r="L112" i="9"/>
  <c r="M112" i="9"/>
  <c r="N112" i="9"/>
  <c r="C112" i="9"/>
  <c r="P103" i="9"/>
  <c r="P80" i="9"/>
  <c r="P75" i="9"/>
  <c r="P84" i="9" s="1"/>
  <c r="J75" i="9"/>
  <c r="K75" i="9"/>
  <c r="L75" i="9"/>
  <c r="M75" i="9"/>
  <c r="N75" i="9"/>
  <c r="D75" i="9"/>
  <c r="E75" i="9"/>
  <c r="F75" i="9"/>
  <c r="G75" i="9"/>
  <c r="H75" i="9"/>
  <c r="I75" i="9"/>
  <c r="C41" i="12"/>
  <c r="DZ41" i="17" s="1"/>
  <c r="EB41" i="17" s="1"/>
  <c r="ED41" i="17" s="1"/>
  <c r="U4" i="9"/>
  <c r="B17" i="12"/>
  <c r="B18" i="12"/>
  <c r="B19" i="12"/>
  <c r="DY19" i="17" s="1"/>
  <c r="B20" i="12"/>
  <c r="B21" i="12"/>
  <c r="DY21" i="17" s="1"/>
  <c r="B22" i="12"/>
  <c r="B23" i="12"/>
  <c r="B24" i="12"/>
  <c r="B25" i="12"/>
  <c r="B26" i="12"/>
  <c r="B27" i="12"/>
  <c r="B28" i="12"/>
  <c r="BE28" i="17" s="1"/>
  <c r="B29" i="12"/>
  <c r="B30" i="12"/>
  <c r="B31" i="12"/>
  <c r="B32" i="12"/>
  <c r="B33" i="12"/>
  <c r="B34" i="12"/>
  <c r="B35" i="12"/>
  <c r="A16" i="12"/>
  <c r="A18" i="12"/>
  <c r="A19" i="12"/>
  <c r="A20" i="12"/>
  <c r="DX20" i="17" s="1"/>
  <c r="A21" i="12"/>
  <c r="A22" i="12"/>
  <c r="A23" i="12"/>
  <c r="DX23" i="17" s="1"/>
  <c r="A24" i="12"/>
  <c r="DX24" i="17" s="1"/>
  <c r="A25" i="12"/>
  <c r="A26" i="12"/>
  <c r="A27" i="12"/>
  <c r="AL27" i="17" s="1"/>
  <c r="A28" i="12"/>
  <c r="A29" i="12"/>
  <c r="DX29" i="17" s="1"/>
  <c r="A30" i="12"/>
  <c r="AU30" i="17" s="1"/>
  <c r="A31" i="12"/>
  <c r="A32" i="12"/>
  <c r="A33" i="12"/>
  <c r="A34" i="12"/>
  <c r="K34" i="17" s="1"/>
  <c r="A35" i="12"/>
  <c r="A6" i="8"/>
  <c r="A6" i="24" s="1"/>
  <c r="O32" i="9"/>
  <c r="M80" i="9"/>
  <c r="O49" i="9"/>
  <c r="S49" i="9" s="1"/>
  <c r="B52" i="14"/>
  <c r="S70" i="9"/>
  <c r="A16" i="19"/>
  <c r="B16" i="19"/>
  <c r="C16" i="19"/>
  <c r="A17" i="19"/>
  <c r="B17" i="19"/>
  <c r="A18" i="19"/>
  <c r="B18" i="19"/>
  <c r="C18" i="19"/>
  <c r="A19" i="19"/>
  <c r="B19" i="19"/>
  <c r="C19" i="19"/>
  <c r="A20" i="19"/>
  <c r="B20" i="19"/>
  <c r="C20" i="19"/>
  <c r="A21" i="19"/>
  <c r="B21" i="19"/>
  <c r="C21" i="19"/>
  <c r="A22" i="19"/>
  <c r="B22" i="19"/>
  <c r="C22" i="19"/>
  <c r="A23" i="19"/>
  <c r="B23" i="19"/>
  <c r="C23" i="19"/>
  <c r="A24" i="19"/>
  <c r="B24" i="19"/>
  <c r="C24" i="19"/>
  <c r="A25" i="19"/>
  <c r="B25" i="19"/>
  <c r="C25" i="19"/>
  <c r="A26" i="19"/>
  <c r="B26" i="19"/>
  <c r="C26" i="19"/>
  <c r="A27" i="19"/>
  <c r="B27" i="19"/>
  <c r="C27" i="19"/>
  <c r="A28" i="19"/>
  <c r="B28" i="19"/>
  <c r="C28" i="19"/>
  <c r="A29" i="19"/>
  <c r="B29" i="19"/>
  <c r="C29" i="19"/>
  <c r="BX8" i="17"/>
  <c r="CA36" i="17" s="1"/>
  <c r="CB36" i="17" s="1"/>
  <c r="BX7" i="17"/>
  <c r="BX6" i="17"/>
  <c r="BY63" i="17"/>
  <c r="BV4" i="17"/>
  <c r="BV3" i="17"/>
  <c r="BV2" i="17"/>
  <c r="CD1" i="17"/>
  <c r="M8" i="17"/>
  <c r="P36" i="17" s="1"/>
  <c r="Q36" i="17" s="1"/>
  <c r="F32" i="14" s="1"/>
  <c r="M7" i="17"/>
  <c r="M6" i="17"/>
  <c r="K4" i="17"/>
  <c r="K3" i="17"/>
  <c r="K2" i="17"/>
  <c r="S1" i="17"/>
  <c r="A16" i="6"/>
  <c r="B16" i="6"/>
  <c r="C16" i="6"/>
  <c r="A17" i="6"/>
  <c r="B17" i="6"/>
  <c r="A18" i="6"/>
  <c r="B18" i="6"/>
  <c r="C18" i="6"/>
  <c r="A19" i="6"/>
  <c r="B19" i="6"/>
  <c r="C19" i="6"/>
  <c r="A20" i="6"/>
  <c r="B20" i="6"/>
  <c r="C20" i="6"/>
  <c r="A21" i="6"/>
  <c r="B21" i="6"/>
  <c r="C21" i="6"/>
  <c r="A22" i="6"/>
  <c r="B22" i="6"/>
  <c r="C22" i="6"/>
  <c r="A23" i="6"/>
  <c r="B23" i="6"/>
  <c r="C23" i="6"/>
  <c r="A24" i="6"/>
  <c r="B24" i="6"/>
  <c r="C24" i="6"/>
  <c r="A25" i="6"/>
  <c r="B25" i="6"/>
  <c r="C25" i="6"/>
  <c r="A26" i="6"/>
  <c r="B26" i="6"/>
  <c r="C26" i="6"/>
  <c r="A27" i="6"/>
  <c r="B27" i="6"/>
  <c r="C27" i="6"/>
  <c r="A28" i="6"/>
  <c r="B28" i="6"/>
  <c r="C28" i="6"/>
  <c r="A29" i="6"/>
  <c r="B29" i="6"/>
  <c r="C29" i="6"/>
  <c r="C15" i="19"/>
  <c r="B15" i="19"/>
  <c r="A15" i="19"/>
  <c r="B14" i="19"/>
  <c r="A14" i="19"/>
  <c r="A6" i="19"/>
  <c r="A5" i="19"/>
  <c r="A4" i="19"/>
  <c r="A3" i="19"/>
  <c r="A2" i="19"/>
  <c r="B24" i="16"/>
  <c r="B23" i="16"/>
  <c r="B16" i="16"/>
  <c r="C17" i="6"/>
  <c r="S119" i="9"/>
  <c r="S120" i="9"/>
  <c r="S121" i="9"/>
  <c r="A37" i="14"/>
  <c r="A47" i="14"/>
  <c r="A39" i="14"/>
  <c r="A40" i="14"/>
  <c r="A41" i="14"/>
  <c r="A42" i="14"/>
  <c r="A43" i="14"/>
  <c r="A44" i="14"/>
  <c r="A45" i="14"/>
  <c r="A38" i="14"/>
  <c r="A49" i="14"/>
  <c r="O45" i="9"/>
  <c r="S45" i="9" s="1"/>
  <c r="DQ8" i="17"/>
  <c r="DT36" i="17" s="1"/>
  <c r="DU36" i="17" s="1"/>
  <c r="R32" i="14" s="1"/>
  <c r="DQ7" i="17"/>
  <c r="DQ6" i="17"/>
  <c r="DR63" i="17"/>
  <c r="DO4" i="17"/>
  <c r="DO3" i="17"/>
  <c r="DO2" i="17"/>
  <c r="DW1" i="17"/>
  <c r="DH8" i="17"/>
  <c r="DH7" i="17"/>
  <c r="DH6" i="17"/>
  <c r="DI63" i="17"/>
  <c r="DF4" i="17"/>
  <c r="DF3" i="17"/>
  <c r="DF2" i="17"/>
  <c r="DN1" i="17"/>
  <c r="CY8" i="17"/>
  <c r="DB36" i="17" s="1"/>
  <c r="DC36" i="17" s="1"/>
  <c r="P32" i="14" s="1"/>
  <c r="CY7" i="17"/>
  <c r="CY6" i="17"/>
  <c r="CZ63" i="17"/>
  <c r="CW4" i="17"/>
  <c r="CW3" i="17"/>
  <c r="CW2" i="17"/>
  <c r="DE1" i="17"/>
  <c r="CP8" i="17"/>
  <c r="CS36" i="17" s="1"/>
  <c r="CT36" i="17" s="1"/>
  <c r="CP7" i="17"/>
  <c r="CP6" i="17"/>
  <c r="CQ63" i="17"/>
  <c r="CN4" i="17"/>
  <c r="CN3" i="17"/>
  <c r="CN2" i="17"/>
  <c r="CV1" i="17"/>
  <c r="CG8" i="17"/>
  <c r="CJ36" i="17" s="1"/>
  <c r="CK36" i="17" s="1"/>
  <c r="CG7" i="17"/>
  <c r="CG6" i="17"/>
  <c r="CH63" i="17"/>
  <c r="CE4" i="17"/>
  <c r="CE3" i="17"/>
  <c r="CE2" i="17"/>
  <c r="CM1" i="17"/>
  <c r="BO8" i="17"/>
  <c r="BR36" i="17" s="1"/>
  <c r="BS36" i="17" s="1"/>
  <c r="L32" i="14" s="1"/>
  <c r="BO7" i="17"/>
  <c r="BO6" i="17"/>
  <c r="BP63" i="17"/>
  <c r="BM4" i="17"/>
  <c r="BM3" i="17"/>
  <c r="BM2" i="17"/>
  <c r="BU1" i="17"/>
  <c r="BF8" i="17"/>
  <c r="BI36" i="17" s="1"/>
  <c r="BJ36" i="17" s="1"/>
  <c r="K32" i="14" s="1"/>
  <c r="BF7" i="17"/>
  <c r="BF6" i="17"/>
  <c r="BG63" i="17"/>
  <c r="BD4" i="17"/>
  <c r="BD3" i="17"/>
  <c r="BD2" i="17"/>
  <c r="BL1" i="17"/>
  <c r="AW8" i="17"/>
  <c r="AZ36" i="17" s="1"/>
  <c r="BA36" i="17" s="1"/>
  <c r="J32" i="14" s="1"/>
  <c r="AW7" i="17"/>
  <c r="AW6" i="17"/>
  <c r="AX63" i="17"/>
  <c r="AU4" i="17"/>
  <c r="AU3" i="17"/>
  <c r="AU2" i="17"/>
  <c r="BC1" i="17"/>
  <c r="AN8" i="17"/>
  <c r="AQ36" i="17" s="1"/>
  <c r="AR36" i="17" s="1"/>
  <c r="AN7" i="17"/>
  <c r="AN6" i="17"/>
  <c r="AO63" i="17"/>
  <c r="AL4" i="17"/>
  <c r="AL3" i="17"/>
  <c r="AL2" i="17"/>
  <c r="AT1" i="17"/>
  <c r="AE8" i="17"/>
  <c r="AH36" i="17" s="1"/>
  <c r="AI36" i="17" s="1"/>
  <c r="H32" i="14" s="1"/>
  <c r="AE7" i="17"/>
  <c r="AE6" i="17"/>
  <c r="AC4" i="17"/>
  <c r="AC3" i="17"/>
  <c r="AC2" i="17"/>
  <c r="AK1" i="17"/>
  <c r="V7" i="17"/>
  <c r="V6" i="17"/>
  <c r="T4" i="17"/>
  <c r="T3" i="17"/>
  <c r="T2" i="17"/>
  <c r="AB1" i="17"/>
  <c r="C8" i="17"/>
  <c r="F36" i="17" s="1"/>
  <c r="G36" i="17" s="1"/>
  <c r="E32" i="14" s="1"/>
  <c r="C7" i="17"/>
  <c r="C6" i="17"/>
  <c r="A4" i="17"/>
  <c r="A3" i="17"/>
  <c r="A2" i="17"/>
  <c r="F4" i="12"/>
  <c r="F3" i="12"/>
  <c r="F2" i="12"/>
  <c r="A41" i="12"/>
  <c r="A42" i="12"/>
  <c r="DX42" i="17" s="1"/>
  <c r="A43" i="12"/>
  <c r="DX43" i="17" s="1"/>
  <c r="A44" i="12"/>
  <c r="DX44" i="17" s="1"/>
  <c r="A45" i="12"/>
  <c r="DX45" i="17" s="1"/>
  <c r="A46" i="12"/>
  <c r="A47" i="12"/>
  <c r="A48" i="12"/>
  <c r="A53" i="12"/>
  <c r="A54" i="12"/>
  <c r="A55" i="12"/>
  <c r="DX55" i="17" s="1"/>
  <c r="A56" i="12"/>
  <c r="A61" i="12"/>
  <c r="H8" i="12"/>
  <c r="K36" i="12" s="1"/>
  <c r="L36" i="12" s="1"/>
  <c r="D32" i="14" s="1"/>
  <c r="B53" i="12"/>
  <c r="B54" i="12"/>
  <c r="B55" i="12"/>
  <c r="B56" i="12"/>
  <c r="B58" i="12"/>
  <c r="B60" i="12"/>
  <c r="B61" i="12"/>
  <c r="B63" i="12"/>
  <c r="B65" i="12"/>
  <c r="B52" i="12"/>
  <c r="B41" i="12"/>
  <c r="B42" i="12"/>
  <c r="DY42" i="17" s="1"/>
  <c r="B43" i="12"/>
  <c r="DY43" i="17" s="1"/>
  <c r="B44" i="12"/>
  <c r="B45" i="12"/>
  <c r="B46" i="12"/>
  <c r="B47" i="12"/>
  <c r="DY47" i="17" s="1"/>
  <c r="B48" i="12"/>
  <c r="B50" i="12"/>
  <c r="B40" i="12"/>
  <c r="B15" i="12"/>
  <c r="DY15" i="17" s="1"/>
  <c r="B38" i="12"/>
  <c r="B14" i="12"/>
  <c r="DY14" i="17" s="1"/>
  <c r="O36" i="9"/>
  <c r="S36" i="9" s="1"/>
  <c r="C54" i="12"/>
  <c r="B53" i="14"/>
  <c r="O42" i="9"/>
  <c r="S42" i="9" s="1"/>
  <c r="O43" i="9"/>
  <c r="S43" i="9" s="1"/>
  <c r="O46" i="9"/>
  <c r="S46" i="9" s="1"/>
  <c r="O48" i="9"/>
  <c r="S48" i="9" s="1"/>
  <c r="N78" i="9"/>
  <c r="N80" i="9" s="1"/>
  <c r="O59" i="9"/>
  <c r="O62" i="9"/>
  <c r="S62" i="9" s="1"/>
  <c r="O63" i="9"/>
  <c r="S63" i="9" s="1"/>
  <c r="O16" i="9"/>
  <c r="S16" i="9" s="1"/>
  <c r="S108" i="9"/>
  <c r="S109" i="9"/>
  <c r="H6" i="12"/>
  <c r="S26" i="2"/>
  <c r="S27" i="2"/>
  <c r="S25" i="2"/>
  <c r="S22" i="2"/>
  <c r="C22" i="2"/>
  <c r="T22" i="2" s="1"/>
  <c r="S21" i="2"/>
  <c r="S18" i="2"/>
  <c r="S15" i="2"/>
  <c r="C15" i="2"/>
  <c r="C15" i="4"/>
  <c r="O32" i="15"/>
  <c r="D10" i="15"/>
  <c r="B29" i="16"/>
  <c r="B28" i="16"/>
  <c r="B27" i="16"/>
  <c r="B26" i="16"/>
  <c r="B25" i="16"/>
  <c r="B22" i="16"/>
  <c r="B21" i="16"/>
  <c r="B20" i="16"/>
  <c r="B19" i="16"/>
  <c r="B18" i="16"/>
  <c r="B17" i="16"/>
  <c r="B15" i="16"/>
  <c r="A15" i="16"/>
  <c r="B14" i="16"/>
  <c r="A14" i="16"/>
  <c r="A6" i="16"/>
  <c r="A5" i="16"/>
  <c r="A4" i="16"/>
  <c r="A3" i="16"/>
  <c r="A2" i="16"/>
  <c r="B17" i="1"/>
  <c r="B18" i="1"/>
  <c r="C18" i="1"/>
  <c r="D18" i="1" s="1"/>
  <c r="B19" i="1"/>
  <c r="C19" i="1"/>
  <c r="E19" i="1" s="1"/>
  <c r="B20" i="1"/>
  <c r="C20" i="1"/>
  <c r="D20" i="1" s="1"/>
  <c r="B21" i="1"/>
  <c r="C21" i="1"/>
  <c r="D21" i="1" s="1"/>
  <c r="B22" i="1"/>
  <c r="C22" i="1"/>
  <c r="D22" i="1" s="1"/>
  <c r="B24" i="1"/>
  <c r="C24" i="1"/>
  <c r="E24" i="1" s="1"/>
  <c r="B25" i="1"/>
  <c r="C25" i="1"/>
  <c r="B26" i="1"/>
  <c r="C26" i="1"/>
  <c r="D26" i="1" s="1"/>
  <c r="B27" i="1"/>
  <c r="C27" i="1"/>
  <c r="E27" i="1" s="1"/>
  <c r="B28" i="1"/>
  <c r="C28" i="1"/>
  <c r="E28" i="1" s="1"/>
  <c r="B29" i="1"/>
  <c r="C29" i="1"/>
  <c r="E29" i="1" s="1"/>
  <c r="K29" i="1"/>
  <c r="A29" i="1"/>
  <c r="A27" i="1"/>
  <c r="A28" i="1"/>
  <c r="A15" i="1"/>
  <c r="A18" i="1"/>
  <c r="A19" i="1"/>
  <c r="A20" i="1"/>
  <c r="A21" i="1"/>
  <c r="A22" i="1"/>
  <c r="A24" i="1"/>
  <c r="A25" i="1"/>
  <c r="A26" i="1"/>
  <c r="B15" i="1"/>
  <c r="C15" i="1"/>
  <c r="K15" i="1" s="1"/>
  <c r="B14" i="1"/>
  <c r="C14" i="1"/>
  <c r="Q29" i="8"/>
  <c r="A14" i="1"/>
  <c r="E31" i="15"/>
  <c r="E34" i="15" s="1"/>
  <c r="A6" i="15"/>
  <c r="A4" i="15"/>
  <c r="A3" i="15"/>
  <c r="A5" i="15"/>
  <c r="S24" i="9"/>
  <c r="B10" i="15"/>
  <c r="P1" i="15"/>
  <c r="R7" i="14"/>
  <c r="Q7" i="14"/>
  <c r="P7" i="14"/>
  <c r="O7" i="14"/>
  <c r="N7" i="14"/>
  <c r="L7" i="14"/>
  <c r="K7" i="14"/>
  <c r="J7" i="14"/>
  <c r="I7" i="14"/>
  <c r="H7" i="14"/>
  <c r="G7" i="14"/>
  <c r="E7" i="14"/>
  <c r="D7" i="14"/>
  <c r="S96" i="9"/>
  <c r="H7" i="12"/>
  <c r="C15" i="6"/>
  <c r="C14" i="6"/>
  <c r="B15" i="6"/>
  <c r="A15" i="6"/>
  <c r="B14" i="6"/>
  <c r="A14" i="6"/>
  <c r="B15" i="4"/>
  <c r="A15" i="4"/>
  <c r="B14" i="4"/>
  <c r="A14" i="4"/>
  <c r="B15" i="2"/>
  <c r="A15" i="2"/>
  <c r="O92" i="9"/>
  <c r="S92" i="9" s="1"/>
  <c r="S95" i="9"/>
  <c r="O98" i="9"/>
  <c r="A4" i="8"/>
  <c r="A2" i="7"/>
  <c r="A3" i="7"/>
  <c r="A4" i="7"/>
  <c r="A5" i="7"/>
  <c r="A6" i="7"/>
  <c r="A2" i="2"/>
  <c r="A3" i="2"/>
  <c r="A4" i="2"/>
  <c r="A5" i="2"/>
  <c r="A6" i="2"/>
  <c r="A14" i="2"/>
  <c r="B14" i="2"/>
  <c r="A2" i="4"/>
  <c r="A3" i="4"/>
  <c r="A4" i="4"/>
  <c r="A5" i="4"/>
  <c r="A6" i="4"/>
  <c r="A2" i="6"/>
  <c r="A3" i="6"/>
  <c r="A4" i="6"/>
  <c r="A5" i="6"/>
  <c r="A6" i="6"/>
  <c r="A2" i="1"/>
  <c r="A4" i="1"/>
  <c r="A5" i="1"/>
  <c r="A6" i="1"/>
  <c r="A2" i="8"/>
  <c r="A3" i="8"/>
  <c r="A5" i="8"/>
  <c r="A50" i="14"/>
  <c r="A51" i="14"/>
  <c r="A52" i="14"/>
  <c r="A53" i="14"/>
  <c r="A55" i="14"/>
  <c r="A57" i="14"/>
  <c r="A58" i="14"/>
  <c r="A60" i="14"/>
  <c r="A62" i="14"/>
  <c r="A35" i="14"/>
  <c r="A9" i="14"/>
  <c r="O97" i="9"/>
  <c r="S97" i="9" s="1"/>
  <c r="O101" i="9"/>
  <c r="S101" i="9" s="1"/>
  <c r="J29" i="1"/>
  <c r="S118" i="9"/>
  <c r="C19" i="7"/>
  <c r="D67" i="9"/>
  <c r="C15" i="12"/>
  <c r="S122" i="9"/>
  <c r="D25" i="1"/>
  <c r="O35" i="9"/>
  <c r="S35" i="9" s="1"/>
  <c r="O89" i="9"/>
  <c r="D16" i="8"/>
  <c r="O90" i="9"/>
  <c r="D23" i="8"/>
  <c r="O91" i="9"/>
  <c r="S91" i="9" s="1"/>
  <c r="Q18" i="8"/>
  <c r="D18" i="8"/>
  <c r="D15" i="8"/>
  <c r="D14" i="8"/>
  <c r="AT36" i="17" l="1"/>
  <c r="I32" i="14"/>
  <c r="CM36" i="17"/>
  <c r="N32" i="14"/>
  <c r="CV36" i="17"/>
  <c r="O32" i="14"/>
  <c r="CD36" i="17"/>
  <c r="M32" i="14"/>
  <c r="T18" i="2"/>
  <c r="M36" i="12"/>
  <c r="N36" i="12"/>
  <c r="H36" i="17"/>
  <c r="I36" i="17"/>
  <c r="AJ36" i="17"/>
  <c r="AK36" i="17"/>
  <c r="BB36" i="17"/>
  <c r="BC36" i="17"/>
  <c r="BK36" i="17"/>
  <c r="BL36" i="17"/>
  <c r="BT36" i="17"/>
  <c r="BU36" i="17"/>
  <c r="DD36" i="17"/>
  <c r="DE36" i="17"/>
  <c r="DK44" i="17"/>
  <c r="DK36" i="17"/>
  <c r="DL36" i="17" s="1"/>
  <c r="Q32" i="14" s="1"/>
  <c r="DV36" i="17"/>
  <c r="DW36" i="17"/>
  <c r="R36" i="17"/>
  <c r="S36" i="17"/>
  <c r="S32" i="9"/>
  <c r="K55" i="9"/>
  <c r="C34" i="6"/>
  <c r="B39" i="14"/>
  <c r="S59" i="9"/>
  <c r="C30" i="12"/>
  <c r="AW30" i="17" s="1"/>
  <c r="AY30" i="17" s="1"/>
  <c r="S47" i="9"/>
  <c r="DF27" i="17"/>
  <c r="DO27" i="17"/>
  <c r="U28" i="17"/>
  <c r="L28" i="17"/>
  <c r="AL30" i="17"/>
  <c r="DG28" i="17"/>
  <c r="CF48" i="17"/>
  <c r="DY48" i="17"/>
  <c r="DG60" i="17"/>
  <c r="DY60" i="17"/>
  <c r="CN28" i="17"/>
  <c r="DX28" i="17"/>
  <c r="DO22" i="17"/>
  <c r="DX22" i="17"/>
  <c r="CX32" i="17"/>
  <c r="DY32" i="17"/>
  <c r="BN20" i="17"/>
  <c r="DY20" i="17"/>
  <c r="AM41" i="17"/>
  <c r="DY41" i="17"/>
  <c r="BN58" i="17"/>
  <c r="DY58" i="17"/>
  <c r="F61" i="12"/>
  <c r="DX61" i="17"/>
  <c r="DO47" i="17"/>
  <c r="DX47" i="17"/>
  <c r="BM41" i="17"/>
  <c r="DX41" i="17"/>
  <c r="K28" i="17"/>
  <c r="BM27" i="17"/>
  <c r="DX27" i="17"/>
  <c r="CE21" i="17"/>
  <c r="DX21" i="17"/>
  <c r="A30" i="14"/>
  <c r="DY34" i="17"/>
  <c r="AV31" i="17"/>
  <c r="DY31" i="17"/>
  <c r="BW25" i="17"/>
  <c r="DY25" i="17"/>
  <c r="L38" i="17"/>
  <c r="DY38" i="17"/>
  <c r="B46" i="17"/>
  <c r="DY46" i="17"/>
  <c r="CF52" i="17"/>
  <c r="DY52" i="17"/>
  <c r="AD56" i="17"/>
  <c r="DY56" i="17"/>
  <c r="CN56" i="17"/>
  <c r="DX56" i="17"/>
  <c r="AL46" i="17"/>
  <c r="DX46" i="17"/>
  <c r="T28" i="17"/>
  <c r="CN27" i="17"/>
  <c r="DO28" i="17"/>
  <c r="A35" i="17"/>
  <c r="DX35" i="17"/>
  <c r="DO32" i="17"/>
  <c r="DX32" i="17"/>
  <c r="K26" i="17"/>
  <c r="DX26" i="17"/>
  <c r="CF33" i="17"/>
  <c r="DY33" i="17"/>
  <c r="DG30" i="17"/>
  <c r="DY30" i="17"/>
  <c r="DP24" i="17"/>
  <c r="DY24" i="17"/>
  <c r="CX18" i="17"/>
  <c r="DY18" i="17"/>
  <c r="EE41" i="17"/>
  <c r="EF41" i="17" s="1"/>
  <c r="L45" i="17"/>
  <c r="DY45" i="17"/>
  <c r="BE55" i="17"/>
  <c r="DY55" i="17"/>
  <c r="AC27" i="17"/>
  <c r="CW27" i="17"/>
  <c r="BM28" i="17"/>
  <c r="AC34" i="17"/>
  <c r="DX34" i="17"/>
  <c r="A31" i="17"/>
  <c r="DX31" i="17"/>
  <c r="CE25" i="17"/>
  <c r="DX25" i="17"/>
  <c r="AU19" i="17"/>
  <c r="DX19" i="17"/>
  <c r="CO23" i="17"/>
  <c r="DY23" i="17"/>
  <c r="CX17" i="17"/>
  <c r="DY17" i="17"/>
  <c r="BW16" i="17"/>
  <c r="DY16" i="17"/>
  <c r="DO17" i="17"/>
  <c r="DX17" i="17"/>
  <c r="CE48" i="17"/>
  <c r="DX48" i="17"/>
  <c r="B35" i="17"/>
  <c r="DY35" i="17"/>
  <c r="A22" i="14"/>
  <c r="DY26" i="17"/>
  <c r="CG54" i="17"/>
  <c r="CI54" i="17" s="1"/>
  <c r="DZ54" i="17"/>
  <c r="EB54" i="17" s="1"/>
  <c r="ED54" i="17" s="1"/>
  <c r="EF54" i="17" s="1"/>
  <c r="AD40" i="17"/>
  <c r="DY40" i="17"/>
  <c r="BE44" i="17"/>
  <c r="DY44" i="17"/>
  <c r="BE54" i="17"/>
  <c r="DY54" i="17"/>
  <c r="DF54" i="17"/>
  <c r="DX54" i="17"/>
  <c r="T27" i="17"/>
  <c r="BD33" i="17"/>
  <c r="DX33" i="17"/>
  <c r="A30" i="17"/>
  <c r="DX30" i="17"/>
  <c r="BV18" i="17"/>
  <c r="DX18" i="17"/>
  <c r="AM28" i="17"/>
  <c r="DY28" i="17"/>
  <c r="CX22" i="17"/>
  <c r="DY22" i="17"/>
  <c r="DQ15" i="17"/>
  <c r="DS15" i="17" s="1"/>
  <c r="DZ15" i="17"/>
  <c r="EB15" i="17" s="1"/>
  <c r="ED15" i="17" s="1"/>
  <c r="DP50" i="17"/>
  <c r="DY50" i="17"/>
  <c r="AM61" i="17"/>
  <c r="DY61" i="17"/>
  <c r="CO53" i="17"/>
  <c r="DY53" i="17"/>
  <c r="BV53" i="17"/>
  <c r="DX53" i="17"/>
  <c r="AU27" i="17"/>
  <c r="CW16" i="17"/>
  <c r="DX16" i="17"/>
  <c r="BN27" i="17"/>
  <c r="DY27" i="17"/>
  <c r="A25" i="14"/>
  <c r="DY29" i="17"/>
  <c r="R19" i="23"/>
  <c r="T1" i="15"/>
  <c r="Q1" i="23"/>
  <c r="BV27" i="17"/>
  <c r="K26" i="12"/>
  <c r="K42" i="12"/>
  <c r="K19" i="12"/>
  <c r="K21" i="12"/>
  <c r="K27" i="12"/>
  <c r="K16" i="12"/>
  <c r="K23" i="12"/>
  <c r="K25" i="12"/>
  <c r="K61" i="12"/>
  <c r="K63" i="12" s="1"/>
  <c r="K28" i="12"/>
  <c r="K29" i="12"/>
  <c r="K24" i="12"/>
  <c r="K30" i="12"/>
  <c r="K31" i="12"/>
  <c r="K32" i="12"/>
  <c r="K48" i="12"/>
  <c r="K33" i="12"/>
  <c r="K47" i="12"/>
  <c r="K34" i="12"/>
  <c r="K46" i="12"/>
  <c r="K35" i="12"/>
  <c r="K45" i="12"/>
  <c r="K15" i="12"/>
  <c r="K44" i="12"/>
  <c r="K43" i="12"/>
  <c r="K41" i="12"/>
  <c r="K17" i="12"/>
  <c r="K18" i="12"/>
  <c r="K20" i="12"/>
  <c r="K22" i="12"/>
  <c r="G34" i="12"/>
  <c r="AD34" i="17"/>
  <c r="CO35" i="17"/>
  <c r="P16" i="1"/>
  <c r="O29" i="1"/>
  <c r="H29" i="1"/>
  <c r="I29" i="1"/>
  <c r="N29" i="1"/>
  <c r="M29" i="1"/>
  <c r="L29" i="1"/>
  <c r="D29" i="1"/>
  <c r="F29" i="1"/>
  <c r="G29" i="1"/>
  <c r="I15" i="1"/>
  <c r="E18" i="1"/>
  <c r="N26" i="1"/>
  <c r="P23" i="1"/>
  <c r="H18" i="1"/>
  <c r="C17" i="1"/>
  <c r="L17" i="1" s="1"/>
  <c r="T27" i="2"/>
  <c r="O26" i="1"/>
  <c r="C17" i="19"/>
  <c r="C37" i="19" s="1"/>
  <c r="O18" i="1"/>
  <c r="M18" i="1"/>
  <c r="E15" i="1"/>
  <c r="L18" i="1"/>
  <c r="E25" i="1"/>
  <c r="C17" i="2"/>
  <c r="C35" i="2" s="1"/>
  <c r="T53" i="9" s="1"/>
  <c r="R53" i="9" s="1"/>
  <c r="V8" i="17"/>
  <c r="D19" i="1"/>
  <c r="J18" i="1"/>
  <c r="F44" i="17"/>
  <c r="DK43" i="17"/>
  <c r="AH43" i="17"/>
  <c r="DT44" i="17"/>
  <c r="T21" i="2"/>
  <c r="AC55" i="17"/>
  <c r="AU55" i="17"/>
  <c r="AL55" i="17"/>
  <c r="T26" i="2"/>
  <c r="T20" i="2"/>
  <c r="T16" i="2"/>
  <c r="BN15" i="17"/>
  <c r="DG15" i="17"/>
  <c r="AM15" i="17"/>
  <c r="DT43" i="17"/>
  <c r="G15" i="1"/>
  <c r="L15" i="1"/>
  <c r="N15" i="1"/>
  <c r="D15" i="1"/>
  <c r="J15" i="1"/>
  <c r="O15" i="1"/>
  <c r="H15" i="1"/>
  <c r="M15" i="1"/>
  <c r="F15" i="1"/>
  <c r="F25" i="1"/>
  <c r="T25" i="2"/>
  <c r="G27" i="1"/>
  <c r="F43" i="17"/>
  <c r="CE27" i="17"/>
  <c r="A28" i="17"/>
  <c r="CX60" i="17"/>
  <c r="F18" i="1"/>
  <c r="C17" i="16"/>
  <c r="C35" i="16" s="1"/>
  <c r="F28" i="12"/>
  <c r="C17" i="4"/>
  <c r="C35" i="4" s="1"/>
  <c r="BN60" i="17"/>
  <c r="E22" i="1"/>
  <c r="T15" i="2"/>
  <c r="DG32" i="17"/>
  <c r="CN30" i="17"/>
  <c r="BN61" i="17"/>
  <c r="AV18" i="17"/>
  <c r="BE18" i="17"/>
  <c r="AL32" i="17"/>
  <c r="AU32" i="17"/>
  <c r="CW30" i="17"/>
  <c r="T32" i="17"/>
  <c r="BM32" i="17"/>
  <c r="T31" i="17"/>
  <c r="K35" i="17"/>
  <c r="CW35" i="17"/>
  <c r="DO31" i="17"/>
  <c r="CF56" i="17"/>
  <c r="CN32" i="17"/>
  <c r="A32" i="17"/>
  <c r="DP54" i="17"/>
  <c r="U55" i="17"/>
  <c r="CW32" i="17"/>
  <c r="T30" i="17"/>
  <c r="CO54" i="17"/>
  <c r="AC32" i="17"/>
  <c r="DF32" i="17"/>
  <c r="CF43" i="17"/>
  <c r="G43" i="12"/>
  <c r="AC30" i="17"/>
  <c r="K30" i="17"/>
  <c r="B58" i="17"/>
  <c r="G32" i="12"/>
  <c r="L32" i="17"/>
  <c r="T34" i="17"/>
  <c r="BE58" i="17"/>
  <c r="CE31" i="17"/>
  <c r="U32" i="17"/>
  <c r="AU34" i="17"/>
  <c r="CO15" i="17"/>
  <c r="BD55" i="17"/>
  <c r="F48" i="12"/>
  <c r="BM48" i="17"/>
  <c r="A33" i="17"/>
  <c r="DF55" i="17"/>
  <c r="F17" i="12"/>
  <c r="CX15" i="17"/>
  <c r="AC48" i="17"/>
  <c r="AD53" i="17"/>
  <c r="DO48" i="17"/>
  <c r="A34" i="17"/>
  <c r="CW55" i="17"/>
  <c r="DP22" i="17"/>
  <c r="T61" i="17"/>
  <c r="CE61" i="17"/>
  <c r="DP15" i="17"/>
  <c r="K61" i="17"/>
  <c r="BD61" i="17"/>
  <c r="DG40" i="17"/>
  <c r="BE23" i="17"/>
  <c r="AM34" i="17"/>
  <c r="BV55" i="17"/>
  <c r="DG38" i="17"/>
  <c r="DP38" i="17"/>
  <c r="BE34" i="17"/>
  <c r="AC61" i="17"/>
  <c r="G38" i="12"/>
  <c r="U18" i="17"/>
  <c r="DF35" i="17"/>
  <c r="CO34" i="17"/>
  <c r="CN61" i="17"/>
  <c r="DF48" i="17"/>
  <c r="AU56" i="17"/>
  <c r="B15" i="17"/>
  <c r="BW38" i="17"/>
  <c r="BN18" i="17"/>
  <c r="CN35" i="17"/>
  <c r="CX34" i="17"/>
  <c r="AU18" i="17"/>
  <c r="U16" i="17"/>
  <c r="BN34" i="17"/>
  <c r="BN52" i="17"/>
  <c r="DG56" i="17"/>
  <c r="BE35" i="17"/>
  <c r="AD60" i="17"/>
  <c r="L55" i="17"/>
  <c r="AV35" i="17"/>
  <c r="DG35" i="17"/>
  <c r="T35" i="17"/>
  <c r="L15" i="17"/>
  <c r="CO55" i="17"/>
  <c r="CF60" i="17"/>
  <c r="AD35" i="17"/>
  <c r="AL35" i="17"/>
  <c r="CF16" i="17"/>
  <c r="DP31" i="17"/>
  <c r="BW28" i="17"/>
  <c r="DP61" i="17"/>
  <c r="A55" i="17"/>
  <c r="BW55" i="17"/>
  <c r="AU35" i="17"/>
  <c r="F27" i="12"/>
  <c r="CO16" i="17"/>
  <c r="G28" i="12"/>
  <c r="CO28" i="17"/>
  <c r="F16" i="12"/>
  <c r="DG34" i="17"/>
  <c r="DG17" i="17"/>
  <c r="F35" i="12"/>
  <c r="BD35" i="17"/>
  <c r="L56" i="17"/>
  <c r="BM33" i="17"/>
  <c r="U29" i="17"/>
  <c r="L35" i="17"/>
  <c r="AU16" i="17"/>
  <c r="AM29" i="17"/>
  <c r="AV29" i="17"/>
  <c r="DO16" i="17"/>
  <c r="AD54" i="17"/>
  <c r="DO55" i="17"/>
  <c r="BN28" i="17"/>
  <c r="BE61" i="17"/>
  <c r="U61" i="17"/>
  <c r="BN35" i="17"/>
  <c r="BE60" i="17"/>
  <c r="G61" i="12"/>
  <c r="AD15" i="17"/>
  <c r="G55" i="12"/>
  <c r="BW35" i="17"/>
  <c r="BM35" i="17"/>
  <c r="T22" i="17"/>
  <c r="B34" i="17"/>
  <c r="BW34" i="17"/>
  <c r="DP34" i="17"/>
  <c r="CF34" i="17"/>
  <c r="DG61" i="17"/>
  <c r="G35" i="12"/>
  <c r="BM16" i="17"/>
  <c r="CO61" i="17"/>
  <c r="DF16" i="17"/>
  <c r="U35" i="17"/>
  <c r="AM35" i="17"/>
  <c r="K33" i="17"/>
  <c r="AU33" i="17"/>
  <c r="DP28" i="17"/>
  <c r="AV61" i="17"/>
  <c r="BW60" i="17"/>
  <c r="B51" i="14"/>
  <c r="B60" i="17"/>
  <c r="AC35" i="17"/>
  <c r="CX16" i="17"/>
  <c r="AC31" i="17"/>
  <c r="U34" i="17"/>
  <c r="CX28" i="17"/>
  <c r="L54" i="17"/>
  <c r="DP60" i="17"/>
  <c r="B61" i="17"/>
  <c r="CX41" i="17"/>
  <c r="U15" i="17"/>
  <c r="BN55" i="17"/>
  <c r="CF35" i="17"/>
  <c r="BV35" i="17"/>
  <c r="K27" i="17"/>
  <c r="K22" i="17"/>
  <c r="K31" i="17"/>
  <c r="O22" i="9"/>
  <c r="S22" i="9" s="1"/>
  <c r="L60" i="17"/>
  <c r="G60" i="12"/>
  <c r="L61" i="17"/>
  <c r="BE15" i="17"/>
  <c r="CX35" i="17"/>
  <c r="DO35" i="17"/>
  <c r="AU31" i="17"/>
  <c r="AV34" i="17"/>
  <c r="AM60" i="17"/>
  <c r="CF61" i="17"/>
  <c r="DG41" i="17"/>
  <c r="CF15" i="17"/>
  <c r="A11" i="14"/>
  <c r="F32" i="12"/>
  <c r="CE35" i="17"/>
  <c r="BD27" i="17"/>
  <c r="DF31" i="17"/>
  <c r="L34" i="17"/>
  <c r="A27" i="17"/>
  <c r="BW20" i="17"/>
  <c r="BE20" i="17"/>
  <c r="CE26" i="17"/>
  <c r="BM26" i="17"/>
  <c r="DF26" i="17"/>
  <c r="DO26" i="17"/>
  <c r="CN26" i="17"/>
  <c r="CW26" i="17"/>
  <c r="A26" i="17"/>
  <c r="F26" i="12"/>
  <c r="T26" i="17"/>
  <c r="BD26" i="17"/>
  <c r="AL26" i="17"/>
  <c r="AU26" i="17"/>
  <c r="AC26" i="17"/>
  <c r="BV26" i="17"/>
  <c r="S98" i="9"/>
  <c r="BV45" i="17"/>
  <c r="F45" i="12"/>
  <c r="BM25" i="17"/>
  <c r="DO25" i="17"/>
  <c r="DF25" i="17"/>
  <c r="F25" i="12"/>
  <c r="CW25" i="17"/>
  <c r="DP44" i="17"/>
  <c r="G44" i="12"/>
  <c r="AV43" i="17"/>
  <c r="BE43" i="17"/>
  <c r="BN43" i="17"/>
  <c r="BW43" i="17"/>
  <c r="B43" i="17"/>
  <c r="CO21" i="17"/>
  <c r="DP21" i="17"/>
  <c r="DG21" i="17"/>
  <c r="U21" i="17"/>
  <c r="CF21" i="17"/>
  <c r="AD21" i="17"/>
  <c r="L43" i="17"/>
  <c r="AM20" i="17"/>
  <c r="A41" i="17"/>
  <c r="DO42" i="17"/>
  <c r="DG20" i="17"/>
  <c r="B18" i="17"/>
  <c r="BD42" i="17"/>
  <c r="BN24" i="17"/>
  <c r="CX44" i="17"/>
  <c r="R16" i="9"/>
  <c r="A17" i="17"/>
  <c r="AU17" i="17"/>
  <c r="BD17" i="17"/>
  <c r="T17" i="17"/>
  <c r="BV17" i="17"/>
  <c r="AL17" i="17"/>
  <c r="CE17" i="17"/>
  <c r="BD21" i="17"/>
  <c r="A21" i="17"/>
  <c r="AL21" i="17"/>
  <c r="K21" i="17"/>
  <c r="AU21" i="17"/>
  <c r="AC21" i="17"/>
  <c r="T21" i="17"/>
  <c r="AL41" i="17"/>
  <c r="AV41" i="17"/>
  <c r="K20" i="17"/>
  <c r="F20" i="12"/>
  <c r="BV20" i="17"/>
  <c r="BD20" i="17"/>
  <c r="CW20" i="17"/>
  <c r="G46" i="12"/>
  <c r="CO18" i="17"/>
  <c r="A20" i="17"/>
  <c r="DO41" i="17"/>
  <c r="BW45" i="17"/>
  <c r="CO56" i="17"/>
  <c r="B56" i="17"/>
  <c r="BN56" i="17"/>
  <c r="G56" i="12"/>
  <c r="AV56" i="17"/>
  <c r="AU20" i="17"/>
  <c r="AM24" i="17"/>
  <c r="BE24" i="17"/>
  <c r="AC20" i="17"/>
  <c r="F34" i="12"/>
  <c r="CW34" i="17"/>
  <c r="CN34" i="17"/>
  <c r="BD34" i="17"/>
  <c r="AL34" i="17"/>
  <c r="AD52" i="17"/>
  <c r="L24" i="17"/>
  <c r="CO24" i="17"/>
  <c r="BV21" i="17"/>
  <c r="BM34" i="17"/>
  <c r="DF33" i="17"/>
  <c r="CN33" i="17"/>
  <c r="CW33" i="17"/>
  <c r="CE33" i="17"/>
  <c r="DO33" i="17"/>
  <c r="T33" i="17"/>
  <c r="BE41" i="17"/>
  <c r="AM53" i="17"/>
  <c r="F33" i="12"/>
  <c r="DO21" i="17"/>
  <c r="DF34" i="17"/>
  <c r="BW44" i="17"/>
  <c r="CO17" i="17"/>
  <c r="DP32" i="17"/>
  <c r="CN21" i="17"/>
  <c r="DO34" i="17"/>
  <c r="CX58" i="17"/>
  <c r="AM17" i="17"/>
  <c r="CN20" i="17"/>
  <c r="G22" i="12"/>
  <c r="AC19" i="17"/>
  <c r="CF53" i="17"/>
  <c r="BN17" i="17"/>
  <c r="AV16" i="17"/>
  <c r="AV17" i="17"/>
  <c r="BM17" i="17"/>
  <c r="CE19" i="17"/>
  <c r="BN22" i="17"/>
  <c r="BW46" i="17"/>
  <c r="AM46" i="17"/>
  <c r="DP46" i="17"/>
  <c r="CF46" i="17"/>
  <c r="A19" i="14"/>
  <c r="CX23" i="17"/>
  <c r="CF23" i="17"/>
  <c r="BN23" i="17"/>
  <c r="DP23" i="17"/>
  <c r="DG23" i="17"/>
  <c r="BW23" i="17"/>
  <c r="U23" i="17"/>
  <c r="L23" i="17"/>
  <c r="BD44" i="17"/>
  <c r="F44" i="12"/>
  <c r="AU44" i="17"/>
  <c r="DF44" i="17"/>
  <c r="C32" i="12"/>
  <c r="A16" i="14"/>
  <c r="L20" i="17"/>
  <c r="G20" i="12"/>
  <c r="CO20" i="17"/>
  <c r="CF20" i="17"/>
  <c r="DP20" i="17"/>
  <c r="BD41" i="17"/>
  <c r="AC41" i="17"/>
  <c r="DF41" i="17"/>
  <c r="AU41" i="17"/>
  <c r="CN41" i="17"/>
  <c r="CE41" i="17"/>
  <c r="T41" i="17"/>
  <c r="K41" i="17"/>
  <c r="BV41" i="17"/>
  <c r="U20" i="17"/>
  <c r="F41" i="12"/>
  <c r="AD20" i="17"/>
  <c r="AL20" i="17"/>
  <c r="L44" i="17"/>
  <c r="DP56" i="17"/>
  <c r="CF24" i="17"/>
  <c r="B53" i="17"/>
  <c r="BW22" i="17"/>
  <c r="AC46" i="17"/>
  <c r="BE53" i="17"/>
  <c r="G53" i="12"/>
  <c r="BN53" i="17"/>
  <c r="L58" i="17"/>
  <c r="CF17" i="17"/>
  <c r="CW17" i="17"/>
  <c r="G21" i="12"/>
  <c r="AC25" i="17"/>
  <c r="AL33" i="17"/>
  <c r="CE46" i="17"/>
  <c r="DF46" i="17"/>
  <c r="A46" i="17"/>
  <c r="BM46" i="17"/>
  <c r="A45" i="17"/>
  <c r="L22" i="17"/>
  <c r="AM22" i="17"/>
  <c r="AV22" i="17"/>
  <c r="AD22" i="17"/>
  <c r="CO22" i="17"/>
  <c r="BE22" i="17"/>
  <c r="B22" i="17"/>
  <c r="CN42" i="17"/>
  <c r="T42" i="17"/>
  <c r="F42" i="12"/>
  <c r="K42" i="17"/>
  <c r="DF42" i="17"/>
  <c r="AC42" i="17"/>
  <c r="AL42" i="17"/>
  <c r="F22" i="12"/>
  <c r="CW22" i="17"/>
  <c r="BV22" i="17"/>
  <c r="AC22" i="17"/>
  <c r="BD22" i="17"/>
  <c r="AU22" i="17"/>
  <c r="AV23" i="17"/>
  <c r="A14" i="14"/>
  <c r="CF18" i="17"/>
  <c r="DP18" i="17"/>
  <c r="DG18" i="17"/>
  <c r="AM18" i="17"/>
  <c r="G18" i="12"/>
  <c r="AD18" i="17"/>
  <c r="BW18" i="17"/>
  <c r="DF22" i="17"/>
  <c r="DF18" i="17"/>
  <c r="BV42" i="17"/>
  <c r="L18" i="17"/>
  <c r="U41" i="17"/>
  <c r="CX20" i="17"/>
  <c r="A42" i="17"/>
  <c r="BW56" i="17"/>
  <c r="U44" i="17"/>
  <c r="BN44" i="17"/>
  <c r="AV44" i="17"/>
  <c r="DP41" i="17"/>
  <c r="BM20" i="17"/>
  <c r="DG44" i="17"/>
  <c r="U56" i="17"/>
  <c r="DF21" i="17"/>
  <c r="BV34" i="17"/>
  <c r="CO41" i="17"/>
  <c r="AV53" i="17"/>
  <c r="AL44" i="17"/>
  <c r="U22" i="17"/>
  <c r="DG53" i="17"/>
  <c r="CX53" i="17"/>
  <c r="CW42" i="17"/>
  <c r="CE42" i="17"/>
  <c r="AC17" i="17"/>
  <c r="AL19" i="17"/>
  <c r="DP53" i="17"/>
  <c r="U53" i="17"/>
  <c r="CO43" i="17"/>
  <c r="BE56" i="17"/>
  <c r="CW46" i="17"/>
  <c r="CN17" i="17"/>
  <c r="AU25" i="17"/>
  <c r="CF22" i="17"/>
  <c r="A20" i="14"/>
  <c r="AD24" i="17"/>
  <c r="U24" i="17"/>
  <c r="G24" i="12"/>
  <c r="A24" i="17"/>
  <c r="AU24" i="17"/>
  <c r="AC24" i="17"/>
  <c r="DO24" i="17"/>
  <c r="BD24" i="17"/>
  <c r="AD23" i="17"/>
  <c r="AM23" i="17"/>
  <c r="CF41" i="17"/>
  <c r="BN41" i="17"/>
  <c r="BW41" i="17"/>
  <c r="G41" i="12"/>
  <c r="L41" i="17"/>
  <c r="B41" i="17"/>
  <c r="AD41" i="17"/>
  <c r="BM22" i="17"/>
  <c r="BN19" i="17"/>
  <c r="G19" i="12"/>
  <c r="DP52" i="17"/>
  <c r="BE52" i="17"/>
  <c r="AL22" i="17"/>
  <c r="CW41" i="17"/>
  <c r="AV20" i="17"/>
  <c r="BE17" i="17"/>
  <c r="U17" i="17"/>
  <c r="L17" i="17"/>
  <c r="DP17" i="17"/>
  <c r="CE22" i="17"/>
  <c r="T20" i="17"/>
  <c r="F21" i="12"/>
  <c r="CN22" i="17"/>
  <c r="BW58" i="17"/>
  <c r="CF58" i="17"/>
  <c r="AV58" i="17"/>
  <c r="G58" i="12"/>
  <c r="DG58" i="17"/>
  <c r="U58" i="17"/>
  <c r="DP58" i="17"/>
  <c r="AV24" i="17"/>
  <c r="B24" i="17"/>
  <c r="BW24" i="17"/>
  <c r="L33" i="17"/>
  <c r="BN33" i="17"/>
  <c r="G45" i="12"/>
  <c r="AV55" i="17"/>
  <c r="DG55" i="17"/>
  <c r="AD55" i="17"/>
  <c r="BM21" i="17"/>
  <c r="B55" i="17"/>
  <c r="BW54" i="17"/>
  <c r="U54" i="17"/>
  <c r="CX54" i="17"/>
  <c r="DG54" i="17"/>
  <c r="CF54" i="17"/>
  <c r="G54" i="12"/>
  <c r="B54" i="17"/>
  <c r="AM54" i="17"/>
  <c r="B16" i="17"/>
  <c r="DG16" i="17"/>
  <c r="L16" i="17"/>
  <c r="DP16" i="17"/>
  <c r="AM16" i="17"/>
  <c r="AD16" i="17"/>
  <c r="BE16" i="17"/>
  <c r="DP55" i="17"/>
  <c r="CX24" i="17"/>
  <c r="DF20" i="17"/>
  <c r="BV33" i="17"/>
  <c r="U52" i="17"/>
  <c r="AD17" i="17"/>
  <c r="DG24" i="17"/>
  <c r="DO20" i="17"/>
  <c r="A28" i="14"/>
  <c r="CF32" i="17"/>
  <c r="AV32" i="17"/>
  <c r="AM32" i="17"/>
  <c r="BN32" i="17"/>
  <c r="AD32" i="17"/>
  <c r="B32" i="17"/>
  <c r="BE32" i="17"/>
  <c r="BW32" i="17"/>
  <c r="S71" i="9"/>
  <c r="CE20" i="17"/>
  <c r="K19" i="17"/>
  <c r="CO32" i="17"/>
  <c r="CW21" i="17"/>
  <c r="CE34" i="17"/>
  <c r="L53" i="17"/>
  <c r="AM58" i="17"/>
  <c r="CX55" i="17"/>
  <c r="BW53" i="17"/>
  <c r="AD58" i="17"/>
  <c r="AM55" i="17"/>
  <c r="CX47" i="17"/>
  <c r="B47" i="17"/>
  <c r="BW47" i="17"/>
  <c r="U47" i="17"/>
  <c r="BE47" i="17"/>
  <c r="BW17" i="17"/>
  <c r="DF17" i="17"/>
  <c r="BN16" i="17"/>
  <c r="AL25" i="17"/>
  <c r="DG22" i="17"/>
  <c r="AC33" i="17"/>
  <c r="BV32" i="17"/>
  <c r="AC16" i="17"/>
  <c r="K32" i="17"/>
  <c r="AD61" i="17"/>
  <c r="CN55" i="17"/>
  <c r="BW15" i="17"/>
  <c r="CW61" i="17"/>
  <c r="DP35" i="17"/>
  <c r="CE32" i="17"/>
  <c r="BV16" i="17"/>
  <c r="F31" i="12"/>
  <c r="BD31" i="17"/>
  <c r="BM61" i="17"/>
  <c r="BM55" i="17"/>
  <c r="G63" i="12"/>
  <c r="CN31" i="17"/>
  <c r="CX38" i="17"/>
  <c r="F55" i="12"/>
  <c r="A61" i="17"/>
  <c r="BD32" i="17"/>
  <c r="BM31" i="17"/>
  <c r="AL31" i="17"/>
  <c r="CW31" i="17"/>
  <c r="B63" i="17"/>
  <c r="L29" i="17"/>
  <c r="BV31" i="17"/>
  <c r="B43" i="14"/>
  <c r="R63" i="9"/>
  <c r="C53" i="12"/>
  <c r="K17" i="17"/>
  <c r="AV40" i="17"/>
  <c r="DF47" i="17"/>
  <c r="BD54" i="17"/>
  <c r="CE44" i="17"/>
  <c r="AD44" i="17"/>
  <c r="BV48" i="17"/>
  <c r="CN48" i="17"/>
  <c r="L47" i="17"/>
  <c r="DG45" i="17"/>
  <c r="G65" i="12"/>
  <c r="AU61" i="17"/>
  <c r="L40" i="17"/>
  <c r="K44" i="17"/>
  <c r="DP43" i="17"/>
  <c r="CO44" i="17"/>
  <c r="AL48" i="17"/>
  <c r="CF47" i="17"/>
  <c r="B45" i="17"/>
  <c r="AD45" i="17"/>
  <c r="U60" i="17"/>
  <c r="DF61" i="17"/>
  <c r="AM40" i="17"/>
  <c r="CN44" i="17"/>
  <c r="CX61" i="17"/>
  <c r="BN54" i="17"/>
  <c r="U43" i="17"/>
  <c r="AM44" i="17"/>
  <c r="BM42" i="17"/>
  <c r="DP47" i="17"/>
  <c r="T46" i="17"/>
  <c r="A18" i="14"/>
  <c r="G16" i="12"/>
  <c r="A24" i="14"/>
  <c r="BE40" i="17"/>
  <c r="CX46" i="17"/>
  <c r="F46" i="12"/>
  <c r="CN46" i="17"/>
  <c r="B28" i="17"/>
  <c r="B23" i="17"/>
  <c r="BN40" i="17"/>
  <c r="BE46" i="17"/>
  <c r="CO46" i="17"/>
  <c r="BM54" i="17"/>
  <c r="CX52" i="17"/>
  <c r="G40" i="12"/>
  <c r="BD48" i="17"/>
  <c r="F47" i="12"/>
  <c r="G52" i="12"/>
  <c r="U45" i="17"/>
  <c r="DO54" i="17"/>
  <c r="BM44" i="17"/>
  <c r="AM52" i="17"/>
  <c r="U40" i="17"/>
  <c r="AD47" i="17"/>
  <c r="L52" i="17"/>
  <c r="AD29" i="17"/>
  <c r="BD30" i="17"/>
  <c r="DO44" i="17"/>
  <c r="CX43" i="17"/>
  <c r="DG52" i="17"/>
  <c r="CF40" i="17"/>
  <c r="T45" i="17"/>
  <c r="B38" i="17"/>
  <c r="CO52" i="17"/>
  <c r="L46" i="17"/>
  <c r="BV47" i="17"/>
  <c r="CX45" i="17"/>
  <c r="CO45" i="17"/>
  <c r="BE45" i="17"/>
  <c r="CF29" i="17"/>
  <c r="BV30" i="17"/>
  <c r="AC44" i="17"/>
  <c r="DG43" i="17"/>
  <c r="AV52" i="17"/>
  <c r="BW40" i="17"/>
  <c r="AV50" i="17"/>
  <c r="AU54" i="17"/>
  <c r="CN45" i="17"/>
  <c r="T55" i="17"/>
  <c r="G15" i="12"/>
  <c r="DO61" i="17"/>
  <c r="BV61" i="17"/>
  <c r="B52" i="17"/>
  <c r="AM45" i="17"/>
  <c r="CX29" i="17"/>
  <c r="BM30" i="17"/>
  <c r="T19" i="17"/>
  <c r="B29" i="17"/>
  <c r="B40" i="17"/>
  <c r="BW29" i="17"/>
  <c r="DO30" i="17"/>
  <c r="CN19" i="17"/>
  <c r="G23" i="12"/>
  <c r="BD19" i="17"/>
  <c r="DP40" i="17"/>
  <c r="AV47" i="17"/>
  <c r="G50" i="12"/>
  <c r="AC45" i="17"/>
  <c r="BV46" i="17"/>
  <c r="AE54" i="17"/>
  <c r="CW53" i="17"/>
  <c r="BW52" i="17"/>
  <c r="A54" i="17"/>
  <c r="AU48" i="17"/>
  <c r="K46" i="17"/>
  <c r="A53" i="17"/>
  <c r="CF50" i="17"/>
  <c r="CE54" i="17"/>
  <c r="BN29" i="17"/>
  <c r="CW44" i="17"/>
  <c r="BM45" i="17"/>
  <c r="BD45" i="17"/>
  <c r="BV54" i="17"/>
  <c r="U46" i="17"/>
  <c r="DO46" i="17"/>
  <c r="CF45" i="17"/>
  <c r="AD46" i="17"/>
  <c r="DF53" i="17"/>
  <c r="BV44" i="17"/>
  <c r="BW61" i="17"/>
  <c r="AM43" i="17"/>
  <c r="AD43" i="17"/>
  <c r="CO50" i="17"/>
  <c r="AC54" i="17"/>
  <c r="AU45" i="17"/>
  <c r="CO47" i="17"/>
  <c r="DG47" i="17"/>
  <c r="DG46" i="17"/>
  <c r="DP45" i="17"/>
  <c r="BD46" i="17"/>
  <c r="CX40" i="17"/>
  <c r="CO29" i="17"/>
  <c r="CE30" i="17"/>
  <c r="K53" i="17"/>
  <c r="K54" i="17"/>
  <c r="CF38" i="17"/>
  <c r="AM38" i="17"/>
  <c r="L50" i="17"/>
  <c r="CW45" i="17"/>
  <c r="BN47" i="17"/>
  <c r="AM47" i="17"/>
  <c r="AV15" i="17"/>
  <c r="AM56" i="17"/>
  <c r="AV46" i="17"/>
  <c r="BN45" i="17"/>
  <c r="T48" i="17"/>
  <c r="DG29" i="17"/>
  <c r="CW19" i="17"/>
  <c r="AV28" i="17"/>
  <c r="G29" i="12"/>
  <c r="G47" i="12"/>
  <c r="F54" i="12"/>
  <c r="BE50" i="17"/>
  <c r="T44" i="17"/>
  <c r="AL45" i="17"/>
  <c r="K48" i="17"/>
  <c r="BN46" i="17"/>
  <c r="DF30" i="17"/>
  <c r="AU53" i="17"/>
  <c r="AD50" i="17"/>
  <c r="CE45" i="17"/>
  <c r="AC53" i="17"/>
  <c r="CO40" i="17"/>
  <c r="AM50" i="17"/>
  <c r="CN54" i="17"/>
  <c r="K45" i="17"/>
  <c r="A44" i="17"/>
  <c r="CE47" i="17"/>
  <c r="DP29" i="17"/>
  <c r="BM19" i="17"/>
  <c r="CE53" i="17"/>
  <c r="AL53" i="17"/>
  <c r="B50" i="17"/>
  <c r="CX50" i="17"/>
  <c r="AL54" i="17"/>
  <c r="AV54" i="17"/>
  <c r="CE55" i="17"/>
  <c r="K55" i="17"/>
  <c r="CX56" i="17"/>
  <c r="B65" i="17"/>
  <c r="BV19" i="17"/>
  <c r="AD28" i="17"/>
  <c r="DF45" i="17"/>
  <c r="F53" i="12"/>
  <c r="BW50" i="17"/>
  <c r="CW54" i="17"/>
  <c r="U50" i="17"/>
  <c r="B44" i="17"/>
  <c r="CW48" i="17"/>
  <c r="AU46" i="17"/>
  <c r="F19" i="12"/>
  <c r="DF19" i="17"/>
  <c r="CF28" i="17"/>
  <c r="AL61" i="17"/>
  <c r="DG50" i="17"/>
  <c r="T54" i="17"/>
  <c r="CF44" i="17"/>
  <c r="A48" i="17"/>
  <c r="AU42" i="17"/>
  <c r="CO60" i="17"/>
  <c r="AV45" i="17"/>
  <c r="BE29" i="17"/>
  <c r="DO19" i="17"/>
  <c r="R59" i="9"/>
  <c r="C42" i="12"/>
  <c r="C19" i="12"/>
  <c r="F26" i="1"/>
  <c r="E26" i="1"/>
  <c r="E13" i="9"/>
  <c r="G41" i="8" s="1"/>
  <c r="I20" i="1"/>
  <c r="F19" i="1"/>
  <c r="O78" i="9"/>
  <c r="S73" i="9"/>
  <c r="C56" i="12"/>
  <c r="DZ56" i="17" s="1"/>
  <c r="C31" i="12"/>
  <c r="C25" i="12"/>
  <c r="DZ25" i="17" s="1"/>
  <c r="EB25" i="17" s="1"/>
  <c r="ED25" i="17" s="1"/>
  <c r="C26" i="12"/>
  <c r="C29" i="12"/>
  <c r="DZ29" i="17" s="1"/>
  <c r="EB29" i="17" s="1"/>
  <c r="ED29" i="17" s="1"/>
  <c r="EE29" i="17" s="1"/>
  <c r="EF29" i="17" s="1"/>
  <c r="D84" i="9"/>
  <c r="G24" i="1"/>
  <c r="F24" i="1"/>
  <c r="F27" i="1"/>
  <c r="K14" i="1"/>
  <c r="H24" i="1"/>
  <c r="D24" i="1"/>
  <c r="G20" i="1"/>
  <c r="F20" i="1"/>
  <c r="D27" i="1"/>
  <c r="E20" i="1"/>
  <c r="N14" i="1"/>
  <c r="I14" i="1"/>
  <c r="I18" i="1"/>
  <c r="F14" i="1"/>
  <c r="N18" i="1"/>
  <c r="K18" i="1"/>
  <c r="H14" i="1"/>
  <c r="F21" i="1"/>
  <c r="E14" i="1"/>
  <c r="E21" i="1"/>
  <c r="G18" i="1"/>
  <c r="J14" i="1"/>
  <c r="G21" i="1"/>
  <c r="D14" i="1"/>
  <c r="O14" i="1"/>
  <c r="M14" i="1"/>
  <c r="L14" i="1"/>
  <c r="G14" i="1"/>
  <c r="D28" i="1"/>
  <c r="O28" i="1"/>
  <c r="N28" i="1"/>
  <c r="F28" i="1"/>
  <c r="AV60" i="17"/>
  <c r="A19" i="17"/>
  <c r="A25" i="17"/>
  <c r="AH44" i="17"/>
  <c r="AQ43" i="17"/>
  <c r="AQ44" i="17"/>
  <c r="AZ44" i="17"/>
  <c r="AZ43" i="17"/>
  <c r="BI44" i="17"/>
  <c r="BI43" i="17"/>
  <c r="CJ44" i="17"/>
  <c r="C30" i="17"/>
  <c r="B30" i="17"/>
  <c r="A26" i="14"/>
  <c r="L30" i="17"/>
  <c r="G30" i="12"/>
  <c r="BW30" i="17"/>
  <c r="CX30" i="17"/>
  <c r="U30" i="17"/>
  <c r="BN30" i="17"/>
  <c r="CF30" i="17"/>
  <c r="CO30" i="17"/>
  <c r="AD30" i="17"/>
  <c r="BE30" i="17"/>
  <c r="DP30" i="17"/>
  <c r="AM30" i="17"/>
  <c r="AV30" i="17"/>
  <c r="CW47" i="17"/>
  <c r="AC47" i="17"/>
  <c r="AL47" i="17"/>
  <c r="CN47" i="17"/>
  <c r="A47" i="17"/>
  <c r="BD47" i="17"/>
  <c r="T47" i="17"/>
  <c r="K56" i="17"/>
  <c r="AL56" i="17"/>
  <c r="T56" i="17"/>
  <c r="CE56" i="17"/>
  <c r="AC56" i="17"/>
  <c r="A56" i="17"/>
  <c r="BM56" i="17"/>
  <c r="BD56" i="17"/>
  <c r="F56" i="12"/>
  <c r="BV56" i="17"/>
  <c r="DO56" i="17"/>
  <c r="DF56" i="17"/>
  <c r="CW56" i="17"/>
  <c r="AD48" i="17"/>
  <c r="U48" i="17"/>
  <c r="BW48" i="17"/>
  <c r="AV48" i="17"/>
  <c r="B48" i="17"/>
  <c r="DP48" i="17"/>
  <c r="G48" i="12"/>
  <c r="CX48" i="17"/>
  <c r="L48" i="17"/>
  <c r="AM48" i="17"/>
  <c r="AD42" i="17"/>
  <c r="B42" i="17"/>
  <c r="AV42" i="17"/>
  <c r="G42" i="12"/>
  <c r="L42" i="17"/>
  <c r="BE14" i="17"/>
  <c r="CO14" i="17"/>
  <c r="K43" i="17"/>
  <c r="AU43" i="17"/>
  <c r="CN43" i="17"/>
  <c r="BN50" i="17"/>
  <c r="CF55" i="17"/>
  <c r="A17" i="14"/>
  <c r="BE21" i="17"/>
  <c r="B21" i="17"/>
  <c r="L21" i="17"/>
  <c r="CX21" i="17"/>
  <c r="BW21" i="17"/>
  <c r="AV21" i="17"/>
  <c r="BN21" i="17"/>
  <c r="AM21" i="17"/>
  <c r="A12" i="14"/>
  <c r="CJ43" i="17"/>
  <c r="CA44" i="17"/>
  <c r="DB44" i="17"/>
  <c r="CS44" i="17"/>
  <c r="CA43" i="17"/>
  <c r="BR44" i="17"/>
  <c r="DB43" i="17"/>
  <c r="CS43" i="17"/>
  <c r="BR43" i="17"/>
  <c r="F30" i="12"/>
  <c r="E67" i="9"/>
  <c r="O65" i="9"/>
  <c r="S65" i="9" s="1"/>
  <c r="F67" i="9"/>
  <c r="O61" i="9"/>
  <c r="C41" i="17"/>
  <c r="E41" i="17" s="1"/>
  <c r="AN41" i="17"/>
  <c r="AE41" i="17"/>
  <c r="AG41" i="17" s="1"/>
  <c r="BX41" i="17"/>
  <c r="DQ41" i="17"/>
  <c r="B38" i="14"/>
  <c r="AW41" i="17"/>
  <c r="CG41" i="17"/>
  <c r="CP41" i="17"/>
  <c r="H41" i="12"/>
  <c r="I41" i="12" s="1"/>
  <c r="M41" i="17"/>
  <c r="BO41" i="17"/>
  <c r="DH41" i="17"/>
  <c r="O75" i="9"/>
  <c r="Q37" i="4" s="1"/>
  <c r="B50" i="14"/>
  <c r="H15" i="12"/>
  <c r="AW15" i="17"/>
  <c r="CP15" i="17"/>
  <c r="DH15" i="17"/>
  <c r="DJ15" i="17" s="1"/>
  <c r="CG15" i="17"/>
  <c r="CI15" i="17" s="1"/>
  <c r="AE15" i="17"/>
  <c r="C15" i="17"/>
  <c r="BO15" i="17"/>
  <c r="BQ15" i="17" s="1"/>
  <c r="O34" i="9"/>
  <c r="S34" i="9" s="1"/>
  <c r="BE26" i="17"/>
  <c r="CX26" i="17"/>
  <c r="CF27" i="17"/>
  <c r="G25" i="12"/>
  <c r="AV25" i="17"/>
  <c r="BW26" i="17"/>
  <c r="AD26" i="17"/>
  <c r="AD27" i="17"/>
  <c r="BW27" i="17"/>
  <c r="CX27" i="17"/>
  <c r="L27" i="17"/>
  <c r="BE25" i="17"/>
  <c r="DG25" i="17"/>
  <c r="B26" i="17"/>
  <c r="A23" i="14"/>
  <c r="DG26" i="17"/>
  <c r="DG27" i="17"/>
  <c r="AD25" i="17"/>
  <c r="CO25" i="17"/>
  <c r="A21" i="14"/>
  <c r="DP26" i="17"/>
  <c r="AM26" i="17"/>
  <c r="AM27" i="17"/>
  <c r="L25" i="17"/>
  <c r="T25" i="17"/>
  <c r="L26" i="17"/>
  <c r="BN26" i="17"/>
  <c r="CF26" i="17"/>
  <c r="AV27" i="17"/>
  <c r="CO27" i="17"/>
  <c r="AM25" i="17"/>
  <c r="CF25" i="17"/>
  <c r="K25" i="17"/>
  <c r="BD25" i="17"/>
  <c r="U26" i="17"/>
  <c r="CX25" i="17"/>
  <c r="DP25" i="17"/>
  <c r="B27" i="17"/>
  <c r="B25" i="17"/>
  <c r="DP27" i="17"/>
  <c r="U25" i="17"/>
  <c r="BN25" i="17"/>
  <c r="G26" i="12"/>
  <c r="AV26" i="17"/>
  <c r="CO26" i="17"/>
  <c r="G27" i="12"/>
  <c r="U27" i="17"/>
  <c r="BE27" i="17"/>
  <c r="CN25" i="17"/>
  <c r="BV25" i="17"/>
  <c r="P86" i="9"/>
  <c r="P105" i="9" s="1"/>
  <c r="P134" i="9" s="1"/>
  <c r="G28" i="1"/>
  <c r="I24" i="1"/>
  <c r="E32" i="15"/>
  <c r="H21" i="1"/>
  <c r="D6" i="20"/>
  <c r="S90" i="9"/>
  <c r="O41" i="9"/>
  <c r="S41" i="9" s="1"/>
  <c r="L14" i="17"/>
  <c r="BN14" i="17"/>
  <c r="C46" i="12"/>
  <c r="DZ46" i="17" s="1"/>
  <c r="EB46" i="17" s="1"/>
  <c r="ED46" i="17" s="1"/>
  <c r="CO58" i="17"/>
  <c r="AV14" i="17"/>
  <c r="G14" i="12"/>
  <c r="DP14" i="17"/>
  <c r="CX14" i="17"/>
  <c r="CO48" i="17"/>
  <c r="AM14" i="17"/>
  <c r="B14" i="17"/>
  <c r="U14" i="17"/>
  <c r="BW19" i="17"/>
  <c r="CO19" i="17"/>
  <c r="BE19" i="17"/>
  <c r="AV19" i="17"/>
  <c r="CF19" i="17"/>
  <c r="A15" i="14"/>
  <c r="DP19" i="17"/>
  <c r="AD14" i="17"/>
  <c r="BW14" i="17"/>
  <c r="CF14" i="17"/>
  <c r="CY41" i="17"/>
  <c r="V41" i="17"/>
  <c r="C16" i="12"/>
  <c r="BN31" i="17"/>
  <c r="AD31" i="17"/>
  <c r="DG31" i="17"/>
  <c r="BE31" i="17"/>
  <c r="U31" i="17"/>
  <c r="BW31" i="17"/>
  <c r="AM31" i="17"/>
  <c r="G31" i="12"/>
  <c r="DG14" i="17"/>
  <c r="O112" i="9"/>
  <c r="BN48" i="17"/>
  <c r="CO33" i="17"/>
  <c r="G33" i="12"/>
  <c r="DP33" i="17"/>
  <c r="BW33" i="17"/>
  <c r="AM33" i="17"/>
  <c r="B33" i="17"/>
  <c r="DG33" i="17"/>
  <c r="BE33" i="17"/>
  <c r="U33" i="17"/>
  <c r="A29" i="14"/>
  <c r="CX33" i="17"/>
  <c r="AV33" i="17"/>
  <c r="AD33" i="17"/>
  <c r="O23" i="9"/>
  <c r="AL15" i="17"/>
  <c r="DO15" i="17"/>
  <c r="CE15" i="17"/>
  <c r="AU15" i="17"/>
  <c r="K15" i="17"/>
  <c r="CW15" i="17"/>
  <c r="DF15" i="17"/>
  <c r="BV15" i="17"/>
  <c r="AC15" i="17"/>
  <c r="F15" i="12"/>
  <c r="BM15" i="17"/>
  <c r="BD15" i="17"/>
  <c r="CN15" i="17"/>
  <c r="T15" i="17"/>
  <c r="K29" i="17"/>
  <c r="F29" i="12"/>
  <c r="A29" i="17"/>
  <c r="T29" i="17"/>
  <c r="DF29" i="17"/>
  <c r="AU29" i="17"/>
  <c r="BD29" i="17"/>
  <c r="BM29" i="17"/>
  <c r="AL29" i="17"/>
  <c r="AC29" i="17"/>
  <c r="CE29" i="17"/>
  <c r="DO29" i="17"/>
  <c r="CW29" i="17"/>
  <c r="BV29" i="17"/>
  <c r="CN29" i="17"/>
  <c r="AC23" i="17"/>
  <c r="BD23" i="17"/>
  <c r="A23" i="17"/>
  <c r="F23" i="12"/>
  <c r="DO23" i="17"/>
  <c r="CN23" i="17"/>
  <c r="CE23" i="17"/>
  <c r="T23" i="17"/>
  <c r="DF23" i="17"/>
  <c r="BM23" i="17"/>
  <c r="AL23" i="17"/>
  <c r="CW23" i="17"/>
  <c r="K23" i="17"/>
  <c r="AU23" i="17"/>
  <c r="BV23" i="17"/>
  <c r="DH30" i="17"/>
  <c r="B26" i="14"/>
  <c r="BO30" i="17"/>
  <c r="CG30" i="17"/>
  <c r="G67" i="9"/>
  <c r="BF54" i="17"/>
  <c r="C54" i="17"/>
  <c r="BX54" i="17"/>
  <c r="CY54" i="17"/>
  <c r="DQ54" i="17"/>
  <c r="V54" i="17"/>
  <c r="M54" i="17"/>
  <c r="DH54" i="17"/>
  <c r="BO54" i="17"/>
  <c r="H54" i="12"/>
  <c r="AW54" i="17"/>
  <c r="CP54" i="17"/>
  <c r="AN54" i="17"/>
  <c r="S89" i="9"/>
  <c r="CO38" i="17"/>
  <c r="BN38" i="17"/>
  <c r="BE38" i="17"/>
  <c r="U38" i="17"/>
  <c r="AV38" i="17"/>
  <c r="AD38" i="17"/>
  <c r="V15" i="17"/>
  <c r="BF15" i="17"/>
  <c r="BX15" i="17"/>
  <c r="CY15" i="17"/>
  <c r="B11" i="14"/>
  <c r="AN15" i="17"/>
  <c r="M15" i="17"/>
  <c r="C28" i="12"/>
  <c r="DZ28" i="17" s="1"/>
  <c r="EB28" i="17" s="1"/>
  <c r="ED28" i="17" s="1"/>
  <c r="EE28" i="17" s="1"/>
  <c r="EF28" i="17" s="1"/>
  <c r="BW42" i="17"/>
  <c r="DG42" i="17"/>
  <c r="CF42" i="17"/>
  <c r="BE42" i="17"/>
  <c r="CX42" i="17"/>
  <c r="BN42" i="17"/>
  <c r="U42" i="17"/>
  <c r="DP42" i="17"/>
  <c r="CO42" i="17"/>
  <c r="AM42" i="17"/>
  <c r="K47" i="17"/>
  <c r="AU47" i="17"/>
  <c r="BM47" i="17"/>
  <c r="BV43" i="17"/>
  <c r="DF43" i="17"/>
  <c r="BM43" i="17"/>
  <c r="AC43" i="17"/>
  <c r="A43" i="17"/>
  <c r="F43" i="12"/>
  <c r="CW43" i="17"/>
  <c r="BD43" i="17"/>
  <c r="T43" i="17"/>
  <c r="DO43" i="17"/>
  <c r="CE43" i="17"/>
  <c r="AL43" i="17"/>
  <c r="S72" i="9"/>
  <c r="C55" i="12"/>
  <c r="DZ55" i="17" s="1"/>
  <c r="EB55" i="17" s="1"/>
  <c r="ED55" i="17" s="1"/>
  <c r="EF55" i="17" s="1"/>
  <c r="C20" i="12"/>
  <c r="DZ20" i="17" s="1"/>
  <c r="EB20" i="17" s="1"/>
  <c r="ED20" i="17" s="1"/>
  <c r="EE20" i="17" s="1"/>
  <c r="EF20" i="17" s="1"/>
  <c r="O40" i="9"/>
  <c r="S40" i="9" s="1"/>
  <c r="S112" i="9"/>
  <c r="V112" i="9" s="1"/>
  <c r="BM53" i="17"/>
  <c r="BD53" i="17"/>
  <c r="DO53" i="17"/>
  <c r="T53" i="17"/>
  <c r="CN53" i="17"/>
  <c r="DO45" i="17"/>
  <c r="B42" i="14"/>
  <c r="R62" i="9"/>
  <c r="C45" i="12"/>
  <c r="DZ45" i="17" s="1"/>
  <c r="BF41" i="17"/>
  <c r="BE48" i="17"/>
  <c r="DG48" i="17"/>
  <c r="O51" i="9"/>
  <c r="S51" i="9" s="1"/>
  <c r="A13" i="14"/>
  <c r="B17" i="17"/>
  <c r="G17" i="12"/>
  <c r="A18" i="17"/>
  <c r="CE18" i="17"/>
  <c r="CW18" i="17"/>
  <c r="BM18" i="17"/>
  <c r="K18" i="17"/>
  <c r="AC18" i="17"/>
  <c r="DO18" i="17"/>
  <c r="CN18" i="17"/>
  <c r="BD18" i="17"/>
  <c r="T18" i="17"/>
  <c r="AL18" i="17"/>
  <c r="F18" i="12"/>
  <c r="K16" i="17"/>
  <c r="L19" i="17"/>
  <c r="CE28" i="17"/>
  <c r="AL28" i="17"/>
  <c r="DF28" i="17"/>
  <c r="AU28" i="17"/>
  <c r="CW28" i="17"/>
  <c r="BV28" i="17"/>
  <c r="AC28" i="17"/>
  <c r="BD28" i="17"/>
  <c r="A22" i="17"/>
  <c r="A27" i="14"/>
  <c r="B31" i="17"/>
  <c r="CF31" i="17"/>
  <c r="CX31" i="17"/>
  <c r="CO31" i="17"/>
  <c r="L31" i="17"/>
  <c r="B20" i="17"/>
  <c r="T16" i="17"/>
  <c r="CE16" i="17"/>
  <c r="AL16" i="17"/>
  <c r="BD16" i="17"/>
  <c r="CN16" i="17"/>
  <c r="U19" i="17"/>
  <c r="DG19" i="17"/>
  <c r="CX19" i="17"/>
  <c r="AM19" i="17"/>
  <c r="AD19" i="17"/>
  <c r="B19" i="17"/>
  <c r="A31" i="14"/>
  <c r="DF24" i="17"/>
  <c r="CW24" i="17"/>
  <c r="CN24" i="17"/>
  <c r="AL24" i="17"/>
  <c r="F24" i="12"/>
  <c r="CE24" i="17"/>
  <c r="BV24" i="17"/>
  <c r="BM24" i="17"/>
  <c r="K24" i="17"/>
  <c r="T24" i="17"/>
  <c r="P1" i="7"/>
  <c r="P1" i="1"/>
  <c r="Q1" i="8"/>
  <c r="Q1" i="19"/>
  <c r="Q1" i="16"/>
  <c r="N1" i="12"/>
  <c r="Q1" i="2"/>
  <c r="I1" i="17"/>
  <c r="Q1" i="6"/>
  <c r="T1" i="14"/>
  <c r="Q1" i="4"/>
  <c r="Y44" i="17" l="1"/>
  <c r="Y36" i="17"/>
  <c r="Z36" i="17" s="1"/>
  <c r="G32" i="14" s="1"/>
  <c r="S32" i="14" s="1"/>
  <c r="T32" i="14" s="1"/>
  <c r="U32" i="14" s="1"/>
  <c r="DM36" i="17"/>
  <c r="DN36" i="17"/>
  <c r="L55" i="9"/>
  <c r="T39" i="9"/>
  <c r="T52" i="9"/>
  <c r="U63" i="9"/>
  <c r="Y43" i="17"/>
  <c r="C37" i="1"/>
  <c r="H30" i="12"/>
  <c r="CP30" i="17"/>
  <c r="CR30" i="17" s="1"/>
  <c r="AE30" i="17"/>
  <c r="AG30" i="17" s="1"/>
  <c r="AN30" i="17"/>
  <c r="AP30" i="17" s="1"/>
  <c r="V30" i="17"/>
  <c r="X30" i="17" s="1"/>
  <c r="BF30" i="17"/>
  <c r="CY30" i="17"/>
  <c r="DA30" i="17" s="1"/>
  <c r="BX30" i="17"/>
  <c r="BZ30" i="17" s="1"/>
  <c r="M30" i="17"/>
  <c r="O30" i="17" s="1"/>
  <c r="DZ30" i="17"/>
  <c r="EB30" i="17" s="1"/>
  <c r="ED30" i="17" s="1"/>
  <c r="EE30" i="17" s="1"/>
  <c r="EF30" i="17" s="1"/>
  <c r="DQ30" i="17"/>
  <c r="DS30" i="17" s="1"/>
  <c r="R61" i="9"/>
  <c r="U61" i="9" s="1"/>
  <c r="S61" i="9"/>
  <c r="R23" i="9"/>
  <c r="S23" i="9"/>
  <c r="C19" i="17"/>
  <c r="E19" i="17" s="1"/>
  <c r="DZ19" i="17"/>
  <c r="EB19" i="17" s="1"/>
  <c r="ED19" i="17" s="1"/>
  <c r="EE19" i="17" s="1"/>
  <c r="EF19" i="17" s="1"/>
  <c r="C32" i="17"/>
  <c r="E32" i="17" s="1"/>
  <c r="DZ32" i="17"/>
  <c r="EB32" i="17" s="1"/>
  <c r="ED32" i="17" s="1"/>
  <c r="EE32" i="17" s="1"/>
  <c r="EF32" i="17" s="1"/>
  <c r="EE15" i="17"/>
  <c r="BX42" i="17"/>
  <c r="BZ42" i="17" s="1"/>
  <c r="DZ42" i="17"/>
  <c r="EB42" i="17" s="1"/>
  <c r="ED42" i="17" s="1"/>
  <c r="EE42" i="17" s="1"/>
  <c r="EF42" i="17" s="1"/>
  <c r="CP31" i="17"/>
  <c r="CR31" i="17" s="1"/>
  <c r="DZ31" i="17"/>
  <c r="EB31" i="17" s="1"/>
  <c r="ED31" i="17" s="1"/>
  <c r="EE31" i="17" s="1"/>
  <c r="EF31" i="17" s="1"/>
  <c r="EA56" i="17"/>
  <c r="EA58" i="17" s="1"/>
  <c r="AM65" i="17"/>
  <c r="DY65" i="17"/>
  <c r="DP63" i="17"/>
  <c r="DY63" i="17"/>
  <c r="EE46" i="17"/>
  <c r="EF46" i="17" s="1"/>
  <c r="C16" i="17"/>
  <c r="E16" i="17" s="1"/>
  <c r="DZ16" i="17"/>
  <c r="EB16" i="17" s="1"/>
  <c r="ED16" i="17" s="1"/>
  <c r="BO26" i="17"/>
  <c r="BQ26" i="17" s="1"/>
  <c r="DZ26" i="17"/>
  <c r="EB26" i="17" s="1"/>
  <c r="ED26" i="17" s="1"/>
  <c r="EE26" i="17" s="1"/>
  <c r="EF26" i="17" s="1"/>
  <c r="D117" i="9"/>
  <c r="C132" i="9"/>
  <c r="CG19" i="17"/>
  <c r="CI19" i="17" s="1"/>
  <c r="V53" i="17"/>
  <c r="X53" i="17" s="1"/>
  <c r="DZ53" i="17"/>
  <c r="EB45" i="17"/>
  <c r="EE25" i="17"/>
  <c r="EF25" i="17" s="1"/>
  <c r="G17" i="1"/>
  <c r="E17" i="1"/>
  <c r="E37" i="1" s="1"/>
  <c r="F17" i="1"/>
  <c r="D17" i="1"/>
  <c r="D37" i="1" s="1"/>
  <c r="K17" i="1"/>
  <c r="H17" i="1"/>
  <c r="I17" i="1"/>
  <c r="K54" i="12"/>
  <c r="J17" i="1"/>
  <c r="D27" i="8"/>
  <c r="P15" i="1"/>
  <c r="R92" i="9"/>
  <c r="R97" i="9"/>
  <c r="R101" i="9"/>
  <c r="D19" i="2"/>
  <c r="D20" i="2"/>
  <c r="D18" i="4"/>
  <c r="D28" i="4"/>
  <c r="D16" i="4"/>
  <c r="D14" i="4"/>
  <c r="D29" i="4"/>
  <c r="T72" i="9"/>
  <c r="T70" i="9"/>
  <c r="T73" i="9"/>
  <c r="T78" i="9" s="1"/>
  <c r="D20" i="4"/>
  <c r="D19" i="4"/>
  <c r="D22" i="4"/>
  <c r="T71" i="9"/>
  <c r="D27" i="4"/>
  <c r="D23" i="4"/>
  <c r="D15" i="4"/>
  <c r="D21" i="4"/>
  <c r="D24" i="4"/>
  <c r="D25" i="4"/>
  <c r="D26" i="4"/>
  <c r="D21" i="16"/>
  <c r="D23" i="16"/>
  <c r="D14" i="16"/>
  <c r="D16" i="16"/>
  <c r="D15" i="16"/>
  <c r="D18" i="16"/>
  <c r="D19" i="16"/>
  <c r="D26" i="16"/>
  <c r="D22" i="16"/>
  <c r="D28" i="16"/>
  <c r="D25" i="16"/>
  <c r="D24" i="16"/>
  <c r="D27" i="16"/>
  <c r="D29" i="16"/>
  <c r="D20" i="16"/>
  <c r="D18" i="19"/>
  <c r="D22" i="19"/>
  <c r="D17" i="19"/>
  <c r="D26" i="19"/>
  <c r="D15" i="19"/>
  <c r="D25" i="19"/>
  <c r="D14" i="19"/>
  <c r="D16" i="19"/>
  <c r="D29" i="19"/>
  <c r="D24" i="19"/>
  <c r="D27" i="19"/>
  <c r="D21" i="19"/>
  <c r="D23" i="19"/>
  <c r="D28" i="19"/>
  <c r="D19" i="19"/>
  <c r="D20" i="19"/>
  <c r="BW65" i="17"/>
  <c r="R98" i="9"/>
  <c r="D15" i="2"/>
  <c r="D16" i="2"/>
  <c r="D21" i="2"/>
  <c r="D17" i="16"/>
  <c r="D25" i="2"/>
  <c r="D17" i="4"/>
  <c r="H20" i="1"/>
  <c r="G25" i="1"/>
  <c r="D28" i="2"/>
  <c r="U58" i="9"/>
  <c r="U62" i="9"/>
  <c r="U59" i="9"/>
  <c r="D27" i="2"/>
  <c r="D29" i="2"/>
  <c r="M17" i="1"/>
  <c r="H27" i="1"/>
  <c r="T32" i="9"/>
  <c r="T45" i="9"/>
  <c r="T41" i="9"/>
  <c r="U41" i="9" s="1"/>
  <c r="T49" i="9"/>
  <c r="T44" i="9"/>
  <c r="T34" i="9"/>
  <c r="R34" i="9" s="1"/>
  <c r="T35" i="9"/>
  <c r="T33" i="9"/>
  <c r="T43" i="9"/>
  <c r="D22" i="2"/>
  <c r="T40" i="9"/>
  <c r="U40" i="9" s="1"/>
  <c r="T36" i="9"/>
  <c r="T50" i="9"/>
  <c r="T37" i="9"/>
  <c r="T47" i="9"/>
  <c r="D26" i="2"/>
  <c r="T31" i="9"/>
  <c r="T51" i="9"/>
  <c r="R51" i="9" s="1"/>
  <c r="D14" i="2"/>
  <c r="T42" i="9"/>
  <c r="D18" i="2"/>
  <c r="D23" i="2"/>
  <c r="T48" i="9"/>
  <c r="D17" i="2"/>
  <c r="T38" i="9"/>
  <c r="T46" i="9"/>
  <c r="R89" i="9"/>
  <c r="R96" i="9"/>
  <c r="D24" i="2"/>
  <c r="R91" i="9"/>
  <c r="R90" i="9"/>
  <c r="R95" i="9"/>
  <c r="AD65" i="17"/>
  <c r="BE65" i="17"/>
  <c r="M32" i="17"/>
  <c r="O32" i="17" s="1"/>
  <c r="L63" i="17"/>
  <c r="AV63" i="17"/>
  <c r="CF63" i="17"/>
  <c r="CX63" i="17"/>
  <c r="AD63" i="17"/>
  <c r="H32" i="12"/>
  <c r="J32" i="12" s="1"/>
  <c r="U63" i="17"/>
  <c r="DH32" i="17"/>
  <c r="DJ32" i="17" s="1"/>
  <c r="R22" i="9"/>
  <c r="BN63" i="17"/>
  <c r="DG63" i="17"/>
  <c r="AM63" i="17"/>
  <c r="CY32" i="17"/>
  <c r="BF32" i="17"/>
  <c r="CG32" i="17"/>
  <c r="BF53" i="17"/>
  <c r="CP32" i="17"/>
  <c r="BX32" i="17"/>
  <c r="AN19" i="17"/>
  <c r="H19" i="12"/>
  <c r="J19" i="12" s="1"/>
  <c r="B55" i="14"/>
  <c r="BE63" i="17"/>
  <c r="B15" i="14"/>
  <c r="AW53" i="17"/>
  <c r="BO53" i="17"/>
  <c r="CG53" i="17"/>
  <c r="H25" i="12"/>
  <c r="AE19" i="17"/>
  <c r="AG19" i="17" s="1"/>
  <c r="AN32" i="17"/>
  <c r="H53" i="12"/>
  <c r="CP53" i="17"/>
  <c r="CR53" i="17" s="1"/>
  <c r="DQ53" i="17"/>
  <c r="DS53" i="17" s="1"/>
  <c r="BX53" i="17"/>
  <c r="BZ53" i="17" s="1"/>
  <c r="C53" i="17"/>
  <c r="E53" i="17" s="1"/>
  <c r="BW63" i="17"/>
  <c r="CP19" i="17"/>
  <c r="AW32" i="17"/>
  <c r="DQ25" i="17"/>
  <c r="DS25" i="17" s="1"/>
  <c r="CY19" i="17"/>
  <c r="DA19" i="17" s="1"/>
  <c r="M53" i="17"/>
  <c r="O53" i="17" s="1"/>
  <c r="V32" i="17"/>
  <c r="BO19" i="17"/>
  <c r="AE32" i="17"/>
  <c r="S75" i="9"/>
  <c r="V75" i="9" s="1"/>
  <c r="DH53" i="17"/>
  <c r="BO32" i="17"/>
  <c r="AN53" i="17"/>
  <c r="CO63" i="17"/>
  <c r="DQ32" i="17"/>
  <c r="AE53" i="17"/>
  <c r="AG53" i="17" s="1"/>
  <c r="C25" i="17"/>
  <c r="CY53" i="17"/>
  <c r="V19" i="17"/>
  <c r="B28" i="14"/>
  <c r="E84" i="9"/>
  <c r="I27" i="1"/>
  <c r="N27" i="1"/>
  <c r="J27" i="1"/>
  <c r="K27" i="1"/>
  <c r="L27" i="1"/>
  <c r="M27" i="1"/>
  <c r="C13" i="9"/>
  <c r="AW42" i="17"/>
  <c r="AN42" i="17"/>
  <c r="M42" i="17"/>
  <c r="BF42" i="17"/>
  <c r="CP42" i="17"/>
  <c r="C42" i="17"/>
  <c r="V31" i="17"/>
  <c r="CY42" i="17"/>
  <c r="DA42" i="17" s="1"/>
  <c r="DH19" i="17"/>
  <c r="AG54" i="17"/>
  <c r="DH31" i="17"/>
  <c r="DJ31" i="17" s="1"/>
  <c r="BF31" i="17"/>
  <c r="AW19" i="17"/>
  <c r="M19" i="17"/>
  <c r="BN65" i="17"/>
  <c r="CX65" i="17"/>
  <c r="DG65" i="17"/>
  <c r="DP65" i="17"/>
  <c r="L65" i="17"/>
  <c r="CO65" i="17"/>
  <c r="CF65" i="17"/>
  <c r="U65" i="17"/>
  <c r="DQ19" i="17"/>
  <c r="BX19" i="17"/>
  <c r="V42" i="17"/>
  <c r="X42" i="17" s="1"/>
  <c r="BO42" i="17"/>
  <c r="DH42" i="17"/>
  <c r="AE42" i="17"/>
  <c r="BF19" i="17"/>
  <c r="CG42" i="17"/>
  <c r="AV65" i="17"/>
  <c r="F84" i="9"/>
  <c r="H42" i="12"/>
  <c r="I42" i="12" s="1"/>
  <c r="DQ42" i="17"/>
  <c r="G26" i="1"/>
  <c r="C6" i="20"/>
  <c r="F22" i="1"/>
  <c r="G19" i="1"/>
  <c r="V16" i="17"/>
  <c r="X16" i="17" s="1"/>
  <c r="O80" i="9"/>
  <c r="C61" i="12"/>
  <c r="DZ61" i="17" s="1"/>
  <c r="S78" i="9"/>
  <c r="S80" i="9" s="1"/>
  <c r="B58" i="14"/>
  <c r="B60" i="14" s="1"/>
  <c r="BX56" i="17"/>
  <c r="M56" i="17"/>
  <c r="BO56" i="17"/>
  <c r="DH56" i="17"/>
  <c r="AE56" i="17"/>
  <c r="CP56" i="17"/>
  <c r="BF56" i="17"/>
  <c r="CY56" i="17"/>
  <c r="AN56" i="17"/>
  <c r="DQ56" i="17"/>
  <c r="C56" i="17"/>
  <c r="CG56" i="17"/>
  <c r="H56" i="12"/>
  <c r="AW56" i="17"/>
  <c r="V56" i="17"/>
  <c r="C44" i="12"/>
  <c r="B27" i="14"/>
  <c r="C31" i="17"/>
  <c r="C24" i="12"/>
  <c r="B22" i="14"/>
  <c r="V26" i="17"/>
  <c r="BF26" i="17"/>
  <c r="DQ26" i="17"/>
  <c r="AE26" i="17"/>
  <c r="CG26" i="17"/>
  <c r="CP26" i="17"/>
  <c r="CG16" i="17"/>
  <c r="CI16" i="17" s="1"/>
  <c r="C26" i="17"/>
  <c r="DH16" i="17"/>
  <c r="DJ16" i="17" s="1"/>
  <c r="H16" i="12"/>
  <c r="AW25" i="17"/>
  <c r="BX16" i="17"/>
  <c r="BO25" i="17"/>
  <c r="AN26" i="17"/>
  <c r="M25" i="17"/>
  <c r="AN25" i="17"/>
  <c r="CY26" i="17"/>
  <c r="DH25" i="17"/>
  <c r="CG25" i="17"/>
  <c r="M26" i="17"/>
  <c r="CY25" i="17"/>
  <c r="H26" i="12"/>
  <c r="I26" i="12" s="1"/>
  <c r="I38" i="12" s="1"/>
  <c r="AE25" i="17"/>
  <c r="AW26" i="17"/>
  <c r="BF25" i="17"/>
  <c r="AW31" i="17"/>
  <c r="CP25" i="17"/>
  <c r="AE31" i="17"/>
  <c r="V25" i="17"/>
  <c r="X25" i="17" s="1"/>
  <c r="B21" i="14"/>
  <c r="H31" i="12"/>
  <c r="DH26" i="17"/>
  <c r="BX26" i="17"/>
  <c r="B25" i="14"/>
  <c r="CP29" i="17"/>
  <c r="AN29" i="17"/>
  <c r="CY29" i="17"/>
  <c r="BO29" i="17"/>
  <c r="AE29" i="17"/>
  <c r="BF29" i="17"/>
  <c r="H29" i="12"/>
  <c r="AW29" i="17"/>
  <c r="V29" i="17"/>
  <c r="DQ29" i="17"/>
  <c r="C29" i="17"/>
  <c r="M29" i="17"/>
  <c r="DH29" i="17"/>
  <c r="BX29" i="17"/>
  <c r="CG29" i="17"/>
  <c r="AN31" i="17"/>
  <c r="AP31" i="17" s="1"/>
  <c r="CG31" i="17"/>
  <c r="CI31" i="17" s="1"/>
  <c r="M31" i="17"/>
  <c r="DQ31" i="17"/>
  <c r="BX25" i="17"/>
  <c r="BZ25" i="17" s="1"/>
  <c r="BX31" i="17"/>
  <c r="BO31" i="17"/>
  <c r="CY31" i="17"/>
  <c r="M16" i="17"/>
  <c r="BO16" i="17"/>
  <c r="BQ16" i="17" s="1"/>
  <c r="CY16" i="17"/>
  <c r="CP16" i="17"/>
  <c r="P18" i="1"/>
  <c r="P14" i="1"/>
  <c r="J15" i="12"/>
  <c r="BZ41" i="17"/>
  <c r="E30" i="17"/>
  <c r="O52" i="9"/>
  <c r="S52" i="9" s="1"/>
  <c r="C48" i="12"/>
  <c r="DZ48" i="17" s="1"/>
  <c r="EB48" i="17" s="1"/>
  <c r="ED48" i="17" s="1"/>
  <c r="EE48" i="17" s="1"/>
  <c r="EF48" i="17" s="1"/>
  <c r="R65" i="9"/>
  <c r="B45" i="14"/>
  <c r="B41" i="14"/>
  <c r="DS41" i="17"/>
  <c r="AP41" i="17"/>
  <c r="O41" i="17"/>
  <c r="CI41" i="17"/>
  <c r="DJ41" i="17"/>
  <c r="CR41" i="17"/>
  <c r="BQ41" i="17"/>
  <c r="AY41" i="17"/>
  <c r="BH30" i="17"/>
  <c r="DQ16" i="17"/>
  <c r="BF16" i="17"/>
  <c r="BH16" i="17" s="1"/>
  <c r="B12" i="14"/>
  <c r="CR15" i="17"/>
  <c r="AY15" i="17"/>
  <c r="E15" i="17"/>
  <c r="AW16" i="17"/>
  <c r="AY16" i="17" s="1"/>
  <c r="AG15" i="17"/>
  <c r="AE16" i="17"/>
  <c r="AN16" i="17"/>
  <c r="C18" i="12"/>
  <c r="DZ18" i="17" s="1"/>
  <c r="EB18" i="17" s="1"/>
  <c r="ED18" i="17" s="1"/>
  <c r="H28" i="1"/>
  <c r="J24" i="1"/>
  <c r="I21" i="1"/>
  <c r="J20" i="1"/>
  <c r="G84" i="9"/>
  <c r="X41" i="17"/>
  <c r="DA41" i="17"/>
  <c r="C46" i="17"/>
  <c r="M46" i="17"/>
  <c r="DH46" i="17"/>
  <c r="DQ46" i="17"/>
  <c r="CY46" i="17"/>
  <c r="AE46" i="17"/>
  <c r="AN46" i="17"/>
  <c r="AW46" i="17"/>
  <c r="BX46" i="17"/>
  <c r="BO46" i="17"/>
  <c r="H46" i="12"/>
  <c r="I46" i="12" s="1"/>
  <c r="CP46" i="17"/>
  <c r="CG46" i="17"/>
  <c r="V46" i="17"/>
  <c r="BF46" i="17"/>
  <c r="BZ15" i="17"/>
  <c r="V28" i="17"/>
  <c r="CP28" i="17"/>
  <c r="BX28" i="17"/>
  <c r="DQ28" i="17"/>
  <c r="AE28" i="17"/>
  <c r="CG28" i="17"/>
  <c r="B24" i="14"/>
  <c r="AW28" i="17"/>
  <c r="C28" i="17"/>
  <c r="BO28" i="17"/>
  <c r="M28" i="17"/>
  <c r="DH28" i="17"/>
  <c r="BF28" i="17"/>
  <c r="CY28" i="17"/>
  <c r="AN28" i="17"/>
  <c r="H28" i="12"/>
  <c r="BH15" i="17"/>
  <c r="O37" i="9"/>
  <c r="S37" i="9" s="1"/>
  <c r="AY54" i="17"/>
  <c r="X54" i="17"/>
  <c r="H67" i="9"/>
  <c r="CR54" i="17"/>
  <c r="O54" i="17"/>
  <c r="BH54" i="17"/>
  <c r="DJ30" i="17"/>
  <c r="CY45" i="17"/>
  <c r="DH45" i="17"/>
  <c r="H45" i="12"/>
  <c r="I45" i="12" s="1"/>
  <c r="AW45" i="17"/>
  <c r="AN45" i="17"/>
  <c r="CP45" i="17"/>
  <c r="BX45" i="17"/>
  <c r="DQ45" i="17"/>
  <c r="C45" i="17"/>
  <c r="V45" i="17"/>
  <c r="M45" i="17"/>
  <c r="BO45" i="17"/>
  <c r="AE45" i="17"/>
  <c r="BF45" i="17"/>
  <c r="CG45" i="17"/>
  <c r="V55" i="17"/>
  <c r="BF55" i="17"/>
  <c r="AN55" i="17"/>
  <c r="CY55" i="17"/>
  <c r="AE55" i="17"/>
  <c r="H55" i="12"/>
  <c r="DQ55" i="17"/>
  <c r="CP55" i="17"/>
  <c r="BX55" i="17"/>
  <c r="C55" i="17"/>
  <c r="CG55" i="17"/>
  <c r="M55" i="17"/>
  <c r="DH55" i="17"/>
  <c r="BO55" i="17"/>
  <c r="AW55" i="17"/>
  <c r="O15" i="17"/>
  <c r="X15" i="17"/>
  <c r="C58" i="12"/>
  <c r="DS54" i="17"/>
  <c r="O50" i="9"/>
  <c r="S50" i="9" s="1"/>
  <c r="J30" i="12"/>
  <c r="BH41" i="17"/>
  <c r="AP15" i="17"/>
  <c r="J54" i="12"/>
  <c r="DA54" i="17"/>
  <c r="C23" i="12"/>
  <c r="DZ23" i="17" s="1"/>
  <c r="EB23" i="17" s="1"/>
  <c r="ED23" i="17" s="1"/>
  <c r="BQ54" i="17"/>
  <c r="BZ54" i="17"/>
  <c r="CI30" i="17"/>
  <c r="C34" i="12"/>
  <c r="DZ34" i="17" s="1"/>
  <c r="EB34" i="17" s="1"/>
  <c r="ED34" i="17" s="1"/>
  <c r="EE34" i="17" s="1"/>
  <c r="EF34" i="17" s="1"/>
  <c r="CG20" i="17"/>
  <c r="V20" i="17"/>
  <c r="CY20" i="17"/>
  <c r="BX20" i="17"/>
  <c r="B16" i="14"/>
  <c r="H20" i="12"/>
  <c r="CP20" i="17"/>
  <c r="C20" i="17"/>
  <c r="AW20" i="17"/>
  <c r="DQ20" i="17"/>
  <c r="M20" i="17"/>
  <c r="BO20" i="17"/>
  <c r="AN20" i="17"/>
  <c r="AE20" i="17"/>
  <c r="BF20" i="17"/>
  <c r="DH20" i="17"/>
  <c r="O60" i="9"/>
  <c r="S60" i="9" s="1"/>
  <c r="DA15" i="17"/>
  <c r="AP54" i="17"/>
  <c r="DJ54" i="17"/>
  <c r="E54" i="17"/>
  <c r="BQ30" i="17"/>
  <c r="V80" i="9" l="1"/>
  <c r="EE16" i="17"/>
  <c r="EF16" i="17" s="1"/>
  <c r="EF15" i="17"/>
  <c r="AA36" i="17"/>
  <c r="AB36" i="17"/>
  <c r="M55" i="9"/>
  <c r="B6" i="20"/>
  <c r="E41" i="8"/>
  <c r="D37" i="19"/>
  <c r="D35" i="4"/>
  <c r="D35" i="2"/>
  <c r="F37" i="1"/>
  <c r="F38" i="1" s="1"/>
  <c r="EB56" i="17"/>
  <c r="ED56" i="17" s="1"/>
  <c r="EF56" i="17" s="1"/>
  <c r="EE18" i="17"/>
  <c r="EF18" i="17" s="1"/>
  <c r="DH44" i="17"/>
  <c r="DZ44" i="17"/>
  <c r="EB44" i="17" s="1"/>
  <c r="ED44" i="17" s="1"/>
  <c r="EE44" i="17" s="1"/>
  <c r="EF44" i="17" s="1"/>
  <c r="D132" i="9"/>
  <c r="EB53" i="17"/>
  <c r="DZ58" i="17"/>
  <c r="DZ63" i="17"/>
  <c r="EB61" i="17"/>
  <c r="Q39" i="19"/>
  <c r="Q39" i="23"/>
  <c r="Q40" i="23" s="1"/>
  <c r="ED45" i="17"/>
  <c r="H24" i="12"/>
  <c r="J24" i="12" s="1"/>
  <c r="DZ24" i="17"/>
  <c r="EB24" i="17" s="1"/>
  <c r="ED24" i="17" s="1"/>
  <c r="EE24" i="17" s="1"/>
  <c r="EF24" i="17" s="1"/>
  <c r="EE23" i="17"/>
  <c r="EF23" i="17" s="1"/>
  <c r="D35" i="16"/>
  <c r="R40" i="9"/>
  <c r="T21" i="9"/>
  <c r="T24" i="9"/>
  <c r="U24" i="9" s="1"/>
  <c r="T14" i="9"/>
  <c r="T18" i="9"/>
  <c r="T17" i="9"/>
  <c r="T22" i="9"/>
  <c r="U22" i="9" s="1"/>
  <c r="L54" i="12"/>
  <c r="T23" i="9"/>
  <c r="U23" i="9" s="1"/>
  <c r="K53" i="12"/>
  <c r="K55" i="12"/>
  <c r="K56" i="12"/>
  <c r="T19" i="9"/>
  <c r="T13" i="9"/>
  <c r="O27" i="1"/>
  <c r="P27" i="1" s="1"/>
  <c r="U65" i="9"/>
  <c r="Q27" i="8"/>
  <c r="R41" i="9"/>
  <c r="U34" i="9"/>
  <c r="AG32" i="17"/>
  <c r="U36" i="9"/>
  <c r="R36" i="9"/>
  <c r="F42" i="17"/>
  <c r="DK42" i="17"/>
  <c r="CA42" i="17"/>
  <c r="CJ42" i="17"/>
  <c r="AZ42" i="17"/>
  <c r="DT42" i="17"/>
  <c r="Y42" i="17"/>
  <c r="CS42" i="17"/>
  <c r="AQ42" i="17"/>
  <c r="BR42" i="17"/>
  <c r="AH42" i="17"/>
  <c r="DB42" i="17"/>
  <c r="DC42" i="17" s="1"/>
  <c r="BI42" i="17"/>
  <c r="F54" i="17"/>
  <c r="G54" i="17" s="1"/>
  <c r="DK54" i="17"/>
  <c r="AZ54" i="17"/>
  <c r="BR54" i="17"/>
  <c r="CA54" i="17"/>
  <c r="CB54" i="17" s="1"/>
  <c r="BI54" i="17"/>
  <c r="BJ54" i="17" s="1"/>
  <c r="AH54" i="17"/>
  <c r="DT54" i="17"/>
  <c r="DU54" i="17" s="1"/>
  <c r="DB54" i="17"/>
  <c r="CS54" i="17"/>
  <c r="CJ54" i="17"/>
  <c r="Y54" i="17"/>
  <c r="AQ54" i="17"/>
  <c r="R43" i="9"/>
  <c r="U43" i="9"/>
  <c r="U71" i="9"/>
  <c r="R71" i="9"/>
  <c r="U31" i="9"/>
  <c r="R31" i="9"/>
  <c r="F55" i="17"/>
  <c r="CS55" i="17"/>
  <c r="AZ55" i="17"/>
  <c r="DB55" i="17"/>
  <c r="DT55" i="17"/>
  <c r="CJ55" i="17"/>
  <c r="BR55" i="17"/>
  <c r="DK55" i="17"/>
  <c r="AH55" i="17"/>
  <c r="CA55" i="17"/>
  <c r="Y55" i="17"/>
  <c r="AQ55" i="17"/>
  <c r="BI55" i="17"/>
  <c r="F46" i="17"/>
  <c r="AZ46" i="17"/>
  <c r="CA46" i="17"/>
  <c r="DB46" i="17"/>
  <c r="CS46" i="17"/>
  <c r="Y46" i="17"/>
  <c r="BR46" i="17"/>
  <c r="AQ46" i="17"/>
  <c r="DT46" i="17"/>
  <c r="DK46" i="17"/>
  <c r="AH46" i="17"/>
  <c r="BI46" i="17"/>
  <c r="CJ46" i="17"/>
  <c r="AZ45" i="17"/>
  <c r="F45" i="17"/>
  <c r="Y45" i="17"/>
  <c r="BI45" i="17"/>
  <c r="AQ45" i="17"/>
  <c r="CS45" i="17"/>
  <c r="DB45" i="17"/>
  <c r="DK45" i="17"/>
  <c r="AH45" i="17"/>
  <c r="DT45" i="17"/>
  <c r="BR45" i="17"/>
  <c r="CA45" i="17"/>
  <c r="CJ45" i="17"/>
  <c r="R49" i="9"/>
  <c r="U49" i="9"/>
  <c r="R72" i="9"/>
  <c r="U72" i="9"/>
  <c r="H25" i="1"/>
  <c r="AQ47" i="17"/>
  <c r="F47" i="17"/>
  <c r="DK47" i="17"/>
  <c r="CA47" i="17"/>
  <c r="Y47" i="17"/>
  <c r="BI47" i="17"/>
  <c r="AZ47" i="17"/>
  <c r="DB47" i="17"/>
  <c r="AH47" i="17"/>
  <c r="DT47" i="17"/>
  <c r="CJ47" i="17"/>
  <c r="CS47" i="17"/>
  <c r="BR47" i="17"/>
  <c r="R73" i="9"/>
  <c r="U73" i="9"/>
  <c r="U51" i="9"/>
  <c r="U70" i="9"/>
  <c r="R70" i="9"/>
  <c r="U48" i="9"/>
  <c r="R48" i="9"/>
  <c r="U45" i="9"/>
  <c r="R45" i="9"/>
  <c r="U47" i="9"/>
  <c r="R47" i="9"/>
  <c r="Q17" i="8"/>
  <c r="N17" i="1"/>
  <c r="U46" i="9"/>
  <c r="R46" i="9"/>
  <c r="AQ56" i="17"/>
  <c r="DK56" i="17"/>
  <c r="F56" i="17"/>
  <c r="BR56" i="17"/>
  <c r="DT56" i="17"/>
  <c r="BI56" i="17"/>
  <c r="CA56" i="17"/>
  <c r="CJ56" i="17"/>
  <c r="AZ56" i="17"/>
  <c r="DB56" i="17"/>
  <c r="AH56" i="17"/>
  <c r="CS56" i="17"/>
  <c r="Y56" i="17"/>
  <c r="P46" i="17"/>
  <c r="F41" i="17"/>
  <c r="AQ41" i="17"/>
  <c r="P42" i="17"/>
  <c r="P41" i="17"/>
  <c r="BR41" i="17"/>
  <c r="CS41" i="17"/>
  <c r="BI41" i="17"/>
  <c r="BJ41" i="17" s="1"/>
  <c r="AH41" i="17"/>
  <c r="CJ41" i="17"/>
  <c r="DT41" i="17"/>
  <c r="P44" i="17"/>
  <c r="P45" i="17"/>
  <c r="DB41" i="17"/>
  <c r="DC41" i="17" s="1"/>
  <c r="CA41" i="17"/>
  <c r="P43" i="17"/>
  <c r="P48" i="17"/>
  <c r="Y41" i="17"/>
  <c r="AZ41" i="17"/>
  <c r="DK41" i="17"/>
  <c r="P47" i="17"/>
  <c r="AZ48" i="17"/>
  <c r="DK48" i="17"/>
  <c r="F48" i="17"/>
  <c r="CJ48" i="17"/>
  <c r="DB48" i="17"/>
  <c r="AH48" i="17"/>
  <c r="BR48" i="17"/>
  <c r="BI48" i="17"/>
  <c r="Y48" i="17"/>
  <c r="DT48" i="17"/>
  <c r="CS48" i="17"/>
  <c r="AQ48" i="17"/>
  <c r="CA48" i="17"/>
  <c r="DK31" i="17"/>
  <c r="F31" i="17"/>
  <c r="P31" i="17"/>
  <c r="DT31" i="17"/>
  <c r="CS31" i="17"/>
  <c r="BI31" i="17"/>
  <c r="CJ31" i="17"/>
  <c r="CK31" i="17" s="1"/>
  <c r="BR31" i="17"/>
  <c r="AQ31" i="17"/>
  <c r="DB31" i="17"/>
  <c r="AH31" i="17"/>
  <c r="AZ31" i="17"/>
  <c r="Y31" i="17"/>
  <c r="CA31" i="17"/>
  <c r="U35" i="9"/>
  <c r="R35" i="9"/>
  <c r="U42" i="9"/>
  <c r="R42" i="9"/>
  <c r="CI32" i="17"/>
  <c r="AY53" i="17"/>
  <c r="AP53" i="17"/>
  <c r="BQ53" i="17"/>
  <c r="DJ42" i="17"/>
  <c r="X19" i="17"/>
  <c r="BZ32" i="17"/>
  <c r="BH32" i="17"/>
  <c r="AP32" i="17"/>
  <c r="DA32" i="17"/>
  <c r="X31" i="17"/>
  <c r="E25" i="17"/>
  <c r="J25" i="12"/>
  <c r="DS32" i="17"/>
  <c r="DA53" i="17"/>
  <c r="AY32" i="17"/>
  <c r="CI53" i="17"/>
  <c r="AP19" i="17"/>
  <c r="BH53" i="17"/>
  <c r="CR32" i="17"/>
  <c r="CI42" i="17"/>
  <c r="BQ32" i="17"/>
  <c r="CP58" i="17"/>
  <c r="AG42" i="17"/>
  <c r="J53" i="12"/>
  <c r="L53" i="12" s="1"/>
  <c r="D50" i="14" s="1"/>
  <c r="BH31" i="17"/>
  <c r="CR19" i="17"/>
  <c r="O31" i="17"/>
  <c r="X32" i="17"/>
  <c r="DJ53" i="17"/>
  <c r="BQ19" i="17"/>
  <c r="M24" i="17"/>
  <c r="O24" i="17" s="1"/>
  <c r="BO24" i="17"/>
  <c r="AE24" i="17"/>
  <c r="V24" i="17"/>
  <c r="X24" i="17" s="1"/>
  <c r="AW24" i="17"/>
  <c r="AY24" i="17" s="1"/>
  <c r="AN24" i="17"/>
  <c r="CP24" i="17"/>
  <c r="CY24" i="17"/>
  <c r="DA24" i="17" s="1"/>
  <c r="B20" i="14"/>
  <c r="DQ24" i="17"/>
  <c r="O42" i="17"/>
  <c r="AP42" i="17"/>
  <c r="BH42" i="17"/>
  <c r="E42" i="17"/>
  <c r="AY42" i="17"/>
  <c r="D38" i="1"/>
  <c r="E6" i="20" a="1"/>
  <c r="AY19" i="17"/>
  <c r="DJ19" i="17"/>
  <c r="BZ19" i="17"/>
  <c r="CR42" i="17"/>
  <c r="AY31" i="17"/>
  <c r="DS31" i="17"/>
  <c r="DS19" i="17"/>
  <c r="O19" i="17"/>
  <c r="M58" i="17"/>
  <c r="BH19" i="17"/>
  <c r="DH58" i="17"/>
  <c r="E31" i="17"/>
  <c r="BO58" i="17"/>
  <c r="BX58" i="17"/>
  <c r="BQ42" i="17"/>
  <c r="H44" i="12"/>
  <c r="I44" i="12" s="1"/>
  <c r="BX44" i="17"/>
  <c r="BZ44" i="17" s="1"/>
  <c r="CB44" i="17" s="1"/>
  <c r="V44" i="17"/>
  <c r="BO44" i="17"/>
  <c r="CP44" i="17"/>
  <c r="AN44" i="17"/>
  <c r="C44" i="17"/>
  <c r="DQ44" i="17"/>
  <c r="AW44" i="17"/>
  <c r="M44" i="17"/>
  <c r="CG44" i="17"/>
  <c r="CI44" i="17" s="1"/>
  <c r="CK44" i="17" s="1"/>
  <c r="AE44" i="17"/>
  <c r="DS42" i="17"/>
  <c r="C35" i="12"/>
  <c r="DZ35" i="17" s="1"/>
  <c r="H26" i="1"/>
  <c r="G22" i="1"/>
  <c r="G37" i="1" s="1"/>
  <c r="H19" i="1"/>
  <c r="O25" i="17"/>
  <c r="CI25" i="17"/>
  <c r="DA25" i="17"/>
  <c r="DA16" i="17"/>
  <c r="O16" i="17"/>
  <c r="C63" i="12"/>
  <c r="AE61" i="17"/>
  <c r="BX61" i="17"/>
  <c r="CG61" i="17"/>
  <c r="BF61" i="17"/>
  <c r="DQ61" i="17"/>
  <c r="C61" i="17"/>
  <c r="CY61" i="17"/>
  <c r="AN61" i="17"/>
  <c r="BO61" i="17"/>
  <c r="CP61" i="17"/>
  <c r="DH61" i="17"/>
  <c r="M61" i="17"/>
  <c r="AW61" i="17"/>
  <c r="V61" i="17"/>
  <c r="H61" i="12"/>
  <c r="J61" i="12" s="1"/>
  <c r="W56" i="17"/>
  <c r="AX56" i="17"/>
  <c r="AY56" i="17" s="1"/>
  <c r="I56" i="12"/>
  <c r="CH56" i="17"/>
  <c r="CI56" i="17" s="1"/>
  <c r="D56" i="17"/>
  <c r="DR56" i="17"/>
  <c r="AO56" i="17"/>
  <c r="AP56" i="17" s="1"/>
  <c r="CZ56" i="17"/>
  <c r="DA56" i="17" s="1"/>
  <c r="BG56" i="17"/>
  <c r="CQ56" i="17"/>
  <c r="AF56" i="17"/>
  <c r="AG56" i="17" s="1"/>
  <c r="H58" i="12"/>
  <c r="DI56" i="17"/>
  <c r="BP56" i="17"/>
  <c r="N56" i="17"/>
  <c r="AN58" i="17"/>
  <c r="BY56" i="17"/>
  <c r="BF58" i="17"/>
  <c r="CY44" i="17"/>
  <c r="BF44" i="17"/>
  <c r="BZ31" i="17"/>
  <c r="CR16" i="17"/>
  <c r="BQ25" i="17"/>
  <c r="DJ26" i="17"/>
  <c r="CH26" i="17"/>
  <c r="CH38" i="17" s="1"/>
  <c r="CR25" i="17"/>
  <c r="BX24" i="17"/>
  <c r="BH25" i="17"/>
  <c r="CG24" i="17"/>
  <c r="E26" i="17"/>
  <c r="U52" i="9"/>
  <c r="BQ31" i="17"/>
  <c r="BY26" i="17"/>
  <c r="BY38" i="17" s="1"/>
  <c r="R52" i="9"/>
  <c r="BF24" i="17"/>
  <c r="DH24" i="17"/>
  <c r="DJ24" i="17" s="1"/>
  <c r="AY25" i="17"/>
  <c r="BQ29" i="17"/>
  <c r="DA29" i="17"/>
  <c r="DJ25" i="17"/>
  <c r="AP29" i="17"/>
  <c r="CR29" i="17"/>
  <c r="CZ26" i="17"/>
  <c r="AP26" i="17"/>
  <c r="AG26" i="17"/>
  <c r="AG25" i="17"/>
  <c r="BZ16" i="17"/>
  <c r="DA31" i="17"/>
  <c r="BZ29" i="17"/>
  <c r="AX26" i="17"/>
  <c r="DS29" i="17"/>
  <c r="AY29" i="17"/>
  <c r="BH29" i="17"/>
  <c r="AP25" i="17"/>
  <c r="DS26" i="17"/>
  <c r="CI29" i="17"/>
  <c r="BH26" i="17"/>
  <c r="X26" i="17"/>
  <c r="DJ29" i="17"/>
  <c r="AG31" i="17"/>
  <c r="O29" i="17"/>
  <c r="E29" i="17"/>
  <c r="X29" i="17"/>
  <c r="C24" i="17"/>
  <c r="E24" i="17" s="1"/>
  <c r="J16" i="12"/>
  <c r="CR26" i="17"/>
  <c r="O26" i="17"/>
  <c r="AG29" i="17"/>
  <c r="AG16" i="17"/>
  <c r="DS16" i="17"/>
  <c r="CG48" i="17"/>
  <c r="H48" i="12"/>
  <c r="I48" i="12" s="1"/>
  <c r="M48" i="17"/>
  <c r="BX48" i="17"/>
  <c r="CY48" i="17"/>
  <c r="C48" i="17"/>
  <c r="AN48" i="17"/>
  <c r="BF48" i="17"/>
  <c r="CP48" i="17"/>
  <c r="AW48" i="17"/>
  <c r="BO48" i="17"/>
  <c r="DH48" i="17"/>
  <c r="AE48" i="17"/>
  <c r="DQ48" i="17"/>
  <c r="V48" i="17"/>
  <c r="H84" i="9"/>
  <c r="J41" i="12"/>
  <c r="L41" i="12" s="1"/>
  <c r="AP16" i="17"/>
  <c r="CP18" i="17"/>
  <c r="DQ18" i="17"/>
  <c r="AN18" i="17"/>
  <c r="DH18" i="17"/>
  <c r="CG18" i="17"/>
  <c r="CY18" i="17"/>
  <c r="BF18" i="17"/>
  <c r="AE18" i="17"/>
  <c r="H18" i="12"/>
  <c r="AW18" i="17"/>
  <c r="BO18" i="17"/>
  <c r="M18" i="17"/>
  <c r="C18" i="17"/>
  <c r="V18" i="17"/>
  <c r="B14" i="14"/>
  <c r="BX18" i="17"/>
  <c r="J26" i="12"/>
  <c r="I28" i="1"/>
  <c r="K24" i="1"/>
  <c r="J21" i="1"/>
  <c r="K20" i="1"/>
  <c r="CI46" i="17"/>
  <c r="O46" i="17"/>
  <c r="CR46" i="17"/>
  <c r="AP46" i="17"/>
  <c r="E46" i="17"/>
  <c r="AG46" i="17"/>
  <c r="BQ46" i="17"/>
  <c r="DA46" i="17"/>
  <c r="BH46" i="17"/>
  <c r="BZ46" i="17"/>
  <c r="DS46" i="17"/>
  <c r="X46" i="17"/>
  <c r="AY46" i="17"/>
  <c r="DJ46" i="17"/>
  <c r="DS20" i="17"/>
  <c r="E55" i="17"/>
  <c r="DA55" i="17"/>
  <c r="DS45" i="17"/>
  <c r="DJ45" i="17"/>
  <c r="O28" i="17"/>
  <c r="BH20" i="17"/>
  <c r="AY20" i="17"/>
  <c r="BZ20" i="17"/>
  <c r="B19" i="14"/>
  <c r="C23" i="17"/>
  <c r="AW23" i="17"/>
  <c r="AN23" i="17"/>
  <c r="V23" i="17"/>
  <c r="M23" i="17"/>
  <c r="DH23" i="17"/>
  <c r="BO23" i="17"/>
  <c r="CY23" i="17"/>
  <c r="AE23" i="17"/>
  <c r="H23" i="12"/>
  <c r="BF23" i="17"/>
  <c r="CG23" i="17"/>
  <c r="BX23" i="17"/>
  <c r="DQ23" i="17"/>
  <c r="CP23" i="17"/>
  <c r="AY55" i="17"/>
  <c r="BZ55" i="17"/>
  <c r="AP55" i="17"/>
  <c r="AG45" i="17"/>
  <c r="BZ45" i="17"/>
  <c r="DA45" i="17"/>
  <c r="AW58" i="17"/>
  <c r="AP28" i="17"/>
  <c r="BQ28" i="17"/>
  <c r="DS28" i="17"/>
  <c r="BH45" i="17"/>
  <c r="J28" i="12"/>
  <c r="L28" i="12" s="1"/>
  <c r="AG28" i="17"/>
  <c r="CY58" i="17"/>
  <c r="AG20" i="17"/>
  <c r="E20" i="17"/>
  <c r="BQ55" i="17"/>
  <c r="CR55" i="17"/>
  <c r="BH55" i="17"/>
  <c r="BQ45" i="17"/>
  <c r="CR45" i="17"/>
  <c r="R37" i="9"/>
  <c r="C21" i="12"/>
  <c r="DZ21" i="17" s="1"/>
  <c r="EB21" i="17" s="1"/>
  <c r="ED21" i="17" s="1"/>
  <c r="EE21" i="17" s="1"/>
  <c r="EF21" i="17" s="1"/>
  <c r="U37" i="9"/>
  <c r="DA28" i="17"/>
  <c r="E28" i="17"/>
  <c r="BZ28" i="17"/>
  <c r="DJ20" i="17"/>
  <c r="B30" i="14"/>
  <c r="CY34" i="17"/>
  <c r="DH34" i="17"/>
  <c r="CG34" i="17"/>
  <c r="AE34" i="17"/>
  <c r="V34" i="17"/>
  <c r="H34" i="12"/>
  <c r="BX34" i="17"/>
  <c r="AW34" i="17"/>
  <c r="M34" i="17"/>
  <c r="AN34" i="17"/>
  <c r="BF34" i="17"/>
  <c r="DQ34" i="17"/>
  <c r="C34" i="17"/>
  <c r="CP34" i="17"/>
  <c r="BO34" i="17"/>
  <c r="AP20" i="17"/>
  <c r="CR20" i="17"/>
  <c r="DA20" i="17"/>
  <c r="DJ55" i="17"/>
  <c r="DS55" i="17"/>
  <c r="DQ58" i="17"/>
  <c r="X55" i="17"/>
  <c r="O45" i="17"/>
  <c r="AP45" i="17"/>
  <c r="I67" i="9"/>
  <c r="I84" i="9" s="1"/>
  <c r="V58" i="17"/>
  <c r="BH28" i="17"/>
  <c r="AY28" i="17"/>
  <c r="CR28" i="17"/>
  <c r="O55" i="17"/>
  <c r="X45" i="17"/>
  <c r="AY45" i="17"/>
  <c r="BQ20" i="17"/>
  <c r="X20" i="17"/>
  <c r="U50" i="9"/>
  <c r="R50" i="9"/>
  <c r="C33" i="12"/>
  <c r="DZ33" i="17" s="1"/>
  <c r="EB33" i="17" s="1"/>
  <c r="ED33" i="17" s="1"/>
  <c r="EE33" i="17" s="1"/>
  <c r="EF33" i="17" s="1"/>
  <c r="J55" i="12"/>
  <c r="C58" i="17"/>
  <c r="R60" i="9"/>
  <c r="C43" i="12"/>
  <c r="DZ43" i="17" s="1"/>
  <c r="B40" i="14"/>
  <c r="O20" i="17"/>
  <c r="J20" i="12"/>
  <c r="CI20" i="17"/>
  <c r="CI55" i="17"/>
  <c r="CG58" i="17"/>
  <c r="AE58" i="17"/>
  <c r="AG55" i="17"/>
  <c r="CI45" i="17"/>
  <c r="E45" i="17"/>
  <c r="DJ28" i="17"/>
  <c r="CI28" i="17"/>
  <c r="X28" i="17"/>
  <c r="N55" i="9" l="1"/>
  <c r="O38" i="9"/>
  <c r="S38" i="9" s="1"/>
  <c r="M41" i="12"/>
  <c r="D38" i="14"/>
  <c r="M28" i="12"/>
  <c r="N28" i="12" s="1"/>
  <c r="D24" i="14"/>
  <c r="N54" i="12"/>
  <c r="D51" i="14"/>
  <c r="EA35" i="17"/>
  <c r="E132" i="9"/>
  <c r="ED53" i="17"/>
  <c r="EB58" i="17"/>
  <c r="EB63" i="17"/>
  <c r="ED61" i="17"/>
  <c r="EA50" i="17"/>
  <c r="EE45" i="17"/>
  <c r="L61" i="12"/>
  <c r="D58" i="14" s="1"/>
  <c r="D60" i="14" s="1"/>
  <c r="J63" i="12"/>
  <c r="L55" i="12"/>
  <c r="DU46" i="17"/>
  <c r="DV46" i="17" s="1"/>
  <c r="DW46" i="17" s="1"/>
  <c r="G31" i="17"/>
  <c r="E27" i="14" s="1"/>
  <c r="DL55" i="17"/>
  <c r="Q52" i="14" s="1"/>
  <c r="CB45" i="17"/>
  <c r="CC45" i="17" s="1"/>
  <c r="BA56" i="17"/>
  <c r="J53" i="14" s="1"/>
  <c r="DL42" i="17"/>
  <c r="DM42" i="17" s="1"/>
  <c r="DN42" i="17" s="1"/>
  <c r="AI55" i="17"/>
  <c r="AK55" i="17" s="1"/>
  <c r="AQ35" i="17"/>
  <c r="Y35" i="17"/>
  <c r="F35" i="17"/>
  <c r="P35" i="17"/>
  <c r="CS35" i="17"/>
  <c r="BI35" i="17"/>
  <c r="CA35" i="17"/>
  <c r="DB35" i="17"/>
  <c r="AZ35" i="17"/>
  <c r="DK35" i="17"/>
  <c r="DT35" i="17"/>
  <c r="CJ35" i="17"/>
  <c r="BR35" i="17"/>
  <c r="AH35" i="17"/>
  <c r="CT46" i="17"/>
  <c r="DC56" i="17"/>
  <c r="Q46" i="17"/>
  <c r="F43" i="14" s="1"/>
  <c r="AI56" i="17"/>
  <c r="AJ56" i="17" s="1"/>
  <c r="AK56" i="17" s="1"/>
  <c r="G45" i="17"/>
  <c r="E42" i="14" s="1"/>
  <c r="BJ42" i="17"/>
  <c r="BK42" i="17" s="1"/>
  <c r="BL42" i="17" s="1"/>
  <c r="BJ31" i="17"/>
  <c r="K27" i="14" s="1"/>
  <c r="BJ46" i="17"/>
  <c r="BK46" i="17" s="1"/>
  <c r="BL46" i="17" s="1"/>
  <c r="DC55" i="17"/>
  <c r="DE55" i="17" s="1"/>
  <c r="Z41" i="17"/>
  <c r="G38" i="14" s="1"/>
  <c r="G55" i="17"/>
  <c r="I55" i="17" s="1"/>
  <c r="CK56" i="17"/>
  <c r="CL56" i="17" s="1"/>
  <c r="CL58" i="17" s="1"/>
  <c r="CT31" i="17"/>
  <c r="BS46" i="17"/>
  <c r="L43" i="14" s="1"/>
  <c r="L20" i="12"/>
  <c r="BA31" i="17"/>
  <c r="BB31" i="17" s="1"/>
  <c r="CB41" i="17"/>
  <c r="M38" i="14" s="1"/>
  <c r="BA55" i="17"/>
  <c r="L16" i="12"/>
  <c r="L26" i="12"/>
  <c r="CK45" i="17"/>
  <c r="CL45" i="17" s="1"/>
  <c r="Z46" i="17"/>
  <c r="G43" i="14" s="1"/>
  <c r="DL31" i="17"/>
  <c r="CT55" i="17"/>
  <c r="O52" i="14" s="1"/>
  <c r="DL46" i="17"/>
  <c r="Q43" i="14" s="1"/>
  <c r="DL54" i="17"/>
  <c r="Q51" i="14" s="1"/>
  <c r="BA46" i="17"/>
  <c r="L24" i="12"/>
  <c r="AR46" i="17"/>
  <c r="Q31" i="17"/>
  <c r="E51" i="14"/>
  <c r="H54" i="17"/>
  <c r="I54" i="17" s="1"/>
  <c r="CC44" i="17"/>
  <c r="CD44" i="17" s="1"/>
  <c r="M41" i="14"/>
  <c r="BS45" i="17"/>
  <c r="DL45" i="17"/>
  <c r="CB46" i="17"/>
  <c r="CB31" i="17"/>
  <c r="N53" i="12"/>
  <c r="L32" i="12"/>
  <c r="Z54" i="17"/>
  <c r="CK55" i="17"/>
  <c r="DC31" i="17"/>
  <c r="CT54" i="17"/>
  <c r="DU41" i="17"/>
  <c r="I25" i="1"/>
  <c r="M51" i="14"/>
  <c r="CD54" i="17"/>
  <c r="DU45" i="17"/>
  <c r="BS42" i="17"/>
  <c r="AI42" i="17"/>
  <c r="BJ45" i="17"/>
  <c r="U75" i="9"/>
  <c r="CK54" i="17"/>
  <c r="AI41" i="17"/>
  <c r="BJ55" i="17"/>
  <c r="AR55" i="17"/>
  <c r="DC46" i="17"/>
  <c r="CK46" i="17"/>
  <c r="BS31" i="17"/>
  <c r="BA42" i="17"/>
  <c r="J39" i="14" s="1"/>
  <c r="Z45" i="17"/>
  <c r="Q45" i="17"/>
  <c r="CB55" i="17"/>
  <c r="G42" i="17"/>
  <c r="CK42" i="17"/>
  <c r="BA54" i="17"/>
  <c r="J51" i="14" s="1"/>
  <c r="AI54" i="17"/>
  <c r="AI45" i="17"/>
  <c r="AR56" i="17"/>
  <c r="G41" i="17"/>
  <c r="BS41" i="17"/>
  <c r="BA45" i="17"/>
  <c r="DQ35" i="17"/>
  <c r="DR35" i="17" s="1"/>
  <c r="N41" i="12"/>
  <c r="CK41" i="17"/>
  <c r="AR41" i="17"/>
  <c r="D17" i="8"/>
  <c r="O17" i="1"/>
  <c r="Z55" i="17"/>
  <c r="CB42" i="17"/>
  <c r="L19" i="12"/>
  <c r="D15" i="14" s="1"/>
  <c r="DU31" i="17"/>
  <c r="R51" i="14"/>
  <c r="DW54" i="17"/>
  <c r="CT42" i="17"/>
  <c r="K51" i="14"/>
  <c r="BK54" i="17"/>
  <c r="BL54" i="17" s="1"/>
  <c r="CT45" i="17"/>
  <c r="DC45" i="17"/>
  <c r="L25" i="12"/>
  <c r="D21" i="14" s="1"/>
  <c r="AI31" i="17"/>
  <c r="DU42" i="17"/>
  <c r="AR42" i="17"/>
  <c r="DD41" i="17"/>
  <c r="DE41" i="17" s="1"/>
  <c r="P38" i="14"/>
  <c r="DD42" i="17"/>
  <c r="DE42" i="17" s="1"/>
  <c r="P39" i="14"/>
  <c r="BK41" i="17"/>
  <c r="BL41" i="17" s="1"/>
  <c r="K38" i="14"/>
  <c r="DC54" i="17"/>
  <c r="Q42" i="17"/>
  <c r="AR31" i="17"/>
  <c r="Q41" i="17"/>
  <c r="BA41" i="17"/>
  <c r="J38" i="14" s="1"/>
  <c r="CL31" i="17"/>
  <c r="CM31" i="17" s="1"/>
  <c r="N27" i="14"/>
  <c r="BS54" i="17"/>
  <c r="AR45" i="17"/>
  <c r="BS55" i="17"/>
  <c r="DU55" i="17"/>
  <c r="AI46" i="17"/>
  <c r="CL44" i="17"/>
  <c r="CM44" i="17" s="1"/>
  <c r="N41" i="14"/>
  <c r="AR54" i="17"/>
  <c r="L30" i="12"/>
  <c r="D26" i="14" s="1"/>
  <c r="CT41" i="17"/>
  <c r="G46" i="17"/>
  <c r="Z42" i="17"/>
  <c r="R75" i="9"/>
  <c r="Z31" i="17"/>
  <c r="L15" i="12"/>
  <c r="DL41" i="17"/>
  <c r="CP35" i="17"/>
  <c r="V35" i="17"/>
  <c r="DH35" i="17"/>
  <c r="BF35" i="17"/>
  <c r="BG35" i="17" s="1"/>
  <c r="J31" i="12"/>
  <c r="BQ24" i="17"/>
  <c r="AP24" i="17"/>
  <c r="AW35" i="17"/>
  <c r="CG35" i="17"/>
  <c r="CI35" i="17" s="1"/>
  <c r="H35" i="12"/>
  <c r="J35" i="12" s="1"/>
  <c r="L35" i="12" s="1"/>
  <c r="D31" i="14" s="1"/>
  <c r="BX35" i="17"/>
  <c r="AE35" i="17"/>
  <c r="C35" i="17"/>
  <c r="AY58" i="17"/>
  <c r="AN35" i="17"/>
  <c r="B31" i="14"/>
  <c r="BO35" i="17"/>
  <c r="BP35" i="17" s="1"/>
  <c r="CY35" i="17"/>
  <c r="AG24" i="17"/>
  <c r="M35" i="17"/>
  <c r="X44" i="17"/>
  <c r="Z44" i="17" s="1"/>
  <c r="CR24" i="17"/>
  <c r="DS24" i="17"/>
  <c r="BH24" i="17"/>
  <c r="BZ24" i="17"/>
  <c r="CI24" i="17"/>
  <c r="J42" i="12"/>
  <c r="L42" i="12" s="1"/>
  <c r="D39" i="14" s="1"/>
  <c r="I26" i="1"/>
  <c r="G38" i="1"/>
  <c r="F13" i="9"/>
  <c r="H41" i="8" s="1"/>
  <c r="H22" i="1"/>
  <c r="H37" i="1" s="1"/>
  <c r="G13" i="9"/>
  <c r="I41" i="8" s="1"/>
  <c r="I19" i="1"/>
  <c r="X61" i="17"/>
  <c r="V63" i="17"/>
  <c r="AY61" i="17"/>
  <c r="AW63" i="17"/>
  <c r="DH63" i="17"/>
  <c r="DJ61" i="17"/>
  <c r="AN63" i="17"/>
  <c r="AP61" i="17"/>
  <c r="CY63" i="17"/>
  <c r="DA61" i="17"/>
  <c r="C63" i="17"/>
  <c r="E61" i="17"/>
  <c r="H63" i="12"/>
  <c r="O61" i="17"/>
  <c r="M63" i="17"/>
  <c r="CR61" i="17"/>
  <c r="CP63" i="17"/>
  <c r="BQ61" i="17"/>
  <c r="BO63" i="17"/>
  <c r="DQ63" i="17"/>
  <c r="DS61" i="17"/>
  <c r="BF63" i="17"/>
  <c r="BH61" i="17"/>
  <c r="CG63" i="17"/>
  <c r="CI61" i="17"/>
  <c r="BX63" i="17"/>
  <c r="BZ61" i="17"/>
  <c r="AE63" i="17"/>
  <c r="AG61" i="17"/>
  <c r="BH56" i="17"/>
  <c r="BG58" i="17"/>
  <c r="CZ58" i="17"/>
  <c r="BY58" i="17"/>
  <c r="BZ56" i="17"/>
  <c r="CB56" i="17" s="1"/>
  <c r="AO58" i="17"/>
  <c r="DR58" i="17"/>
  <c r="DS56" i="17"/>
  <c r="DU56" i="17" s="1"/>
  <c r="N58" i="17"/>
  <c r="O56" i="17"/>
  <c r="D58" i="17"/>
  <c r="E56" i="17"/>
  <c r="BP58" i="17"/>
  <c r="BQ56" i="17"/>
  <c r="CH58" i="17"/>
  <c r="DI58" i="17"/>
  <c r="I58" i="12"/>
  <c r="DJ56" i="17"/>
  <c r="DL56" i="17" s="1"/>
  <c r="J56" i="12"/>
  <c r="DA58" i="17"/>
  <c r="AF58" i="17"/>
  <c r="AX58" i="17"/>
  <c r="AP58" i="17"/>
  <c r="CQ58" i="17"/>
  <c r="CR56" i="17"/>
  <c r="CT56" i="17" s="1"/>
  <c r="X56" i="17"/>
  <c r="Z56" i="17" s="1"/>
  <c r="W58" i="17"/>
  <c r="CI26" i="17"/>
  <c r="BZ26" i="17"/>
  <c r="J29" i="12"/>
  <c r="L29" i="12" s="1"/>
  <c r="D25" i="14" s="1"/>
  <c r="DA26" i="17"/>
  <c r="AY26" i="17"/>
  <c r="J46" i="12"/>
  <c r="BQ44" i="17"/>
  <c r="BQ48" i="17"/>
  <c r="BS48" i="17" s="1"/>
  <c r="CR48" i="17"/>
  <c r="CT48" i="17" s="1"/>
  <c r="AG48" i="17"/>
  <c r="AI48" i="17" s="1"/>
  <c r="AP48" i="17"/>
  <c r="AR48" i="17" s="1"/>
  <c r="CI48" i="17"/>
  <c r="CK48" i="17" s="1"/>
  <c r="DA48" i="17"/>
  <c r="DC48" i="17" s="1"/>
  <c r="X48" i="17"/>
  <c r="Z48" i="17" s="1"/>
  <c r="O48" i="17"/>
  <c r="Q48" i="17" s="1"/>
  <c r="DS48" i="17"/>
  <c r="DU48" i="17" s="1"/>
  <c r="BH48" i="17"/>
  <c r="BJ48" i="17" s="1"/>
  <c r="DJ48" i="17"/>
  <c r="DL48" i="17" s="1"/>
  <c r="E48" i="17"/>
  <c r="G48" i="17" s="1"/>
  <c r="AY48" i="17"/>
  <c r="BA48" i="17" s="1"/>
  <c r="J45" i="14" s="1"/>
  <c r="BZ48" i="17"/>
  <c r="CB48" i="17" s="1"/>
  <c r="DJ44" i="17"/>
  <c r="J44" i="12"/>
  <c r="L44" i="12" s="1"/>
  <c r="D41" i="14" s="1"/>
  <c r="AG18" i="17"/>
  <c r="O18" i="17"/>
  <c r="BQ18" i="17"/>
  <c r="CI18" i="17"/>
  <c r="X18" i="17"/>
  <c r="DS18" i="17"/>
  <c r="DA18" i="17"/>
  <c r="BZ18" i="17"/>
  <c r="AY18" i="17"/>
  <c r="DJ18" i="17"/>
  <c r="J18" i="12"/>
  <c r="L18" i="12" s="1"/>
  <c r="D14" i="14" s="1"/>
  <c r="AP18" i="17"/>
  <c r="E18" i="17"/>
  <c r="BH18" i="17"/>
  <c r="CR18" i="17"/>
  <c r="J28" i="1"/>
  <c r="L24" i="1"/>
  <c r="K21" i="1"/>
  <c r="L20" i="1"/>
  <c r="J45" i="12"/>
  <c r="L45" i="12" s="1"/>
  <c r="AP44" i="17"/>
  <c r="AR44" i="17" s="1"/>
  <c r="AP34" i="17"/>
  <c r="J67" i="9"/>
  <c r="J84" i="9" s="1"/>
  <c r="BQ34" i="17"/>
  <c r="O34" i="17"/>
  <c r="CR23" i="17"/>
  <c r="AG23" i="17"/>
  <c r="AP23" i="17"/>
  <c r="X34" i="17"/>
  <c r="J23" i="12"/>
  <c r="L23" i="12" s="1"/>
  <c r="D19" i="14" s="1"/>
  <c r="X23" i="17"/>
  <c r="BO33" i="17"/>
  <c r="DQ33" i="17"/>
  <c r="AE33" i="17"/>
  <c r="B29" i="14"/>
  <c r="AN33" i="17"/>
  <c r="H33" i="12"/>
  <c r="C33" i="17"/>
  <c r="BX33" i="17"/>
  <c r="CY33" i="17"/>
  <c r="M33" i="17"/>
  <c r="CP33" i="17"/>
  <c r="CG33" i="17"/>
  <c r="BF33" i="17"/>
  <c r="DH33" i="17"/>
  <c r="V33" i="17"/>
  <c r="AW33" i="17"/>
  <c r="CR34" i="17"/>
  <c r="AY34" i="17"/>
  <c r="AG34" i="17"/>
  <c r="DS23" i="17"/>
  <c r="DA23" i="17"/>
  <c r="AY23" i="17"/>
  <c r="CI58" i="17"/>
  <c r="M43" i="17"/>
  <c r="CY43" i="17"/>
  <c r="AE43" i="17"/>
  <c r="H43" i="12"/>
  <c r="I43" i="12" s="1"/>
  <c r="AN43" i="17"/>
  <c r="BX43" i="17"/>
  <c r="V43" i="17"/>
  <c r="DH43" i="17"/>
  <c r="CP43" i="17"/>
  <c r="AW43" i="17"/>
  <c r="CG43" i="17"/>
  <c r="DQ43" i="17"/>
  <c r="BF43" i="17"/>
  <c r="BO43" i="17"/>
  <c r="C43" i="17"/>
  <c r="E34" i="17"/>
  <c r="BZ34" i="17"/>
  <c r="CI34" i="17"/>
  <c r="BZ23" i="17"/>
  <c r="BQ23" i="17"/>
  <c r="AG58" i="17"/>
  <c r="U60" i="9"/>
  <c r="DS34" i="17"/>
  <c r="J34" i="12"/>
  <c r="L34" i="12" s="1"/>
  <c r="D30" i="14" s="1"/>
  <c r="DJ34" i="17"/>
  <c r="AW21" i="17"/>
  <c r="AN21" i="17"/>
  <c r="BF21" i="17"/>
  <c r="BX21" i="17"/>
  <c r="H21" i="12"/>
  <c r="DQ21" i="17"/>
  <c r="C21" i="17"/>
  <c r="B17" i="14"/>
  <c r="AE21" i="17"/>
  <c r="BO21" i="17"/>
  <c r="M21" i="17"/>
  <c r="CP21" i="17"/>
  <c r="CG21" i="17"/>
  <c r="DH21" i="17"/>
  <c r="V21" i="17"/>
  <c r="CY21" i="17"/>
  <c r="CI23" i="17"/>
  <c r="DJ23" i="17"/>
  <c r="BH34" i="17"/>
  <c r="DA34" i="17"/>
  <c r="BH23" i="17"/>
  <c r="O23" i="17"/>
  <c r="E23" i="17"/>
  <c r="BQ35" i="17" l="1"/>
  <c r="BP38" i="17"/>
  <c r="D11" i="14"/>
  <c r="R38" i="9"/>
  <c r="C22" i="12"/>
  <c r="U38" i="9"/>
  <c r="N55" i="12"/>
  <c r="D52" i="14"/>
  <c r="M26" i="12"/>
  <c r="N26" i="12" s="1"/>
  <c r="D22" i="14"/>
  <c r="M16" i="12"/>
  <c r="N16" i="12" s="1"/>
  <c r="D12" i="14"/>
  <c r="M20" i="12"/>
  <c r="N20" i="12" s="1"/>
  <c r="D16" i="14"/>
  <c r="M32" i="12"/>
  <c r="N32" i="12" s="1"/>
  <c r="D28" i="14"/>
  <c r="M45" i="12"/>
  <c r="N45" i="12" s="1"/>
  <c r="D42" i="14"/>
  <c r="M24" i="12"/>
  <c r="N24" i="12" s="1"/>
  <c r="D20" i="14"/>
  <c r="H53" i="14"/>
  <c r="K39" i="14"/>
  <c r="BB56" i="17"/>
  <c r="BC56" i="17" s="1"/>
  <c r="P17" i="1"/>
  <c r="DN55" i="17"/>
  <c r="EB43" i="17"/>
  <c r="ED43" i="17" s="1"/>
  <c r="EE43" i="17" s="1"/>
  <c r="EF43" i="17" s="1"/>
  <c r="H31" i="17"/>
  <c r="I31" i="17" s="1"/>
  <c r="R43" i="14"/>
  <c r="EB35" i="17"/>
  <c r="ED35" i="17" s="1"/>
  <c r="ED58" i="17"/>
  <c r="J25" i="15" s="1"/>
  <c r="EF53" i="17"/>
  <c r="EF58" i="17" s="1"/>
  <c r="ED63" i="17"/>
  <c r="I25" i="15" s="1"/>
  <c r="EF61" i="17"/>
  <c r="EF63" i="17" s="1"/>
  <c r="M42" i="14"/>
  <c r="CD45" i="17"/>
  <c r="EF45" i="17"/>
  <c r="L63" i="12"/>
  <c r="I43" i="14"/>
  <c r="Q39" i="14"/>
  <c r="CK35" i="17"/>
  <c r="CM35" i="17" s="1"/>
  <c r="H52" i="14"/>
  <c r="DE56" i="17"/>
  <c r="O43" i="14"/>
  <c r="P53" i="14"/>
  <c r="R46" i="17"/>
  <c r="S46" i="17" s="1"/>
  <c r="CV46" i="17"/>
  <c r="K43" i="14"/>
  <c r="AT46" i="17"/>
  <c r="BS35" i="17"/>
  <c r="BT35" i="17" s="1"/>
  <c r="BU35" i="17" s="1"/>
  <c r="CV31" i="17"/>
  <c r="BC55" i="17"/>
  <c r="J52" i="14"/>
  <c r="CM56" i="17"/>
  <c r="O27" i="14"/>
  <c r="BB46" i="17"/>
  <c r="BC46" i="17" s="1"/>
  <c r="J43" i="14"/>
  <c r="BB45" i="17"/>
  <c r="BC45" i="17" s="1"/>
  <c r="J42" i="14"/>
  <c r="H45" i="17"/>
  <c r="I45" i="17" s="1"/>
  <c r="J45" i="17" s="1"/>
  <c r="N53" i="14"/>
  <c r="P52" i="14"/>
  <c r="E52" i="14"/>
  <c r="BK31" i="17"/>
  <c r="BL31" i="17" s="1"/>
  <c r="Q27" i="14"/>
  <c r="DM31" i="17"/>
  <c r="DN31" i="17" s="1"/>
  <c r="CC41" i="17"/>
  <c r="CD41" i="17" s="1"/>
  <c r="DN54" i="17"/>
  <c r="CM45" i="17"/>
  <c r="BC31" i="17"/>
  <c r="J27" i="14"/>
  <c r="BT46" i="17"/>
  <c r="BU46" i="17" s="1"/>
  <c r="CV55" i="17"/>
  <c r="AA41" i="17"/>
  <c r="AB41" i="17" s="1"/>
  <c r="DM46" i="17"/>
  <c r="DN46" i="17" s="1"/>
  <c r="AA46" i="17"/>
  <c r="AB46" i="17" s="1"/>
  <c r="N42" i="14"/>
  <c r="DK18" i="17"/>
  <c r="AZ18" i="17"/>
  <c r="BI18" i="17"/>
  <c r="CS18" i="17"/>
  <c r="CA18" i="17"/>
  <c r="AH18" i="17"/>
  <c r="BR18" i="17"/>
  <c r="BS18" i="17" s="1"/>
  <c r="F18" i="17"/>
  <c r="G18" i="17" s="1"/>
  <c r="DB18" i="17"/>
  <c r="DC18" i="17" s="1"/>
  <c r="P18" i="17"/>
  <c r="Q18" i="17" s="1"/>
  <c r="AQ18" i="17"/>
  <c r="AR18" i="17" s="1"/>
  <c r="Y18" i="17"/>
  <c r="CJ18" i="17"/>
  <c r="DT18" i="17"/>
  <c r="DU18" i="17" s="1"/>
  <c r="BB42" i="17"/>
  <c r="BC42" i="17" s="1"/>
  <c r="L31" i="12"/>
  <c r="D27" i="14" s="1"/>
  <c r="BT31" i="17"/>
  <c r="BU31" i="17" s="1"/>
  <c r="L27" i="14"/>
  <c r="F38" i="14"/>
  <c r="R41" i="17"/>
  <c r="S41" i="17" s="1"/>
  <c r="R39" i="14"/>
  <c r="DV42" i="17"/>
  <c r="DW42" i="17" s="1"/>
  <c r="AJ48" i="17"/>
  <c r="AK48" i="17" s="1"/>
  <c r="H45" i="14"/>
  <c r="M15" i="12"/>
  <c r="P19" i="17"/>
  <c r="DK19" i="17"/>
  <c r="AZ19" i="17"/>
  <c r="DB19" i="17"/>
  <c r="F19" i="17"/>
  <c r="G19" i="17" s="1"/>
  <c r="CJ19" i="17"/>
  <c r="AQ19" i="17"/>
  <c r="AH19" i="17"/>
  <c r="BR19" i="17"/>
  <c r="Y19" i="17"/>
  <c r="DT19" i="17"/>
  <c r="BI19" i="17"/>
  <c r="CS19" i="17"/>
  <c r="CA19" i="17"/>
  <c r="H27" i="14"/>
  <c r="AJ31" i="17"/>
  <c r="AK31" i="17" s="1"/>
  <c r="N38" i="14"/>
  <c r="CL41" i="17"/>
  <c r="CM41" i="17" s="1"/>
  <c r="H51" i="14"/>
  <c r="AJ54" i="17"/>
  <c r="AK54" i="17" s="1"/>
  <c r="BK45" i="17"/>
  <c r="BL45" i="17" s="1"/>
  <c r="K42" i="14"/>
  <c r="BB48" i="17"/>
  <c r="BC48" i="17" s="1"/>
  <c r="G53" i="14"/>
  <c r="AA56" i="17"/>
  <c r="AB56" i="17" s="1"/>
  <c r="P17" i="17"/>
  <c r="F17" i="17"/>
  <c r="AZ17" i="17"/>
  <c r="DK17" i="17"/>
  <c r="AQ17" i="17"/>
  <c r="DT17" i="17"/>
  <c r="CA17" i="17"/>
  <c r="Y17" i="17"/>
  <c r="CS17" i="17"/>
  <c r="DB17" i="17"/>
  <c r="BI17" i="17"/>
  <c r="CJ17" i="17"/>
  <c r="AH17" i="17"/>
  <c r="BR17" i="17"/>
  <c r="I27" i="14"/>
  <c r="AT31" i="17"/>
  <c r="BB54" i="17"/>
  <c r="BC54" i="17" s="1"/>
  <c r="CV56" i="17"/>
  <c r="O53" i="14"/>
  <c r="G39" i="14"/>
  <c r="AA42" i="17"/>
  <c r="AJ46" i="17"/>
  <c r="AK46" i="17" s="1"/>
  <c r="H43" i="14"/>
  <c r="P42" i="14"/>
  <c r="DD45" i="17"/>
  <c r="DE45" i="17" s="1"/>
  <c r="P26" i="17"/>
  <c r="DK26" i="17"/>
  <c r="F26" i="17"/>
  <c r="G26" i="17" s="1"/>
  <c r="CS26" i="17"/>
  <c r="CJ26" i="17"/>
  <c r="Y26" i="17"/>
  <c r="AQ26" i="17"/>
  <c r="AZ26" i="17"/>
  <c r="DB26" i="17"/>
  <c r="AH26" i="17"/>
  <c r="BI26" i="17"/>
  <c r="CA26" i="17"/>
  <c r="CB26" i="17" s="1"/>
  <c r="BR26" i="17"/>
  <c r="DT26" i="17"/>
  <c r="J25" i="1"/>
  <c r="I45" i="14"/>
  <c r="AT48" i="17"/>
  <c r="AJ42" i="17"/>
  <c r="AK42" i="17" s="1"/>
  <c r="H39" i="14"/>
  <c r="P43" i="14"/>
  <c r="DD46" i="17"/>
  <c r="DE46" i="17" s="1"/>
  <c r="AQ29" i="17"/>
  <c r="F29" i="17"/>
  <c r="G29" i="17" s="1"/>
  <c r="CS29" i="17"/>
  <c r="CJ29" i="17"/>
  <c r="DK29" i="17"/>
  <c r="AH29" i="17"/>
  <c r="P29" i="17"/>
  <c r="CA29" i="17"/>
  <c r="DT29" i="17"/>
  <c r="BI29" i="17"/>
  <c r="AZ29" i="17"/>
  <c r="DB29" i="17"/>
  <c r="Y29" i="17"/>
  <c r="BR29" i="17"/>
  <c r="BT42" i="17"/>
  <c r="BU42" i="17" s="1"/>
  <c r="L39" i="14"/>
  <c r="DK27" i="17"/>
  <c r="F27" i="17"/>
  <c r="P27" i="17"/>
  <c r="BI27" i="17"/>
  <c r="CJ27" i="17"/>
  <c r="AH27" i="17"/>
  <c r="AZ27" i="17"/>
  <c r="Y27" i="17"/>
  <c r="DB27" i="17"/>
  <c r="DT27" i="17"/>
  <c r="CA27" i="17"/>
  <c r="AQ27" i="17"/>
  <c r="BR27" i="17"/>
  <c r="CS27" i="17"/>
  <c r="E39" i="14"/>
  <c r="H42" i="17"/>
  <c r="I42" i="17" s="1"/>
  <c r="J42" i="17" s="1"/>
  <c r="P27" i="14"/>
  <c r="DD31" i="17"/>
  <c r="DE31" i="17" s="1"/>
  <c r="DM48" i="17"/>
  <c r="DN48" i="17" s="1"/>
  <c r="Q45" i="14"/>
  <c r="BS44" i="17"/>
  <c r="P25" i="17"/>
  <c r="DK25" i="17"/>
  <c r="F25" i="17"/>
  <c r="G25" i="17" s="1"/>
  <c r="AH25" i="17"/>
  <c r="CA25" i="17"/>
  <c r="CJ25" i="17"/>
  <c r="DB25" i="17"/>
  <c r="AZ25" i="17"/>
  <c r="AQ25" i="17"/>
  <c r="BR25" i="17"/>
  <c r="BI25" i="17"/>
  <c r="Y25" i="17"/>
  <c r="DT25" i="17"/>
  <c r="CS25" i="17"/>
  <c r="CM54" i="17"/>
  <c r="N51" i="14"/>
  <c r="L51" i="14"/>
  <c r="BU54" i="17"/>
  <c r="AZ15" i="17"/>
  <c r="DB15" i="17"/>
  <c r="P15" i="17"/>
  <c r="CJ15" i="17"/>
  <c r="Y15" i="17"/>
  <c r="F15" i="17"/>
  <c r="AQ15" i="17"/>
  <c r="CA15" i="17"/>
  <c r="BI15" i="17"/>
  <c r="DK15" i="17"/>
  <c r="BR15" i="17"/>
  <c r="AH15" i="17"/>
  <c r="CS15" i="17"/>
  <c r="DT15" i="17"/>
  <c r="AA45" i="17"/>
  <c r="AB45" i="17" s="1"/>
  <c r="G42" i="14"/>
  <c r="M27" i="14"/>
  <c r="CC31" i="17"/>
  <c r="CD31" i="17" s="1"/>
  <c r="M42" i="12"/>
  <c r="N42" i="12" s="1"/>
  <c r="DW55" i="17"/>
  <c r="R52" i="14"/>
  <c r="O45" i="14"/>
  <c r="CV48" i="17"/>
  <c r="E45" i="14"/>
  <c r="H48" i="17"/>
  <c r="I48" i="17" s="1"/>
  <c r="J48" i="17" s="1"/>
  <c r="R42" i="14"/>
  <c r="DV45" i="17"/>
  <c r="DW45" i="17" s="1"/>
  <c r="K45" i="14"/>
  <c r="BK48" i="17"/>
  <c r="BL48" i="17" s="1"/>
  <c r="L46" i="12"/>
  <c r="D43" i="14" s="1"/>
  <c r="O58" i="17"/>
  <c r="E43" i="14"/>
  <c r="H46" i="17"/>
  <c r="I46" i="17" s="1"/>
  <c r="J46" i="17" s="1"/>
  <c r="P30" i="17"/>
  <c r="F30" i="17"/>
  <c r="G30" i="17" s="1"/>
  <c r="AH30" i="17"/>
  <c r="AQ30" i="17"/>
  <c r="AZ30" i="17"/>
  <c r="CA30" i="17"/>
  <c r="DB30" i="17"/>
  <c r="BI30" i="17"/>
  <c r="DT30" i="17"/>
  <c r="Y30" i="17"/>
  <c r="CS30" i="17"/>
  <c r="BR30" i="17"/>
  <c r="DK30" i="17"/>
  <c r="CJ30" i="17"/>
  <c r="DK20" i="17"/>
  <c r="DT20" i="17"/>
  <c r="CJ20" i="17"/>
  <c r="BR20" i="17"/>
  <c r="AQ20" i="17"/>
  <c r="P20" i="17"/>
  <c r="CS20" i="17"/>
  <c r="AZ20" i="17"/>
  <c r="Y20" i="17"/>
  <c r="CA20" i="17"/>
  <c r="DB20" i="17"/>
  <c r="F20" i="17"/>
  <c r="G20" i="17" s="1"/>
  <c r="BI20" i="17"/>
  <c r="AH20" i="17"/>
  <c r="F42" i="14"/>
  <c r="R45" i="17"/>
  <c r="S45" i="17" s="1"/>
  <c r="CA34" i="17"/>
  <c r="DT34" i="17"/>
  <c r="AZ34" i="17"/>
  <c r="CS34" i="17"/>
  <c r="CJ34" i="17"/>
  <c r="DB34" i="17"/>
  <c r="F34" i="17"/>
  <c r="G34" i="17" s="1"/>
  <c r="AQ34" i="17"/>
  <c r="BR34" i="17"/>
  <c r="DK34" i="17"/>
  <c r="BI34" i="17"/>
  <c r="AH34" i="17"/>
  <c r="P34" i="17"/>
  <c r="Y34" i="17"/>
  <c r="Z34" i="17" s="1"/>
  <c r="M23" i="12"/>
  <c r="N23" i="12" s="1"/>
  <c r="M44" i="12"/>
  <c r="N44" i="12" s="1"/>
  <c r="BQ58" i="17"/>
  <c r="BS56" i="17"/>
  <c r="P54" i="17"/>
  <c r="DK53" i="17"/>
  <c r="F53" i="17"/>
  <c r="AQ53" i="17"/>
  <c r="BR53" i="17"/>
  <c r="CA53" i="17"/>
  <c r="BI53" i="17"/>
  <c r="AZ53" i="17"/>
  <c r="Y53" i="17"/>
  <c r="AH53" i="17"/>
  <c r="DB53" i="17"/>
  <c r="DT53" i="17"/>
  <c r="P56" i="17"/>
  <c r="P53" i="17"/>
  <c r="CS53" i="17"/>
  <c r="P55" i="17"/>
  <c r="CJ53" i="17"/>
  <c r="N43" i="14"/>
  <c r="CL46" i="17"/>
  <c r="CM46" i="17" s="1"/>
  <c r="M30" i="12"/>
  <c r="N30" i="12" s="1"/>
  <c r="H38" i="14"/>
  <c r="AJ41" i="17"/>
  <c r="AK41" i="17" s="1"/>
  <c r="I51" i="14"/>
  <c r="AT54" i="17"/>
  <c r="L38" i="14"/>
  <c r="BT41" i="17"/>
  <c r="BU41" i="17" s="1"/>
  <c r="M29" i="12"/>
  <c r="N29" i="12" s="1"/>
  <c r="M35" i="12"/>
  <c r="N35" i="12" s="1"/>
  <c r="DK24" i="17"/>
  <c r="CS24" i="17"/>
  <c r="CA24" i="17"/>
  <c r="F24" i="17"/>
  <c r="G24" i="17" s="1"/>
  <c r="BR24" i="17"/>
  <c r="DB24" i="17"/>
  <c r="BI24" i="17"/>
  <c r="BJ24" i="17" s="1"/>
  <c r="AZ24" i="17"/>
  <c r="Y24" i="17"/>
  <c r="DT24" i="17"/>
  <c r="AH24" i="17"/>
  <c r="AI24" i="17" s="1"/>
  <c r="P24" i="17"/>
  <c r="CJ24" i="17"/>
  <c r="AQ24" i="17"/>
  <c r="AR24" i="17" s="1"/>
  <c r="F39" i="14"/>
  <c r="R42" i="17"/>
  <c r="S42" i="17" s="1"/>
  <c r="M25" i="12"/>
  <c r="N25" i="12" s="1"/>
  <c r="G45" i="14"/>
  <c r="AA48" i="17"/>
  <c r="AB48" i="17" s="1"/>
  <c r="H42" i="14"/>
  <c r="AJ45" i="17"/>
  <c r="AK45" i="17" s="1"/>
  <c r="AA54" i="17"/>
  <c r="AB54" i="17" s="1"/>
  <c r="G51" i="14"/>
  <c r="P45" i="14"/>
  <c r="DD48" i="17"/>
  <c r="DE48" i="17" s="1"/>
  <c r="M53" i="14"/>
  <c r="CC58" i="17"/>
  <c r="R27" i="14"/>
  <c r="DV31" i="17"/>
  <c r="DW31" i="17" s="1"/>
  <c r="N45" i="14"/>
  <c r="CL48" i="17"/>
  <c r="CM48" i="17" s="1"/>
  <c r="CD48" i="17"/>
  <c r="M45" i="14"/>
  <c r="F16" i="17"/>
  <c r="G16" i="17" s="1"/>
  <c r="AZ16" i="17"/>
  <c r="Y16" i="17"/>
  <c r="P16" i="17"/>
  <c r="DT16" i="17"/>
  <c r="BR16" i="17"/>
  <c r="AQ16" i="17"/>
  <c r="CS16" i="17"/>
  <c r="CJ16" i="17"/>
  <c r="BI16" i="17"/>
  <c r="DB16" i="17"/>
  <c r="AH16" i="17"/>
  <c r="CA16" i="17"/>
  <c r="DK16" i="17"/>
  <c r="BB41" i="17"/>
  <c r="BH58" i="17"/>
  <c r="BJ56" i="17"/>
  <c r="AQ61" i="17"/>
  <c r="AR61" i="17" s="1"/>
  <c r="F61" i="17"/>
  <c r="G61" i="17" s="1"/>
  <c r="BR61" i="17"/>
  <c r="CA61" i="17"/>
  <c r="Y61" i="17"/>
  <c r="AH61" i="17"/>
  <c r="DK61" i="17"/>
  <c r="DT61" i="17"/>
  <c r="DU61" i="17" s="1"/>
  <c r="DB61" i="17"/>
  <c r="BI61" i="17"/>
  <c r="AZ61" i="17"/>
  <c r="CJ61" i="17"/>
  <c r="CS61" i="17"/>
  <c r="P61" i="17"/>
  <c r="F23" i="17"/>
  <c r="G23" i="17" s="1"/>
  <c r="P23" i="17"/>
  <c r="Q23" i="17" s="1"/>
  <c r="AQ23" i="17"/>
  <c r="CJ23" i="17"/>
  <c r="BR23" i="17"/>
  <c r="AH23" i="17"/>
  <c r="AI23" i="17" s="1"/>
  <c r="CS23" i="17"/>
  <c r="CT23" i="17" s="1"/>
  <c r="DB23" i="17"/>
  <c r="DK23" i="17"/>
  <c r="DL23" i="17" s="1"/>
  <c r="AZ23" i="17"/>
  <c r="Y23" i="17"/>
  <c r="CA23" i="17"/>
  <c r="DT23" i="17"/>
  <c r="BI23" i="17"/>
  <c r="CV42" i="17"/>
  <c r="O39" i="14"/>
  <c r="E38" i="14"/>
  <c r="H41" i="17"/>
  <c r="DN56" i="17"/>
  <c r="Q53" i="14"/>
  <c r="DL44" i="17"/>
  <c r="I41" i="14"/>
  <c r="AT44" i="17"/>
  <c r="O51" i="14"/>
  <c r="CV54" i="17"/>
  <c r="O38" i="14"/>
  <c r="CV41" i="17"/>
  <c r="CV45" i="17"/>
  <c r="O42" i="14"/>
  <c r="I38" i="14"/>
  <c r="BL55" i="17"/>
  <c r="K52" i="14"/>
  <c r="N39" i="14"/>
  <c r="CL42" i="17"/>
  <c r="CM42" i="17" s="1"/>
  <c r="DK28" i="17"/>
  <c r="CJ28" i="17"/>
  <c r="BI28" i="17"/>
  <c r="P28" i="17"/>
  <c r="AQ28" i="17"/>
  <c r="CS28" i="17"/>
  <c r="AZ28" i="17"/>
  <c r="AH28" i="17"/>
  <c r="BR28" i="17"/>
  <c r="F28" i="17"/>
  <c r="G28" i="17" s="1"/>
  <c r="DB28" i="17"/>
  <c r="DT28" i="17"/>
  <c r="Y28" i="17"/>
  <c r="CA28" i="17"/>
  <c r="DK22" i="17"/>
  <c r="F22" i="17"/>
  <c r="Y22" i="17"/>
  <c r="P22" i="17"/>
  <c r="CS22" i="17"/>
  <c r="DB22" i="17"/>
  <c r="AZ22" i="17"/>
  <c r="AQ22" i="17"/>
  <c r="DT22" i="17"/>
  <c r="BR22" i="17"/>
  <c r="CJ22" i="17"/>
  <c r="CA22" i="17"/>
  <c r="BI22" i="17"/>
  <c r="AH22" i="17"/>
  <c r="G52" i="14"/>
  <c r="AB55" i="17"/>
  <c r="G27" i="14"/>
  <c r="AA31" i="17"/>
  <c r="AB31" i="17" s="1"/>
  <c r="M34" i="12"/>
  <c r="N34" i="12" s="1"/>
  <c r="R38" i="14"/>
  <c r="DV41" i="17"/>
  <c r="F32" i="17"/>
  <c r="G32" i="17" s="1"/>
  <c r="DK32" i="17"/>
  <c r="P32" i="17"/>
  <c r="CA32" i="17"/>
  <c r="AZ32" i="17"/>
  <c r="CJ32" i="17"/>
  <c r="DB32" i="17"/>
  <c r="DT32" i="17"/>
  <c r="AQ32" i="17"/>
  <c r="AH32" i="17"/>
  <c r="BR32" i="17"/>
  <c r="CS32" i="17"/>
  <c r="Y32" i="17"/>
  <c r="BI32" i="17"/>
  <c r="Q42" i="14"/>
  <c r="DM45" i="17"/>
  <c r="DN45" i="17" s="1"/>
  <c r="L42" i="14"/>
  <c r="BT45" i="17"/>
  <c r="BU45" i="17" s="1"/>
  <c r="F45" i="14"/>
  <c r="R48" i="17"/>
  <c r="S48" i="17" s="1"/>
  <c r="R53" i="14"/>
  <c r="DW56" i="17"/>
  <c r="BU55" i="17"/>
  <c r="L52" i="14"/>
  <c r="P21" i="17"/>
  <c r="F21" i="17"/>
  <c r="AQ21" i="17"/>
  <c r="AH21" i="17"/>
  <c r="DT21" i="17"/>
  <c r="Y21" i="17"/>
  <c r="DB21" i="17"/>
  <c r="CS21" i="17"/>
  <c r="AZ21" i="17"/>
  <c r="DK21" i="17"/>
  <c r="CA21" i="17"/>
  <c r="BR21" i="17"/>
  <c r="CJ21" i="17"/>
  <c r="BI21" i="17"/>
  <c r="I53" i="14"/>
  <c r="AT56" i="17"/>
  <c r="M52" i="14"/>
  <c r="CD55" i="17"/>
  <c r="DE54" i="17"/>
  <c r="P51" i="14"/>
  <c r="I52" i="14"/>
  <c r="AT55" i="17"/>
  <c r="F33" i="17"/>
  <c r="DK33" i="17"/>
  <c r="AH33" i="17"/>
  <c r="DB33" i="17"/>
  <c r="BI33" i="17"/>
  <c r="DT33" i="17"/>
  <c r="AQ33" i="17"/>
  <c r="P33" i="17"/>
  <c r="CJ33" i="17"/>
  <c r="AZ33" i="17"/>
  <c r="BR33" i="17"/>
  <c r="Y33" i="17"/>
  <c r="CS33" i="17"/>
  <c r="CA33" i="17"/>
  <c r="Q38" i="14"/>
  <c r="DM41" i="17"/>
  <c r="DN41" i="17" s="1"/>
  <c r="M43" i="14"/>
  <c r="CC46" i="17"/>
  <c r="CD46" i="17" s="1"/>
  <c r="M19" i="12"/>
  <c r="N19" i="12" s="1"/>
  <c r="L45" i="14"/>
  <c r="BT48" i="17"/>
  <c r="BU48" i="17" s="1"/>
  <c r="F27" i="14"/>
  <c r="R31" i="17"/>
  <c r="S31" i="17" s="1"/>
  <c r="E58" i="17"/>
  <c r="G56" i="17"/>
  <c r="CC42" i="17"/>
  <c r="CD42" i="17" s="1"/>
  <c r="M39" i="14"/>
  <c r="R45" i="14"/>
  <c r="DV48" i="17"/>
  <c r="DW48" i="17" s="1"/>
  <c r="M18" i="12"/>
  <c r="N18" i="12" s="1"/>
  <c r="J58" i="12"/>
  <c r="L56" i="12"/>
  <c r="D53" i="14" s="1"/>
  <c r="AA44" i="17"/>
  <c r="AB44" i="17" s="1"/>
  <c r="G41" i="14"/>
  <c r="AT45" i="17"/>
  <c r="I42" i="14"/>
  <c r="U78" i="9"/>
  <c r="U80" i="9" s="1"/>
  <c r="R78" i="9"/>
  <c r="R80" i="9" s="1"/>
  <c r="I39" i="14"/>
  <c r="AT42" i="17"/>
  <c r="CM55" i="17"/>
  <c r="N52" i="14"/>
  <c r="CQ35" i="17"/>
  <c r="W35" i="17"/>
  <c r="E44" i="17"/>
  <c r="G44" i="17" s="1"/>
  <c r="AX35" i="17"/>
  <c r="DS44" i="17"/>
  <c r="AY44" i="17"/>
  <c r="DI35" i="17"/>
  <c r="AO35" i="17"/>
  <c r="AF35" i="17"/>
  <c r="N35" i="17"/>
  <c r="O35" i="17" s="1"/>
  <c r="BZ35" i="17"/>
  <c r="CB35" i="17" s="1"/>
  <c r="D35" i="17"/>
  <c r="CZ35" i="17"/>
  <c r="CZ38" i="17" s="1"/>
  <c r="CR44" i="17"/>
  <c r="BH44" i="17"/>
  <c r="BJ44" i="17" s="1"/>
  <c r="AG44" i="17"/>
  <c r="O44" i="17"/>
  <c r="Q44" i="17" s="1"/>
  <c r="DA44" i="17"/>
  <c r="DC44" i="17" s="1"/>
  <c r="J26" i="1"/>
  <c r="I22" i="1"/>
  <c r="I37" i="1" s="1"/>
  <c r="J19" i="1"/>
  <c r="DJ63" i="17"/>
  <c r="AG63" i="17"/>
  <c r="E63" i="17"/>
  <c r="BZ63" i="17"/>
  <c r="DA63" i="17"/>
  <c r="CI63" i="17"/>
  <c r="AP63" i="17"/>
  <c r="BH63" i="17"/>
  <c r="DS63" i="17"/>
  <c r="AY63" i="17"/>
  <c r="BQ63" i="17"/>
  <c r="CR63" i="17"/>
  <c r="X63" i="17"/>
  <c r="O63" i="17"/>
  <c r="DS58" i="17"/>
  <c r="CR58" i="17"/>
  <c r="X58" i="17"/>
  <c r="DJ58" i="17"/>
  <c r="BZ58" i="17"/>
  <c r="J48" i="12"/>
  <c r="L48" i="12" s="1"/>
  <c r="D45" i="14" s="1"/>
  <c r="K28" i="1"/>
  <c r="M24" i="1"/>
  <c r="L21" i="1"/>
  <c r="M20" i="1"/>
  <c r="CI21" i="17"/>
  <c r="E21" i="17"/>
  <c r="AY21" i="17"/>
  <c r="E43" i="17"/>
  <c r="G43" i="17" s="1"/>
  <c r="AG43" i="17"/>
  <c r="AI43" i="17" s="1"/>
  <c r="CI33" i="17"/>
  <c r="E33" i="17"/>
  <c r="DS33" i="17"/>
  <c r="DA21" i="17"/>
  <c r="O21" i="17"/>
  <c r="DS21" i="17"/>
  <c r="BQ43" i="17"/>
  <c r="BS43" i="17" s="1"/>
  <c r="DJ43" i="17"/>
  <c r="DL43" i="17" s="1"/>
  <c r="DA43" i="17"/>
  <c r="DC43" i="17" s="1"/>
  <c r="CR33" i="17"/>
  <c r="J33" i="12"/>
  <c r="L33" i="12" s="1"/>
  <c r="BQ33" i="17"/>
  <c r="X21" i="17"/>
  <c r="BZ21" i="17"/>
  <c r="CR21" i="17"/>
  <c r="BQ21" i="17"/>
  <c r="J21" i="12"/>
  <c r="L21" i="12" s="1"/>
  <c r="D17" i="14" s="1"/>
  <c r="BH43" i="17"/>
  <c r="BJ43" i="17" s="1"/>
  <c r="O43" i="17"/>
  <c r="Q43" i="17" s="1"/>
  <c r="AY33" i="17"/>
  <c r="AP33" i="17"/>
  <c r="K67" i="9"/>
  <c r="K84" i="9" s="1"/>
  <c r="X33" i="17"/>
  <c r="O33" i="17"/>
  <c r="DS43" i="17"/>
  <c r="DU43" i="17" s="1"/>
  <c r="BZ43" i="17"/>
  <c r="CB43" i="17" s="1"/>
  <c r="BH35" i="17"/>
  <c r="BJ35" i="17" s="1"/>
  <c r="DJ21" i="17"/>
  <c r="AG21" i="17"/>
  <c r="BH21" i="17"/>
  <c r="DS35" i="17"/>
  <c r="DU35" i="17" s="1"/>
  <c r="CI43" i="17"/>
  <c r="CK43" i="17" s="1"/>
  <c r="DJ33" i="17"/>
  <c r="DA33" i="17"/>
  <c r="AG33" i="17"/>
  <c r="AP21" i="17"/>
  <c r="AY43" i="17"/>
  <c r="BA43" i="17" s="1"/>
  <c r="J40" i="14" s="1"/>
  <c r="J43" i="12"/>
  <c r="L43" i="12" s="1"/>
  <c r="D40" i="14" s="1"/>
  <c r="BH33" i="17"/>
  <c r="BZ33" i="17"/>
  <c r="E35" i="17" l="1"/>
  <c r="D38" i="17"/>
  <c r="AG35" i="17"/>
  <c r="AF38" i="17"/>
  <c r="AP35" i="17"/>
  <c r="AO38" i="17"/>
  <c r="DJ35" i="17"/>
  <c r="DL35" i="17" s="1"/>
  <c r="DI38" i="17"/>
  <c r="AY35" i="17"/>
  <c r="AX38" i="17"/>
  <c r="X35" i="17"/>
  <c r="W38" i="17"/>
  <c r="CR35" i="17"/>
  <c r="CT35" i="17" s="1"/>
  <c r="CQ38" i="17"/>
  <c r="DT38" i="17"/>
  <c r="CS38" i="17"/>
  <c r="AH38" i="17"/>
  <c r="BR38" i="17"/>
  <c r="DK38" i="17"/>
  <c r="BI38" i="17"/>
  <c r="CA38" i="17"/>
  <c r="AQ38" i="17"/>
  <c r="G15" i="17"/>
  <c r="F38" i="17"/>
  <c r="Y38" i="17"/>
  <c r="CJ38" i="17"/>
  <c r="P38" i="17"/>
  <c r="DB38" i="17"/>
  <c r="AZ38" i="17"/>
  <c r="N15" i="12"/>
  <c r="CY22" i="17"/>
  <c r="DA22" i="17" s="1"/>
  <c r="DZ22" i="17"/>
  <c r="EB22" i="17" s="1"/>
  <c r="ED22" i="17" s="1"/>
  <c r="EE22" i="17" s="1"/>
  <c r="EF22" i="17" s="1"/>
  <c r="CG22" i="17"/>
  <c r="CI22" i="17" s="1"/>
  <c r="CK22" i="17" s="1"/>
  <c r="CP22" i="17"/>
  <c r="CR22" i="17" s="1"/>
  <c r="V22" i="17"/>
  <c r="X22" i="17" s="1"/>
  <c r="M22" i="17"/>
  <c r="O22" i="17" s="1"/>
  <c r="BF22" i="17"/>
  <c r="BH22" i="17" s="1"/>
  <c r="C22" i="17"/>
  <c r="E22" i="17" s="1"/>
  <c r="G22" i="17" s="1"/>
  <c r="AN22" i="17"/>
  <c r="AP22" i="17" s="1"/>
  <c r="BO22" i="17"/>
  <c r="BQ22" i="17" s="1"/>
  <c r="BX22" i="17"/>
  <c r="BZ22" i="17" s="1"/>
  <c r="AE22" i="17"/>
  <c r="AG22" i="17" s="1"/>
  <c r="DH22" i="17"/>
  <c r="DJ22" i="17" s="1"/>
  <c r="H22" i="12"/>
  <c r="J22" i="12" s="1"/>
  <c r="L22" i="12" s="1"/>
  <c r="D18" i="14" s="1"/>
  <c r="B18" i="14"/>
  <c r="AW22" i="17"/>
  <c r="AY22" i="17" s="1"/>
  <c r="DQ22" i="17"/>
  <c r="DS22" i="17" s="1"/>
  <c r="D55" i="14"/>
  <c r="M33" i="12"/>
  <c r="N33" i="12" s="1"/>
  <c r="D29" i="14"/>
  <c r="N31" i="14"/>
  <c r="EE35" i="17"/>
  <c r="EF35" i="17" s="1"/>
  <c r="G29" i="4"/>
  <c r="H29" i="4"/>
  <c r="J29" i="4"/>
  <c r="P29" i="4"/>
  <c r="E29" i="4"/>
  <c r="I29" i="4"/>
  <c r="F29" i="4"/>
  <c r="K29" i="4"/>
  <c r="L29" i="4"/>
  <c r="M29" i="4"/>
  <c r="N29" i="4"/>
  <c r="O29" i="4"/>
  <c r="F29" i="19"/>
  <c r="G29" i="19"/>
  <c r="K29" i="19"/>
  <c r="H29" i="19"/>
  <c r="I29" i="19"/>
  <c r="J29" i="19"/>
  <c r="L29" i="19"/>
  <c r="M29" i="19"/>
  <c r="N29" i="19"/>
  <c r="O29" i="19"/>
  <c r="P29" i="19"/>
  <c r="E29" i="19"/>
  <c r="N61" i="12"/>
  <c r="N63" i="12" s="1"/>
  <c r="I10" i="15" s="1"/>
  <c r="M63" i="12"/>
  <c r="L31" i="14"/>
  <c r="DU22" i="17"/>
  <c r="DV22" i="17" s="1"/>
  <c r="DW22" i="17" s="1"/>
  <c r="CB33" i="17"/>
  <c r="CD33" i="17" s="1"/>
  <c r="CB22" i="17"/>
  <c r="CC22" i="17" s="1"/>
  <c r="CD22" i="17" s="1"/>
  <c r="BJ22" i="17"/>
  <c r="BK22" i="17" s="1"/>
  <c r="BL22" i="17" s="1"/>
  <c r="DC21" i="17"/>
  <c r="DD21" i="17" s="1"/>
  <c r="DE21" i="17" s="1"/>
  <c r="G21" i="17"/>
  <c r="E17" i="14" s="1"/>
  <c r="DL22" i="17"/>
  <c r="Q18" i="14" s="1"/>
  <c r="DU21" i="17"/>
  <c r="DV21" i="17" s="1"/>
  <c r="DW21" i="17" s="1"/>
  <c r="Q21" i="17"/>
  <c r="F17" i="14" s="1"/>
  <c r="AI34" i="17"/>
  <c r="H30" i="14" s="1"/>
  <c r="Q34" i="17"/>
  <c r="F30" i="14" s="1"/>
  <c r="DC61" i="17"/>
  <c r="DC63" i="17" s="1"/>
  <c r="I22" i="15" s="1"/>
  <c r="BJ33" i="17"/>
  <c r="BK33" i="17" s="1"/>
  <c r="BL33" i="17" s="1"/>
  <c r="Q33" i="17"/>
  <c r="F29" i="14" s="1"/>
  <c r="BS21" i="17"/>
  <c r="L17" i="14" s="1"/>
  <c r="CT33" i="17"/>
  <c r="CV33" i="17" s="1"/>
  <c r="CT18" i="17"/>
  <c r="O14" i="14" s="1"/>
  <c r="CB23" i="17"/>
  <c r="M19" i="14" s="1"/>
  <c r="S43" i="14"/>
  <c r="T43" i="14" s="1"/>
  <c r="U43" i="14" s="1"/>
  <c r="DL18" i="17"/>
  <c r="DM18" i="17" s="1"/>
  <c r="DC26" i="17"/>
  <c r="DD26" i="17" s="1"/>
  <c r="AI33" i="17"/>
  <c r="AJ33" i="17" s="1"/>
  <c r="AK33" i="17" s="1"/>
  <c r="BA33" i="17"/>
  <c r="J29" i="14" s="1"/>
  <c r="Q22" i="17"/>
  <c r="F18" i="14" s="1"/>
  <c r="CD56" i="17"/>
  <c r="CB24" i="17"/>
  <c r="M20" i="14" s="1"/>
  <c r="CK21" i="17"/>
  <c r="CL21" i="17" s="1"/>
  <c r="CM21" i="17" s="1"/>
  <c r="BS33" i="17"/>
  <c r="L29" i="14" s="1"/>
  <c r="BJ21" i="17"/>
  <c r="K17" i="14" s="1"/>
  <c r="BA61" i="17"/>
  <c r="J58" i="14" s="1"/>
  <c r="BJ18" i="17"/>
  <c r="BK18" i="17" s="1"/>
  <c r="BL18" i="17" s="1"/>
  <c r="S42" i="14"/>
  <c r="T42" i="14" s="1"/>
  <c r="U42" i="14" s="1"/>
  <c r="CK33" i="17"/>
  <c r="CM33" i="17" s="1"/>
  <c r="AR33" i="17"/>
  <c r="AT33" i="17" s="1"/>
  <c r="CT24" i="17"/>
  <c r="O20" i="14" s="1"/>
  <c r="CK61" i="17"/>
  <c r="N58" i="14" s="1"/>
  <c r="S27" i="14"/>
  <c r="T27" i="14" s="1"/>
  <c r="U27" i="14" s="1"/>
  <c r="DU33" i="17"/>
  <c r="R29" i="14" s="1"/>
  <c r="BS24" i="17"/>
  <c r="L20" i="14" s="1"/>
  <c r="DL34" i="17"/>
  <c r="Q30" i="14" s="1"/>
  <c r="AI61" i="17"/>
  <c r="AI63" i="17" s="1"/>
  <c r="I14" i="15" s="1"/>
  <c r="CT34" i="17"/>
  <c r="CV34" i="17" s="1"/>
  <c r="DL21" i="17"/>
  <c r="DM21" i="17" s="1"/>
  <c r="CK24" i="17"/>
  <c r="N20" i="14" s="1"/>
  <c r="BJ34" i="17"/>
  <c r="BK34" i="17" s="1"/>
  <c r="BL34" i="17" s="1"/>
  <c r="E14" i="14"/>
  <c r="H18" i="17"/>
  <c r="I18" i="17" s="1"/>
  <c r="E30" i="14"/>
  <c r="H34" i="17"/>
  <c r="I34" i="17" s="1"/>
  <c r="DL24" i="17"/>
  <c r="L14" i="14"/>
  <c r="BT18" i="17"/>
  <c r="BU18" i="17" s="1"/>
  <c r="Z26" i="17"/>
  <c r="DL16" i="17"/>
  <c r="DL25" i="17"/>
  <c r="R58" i="14"/>
  <c r="DU63" i="17"/>
  <c r="DV63" i="17"/>
  <c r="DL33" i="17"/>
  <c r="Q25" i="17"/>
  <c r="DC16" i="17"/>
  <c r="CK53" i="17"/>
  <c r="DL20" i="17"/>
  <c r="Q30" i="17"/>
  <c r="AR29" i="17"/>
  <c r="CC43" i="17"/>
  <c r="CD43" i="17" s="1"/>
  <c r="M40" i="14"/>
  <c r="Z18" i="17"/>
  <c r="BJ16" i="17"/>
  <c r="BS22" i="17"/>
  <c r="DL26" i="17"/>
  <c r="CT61" i="17"/>
  <c r="M31" i="12"/>
  <c r="N31" i="12" s="1"/>
  <c r="G35" i="17"/>
  <c r="DU32" i="17"/>
  <c r="Q41" i="14"/>
  <c r="DM44" i="17"/>
  <c r="DN44" i="17" s="1"/>
  <c r="CK16" i="17"/>
  <c r="Q55" i="17"/>
  <c r="CK26" i="17"/>
  <c r="E19" i="14"/>
  <c r="H23" i="17"/>
  <c r="I23" i="17" s="1"/>
  <c r="Q26" i="17"/>
  <c r="R40" i="14"/>
  <c r="DV43" i="17"/>
  <c r="DW43" i="17" s="1"/>
  <c r="CV35" i="17"/>
  <c r="O31" i="14"/>
  <c r="DC32" i="17"/>
  <c r="CT16" i="17"/>
  <c r="CT53" i="17"/>
  <c r="DU15" i="17"/>
  <c r="O19" i="14"/>
  <c r="CV23" i="17"/>
  <c r="Q54" i="17"/>
  <c r="AI16" i="17"/>
  <c r="AI22" i="17"/>
  <c r="BB63" i="17"/>
  <c r="DC15" i="17"/>
  <c r="BA44" i="17"/>
  <c r="J41" i="14" s="1"/>
  <c r="I14" i="14"/>
  <c r="AT18" i="17"/>
  <c r="Q20" i="17"/>
  <c r="AR26" i="17"/>
  <c r="AI25" i="17"/>
  <c r="Z32" i="17"/>
  <c r="AI30" i="17"/>
  <c r="AR16" i="17"/>
  <c r="BA32" i="17"/>
  <c r="E53" i="14"/>
  <c r="H56" i="17"/>
  <c r="I56" i="17" s="1"/>
  <c r="DU28" i="17"/>
  <c r="DL15" i="17"/>
  <c r="CT25" i="17"/>
  <c r="BA23" i="17"/>
  <c r="BA18" i="17"/>
  <c r="AI20" i="17"/>
  <c r="BS19" i="17"/>
  <c r="M48" i="12"/>
  <c r="N48" i="12" s="1"/>
  <c r="AI44" i="17"/>
  <c r="E28" i="14"/>
  <c r="H32" i="17"/>
  <c r="I32" i="17" s="1"/>
  <c r="CK34" i="17"/>
  <c r="Z16" i="17"/>
  <c r="BA24" i="17"/>
  <c r="BA53" i="17"/>
  <c r="J50" i="14" s="1"/>
  <c r="BJ20" i="17"/>
  <c r="CB15" i="17"/>
  <c r="Z25" i="17"/>
  <c r="Z29" i="17"/>
  <c r="AB42" i="17"/>
  <c r="AI19" i="17"/>
  <c r="AR34" i="17"/>
  <c r="M22" i="14"/>
  <c r="CC26" i="17"/>
  <c r="CD26" i="17" s="1"/>
  <c r="P14" i="14"/>
  <c r="DD18" i="17"/>
  <c r="DE18" i="17" s="1"/>
  <c r="BA15" i="17"/>
  <c r="Q29" i="17"/>
  <c r="DU23" i="17"/>
  <c r="CT26" i="17"/>
  <c r="E22" i="14"/>
  <c r="H26" i="17"/>
  <c r="I26" i="17" s="1"/>
  <c r="BS16" i="17"/>
  <c r="DC53" i="17"/>
  <c r="DC28" i="17"/>
  <c r="Z53" i="17"/>
  <c r="CK30" i="17"/>
  <c r="DU25" i="17"/>
  <c r="BS34" i="17"/>
  <c r="BS28" i="17"/>
  <c r="BA16" i="17"/>
  <c r="BA34" i="17"/>
  <c r="BJ53" i="17"/>
  <c r="E16" i="14"/>
  <c r="H20" i="17"/>
  <c r="I20" i="17" s="1"/>
  <c r="DL30" i="17"/>
  <c r="AR15" i="17"/>
  <c r="BJ25" i="17"/>
  <c r="CB61" i="17"/>
  <c r="DC29" i="17"/>
  <c r="DU26" i="17"/>
  <c r="AR19" i="17"/>
  <c r="DC23" i="17"/>
  <c r="CK25" i="17"/>
  <c r="K31" i="14"/>
  <c r="BK35" i="17"/>
  <c r="BL35" i="17" s="1"/>
  <c r="BJ32" i="17"/>
  <c r="AJ23" i="17"/>
  <c r="AK23" i="17" s="1"/>
  <c r="H19" i="14"/>
  <c r="K20" i="14"/>
  <c r="BK24" i="17"/>
  <c r="BL24" i="17" s="1"/>
  <c r="CK18" i="17"/>
  <c r="AR30" i="17"/>
  <c r="Z35" i="17"/>
  <c r="AI32" i="17"/>
  <c r="AJ24" i="17"/>
  <c r="AK24" i="17" s="1"/>
  <c r="H20" i="14"/>
  <c r="N56" i="12"/>
  <c r="N58" i="12" s="1"/>
  <c r="M58" i="12"/>
  <c r="CK32" i="17"/>
  <c r="CB28" i="17"/>
  <c r="CT19" i="17"/>
  <c r="Z28" i="17"/>
  <c r="DU53" i="17"/>
  <c r="R31" i="14"/>
  <c r="DV35" i="17"/>
  <c r="DW35" i="17" s="1"/>
  <c r="BA22" i="17"/>
  <c r="Z24" i="17"/>
  <c r="M46" i="12"/>
  <c r="N46" i="12" s="1"/>
  <c r="BS29" i="17"/>
  <c r="BK44" i="17"/>
  <c r="BL44" i="17" s="1"/>
  <c r="K41" i="14"/>
  <c r="CB21" i="17"/>
  <c r="AI28" i="17"/>
  <c r="E12" i="14"/>
  <c r="H16" i="17"/>
  <c r="I16" i="17" s="1"/>
  <c r="DC24" i="17"/>
  <c r="CB53" i="17"/>
  <c r="BS30" i="17"/>
  <c r="E11" i="14"/>
  <c r="H15" i="17"/>
  <c r="BS25" i="17"/>
  <c r="BA29" i="17"/>
  <c r="BS26" i="17"/>
  <c r="CK19" i="17"/>
  <c r="DC34" i="17"/>
  <c r="CT20" i="17"/>
  <c r="BJ28" i="17"/>
  <c r="CK28" i="17"/>
  <c r="BA30" i="17"/>
  <c r="Q19" i="17"/>
  <c r="DL28" i="17"/>
  <c r="CK29" i="17"/>
  <c r="E25" i="14"/>
  <c r="H29" i="17"/>
  <c r="I29" i="17" s="1"/>
  <c r="AR32" i="17"/>
  <c r="CT21" i="17"/>
  <c r="AT41" i="17"/>
  <c r="DD43" i="17"/>
  <c r="DE43" i="17" s="1"/>
  <c r="P40" i="14"/>
  <c r="CT22" i="17"/>
  <c r="BJ23" i="17"/>
  <c r="AI15" i="17"/>
  <c r="S45" i="14"/>
  <c r="T45" i="14" s="1"/>
  <c r="U45" i="14" s="1"/>
  <c r="M43" i="12"/>
  <c r="N43" i="12" s="1"/>
  <c r="Q40" i="14"/>
  <c r="DM43" i="17"/>
  <c r="DN43" i="17" s="1"/>
  <c r="Z22" i="17"/>
  <c r="DU19" i="17"/>
  <c r="M31" i="14"/>
  <c r="CD35" i="17"/>
  <c r="AI53" i="17"/>
  <c r="Z19" i="17"/>
  <c r="AA34" i="17"/>
  <c r="AB34" i="17" s="1"/>
  <c r="G30" i="14"/>
  <c r="CT44" i="17"/>
  <c r="AR22" i="17"/>
  <c r="BA28" i="17"/>
  <c r="I41" i="17"/>
  <c r="DU24" i="17"/>
  <c r="BK56" i="17"/>
  <c r="BL56" i="17" s="1"/>
  <c r="K53" i="14"/>
  <c r="BS61" i="17"/>
  <c r="DC20" i="17"/>
  <c r="CT30" i="17"/>
  <c r="Z15" i="17"/>
  <c r="AR25" i="17"/>
  <c r="L41" i="14"/>
  <c r="BT44" i="17"/>
  <c r="BU44" i="17" s="1"/>
  <c r="Z61" i="17"/>
  <c r="CB25" i="17"/>
  <c r="DC33" i="17"/>
  <c r="H43" i="17"/>
  <c r="I43" i="17" s="1"/>
  <c r="J43" i="17" s="1"/>
  <c r="E40" i="14"/>
  <c r="BA35" i="17"/>
  <c r="BS20" i="17"/>
  <c r="E21" i="14"/>
  <c r="H25" i="17"/>
  <c r="I25" i="17" s="1"/>
  <c r="DL29" i="17"/>
  <c r="E41" i="14"/>
  <c r="H44" i="17"/>
  <c r="I44" i="17" s="1"/>
  <c r="J44" i="17" s="1"/>
  <c r="Q53" i="17"/>
  <c r="CB32" i="17"/>
  <c r="BB43" i="17"/>
  <c r="BC43" i="17" s="1"/>
  <c r="F41" i="14"/>
  <c r="R44" i="17"/>
  <c r="S44" i="17" s="1"/>
  <c r="BJ61" i="17"/>
  <c r="Q32" i="17"/>
  <c r="DU16" i="17"/>
  <c r="F19" i="14"/>
  <c r="R23" i="17"/>
  <c r="S23" i="17" s="1"/>
  <c r="AI21" i="17"/>
  <c r="M21" i="12"/>
  <c r="N21" i="12" s="1"/>
  <c r="Z21" i="17"/>
  <c r="M22" i="12"/>
  <c r="N22" i="12" s="1"/>
  <c r="AR35" i="17"/>
  <c r="BS23" i="17"/>
  <c r="DU34" i="17"/>
  <c r="CT28" i="17"/>
  <c r="E20" i="14"/>
  <c r="H24" i="17"/>
  <c r="I24" i="17" s="1"/>
  <c r="BS53" i="17"/>
  <c r="CB20" i="17"/>
  <c r="Z30" i="17"/>
  <c r="BJ29" i="17"/>
  <c r="CB18" i="17"/>
  <c r="BJ26" i="17"/>
  <c r="E15" i="14"/>
  <c r="H19" i="17"/>
  <c r="I19" i="17" s="1"/>
  <c r="F14" i="14"/>
  <c r="R18" i="17"/>
  <c r="S18" i="17" s="1"/>
  <c r="DC30" i="17"/>
  <c r="CB29" i="17"/>
  <c r="DL19" i="17"/>
  <c r="CB30" i="17"/>
  <c r="BC41" i="17"/>
  <c r="Q19" i="14"/>
  <c r="DM23" i="17"/>
  <c r="DN23" i="17" s="1"/>
  <c r="L53" i="14"/>
  <c r="BU56" i="17"/>
  <c r="AR20" i="17"/>
  <c r="AI29" i="17"/>
  <c r="CT32" i="17"/>
  <c r="E18" i="14"/>
  <c r="H22" i="17"/>
  <c r="I22" i="17" s="1"/>
  <c r="CL22" i="17"/>
  <c r="CM22" i="17" s="1"/>
  <c r="N18" i="14"/>
  <c r="CB19" i="17"/>
  <c r="K25" i="1"/>
  <c r="DC22" i="17"/>
  <c r="DD44" i="17"/>
  <c r="DE44" i="17" s="1"/>
  <c r="P41" i="14"/>
  <c r="Q56" i="17"/>
  <c r="BS15" i="17"/>
  <c r="BJ19" i="17"/>
  <c r="L40" i="14"/>
  <c r="BT43" i="17"/>
  <c r="BU43" i="17" s="1"/>
  <c r="Q35" i="17"/>
  <c r="DL32" i="17"/>
  <c r="E24" i="14"/>
  <c r="H28" i="17"/>
  <c r="I28" i="17" s="1"/>
  <c r="Q16" i="17"/>
  <c r="BJ15" i="17"/>
  <c r="AI35" i="17"/>
  <c r="Q31" i="14"/>
  <c r="DM35" i="17"/>
  <c r="DN35" i="17" s="1"/>
  <c r="DW41" i="17"/>
  <c r="AR28" i="17"/>
  <c r="Q61" i="17"/>
  <c r="DL61" i="17"/>
  <c r="AR53" i="17"/>
  <c r="Z20" i="17"/>
  <c r="DU30" i="17"/>
  <c r="AR23" i="17"/>
  <c r="CK15" i="17"/>
  <c r="BA25" i="17"/>
  <c r="CB34" i="17"/>
  <c r="AI26" i="17"/>
  <c r="DC19" i="17"/>
  <c r="CK23" i="17"/>
  <c r="I58" i="14"/>
  <c r="AR63" i="17"/>
  <c r="I15" i="15" s="1"/>
  <c r="AT61" i="17"/>
  <c r="AT63" i="17" s="1"/>
  <c r="DL53" i="17"/>
  <c r="DV18" i="17"/>
  <c r="DW18" i="17" s="1"/>
  <c r="R14" i="14"/>
  <c r="DU44" i="17"/>
  <c r="BA26" i="17"/>
  <c r="BA21" i="17"/>
  <c r="CK20" i="17"/>
  <c r="BS32" i="17"/>
  <c r="CB16" i="17"/>
  <c r="DU20" i="17"/>
  <c r="AT24" i="17"/>
  <c r="I20" i="14"/>
  <c r="E58" i="14"/>
  <c r="G63" i="17"/>
  <c r="CT29" i="17"/>
  <c r="E26" i="14"/>
  <c r="H30" i="17"/>
  <c r="I30" i="17" s="1"/>
  <c r="CT15" i="17"/>
  <c r="Q24" i="17"/>
  <c r="CL43" i="17"/>
  <c r="CM43" i="17" s="1"/>
  <c r="N40" i="14"/>
  <c r="F40" i="14"/>
  <c r="R43" i="17"/>
  <c r="S43" i="17" s="1"/>
  <c r="G33" i="17"/>
  <c r="Z23" i="17"/>
  <c r="BK43" i="17"/>
  <c r="BL43" i="17" s="1"/>
  <c r="K40" i="14"/>
  <c r="AR21" i="17"/>
  <c r="Z33" i="17"/>
  <c r="H40" i="14"/>
  <c r="AJ43" i="17"/>
  <c r="AK43" i="17" s="1"/>
  <c r="AI18" i="17"/>
  <c r="Q28" i="17"/>
  <c r="G53" i="17"/>
  <c r="BA20" i="17"/>
  <c r="BJ30" i="17"/>
  <c r="Q15" i="17"/>
  <c r="DC25" i="17"/>
  <c r="DU29" i="17"/>
  <c r="BA19" i="17"/>
  <c r="L58" i="12"/>
  <c r="J10" i="15" s="1"/>
  <c r="DA35" i="17"/>
  <c r="K26" i="1"/>
  <c r="I38" i="1"/>
  <c r="H38" i="1"/>
  <c r="H13" i="9"/>
  <c r="J41" i="8" s="1"/>
  <c r="J22" i="1"/>
  <c r="J37" i="1" s="1"/>
  <c r="K19" i="1"/>
  <c r="L28" i="1"/>
  <c r="N24" i="1"/>
  <c r="M21" i="1"/>
  <c r="N20" i="1"/>
  <c r="AX50" i="17"/>
  <c r="AO50" i="17"/>
  <c r="DI50" i="17"/>
  <c r="AF50" i="17"/>
  <c r="W50" i="17"/>
  <c r="S38" i="14"/>
  <c r="N50" i="17"/>
  <c r="CQ50" i="17"/>
  <c r="S39" i="14"/>
  <c r="T39" i="14" s="1"/>
  <c r="U39" i="14" s="1"/>
  <c r="BG50" i="17"/>
  <c r="CZ50" i="17"/>
  <c r="L67" i="9"/>
  <c r="L84" i="9" s="1"/>
  <c r="AP43" i="17"/>
  <c r="AR43" i="17" s="1"/>
  <c r="DR50" i="17"/>
  <c r="X43" i="17"/>
  <c r="Z43" i="17" s="1"/>
  <c r="BP50" i="17"/>
  <c r="BP65" i="17" s="1"/>
  <c r="CR43" i="17"/>
  <c r="CT43" i="17" s="1"/>
  <c r="D50" i="17"/>
  <c r="I15" i="17" l="1"/>
  <c r="F14" i="19"/>
  <c r="K14" i="19"/>
  <c r="L14" i="19"/>
  <c r="M14" i="19"/>
  <c r="N14" i="19"/>
  <c r="O14" i="19"/>
  <c r="E14" i="19"/>
  <c r="P14" i="19"/>
  <c r="I14" i="19"/>
  <c r="H14" i="19"/>
  <c r="G14" i="19"/>
  <c r="J14" i="19"/>
  <c r="O29" i="14"/>
  <c r="T38" i="14"/>
  <c r="U38" i="14" s="1"/>
  <c r="K14" i="14"/>
  <c r="H21" i="17"/>
  <c r="I21" i="17" s="1"/>
  <c r="P17" i="14"/>
  <c r="BK21" i="17"/>
  <c r="BL21" i="17" s="1"/>
  <c r="K18" i="14"/>
  <c r="M18" i="14"/>
  <c r="Q29" i="19"/>
  <c r="O14" i="4"/>
  <c r="H14" i="4"/>
  <c r="P14" i="4"/>
  <c r="G14" i="4"/>
  <c r="J14" i="4"/>
  <c r="E14" i="4"/>
  <c r="I14" i="4"/>
  <c r="N14" i="4"/>
  <c r="F14" i="4"/>
  <c r="K14" i="4"/>
  <c r="L14" i="4"/>
  <c r="M14" i="4"/>
  <c r="Q29" i="4"/>
  <c r="R18" i="14"/>
  <c r="BA63" i="17"/>
  <c r="I16" i="15" s="1"/>
  <c r="DM22" i="17"/>
  <c r="DN22" i="17" s="1"/>
  <c r="CV24" i="17"/>
  <c r="M29" i="14"/>
  <c r="N29" i="14"/>
  <c r="DD63" i="17"/>
  <c r="DM34" i="17"/>
  <c r="DN34" i="17" s="1"/>
  <c r="CV18" i="17"/>
  <c r="P58" i="14"/>
  <c r="P60" i="14" s="1"/>
  <c r="DE61" i="17"/>
  <c r="DE63" i="17" s="1"/>
  <c r="R17" i="14"/>
  <c r="K29" i="14"/>
  <c r="CM61" i="17"/>
  <c r="CM63" i="17" s="1"/>
  <c r="AJ34" i="17"/>
  <c r="AK34" i="17" s="1"/>
  <c r="CK63" i="17"/>
  <c r="I20" i="15" s="1"/>
  <c r="O30" i="14"/>
  <c r="R21" i="17"/>
  <c r="S21" i="17" s="1"/>
  <c r="BT33" i="17"/>
  <c r="BU33" i="17" s="1"/>
  <c r="R34" i="17"/>
  <c r="S34" i="17" s="1"/>
  <c r="N17" i="14"/>
  <c r="P22" i="14"/>
  <c r="BT24" i="17"/>
  <c r="BU24" i="17" s="1"/>
  <c r="DN18" i="17"/>
  <c r="Q14" i="14"/>
  <c r="H58" i="14"/>
  <c r="H60" i="14" s="1"/>
  <c r="R22" i="17"/>
  <c r="S22" i="17" s="1"/>
  <c r="H29" i="14"/>
  <c r="DI65" i="17"/>
  <c r="BT21" i="17"/>
  <c r="BU21" i="17" s="1"/>
  <c r="DV33" i="17"/>
  <c r="DW33" i="17" s="1"/>
  <c r="CC23" i="17"/>
  <c r="CD23" i="17" s="1"/>
  <c r="CC24" i="17"/>
  <c r="CD24" i="17" s="1"/>
  <c r="CL24" i="17"/>
  <c r="CM24" i="17" s="1"/>
  <c r="BB33" i="17"/>
  <c r="BC33" i="17" s="1"/>
  <c r="DE26" i="17"/>
  <c r="DN21" i="17"/>
  <c r="Q17" i="14"/>
  <c r="K30" i="14"/>
  <c r="AJ63" i="17"/>
  <c r="I29" i="14"/>
  <c r="R33" i="17"/>
  <c r="S33" i="17" s="1"/>
  <c r="DW61" i="17"/>
  <c r="DW63" i="17" s="1"/>
  <c r="N14" i="14"/>
  <c r="CL18" i="17"/>
  <c r="CM18" i="17" s="1"/>
  <c r="K11" i="14"/>
  <c r="BK15" i="17"/>
  <c r="F12" i="14"/>
  <c r="R16" i="17"/>
  <c r="S16" i="17" s="1"/>
  <c r="I15" i="14"/>
  <c r="AT19" i="17"/>
  <c r="G26" i="14"/>
  <c r="AA30" i="17"/>
  <c r="AB30" i="17" s="1"/>
  <c r="DD34" i="17"/>
  <c r="DE34" i="17" s="1"/>
  <c r="P30" i="14"/>
  <c r="J17" i="14"/>
  <c r="BB21" i="17"/>
  <c r="BC21" i="17" s="1"/>
  <c r="I18" i="14"/>
  <c r="AT22" i="17"/>
  <c r="G20" i="14"/>
  <c r="AA24" i="17"/>
  <c r="AB24" i="17" s="1"/>
  <c r="F11" i="14"/>
  <c r="R15" i="17"/>
  <c r="I17" i="14"/>
  <c r="AT21" i="17"/>
  <c r="N19" i="14"/>
  <c r="CL23" i="17"/>
  <c r="CM23" i="17" s="1"/>
  <c r="DL63" i="17"/>
  <c r="Q58" i="14"/>
  <c r="Q60" i="14" s="1"/>
  <c r="DM63" i="17"/>
  <c r="H25" i="14"/>
  <c r="AJ29" i="17"/>
  <c r="AK29" i="17" s="1"/>
  <c r="CV44" i="17"/>
  <c r="O41" i="14"/>
  <c r="H11" i="14"/>
  <c r="AJ15" i="17"/>
  <c r="J18" i="14"/>
  <c r="BB22" i="17"/>
  <c r="BC22" i="17" s="1"/>
  <c r="DD29" i="17"/>
  <c r="DE29" i="17" s="1"/>
  <c r="P25" i="14"/>
  <c r="DV25" i="17"/>
  <c r="DW25" i="17" s="1"/>
  <c r="R21" i="14"/>
  <c r="Q63" i="17"/>
  <c r="I12" i="15" s="1"/>
  <c r="F58" i="14"/>
  <c r="F60" i="14" s="1"/>
  <c r="R63" i="17"/>
  <c r="DM32" i="17"/>
  <c r="DN32" i="17" s="1"/>
  <c r="Q28" i="14"/>
  <c r="L25" i="1"/>
  <c r="L50" i="14"/>
  <c r="L55" i="14" s="1"/>
  <c r="BT58" i="17"/>
  <c r="BS58" i="17"/>
  <c r="J18" i="15" s="1"/>
  <c r="AA21" i="17"/>
  <c r="AB21" i="17" s="1"/>
  <c r="G17" i="14"/>
  <c r="DD33" i="17"/>
  <c r="DE33" i="17" s="1"/>
  <c r="P29" i="14"/>
  <c r="N15" i="14"/>
  <c r="CL19" i="17"/>
  <c r="CM19" i="17" s="1"/>
  <c r="BB15" i="17"/>
  <c r="J11" i="14"/>
  <c r="BT19" i="17"/>
  <c r="BU19" i="17" s="1"/>
  <c r="L15" i="14"/>
  <c r="G14" i="14"/>
  <c r="AA18" i="17"/>
  <c r="AB18" i="17" s="1"/>
  <c r="Q29" i="14"/>
  <c r="DM33" i="17"/>
  <c r="DN33" i="17" s="1"/>
  <c r="I40" i="14"/>
  <c r="AT43" i="17"/>
  <c r="K26" i="14"/>
  <c r="BK30" i="17"/>
  <c r="BL30" i="17" s="1"/>
  <c r="AT28" i="17"/>
  <c r="I24" i="14"/>
  <c r="I16" i="14"/>
  <c r="AT20" i="17"/>
  <c r="AT25" i="17"/>
  <c r="I21" i="14"/>
  <c r="K19" i="14"/>
  <c r="BK23" i="17"/>
  <c r="BL23" i="17" s="1"/>
  <c r="AJ32" i="17"/>
  <c r="AK32" i="17" s="1"/>
  <c r="H28" i="14"/>
  <c r="CB63" i="17"/>
  <c r="I19" i="15" s="1"/>
  <c r="M58" i="14"/>
  <c r="M60" i="14" s="1"/>
  <c r="CD61" i="17"/>
  <c r="CD63" i="17" s="1"/>
  <c r="CL30" i="17"/>
  <c r="CM30" i="17" s="1"/>
  <c r="N26" i="14"/>
  <c r="CL16" i="17"/>
  <c r="CM16" i="17" s="1"/>
  <c r="N12" i="14"/>
  <c r="BB32" i="17"/>
  <c r="BC32" i="17" s="1"/>
  <c r="J28" i="14"/>
  <c r="DM26" i="17"/>
  <c r="DN26" i="17" s="1"/>
  <c r="Q22" i="14"/>
  <c r="I50" i="14"/>
  <c r="I55" i="14" s="1"/>
  <c r="AT53" i="17"/>
  <c r="AT58" i="17" s="1"/>
  <c r="AR58" i="17"/>
  <c r="J15" i="15" s="1"/>
  <c r="K19" i="4" s="1"/>
  <c r="AA33" i="17"/>
  <c r="AB33" i="17" s="1"/>
  <c r="G29" i="14"/>
  <c r="I12" i="14"/>
  <c r="AT16" i="17"/>
  <c r="H24" i="14"/>
  <c r="AJ28" i="17"/>
  <c r="AK28" i="17" s="1"/>
  <c r="F24" i="14"/>
  <c r="R28" i="17"/>
  <c r="S28" i="17" s="1"/>
  <c r="P24" i="14"/>
  <c r="DD28" i="17"/>
  <c r="DE28" i="17" s="1"/>
  <c r="DD15" i="17"/>
  <c r="P11" i="14"/>
  <c r="F26" i="14"/>
  <c r="R30" i="17"/>
  <c r="S30" i="17" s="1"/>
  <c r="CC16" i="17"/>
  <c r="CD16" i="17" s="1"/>
  <c r="M12" i="14"/>
  <c r="DV24" i="17"/>
  <c r="DW24" i="17" s="1"/>
  <c r="R20" i="14"/>
  <c r="L25" i="14"/>
  <c r="BT29" i="17"/>
  <c r="BU29" i="17" s="1"/>
  <c r="CV20" i="17"/>
  <c r="O16" i="14"/>
  <c r="R26" i="14"/>
  <c r="DV30" i="17"/>
  <c r="DW30" i="17" s="1"/>
  <c r="M25" i="14"/>
  <c r="CC29" i="17"/>
  <c r="CD29" i="17" s="1"/>
  <c r="AT26" i="17"/>
  <c r="I22" i="14"/>
  <c r="BB35" i="17"/>
  <c r="BC35" i="17" s="1"/>
  <c r="J31" i="14"/>
  <c r="P28" i="14"/>
  <c r="DD32" i="17"/>
  <c r="DE32" i="17" s="1"/>
  <c r="R22" i="14"/>
  <c r="DV26" i="17"/>
  <c r="DW26" i="17" s="1"/>
  <c r="N22" i="14"/>
  <c r="CL26" i="17"/>
  <c r="CM26" i="17" s="1"/>
  <c r="F21" i="14"/>
  <c r="R25" i="17"/>
  <c r="S25" i="17" s="1"/>
  <c r="F31" i="14"/>
  <c r="R35" i="17"/>
  <c r="S35" i="17" s="1"/>
  <c r="I25" i="14"/>
  <c r="AT29" i="17"/>
  <c r="AA15" i="17"/>
  <c r="G11" i="14"/>
  <c r="K28" i="14"/>
  <c r="BK32" i="17"/>
  <c r="BL32" i="17" s="1"/>
  <c r="J55" i="14"/>
  <c r="BT25" i="17"/>
  <c r="BU25" i="17" s="1"/>
  <c r="L21" i="14"/>
  <c r="I61" i="17"/>
  <c r="I63" i="17" s="1"/>
  <c r="J63" i="17" s="1"/>
  <c r="H63" i="17"/>
  <c r="O24" i="14"/>
  <c r="CV28" i="17"/>
  <c r="P16" i="14"/>
  <c r="DD20" i="17"/>
  <c r="DE20" i="17" s="1"/>
  <c r="AJ58" i="17"/>
  <c r="H50" i="14"/>
  <c r="H55" i="14" s="1"/>
  <c r="AI58" i="17"/>
  <c r="CC21" i="17"/>
  <c r="CD21" i="17" s="1"/>
  <c r="M17" i="14"/>
  <c r="I30" i="14"/>
  <c r="AT34" i="17"/>
  <c r="G12" i="14"/>
  <c r="AA16" i="17"/>
  <c r="AB16" i="17" s="1"/>
  <c r="CV25" i="17"/>
  <c r="O21" i="14"/>
  <c r="E29" i="14"/>
  <c r="H33" i="17"/>
  <c r="I33" i="17" s="1"/>
  <c r="P18" i="14"/>
  <c r="DD22" i="17"/>
  <c r="DE22" i="17" s="1"/>
  <c r="Z63" i="17"/>
  <c r="I13" i="15" s="1"/>
  <c r="AA63" i="17"/>
  <c r="G58" i="14"/>
  <c r="G60" i="14" s="1"/>
  <c r="O28" i="14"/>
  <c r="CV32" i="17"/>
  <c r="L16" i="14"/>
  <c r="BT20" i="17"/>
  <c r="BU20" i="17" s="1"/>
  <c r="O12" i="14"/>
  <c r="CV16" i="17"/>
  <c r="G16" i="14"/>
  <c r="AA20" i="17"/>
  <c r="AB20" i="17" s="1"/>
  <c r="CL29" i="17"/>
  <c r="CM29" i="17" s="1"/>
  <c r="N25" i="14"/>
  <c r="F16" i="14"/>
  <c r="R20" i="17"/>
  <c r="S20" i="17" s="1"/>
  <c r="L30" i="14"/>
  <c r="BT34" i="17"/>
  <c r="BU34" i="17" s="1"/>
  <c r="F25" i="14"/>
  <c r="R29" i="17"/>
  <c r="S29" i="17" s="1"/>
  <c r="BK16" i="17"/>
  <c r="BL16" i="17" s="1"/>
  <c r="K12" i="14"/>
  <c r="BB26" i="17"/>
  <c r="BC26" i="17" s="1"/>
  <c r="J22" i="14"/>
  <c r="Q21" i="14"/>
  <c r="DM25" i="17"/>
  <c r="DN25" i="17" s="1"/>
  <c r="O26" i="14"/>
  <c r="CV30" i="17"/>
  <c r="I11" i="15"/>
  <c r="AJ26" i="17"/>
  <c r="AK26" i="17" s="1"/>
  <c r="H22" i="14"/>
  <c r="BK19" i="17"/>
  <c r="BL19" i="17" s="1"/>
  <c r="K15" i="14"/>
  <c r="M21" i="14"/>
  <c r="CC25" i="17"/>
  <c r="CD25" i="17" s="1"/>
  <c r="BB30" i="17"/>
  <c r="BC30" i="17" s="1"/>
  <c r="J26" i="14"/>
  <c r="BC61" i="17"/>
  <c r="BC63" i="17" s="1"/>
  <c r="E31" i="14"/>
  <c r="H35" i="17"/>
  <c r="I35" i="17" s="1"/>
  <c r="DM20" i="17"/>
  <c r="DN20" i="17" s="1"/>
  <c r="Q16" i="14"/>
  <c r="DM19" i="17"/>
  <c r="DN19" i="17" s="1"/>
  <c r="Q15" i="14"/>
  <c r="AJ25" i="17"/>
  <c r="AK25" i="17" s="1"/>
  <c r="H21" i="14"/>
  <c r="P19" i="14"/>
  <c r="DD23" i="17"/>
  <c r="DE23" i="17" s="1"/>
  <c r="N28" i="14"/>
  <c r="CL32" i="17"/>
  <c r="CM32" i="17" s="1"/>
  <c r="G21" i="14"/>
  <c r="AA25" i="17"/>
  <c r="AB25" i="17" s="1"/>
  <c r="N16" i="14"/>
  <c r="CL20" i="17"/>
  <c r="CM20" i="17" s="1"/>
  <c r="CC15" i="17"/>
  <c r="M11" i="14"/>
  <c r="L24" i="14"/>
  <c r="BT28" i="17"/>
  <c r="BU28" i="17" s="1"/>
  <c r="L18" i="14"/>
  <c r="BT22" i="17"/>
  <c r="BU22" i="17" s="1"/>
  <c r="Q20" i="14"/>
  <c r="DM24" i="17"/>
  <c r="DN24" i="17" s="1"/>
  <c r="DC35" i="17"/>
  <c r="BB58" i="17"/>
  <c r="BA58" i="17"/>
  <c r="J16" i="15" s="1"/>
  <c r="L20" i="4" s="1"/>
  <c r="J19" i="14"/>
  <c r="BB23" i="17"/>
  <c r="BC23" i="17" s="1"/>
  <c r="DM30" i="17"/>
  <c r="DN30" i="17" s="1"/>
  <c r="Q26" i="14"/>
  <c r="BK26" i="17"/>
  <c r="BL26" i="17" s="1"/>
  <c r="K22" i="14"/>
  <c r="R30" i="14"/>
  <c r="DV34" i="17"/>
  <c r="DW34" i="17" s="1"/>
  <c r="R12" i="14"/>
  <c r="DV16" i="17"/>
  <c r="DW16" i="17" s="1"/>
  <c r="CV19" i="17"/>
  <c r="O15" i="14"/>
  <c r="DD58" i="17"/>
  <c r="P50" i="14"/>
  <c r="P55" i="14" s="1"/>
  <c r="DC58" i="17"/>
  <c r="N30" i="14"/>
  <c r="CM34" i="17"/>
  <c r="Q11" i="14"/>
  <c r="DM15" i="17"/>
  <c r="DM16" i="17"/>
  <c r="DN16" i="17" s="1"/>
  <c r="Q12" i="14"/>
  <c r="DD30" i="17"/>
  <c r="DE30" i="17" s="1"/>
  <c r="P26" i="14"/>
  <c r="CV22" i="17"/>
  <c r="O18" i="14"/>
  <c r="H16" i="14"/>
  <c r="AJ20" i="17"/>
  <c r="AK20" i="17" s="1"/>
  <c r="BB44" i="17"/>
  <c r="J16" i="14"/>
  <c r="BB20" i="17"/>
  <c r="BC20" i="17" s="1"/>
  <c r="F50" i="14"/>
  <c r="S53" i="17"/>
  <c r="Q58" i="17"/>
  <c r="BB29" i="17"/>
  <c r="BC29" i="17" s="1"/>
  <c r="J25" i="14"/>
  <c r="R50" i="14"/>
  <c r="R55" i="14" s="1"/>
  <c r="DV58" i="17"/>
  <c r="DU58" i="17"/>
  <c r="J24" i="15" s="1"/>
  <c r="I11" i="14"/>
  <c r="AT15" i="17"/>
  <c r="CV26" i="17"/>
  <c r="O22" i="14"/>
  <c r="H58" i="17"/>
  <c r="E50" i="14"/>
  <c r="E55" i="14" s="1"/>
  <c r="G58" i="17"/>
  <c r="J11" i="15" s="1"/>
  <c r="E15" i="4" s="1"/>
  <c r="CD34" i="17"/>
  <c r="M30" i="14"/>
  <c r="H31" i="14"/>
  <c r="AJ35" i="17"/>
  <c r="AK35" i="17" s="1"/>
  <c r="L11" i="14"/>
  <c r="BT15" i="17"/>
  <c r="L19" i="14"/>
  <c r="BT23" i="17"/>
  <c r="BU23" i="17" s="1"/>
  <c r="BS63" i="17"/>
  <c r="BT63" i="17"/>
  <c r="L58" i="14"/>
  <c r="L60" i="14" s="1"/>
  <c r="O17" i="14"/>
  <c r="CV21" i="17"/>
  <c r="N24" i="14"/>
  <c r="CL28" i="17"/>
  <c r="CM28" i="17" s="1"/>
  <c r="K50" i="14"/>
  <c r="K55" i="14" s="1"/>
  <c r="BK58" i="17"/>
  <c r="BJ58" i="17"/>
  <c r="H15" i="14"/>
  <c r="AJ19" i="17"/>
  <c r="AK19" i="17" s="1"/>
  <c r="G28" i="14"/>
  <c r="AA32" i="17"/>
  <c r="AB32" i="17" s="1"/>
  <c r="CK58" i="17"/>
  <c r="J20" i="15" s="1"/>
  <c r="N50" i="14"/>
  <c r="N55" i="14" s="1"/>
  <c r="CM53" i="17"/>
  <c r="CM58" i="17" s="1"/>
  <c r="L26" i="14"/>
  <c r="BT30" i="17"/>
  <c r="BU30" i="17" s="1"/>
  <c r="G19" i="14"/>
  <c r="AA23" i="17"/>
  <c r="AB23" i="17" s="1"/>
  <c r="CT58" i="17"/>
  <c r="J21" i="15" s="1"/>
  <c r="O50" i="14"/>
  <c r="O55" i="14" s="1"/>
  <c r="CU58" i="17"/>
  <c r="L28" i="14"/>
  <c r="BT32" i="17"/>
  <c r="BU32" i="17" s="1"/>
  <c r="G22" i="14"/>
  <c r="AA26" i="17"/>
  <c r="AB26" i="17" s="1"/>
  <c r="G40" i="14"/>
  <c r="AA43" i="17"/>
  <c r="AB43" i="17" s="1"/>
  <c r="BB28" i="17"/>
  <c r="BC28" i="17" s="1"/>
  <c r="J24" i="14"/>
  <c r="CC20" i="17"/>
  <c r="CD20" i="17" s="1"/>
  <c r="M16" i="14"/>
  <c r="H17" i="14"/>
  <c r="AJ21" i="17"/>
  <c r="AK21" i="17" s="1"/>
  <c r="AA35" i="17"/>
  <c r="AB35" i="17" s="1"/>
  <c r="G31" i="14"/>
  <c r="F15" i="14"/>
  <c r="R19" i="17"/>
  <c r="S19" i="17" s="1"/>
  <c r="BB18" i="17"/>
  <c r="BC18" i="17" s="1"/>
  <c r="J14" i="14"/>
  <c r="G24" i="14"/>
  <c r="AA28" i="17"/>
  <c r="AB28" i="17" s="1"/>
  <c r="J20" i="14"/>
  <c r="BB24" i="17"/>
  <c r="BC24" i="17" s="1"/>
  <c r="R28" i="14"/>
  <c r="DV32" i="17"/>
  <c r="DW32" i="17" s="1"/>
  <c r="H14" i="14"/>
  <c r="AJ18" i="17"/>
  <c r="AK18" i="17" s="1"/>
  <c r="F20" i="14"/>
  <c r="R24" i="17"/>
  <c r="S24" i="17" s="1"/>
  <c r="DL58" i="17"/>
  <c r="J23" i="15" s="1"/>
  <c r="L27" i="4" s="1"/>
  <c r="DM58" i="17"/>
  <c r="Q50" i="14"/>
  <c r="Q55" i="14" s="1"/>
  <c r="BB25" i="17"/>
  <c r="BC25" i="17" s="1"/>
  <c r="J21" i="14"/>
  <c r="CC18" i="17"/>
  <c r="CD18" i="17" s="1"/>
  <c r="M14" i="14"/>
  <c r="F28" i="14"/>
  <c r="R32" i="17"/>
  <c r="S32" i="17" s="1"/>
  <c r="DV19" i="17"/>
  <c r="DW19" i="17" s="1"/>
  <c r="R15" i="14"/>
  <c r="I28" i="14"/>
  <c r="AT32" i="17"/>
  <c r="DV23" i="17"/>
  <c r="DW23" i="17" s="1"/>
  <c r="R19" i="14"/>
  <c r="R24" i="14"/>
  <c r="DV28" i="17"/>
  <c r="DW28" i="17" s="1"/>
  <c r="H18" i="14"/>
  <c r="AJ22" i="17"/>
  <c r="AK22" i="17" s="1"/>
  <c r="AT23" i="17"/>
  <c r="I19" i="14"/>
  <c r="H41" i="14"/>
  <c r="AJ44" i="17"/>
  <c r="H12" i="14"/>
  <c r="AJ16" i="17"/>
  <c r="AK16" i="17" s="1"/>
  <c r="R25" i="14"/>
  <c r="DV29" i="17"/>
  <c r="DW29" i="17" s="1"/>
  <c r="P21" i="14"/>
  <c r="DD25" i="17"/>
  <c r="DE25" i="17" s="1"/>
  <c r="P20" i="14"/>
  <c r="DD24" i="17"/>
  <c r="DE24" i="17" s="1"/>
  <c r="F52" i="14"/>
  <c r="S55" i="17"/>
  <c r="CC19" i="17"/>
  <c r="CD19" i="17" s="1"/>
  <c r="M15" i="14"/>
  <c r="DM28" i="17"/>
  <c r="DN28" i="17" s="1"/>
  <c r="Q24" i="14"/>
  <c r="K21" i="14"/>
  <c r="BK25" i="17"/>
  <c r="BL25" i="17" s="1"/>
  <c r="G50" i="14"/>
  <c r="G55" i="14" s="1"/>
  <c r="AA58" i="17"/>
  <c r="Z58" i="17"/>
  <c r="J13" i="15" s="1"/>
  <c r="P15" i="14"/>
  <c r="DD19" i="17"/>
  <c r="DE19" i="17" s="1"/>
  <c r="F53" i="14"/>
  <c r="S56" i="17"/>
  <c r="M26" i="14"/>
  <c r="CC30" i="17"/>
  <c r="CD30" i="17" s="1"/>
  <c r="BK29" i="17"/>
  <c r="BL29" i="17" s="1"/>
  <c r="K25" i="14"/>
  <c r="DM29" i="17"/>
  <c r="DN29" i="17" s="1"/>
  <c r="Q25" i="14"/>
  <c r="I26" i="14"/>
  <c r="AT30" i="17"/>
  <c r="BB34" i="17"/>
  <c r="BC34" i="17" s="1"/>
  <c r="J30" i="14"/>
  <c r="L12" i="14"/>
  <c r="BT16" i="17"/>
  <c r="BU16" i="17" s="1"/>
  <c r="DD16" i="17"/>
  <c r="DE16" i="17" s="1"/>
  <c r="P12" i="14"/>
  <c r="I31" i="14"/>
  <c r="AT35" i="17"/>
  <c r="M24" i="14"/>
  <c r="CC28" i="17"/>
  <c r="CD28" i="17" s="1"/>
  <c r="F22" i="14"/>
  <c r="R26" i="17"/>
  <c r="S26" i="17" s="1"/>
  <c r="O11" i="14"/>
  <c r="CV15" i="17"/>
  <c r="CT63" i="17"/>
  <c r="I21" i="15" s="1"/>
  <c r="O58" i="14"/>
  <c r="O60" i="14" s="1"/>
  <c r="CU63" i="17"/>
  <c r="CD53" i="17"/>
  <c r="CD58" i="17" s="1"/>
  <c r="M50" i="14"/>
  <c r="M55" i="14" s="1"/>
  <c r="CB58" i="17"/>
  <c r="J19" i="15" s="1"/>
  <c r="H23" i="4" s="1"/>
  <c r="M28" i="14"/>
  <c r="CC32" i="17"/>
  <c r="CD32" i="17" s="1"/>
  <c r="F51" i="14"/>
  <c r="R54" i="17"/>
  <c r="S54" i="17" s="1"/>
  <c r="BT26" i="17"/>
  <c r="BU26" i="17" s="1"/>
  <c r="L22" i="14"/>
  <c r="K16" i="14"/>
  <c r="BK20" i="17"/>
  <c r="BL20" i="17" s="1"/>
  <c r="I24" i="15"/>
  <c r="R41" i="14"/>
  <c r="DV44" i="17"/>
  <c r="DW44" i="17" s="1"/>
  <c r="AJ30" i="17"/>
  <c r="AK30" i="17" s="1"/>
  <c r="H26" i="14"/>
  <c r="O25" i="14"/>
  <c r="CV29" i="17"/>
  <c r="AA19" i="17"/>
  <c r="AB19" i="17" s="1"/>
  <c r="G15" i="14"/>
  <c r="DV20" i="17"/>
  <c r="DW20" i="17" s="1"/>
  <c r="R16" i="14"/>
  <c r="CV43" i="17"/>
  <c r="O40" i="14"/>
  <c r="J15" i="14"/>
  <c r="BB19" i="17"/>
  <c r="BC19" i="17" s="1"/>
  <c r="CL15" i="17"/>
  <c r="N11" i="14"/>
  <c r="K58" i="14"/>
  <c r="K60" i="14" s="1"/>
  <c r="BJ63" i="17"/>
  <c r="I17" i="15" s="1"/>
  <c r="BK63" i="17"/>
  <c r="G18" i="14"/>
  <c r="AA22" i="17"/>
  <c r="AB22" i="17" s="1"/>
  <c r="BK28" i="17"/>
  <c r="BL28" i="17" s="1"/>
  <c r="K24" i="14"/>
  <c r="N21" i="14"/>
  <c r="CL25" i="17"/>
  <c r="CM25" i="17" s="1"/>
  <c r="J12" i="14"/>
  <c r="BB16" i="17"/>
  <c r="BC16" i="17" s="1"/>
  <c r="AA29" i="17"/>
  <c r="AB29" i="17" s="1"/>
  <c r="G25" i="14"/>
  <c r="R11" i="14"/>
  <c r="DV15" i="17"/>
  <c r="W65" i="17"/>
  <c r="AX65" i="17"/>
  <c r="CQ65" i="17"/>
  <c r="AF65" i="17"/>
  <c r="D65" i="17"/>
  <c r="AO65" i="17"/>
  <c r="M26" i="1"/>
  <c r="L26" i="1"/>
  <c r="Q26" i="8"/>
  <c r="I13" i="9"/>
  <c r="K41" i="8" s="1"/>
  <c r="K22" i="1"/>
  <c r="K37" i="1" s="1"/>
  <c r="L19" i="1"/>
  <c r="R60" i="14"/>
  <c r="J60" i="14"/>
  <c r="N60" i="14"/>
  <c r="I60" i="14"/>
  <c r="M28" i="1"/>
  <c r="P28" i="1" s="1"/>
  <c r="Q28" i="8"/>
  <c r="D24" i="8"/>
  <c r="O24" i="1"/>
  <c r="P24" i="1" s="1"/>
  <c r="Q24" i="8"/>
  <c r="N21" i="1"/>
  <c r="O20" i="1"/>
  <c r="P20" i="1" s="1"/>
  <c r="D20" i="8"/>
  <c r="Q20" i="8"/>
  <c r="M67" i="9"/>
  <c r="M84" i="9" s="1"/>
  <c r="O33" i="9"/>
  <c r="Q14" i="19" l="1"/>
  <c r="DW15" i="17"/>
  <c r="CM15" i="17"/>
  <c r="BU15" i="17"/>
  <c r="DN15" i="17"/>
  <c r="CD15" i="17"/>
  <c r="AB15" i="17"/>
  <c r="DE15" i="17"/>
  <c r="AK15" i="17"/>
  <c r="S15" i="17"/>
  <c r="BL15" i="17"/>
  <c r="S33" i="9"/>
  <c r="E25" i="4"/>
  <c r="F25" i="4"/>
  <c r="G25" i="4"/>
  <c r="H25" i="4"/>
  <c r="I25" i="4"/>
  <c r="J25" i="4"/>
  <c r="K25" i="4"/>
  <c r="L25" i="4"/>
  <c r="L17" i="4"/>
  <c r="E17" i="4"/>
  <c r="F17" i="4"/>
  <c r="G17" i="4"/>
  <c r="H17" i="4"/>
  <c r="I17" i="4"/>
  <c r="J17" i="4"/>
  <c r="M17" i="4"/>
  <c r="K17" i="4"/>
  <c r="N17" i="4"/>
  <c r="O17" i="4"/>
  <c r="P17" i="4"/>
  <c r="M25" i="4"/>
  <c r="Q14" i="4"/>
  <c r="G25" i="19"/>
  <c r="E25" i="19"/>
  <c r="F25" i="19"/>
  <c r="H25" i="19"/>
  <c r="I25" i="19"/>
  <c r="J25" i="19"/>
  <c r="K25" i="19"/>
  <c r="L25" i="19"/>
  <c r="L17" i="19"/>
  <c r="H17" i="19"/>
  <c r="E17" i="19"/>
  <c r="F17" i="19"/>
  <c r="G17" i="19"/>
  <c r="M17" i="19"/>
  <c r="J17" i="19"/>
  <c r="I17" i="19"/>
  <c r="K17" i="19"/>
  <c r="N17" i="19"/>
  <c r="O17" i="19"/>
  <c r="P17" i="19"/>
  <c r="M25" i="19"/>
  <c r="DE53" i="17"/>
  <c r="DE58" i="17" s="1"/>
  <c r="BU53" i="17"/>
  <c r="BU58" i="17" s="1"/>
  <c r="BU61" i="17"/>
  <c r="BU63" i="17" s="1"/>
  <c r="CV53" i="17"/>
  <c r="CV58" i="17" s="1"/>
  <c r="H15" i="4"/>
  <c r="DW53" i="17"/>
  <c r="DW58" i="17" s="1"/>
  <c r="O20" i="4"/>
  <c r="BL53" i="17"/>
  <c r="BL58" i="17" s="1"/>
  <c r="H20" i="4"/>
  <c r="I53" i="17"/>
  <c r="I58" i="17" s="1"/>
  <c r="J58" i="17" s="1"/>
  <c r="BC53" i="17"/>
  <c r="BC58" i="17" s="1"/>
  <c r="CV61" i="17"/>
  <c r="CV63" i="17" s="1"/>
  <c r="R58" i="17"/>
  <c r="S29" i="14"/>
  <c r="T29" i="14" s="1"/>
  <c r="U29" i="14" s="1"/>
  <c r="DN53" i="17"/>
  <c r="DN58" i="17" s="1"/>
  <c r="N19" i="4"/>
  <c r="AB53" i="17"/>
  <c r="AB58" i="17" s="1"/>
  <c r="M27" i="4"/>
  <c r="N15" i="4"/>
  <c r="M15" i="4"/>
  <c r="K15" i="4"/>
  <c r="G27" i="4"/>
  <c r="P27" i="4"/>
  <c r="I27" i="4"/>
  <c r="S19" i="14"/>
  <c r="T19" i="14" s="1"/>
  <c r="U19" i="14" s="1"/>
  <c r="O21" i="19"/>
  <c r="G23" i="4"/>
  <c r="O27" i="4"/>
  <c r="J27" i="4"/>
  <c r="S50" i="14"/>
  <c r="T50" i="14" s="1"/>
  <c r="U50" i="14" s="1"/>
  <c r="S14" i="14"/>
  <c r="T14" i="14" s="1"/>
  <c r="U14" i="14" s="1"/>
  <c r="L23" i="4"/>
  <c r="P23" i="4"/>
  <c r="S41" i="14"/>
  <c r="T41" i="14" s="1"/>
  <c r="J15" i="4"/>
  <c r="I15" i="4"/>
  <c r="AK61" i="17"/>
  <c r="AK63" i="17" s="1"/>
  <c r="L15" i="4"/>
  <c r="O15" i="4"/>
  <c r="BL61" i="17"/>
  <c r="BL63" i="17" s="1"/>
  <c r="DN61" i="17"/>
  <c r="DN63" i="17" s="1"/>
  <c r="S18" i="14"/>
  <c r="T18" i="14" s="1"/>
  <c r="U18" i="14" s="1"/>
  <c r="S17" i="14"/>
  <c r="T17" i="14" s="1"/>
  <c r="U17" i="14" s="1"/>
  <c r="AB61" i="17"/>
  <c r="AB63" i="17" s="1"/>
  <c r="S61" i="17"/>
  <c r="S63" i="17" s="1"/>
  <c r="S16" i="14"/>
  <c r="T16" i="14" s="1"/>
  <c r="U16" i="14" s="1"/>
  <c r="F20" i="4"/>
  <c r="P15" i="4"/>
  <c r="H19" i="4"/>
  <c r="I18" i="15"/>
  <c r="E22" i="19" s="1"/>
  <c r="M20" i="4"/>
  <c r="F15" i="4"/>
  <c r="G19" i="4"/>
  <c r="BC44" i="17"/>
  <c r="DD35" i="17"/>
  <c r="DE35" i="17" s="1"/>
  <c r="P31" i="14"/>
  <c r="G20" i="4"/>
  <c r="G15" i="4"/>
  <c r="K22" i="4"/>
  <c r="F19" i="4"/>
  <c r="P20" i="4"/>
  <c r="J20" i="4"/>
  <c r="S58" i="17"/>
  <c r="I20" i="4"/>
  <c r="N20" i="4"/>
  <c r="J23" i="4"/>
  <c r="M19" i="4"/>
  <c r="E23" i="4"/>
  <c r="J17" i="15"/>
  <c r="AK44" i="17"/>
  <c r="I23" i="15"/>
  <c r="I27" i="19" s="1"/>
  <c r="S24" i="14"/>
  <c r="T24" i="14" s="1"/>
  <c r="U24" i="14" s="1"/>
  <c r="L19" i="4"/>
  <c r="N23" i="4"/>
  <c r="S15" i="14"/>
  <c r="T15" i="14" s="1"/>
  <c r="U15" i="14" s="1"/>
  <c r="J12" i="15"/>
  <c r="E20" i="4"/>
  <c r="K27" i="4"/>
  <c r="S21" i="14"/>
  <c r="T21" i="14" s="1"/>
  <c r="U21" i="14" s="1"/>
  <c r="S28" i="14"/>
  <c r="T28" i="14" s="1"/>
  <c r="U28" i="14" s="1"/>
  <c r="J14" i="15"/>
  <c r="E18" i="4" s="1"/>
  <c r="I19" i="4"/>
  <c r="S26" i="14"/>
  <c r="T26" i="14" s="1"/>
  <c r="U26" i="14" s="1"/>
  <c r="K20" i="4"/>
  <c r="E27" i="4"/>
  <c r="N25" i="4"/>
  <c r="M25" i="1"/>
  <c r="N25" i="19"/>
  <c r="S25" i="14"/>
  <c r="T25" i="14" s="1"/>
  <c r="U25" i="14" s="1"/>
  <c r="M23" i="4"/>
  <c r="K23" i="4"/>
  <c r="J19" i="4"/>
  <c r="J22" i="15"/>
  <c r="S12" i="14"/>
  <c r="T12" i="14" s="1"/>
  <c r="U12" i="14" s="1"/>
  <c r="S11" i="14"/>
  <c r="T11" i="14" s="1"/>
  <c r="U11" i="14" s="1"/>
  <c r="N27" i="4"/>
  <c r="I23" i="4"/>
  <c r="F23" i="4"/>
  <c r="S22" i="14"/>
  <c r="T22" i="14" s="1"/>
  <c r="U22" i="14" s="1"/>
  <c r="AK53" i="17"/>
  <c r="AK58" i="17" s="1"/>
  <c r="BC15" i="17"/>
  <c r="F55" i="14"/>
  <c r="S30" i="14"/>
  <c r="T30" i="14" s="1"/>
  <c r="U30" i="14" s="1"/>
  <c r="E19" i="4"/>
  <c r="S20" i="14"/>
  <c r="T20" i="14" s="1"/>
  <c r="U20" i="14" s="1"/>
  <c r="O23" i="4"/>
  <c r="H27" i="4"/>
  <c r="F27" i="4"/>
  <c r="L22" i="4"/>
  <c r="G22" i="4"/>
  <c r="J22" i="4"/>
  <c r="I22" i="4"/>
  <c r="F22" i="4"/>
  <c r="P26" i="1"/>
  <c r="K38" i="1"/>
  <c r="J38" i="1"/>
  <c r="J13" i="9"/>
  <c r="L41" i="8" s="1"/>
  <c r="L22" i="1"/>
  <c r="L37" i="1" s="1"/>
  <c r="K13" i="9"/>
  <c r="M41" i="8" s="1"/>
  <c r="O19" i="19"/>
  <c r="M19" i="1"/>
  <c r="N19" i="19"/>
  <c r="M19" i="19"/>
  <c r="E19" i="19"/>
  <c r="G19" i="19"/>
  <c r="F19" i="19"/>
  <c r="H19" i="19"/>
  <c r="K19" i="19"/>
  <c r="I19" i="19"/>
  <c r="J19" i="19"/>
  <c r="L19" i="19"/>
  <c r="N18" i="19"/>
  <c r="O18" i="19"/>
  <c r="H18" i="19"/>
  <c r="M18" i="19"/>
  <c r="I18" i="19"/>
  <c r="F18" i="19"/>
  <c r="K18" i="19"/>
  <c r="E18" i="19"/>
  <c r="P18" i="19"/>
  <c r="L18" i="19"/>
  <c r="J18" i="19"/>
  <c r="G18" i="19"/>
  <c r="F24" i="19"/>
  <c r="E24" i="19"/>
  <c r="K24" i="19"/>
  <c r="L24" i="19"/>
  <c r="J24" i="19"/>
  <c r="M24" i="19"/>
  <c r="H24" i="19"/>
  <c r="G24" i="19"/>
  <c r="I24" i="19"/>
  <c r="N24" i="19"/>
  <c r="O24" i="19"/>
  <c r="G21" i="19"/>
  <c r="M21" i="19"/>
  <c r="L21" i="19"/>
  <c r="F21" i="19"/>
  <c r="K21" i="19"/>
  <c r="H21" i="19"/>
  <c r="I21" i="19"/>
  <c r="J21" i="19"/>
  <c r="E21" i="19"/>
  <c r="N21" i="19"/>
  <c r="P26" i="19"/>
  <c r="G26" i="19"/>
  <c r="K26" i="19"/>
  <c r="M26" i="19"/>
  <c r="O26" i="19"/>
  <c r="E26" i="19"/>
  <c r="F26" i="19"/>
  <c r="H26" i="19"/>
  <c r="L26" i="19"/>
  <c r="N26" i="19"/>
  <c r="I26" i="19"/>
  <c r="J26" i="19"/>
  <c r="P24" i="19"/>
  <c r="O16" i="19"/>
  <c r="I16" i="19"/>
  <c r="M16" i="19"/>
  <c r="J16" i="19"/>
  <c r="E16" i="19"/>
  <c r="K16" i="19"/>
  <c r="G16" i="19"/>
  <c r="F16" i="19"/>
  <c r="H16" i="19"/>
  <c r="L16" i="19"/>
  <c r="N16" i="19"/>
  <c r="P16" i="19"/>
  <c r="J28" i="19"/>
  <c r="L28" i="19"/>
  <c r="E28" i="19"/>
  <c r="G28" i="19"/>
  <c r="I28" i="19"/>
  <c r="O28" i="19"/>
  <c r="K28" i="19"/>
  <c r="H28" i="19"/>
  <c r="P28" i="19"/>
  <c r="F28" i="19"/>
  <c r="M28" i="19"/>
  <c r="N28" i="19"/>
  <c r="E60" i="14"/>
  <c r="O15" i="19"/>
  <c r="K15" i="19"/>
  <c r="F15" i="19"/>
  <c r="N15" i="19"/>
  <c r="J15" i="19"/>
  <c r="M15" i="19"/>
  <c r="L15" i="19"/>
  <c r="H15" i="19"/>
  <c r="E15" i="19"/>
  <c r="P15" i="19"/>
  <c r="G15" i="19"/>
  <c r="I15" i="19"/>
  <c r="N23" i="19"/>
  <c r="J23" i="19"/>
  <c r="P23" i="19"/>
  <c r="L23" i="19"/>
  <c r="O23" i="19"/>
  <c r="F23" i="19"/>
  <c r="G23" i="19"/>
  <c r="M23" i="19"/>
  <c r="I23" i="19"/>
  <c r="K23" i="19"/>
  <c r="E23" i="19"/>
  <c r="H23" i="19"/>
  <c r="H22" i="4"/>
  <c r="E22" i="4"/>
  <c r="M22" i="4"/>
  <c r="F28" i="4"/>
  <c r="O28" i="4"/>
  <c r="P28" i="4"/>
  <c r="N28" i="4"/>
  <c r="E28" i="4"/>
  <c r="K28" i="4"/>
  <c r="L28" i="4"/>
  <c r="H28" i="4"/>
  <c r="G28" i="4"/>
  <c r="J28" i="4"/>
  <c r="M28" i="4"/>
  <c r="I28" i="4"/>
  <c r="S53" i="14"/>
  <c r="T53" i="14" s="1"/>
  <c r="O21" i="1"/>
  <c r="P21" i="1" s="1"/>
  <c r="D21" i="8"/>
  <c r="P21" i="19"/>
  <c r="Q21" i="8"/>
  <c r="O94" i="9"/>
  <c r="I24" i="4"/>
  <c r="J24" i="4"/>
  <c r="E24" i="4"/>
  <c r="F24" i="4"/>
  <c r="N24" i="4"/>
  <c r="K24" i="4"/>
  <c r="G24" i="4"/>
  <c r="O24" i="4"/>
  <c r="M24" i="4"/>
  <c r="L24" i="4"/>
  <c r="H24" i="4"/>
  <c r="P24" i="4"/>
  <c r="U33" i="9"/>
  <c r="R33" i="9"/>
  <c r="C17" i="12"/>
  <c r="DZ17" i="17" s="1"/>
  <c r="EB17" i="17" s="1"/>
  <c r="ED17" i="17" s="1"/>
  <c r="N67" i="9"/>
  <c r="N84" i="9" s="1"/>
  <c r="O64" i="9"/>
  <c r="S64" i="9" s="1"/>
  <c r="S67" i="9" s="1"/>
  <c r="EE17" i="17" l="1"/>
  <c r="J31" i="15"/>
  <c r="I31" i="15"/>
  <c r="Q17" i="4"/>
  <c r="R17" i="4" s="1"/>
  <c r="Q17" i="19"/>
  <c r="R17" i="19" s="1"/>
  <c r="Q18" i="19"/>
  <c r="R18" i="19" s="1"/>
  <c r="Q21" i="19"/>
  <c r="Q16" i="19"/>
  <c r="Q23" i="19"/>
  <c r="Q24" i="19"/>
  <c r="R24" i="19" s="1"/>
  <c r="Q26" i="19"/>
  <c r="R26" i="19" s="1"/>
  <c r="Q28" i="19"/>
  <c r="R28" i="19" s="1"/>
  <c r="Q15" i="19"/>
  <c r="R15" i="19" s="1"/>
  <c r="O18" i="4"/>
  <c r="I32" i="15"/>
  <c r="S31" i="14"/>
  <c r="T31" i="14" s="1"/>
  <c r="U31" i="14" s="1"/>
  <c r="K27" i="19"/>
  <c r="F22" i="19"/>
  <c r="N27" i="19"/>
  <c r="L27" i="19"/>
  <c r="P27" i="19"/>
  <c r="Q27" i="4"/>
  <c r="R27" i="4" s="1"/>
  <c r="Q20" i="4"/>
  <c r="R20" i="4" s="1"/>
  <c r="J18" i="4"/>
  <c r="Q15" i="4"/>
  <c r="G18" i="4"/>
  <c r="P18" i="4"/>
  <c r="K18" i="4"/>
  <c r="Q23" i="4"/>
  <c r="R23" i="4" s="1"/>
  <c r="H18" i="4"/>
  <c r="M18" i="4"/>
  <c r="K22" i="19"/>
  <c r="O26" i="4"/>
  <c r="I26" i="4"/>
  <c r="M26" i="4"/>
  <c r="G26" i="4"/>
  <c r="P26" i="4"/>
  <c r="E26" i="4"/>
  <c r="F26" i="4"/>
  <c r="L26" i="4"/>
  <c r="J26" i="4"/>
  <c r="H26" i="4"/>
  <c r="K26" i="4"/>
  <c r="M22" i="19"/>
  <c r="F18" i="4"/>
  <c r="O27" i="19"/>
  <c r="J21" i="4"/>
  <c r="I21" i="4"/>
  <c r="F21" i="4"/>
  <c r="K21" i="4"/>
  <c r="N21" i="4"/>
  <c r="E21" i="4"/>
  <c r="L21" i="4"/>
  <c r="M21" i="4"/>
  <c r="O21" i="4"/>
  <c r="G21" i="4"/>
  <c r="H21" i="4"/>
  <c r="J22" i="19"/>
  <c r="I22" i="19"/>
  <c r="L18" i="4"/>
  <c r="N18" i="4"/>
  <c r="N25" i="1"/>
  <c r="O25" i="4"/>
  <c r="O25" i="19"/>
  <c r="I18" i="4"/>
  <c r="F16" i="4"/>
  <c r="G16" i="4"/>
  <c r="I16" i="4"/>
  <c r="L16" i="4"/>
  <c r="M16" i="4"/>
  <c r="E16" i="4"/>
  <c r="K16" i="4"/>
  <c r="H16" i="4"/>
  <c r="P16" i="4"/>
  <c r="J16" i="4"/>
  <c r="O16" i="4"/>
  <c r="N16" i="4"/>
  <c r="F27" i="19"/>
  <c r="H27" i="19"/>
  <c r="N26" i="4"/>
  <c r="L22" i="19"/>
  <c r="H22" i="19"/>
  <c r="G22" i="19"/>
  <c r="M27" i="19"/>
  <c r="J27" i="19"/>
  <c r="P21" i="4"/>
  <c r="G27" i="19"/>
  <c r="E27" i="19"/>
  <c r="L38" i="1"/>
  <c r="M22" i="1"/>
  <c r="M37" i="1" s="1"/>
  <c r="N22" i="4"/>
  <c r="N22" i="19"/>
  <c r="N19" i="1"/>
  <c r="O19" i="4"/>
  <c r="Q19" i="8"/>
  <c r="AS65" i="17" s="1"/>
  <c r="M20" i="19"/>
  <c r="K20" i="19"/>
  <c r="H20" i="19"/>
  <c r="N20" i="19"/>
  <c r="F20" i="19"/>
  <c r="I20" i="19"/>
  <c r="J20" i="19"/>
  <c r="L20" i="19"/>
  <c r="O20" i="19"/>
  <c r="G20" i="19"/>
  <c r="E20" i="19"/>
  <c r="P20" i="19"/>
  <c r="R21" i="19"/>
  <c r="Q28" i="4"/>
  <c r="S94" i="9"/>
  <c r="R94" i="9"/>
  <c r="R103" i="9" s="1"/>
  <c r="Q24" i="4"/>
  <c r="R24" i="4" s="1"/>
  <c r="S51" i="14"/>
  <c r="T51" i="14" s="1"/>
  <c r="U51" i="14" s="1"/>
  <c r="BX17" i="17"/>
  <c r="BO17" i="17"/>
  <c r="DH17" i="17"/>
  <c r="CY17" i="17"/>
  <c r="AE17" i="17"/>
  <c r="C17" i="17"/>
  <c r="CP17" i="17"/>
  <c r="AW17" i="17"/>
  <c r="BF17" i="17"/>
  <c r="CG17" i="17"/>
  <c r="DQ17" i="17"/>
  <c r="H17" i="12"/>
  <c r="AN17" i="17"/>
  <c r="V17" i="17"/>
  <c r="B13" i="14"/>
  <c r="M17" i="17"/>
  <c r="S52" i="14"/>
  <c r="T52" i="14" s="1"/>
  <c r="U52" i="14" s="1"/>
  <c r="R64" i="9"/>
  <c r="B44" i="14"/>
  <c r="B47" i="14" s="1"/>
  <c r="Q67" i="9"/>
  <c r="C47" i="12"/>
  <c r="DZ47" i="17" s="1"/>
  <c r="O67" i="9"/>
  <c r="EF17" i="17" l="1"/>
  <c r="Q37" i="16"/>
  <c r="V67" i="9"/>
  <c r="D10" i="20"/>
  <c r="N37" i="19"/>
  <c r="M35" i="4"/>
  <c r="EB47" i="17"/>
  <c r="DZ50" i="17"/>
  <c r="J35" i="4"/>
  <c r="G37" i="19"/>
  <c r="L37" i="19"/>
  <c r="I35" i="4"/>
  <c r="J37" i="19"/>
  <c r="G35" i="4"/>
  <c r="I37" i="19"/>
  <c r="H37" i="19"/>
  <c r="K37" i="19"/>
  <c r="L35" i="4"/>
  <c r="H35" i="4"/>
  <c r="F35" i="4"/>
  <c r="N35" i="4"/>
  <c r="M37" i="19"/>
  <c r="K35" i="4"/>
  <c r="R15" i="4"/>
  <c r="E35" i="4"/>
  <c r="Q27" i="19"/>
  <c r="R27" i="19" s="1"/>
  <c r="Q20" i="19"/>
  <c r="R20" i="19" s="1"/>
  <c r="F37" i="19"/>
  <c r="E37" i="19"/>
  <c r="Q18" i="4"/>
  <c r="R18" i="4" s="1"/>
  <c r="Q16" i="4"/>
  <c r="R16" i="4" s="1"/>
  <c r="Q26" i="4"/>
  <c r="R26" i="4" s="1"/>
  <c r="Q21" i="4"/>
  <c r="R21" i="4" s="1"/>
  <c r="D25" i="8"/>
  <c r="O25" i="1"/>
  <c r="P25" i="1" s="1"/>
  <c r="P25" i="19"/>
  <c r="P25" i="4"/>
  <c r="Q25" i="4" s="1"/>
  <c r="R25" i="4" s="1"/>
  <c r="Q25" i="8"/>
  <c r="CU65" i="17" s="1"/>
  <c r="M38" i="1"/>
  <c r="L13" i="9"/>
  <c r="N41" i="8" s="1"/>
  <c r="N22" i="1"/>
  <c r="N37" i="1" s="1"/>
  <c r="O22" i="4"/>
  <c r="O35" i="4" s="1"/>
  <c r="O22" i="19"/>
  <c r="M13" i="9"/>
  <c r="O41" i="8" s="1"/>
  <c r="P19" i="4"/>
  <c r="D19" i="8"/>
  <c r="O19" i="1"/>
  <c r="P19" i="19"/>
  <c r="S40" i="14"/>
  <c r="BH17" i="17"/>
  <c r="BJ17" i="17" s="1"/>
  <c r="S55" i="14"/>
  <c r="T55" i="14" s="1"/>
  <c r="U55" i="14" s="1"/>
  <c r="AP17" i="17"/>
  <c r="AR17" i="17" s="1"/>
  <c r="X17" i="17"/>
  <c r="Z17" i="17" s="1"/>
  <c r="AY17" i="17"/>
  <c r="BA17" i="17" s="1"/>
  <c r="U64" i="9"/>
  <c r="U67" i="9" s="1"/>
  <c r="R67" i="9"/>
  <c r="J17" i="12"/>
  <c r="L17" i="12" s="1"/>
  <c r="CR17" i="17"/>
  <c r="CT17" i="17" s="1"/>
  <c r="BZ17" i="17"/>
  <c r="CB17" i="17" s="1"/>
  <c r="E17" i="17"/>
  <c r="G17" i="17" s="1"/>
  <c r="O17" i="17"/>
  <c r="Q17" i="17" s="1"/>
  <c r="DS17" i="17"/>
  <c r="DU17" i="17" s="1"/>
  <c r="AG17" i="17"/>
  <c r="AI17" i="17" s="1"/>
  <c r="J32" i="15"/>
  <c r="D9" i="20"/>
  <c r="BQ17" i="17"/>
  <c r="BS17" i="17" s="1"/>
  <c r="BF47" i="17"/>
  <c r="BO47" i="17"/>
  <c r="AW47" i="17"/>
  <c r="AE47" i="17"/>
  <c r="CY47" i="17"/>
  <c r="H47" i="12"/>
  <c r="I47" i="12" s="1"/>
  <c r="BX47" i="17"/>
  <c r="V47" i="17"/>
  <c r="CP47" i="17"/>
  <c r="DQ47" i="17"/>
  <c r="DH47" i="17"/>
  <c r="AN47" i="17"/>
  <c r="C47" i="17"/>
  <c r="M47" i="17"/>
  <c r="CG47" i="17"/>
  <c r="C50" i="12"/>
  <c r="CI17" i="17"/>
  <c r="CK17" i="17" s="1"/>
  <c r="DA17" i="17"/>
  <c r="DC17" i="17" s="1"/>
  <c r="DJ17" i="17"/>
  <c r="DL17" i="17" s="1"/>
  <c r="D13" i="14" l="1"/>
  <c r="I19" i="9"/>
  <c r="K44" i="19" s="1"/>
  <c r="F19" i="9"/>
  <c r="H44" i="19"/>
  <c r="G19" i="9"/>
  <c r="I44" i="19" s="1"/>
  <c r="J19" i="9"/>
  <c r="L44" i="19" s="1"/>
  <c r="C19" i="9"/>
  <c r="B10" i="20" s="1"/>
  <c r="I18" i="9"/>
  <c r="K41" i="4" s="1"/>
  <c r="H19" i="9"/>
  <c r="J44" i="19" s="1"/>
  <c r="E19" i="9"/>
  <c r="G44" i="19" s="1"/>
  <c r="J34" i="15"/>
  <c r="I34" i="15"/>
  <c r="K19" i="9"/>
  <c r="M44" i="19" s="1"/>
  <c r="L18" i="9"/>
  <c r="N41" i="4" s="1"/>
  <c r="L19" i="9"/>
  <c r="N44" i="19"/>
  <c r="T40" i="14"/>
  <c r="ED47" i="17"/>
  <c r="EB50" i="17"/>
  <c r="O37" i="19"/>
  <c r="Q19" i="19"/>
  <c r="R19" i="19" s="1"/>
  <c r="Q25" i="19"/>
  <c r="R25" i="19" s="1"/>
  <c r="C10" i="20"/>
  <c r="E10" i="20" s="1" a="1"/>
  <c r="K18" i="9"/>
  <c r="M41" i="4" s="1"/>
  <c r="G18" i="9"/>
  <c r="I41" i="4" s="1"/>
  <c r="J18" i="9"/>
  <c r="L41" i="4" s="1"/>
  <c r="F18" i="9"/>
  <c r="H41" i="4" s="1"/>
  <c r="H18" i="9"/>
  <c r="J41" i="4" s="1"/>
  <c r="E18" i="9"/>
  <c r="G41" i="4" s="1"/>
  <c r="L13" i="14"/>
  <c r="BT17" i="17"/>
  <c r="J13" i="14"/>
  <c r="BB17" i="17"/>
  <c r="F13" i="14"/>
  <c r="R17" i="17"/>
  <c r="I13" i="14"/>
  <c r="BK17" i="17"/>
  <c r="K13" i="14"/>
  <c r="E13" i="14"/>
  <c r="H17" i="17"/>
  <c r="G13" i="14"/>
  <c r="AA17" i="17"/>
  <c r="R13" i="14"/>
  <c r="DV17" i="17"/>
  <c r="CC17" i="17"/>
  <c r="M13" i="14"/>
  <c r="H13" i="14"/>
  <c r="AJ17" i="17"/>
  <c r="DM17" i="17"/>
  <c r="Q13" i="14"/>
  <c r="DD17" i="17"/>
  <c r="P13" i="14"/>
  <c r="N13" i="14"/>
  <c r="CL17" i="17"/>
  <c r="O13" i="14"/>
  <c r="CV17" i="17"/>
  <c r="M17" i="12"/>
  <c r="D22" i="8"/>
  <c r="O22" i="1"/>
  <c r="P22" i="1" s="1"/>
  <c r="P22" i="4"/>
  <c r="P35" i="4" s="1"/>
  <c r="P22" i="19"/>
  <c r="P37" i="19" s="1"/>
  <c r="Q22" i="8"/>
  <c r="Q34" i="8" s="1"/>
  <c r="M18" i="9"/>
  <c r="O41" i="4" s="1"/>
  <c r="P19" i="1"/>
  <c r="N38" i="1"/>
  <c r="N13" i="9"/>
  <c r="P41" i="8" s="1"/>
  <c r="Q19" i="4"/>
  <c r="DJ47" i="17"/>
  <c r="DL47" i="17" s="1"/>
  <c r="DH50" i="17"/>
  <c r="DS47" i="17"/>
  <c r="DU47" i="17" s="1"/>
  <c r="DQ50" i="17"/>
  <c r="CI47" i="17"/>
  <c r="CK47" i="17" s="1"/>
  <c r="CG50" i="17"/>
  <c r="CR47" i="17"/>
  <c r="CT47" i="17" s="1"/>
  <c r="CP50" i="17"/>
  <c r="AY47" i="17"/>
  <c r="BA47" i="17" s="1"/>
  <c r="J44" i="14" s="1"/>
  <c r="J47" i="14" s="1"/>
  <c r="AW50" i="17"/>
  <c r="AG47" i="17"/>
  <c r="AI47" i="17" s="1"/>
  <c r="AE50" i="17"/>
  <c r="X47" i="17"/>
  <c r="Z47" i="17" s="1"/>
  <c r="V50" i="17"/>
  <c r="E47" i="17"/>
  <c r="G47" i="17" s="1"/>
  <c r="C50" i="17"/>
  <c r="BZ47" i="17"/>
  <c r="CB47" i="17" s="1"/>
  <c r="BX50" i="17"/>
  <c r="BQ47" i="17"/>
  <c r="BS47" i="17" s="1"/>
  <c r="BO50" i="17"/>
  <c r="O47" i="17"/>
  <c r="Q47" i="17" s="1"/>
  <c r="M50" i="17"/>
  <c r="AP47" i="17"/>
  <c r="AR47" i="17" s="1"/>
  <c r="AN50" i="17"/>
  <c r="J47" i="12"/>
  <c r="L47" i="12" s="1"/>
  <c r="D44" i="14" s="1"/>
  <c r="H50" i="12"/>
  <c r="BH47" i="17"/>
  <c r="BJ47" i="17" s="1"/>
  <c r="BF50" i="17"/>
  <c r="DA47" i="17"/>
  <c r="DC47" i="17" s="1"/>
  <c r="CY50" i="17"/>
  <c r="E44" i="19" l="1"/>
  <c r="N17" i="12"/>
  <c r="CM17" i="17"/>
  <c r="DE17" i="17"/>
  <c r="DN17" i="17"/>
  <c r="DW17" i="17"/>
  <c r="AB17" i="17"/>
  <c r="S17" i="17"/>
  <c r="BU17" i="17"/>
  <c r="M19" i="9"/>
  <c r="O44" i="19" s="1"/>
  <c r="O37" i="1"/>
  <c r="Q22" i="19"/>
  <c r="R22" i="19" s="1"/>
  <c r="EE47" i="17"/>
  <c r="EE50" i="17" s="1"/>
  <c r="ED50" i="17"/>
  <c r="N18" i="9"/>
  <c r="P41" i="4" s="1"/>
  <c r="N44" i="14"/>
  <c r="N47" i="14" s="1"/>
  <c r="CL47" i="17"/>
  <c r="CL50" i="17" s="1"/>
  <c r="CK50" i="17"/>
  <c r="H47" i="17"/>
  <c r="E44" i="14"/>
  <c r="E47" i="14" s="1"/>
  <c r="G50" i="17"/>
  <c r="M47" i="12"/>
  <c r="M50" i="12" s="1"/>
  <c r="G44" i="14"/>
  <c r="G47" i="14" s="1"/>
  <c r="AA47" i="17"/>
  <c r="AA50" i="17" s="1"/>
  <c r="Z50" i="17"/>
  <c r="G13" i="15" s="1"/>
  <c r="AJ47" i="17"/>
  <c r="AJ50" i="17" s="1"/>
  <c r="H44" i="14"/>
  <c r="H47" i="14" s="1"/>
  <c r="AI50" i="17"/>
  <c r="BK47" i="17"/>
  <c r="BK50" i="17" s="1"/>
  <c r="K44" i="14"/>
  <c r="BJ50" i="17"/>
  <c r="AK17" i="17"/>
  <c r="BL17" i="17"/>
  <c r="BC17" i="17"/>
  <c r="DM47" i="17"/>
  <c r="DM50" i="17" s="1"/>
  <c r="Q44" i="14"/>
  <c r="DL50" i="17"/>
  <c r="CD17" i="17"/>
  <c r="I44" i="14"/>
  <c r="AS50" i="17"/>
  <c r="AR50" i="17"/>
  <c r="F44" i="14"/>
  <c r="R47" i="17"/>
  <c r="R50" i="17" s="1"/>
  <c r="Q50" i="17"/>
  <c r="P44" i="14"/>
  <c r="DD47" i="17"/>
  <c r="DD50" i="17" s="1"/>
  <c r="DC50" i="17"/>
  <c r="CU50" i="17"/>
  <c r="O44" i="14"/>
  <c r="CT50" i="17"/>
  <c r="R44" i="14"/>
  <c r="R47" i="14" s="1"/>
  <c r="DV47" i="17"/>
  <c r="DV50" i="17" s="1"/>
  <c r="DU50" i="17"/>
  <c r="BB47" i="17"/>
  <c r="BB50" i="17" s="1"/>
  <c r="BA50" i="17"/>
  <c r="AT17" i="17"/>
  <c r="BT47" i="17"/>
  <c r="BT50" i="17" s="1"/>
  <c r="L44" i="14"/>
  <c r="L47" i="14" s="1"/>
  <c r="BS50" i="17"/>
  <c r="M44" i="14"/>
  <c r="M47" i="14" s="1"/>
  <c r="CC47" i="17"/>
  <c r="CC50" i="17" s="1"/>
  <c r="CB50" i="17"/>
  <c r="I17" i="17"/>
  <c r="Q22" i="4"/>
  <c r="R22" i="4" s="1"/>
  <c r="N19" i="9"/>
  <c r="P44" i="19" s="1"/>
  <c r="R19" i="4"/>
  <c r="BQ50" i="17"/>
  <c r="AY50" i="17"/>
  <c r="C9" i="20"/>
  <c r="C18" i="9"/>
  <c r="E41" i="4" s="1"/>
  <c r="AP50" i="17"/>
  <c r="BZ50" i="17"/>
  <c r="X50" i="17"/>
  <c r="AG50" i="17"/>
  <c r="CR50" i="17"/>
  <c r="DA50" i="17"/>
  <c r="BH50" i="17"/>
  <c r="O50" i="17"/>
  <c r="DJ50" i="17"/>
  <c r="J50" i="12"/>
  <c r="DS50" i="17"/>
  <c r="I50" i="12"/>
  <c r="I65" i="12" s="1"/>
  <c r="E50" i="17"/>
  <c r="CI50" i="17"/>
  <c r="EF47" i="17" l="1"/>
  <c r="EF50" i="17" s="1"/>
  <c r="Q37" i="19"/>
  <c r="J29" i="16"/>
  <c r="P29" i="16"/>
  <c r="K29" i="16"/>
  <c r="F29" i="16"/>
  <c r="G29" i="16"/>
  <c r="H29" i="16"/>
  <c r="M29" i="16"/>
  <c r="I29" i="16"/>
  <c r="L29" i="16"/>
  <c r="O29" i="16"/>
  <c r="E29" i="16"/>
  <c r="N29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F17" i="16"/>
  <c r="L17" i="16"/>
  <c r="E17" i="16"/>
  <c r="G17" i="16"/>
  <c r="H17" i="16"/>
  <c r="I17" i="16"/>
  <c r="J17" i="16"/>
  <c r="M17" i="16"/>
  <c r="N17" i="16"/>
  <c r="K17" i="16"/>
  <c r="O17" i="16"/>
  <c r="P17" i="16"/>
  <c r="Q35" i="4"/>
  <c r="DN47" i="17"/>
  <c r="DN50" i="17" s="1"/>
  <c r="BU47" i="17"/>
  <c r="BU50" i="17" s="1"/>
  <c r="DE47" i="17"/>
  <c r="DE50" i="17" s="1"/>
  <c r="BL47" i="17"/>
  <c r="BL50" i="17" s="1"/>
  <c r="CM47" i="17"/>
  <c r="CM50" i="17" s="1"/>
  <c r="CD47" i="17"/>
  <c r="CD50" i="17" s="1"/>
  <c r="AT47" i="17"/>
  <c r="AT50" i="17" s="1"/>
  <c r="AK47" i="17"/>
  <c r="AK50" i="17" s="1"/>
  <c r="DW47" i="17"/>
  <c r="DW50" i="17" s="1"/>
  <c r="G19" i="15"/>
  <c r="CV47" i="17"/>
  <c r="CV50" i="17" s="1"/>
  <c r="BC47" i="17"/>
  <c r="BC50" i="17" s="1"/>
  <c r="G24" i="15"/>
  <c r="G20" i="15"/>
  <c r="G16" i="15"/>
  <c r="S47" i="17"/>
  <c r="S50" i="17" s="1"/>
  <c r="I47" i="17"/>
  <c r="H50" i="17"/>
  <c r="G14" i="15"/>
  <c r="AB47" i="17"/>
  <c r="AB50" i="17" s="1"/>
  <c r="N47" i="12"/>
  <c r="N50" i="12" s="1"/>
  <c r="G11" i="15"/>
  <c r="O38" i="1"/>
  <c r="B9" i="20"/>
  <c r="E9" i="20" s="1" a="1"/>
  <c r="I50" i="17" l="1"/>
  <c r="J50" i="17" s="1"/>
  <c r="J47" i="17"/>
  <c r="Q17" i="16"/>
  <c r="R17" i="16" s="1"/>
  <c r="Q29" i="16"/>
  <c r="R29" i="16" s="1"/>
  <c r="Q25" i="16"/>
  <c r="R25" i="16" s="1"/>
  <c r="L50" i="12"/>
  <c r="S13" i="14"/>
  <c r="T13" i="14" s="1"/>
  <c r="U13" i="14" s="1"/>
  <c r="J51" i="17" l="1"/>
  <c r="G31" i="15"/>
  <c r="O14" i="16"/>
  <c r="G14" i="16"/>
  <c r="P14" i="16"/>
  <c r="E14" i="16"/>
  <c r="F14" i="16"/>
  <c r="I14" i="16"/>
  <c r="K14" i="16"/>
  <c r="N14" i="16"/>
  <c r="H14" i="16"/>
  <c r="M14" i="16"/>
  <c r="J14" i="16"/>
  <c r="L14" i="16"/>
  <c r="S44" i="14"/>
  <c r="H27" i="16"/>
  <c r="G18" i="16"/>
  <c r="J26" i="16"/>
  <c r="K21" i="16"/>
  <c r="F28" i="16"/>
  <c r="F16" i="16"/>
  <c r="N22" i="16"/>
  <c r="K23" i="16"/>
  <c r="K15" i="16"/>
  <c r="I19" i="16"/>
  <c r="O24" i="16"/>
  <c r="T44" i="14" l="1"/>
  <c r="U44" i="14" s="1"/>
  <c r="Q14" i="16"/>
  <c r="R14" i="16" s="1"/>
  <c r="E18" i="16"/>
  <c r="M18" i="16"/>
  <c r="J18" i="16"/>
  <c r="L18" i="16"/>
  <c r="L27" i="16"/>
  <c r="J27" i="16"/>
  <c r="M27" i="16"/>
  <c r="P27" i="16"/>
  <c r="F27" i="16"/>
  <c r="N27" i="16"/>
  <c r="E27" i="16"/>
  <c r="I27" i="16"/>
  <c r="K27" i="16"/>
  <c r="G27" i="16"/>
  <c r="O27" i="16"/>
  <c r="F18" i="16"/>
  <c r="G21" i="16"/>
  <c r="M21" i="16"/>
  <c r="K24" i="16"/>
  <c r="G24" i="16"/>
  <c r="J24" i="16"/>
  <c r="J21" i="16"/>
  <c r="L21" i="16"/>
  <c r="L15" i="16"/>
  <c r="M15" i="16"/>
  <c r="G22" i="16"/>
  <c r="E16" i="16"/>
  <c r="O16" i="16"/>
  <c r="P16" i="16"/>
  <c r="L16" i="16"/>
  <c r="M16" i="16"/>
  <c r="L24" i="16"/>
  <c r="I24" i="16"/>
  <c r="J28" i="16"/>
  <c r="P24" i="16"/>
  <c r="H28" i="16"/>
  <c r="H24" i="16"/>
  <c r="M28" i="16"/>
  <c r="K28" i="16"/>
  <c r="J16" i="16"/>
  <c r="N16" i="16"/>
  <c r="K22" i="16"/>
  <c r="F22" i="16"/>
  <c r="O22" i="16"/>
  <c r="J22" i="16"/>
  <c r="G28" i="16"/>
  <c r="O18" i="16"/>
  <c r="M24" i="16"/>
  <c r="I18" i="16"/>
  <c r="K18" i="16"/>
  <c r="F24" i="16"/>
  <c r="L23" i="16"/>
  <c r="M23" i="16"/>
  <c r="F23" i="16"/>
  <c r="L26" i="16"/>
  <c r="G23" i="16"/>
  <c r="O23" i="16"/>
  <c r="N26" i="16"/>
  <c r="E22" i="16"/>
  <c r="F26" i="16"/>
  <c r="K26" i="16"/>
  <c r="I23" i="16"/>
  <c r="P22" i="16"/>
  <c r="I22" i="16"/>
  <c r="I15" i="16"/>
  <c r="L19" i="16"/>
  <c r="N23" i="16"/>
  <c r="N28" i="16"/>
  <c r="G15" i="16"/>
  <c r="O19" i="16"/>
  <c r="P23" i="16"/>
  <c r="O28" i="16"/>
  <c r="H15" i="16"/>
  <c r="H22" i="16"/>
  <c r="J19" i="16"/>
  <c r="H23" i="16"/>
  <c r="E28" i="16"/>
  <c r="N15" i="16"/>
  <c r="M22" i="16"/>
  <c r="N19" i="16"/>
  <c r="E23" i="16"/>
  <c r="P28" i="16"/>
  <c r="J15" i="16"/>
  <c r="L22" i="16"/>
  <c r="M19" i="16"/>
  <c r="L28" i="16"/>
  <c r="F15" i="16"/>
  <c r="F19" i="16"/>
  <c r="E19" i="16"/>
  <c r="K19" i="16"/>
  <c r="E15" i="16"/>
  <c r="I28" i="16"/>
  <c r="H19" i="16"/>
  <c r="G19" i="16"/>
  <c r="E21" i="16"/>
  <c r="I16" i="16"/>
  <c r="G26" i="16"/>
  <c r="H16" i="16"/>
  <c r="N18" i="16"/>
  <c r="E26" i="16"/>
  <c r="J23" i="16"/>
  <c r="H18" i="16"/>
  <c r="E24" i="16"/>
  <c r="K16" i="16"/>
  <c r="P26" i="16"/>
  <c r="F21" i="16"/>
  <c r="O15" i="16"/>
  <c r="P19" i="16"/>
  <c r="P15" i="16"/>
  <c r="H26" i="16"/>
  <c r="I26" i="16"/>
  <c r="P21" i="16"/>
  <c r="O26" i="16"/>
  <c r="O21" i="16"/>
  <c r="I21" i="16"/>
  <c r="P18" i="16"/>
  <c r="M26" i="16"/>
  <c r="H21" i="16"/>
  <c r="N24" i="16"/>
  <c r="G16" i="16"/>
  <c r="N21" i="16"/>
  <c r="D8" i="20"/>
  <c r="G32" i="15"/>
  <c r="O20" i="16"/>
  <c r="K20" i="16"/>
  <c r="M20" i="16"/>
  <c r="N20" i="16"/>
  <c r="J20" i="16"/>
  <c r="L20" i="16"/>
  <c r="I20" i="16"/>
  <c r="P20" i="16"/>
  <c r="F20" i="16"/>
  <c r="G20" i="16"/>
  <c r="H20" i="16"/>
  <c r="E20" i="16"/>
  <c r="P35" i="16" l="1"/>
  <c r="E35" i="16"/>
  <c r="K35" i="16"/>
  <c r="I35" i="16"/>
  <c r="J35" i="16"/>
  <c r="G35" i="16"/>
  <c r="F35" i="16"/>
  <c r="O35" i="16"/>
  <c r="N35" i="16"/>
  <c r="H35" i="16"/>
  <c r="M35" i="16"/>
  <c r="L35" i="16"/>
  <c r="Q27" i="16"/>
  <c r="R27" i="16" s="1"/>
  <c r="Q24" i="16"/>
  <c r="R24" i="16" s="1"/>
  <c r="Q15" i="16"/>
  <c r="Q21" i="16"/>
  <c r="R21" i="16" s="1"/>
  <c r="Q18" i="16"/>
  <c r="R18" i="16" s="1"/>
  <c r="Q22" i="16"/>
  <c r="R22" i="16" s="1"/>
  <c r="Q23" i="16"/>
  <c r="R23" i="16" s="1"/>
  <c r="Q28" i="16"/>
  <c r="R28" i="16" s="1"/>
  <c r="Q26" i="16"/>
  <c r="R26" i="16" s="1"/>
  <c r="Q19" i="16"/>
  <c r="R19" i="16" s="1"/>
  <c r="Q16" i="16"/>
  <c r="R16" i="16" s="1"/>
  <c r="Q20" i="16"/>
  <c r="R20" i="16" s="1"/>
  <c r="M17" i="9" l="1"/>
  <c r="O43" i="16"/>
  <c r="J17" i="9"/>
  <c r="L43" i="16"/>
  <c r="K17" i="9"/>
  <c r="M43" i="16"/>
  <c r="F17" i="9"/>
  <c r="H43" i="16"/>
  <c r="L17" i="9"/>
  <c r="N43" i="16"/>
  <c r="N17" i="9"/>
  <c r="P43" i="16" s="1"/>
  <c r="D17" i="9"/>
  <c r="F43" i="16" s="1"/>
  <c r="E17" i="9"/>
  <c r="G43" i="16" s="1"/>
  <c r="H17" i="9"/>
  <c r="J43" i="16"/>
  <c r="G17" i="9"/>
  <c r="I43" i="16" s="1"/>
  <c r="I17" i="9"/>
  <c r="K43" i="16" s="1"/>
  <c r="C17" i="9"/>
  <c r="E43" i="16"/>
  <c r="G34" i="15"/>
  <c r="R15" i="16"/>
  <c r="Q35" i="16"/>
  <c r="C8" i="20"/>
  <c r="O17" i="9" l="1"/>
  <c r="S17" i="9" s="1"/>
  <c r="B8" i="20"/>
  <c r="E8" i="20" s="1" a="1"/>
  <c r="R17" i="9" l="1"/>
  <c r="U17" i="9"/>
  <c r="C84" i="9" l="1"/>
  <c r="O44" i="9"/>
  <c r="O55" i="9" s="1"/>
  <c r="O84" i="9" l="1"/>
  <c r="S44" i="9"/>
  <c r="S55" i="9" s="1"/>
  <c r="U44" i="9"/>
  <c r="U55" i="9" s="1"/>
  <c r="U84" i="9" s="1"/>
  <c r="Q84" i="9"/>
  <c r="C27" i="12"/>
  <c r="R44" i="9"/>
  <c r="DZ27" i="17" l="1"/>
  <c r="C38" i="12"/>
  <c r="R55" i="9"/>
  <c r="R84" i="9" s="1"/>
  <c r="S84" i="9"/>
  <c r="V55" i="9"/>
  <c r="V84" i="9"/>
  <c r="Q37" i="2"/>
  <c r="AW27" i="17"/>
  <c r="AW38" i="17" s="1"/>
  <c r="M27" i="17"/>
  <c r="B23" i="14"/>
  <c r="BX27" i="17"/>
  <c r="BX38" i="17" s="1"/>
  <c r="CP27" i="17"/>
  <c r="CP38" i="17" s="1"/>
  <c r="BO27" i="17"/>
  <c r="BO38" i="17" s="1"/>
  <c r="C27" i="17"/>
  <c r="C38" i="17" s="1"/>
  <c r="DH27" i="17"/>
  <c r="DH38" i="17" s="1"/>
  <c r="CY27" i="17"/>
  <c r="CY38" i="17" s="1"/>
  <c r="AN27" i="17"/>
  <c r="AN38" i="17" s="1"/>
  <c r="H27" i="12"/>
  <c r="H38" i="12" s="1"/>
  <c r="DQ27" i="17"/>
  <c r="V27" i="17"/>
  <c r="V38" i="17" s="1"/>
  <c r="BF27" i="17"/>
  <c r="AE27" i="17"/>
  <c r="AE38" i="17" s="1"/>
  <c r="C65" i="12"/>
  <c r="CG27" i="17"/>
  <c r="CG38" i="17" s="1"/>
  <c r="BG27" i="17" l="1"/>
  <c r="BF38" i="17"/>
  <c r="DQ38" i="17"/>
  <c r="B35" i="14"/>
  <c r="B62" i="14" s="1"/>
  <c r="N27" i="17"/>
  <c r="M38" i="17"/>
  <c r="EA27" i="17"/>
  <c r="DZ38" i="17"/>
  <c r="DZ65" i="17" s="1"/>
  <c r="CG65" i="17"/>
  <c r="CI27" i="17"/>
  <c r="AG27" i="17"/>
  <c r="AE65" i="17"/>
  <c r="X27" i="17"/>
  <c r="V65" i="17"/>
  <c r="DH65" i="17"/>
  <c r="DJ27" i="17"/>
  <c r="BH27" i="17"/>
  <c r="BF65" i="17"/>
  <c r="DQ65" i="17"/>
  <c r="DS27" i="17"/>
  <c r="CP65" i="17"/>
  <c r="CR27" i="17"/>
  <c r="H65" i="12"/>
  <c r="J27" i="12"/>
  <c r="AN65" i="17"/>
  <c r="AP27" i="17"/>
  <c r="CY65" i="17"/>
  <c r="DA27" i="17"/>
  <c r="C65" i="17"/>
  <c r="E27" i="17"/>
  <c r="BQ27" i="17"/>
  <c r="BO65" i="17"/>
  <c r="BX65" i="17"/>
  <c r="BZ27" i="17"/>
  <c r="O27" i="17"/>
  <c r="M65" i="17"/>
  <c r="AY27" i="17"/>
  <c r="AW65" i="17"/>
  <c r="BA27" i="17" l="1"/>
  <c r="BA38" i="17" s="1"/>
  <c r="AY38" i="17"/>
  <c r="Q27" i="17"/>
  <c r="Q38" i="17" s="1"/>
  <c r="O38" i="17"/>
  <c r="CB27" i="17"/>
  <c r="CB38" i="17" s="1"/>
  <c r="BZ38" i="17"/>
  <c r="BS27" i="17"/>
  <c r="BS38" i="17" s="1"/>
  <c r="BQ38" i="17"/>
  <c r="G27" i="17"/>
  <c r="G38" i="17" s="1"/>
  <c r="E38" i="17"/>
  <c r="DC27" i="17"/>
  <c r="DC38" i="17" s="1"/>
  <c r="DA38" i="17"/>
  <c r="AR27" i="17"/>
  <c r="AR38" i="17" s="1"/>
  <c r="AP38" i="17"/>
  <c r="L27" i="12"/>
  <c r="J38" i="12"/>
  <c r="CT27" i="17"/>
  <c r="CT38" i="17" s="1"/>
  <c r="CR38" i="17"/>
  <c r="DU27" i="17"/>
  <c r="DU38" i="17" s="1"/>
  <c r="DS38" i="17"/>
  <c r="BJ27" i="17"/>
  <c r="BJ38" i="17" s="1"/>
  <c r="BH38" i="17"/>
  <c r="DL27" i="17"/>
  <c r="DL38" i="17" s="1"/>
  <c r="DJ38" i="17"/>
  <c r="Z27" i="17"/>
  <c r="Z38" i="17" s="1"/>
  <c r="X38" i="17"/>
  <c r="AI27" i="17"/>
  <c r="AI38" i="17" s="1"/>
  <c r="AG38" i="17"/>
  <c r="CK27" i="17"/>
  <c r="CK38" i="17" s="1"/>
  <c r="CI38" i="17"/>
  <c r="EA38" i="17"/>
  <c r="EA65" i="17" s="1"/>
  <c r="EB27" i="17"/>
  <c r="N38" i="17"/>
  <c r="N65" i="17" s="1"/>
  <c r="DR38" i="17"/>
  <c r="DR65" i="17" s="1"/>
  <c r="BG38" i="17"/>
  <c r="BG65" i="17" s="1"/>
  <c r="D23" i="14"/>
  <c r="D35" i="14" s="1"/>
  <c r="L38" i="12"/>
  <c r="E23" i="14"/>
  <c r="E35" i="14" s="1"/>
  <c r="H27" i="17"/>
  <c r="BK27" i="17"/>
  <c r="K23" i="14"/>
  <c r="K35" i="14" s="1"/>
  <c r="AA27" i="17"/>
  <c r="G23" i="14"/>
  <c r="F13" i="15"/>
  <c r="M27" i="12"/>
  <c r="O23" i="14"/>
  <c r="O35" i="14" s="1"/>
  <c r="M23" i="14"/>
  <c r="M35" i="14" s="1"/>
  <c r="CC27" i="17"/>
  <c r="P23" i="14"/>
  <c r="P35" i="14" s="1"/>
  <c r="DD27" i="17"/>
  <c r="F23" i="14"/>
  <c r="F35" i="14" s="1"/>
  <c r="R27" i="17"/>
  <c r="R23" i="14"/>
  <c r="R35" i="14" s="1"/>
  <c r="DV27" i="17"/>
  <c r="BT27" i="17"/>
  <c r="L23" i="14"/>
  <c r="L35" i="14" s="1"/>
  <c r="DM27" i="17"/>
  <c r="Q23" i="14"/>
  <c r="Q35" i="14" s="1"/>
  <c r="I23" i="14"/>
  <c r="I35" i="14" s="1"/>
  <c r="AJ27" i="17"/>
  <c r="H23" i="14"/>
  <c r="H35" i="14" s="1"/>
  <c r="N23" i="14"/>
  <c r="N35" i="14" s="1"/>
  <c r="CL27" i="17"/>
  <c r="BB27" i="17"/>
  <c r="J23" i="14"/>
  <c r="J35" i="14" s="1"/>
  <c r="CZ65" i="17"/>
  <c r="BH65" i="17"/>
  <c r="BZ65" i="17"/>
  <c r="DS65" i="17"/>
  <c r="E65" i="17"/>
  <c r="DJ65" i="17"/>
  <c r="AP65" i="17"/>
  <c r="AY65" i="17"/>
  <c r="J65" i="12"/>
  <c r="AG65" i="17"/>
  <c r="O65" i="17"/>
  <c r="BQ65" i="17"/>
  <c r="DA65" i="17"/>
  <c r="X65" i="17"/>
  <c r="CI65" i="17"/>
  <c r="CH65" i="17"/>
  <c r="BY65" i="17"/>
  <c r="CR65" i="17"/>
  <c r="G35" i="14" l="1"/>
  <c r="G62" i="14" s="1"/>
  <c r="EB38" i="17"/>
  <c r="EB65" i="17" s="1"/>
  <c r="ED27" i="17"/>
  <c r="BB38" i="17"/>
  <c r="BB65" i="17" s="1"/>
  <c r="CL38" i="17"/>
  <c r="CL65" i="17" s="1"/>
  <c r="AJ38" i="17"/>
  <c r="AJ65" i="17" s="1"/>
  <c r="DM38" i="17"/>
  <c r="DM65" i="17" s="1"/>
  <c r="BT38" i="17"/>
  <c r="BT65" i="17" s="1"/>
  <c r="DV38" i="17"/>
  <c r="DV65" i="17" s="1"/>
  <c r="R38" i="17"/>
  <c r="R65" i="17" s="1"/>
  <c r="DD38" i="17"/>
  <c r="DD65" i="17" s="1"/>
  <c r="CC38" i="17"/>
  <c r="CC65" i="17" s="1"/>
  <c r="M38" i="12"/>
  <c r="M65" i="12" s="1"/>
  <c r="AA38" i="17"/>
  <c r="AA65" i="17" s="1"/>
  <c r="H13" i="15" s="1"/>
  <c r="BK38" i="17"/>
  <c r="BK65" i="17" s="1"/>
  <c r="H38" i="17"/>
  <c r="H65" i="17" s="1"/>
  <c r="D64" i="14"/>
  <c r="I27" i="17"/>
  <c r="I38" i="17" s="1"/>
  <c r="BL27" i="17"/>
  <c r="N13" i="15"/>
  <c r="F17" i="2"/>
  <c r="G17" i="2"/>
  <c r="H17" i="2"/>
  <c r="L17" i="2"/>
  <c r="E17" i="2"/>
  <c r="M17" i="2"/>
  <c r="K17" i="2"/>
  <c r="J17" i="2"/>
  <c r="I17" i="2"/>
  <c r="N17" i="2"/>
  <c r="O17" i="2"/>
  <c r="P17" i="2"/>
  <c r="H17" i="6"/>
  <c r="L17" i="6"/>
  <c r="E17" i="6"/>
  <c r="F17" i="6"/>
  <c r="M17" i="6"/>
  <c r="G17" i="6"/>
  <c r="I17" i="6"/>
  <c r="J17" i="6"/>
  <c r="K17" i="6"/>
  <c r="N17" i="6"/>
  <c r="O17" i="6"/>
  <c r="P17" i="6"/>
  <c r="DN27" i="17"/>
  <c r="BU27" i="17"/>
  <c r="AB27" i="17"/>
  <c r="CD27" i="17"/>
  <c r="DE27" i="17"/>
  <c r="CM27" i="17"/>
  <c r="AK27" i="17"/>
  <c r="F16" i="15"/>
  <c r="BA65" i="17"/>
  <c r="F18" i="15"/>
  <c r="BS65" i="17"/>
  <c r="DW27" i="17"/>
  <c r="BC27" i="17"/>
  <c r="Q65" i="17"/>
  <c r="G64" i="14"/>
  <c r="G66" i="14" s="1"/>
  <c r="H18" i="15"/>
  <c r="L64" i="14"/>
  <c r="R64" i="14"/>
  <c r="H24" i="15"/>
  <c r="J64" i="14"/>
  <c r="H16" i="15"/>
  <c r="CV27" i="17"/>
  <c r="F11" i="15"/>
  <c r="G65" i="17"/>
  <c r="Q64" i="14"/>
  <c r="M64" i="14"/>
  <c r="H19" i="15"/>
  <c r="F24" i="15"/>
  <c r="DU65" i="17"/>
  <c r="F64" i="14"/>
  <c r="S27" i="17"/>
  <c r="AR65" i="17"/>
  <c r="I64" i="14"/>
  <c r="H20" i="15"/>
  <c r="N64" i="14"/>
  <c r="F14" i="15"/>
  <c r="AI65" i="17"/>
  <c r="BJ65" i="17"/>
  <c r="P64" i="14"/>
  <c r="K64" i="14"/>
  <c r="E64" i="14"/>
  <c r="H11" i="15"/>
  <c r="F19" i="15"/>
  <c r="CB65" i="17"/>
  <c r="CT65" i="17"/>
  <c r="N27" i="12"/>
  <c r="N38" i="12" s="1"/>
  <c r="F20" i="15"/>
  <c r="CK65" i="17"/>
  <c r="Z65" i="17"/>
  <c r="DC65" i="17"/>
  <c r="H14" i="15"/>
  <c r="H64" i="14"/>
  <c r="AT27" i="17"/>
  <c r="DL65" i="17"/>
  <c r="E64" i="24" l="1"/>
  <c r="F64" i="24"/>
  <c r="G64" i="24"/>
  <c r="H64" i="24"/>
  <c r="I64" i="24"/>
  <c r="J64" i="24"/>
  <c r="K64" i="24"/>
  <c r="L64" i="24"/>
  <c r="M64" i="24"/>
  <c r="N64" i="24"/>
  <c r="O64" i="24"/>
  <c r="P64" i="24"/>
  <c r="F59" i="24"/>
  <c r="G59" i="24"/>
  <c r="H59" i="24"/>
  <c r="I59" i="24"/>
  <c r="J59" i="24"/>
  <c r="K59" i="24"/>
  <c r="L59" i="24"/>
  <c r="M59" i="24"/>
  <c r="N59" i="24"/>
  <c r="O59" i="24"/>
  <c r="P59" i="24"/>
  <c r="E59" i="24"/>
  <c r="F34" i="24"/>
  <c r="G34" i="24"/>
  <c r="H34" i="24"/>
  <c r="I34" i="24"/>
  <c r="J34" i="24"/>
  <c r="K34" i="24"/>
  <c r="L34" i="24"/>
  <c r="M34" i="24"/>
  <c r="N34" i="24"/>
  <c r="O34" i="24"/>
  <c r="P34" i="24"/>
  <c r="E34" i="24"/>
  <c r="F84" i="24"/>
  <c r="G84" i="24"/>
  <c r="H84" i="24"/>
  <c r="I84" i="24"/>
  <c r="J84" i="24"/>
  <c r="K84" i="24"/>
  <c r="L84" i="24"/>
  <c r="M84" i="24"/>
  <c r="N84" i="24"/>
  <c r="O84" i="24"/>
  <c r="P84" i="24"/>
  <c r="E84" i="24"/>
  <c r="F19" i="24"/>
  <c r="G19" i="24"/>
  <c r="H19" i="24"/>
  <c r="I19" i="24"/>
  <c r="J19" i="24"/>
  <c r="K19" i="24"/>
  <c r="L19" i="24"/>
  <c r="M19" i="24"/>
  <c r="N19" i="24"/>
  <c r="O19" i="24"/>
  <c r="P19" i="24"/>
  <c r="E19" i="24"/>
  <c r="F54" i="24"/>
  <c r="G54" i="24"/>
  <c r="H54" i="24"/>
  <c r="I54" i="24"/>
  <c r="J54" i="24"/>
  <c r="K54" i="24"/>
  <c r="L54" i="24"/>
  <c r="M54" i="24"/>
  <c r="N54" i="24"/>
  <c r="O54" i="24"/>
  <c r="P54" i="24"/>
  <c r="E54" i="24"/>
  <c r="F44" i="24"/>
  <c r="G44" i="24"/>
  <c r="H44" i="24"/>
  <c r="I44" i="24"/>
  <c r="J44" i="24"/>
  <c r="K44" i="24"/>
  <c r="L44" i="24"/>
  <c r="M44" i="24"/>
  <c r="N44" i="24"/>
  <c r="O44" i="24"/>
  <c r="P44" i="24"/>
  <c r="E44" i="24"/>
  <c r="F29" i="24"/>
  <c r="F30" i="24" s="1"/>
  <c r="F31" i="24" s="1"/>
  <c r="G29" i="24"/>
  <c r="G30" i="24" s="1"/>
  <c r="G31" i="24" s="1"/>
  <c r="H29" i="24"/>
  <c r="H30" i="24" s="1"/>
  <c r="H31" i="24" s="1"/>
  <c r="I29" i="24"/>
  <c r="I30" i="24" s="1"/>
  <c r="I31" i="24" s="1"/>
  <c r="J29" i="24"/>
  <c r="J30" i="24" s="1"/>
  <c r="J31" i="24" s="1"/>
  <c r="K29" i="24"/>
  <c r="K30" i="24" s="1"/>
  <c r="K31" i="24" s="1"/>
  <c r="L29" i="24"/>
  <c r="L30" i="24" s="1"/>
  <c r="L31" i="24" s="1"/>
  <c r="M29" i="24"/>
  <c r="M30" i="24" s="1"/>
  <c r="M31" i="24" s="1"/>
  <c r="N29" i="24"/>
  <c r="N30" i="24" s="1"/>
  <c r="N31" i="24" s="1"/>
  <c r="O29" i="24"/>
  <c r="O30" i="24" s="1"/>
  <c r="O31" i="24" s="1"/>
  <c r="P29" i="24"/>
  <c r="P30" i="24" s="1"/>
  <c r="P31" i="24" s="1"/>
  <c r="E29" i="24"/>
  <c r="E30" i="24" s="1"/>
  <c r="L13" i="15" s="1"/>
  <c r="ED38" i="17"/>
  <c r="F25" i="15" s="1"/>
  <c r="EE27" i="17"/>
  <c r="AT38" i="17"/>
  <c r="AT65" i="17" s="1"/>
  <c r="AT68" i="17" s="1"/>
  <c r="AT71" i="17" s="1"/>
  <c r="S38" i="17"/>
  <c r="S65" i="17" s="1"/>
  <c r="S68" i="17" s="1"/>
  <c r="S71" i="17" s="1"/>
  <c r="CV38" i="17"/>
  <c r="CV65" i="17" s="1"/>
  <c r="CV68" i="17" s="1"/>
  <c r="CV71" i="17" s="1"/>
  <c r="BC38" i="17"/>
  <c r="BC65" i="17" s="1"/>
  <c r="BC68" i="17" s="1"/>
  <c r="BC71" i="17" s="1"/>
  <c r="BC76" i="17" s="1"/>
  <c r="BC77" i="17" s="1"/>
  <c r="DW38" i="17"/>
  <c r="DW65" i="17" s="1"/>
  <c r="DW68" i="17" s="1"/>
  <c r="DW71" i="17" s="1"/>
  <c r="DW76" i="17" s="1"/>
  <c r="AK38" i="17"/>
  <c r="AK65" i="17" s="1"/>
  <c r="AK68" i="17" s="1"/>
  <c r="AK71" i="17" s="1"/>
  <c r="AK76" i="17" s="1"/>
  <c r="AK79" i="17" s="1"/>
  <c r="CM38" i="17"/>
  <c r="CM65" i="17" s="1"/>
  <c r="CM68" i="17" s="1"/>
  <c r="CM71" i="17" s="1"/>
  <c r="CM76" i="17" s="1"/>
  <c r="DE38" i="17"/>
  <c r="DE65" i="17" s="1"/>
  <c r="DE68" i="17" s="1"/>
  <c r="DE71" i="17" s="1"/>
  <c r="DE73" i="17" s="1"/>
  <c r="CD38" i="17"/>
  <c r="CD65" i="17" s="1"/>
  <c r="CD68" i="17" s="1"/>
  <c r="CD71" i="17" s="1"/>
  <c r="CD76" i="17" s="1"/>
  <c r="CD77" i="17" s="1"/>
  <c r="AB38" i="17"/>
  <c r="AB65" i="17" s="1"/>
  <c r="AB68" i="17" s="1"/>
  <c r="AB71" i="17" s="1"/>
  <c r="AB76" i="17" s="1"/>
  <c r="AB77" i="17" s="1"/>
  <c r="BU38" i="17"/>
  <c r="BU65" i="17" s="1"/>
  <c r="BU68" i="17" s="1"/>
  <c r="BU71" i="17" s="1"/>
  <c r="BU76" i="17" s="1"/>
  <c r="BU79" i="17" s="1"/>
  <c r="DN38" i="17"/>
  <c r="DN65" i="17" s="1"/>
  <c r="BL38" i="17"/>
  <c r="BL65" i="17" s="1"/>
  <c r="BL68" i="17" s="1"/>
  <c r="BL71" i="17" s="1"/>
  <c r="BL73" i="17" s="1"/>
  <c r="I65" i="17"/>
  <c r="J65" i="17" s="1"/>
  <c r="J66" i="17" s="1"/>
  <c r="J38" i="17"/>
  <c r="G71" i="14"/>
  <c r="G72" i="14" s="1"/>
  <c r="S13" i="15"/>
  <c r="U13" i="15" s="1"/>
  <c r="V17" i="2"/>
  <c r="Q17" i="6"/>
  <c r="R17" i="6" s="1"/>
  <c r="N19" i="15"/>
  <c r="N11" i="15"/>
  <c r="N14" i="15"/>
  <c r="N18" i="15"/>
  <c r="N20" i="15"/>
  <c r="N16" i="15"/>
  <c r="N24" i="15"/>
  <c r="F29" i="2"/>
  <c r="G29" i="2"/>
  <c r="H29" i="2"/>
  <c r="I29" i="2"/>
  <c r="J29" i="2"/>
  <c r="K29" i="2"/>
  <c r="L29" i="2"/>
  <c r="M29" i="2"/>
  <c r="N29" i="2"/>
  <c r="O29" i="2"/>
  <c r="P29" i="2"/>
  <c r="E29" i="2"/>
  <c r="F29" i="6"/>
  <c r="G29" i="6"/>
  <c r="H29" i="6"/>
  <c r="I29" i="6"/>
  <c r="J29" i="6"/>
  <c r="E29" i="6"/>
  <c r="Q17" i="2"/>
  <c r="E25" i="6"/>
  <c r="G25" i="6"/>
  <c r="F25" i="6"/>
  <c r="H25" i="6"/>
  <c r="I25" i="6"/>
  <c r="J25" i="6"/>
  <c r="K25" i="6"/>
  <c r="L25" i="6"/>
  <c r="M25" i="6"/>
  <c r="N25" i="6"/>
  <c r="O25" i="6"/>
  <c r="P25" i="6"/>
  <c r="O64" i="14"/>
  <c r="T13" i="15"/>
  <c r="R62" i="14"/>
  <c r="R66" i="14" s="1"/>
  <c r="N65" i="12"/>
  <c r="N68" i="12" s="1"/>
  <c r="N71" i="12" s="1"/>
  <c r="BC80" i="17"/>
  <c r="L62" i="14"/>
  <c r="L66" i="14" s="1"/>
  <c r="DN68" i="17"/>
  <c r="DN71" i="17" s="1"/>
  <c r="DN73" i="17" s="1"/>
  <c r="DN74" i="17" s="1"/>
  <c r="DN76" i="17" s="1"/>
  <c r="H62" i="14"/>
  <c r="H66" i="14" s="1"/>
  <c r="E62" i="14"/>
  <c r="E66" i="14" s="1"/>
  <c r="BU77" i="17"/>
  <c r="N62" i="14"/>
  <c r="N66" i="14" s="1"/>
  <c r="J62" i="14"/>
  <c r="J66" i="14" s="1"/>
  <c r="M62" i="14"/>
  <c r="M66" i="14" s="1"/>
  <c r="AK77" i="17" l="1"/>
  <c r="I68" i="17"/>
  <c r="I71" i="17" s="1"/>
  <c r="I76" i="17" s="1"/>
  <c r="BL74" i="17"/>
  <c r="BL76" i="17" s="1"/>
  <c r="F17" i="15" s="1"/>
  <c r="CD79" i="17"/>
  <c r="DN81" i="17"/>
  <c r="Q46" i="14" s="1"/>
  <c r="Q47" i="14" s="1"/>
  <c r="Q62" i="14" s="1"/>
  <c r="Q66" i="14" s="1"/>
  <c r="F23" i="15"/>
  <c r="BL81" i="17"/>
  <c r="K46" i="14" s="1"/>
  <c r="K47" i="14" s="1"/>
  <c r="K62" i="14" s="1"/>
  <c r="K66" i="14" s="1"/>
  <c r="DW81" i="17"/>
  <c r="AT73" i="17"/>
  <c r="AT74" i="17" s="1"/>
  <c r="CV74" i="17"/>
  <c r="EE38" i="17"/>
  <c r="EE65" i="17" s="1"/>
  <c r="EF27" i="17"/>
  <c r="EF38" i="17" s="1"/>
  <c r="EF65" i="17" s="1"/>
  <c r="EF68" i="17" s="1"/>
  <c r="EF71" i="17" s="1"/>
  <c r="EF76" i="17" s="1"/>
  <c r="ED65" i="17"/>
  <c r="N74" i="12"/>
  <c r="S19" i="15"/>
  <c r="U19" i="15" s="1"/>
  <c r="M71" i="14"/>
  <c r="M72" i="14" s="1"/>
  <c r="N71" i="14"/>
  <c r="N72" i="14" s="1"/>
  <c r="S20" i="15"/>
  <c r="U20" i="15" s="1"/>
  <c r="S24" i="15"/>
  <c r="U24" i="15" s="1"/>
  <c r="R71" i="14"/>
  <c r="R72" i="14" s="1"/>
  <c r="S11" i="15"/>
  <c r="U11" i="15" s="1"/>
  <c r="E71" i="14"/>
  <c r="E72" i="14" s="1"/>
  <c r="S16" i="15"/>
  <c r="U16" i="15" s="1"/>
  <c r="J71" i="14"/>
  <c r="J72" i="14" s="1"/>
  <c r="S18" i="15"/>
  <c r="U18" i="15" s="1"/>
  <c r="L71" i="14"/>
  <c r="L72" i="14" s="1"/>
  <c r="H71" i="14"/>
  <c r="H72" i="14" s="1"/>
  <c r="S14" i="15"/>
  <c r="U14" i="15" s="1"/>
  <c r="J90" i="24"/>
  <c r="J91" i="24" s="1"/>
  <c r="G90" i="24"/>
  <c r="G91" i="24" s="1"/>
  <c r="V29" i="2"/>
  <c r="H90" i="24"/>
  <c r="H91" i="24" s="1"/>
  <c r="F90" i="24"/>
  <c r="F91" i="24" s="1"/>
  <c r="M13" i="15"/>
  <c r="E31" i="24"/>
  <c r="Q31" i="24" s="1"/>
  <c r="Q30" i="24"/>
  <c r="Q29" i="24"/>
  <c r="I90" i="24"/>
  <c r="I91" i="24" s="1"/>
  <c r="DE74" i="17"/>
  <c r="DE76" i="17" s="1"/>
  <c r="F22" i="15" s="1"/>
  <c r="S73" i="17"/>
  <c r="S74" i="17" s="1"/>
  <c r="S76" i="17" s="1"/>
  <c r="F12" i="15" s="1"/>
  <c r="BL79" i="17"/>
  <c r="Q29" i="2"/>
  <c r="L65" i="12"/>
  <c r="Q25" i="6"/>
  <c r="R25" i="6" s="1"/>
  <c r="P13" i="15"/>
  <c r="CM77" i="17"/>
  <c r="CM79" i="17"/>
  <c r="S23" i="14"/>
  <c r="M14" i="6"/>
  <c r="F14" i="6"/>
  <c r="N14" i="6"/>
  <c r="H14" i="6"/>
  <c r="E14" i="6"/>
  <c r="I14" i="6"/>
  <c r="G14" i="6"/>
  <c r="K14" i="6"/>
  <c r="L14" i="6"/>
  <c r="J14" i="6"/>
  <c r="P14" i="6"/>
  <c r="O14" i="6"/>
  <c r="AB79" i="17"/>
  <c r="DW79" i="17"/>
  <c r="DW77" i="17"/>
  <c r="DN79" i="17"/>
  <c r="DN77" i="17"/>
  <c r="I77" i="17"/>
  <c r="I79" i="17"/>
  <c r="BL77" i="17" l="1"/>
  <c r="N73" i="12"/>
  <c r="N76" i="12" s="1"/>
  <c r="N78" i="12" s="1"/>
  <c r="D46" i="14" s="1"/>
  <c r="D47" i="14" s="1"/>
  <c r="D62" i="14" s="1"/>
  <c r="D66" i="14" s="1"/>
  <c r="H25" i="15"/>
  <c r="F24" i="24"/>
  <c r="G24" i="24"/>
  <c r="H24" i="24"/>
  <c r="I24" i="24"/>
  <c r="J24" i="24"/>
  <c r="K24" i="24"/>
  <c r="L24" i="24"/>
  <c r="M24" i="24"/>
  <c r="N24" i="24"/>
  <c r="O24" i="24"/>
  <c r="P24" i="24"/>
  <c r="E24" i="24"/>
  <c r="N12" i="15"/>
  <c r="T12" i="15" s="1"/>
  <c r="F74" i="24"/>
  <c r="G74" i="24"/>
  <c r="H74" i="24"/>
  <c r="I74" i="24"/>
  <c r="J74" i="24"/>
  <c r="K74" i="24"/>
  <c r="L74" i="24"/>
  <c r="M74" i="24"/>
  <c r="N74" i="24"/>
  <c r="O74" i="24"/>
  <c r="P74" i="24"/>
  <c r="E74" i="24"/>
  <c r="N22" i="15"/>
  <c r="F49" i="24"/>
  <c r="G49" i="24"/>
  <c r="H49" i="24"/>
  <c r="I49" i="24"/>
  <c r="J49" i="24"/>
  <c r="K49" i="24"/>
  <c r="L49" i="24"/>
  <c r="M49" i="24"/>
  <c r="N49" i="24"/>
  <c r="O49" i="24"/>
  <c r="P49" i="24"/>
  <c r="E49" i="24"/>
  <c r="N17" i="15"/>
  <c r="F79" i="24"/>
  <c r="G79" i="24"/>
  <c r="H79" i="24"/>
  <c r="I79" i="24"/>
  <c r="J79" i="24"/>
  <c r="K79" i="24"/>
  <c r="L79" i="24"/>
  <c r="M79" i="24"/>
  <c r="N79" i="24"/>
  <c r="O79" i="24"/>
  <c r="P79" i="24"/>
  <c r="E79" i="24"/>
  <c r="N23" i="15"/>
  <c r="T23" i="15" s="1"/>
  <c r="CV73" i="17"/>
  <c r="CV76" i="17" s="1"/>
  <c r="F21" i="15" s="1"/>
  <c r="T23" i="14"/>
  <c r="U23" i="14" s="1"/>
  <c r="S35" i="14"/>
  <c r="T35" i="14" s="1"/>
  <c r="EF79" i="17"/>
  <c r="EF77" i="17"/>
  <c r="E90" i="24"/>
  <c r="S80" i="17"/>
  <c r="F46" i="14" s="1"/>
  <c r="F47" i="14" s="1"/>
  <c r="F62" i="14" s="1"/>
  <c r="F66" i="14" s="1"/>
  <c r="S79" i="17"/>
  <c r="S77" i="17"/>
  <c r="AT76" i="17"/>
  <c r="F15" i="15" s="1"/>
  <c r="M19" i="2" s="1"/>
  <c r="AT77" i="17"/>
  <c r="DE81" i="17"/>
  <c r="P46" i="14" s="1"/>
  <c r="P47" i="14" s="1"/>
  <c r="P62" i="14" s="1"/>
  <c r="P66" i="14" s="1"/>
  <c r="DE77" i="17"/>
  <c r="DE79" i="17"/>
  <c r="F28" i="6"/>
  <c r="P28" i="6"/>
  <c r="I28" i="6"/>
  <c r="L28" i="6"/>
  <c r="N28" i="6"/>
  <c r="J28" i="6"/>
  <c r="K28" i="6"/>
  <c r="M28" i="6"/>
  <c r="G28" i="6"/>
  <c r="E28" i="6"/>
  <c r="O28" i="6"/>
  <c r="H28" i="6"/>
  <c r="N19" i="6"/>
  <c r="O19" i="6"/>
  <c r="M19" i="6"/>
  <c r="E19" i="6"/>
  <c r="K19" i="6"/>
  <c r="H19" i="6"/>
  <c r="G19" i="6"/>
  <c r="P19" i="6"/>
  <c r="J19" i="6"/>
  <c r="F19" i="6"/>
  <c r="L19" i="6"/>
  <c r="I19" i="6"/>
  <c r="J16" i="2"/>
  <c r="G16" i="2"/>
  <c r="F16" i="2"/>
  <c r="E16" i="2"/>
  <c r="H16" i="2"/>
  <c r="P16" i="2"/>
  <c r="K16" i="2"/>
  <c r="M16" i="2"/>
  <c r="I16" i="2"/>
  <c r="O16" i="2"/>
  <c r="N16" i="2"/>
  <c r="L16" i="2"/>
  <c r="O18" i="2"/>
  <c r="M18" i="2"/>
  <c r="H18" i="2"/>
  <c r="K18" i="2"/>
  <c r="N18" i="2"/>
  <c r="I18" i="2"/>
  <c r="P18" i="2"/>
  <c r="J18" i="2"/>
  <c r="L18" i="2"/>
  <c r="T14" i="15"/>
  <c r="F18" i="2"/>
  <c r="E18" i="2"/>
  <c r="G18" i="2"/>
  <c r="K27" i="2"/>
  <c r="N27" i="2"/>
  <c r="E27" i="2"/>
  <c r="I27" i="2"/>
  <c r="H27" i="2"/>
  <c r="M27" i="2"/>
  <c r="J27" i="2"/>
  <c r="G27" i="2"/>
  <c r="P27" i="2"/>
  <c r="O27" i="2"/>
  <c r="L27" i="2"/>
  <c r="F27" i="2"/>
  <c r="M22" i="2"/>
  <c r="E22" i="2"/>
  <c r="J22" i="2"/>
  <c r="F22" i="2"/>
  <c r="K22" i="2"/>
  <c r="P22" i="2"/>
  <c r="H22" i="2"/>
  <c r="I22" i="2"/>
  <c r="G22" i="2"/>
  <c r="T18" i="15"/>
  <c r="O22" i="2"/>
  <c r="L22" i="2"/>
  <c r="N22" i="2"/>
  <c r="J16" i="6"/>
  <c r="H16" i="6"/>
  <c r="E16" i="6"/>
  <c r="L16" i="6"/>
  <c r="F16" i="6"/>
  <c r="K16" i="6"/>
  <c r="N16" i="6"/>
  <c r="M16" i="6"/>
  <c r="O16" i="6"/>
  <c r="G16" i="6"/>
  <c r="I16" i="6"/>
  <c r="P16" i="6"/>
  <c r="P24" i="6"/>
  <c r="M24" i="6"/>
  <c r="N24" i="6"/>
  <c r="J24" i="6"/>
  <c r="O24" i="6"/>
  <c r="H24" i="6"/>
  <c r="K24" i="6"/>
  <c r="I24" i="6"/>
  <c r="F24" i="6"/>
  <c r="G24" i="6"/>
  <c r="E24" i="6"/>
  <c r="L24" i="6"/>
  <c r="J24" i="2"/>
  <c r="N24" i="2"/>
  <c r="T20" i="15"/>
  <c r="E24" i="2"/>
  <c r="O24" i="2"/>
  <c r="O65" i="24" s="1"/>
  <c r="O66" i="24" s="1"/>
  <c r="G24" i="2"/>
  <c r="F24" i="2"/>
  <c r="L24" i="2"/>
  <c r="K24" i="2"/>
  <c r="M24" i="2"/>
  <c r="P24" i="2"/>
  <c r="H24" i="2"/>
  <c r="I24" i="2"/>
  <c r="G28" i="2"/>
  <c r="T24" i="15"/>
  <c r="K28" i="2"/>
  <c r="I28" i="2"/>
  <c r="H28" i="2"/>
  <c r="J28" i="2"/>
  <c r="O28" i="2"/>
  <c r="E28" i="2"/>
  <c r="P28" i="2"/>
  <c r="F28" i="2"/>
  <c r="L28" i="2"/>
  <c r="L85" i="24" s="1"/>
  <c r="L86" i="24" s="1"/>
  <c r="N28" i="2"/>
  <c r="M28" i="2"/>
  <c r="M27" i="6"/>
  <c r="G27" i="6"/>
  <c r="H27" i="6"/>
  <c r="O27" i="6"/>
  <c r="J27" i="6"/>
  <c r="E27" i="6"/>
  <c r="F27" i="6"/>
  <c r="L27" i="6"/>
  <c r="K27" i="6"/>
  <c r="P27" i="6"/>
  <c r="N27" i="6"/>
  <c r="I27" i="6"/>
  <c r="K15" i="2"/>
  <c r="N15" i="2"/>
  <c r="E15" i="2"/>
  <c r="P15" i="2"/>
  <c r="F15" i="2"/>
  <c r="J15" i="2"/>
  <c r="T11" i="15"/>
  <c r="G15" i="2"/>
  <c r="L15" i="2"/>
  <c r="M15" i="2"/>
  <c r="I15" i="2"/>
  <c r="O15" i="2"/>
  <c r="H15" i="2"/>
  <c r="K19" i="2"/>
  <c r="E15" i="6"/>
  <c r="O15" i="6"/>
  <c r="N15" i="6"/>
  <c r="I15" i="6"/>
  <c r="L15" i="6"/>
  <c r="J15" i="6"/>
  <c r="M15" i="6"/>
  <c r="F15" i="6"/>
  <c r="G15" i="6"/>
  <c r="K15" i="6"/>
  <c r="P15" i="6"/>
  <c r="H15" i="6"/>
  <c r="F18" i="6"/>
  <c r="G18" i="6"/>
  <c r="H18" i="6"/>
  <c r="E18" i="6"/>
  <c r="P18" i="6"/>
  <c r="I18" i="6"/>
  <c r="K18" i="6"/>
  <c r="M18" i="6"/>
  <c r="L18" i="6"/>
  <c r="J18" i="6"/>
  <c r="O18" i="6"/>
  <c r="N18" i="6"/>
  <c r="N26" i="6"/>
  <c r="L26" i="6"/>
  <c r="F26" i="6"/>
  <c r="I26" i="6"/>
  <c r="G26" i="6"/>
  <c r="P26" i="6"/>
  <c r="K26" i="6"/>
  <c r="E26" i="6"/>
  <c r="J26" i="6"/>
  <c r="M26" i="6"/>
  <c r="O26" i="6"/>
  <c r="H26" i="6"/>
  <c r="K23" i="6"/>
  <c r="O23" i="6"/>
  <c r="F23" i="6"/>
  <c r="L23" i="6"/>
  <c r="H23" i="6"/>
  <c r="P23" i="6"/>
  <c r="J23" i="6"/>
  <c r="N23" i="6"/>
  <c r="I23" i="6"/>
  <c r="G23" i="6"/>
  <c r="M23" i="6"/>
  <c r="E23" i="6"/>
  <c r="Q14" i="6"/>
  <c r="M26" i="2"/>
  <c r="H26" i="2"/>
  <c r="E26" i="2"/>
  <c r="P26" i="2"/>
  <c r="L26" i="2"/>
  <c r="K26" i="2"/>
  <c r="J26" i="2"/>
  <c r="G26" i="2"/>
  <c r="G75" i="24" s="1"/>
  <c r="G76" i="24" s="1"/>
  <c r="F26" i="2"/>
  <c r="O26" i="2"/>
  <c r="I26" i="2"/>
  <c r="N26" i="2"/>
  <c r="T22" i="15"/>
  <c r="N21" i="6"/>
  <c r="M21" i="6"/>
  <c r="O21" i="6"/>
  <c r="H21" i="6"/>
  <c r="G21" i="6"/>
  <c r="I21" i="6"/>
  <c r="P21" i="6"/>
  <c r="L21" i="6"/>
  <c r="K21" i="6"/>
  <c r="E21" i="6"/>
  <c r="F21" i="6"/>
  <c r="J21" i="6"/>
  <c r="T17" i="15"/>
  <c r="I21" i="2"/>
  <c r="G21" i="2"/>
  <c r="O21" i="2"/>
  <c r="L21" i="2"/>
  <c r="H21" i="2"/>
  <c r="K21" i="2"/>
  <c r="N21" i="2"/>
  <c r="E21" i="2"/>
  <c r="M21" i="2"/>
  <c r="F21" i="2"/>
  <c r="J21" i="2"/>
  <c r="P21" i="2"/>
  <c r="E20" i="2"/>
  <c r="N20" i="2"/>
  <c r="O20" i="2"/>
  <c r="L20" i="2"/>
  <c r="G20" i="2"/>
  <c r="I20" i="2"/>
  <c r="M20" i="2"/>
  <c r="J20" i="2"/>
  <c r="P20" i="2"/>
  <c r="K20" i="2"/>
  <c r="F20" i="2"/>
  <c r="H20" i="2"/>
  <c r="L22" i="6"/>
  <c r="N22" i="6"/>
  <c r="H22" i="6"/>
  <c r="I22" i="6"/>
  <c r="J22" i="6"/>
  <c r="F22" i="6"/>
  <c r="G22" i="6"/>
  <c r="M22" i="6"/>
  <c r="P22" i="6"/>
  <c r="K22" i="6"/>
  <c r="O22" i="6"/>
  <c r="E22" i="6"/>
  <c r="U35" i="14"/>
  <c r="E23" i="2"/>
  <c r="M23" i="2"/>
  <c r="I23" i="2"/>
  <c r="K23" i="2"/>
  <c r="G23" i="2"/>
  <c r="O23" i="2"/>
  <c r="J23" i="2"/>
  <c r="T19" i="15"/>
  <c r="H23" i="2"/>
  <c r="L23" i="2"/>
  <c r="N23" i="2"/>
  <c r="P23" i="2"/>
  <c r="F23" i="2"/>
  <c r="P19" i="2" l="1"/>
  <c r="F19" i="2"/>
  <c r="CV79" i="17"/>
  <c r="G19" i="2"/>
  <c r="I19" i="2"/>
  <c r="N19" i="2"/>
  <c r="J19" i="2"/>
  <c r="H19" i="2"/>
  <c r="L19" i="2"/>
  <c r="E19" i="2"/>
  <c r="O19" i="2"/>
  <c r="F10" i="15"/>
  <c r="G14" i="24" s="1"/>
  <c r="G15" i="24" s="1"/>
  <c r="G16" i="24" s="1"/>
  <c r="K29" i="6"/>
  <c r="L29" i="6"/>
  <c r="M29" i="6"/>
  <c r="N29" i="6"/>
  <c r="O29" i="6"/>
  <c r="P29" i="6"/>
  <c r="K89" i="24"/>
  <c r="L89" i="24"/>
  <c r="L90" i="24" s="1"/>
  <c r="L91" i="24" s="1"/>
  <c r="M89" i="24"/>
  <c r="M90" i="24" s="1"/>
  <c r="M91" i="24" s="1"/>
  <c r="N89" i="24"/>
  <c r="N90" i="24" s="1"/>
  <c r="N91" i="24" s="1"/>
  <c r="O89" i="24"/>
  <c r="O90" i="24" s="1"/>
  <c r="O91" i="24" s="1"/>
  <c r="P89" i="24"/>
  <c r="P90" i="24" s="1"/>
  <c r="P91" i="24" s="1"/>
  <c r="N25" i="15"/>
  <c r="H31" i="15"/>
  <c r="D11" i="20" s="1"/>
  <c r="N15" i="15"/>
  <c r="P15" i="15" s="1"/>
  <c r="F39" i="24"/>
  <c r="F40" i="24" s="1"/>
  <c r="F41" i="24" s="1"/>
  <c r="G39" i="24"/>
  <c r="H39" i="24"/>
  <c r="H40" i="24" s="1"/>
  <c r="H41" i="24" s="1"/>
  <c r="I39" i="24"/>
  <c r="I40" i="24" s="1"/>
  <c r="I41" i="24" s="1"/>
  <c r="J39" i="24"/>
  <c r="J40" i="24" s="1"/>
  <c r="J41" i="24" s="1"/>
  <c r="K39" i="24"/>
  <c r="K40" i="24" s="1"/>
  <c r="K41" i="24" s="1"/>
  <c r="L39" i="24"/>
  <c r="L40" i="24" s="1"/>
  <c r="L41" i="24" s="1"/>
  <c r="M39" i="24"/>
  <c r="M40" i="24" s="1"/>
  <c r="M41" i="24" s="1"/>
  <c r="N39" i="24"/>
  <c r="N40" i="24" s="1"/>
  <c r="N41" i="24" s="1"/>
  <c r="O39" i="24"/>
  <c r="O40" i="24" s="1"/>
  <c r="O41" i="24" s="1"/>
  <c r="P39" i="24"/>
  <c r="E39" i="24"/>
  <c r="E40" i="24" s="1"/>
  <c r="L15" i="15" s="1"/>
  <c r="F69" i="24"/>
  <c r="F70" i="24" s="1"/>
  <c r="F71" i="24" s="1"/>
  <c r="G69" i="24"/>
  <c r="G70" i="24" s="1"/>
  <c r="G71" i="24" s="1"/>
  <c r="H69" i="24"/>
  <c r="H70" i="24" s="1"/>
  <c r="H71" i="24" s="1"/>
  <c r="I69" i="24"/>
  <c r="I70" i="24" s="1"/>
  <c r="I71" i="24" s="1"/>
  <c r="J69" i="24"/>
  <c r="J70" i="24" s="1"/>
  <c r="J71" i="24" s="1"/>
  <c r="K69" i="24"/>
  <c r="K70" i="24" s="1"/>
  <c r="K71" i="24" s="1"/>
  <c r="L69" i="24"/>
  <c r="L70" i="24" s="1"/>
  <c r="L71" i="24" s="1"/>
  <c r="M69" i="24"/>
  <c r="M70" i="24" s="1"/>
  <c r="M71" i="24" s="1"/>
  <c r="N69" i="24"/>
  <c r="N70" i="24" s="1"/>
  <c r="N71" i="24" s="1"/>
  <c r="O69" i="24"/>
  <c r="O70" i="24" s="1"/>
  <c r="O71" i="24" s="1"/>
  <c r="P69" i="24"/>
  <c r="P70" i="24" s="1"/>
  <c r="P71" i="24" s="1"/>
  <c r="E69" i="24"/>
  <c r="E25" i="2"/>
  <c r="G25" i="2"/>
  <c r="F25" i="2"/>
  <c r="H25" i="2"/>
  <c r="I25" i="2"/>
  <c r="J25" i="2"/>
  <c r="K25" i="2"/>
  <c r="L25" i="2"/>
  <c r="M25" i="2"/>
  <c r="N25" i="2"/>
  <c r="O25" i="2"/>
  <c r="P25" i="2"/>
  <c r="V25" i="2" s="1"/>
  <c r="N21" i="15"/>
  <c r="Q71" i="14"/>
  <c r="Q72" i="14" s="1"/>
  <c r="S23" i="15"/>
  <c r="U23" i="15" s="1"/>
  <c r="S17" i="15"/>
  <c r="U17" i="15" s="1"/>
  <c r="K71" i="14"/>
  <c r="K72" i="14" s="1"/>
  <c r="P71" i="14"/>
  <c r="P72" i="14" s="1"/>
  <c r="S22" i="15"/>
  <c r="U22" i="15" s="1"/>
  <c r="F71" i="14"/>
  <c r="F72" i="14" s="1"/>
  <c r="S12" i="15"/>
  <c r="U12" i="15" s="1"/>
  <c r="CV77" i="17"/>
  <c r="CV81" i="17"/>
  <c r="O46" i="14" s="1"/>
  <c r="O47" i="14" s="1"/>
  <c r="O62" i="14" s="1"/>
  <c r="O66" i="14" s="1"/>
  <c r="G40" i="24"/>
  <c r="G41" i="24" s="1"/>
  <c r="M60" i="24"/>
  <c r="M61" i="24" s="1"/>
  <c r="H65" i="24"/>
  <c r="H66" i="24" s="1"/>
  <c r="N85" i="24"/>
  <c r="N86" i="24" s="1"/>
  <c r="K50" i="24"/>
  <c r="K51" i="24" s="1"/>
  <c r="F85" i="24"/>
  <c r="F86" i="24" s="1"/>
  <c r="K85" i="24"/>
  <c r="K86" i="24" s="1"/>
  <c r="J75" i="24"/>
  <c r="J76" i="24" s="1"/>
  <c r="G50" i="24"/>
  <c r="G51" i="24" s="1"/>
  <c r="O75" i="24"/>
  <c r="O76" i="24" s="1"/>
  <c r="I85" i="24"/>
  <c r="I86" i="24" s="1"/>
  <c r="N65" i="24"/>
  <c r="N66" i="24" s="1"/>
  <c r="F65" i="24"/>
  <c r="F66" i="24" s="1"/>
  <c r="H60" i="24"/>
  <c r="H61" i="24" s="1"/>
  <c r="M85" i="24"/>
  <c r="M86" i="24" s="1"/>
  <c r="O85" i="24"/>
  <c r="O86" i="24" s="1"/>
  <c r="N50" i="24"/>
  <c r="N51" i="24" s="1"/>
  <c r="I50" i="24"/>
  <c r="I51" i="24" s="1"/>
  <c r="I75" i="24"/>
  <c r="I76" i="24" s="1"/>
  <c r="F60" i="24"/>
  <c r="F61" i="24" s="1"/>
  <c r="J50" i="24"/>
  <c r="J51" i="24" s="1"/>
  <c r="F75" i="24"/>
  <c r="F76" i="24" s="1"/>
  <c r="K65" i="24"/>
  <c r="K66" i="24" s="1"/>
  <c r="G85" i="24"/>
  <c r="G86" i="24" s="1"/>
  <c r="H85" i="24"/>
  <c r="H86" i="24" s="1"/>
  <c r="F50" i="24"/>
  <c r="F51" i="24" s="1"/>
  <c r="O20" i="24"/>
  <c r="O21" i="24" s="1"/>
  <c r="L65" i="24"/>
  <c r="L66" i="24" s="1"/>
  <c r="J85" i="24"/>
  <c r="J86" i="24" s="1"/>
  <c r="I65" i="24"/>
  <c r="I66" i="24" s="1"/>
  <c r="G60" i="24"/>
  <c r="G61" i="24" s="1"/>
  <c r="G20" i="24"/>
  <c r="G21" i="24" s="1"/>
  <c r="N20" i="24"/>
  <c r="N21" i="24" s="1"/>
  <c r="M65" i="24"/>
  <c r="M66" i="24" s="1"/>
  <c r="E65" i="24"/>
  <c r="O60" i="24"/>
  <c r="O61" i="24" s="1"/>
  <c r="L75" i="24"/>
  <c r="L76" i="24" s="1"/>
  <c r="N60" i="24"/>
  <c r="N61" i="24" s="1"/>
  <c r="L60" i="24"/>
  <c r="L61" i="24" s="1"/>
  <c r="E75" i="24"/>
  <c r="E85" i="24"/>
  <c r="H75" i="24"/>
  <c r="H76" i="24" s="1"/>
  <c r="J20" i="24"/>
  <c r="J21" i="24" s="1"/>
  <c r="V20" i="2"/>
  <c r="M50" i="24"/>
  <c r="M51" i="24" s="1"/>
  <c r="O50" i="24"/>
  <c r="O51" i="24" s="1"/>
  <c r="M75" i="24"/>
  <c r="M76" i="24" s="1"/>
  <c r="V19" i="2"/>
  <c r="P40" i="24"/>
  <c r="P41" i="24" s="1"/>
  <c r="I20" i="24"/>
  <c r="I21" i="24" s="1"/>
  <c r="F20" i="24"/>
  <c r="F21" i="24" s="1"/>
  <c r="J65" i="24"/>
  <c r="J66" i="24" s="1"/>
  <c r="I55" i="24"/>
  <c r="I56" i="24" s="1"/>
  <c r="G80" i="24"/>
  <c r="G81" i="24" s="1"/>
  <c r="N80" i="24"/>
  <c r="N81" i="24" s="1"/>
  <c r="K35" i="24"/>
  <c r="K36" i="24" s="1"/>
  <c r="O25" i="24"/>
  <c r="O26" i="24" s="1"/>
  <c r="L25" i="15"/>
  <c r="M25" i="15" s="1"/>
  <c r="E91" i="24"/>
  <c r="V26" i="2"/>
  <c r="P75" i="24"/>
  <c r="P76" i="24" s="1"/>
  <c r="J60" i="24"/>
  <c r="J61" i="24" s="1"/>
  <c r="E50" i="24"/>
  <c r="L17" i="15" s="1"/>
  <c r="N75" i="24"/>
  <c r="N76" i="24" s="1"/>
  <c r="K75" i="24"/>
  <c r="K76" i="24" s="1"/>
  <c r="M20" i="24"/>
  <c r="M21" i="24" s="1"/>
  <c r="V15" i="2"/>
  <c r="P20" i="24"/>
  <c r="P21" i="24" s="1"/>
  <c r="G65" i="24"/>
  <c r="G66" i="24" s="1"/>
  <c r="N55" i="24"/>
  <c r="N56" i="24" s="1"/>
  <c r="H55" i="24"/>
  <c r="H56" i="24" s="1"/>
  <c r="M55" i="24"/>
  <c r="M56" i="24" s="1"/>
  <c r="J80" i="24"/>
  <c r="J81" i="24" s="1"/>
  <c r="K80" i="24"/>
  <c r="K81" i="24" s="1"/>
  <c r="L35" i="24"/>
  <c r="L36" i="24" s="1"/>
  <c r="H35" i="24"/>
  <c r="H36" i="24" s="1"/>
  <c r="I25" i="24"/>
  <c r="I26" i="24" s="1"/>
  <c r="L20" i="24"/>
  <c r="L21" i="24" s="1"/>
  <c r="V24" i="2"/>
  <c r="P65" i="24"/>
  <c r="P66" i="24" s="1"/>
  <c r="L55" i="24"/>
  <c r="L56" i="24" s="1"/>
  <c r="V22" i="2"/>
  <c r="P55" i="24"/>
  <c r="P56" i="24" s="1"/>
  <c r="F80" i="24"/>
  <c r="F81" i="24" s="1"/>
  <c r="M80" i="24"/>
  <c r="M81" i="24" s="1"/>
  <c r="J35" i="24"/>
  <c r="J36" i="24" s="1"/>
  <c r="M35" i="24"/>
  <c r="M36" i="24" s="1"/>
  <c r="M25" i="24"/>
  <c r="M26" i="24" s="1"/>
  <c r="F25" i="24"/>
  <c r="F26" i="24" s="1"/>
  <c r="O55" i="24"/>
  <c r="O56" i="24" s="1"/>
  <c r="K55" i="24"/>
  <c r="K56" i="24" s="1"/>
  <c r="L80" i="24"/>
  <c r="L81" i="24" s="1"/>
  <c r="H80" i="24"/>
  <c r="H81" i="24" s="1"/>
  <c r="G35" i="24"/>
  <c r="G36" i="24" s="1"/>
  <c r="V18" i="2"/>
  <c r="P35" i="24"/>
  <c r="P36" i="24" s="1"/>
  <c r="O35" i="24"/>
  <c r="O36" i="24" s="1"/>
  <c r="K25" i="24"/>
  <c r="K26" i="24" s="1"/>
  <c r="G25" i="24"/>
  <c r="G26" i="24" s="1"/>
  <c r="V28" i="2"/>
  <c r="P85" i="24"/>
  <c r="P86" i="24" s="1"/>
  <c r="K60" i="24"/>
  <c r="K61" i="24" s="1"/>
  <c r="H50" i="24"/>
  <c r="H51" i="24" s="1"/>
  <c r="H20" i="24"/>
  <c r="H21" i="24" s="1"/>
  <c r="K20" i="24"/>
  <c r="K21" i="24" s="1"/>
  <c r="F55" i="24"/>
  <c r="F56" i="24" s="1"/>
  <c r="O80" i="24"/>
  <c r="O81" i="24" s="1"/>
  <c r="I80" i="24"/>
  <c r="I81" i="24" s="1"/>
  <c r="I35" i="24"/>
  <c r="I36" i="24" s="1"/>
  <c r="L25" i="24"/>
  <c r="L26" i="24" s="1"/>
  <c r="V16" i="2"/>
  <c r="P25" i="24"/>
  <c r="P26" i="24" s="1"/>
  <c r="J25" i="24"/>
  <c r="J26" i="24" s="1"/>
  <c r="V23" i="2"/>
  <c r="P60" i="24"/>
  <c r="P61" i="24" s="1"/>
  <c r="I60" i="24"/>
  <c r="I61" i="24" s="1"/>
  <c r="G55" i="24"/>
  <c r="G56" i="24" s="1"/>
  <c r="J55" i="24"/>
  <c r="J56" i="24" s="1"/>
  <c r="V27" i="2"/>
  <c r="P80" i="24"/>
  <c r="P81" i="24" s="1"/>
  <c r="F35" i="24"/>
  <c r="F36" i="24" s="1"/>
  <c r="N35" i="24"/>
  <c r="N36" i="24" s="1"/>
  <c r="N25" i="24"/>
  <c r="N26" i="24" s="1"/>
  <c r="H25" i="24"/>
  <c r="H26" i="24" s="1"/>
  <c r="L50" i="24"/>
  <c r="V21" i="2"/>
  <c r="P50" i="24"/>
  <c r="P51" i="24" s="1"/>
  <c r="AT80" i="17"/>
  <c r="I46" i="14" s="1"/>
  <c r="AT79" i="17"/>
  <c r="Q24" i="2"/>
  <c r="Q26" i="6"/>
  <c r="Q19" i="6"/>
  <c r="Q22" i="6"/>
  <c r="Q21" i="2"/>
  <c r="R21" i="2" s="1"/>
  <c r="P20" i="15"/>
  <c r="Q16" i="6"/>
  <c r="Q20" i="2"/>
  <c r="R20" i="2" s="1"/>
  <c r="P11" i="15"/>
  <c r="Q28" i="2"/>
  <c r="Q22" i="2"/>
  <c r="R22" i="2" s="1"/>
  <c r="Q21" i="6"/>
  <c r="Q15" i="2"/>
  <c r="Q18" i="6"/>
  <c r="Q23" i="6"/>
  <c r="P22" i="15"/>
  <c r="P24" i="15"/>
  <c r="P17" i="15"/>
  <c r="P23" i="15"/>
  <c r="Q27" i="6"/>
  <c r="P18" i="15"/>
  <c r="Q18" i="2"/>
  <c r="R18" i="2" s="1"/>
  <c r="Q27" i="2"/>
  <c r="R27" i="2" s="1"/>
  <c r="Q23" i="2"/>
  <c r="R23" i="2" s="1"/>
  <c r="R14" i="6"/>
  <c r="Q15" i="6"/>
  <c r="Q28" i="6"/>
  <c r="R28" i="6" s="1"/>
  <c r="P14" i="15"/>
  <c r="Q24" i="6"/>
  <c r="Q16" i="2"/>
  <c r="R16" i="2" s="1"/>
  <c r="P20" i="6"/>
  <c r="P34" i="6" s="1"/>
  <c r="I20" i="6"/>
  <c r="I34" i="6" s="1"/>
  <c r="E20" i="6"/>
  <c r="E34" i="6" s="1"/>
  <c r="O20" i="6"/>
  <c r="O34" i="6" s="1"/>
  <c r="L20" i="6"/>
  <c r="L34" i="6" s="1"/>
  <c r="J20" i="6"/>
  <c r="J34" i="6" s="1"/>
  <c r="N20" i="6"/>
  <c r="N34" i="6" s="1"/>
  <c r="M20" i="6"/>
  <c r="M34" i="6" s="1"/>
  <c r="F20" i="6"/>
  <c r="F34" i="6" s="1"/>
  <c r="G20" i="6"/>
  <c r="G34" i="6" s="1"/>
  <c r="K20" i="6"/>
  <c r="K34" i="6" s="1"/>
  <c r="H20" i="6"/>
  <c r="H34" i="6" s="1"/>
  <c r="Q26" i="2"/>
  <c r="R26" i="2" s="1"/>
  <c r="H32" i="15"/>
  <c r="Q19" i="2" l="1"/>
  <c r="R19" i="2" s="1"/>
  <c r="P14" i="24"/>
  <c r="P15" i="24" s="1"/>
  <c r="P16" i="24" s="1"/>
  <c r="M14" i="24"/>
  <c r="M15" i="24" s="1"/>
  <c r="M16" i="24" s="1"/>
  <c r="L14" i="24"/>
  <c r="L15" i="24" s="1"/>
  <c r="L16" i="24" s="1"/>
  <c r="O14" i="24"/>
  <c r="O15" i="24" s="1"/>
  <c r="O16" i="24" s="1"/>
  <c r="K14" i="24"/>
  <c r="K15" i="24" s="1"/>
  <c r="K16" i="24" s="1"/>
  <c r="I14" i="24"/>
  <c r="I15" i="24" s="1"/>
  <c r="I16" i="24" s="1"/>
  <c r="F14" i="24"/>
  <c r="F15" i="24" s="1"/>
  <c r="F16" i="24" s="1"/>
  <c r="F31" i="15"/>
  <c r="D7" i="20" s="1"/>
  <c r="N14" i="24"/>
  <c r="N15" i="24" s="1"/>
  <c r="N16" i="24" s="1"/>
  <c r="E14" i="24"/>
  <c r="E15" i="24" s="1"/>
  <c r="L10" i="15" s="1"/>
  <c r="M10" i="15" s="1"/>
  <c r="J14" i="24"/>
  <c r="J15" i="24" s="1"/>
  <c r="J16" i="24" s="1"/>
  <c r="H14" i="24"/>
  <c r="H15" i="24" s="1"/>
  <c r="H16" i="24" s="1"/>
  <c r="N10" i="15"/>
  <c r="S10" i="15" s="1"/>
  <c r="F14" i="2"/>
  <c r="F35" i="2" s="1"/>
  <c r="F32" i="15"/>
  <c r="I14" i="2"/>
  <c r="I35" i="2" s="1"/>
  <c r="G14" i="9" s="1"/>
  <c r="H14" i="2"/>
  <c r="H35" i="2" s="1"/>
  <c r="F14" i="9" s="1"/>
  <c r="H41" i="2" s="1"/>
  <c r="J14" i="2"/>
  <c r="J35" i="2" s="1"/>
  <c r="P14" i="2"/>
  <c r="E14" i="2"/>
  <c r="K14" i="2"/>
  <c r="K35" i="2" s="1"/>
  <c r="N14" i="2"/>
  <c r="N35" i="2" s="1"/>
  <c r="L14" i="9" s="1"/>
  <c r="N41" i="2" s="1"/>
  <c r="L14" i="2"/>
  <c r="L35" i="2" s="1"/>
  <c r="M14" i="2"/>
  <c r="M35" i="2" s="1"/>
  <c r="K14" i="9" s="1"/>
  <c r="O14" i="2"/>
  <c r="O35" i="2" s="1"/>
  <c r="M14" i="9" s="1"/>
  <c r="O41" i="2" s="1"/>
  <c r="G14" i="2"/>
  <c r="G35" i="2" s="1"/>
  <c r="S25" i="15"/>
  <c r="U25" i="15" s="1"/>
  <c r="P25" i="15"/>
  <c r="K90" i="24"/>
  <c r="Q89" i="24"/>
  <c r="Q29" i="6"/>
  <c r="R29" i="6" s="1"/>
  <c r="O71" i="14"/>
  <c r="O72" i="14" s="1"/>
  <c r="S21" i="15"/>
  <c r="U21" i="15" s="1"/>
  <c r="T21" i="15"/>
  <c r="P21" i="15"/>
  <c r="Q25" i="2"/>
  <c r="R25" i="2" s="1"/>
  <c r="E70" i="24"/>
  <c r="Q69" i="24"/>
  <c r="S15" i="15"/>
  <c r="U15" i="15" s="1"/>
  <c r="I71" i="14"/>
  <c r="T15" i="15"/>
  <c r="D71" i="14"/>
  <c r="D72" i="14" s="1"/>
  <c r="H14" i="9"/>
  <c r="J41" i="2" s="1"/>
  <c r="E14" i="9"/>
  <c r="G41" i="2" s="1"/>
  <c r="I14" i="9"/>
  <c r="K41" i="2" s="1"/>
  <c r="H34" i="15"/>
  <c r="D14" i="9"/>
  <c r="F41" i="2" s="1"/>
  <c r="Q39" i="24"/>
  <c r="O45" i="24"/>
  <c r="O46" i="24" s="1"/>
  <c r="O109" i="24" s="1"/>
  <c r="Q64" i="24"/>
  <c r="N45" i="24"/>
  <c r="N46" i="24" s="1"/>
  <c r="P45" i="24"/>
  <c r="P46" i="24" s="1"/>
  <c r="P109" i="24" s="1"/>
  <c r="L24" i="15"/>
  <c r="M24" i="15" s="1"/>
  <c r="E86" i="24"/>
  <c r="Q86" i="24" s="1"/>
  <c r="Q85" i="24"/>
  <c r="H45" i="24"/>
  <c r="H46" i="24" s="1"/>
  <c r="H109" i="24" s="1"/>
  <c r="J45" i="24"/>
  <c r="J46" i="24" s="1"/>
  <c r="J109" i="24" s="1"/>
  <c r="I45" i="24"/>
  <c r="I46" i="24" s="1"/>
  <c r="I109" i="24" s="1"/>
  <c r="Q54" i="24"/>
  <c r="E55" i="24"/>
  <c r="L22" i="15"/>
  <c r="M22" i="15" s="1"/>
  <c r="Q75" i="24"/>
  <c r="E76" i="24"/>
  <c r="Q76" i="24" s="1"/>
  <c r="Q84" i="24"/>
  <c r="G45" i="24"/>
  <c r="G46" i="24" s="1"/>
  <c r="G109" i="24" s="1"/>
  <c r="Q59" i="24"/>
  <c r="E60" i="24"/>
  <c r="M45" i="24"/>
  <c r="M46" i="24" s="1"/>
  <c r="M109" i="24" s="1"/>
  <c r="Q24" i="24"/>
  <c r="E25" i="24"/>
  <c r="L12" i="15" s="1"/>
  <c r="M15" i="15"/>
  <c r="E41" i="24"/>
  <c r="Q41" i="24" s="1"/>
  <c r="Q40" i="24"/>
  <c r="M17" i="15"/>
  <c r="E51" i="24"/>
  <c r="Q79" i="24"/>
  <c r="E80" i="24"/>
  <c r="Q34" i="24"/>
  <c r="E35" i="24"/>
  <c r="L14" i="15" s="1"/>
  <c r="F45" i="24"/>
  <c r="F46" i="24" s="1"/>
  <c r="Q19" i="24"/>
  <c r="E20" i="24"/>
  <c r="L11" i="15" s="1"/>
  <c r="Q74" i="24"/>
  <c r="L20" i="15"/>
  <c r="M20" i="15" s="1"/>
  <c r="E66" i="24"/>
  <c r="Q66" i="24" s="1"/>
  <c r="Q65" i="24"/>
  <c r="K45" i="24"/>
  <c r="K46" i="24" s="1"/>
  <c r="L45" i="24"/>
  <c r="L46" i="24" s="1"/>
  <c r="L51" i="24"/>
  <c r="Q50" i="24"/>
  <c r="Q49" i="24"/>
  <c r="I47" i="14"/>
  <c r="I62" i="14" s="1"/>
  <c r="I66" i="14" s="1"/>
  <c r="S46" i="14"/>
  <c r="S47" i="14" s="1"/>
  <c r="T47" i="14" s="1"/>
  <c r="U47" i="14" s="1"/>
  <c r="P16" i="15"/>
  <c r="T16" i="15"/>
  <c r="I21" i="9"/>
  <c r="K39" i="6" s="1"/>
  <c r="K21" i="9"/>
  <c r="M39" i="6" s="1"/>
  <c r="G21" i="9"/>
  <c r="I39" i="6" s="1"/>
  <c r="F21" i="9"/>
  <c r="H39" i="6" s="1"/>
  <c r="N21" i="9"/>
  <c r="P39" i="6" s="1"/>
  <c r="M21" i="9"/>
  <c r="O39" i="6" s="1"/>
  <c r="J21" i="9"/>
  <c r="L39" i="6" s="1"/>
  <c r="E21" i="9"/>
  <c r="G39" i="6" s="1"/>
  <c r="L21" i="9"/>
  <c r="N39" i="6" s="1"/>
  <c r="H21" i="9"/>
  <c r="J39" i="6" s="1"/>
  <c r="R15" i="6"/>
  <c r="R18" i="6"/>
  <c r="R27" i="6"/>
  <c r="R22" i="6"/>
  <c r="Q20" i="6"/>
  <c r="Q34" i="6" s="1"/>
  <c r="R21" i="6"/>
  <c r="R19" i="6"/>
  <c r="R24" i="6"/>
  <c r="R26" i="6"/>
  <c r="R15" i="2"/>
  <c r="R23" i="6"/>
  <c r="N109" i="24" l="1"/>
  <c r="L15" i="9" s="1"/>
  <c r="Q15" i="24"/>
  <c r="Q16" i="24" s="1"/>
  <c r="Q14" i="24"/>
  <c r="E16" i="24"/>
  <c r="J14" i="9"/>
  <c r="L41" i="2" s="1"/>
  <c r="I41" i="2"/>
  <c r="U10" i="15"/>
  <c r="S31" i="15"/>
  <c r="M41" i="2"/>
  <c r="Q14" i="2"/>
  <c r="Q35" i="2" s="1"/>
  <c r="E35" i="2"/>
  <c r="V14" i="2"/>
  <c r="P35" i="2"/>
  <c r="P10" i="15"/>
  <c r="P32" i="15" s="1"/>
  <c r="N31" i="15"/>
  <c r="N32" i="15" s="1"/>
  <c r="T10" i="15"/>
  <c r="I72" i="14"/>
  <c r="K91" i="24"/>
  <c r="Q90" i="24"/>
  <c r="L21" i="15"/>
  <c r="M21" i="15" s="1"/>
  <c r="E71" i="24"/>
  <c r="Q71" i="24" s="1"/>
  <c r="Q70" i="24"/>
  <c r="L109" i="24"/>
  <c r="J15" i="9" s="1"/>
  <c r="F109" i="24"/>
  <c r="K15" i="9"/>
  <c r="F15" i="9"/>
  <c r="G15" i="9"/>
  <c r="H15" i="9"/>
  <c r="N15" i="9"/>
  <c r="M15" i="9"/>
  <c r="Q51" i="24"/>
  <c r="L23" i="15"/>
  <c r="M23" i="15" s="1"/>
  <c r="E81" i="24"/>
  <c r="Q81" i="24" s="1"/>
  <c r="Q80" i="24"/>
  <c r="L18" i="15"/>
  <c r="M18" i="15" s="1"/>
  <c r="Q55" i="24"/>
  <c r="E56" i="24"/>
  <c r="Q56" i="24" s="1"/>
  <c r="E21" i="24"/>
  <c r="Q20" i="24"/>
  <c r="Q21" i="24" s="1"/>
  <c r="E26" i="24"/>
  <c r="Q26" i="24" s="1"/>
  <c r="M12" i="15"/>
  <c r="Q25" i="24"/>
  <c r="E15" i="9"/>
  <c r="E100" i="9" s="1"/>
  <c r="E103" i="9" s="1"/>
  <c r="E36" i="24"/>
  <c r="Q36" i="24" s="1"/>
  <c r="M14" i="15"/>
  <c r="Q35" i="24"/>
  <c r="L19" i="15"/>
  <c r="M19" i="15" s="1"/>
  <c r="Q60" i="24"/>
  <c r="E61" i="24"/>
  <c r="Q44" i="24"/>
  <c r="E45" i="24"/>
  <c r="L16" i="15" s="1"/>
  <c r="R20" i="6"/>
  <c r="C11" i="20"/>
  <c r="C21" i="9"/>
  <c r="E39" i="6" s="1"/>
  <c r="P31" i="15" l="1"/>
  <c r="N14" i="9"/>
  <c r="P41" i="2" s="1"/>
  <c r="C14" i="9"/>
  <c r="B7" i="20" s="1"/>
  <c r="E41" i="2"/>
  <c r="F34" i="15"/>
  <c r="C7" i="20"/>
  <c r="S14" i="2"/>
  <c r="J27" i="9"/>
  <c r="J86" i="9" s="1"/>
  <c r="J100" i="9"/>
  <c r="J103" i="9" s="1"/>
  <c r="I111" i="24"/>
  <c r="G100" i="9"/>
  <c r="G103" i="9" s="1"/>
  <c r="H27" i="9"/>
  <c r="H86" i="9" s="1"/>
  <c r="H100" i="9"/>
  <c r="K27" i="9"/>
  <c r="K86" i="9" s="1"/>
  <c r="K105" i="9" s="1"/>
  <c r="K100" i="9"/>
  <c r="K103" i="9" s="1"/>
  <c r="M27" i="9"/>
  <c r="M141" i="9" s="1"/>
  <c r="M100" i="9"/>
  <c r="M103" i="9" s="1"/>
  <c r="G27" i="9"/>
  <c r="G141" i="9" s="1"/>
  <c r="L27" i="9"/>
  <c r="L86" i="9" s="1"/>
  <c r="L100" i="9"/>
  <c r="L103" i="9" s="1"/>
  <c r="F27" i="9"/>
  <c r="F141" i="9" s="1"/>
  <c r="F100" i="9"/>
  <c r="F103" i="9" s="1"/>
  <c r="L31" i="15"/>
  <c r="N27" i="9"/>
  <c r="N141" i="9" s="1"/>
  <c r="N100" i="9"/>
  <c r="N103" i="9" s="1"/>
  <c r="Q91" i="24"/>
  <c r="K109" i="24"/>
  <c r="I15" i="9" s="1"/>
  <c r="E27" i="9"/>
  <c r="E86" i="9" s="1"/>
  <c r="E105" i="9" s="1"/>
  <c r="E134" i="9" s="1"/>
  <c r="G111" i="24"/>
  <c r="L111" i="24"/>
  <c r="M111" i="24"/>
  <c r="D15" i="9"/>
  <c r="D100" i="9" s="1"/>
  <c r="D103" i="9" s="1"/>
  <c r="O111" i="24"/>
  <c r="N111" i="24"/>
  <c r="P111" i="24"/>
  <c r="H111" i="24"/>
  <c r="J111" i="24"/>
  <c r="Q61" i="24"/>
  <c r="E46" i="24"/>
  <c r="Q46" i="24" s="1"/>
  <c r="M16" i="15"/>
  <c r="Q45" i="24"/>
  <c r="M11" i="15"/>
  <c r="B11" i="20"/>
  <c r="E11" i="20" s="1" a="1"/>
  <c r="O14" i="9"/>
  <c r="S14" i="9" s="1"/>
  <c r="D13" i="9"/>
  <c r="F41" i="8" s="1"/>
  <c r="K141" i="9" l="1"/>
  <c r="J105" i="9"/>
  <c r="F86" i="9"/>
  <c r="F105" i="9" s="1"/>
  <c r="J141" i="9"/>
  <c r="L105" i="9"/>
  <c r="F111" i="24"/>
  <c r="E7" i="20" a="1"/>
  <c r="E13" i="20" s="1"/>
  <c r="H141" i="9"/>
  <c r="L141" i="9"/>
  <c r="E141" i="9"/>
  <c r="I27" i="9"/>
  <c r="I100" i="9"/>
  <c r="I103" i="9" s="1"/>
  <c r="K111" i="24"/>
  <c r="M86" i="9"/>
  <c r="M105" i="9" s="1"/>
  <c r="G86" i="9"/>
  <c r="G105" i="9" s="1"/>
  <c r="N86" i="9"/>
  <c r="N105" i="9" s="1"/>
  <c r="E109" i="24"/>
  <c r="L34" i="15" s="1"/>
  <c r="M31" i="15"/>
  <c r="M32" i="15"/>
  <c r="D19" i="9"/>
  <c r="Q38" i="2"/>
  <c r="D21" i="9"/>
  <c r="Q40" i="19"/>
  <c r="S64" i="14"/>
  <c r="Q38" i="4"/>
  <c r="R14" i="9"/>
  <c r="U14" i="9"/>
  <c r="Q38" i="16"/>
  <c r="O13" i="9"/>
  <c r="E38" i="1"/>
  <c r="D18" i="9"/>
  <c r="I141" i="9" l="1"/>
  <c r="I86" i="9"/>
  <c r="I105" i="9" s="1"/>
  <c r="S13" i="9"/>
  <c r="O18" i="9"/>
  <c r="S18" i="9" s="1"/>
  <c r="F41" i="4"/>
  <c r="O21" i="9"/>
  <c r="S21" i="9" s="1"/>
  <c r="F39" i="6"/>
  <c r="O19" i="9"/>
  <c r="S19" i="9" s="1"/>
  <c r="F44" i="19"/>
  <c r="C15" i="9"/>
  <c r="Q109" i="24"/>
  <c r="B64" i="14"/>
  <c r="R21" i="9"/>
  <c r="U21" i="9"/>
  <c r="Q36" i="6"/>
  <c r="Q37" i="6" s="1"/>
  <c r="D27" i="9"/>
  <c r="U13" i="9"/>
  <c r="R13" i="9"/>
  <c r="S58" i="14"/>
  <c r="T58" i="14" s="1"/>
  <c r="U58" i="14" s="1"/>
  <c r="R18" i="9"/>
  <c r="U18" i="9"/>
  <c r="U19" i="9" l="1"/>
  <c r="U27" i="9" s="1"/>
  <c r="R19" i="9"/>
  <c r="E111" i="24"/>
  <c r="C100" i="9"/>
  <c r="H103" i="9"/>
  <c r="H105" i="9" s="1"/>
  <c r="B66" i="14"/>
  <c r="B68" i="14"/>
  <c r="B69" i="14" s="1"/>
  <c r="O15" i="9"/>
  <c r="C27" i="9"/>
  <c r="C141" i="9" s="1"/>
  <c r="D86" i="9"/>
  <c r="D105" i="9" s="1"/>
  <c r="D134" i="9" s="1"/>
  <c r="D141" i="9"/>
  <c r="S60" i="14"/>
  <c r="T60" i="14" s="1"/>
  <c r="U60" i="14" s="1"/>
  <c r="S62" i="14"/>
  <c r="R27" i="9"/>
  <c r="R86" i="9" s="1"/>
  <c r="R105" i="9" s="1"/>
  <c r="O100" i="9" l="1"/>
  <c r="S100" i="9" s="1"/>
  <c r="S103" i="9" s="1"/>
  <c r="C103" i="9"/>
  <c r="T62" i="14"/>
  <c r="T64" i="14" s="1"/>
  <c r="U64" i="14" s="1"/>
  <c r="S66" i="14"/>
  <c r="S15" i="9"/>
  <c r="S27" i="9" s="1"/>
  <c r="C86" i="9"/>
  <c r="O141" i="9"/>
  <c r="R15" i="9"/>
  <c r="O27" i="9"/>
  <c r="O86" i="9" s="1"/>
  <c r="C105" i="9" l="1"/>
  <c r="C134" i="9" s="1"/>
  <c r="O103" i="9"/>
  <c r="O105" i="9" s="1"/>
  <c r="U62" i="14"/>
  <c r="V27" i="9"/>
  <c r="S86" i="9"/>
  <c r="S105" i="9" s="1"/>
  <c r="Q86" i="9"/>
  <c r="Q105" i="9" s="1"/>
  <c r="Q134" i="9" s="1"/>
  <c r="F132" i="9"/>
  <c r="F134" i="9" s="1"/>
  <c r="G132" i="9"/>
  <c r="G134" i="9" s="1"/>
  <c r="V105" i="9" l="1"/>
  <c r="H132" i="9"/>
  <c r="H134" i="9" s="1"/>
  <c r="I132" i="9" l="1"/>
  <c r="I134" i="9" s="1"/>
  <c r="J132" i="9" l="1"/>
  <c r="J134" i="9" s="1"/>
  <c r="K132" i="9" l="1"/>
  <c r="K134" i="9" s="1"/>
  <c r="L132" i="9" l="1"/>
  <c r="L134" i="9" s="1"/>
  <c r="M132" i="9" l="1"/>
  <c r="M134" i="9" s="1"/>
  <c r="N132" i="9" l="1"/>
  <c r="N134" i="9" s="1"/>
  <c r="O117" i="9"/>
  <c r="O132" i="9" l="1"/>
  <c r="O134" i="9" s="1"/>
  <c r="S117" i="9"/>
  <c r="S132" i="9" l="1"/>
  <c r="S134" i="9" l="1"/>
  <c r="V132" i="9"/>
  <c r="E11" i="20"/>
  <c r="E10" i="20"/>
  <c r="E9" i="20"/>
  <c r="E8" i="20"/>
  <c r="E7" i="20"/>
  <c r="E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Nayak, Bijaya</author>
  </authors>
  <commentList>
    <comment ref="R28" authorId="0" shapeId="0" xr:uid="{FCEE5A2E-E649-4BBF-A1AD-9D6317EC3A81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 xml:space="preserve">Lease is expired on 8/31/2025; however as per CM ledger rent has been charges as $4,639.93 from 9/1/2025. Please verify and confirm on the renewal option. </t>
        </r>
      </text>
    </comment>
    <comment ref="R29" authorId="0" shapeId="0" xr:uid="{34B72B2E-E986-41C8-915E-70DA8248D237}">
      <text>
        <r>
          <rPr>
            <b/>
            <sz val="9"/>
            <color indexed="81"/>
            <rFont val="Tahoma"/>
            <family val="2"/>
          </rPr>
          <t xml:space="preserve">NMK: </t>
        </r>
        <r>
          <rPr>
            <sz val="9"/>
            <color indexed="81"/>
            <rFont val="Tahoma"/>
            <family val="2"/>
          </rPr>
          <t xml:space="preserve">Lease is expired on 7/31/2025; however as per CM ledger rent has been charges as $7,194.25 from 8/1/2025. Please verify and confirm on the renewal option.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<sst xmlns="http://schemas.openxmlformats.org/spreadsheetml/2006/main" count="2186" uniqueCount="475">
  <si>
    <t>Greenfield Budget Notes</t>
  </si>
  <si>
    <t>Fire Inspections</t>
  </si>
  <si>
    <t>Parking Lot</t>
  </si>
  <si>
    <t>Roof</t>
  </si>
  <si>
    <t>Vendor Changes</t>
  </si>
  <si>
    <t>Notes to Owner</t>
  </si>
  <si>
    <t>Notes for 2025</t>
  </si>
  <si>
    <t>Misc</t>
  </si>
  <si>
    <t>Management Agreement Commenced June 1, 2025</t>
  </si>
  <si>
    <t>YTD - 2026</t>
  </si>
  <si>
    <t>MONTHLY TENANT CHARGES</t>
  </si>
  <si>
    <t>Budget</t>
  </si>
  <si>
    <t>Cash</t>
  </si>
  <si>
    <t>Variance</t>
  </si>
  <si>
    <t>Comments</t>
  </si>
  <si>
    <t>TENANT</t>
  </si>
  <si>
    <t>CAM $550.19 Over Pmt</t>
  </si>
  <si>
    <t>Applied (1,100) CAM credit to charges
PYC $16,038.14 received
STX $401 Paid for prior balance.</t>
  </si>
  <si>
    <t>PYC $6,653.61 received
STX $166.34 received</t>
  </si>
  <si>
    <t xml:space="preserve">
STX $401.00 Budget vs pmt.
PYC $22,691.75 received in Mar'26 &amp; May'26
STX $166.34 received in May'26</t>
  </si>
  <si>
    <t>PYC $1,100.74 received
STX $27.52 received
CAM $27.52 Over Pmt</t>
  </si>
  <si>
    <t>CAM ($27.52) Over pmt applied to current charges</t>
  </si>
  <si>
    <t>PYC $1,100.74 received in May'26
STX $27.52 received in May'26</t>
  </si>
  <si>
    <t>CAM $59.43 Over Pmt</t>
  </si>
  <si>
    <t>CAM credit ($416.01) being applied to BAS &amp; NNN current charges</t>
  </si>
  <si>
    <t>CAM ($271.35) Short Pmt</t>
  </si>
  <si>
    <t>BAS ($74.26) &amp; STX ($1.85) Short Pmt</t>
  </si>
  <si>
    <t>CAM ($345.61) Short Pmt in Jan'26 &amp; June'26
BAS ($222.78) &amp; STX ($7.40) Short Pmt in May'26, June'26 &amp; Aug'26</t>
  </si>
  <si>
    <t>CAM ($116.92) Short Pmt</t>
  </si>
  <si>
    <t>CAM $116.92 01/26 past due paid
CAM $5.02 Over Pmt</t>
  </si>
  <si>
    <t xml:space="preserve">BAS ($42.13) Budget vs Pmt
STX ($1.70) Short Pmt </t>
  </si>
  <si>
    <t>BAS ($42.13) Budget vs Pmt
STX $1.70 received
PYC $68.14 received</t>
  </si>
  <si>
    <t>BAS ($42.13) Budget vs Pmt
STX ($1.05) Budget vs Pmt
CAM $70.01 Over Pmt</t>
  </si>
  <si>
    <t>BAS ($42.13) Budget vs Pmt
STX ($1.05) Budget vs Pmt</t>
  </si>
  <si>
    <t xml:space="preserve">
CAM $75.03 Over Pmt in Feb'26 &amp; June'26
BAS ($210.65) Budget vs Pmt in Apr'26 to Aug'26
PYC $68.14 received in May'26
STX ($3.15) Budget vs Pmt in June'26 to Aug'26</t>
  </si>
  <si>
    <t>John F. Long Foundation</t>
  </si>
  <si>
    <t>ELEC $60.00 Past due paid
SGN ($15.00) No pmt
STX ($0.38) No Pmt</t>
  </si>
  <si>
    <t>SGN ($15.00) No pmt
STX ($0.38) No Pmt</t>
  </si>
  <si>
    <t>SGN $45.00 01/26 to 03/26 past due paid
STX ($0.38) Short Pmt</t>
  </si>
  <si>
    <t>SGN ($15.00) &amp; STX ($0.38) Short Pmt</t>
  </si>
  <si>
    <t>SGN $45.00 past due paid
SGN ($15.00) &amp; STX ($0.38) Short Pmt</t>
  </si>
  <si>
    <t>ELEC $60.00 Past due paid in Jan'26
SGN ($15.00) Short Pmt in Aug'26
STX ($3.64) Short Pmt in from Jan'26 to Aug'26</t>
  </si>
  <si>
    <t>CAM $167.88 Over Pmt</t>
  </si>
  <si>
    <t>CAM $167.88 01/26 past due paid</t>
  </si>
  <si>
    <t>PYC credit applied to BAS ($613.64) &amp; NNN ($1,491.88)
STX ($52.64) Credit applied to current charges</t>
  </si>
  <si>
    <t>BAS ($5,375.40) &amp; NNN ($1,663.57) Budget vs Pmt</t>
  </si>
  <si>
    <t>PYC credit applied to BAS ($613.64) &amp; NNN ($1,491.88) in May'26
STX ($52.64) Credit applied to current charges in May'26
BAS ($5,375.40) &amp; NNN ($1,663.57) Budget vs Pmt in Aug'26</t>
  </si>
  <si>
    <t xml:space="preserve"> </t>
  </si>
  <si>
    <t>CAM ($173.34) Short Pmt</t>
  </si>
  <si>
    <t>BAS ($48.71) Short Pmt 
CAM ($173.34) Short Pmt
STX ($1.21) Short Pmt</t>
  </si>
  <si>
    <t>BAS ($2,484.18) &amp; NNN ($947.02) No Pmt</t>
  </si>
  <si>
    <t>BAS ($48.71) &amp; NNN ($174.55) Short Pmt</t>
  </si>
  <si>
    <t>BAS $2,630.31 &amp; NNN $2,321.77 Past due paid
LAT $39.54 received</t>
  </si>
  <si>
    <t>NNN $331.00 Budget vs Pmt
LAT $39.54 received in Aug'26</t>
  </si>
  <si>
    <t>CAM $425.79 Over Pmt</t>
  </si>
  <si>
    <t>CAM (425.78) Pror month credit applied this month.</t>
  </si>
  <si>
    <t>PYC credit applied to BAS ($3,699.2) &amp; NNN ($312.35)
STX ($100.29) credit applied to current charges</t>
  </si>
  <si>
    <t>PYC credit applied to BAS ($3,699.20) &amp; NNN ($312.35) in May'26
STX ($100.29) credit applied to current charges in May'26</t>
  </si>
  <si>
    <t>PYC $1,530.38 &amp; STX $38.26  received</t>
  </si>
  <si>
    <t>PYC $1,530.38 &amp; STX $38.26  received in July'26</t>
  </si>
  <si>
    <t>Sportsman's Warehouse</t>
  </si>
  <si>
    <t>PYC $127.91 received
STX $3.20 received</t>
  </si>
  <si>
    <t>BAS ($2,447.45) &amp; NNN ($893.05) Short Pmt</t>
  </si>
  <si>
    <t>PYC $127.91 received in May'26
STX $3.20 received in May'26
BAS ($2,447.45) &amp; NNN ($893.05) Short Pmt in Aug'26</t>
  </si>
  <si>
    <t>BAS ($83.02) Short Pmt</t>
  </si>
  <si>
    <t>PYC $397.40 received
BAS $83.02 04/26 past due paid
STX $12.01 received</t>
  </si>
  <si>
    <t>STX $2.00 received</t>
  </si>
  <si>
    <t>PYC $397.40 received in May'26
STX $18.01 received in May'26 to Aug'26</t>
  </si>
  <si>
    <t>BAS ($7,200.00) &amp; NNN ($2,079.61) No Pmt
STX ($231.99) No Budgeted</t>
  </si>
  <si>
    <t>BAS ($7,200.00) &amp; NNN ($2311.60) No Pmt</t>
  </si>
  <si>
    <t>STM $93,000.00 received and not Budgeted
BAS ($7,200.00) 04/26 NC Adjustment
NNN ($2,311.60) 04/26 NC Adjustment</t>
  </si>
  <si>
    <t>BAS ($7,200.00) &amp; NNN ($2,311.60) No Pmt</t>
  </si>
  <si>
    <t>BAS ($50,400.00) &amp; NNN ($15,949.21) No Pmt in Jan'26 to Mar'26 &amp; May'26 to Aug'26
STX ($231.99) No Budgeted in Jan'26
STM $93,000.00 received and not Budgeted in April'26
BAS ($7,200.00) &amp; NNN ($2,311.60) 04/26 NC Adjustment in Apr'26</t>
  </si>
  <si>
    <t>PYC credit applied to ($511.61) &amp; NNN ($544.96)
STX (26.47) credit applied to current charges</t>
  </si>
  <si>
    <t>PYC credit applied to ($511.61) &amp; NNN ($544.96) in May'26
STX (26.47) credit applied to current charges in May'26</t>
  </si>
  <si>
    <t>CAM ($94.00) Short Pmt</t>
  </si>
  <si>
    <t>BAS ($58.53) &amp; STX ($1.47) Short Pmt
CAM ($93.90) Short Pmt</t>
  </si>
  <si>
    <t>BAS ($58.53) &amp; NNN ($95.37) Short Pmt</t>
  </si>
  <si>
    <t>BAS $216.63 Over Pmt</t>
  </si>
  <si>
    <t>BAS $100.00 Over Pmt</t>
  </si>
  <si>
    <t>BAS ($175.59) Short Pmt in Apr'26 to June'26
NNN ($568.11) Short Pmt from Jan'26 to Apr'26 &amp; June'26
BAS $316.63 Over Pmt in July'26 &amp; Aug'26</t>
  </si>
  <si>
    <t>NCA ($400.54) Short Pmt</t>
  </si>
  <si>
    <t>NCA ($400.54) Short Pmt
BAS $6,499.12 Over Pmt</t>
  </si>
  <si>
    <t>BAS ($4,639.93) &amp; NNN ($2,259.73) No Pmt</t>
  </si>
  <si>
    <t>BAS $6,499.12 Over Pmt in Apr'26
BAS ($9,279.86) No Pmt in May'26 &amp; Aug'26
NNN ($6,922.70) Short Pmt from Jan'26 to Apr'26 &amp; June'26 to Aug'26</t>
  </si>
  <si>
    <t>BAS ($6,190.30) &amp; NNN ($1,779.00) No Pmt</t>
  </si>
  <si>
    <t>BAS ($12,380.60) &amp; NNN ($3,558.00) No Pmt in July'26 &amp; Aug'26</t>
  </si>
  <si>
    <t>Walmart</t>
  </si>
  <si>
    <t>SGN ($37.50) Short Pmt</t>
  </si>
  <si>
    <t>STX ($12.50) Short Pmt</t>
  </si>
  <si>
    <t>SGN ($37.50) Short Pmt in Mar'26
STX ($62.50) Short Pmt in Apr'26 to Aug'26</t>
  </si>
  <si>
    <t>Tailgate Bar and Grill LLC</t>
  </si>
  <si>
    <t>BAS $15,516.12 &amp; NNN $3,618.45 Not Budgeted
 MISC credit ($2,500.00) applied to BAS &amp; NNN
ABA ($1,251.30)</t>
  </si>
  <si>
    <t>BAS $15,516.12 &amp; NNN $3,618.45 Not Budgeted in Aug'26
 MISC credit ($2,500.00) applied to BAS &amp; NNN in Aug'26
ABA ($1,251.30) in Aug'26</t>
  </si>
  <si>
    <t>Row Labels</t>
  </si>
  <si>
    <t>Sum of JAN</t>
  </si>
  <si>
    <t>Sum of FEB</t>
  </si>
  <si>
    <t>Sum of MARCH</t>
  </si>
  <si>
    <t>Sum of APRIL</t>
  </si>
  <si>
    <t>Sum of MAY</t>
  </si>
  <si>
    <t>Sum of JUNE</t>
  </si>
  <si>
    <t>Sum of JULY</t>
  </si>
  <si>
    <t>Sum of AUGUST</t>
  </si>
  <si>
    <t>Sum of SEPT</t>
  </si>
  <si>
    <t>Sum of OCT</t>
  </si>
  <si>
    <t>Sum of NOV</t>
  </si>
  <si>
    <t>Sum of DEC</t>
  </si>
  <si>
    <t>Adapt Chiropractic</t>
  </si>
  <si>
    <t>AT&amp;T Mobility</t>
  </si>
  <si>
    <t>Brightnow Dental</t>
  </si>
  <si>
    <t>Carr Animal Care</t>
  </si>
  <si>
    <t>CrossFit New Strength</t>
  </si>
  <si>
    <t>Discount Nutrition</t>
  </si>
  <si>
    <t>EOS Fitness</t>
  </si>
  <si>
    <t>Green Spa, LLC</t>
  </si>
  <si>
    <t>Kachina Stained Glass</t>
  </si>
  <si>
    <t>Razors Barber Shop</t>
  </si>
  <si>
    <t xml:space="preserve">Sally Beauty Supply </t>
  </si>
  <si>
    <t>Speakeasy Suites</t>
  </si>
  <si>
    <t>Third Pasrty MVS</t>
  </si>
  <si>
    <t>Vacant (Time Out Bar)</t>
  </si>
  <si>
    <t>Wild Side Smoke Shop</t>
  </si>
  <si>
    <t>Zanders Creations</t>
  </si>
  <si>
    <t>Grand Total</t>
  </si>
  <si>
    <t>Final Total</t>
  </si>
  <si>
    <t>Summary</t>
  </si>
  <si>
    <t>Difference</t>
  </si>
  <si>
    <t>Tenant Name</t>
  </si>
  <si>
    <t>Particulars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</si>
  <si>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</si>
  <si>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</si>
  <si>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</si>
  <si>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</si>
  <si>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</si>
  <si>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</si>
  <si>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</si>
  <si>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</si>
  <si>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</t>
  </si>
  <si>
    <t>OCT</t>
  </si>
  <si>
    <t>NOV</t>
  </si>
  <si>
    <t>DEC</t>
  </si>
  <si>
    <t>Rent</t>
  </si>
  <si>
    <t>CAM</t>
  </si>
  <si>
    <t>Building Exp</t>
  </si>
  <si>
    <t>Ins</t>
  </si>
  <si>
    <t>Admin Fee</t>
  </si>
  <si>
    <t>RET</t>
  </si>
  <si>
    <t>Signage</t>
  </si>
  <si>
    <t>S Tax</t>
  </si>
  <si>
    <t>ATHENA PROPERTY MANAGEMENT</t>
  </si>
  <si>
    <t>GREENFIELD GATEWAY MESA, ARIZONA</t>
  </si>
  <si>
    <t>PROJECT NO. 801</t>
  </si>
  <si>
    <t>Date Revised:</t>
  </si>
  <si>
    <t>01/01/26-12/31/26</t>
  </si>
  <si>
    <t>2026 OPERATING BUDGET</t>
  </si>
  <si>
    <t>GENERAL</t>
  </si>
  <si>
    <t>BUDGET</t>
  </si>
  <si>
    <t>VARIANCE</t>
  </si>
  <si>
    <t>DENOM.</t>
  </si>
  <si>
    <t>COST</t>
  </si>
  <si>
    <t>LEDGER</t>
  </si>
  <si>
    <t>DESCRIPTION</t>
  </si>
  <si>
    <t>FORECAST</t>
  </si>
  <si>
    <t>$ PSF</t>
  </si>
  <si>
    <t>2026 BUDGET vs.</t>
  </si>
  <si>
    <t>SQUARE</t>
  </si>
  <si>
    <t>PER</t>
  </si>
  <si>
    <t>% Change</t>
  </si>
  <si>
    <t>CODE</t>
  </si>
  <si>
    <t>TOTALS</t>
  </si>
  <si>
    <t>2025 FORECAST</t>
  </si>
  <si>
    <t>FOOTG.</t>
  </si>
  <si>
    <t>SQ. FT.</t>
  </si>
  <si>
    <t>As of 9/13</t>
  </si>
  <si>
    <t>INCOME</t>
  </si>
  <si>
    <t>Rental Income</t>
  </si>
  <si>
    <t>Common Area</t>
  </si>
  <si>
    <t>State and County Rental Tax 3%</t>
  </si>
  <si>
    <t>Prior Year CAM</t>
  </si>
  <si>
    <t xml:space="preserve">Building CAM </t>
  </si>
  <si>
    <t>Insurance Income</t>
  </si>
  <si>
    <t>Property Tax Income</t>
  </si>
  <si>
    <t>Miscellaneous Income</t>
  </si>
  <si>
    <t>Administrative Fee Income</t>
  </si>
  <si>
    <t>Sign Income</t>
  </si>
  <si>
    <t>Deferred CAM Recovery</t>
  </si>
  <si>
    <t>Late Charge Income</t>
  </si>
  <si>
    <t>Rent Abatement</t>
  </si>
  <si>
    <t>Investment Interest</t>
  </si>
  <si>
    <t>TOTAL INCOME</t>
  </si>
  <si>
    <t>COMMON AREA EXPENSES</t>
  </si>
  <si>
    <t>Landscape- Tree Trimming</t>
  </si>
  <si>
    <t>Landscape Consumables</t>
  </si>
  <si>
    <t>Sprinkler Repairs</t>
  </si>
  <si>
    <t>Landscape Maintenance</t>
  </si>
  <si>
    <t>Parking Lot Light Maintenance</t>
  </si>
  <si>
    <t>Parking Lot Repairs</t>
  </si>
  <si>
    <t>Parking Lot Light Repairs</t>
  </si>
  <si>
    <t>General Maintenance</t>
  </si>
  <si>
    <t>Miscellaneous Maintenance</t>
  </si>
  <si>
    <t>Day Porter</t>
  </si>
  <si>
    <t>Janitorial Supplies</t>
  </si>
  <si>
    <t>Pest Control</t>
  </si>
  <si>
    <t xml:space="preserve">Security </t>
  </si>
  <si>
    <t>Management Fee</t>
  </si>
  <si>
    <t>Sidewalk Maintenance</t>
  </si>
  <si>
    <t xml:space="preserve">Sign Maintenance </t>
  </si>
  <si>
    <t>Sweeping</t>
  </si>
  <si>
    <t>Electrical Repairs/CAM</t>
  </si>
  <si>
    <t>Painting</t>
  </si>
  <si>
    <t>Electric/Common Area</t>
  </si>
  <si>
    <t>Water/Common Area</t>
  </si>
  <si>
    <t>Water/Fire Department</t>
  </si>
  <si>
    <t>Roof Repairs - AMORTIZATION</t>
  </si>
  <si>
    <t>SUBTOTAL COMMON AREA</t>
  </si>
  <si>
    <t>BUILDING EXPENSE</t>
  </si>
  <si>
    <t>Roof Maintenance</t>
  </si>
  <si>
    <t>Roof Repairs</t>
  </si>
  <si>
    <t>Monitor Fire Sprinklers</t>
  </si>
  <si>
    <t>Fire Protection Repairs</t>
  </si>
  <si>
    <t>Backflow Maintenance</t>
  </si>
  <si>
    <t>Backflow Repairs</t>
  </si>
  <si>
    <t>Trash Removal</t>
  </si>
  <si>
    <t>Water/Building</t>
  </si>
  <si>
    <t>SUBTOTAL BUILDING EXP.</t>
  </si>
  <si>
    <t>INSURANCE</t>
  </si>
  <si>
    <t>Insurance - Property</t>
  </si>
  <si>
    <t>Insurance is impounded by lender; used 2025 actual policy + 110%</t>
  </si>
  <si>
    <t>Insurance - Liability</t>
  </si>
  <si>
    <t>Insurance - Umbrella</t>
  </si>
  <si>
    <t>Insurance - Flood &amp; Earthquake</t>
  </si>
  <si>
    <t>SUBTOTAL INSURANCE</t>
  </si>
  <si>
    <t>PROPERTY TAXES</t>
  </si>
  <si>
    <t>Property Tax</t>
  </si>
  <si>
    <t>Taxes are impunded by lender</t>
  </si>
  <si>
    <t>SUBTOTAL TAXES</t>
  </si>
  <si>
    <t>Deduct Amortizations</t>
  </si>
  <si>
    <t>TOTAL COMMON AREA</t>
  </si>
  <si>
    <t>GROSS CASH FLOW</t>
  </si>
  <si>
    <t>OWNER EXPENSE</t>
  </si>
  <si>
    <t>General Repairs and Maint.</t>
  </si>
  <si>
    <t>Legal Fees</t>
  </si>
  <si>
    <t>Other Professional Fees</t>
  </si>
  <si>
    <t>General and Administrative</t>
  </si>
  <si>
    <t>Other Expenses</t>
  </si>
  <si>
    <t>NMK: Included as per Forecast Report</t>
  </si>
  <si>
    <t>Utilities Expense</t>
  </si>
  <si>
    <t>Bank Charges</t>
  </si>
  <si>
    <t>License &amp; Permit Fees</t>
  </si>
  <si>
    <t>Ground Rent</t>
  </si>
  <si>
    <t>State Franchise Taxes</t>
  </si>
  <si>
    <t>Property Tax-Owner</t>
  </si>
  <si>
    <t>CITY SALES TAX</t>
  </si>
  <si>
    <t>Pass Through Entity Tax</t>
  </si>
  <si>
    <t>TOTAL OWNER EXPENSE</t>
  </si>
  <si>
    <t>NET OPERATING INCOME</t>
  </si>
  <si>
    <t>INTEREST EXPENSE</t>
  </si>
  <si>
    <t>Interest Expense - PNC</t>
  </si>
  <si>
    <t>Interest Expense - Second Loan</t>
  </si>
  <si>
    <t>Interest Expense - Mega Bank</t>
  </si>
  <si>
    <t>TOTAL INTEREST EXPENSE</t>
  </si>
  <si>
    <t>CAPITAL EXPENSES</t>
  </si>
  <si>
    <t>Escrow-Property Tax</t>
  </si>
  <si>
    <t>Escrow numbers provided by Athena Accounting</t>
  </si>
  <si>
    <t>Escrow - Capital Improvement</t>
  </si>
  <si>
    <t>Escrow-Insurance</t>
  </si>
  <si>
    <t>Escrow-Other (Reserves)</t>
  </si>
  <si>
    <t>Tenant Improvements</t>
  </si>
  <si>
    <t>$20psf for Time Out Bar Replacement</t>
  </si>
  <si>
    <t>Capital Improvements</t>
  </si>
  <si>
    <t>Leasing Commissions</t>
  </si>
  <si>
    <t>Lease Commission for Time Out Bar Replacement</t>
  </si>
  <si>
    <t>Note Payable - PNC</t>
  </si>
  <si>
    <t>Loan Deposit</t>
  </si>
  <si>
    <t>Miscellaneous Deposits</t>
  </si>
  <si>
    <t>Closing Costs</t>
  </si>
  <si>
    <t>Owner's Distribution</t>
  </si>
  <si>
    <t>Owner's Contribution</t>
  </si>
  <si>
    <t>Note Payable - Second Loan</t>
  </si>
  <si>
    <t>TOTAL CAPITAL EXPENSES</t>
  </si>
  <si>
    <t>NET CASH FLOW</t>
  </si>
  <si>
    <t>Management Fee Calculation</t>
  </si>
  <si>
    <t>3% or $4,000</t>
  </si>
  <si>
    <t>Lease commission - Time Out</t>
  </si>
  <si>
    <t>AMORTIZED PROJECTS</t>
  </si>
  <si>
    <t>GL CODE</t>
  </si>
  <si>
    <t>TOTAL PROJECT COST</t>
  </si>
  <si>
    <t>COST PER YR</t>
  </si>
  <si>
    <t># OF YEARS</t>
  </si>
  <si>
    <t>DATES</t>
  </si>
  <si>
    <t>NOTES</t>
  </si>
  <si>
    <t>2020-2028</t>
  </si>
  <si>
    <t xml:space="preserve">$18,500 billed in 2020; </t>
  </si>
  <si>
    <t>Cameras</t>
  </si>
  <si>
    <t>N/A</t>
  </si>
  <si>
    <t>2020-2024</t>
  </si>
  <si>
    <t>Project completed</t>
  </si>
  <si>
    <t>CAP-EX</t>
  </si>
  <si>
    <t>ACTUAL</t>
  </si>
  <si>
    <t>PROJECTED</t>
  </si>
  <si>
    <t>past / project future projects</t>
  </si>
  <si>
    <t>Monument Sign upgrade</t>
  </si>
  <si>
    <t>Electrical/Lighting</t>
  </si>
  <si>
    <t>Paint</t>
  </si>
  <si>
    <t>Landscape</t>
  </si>
  <si>
    <t>HVAC</t>
  </si>
  <si>
    <t>Plumbing</t>
  </si>
  <si>
    <t>Parking lot Slurry</t>
  </si>
  <si>
    <t>MAINTENANCE TRACKING</t>
  </si>
  <si>
    <t>COMPLETED</t>
  </si>
  <si>
    <t>DUE</t>
  </si>
  <si>
    <t>VENDOR</t>
  </si>
  <si>
    <t>5-Year Fire Inspection</t>
  </si>
  <si>
    <t>TBD</t>
  </si>
  <si>
    <t>Slurry Seal</t>
  </si>
  <si>
    <t>LED</t>
  </si>
  <si>
    <t>SUITE</t>
  </si>
  <si>
    <t>RATE</t>
  </si>
  <si>
    <t>#</t>
  </si>
  <si>
    <t>FOOTAGE</t>
  </si>
  <si>
    <t>BASE RENT</t>
  </si>
  <si>
    <t>Major A</t>
  </si>
  <si>
    <t>Next increase 5/1/2029 for $58,231.00 or 1.66 Psf</t>
  </si>
  <si>
    <t>B101</t>
  </si>
  <si>
    <t>Rent increase 10/1/2026 $6,376.01 or 2.13 Psf</t>
  </si>
  <si>
    <t>B103</t>
  </si>
  <si>
    <t>Next increase 12/1/2027 (fixed for 2 years)</t>
  </si>
  <si>
    <t>B104</t>
  </si>
  <si>
    <t>Rent increase 5/1/2026 $2,549.69 or 1.82 Psf</t>
  </si>
  <si>
    <t>B105</t>
  </si>
  <si>
    <t>Lease expires 3/31/2026 OPT 4/1/2026 for $2,148.54 or 1.93 Psf</t>
  </si>
  <si>
    <t>B106</t>
  </si>
  <si>
    <t>Lease Expires 3/31/2026 OPT 4/1/2026 FMV</t>
  </si>
  <si>
    <t>B108</t>
  </si>
  <si>
    <t>Rent increase 4/1/2026 $2,484.18 or 1.66 Psf</t>
  </si>
  <si>
    <t>B109</t>
  </si>
  <si>
    <t>2nd Amendment executed; rent fixed through expiration</t>
  </si>
  <si>
    <t>B111</t>
  </si>
  <si>
    <t>Expires on 10/31/2026 OPT 11/1/2026 for $6,028.23 or 1.55 Psf</t>
  </si>
  <si>
    <t>Rent increase on 7/1/2026 $2,447.45 or 1.90 Psf</t>
  </si>
  <si>
    <t>Lease expires 3/31/2026 OPT 4/1/2026 for $2,850.08 or 1.74 Psf</t>
  </si>
  <si>
    <t>Lease expires 12/31/2027 OPT 1/1/2028 for $7,200.00 or 2.00 Psf</t>
  </si>
  <si>
    <t>Rent increase 10/1/2026 $3,200.45 or 2.02 Psf</t>
  </si>
  <si>
    <t>Rent increase 4/1/2026 $2,009.41 or 1.55 Psf</t>
  </si>
  <si>
    <t>Lease expired 8/31/2025; Tenant is MTM</t>
  </si>
  <si>
    <t>Tenant Vacated - Assuming new tenant in July</t>
  </si>
  <si>
    <t>Less EOS</t>
  </si>
  <si>
    <t>NMK Tie-Out</t>
  </si>
  <si>
    <t>DEFERRED RENT RECOVERY</t>
  </si>
  <si>
    <t>None at this time</t>
  </si>
  <si>
    <t>DEFERRED CAM RECOVERY</t>
  </si>
  <si>
    <t xml:space="preserve">% OF </t>
  </si>
  <si>
    <t>TOTALS (2014)</t>
  </si>
  <si>
    <t>Current</t>
  </si>
  <si>
    <t>TOTAL</t>
  </si>
  <si>
    <t>COMMON AREA MAINTENANCE</t>
  </si>
  <si>
    <t>TOTAL CAM</t>
  </si>
  <si>
    <t>RECAPTURE</t>
  </si>
  <si>
    <t>Variance due to Vacancy and Slippage from CAM Caps for EOS, Sally's, AT&amp;T, Adapt, Bright Now, Carr Animal Care, Razors</t>
  </si>
  <si>
    <t>SQ FT</t>
  </si>
  <si>
    <t>BUILDING EXPENSES</t>
  </si>
  <si>
    <t>TOTAL BLDG</t>
  </si>
  <si>
    <t>Building is included in CAM for tenants with Caps</t>
  </si>
  <si>
    <t>Sally's, AT&amp;T, Adapt, Brightnow, Carr, Razors</t>
  </si>
  <si>
    <t xml:space="preserve">     Vacancy rate</t>
  </si>
  <si>
    <t>PRORATA</t>
  </si>
  <si>
    <t>SHARE</t>
  </si>
  <si>
    <t>TOTAL INS</t>
  </si>
  <si>
    <t>Slippage due to Vacancy</t>
  </si>
  <si>
    <t>ADMINISTRATIVE FEES</t>
  </si>
  <si>
    <t>excluding tax, ins, utilities, security</t>
  </si>
  <si>
    <t>3% of Minimum Annual Rent</t>
  </si>
  <si>
    <t>TOTAL ADM</t>
  </si>
  <si>
    <t>RE Tax</t>
  </si>
  <si>
    <t>TOTAL RE Tax</t>
  </si>
  <si>
    <t>Slippage due to vacancy</t>
  </si>
  <si>
    <t>NAP</t>
  </si>
  <si>
    <t xml:space="preserve">TOTAL Signage </t>
  </si>
  <si>
    <t>YEARLY TOTAL</t>
  </si>
  <si>
    <t>Rental Sales Tax</t>
  </si>
  <si>
    <t xml:space="preserve">- </t>
  </si>
  <si>
    <t>Total Monthly Charges</t>
  </si>
  <si>
    <t>Total Tax</t>
  </si>
  <si>
    <t>Sales  Tax</t>
  </si>
  <si>
    <t>Total</t>
  </si>
  <si>
    <t>Sales Tax</t>
  </si>
  <si>
    <t xml:space="preserve"> - </t>
  </si>
  <si>
    <t>Signage Only</t>
  </si>
  <si>
    <t xml:space="preserve">Grand Total </t>
  </si>
  <si>
    <t>See Rent Tab - Matches Total</t>
  </si>
  <si>
    <t xml:space="preserve">-   </t>
  </si>
  <si>
    <t xml:space="preserve"> -   </t>
  </si>
  <si>
    <t>ANN</t>
  </si>
  <si>
    <t>MON</t>
  </si>
  <si>
    <t>ESTIMATED MONTHLY SQUARE FOOTAGE OCCUPIED</t>
  </si>
  <si>
    <t>LEASE ID</t>
  </si>
  <si>
    <t>SF</t>
  </si>
  <si>
    <t>RENT</t>
  </si>
  <si>
    <t>BUILDING
EXPENSES
(NCA)</t>
  </si>
  <si>
    <t>ADMIN</t>
  </si>
  <si>
    <t>RE TAX</t>
  </si>
  <si>
    <t>INSUR</t>
  </si>
  <si>
    <t>SIGNAGE</t>
  </si>
  <si>
    <t>SALES TAX</t>
  </si>
  <si>
    <r>
      <t>TOTAL OTHER CHARGES</t>
    </r>
    <r>
      <rPr>
        <b/>
        <sz val="11"/>
        <color theme="8"/>
        <rFont val="Calibri"/>
        <family val="2"/>
        <scheme val="minor"/>
      </rPr>
      <t xml:space="preserve"> </t>
    </r>
    <r>
      <rPr>
        <b/>
        <sz val="11"/>
        <color rgb="FF00B0F0"/>
        <rFont val="Calibri"/>
        <family val="2"/>
        <scheme val="minor"/>
      </rPr>
      <t>(2026)</t>
    </r>
  </si>
  <si>
    <t>CURRENT OTHER CHARGES (2015)</t>
  </si>
  <si>
    <t>CURRENT 2025
BILLINGS</t>
  </si>
  <si>
    <t>CAM CAP</t>
  </si>
  <si>
    <t>DO NOT BILL - FOR LEASING NUMBERS ONLY</t>
  </si>
  <si>
    <t>Signange only</t>
  </si>
  <si>
    <t>APPROVALS:</t>
  </si>
  <si>
    <t>NMK Tie-out</t>
  </si>
  <si>
    <t>due to TimeOut Bar</t>
  </si>
  <si>
    <t>Janina Silva</t>
  </si>
  <si>
    <t>Date</t>
  </si>
  <si>
    <t>Accounting</t>
  </si>
  <si>
    <t>EXPENSES</t>
  </si>
  <si>
    <t>ANNUAL TOTAL</t>
  </si>
  <si>
    <t>TOTAL RECOVERY</t>
  </si>
  <si>
    <t>% DIFFERENCE</t>
  </si>
  <si>
    <t>CAM CAP SLIPPAGE</t>
  </si>
  <si>
    <t>ADMIN FEES</t>
  </si>
  <si>
    <t>GRAND TOTAL</t>
  </si>
  <si>
    <t>NMK - SUMM 2026 Budget Total (CAM, BUILDING EXP, TAX &amp; Ins)</t>
  </si>
  <si>
    <t>NMK - Total Due from TENANT CHARGES</t>
  </si>
  <si>
    <t>Tenant:</t>
  </si>
  <si>
    <t>Unit Number:</t>
  </si>
  <si>
    <t>Square Footage:</t>
  </si>
  <si>
    <t>Adm.</t>
  </si>
  <si>
    <t>Center</t>
  </si>
  <si>
    <t>Less</t>
  </si>
  <si>
    <t>Billable</t>
  </si>
  <si>
    <t>Tenant</t>
  </si>
  <si>
    <t>Fee</t>
  </si>
  <si>
    <t>G.L. Code</t>
  </si>
  <si>
    <t>Description</t>
  </si>
  <si>
    <t>Exclusions</t>
  </si>
  <si>
    <t>Amount</t>
  </si>
  <si>
    <t>Pro-Rata</t>
  </si>
  <si>
    <t>Due</t>
  </si>
  <si>
    <t>Denominator</t>
  </si>
  <si>
    <t>Amount Billable to Tenant</t>
  </si>
  <si>
    <t>Tenant Open</t>
  </si>
  <si>
    <t>Center Open</t>
  </si>
  <si>
    <t>% of Liability</t>
  </si>
  <si>
    <t>Percentage of Center Occupancy</t>
  </si>
  <si>
    <t>CAM Cap 5%</t>
  </si>
  <si>
    <t>2025 CAP</t>
  </si>
  <si>
    <t>2026 Cap</t>
  </si>
  <si>
    <t>Uncontrollable</t>
  </si>
  <si>
    <t>Capped</t>
  </si>
  <si>
    <t>TOTAL EXPENSES</t>
  </si>
  <si>
    <t>2023 CAP</t>
  </si>
  <si>
    <t>Slippage</t>
  </si>
  <si>
    <t>2024 CAP</t>
  </si>
  <si>
    <t>estimate</t>
  </si>
  <si>
    <t>2026 CAP</t>
  </si>
  <si>
    <t>DATE:</t>
  </si>
  <si>
    <t>2025 cap</t>
  </si>
  <si>
    <t>CAM Cap 10%</t>
  </si>
  <si>
    <t xml:space="preserve">Monthly </t>
  </si>
  <si>
    <t>***NOT BILLING CAP UNDER NEW LEASE</t>
  </si>
  <si>
    <t>Section 4.5</t>
  </si>
  <si>
    <t>Section 4.4</t>
  </si>
  <si>
    <t>Section 4.3</t>
  </si>
  <si>
    <t>Section 3.3</t>
  </si>
  <si>
    <t>Checks and Balances</t>
  </si>
  <si>
    <t>January</t>
  </si>
  <si>
    <t>Tab</t>
  </si>
  <si>
    <t>Tenant Charges</t>
  </si>
  <si>
    <t>Base Rent</t>
  </si>
  <si>
    <t>Building Expenses</t>
  </si>
  <si>
    <t>Insurance</t>
  </si>
  <si>
    <t>Tax</t>
  </si>
  <si>
    <t>Budget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</si>
</sst>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_);_(* \(#,##0.00\);_(* &quot;-&quot;_);_(@_)"/>
    <numFmt numFmtId="166" formatCode="&quot;$&quot;#,##0.00"/>
    <numFmt numFmtId="167" formatCode="mm/dd/yy;@"/>
    <numFmt numFmtId="168" formatCode="0.0%"/>
  </numFmts>
  <fonts count="48">
    <font>
      <sz val="10"/>
      <name val="Geneva"/>
    </font>
    <font>
      <b/>
      <sz val="10"/>
      <name val="Geneva"/>
    </font>
    <font>
      <sz val="8"/>
      <color indexed="81"/>
      <name val="Tahoma"/>
      <family val="2"/>
    </font>
    <font>
      <sz val="10"/>
      <name val="Geneva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Geneva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sz val="10"/>
      <name val="Times"/>
      <family val="1"/>
    </font>
    <font>
      <b/>
      <sz val="11"/>
      <name val="Calibri"/>
      <family val="2"/>
      <scheme val="minor"/>
    </font>
    <font>
      <shadow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indexed="10"/>
      <name val="Calibri"/>
      <family val="2"/>
      <scheme val="minor"/>
    </font>
    <font>
      <outline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Geneva"/>
    </font>
    <font>
      <shadow/>
      <sz val="11"/>
      <name val="Calibri"/>
      <family val="2"/>
    </font>
    <font>
      <b/>
      <i/>
      <sz val="11"/>
      <name val="Calibri"/>
      <family val="2"/>
    </font>
    <font>
      <b/>
      <sz val="11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DE9D9"/>
        <bgColor rgb="FF000000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4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9" fillId="0" borderId="0"/>
  </cellStyleXfs>
  <cellXfs count="644">
    <xf numFmtId="0" fontId="0" fillId="0" borderId="0" xfId="0"/>
    <xf numFmtId="0" fontId="3" fillId="0" borderId="0" xfId="0" applyFont="1"/>
    <xf numFmtId="0" fontId="14" fillId="0" borderId="0" xfId="0" applyFont="1"/>
    <xf numFmtId="0" fontId="14" fillId="0" borderId="20" xfId="0" applyFont="1" applyBorder="1"/>
    <xf numFmtId="0" fontId="14" fillId="0" borderId="21" xfId="0" applyFont="1" applyBorder="1" applyAlignment="1">
      <alignment wrapText="1"/>
    </xf>
    <xf numFmtId="0" fontId="14" fillId="0" borderId="22" xfId="0" applyFont="1" applyBorder="1"/>
    <xf numFmtId="0" fontId="14" fillId="0" borderId="23" xfId="0" applyFont="1" applyBorder="1"/>
    <xf numFmtId="0" fontId="14" fillId="0" borderId="24" xfId="0" applyFont="1" applyBorder="1"/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23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5" fillId="0" borderId="0" xfId="0" applyFont="1"/>
    <xf numFmtId="0" fontId="17" fillId="14" borderId="15" xfId="0" applyFont="1" applyFill="1" applyBorder="1"/>
    <xf numFmtId="0" fontId="17" fillId="14" borderId="0" xfId="0" applyFont="1" applyFill="1" applyAlignment="1">
      <alignment horizontal="center"/>
    </xf>
    <xf numFmtId="44" fontId="17" fillId="14" borderId="0" xfId="2" applyFont="1" applyFill="1" applyBorder="1" applyAlignment="1">
      <alignment horizontal="center"/>
    </xf>
    <xf numFmtId="0" fontId="17" fillId="14" borderId="16" xfId="0" applyFont="1" applyFill="1" applyBorder="1"/>
    <xf numFmtId="0" fontId="5" fillId="0" borderId="15" xfId="0" applyFont="1" applyBorder="1"/>
    <xf numFmtId="0" fontId="5" fillId="0" borderId="0" xfId="0" applyFont="1" applyAlignment="1">
      <alignment horizontal="center"/>
    </xf>
    <xf numFmtId="44" fontId="5" fillId="0" borderId="0" xfId="2" applyFont="1" applyBorder="1" applyAlignment="1">
      <alignment horizontal="center"/>
    </xf>
    <xf numFmtId="0" fontId="5" fillId="0" borderId="16" xfId="0" applyFont="1" applyBorder="1"/>
    <xf numFmtId="0" fontId="5" fillId="0" borderId="11" xfId="0" applyFont="1" applyBorder="1"/>
    <xf numFmtId="0" fontId="5" fillId="0" borderId="4" xfId="0" applyFont="1" applyBorder="1" applyAlignment="1">
      <alignment horizontal="center"/>
    </xf>
    <xf numFmtId="44" fontId="5" fillId="0" borderId="4" xfId="2" applyFont="1" applyBorder="1" applyAlignment="1">
      <alignment horizontal="center"/>
    </xf>
    <xf numFmtId="0" fontId="5" fillId="0" borderId="12" xfId="0" applyFont="1" applyBorder="1"/>
    <xf numFmtId="0" fontId="18" fillId="14" borderId="15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8" fillId="14" borderId="16" xfId="0" applyFont="1" applyFill="1" applyBorder="1" applyAlignment="1">
      <alignment horizontal="center" vertical="center"/>
    </xf>
    <xf numFmtId="44" fontId="9" fillId="0" borderId="0" xfId="2" applyFont="1" applyAlignment="1">
      <alignment horizontal="center"/>
    </xf>
    <xf numFmtId="44" fontId="5" fillId="0" borderId="0" xfId="2" applyFont="1" applyAlignment="1">
      <alignment horizontal="center"/>
    </xf>
    <xf numFmtId="44" fontId="9" fillId="0" borderId="0" xfId="2" applyFont="1" applyBorder="1" applyAlignment="1">
      <alignment horizontal="center"/>
    </xf>
    <xf numFmtId="0" fontId="17" fillId="14" borderId="0" xfId="0" applyFont="1" applyFill="1"/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44" fontId="9" fillId="12" borderId="0" xfId="2" applyFont="1" applyFill="1" applyAlignment="1">
      <alignment horizontal="center"/>
    </xf>
    <xf numFmtId="0" fontId="9" fillId="0" borderId="16" xfId="0" applyFont="1" applyBorder="1" applyAlignment="1">
      <alignment wrapText="1"/>
    </xf>
    <xf numFmtId="0" fontId="14" fillId="0" borderId="21" xfId="0" applyFont="1" applyBorder="1"/>
    <xf numFmtId="0" fontId="14" fillId="0" borderId="16" xfId="0" applyFont="1" applyBorder="1" applyAlignment="1">
      <alignment wrapText="1"/>
    </xf>
    <xf numFmtId="0" fontId="14" fillId="0" borderId="0" xfId="0" applyFont="1" applyAlignment="1">
      <alignment horizontal="right"/>
    </xf>
    <xf numFmtId="14" fontId="14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0" fillId="2" borderId="1" xfId="0" applyFont="1" applyFill="1" applyBorder="1"/>
    <xf numFmtId="0" fontId="14" fillId="2" borderId="1" xfId="0" applyFont="1" applyFill="1" applyBorder="1"/>
    <xf numFmtId="0" fontId="20" fillId="2" borderId="2" xfId="0" applyFont="1" applyFill="1" applyBorder="1" applyAlignment="1">
      <alignment horizontal="center"/>
    </xf>
    <xf numFmtId="0" fontId="20" fillId="2" borderId="3" xfId="0" applyFont="1" applyFill="1" applyBorder="1"/>
    <xf numFmtId="0" fontId="20" fillId="2" borderId="3" xfId="0" applyFont="1" applyFill="1" applyBorder="1" applyAlignment="1">
      <alignment horizontal="center"/>
    </xf>
    <xf numFmtId="0" fontId="22" fillId="0" borderId="8" xfId="0" applyFont="1" applyBorder="1"/>
    <xf numFmtId="0" fontId="14" fillId="0" borderId="9" xfId="0" applyFont="1" applyBorder="1"/>
    <xf numFmtId="3" fontId="14" fillId="0" borderId="9" xfId="0" applyNumberFormat="1" applyFont="1" applyBorder="1" applyAlignment="1">
      <alignment horizontal="center"/>
    </xf>
    <xf numFmtId="3" fontId="14" fillId="0" borderId="10" xfId="0" applyNumberFormat="1" applyFont="1" applyBorder="1" applyAlignment="1">
      <alignment horizontal="center"/>
    </xf>
    <xf numFmtId="0" fontId="20" fillId="0" borderId="0" xfId="0" applyFont="1"/>
    <xf numFmtId="0" fontId="14" fillId="0" borderId="15" xfId="0" applyFont="1" applyBorder="1"/>
    <xf numFmtId="0" fontId="14" fillId="0" borderId="16" xfId="0" applyFont="1" applyBorder="1"/>
    <xf numFmtId="0" fontId="20" fillId="0" borderId="8" xfId="0" applyFont="1" applyBorder="1"/>
    <xf numFmtId="0" fontId="14" fillId="0" borderId="9" xfId="0" applyFont="1" applyBorder="1" applyAlignment="1">
      <alignment horizontal="center"/>
    </xf>
    <xf numFmtId="3" fontId="14" fillId="0" borderId="9" xfId="0" applyNumberFormat="1" applyFont="1" applyBorder="1" applyAlignment="1">
      <alignment horizontal="right"/>
    </xf>
    <xf numFmtId="165" fontId="14" fillId="0" borderId="9" xfId="0" applyNumberFormat="1" applyFont="1" applyBorder="1" applyAlignment="1">
      <alignment horizontal="right"/>
    </xf>
    <xf numFmtId="41" fontId="14" fillId="0" borderId="10" xfId="0" applyNumberFormat="1" applyFont="1" applyBorder="1" applyAlignment="1">
      <alignment horizontal="right"/>
    </xf>
    <xf numFmtId="0" fontId="20" fillId="0" borderId="15" xfId="0" applyFont="1" applyBorder="1"/>
    <xf numFmtId="0" fontId="14" fillId="0" borderId="0" xfId="0" applyFont="1" applyAlignment="1">
      <alignment horizontal="center"/>
    </xf>
    <xf numFmtId="3" fontId="14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41" fontId="14" fillId="0" borderId="16" xfId="0" applyNumberFormat="1" applyFont="1" applyBorder="1" applyAlignment="1">
      <alignment horizontal="right"/>
    </xf>
    <xf numFmtId="0" fontId="20" fillId="0" borderId="11" xfId="0" applyFont="1" applyBorder="1"/>
    <xf numFmtId="0" fontId="14" fillId="0" borderId="4" xfId="0" applyFont="1" applyBorder="1" applyAlignment="1">
      <alignment horizontal="center"/>
    </xf>
    <xf numFmtId="3" fontId="20" fillId="0" borderId="5" xfId="0" applyNumberFormat="1" applyFont="1" applyBorder="1" applyAlignment="1">
      <alignment horizontal="right"/>
    </xf>
    <xf numFmtId="165" fontId="20" fillId="0" borderId="6" xfId="0" applyNumberFormat="1" applyFont="1" applyBorder="1" applyAlignment="1">
      <alignment horizontal="right"/>
    </xf>
    <xf numFmtId="41" fontId="20" fillId="0" borderId="7" xfId="0" applyNumberFormat="1" applyFont="1" applyBorder="1" applyAlignment="1">
      <alignment horizontal="right"/>
    </xf>
    <xf numFmtId="41" fontId="14" fillId="0" borderId="0" xfId="0" applyNumberFormat="1" applyFont="1" applyAlignment="1">
      <alignment horizontal="right"/>
    </xf>
    <xf numFmtId="0" fontId="14" fillId="0" borderId="11" xfId="0" applyFont="1" applyBorder="1"/>
    <xf numFmtId="9" fontId="20" fillId="0" borderId="6" xfId="3" applyFont="1" applyFill="1" applyBorder="1" applyAlignment="1">
      <alignment horizontal="right"/>
    </xf>
    <xf numFmtId="0" fontId="14" fillId="0" borderId="4" xfId="0" applyFont="1" applyBorder="1"/>
    <xf numFmtId="0" fontId="20" fillId="0" borderId="4" xfId="0" applyFont="1" applyBorder="1"/>
    <xf numFmtId="0" fontId="3" fillId="0" borderId="4" xfId="0" applyFont="1" applyBorder="1"/>
    <xf numFmtId="0" fontId="23" fillId="0" borderId="0" xfId="0" applyFont="1"/>
    <xf numFmtId="0" fontId="20" fillId="15" borderId="5" xfId="0" applyFont="1" applyFill="1" applyBorder="1"/>
    <xf numFmtId="0" fontId="20" fillId="15" borderId="6" xfId="0" applyFont="1" applyFill="1" applyBorder="1"/>
    <xf numFmtId="43" fontId="20" fillId="15" borderId="6" xfId="0" applyNumberFormat="1" applyFont="1" applyFill="1" applyBorder="1"/>
    <xf numFmtId="43" fontId="20" fillId="15" borderId="7" xfId="0" applyNumberFormat="1" applyFont="1" applyFill="1" applyBorder="1"/>
    <xf numFmtId="0" fontId="20" fillId="2" borderId="14" xfId="0" applyFont="1" applyFill="1" applyBorder="1" applyAlignment="1">
      <alignment horizontal="center" wrapText="1"/>
    </xf>
    <xf numFmtId="0" fontId="20" fillId="0" borderId="8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24" fillId="16" borderId="5" xfId="0" applyFont="1" applyFill="1" applyBorder="1" applyAlignment="1">
      <alignment vertical="center"/>
    </xf>
    <xf numFmtId="0" fontId="14" fillId="6" borderId="5" xfId="0" applyFont="1" applyFill="1" applyBorder="1"/>
    <xf numFmtId="43" fontId="14" fillId="6" borderId="6" xfId="0" applyNumberFormat="1" applyFont="1" applyFill="1" applyBorder="1"/>
    <xf numFmtId="43" fontId="14" fillId="6" borderId="7" xfId="0" applyNumberFormat="1" applyFont="1" applyFill="1" applyBorder="1"/>
    <xf numFmtId="0" fontId="14" fillId="6" borderId="6" xfId="0" applyFont="1" applyFill="1" applyBorder="1"/>
    <xf numFmtId="0" fontId="20" fillId="0" borderId="0" xfId="0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wrapText="1"/>
    </xf>
    <xf numFmtId="0" fontId="26" fillId="0" borderId="0" xfId="0" applyFont="1" applyAlignment="1">
      <alignment horizontal="center"/>
    </xf>
    <xf numFmtId="44" fontId="26" fillId="0" borderId="0" xfId="2" applyFont="1"/>
    <xf numFmtId="0" fontId="28" fillId="0" borderId="0" xfId="0" applyFont="1"/>
    <xf numFmtId="0" fontId="27" fillId="0" borderId="0" xfId="0" applyFont="1"/>
    <xf numFmtId="0" fontId="25" fillId="0" borderId="0" xfId="0" applyFont="1"/>
    <xf numFmtId="0" fontId="26" fillId="3" borderId="0" xfId="0" applyFont="1" applyFill="1"/>
    <xf numFmtId="0" fontId="29" fillId="0" borderId="0" xfId="0" applyFont="1" applyAlignment="1">
      <alignment horizontal="center"/>
    </xf>
    <xf numFmtId="164" fontId="29" fillId="0" borderId="0" xfId="1" applyNumberFormat="1" applyFont="1" applyAlignment="1">
      <alignment horizontal="right"/>
    </xf>
    <xf numFmtId="164" fontId="29" fillId="0" borderId="0" xfId="1" applyNumberFormat="1" applyFont="1" applyFill="1" applyAlignment="1">
      <alignment horizontal="right"/>
    </xf>
    <xf numFmtId="0" fontId="30" fillId="0" borderId="0" xfId="0" applyFont="1"/>
    <xf numFmtId="0" fontId="31" fillId="0" borderId="0" xfId="0" applyFont="1" applyAlignment="1">
      <alignment horizontal="center"/>
    </xf>
    <xf numFmtId="0" fontId="31" fillId="0" borderId="0" xfId="0" applyFont="1"/>
    <xf numFmtId="164" fontId="31" fillId="0" borderId="43" xfId="1" applyNumberFormat="1" applyFont="1" applyFill="1" applyBorder="1" applyAlignment="1">
      <alignment horizontal="right"/>
    </xf>
    <xf numFmtId="41" fontId="31" fillId="0" borderId="42" xfId="0" applyNumberFormat="1" applyFont="1" applyBorder="1" applyAlignment="1">
      <alignment horizontal="right"/>
    </xf>
    <xf numFmtId="41" fontId="31" fillId="0" borderId="43" xfId="0" applyNumberFormat="1" applyFont="1" applyBorder="1" applyAlignment="1">
      <alignment horizontal="right"/>
    </xf>
    <xf numFmtId="43" fontId="31" fillId="0" borderId="0" xfId="1" applyFont="1" applyFill="1" applyAlignment="1">
      <alignment horizontal="right"/>
    </xf>
    <xf numFmtId="41" fontId="31" fillId="0" borderId="37" xfId="0" applyNumberFormat="1" applyFont="1" applyBorder="1" applyAlignment="1">
      <alignment horizontal="right"/>
    </xf>
    <xf numFmtId="3" fontId="31" fillId="0" borderId="0" xfId="0" applyNumberFormat="1" applyFont="1"/>
    <xf numFmtId="44" fontId="31" fillId="0" borderId="0" xfId="2" applyFont="1" applyFill="1"/>
    <xf numFmtId="0" fontId="32" fillId="0" borderId="0" xfId="0" applyFont="1" applyAlignment="1">
      <alignment wrapText="1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wrapText="1"/>
    </xf>
    <xf numFmtId="3" fontId="31" fillId="0" borderId="0" xfId="0" applyNumberFormat="1" applyFont="1" applyAlignment="1">
      <alignment horizontal="right"/>
    </xf>
    <xf numFmtId="0" fontId="26" fillId="4" borderId="0" xfId="0" applyFont="1" applyFill="1"/>
    <xf numFmtId="0" fontId="33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5" fillId="0" borderId="0" xfId="0" applyFont="1"/>
    <xf numFmtId="0" fontId="36" fillId="6" borderId="0" xfId="0" applyFont="1" applyFill="1"/>
    <xf numFmtId="3" fontId="14" fillId="0" borderId="0" xfId="0" applyNumberFormat="1" applyFont="1" applyAlignment="1">
      <alignment horizontal="center"/>
    </xf>
    <xf numFmtId="0" fontId="20" fillId="2" borderId="14" xfId="0" applyFont="1" applyFill="1" applyBorder="1"/>
    <xf numFmtId="0" fontId="20" fillId="2" borderId="1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4" borderId="18" xfId="0" applyFont="1" applyFill="1" applyBorder="1" applyAlignment="1">
      <alignment horizontal="center" wrapText="1"/>
    </xf>
    <xf numFmtId="0" fontId="20" fillId="2" borderId="7" xfId="0" applyFont="1" applyFill="1" applyBorder="1" applyAlignment="1">
      <alignment horizontal="center" wrapText="1"/>
    </xf>
    <xf numFmtId="0" fontId="20" fillId="7" borderId="14" xfId="0" applyFont="1" applyFill="1" applyBorder="1" applyAlignment="1">
      <alignment horizontal="center" wrapText="1"/>
    </xf>
    <xf numFmtId="3" fontId="14" fillId="0" borderId="5" xfId="0" applyNumberFormat="1" applyFont="1" applyBorder="1" applyAlignment="1">
      <alignment horizontal="center" wrapText="1"/>
    </xf>
    <xf numFmtId="0" fontId="20" fillId="0" borderId="14" xfId="0" applyFont="1" applyBorder="1"/>
    <xf numFmtId="0" fontId="14" fillId="0" borderId="14" xfId="0" applyFont="1" applyBorder="1"/>
    <xf numFmtId="0" fontId="20" fillId="0" borderId="1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7" borderId="19" xfId="0" applyFont="1" applyFill="1" applyBorder="1" applyAlignment="1">
      <alignment horizontal="center"/>
    </xf>
    <xf numFmtId="0" fontId="14" fillId="0" borderId="7" xfId="0" applyFont="1" applyBorder="1"/>
    <xf numFmtId="0" fontId="14" fillId="7" borderId="14" xfId="0" applyFont="1" applyFill="1" applyBorder="1" applyAlignment="1">
      <alignment horizontal="center"/>
    </xf>
    <xf numFmtId="3" fontId="14" fillId="0" borderId="8" xfId="0" applyNumberFormat="1" applyFont="1" applyBorder="1" applyAlignment="1">
      <alignment horizontal="center"/>
    </xf>
    <xf numFmtId="0" fontId="14" fillId="0" borderId="14" xfId="0" quotePrefix="1" applyFont="1" applyBorder="1" applyAlignment="1">
      <alignment horizontal="center"/>
    </xf>
    <xf numFmtId="3" fontId="14" fillId="0" borderId="14" xfId="0" applyNumberFormat="1" applyFont="1" applyBorder="1" applyAlignment="1">
      <alignment horizontal="right"/>
    </xf>
    <xf numFmtId="4" fontId="14" fillId="0" borderId="14" xfId="0" applyNumberFormat="1" applyFont="1" applyBorder="1"/>
    <xf numFmtId="4" fontId="14" fillId="0" borderId="5" xfId="0" applyNumberFormat="1" applyFont="1" applyBorder="1"/>
    <xf numFmtId="4" fontId="20" fillId="0" borderId="19" xfId="0" applyNumberFormat="1" applyFont="1" applyBorder="1"/>
    <xf numFmtId="43" fontId="14" fillId="0" borderId="7" xfId="1" applyFont="1" applyFill="1" applyBorder="1"/>
    <xf numFmtId="43" fontId="14" fillId="0" borderId="14" xfId="1" applyFont="1" applyFill="1" applyBorder="1"/>
    <xf numFmtId="44" fontId="14" fillId="0" borderId="14" xfId="2" applyFont="1" applyFill="1" applyBorder="1" applyAlignment="1">
      <alignment horizontal="center"/>
    </xf>
    <xf numFmtId="44" fontId="14" fillId="0" borderId="15" xfId="2" applyFont="1" applyFill="1" applyBorder="1" applyAlignment="1">
      <alignment horizontal="center"/>
    </xf>
    <xf numFmtId="4" fontId="20" fillId="0" borderId="0" xfId="0" applyNumberFormat="1" applyFont="1"/>
    <xf numFmtId="43" fontId="20" fillId="0" borderId="7" xfId="1" applyFont="1" applyFill="1" applyBorder="1"/>
    <xf numFmtId="43" fontId="20" fillId="0" borderId="14" xfId="1" applyFont="1" applyFill="1" applyBorder="1"/>
    <xf numFmtId="43" fontId="20" fillId="0" borderId="0" xfId="0" applyNumberFormat="1" applyFont="1"/>
    <xf numFmtId="43" fontId="14" fillId="0" borderId="0" xfId="0" applyNumberFormat="1" applyFont="1"/>
    <xf numFmtId="3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right"/>
    </xf>
    <xf numFmtId="43" fontId="20" fillId="0" borderId="0" xfId="1" applyFont="1" applyFill="1"/>
    <xf numFmtId="4" fontId="14" fillId="4" borderId="14" xfId="0" applyNumberFormat="1" applyFont="1" applyFill="1" applyBorder="1"/>
    <xf numFmtId="43" fontId="14" fillId="0" borderId="0" xfId="1" applyFont="1"/>
    <xf numFmtId="44" fontId="14" fillId="7" borderId="14" xfId="2" applyFont="1" applyFill="1" applyBorder="1" applyAlignment="1">
      <alignment horizontal="center"/>
    </xf>
    <xf numFmtId="44" fontId="14" fillId="0" borderId="11" xfId="2" applyFont="1" applyBorder="1" applyAlignment="1">
      <alignment horizontal="center"/>
    </xf>
    <xf numFmtId="44" fontId="14" fillId="0" borderId="0" xfId="2" applyFont="1" applyAlignment="1">
      <alignment horizontal="center"/>
    </xf>
    <xf numFmtId="4" fontId="20" fillId="0" borderId="50" xfId="0" applyNumberFormat="1" applyFont="1" applyBorder="1"/>
    <xf numFmtId="44" fontId="14" fillId="0" borderId="7" xfId="2" applyFont="1" applyFill="1" applyBorder="1" applyAlignment="1">
      <alignment horizontal="center"/>
    </xf>
    <xf numFmtId="44" fontId="14" fillId="0" borderId="0" xfId="2" applyFont="1" applyBorder="1" applyAlignment="1">
      <alignment horizontal="center"/>
    </xf>
    <xf numFmtId="4" fontId="20" fillId="4" borderId="17" xfId="0" applyNumberFormat="1" applyFont="1" applyFill="1" applyBorder="1"/>
    <xf numFmtId="43" fontId="14" fillId="0" borderId="0" xfId="0" applyNumberFormat="1" applyFont="1" applyAlignment="1">
      <alignment horizontal="right"/>
    </xf>
    <xf numFmtId="43" fontId="14" fillId="4" borderId="0" xfId="0" applyNumberFormat="1" applyFont="1" applyFill="1"/>
    <xf numFmtId="43" fontId="14" fillId="0" borderId="0" xfId="0" applyNumberFormat="1" applyFont="1" applyAlignment="1">
      <alignment horizontal="center"/>
    </xf>
    <xf numFmtId="166" fontId="14" fillId="0" borderId="0" xfId="0" applyNumberFormat="1" applyFont="1"/>
    <xf numFmtId="0" fontId="14" fillId="4" borderId="0" xfId="0" applyFont="1" applyFill="1"/>
    <xf numFmtId="0" fontId="20" fillId="6" borderId="5" xfId="0" applyFont="1" applyFill="1" applyBorder="1"/>
    <xf numFmtId="0" fontId="14" fillId="12" borderId="0" xfId="0" applyFont="1" applyFill="1"/>
    <xf numFmtId="0" fontId="14" fillId="0" borderId="55" xfId="0" quotePrefix="1" applyFont="1" applyBorder="1" applyAlignment="1">
      <alignment horizontal="center"/>
    </xf>
    <xf numFmtId="3" fontId="14" fillId="0" borderId="56" xfId="0" applyNumberFormat="1" applyFont="1" applyBorder="1" applyAlignment="1">
      <alignment horizontal="right"/>
    </xf>
    <xf numFmtId="0" fontId="20" fillId="0" borderId="57" xfId="0" applyFont="1" applyBorder="1"/>
    <xf numFmtId="0" fontId="14" fillId="0" borderId="0" xfId="0" quotePrefix="1" applyFont="1" applyAlignment="1">
      <alignment horizontal="center"/>
    </xf>
    <xf numFmtId="3" fontId="14" fillId="0" borderId="58" xfId="0" applyNumberFormat="1" applyFont="1" applyBorder="1" applyAlignment="1">
      <alignment horizontal="right"/>
    </xf>
    <xf numFmtId="0" fontId="14" fillId="0" borderId="57" xfId="0" applyFont="1" applyBorder="1"/>
    <xf numFmtId="0" fontId="14" fillId="0" borderId="59" xfId="0" applyFont="1" applyBorder="1"/>
    <xf numFmtId="0" fontId="14" fillId="0" borderId="60" xfId="0" applyFont="1" applyBorder="1" applyAlignment="1">
      <alignment horizontal="center"/>
    </xf>
    <xf numFmtId="3" fontId="14" fillId="0" borderId="61" xfId="0" applyNumberFormat="1" applyFont="1" applyBorder="1" applyAlignment="1">
      <alignment horizontal="right"/>
    </xf>
    <xf numFmtId="4" fontId="14" fillId="0" borderId="7" xfId="0" applyNumberFormat="1" applyFont="1" applyBorder="1"/>
    <xf numFmtId="0" fontId="39" fillId="0" borderId="54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3" fontId="40" fillId="0" borderId="0" xfId="0" applyNumberFormat="1" applyFont="1"/>
    <xf numFmtId="164" fontId="40" fillId="0" borderId="0" xfId="1" applyNumberFormat="1" applyFont="1"/>
    <xf numFmtId="10" fontId="40" fillId="0" borderId="0" xfId="0" applyNumberFormat="1" applyFont="1"/>
    <xf numFmtId="167" fontId="26" fillId="0" borderId="0" xfId="0" applyNumberFormat="1" applyFont="1"/>
    <xf numFmtId="10" fontId="41" fillId="2" borderId="4" xfId="0" applyNumberFormat="1" applyFont="1" applyFill="1" applyBorder="1"/>
    <xf numFmtId="10" fontId="41" fillId="2" borderId="4" xfId="0" applyNumberFormat="1" applyFont="1" applyFill="1" applyBorder="1" applyAlignment="1">
      <alignment horizontal="center"/>
    </xf>
    <xf numFmtId="0" fontId="40" fillId="0" borderId="0" xfId="0" applyFont="1"/>
    <xf numFmtId="9" fontId="14" fillId="0" borderId="0" xfId="2" applyNumberFormat="1" applyFont="1" applyFill="1" applyAlignment="1">
      <alignment horizontal="center"/>
    </xf>
    <xf numFmtId="44" fontId="20" fillId="0" borderId="14" xfId="2" applyFont="1" applyFill="1" applyBorder="1" applyAlignment="1">
      <alignment horizontal="center"/>
    </xf>
    <xf numFmtId="9" fontId="14" fillId="6" borderId="0" xfId="2" applyNumberFormat="1" applyFont="1" applyFill="1" applyAlignment="1">
      <alignment horizontal="center"/>
    </xf>
    <xf numFmtId="0" fontId="20" fillId="5" borderId="1" xfId="0" applyFont="1" applyFill="1" applyBorder="1"/>
    <xf numFmtId="0" fontId="14" fillId="5" borderId="1" xfId="0" quotePrefix="1" applyFont="1" applyFill="1" applyBorder="1" applyAlignment="1">
      <alignment horizontal="center"/>
    </xf>
    <xf numFmtId="3" fontId="14" fillId="5" borderId="1" xfId="0" applyNumberFormat="1" applyFont="1" applyFill="1" applyBorder="1" applyAlignment="1">
      <alignment horizontal="right"/>
    </xf>
    <xf numFmtId="4" fontId="14" fillId="5" borderId="14" xfId="0" applyNumberFormat="1" applyFont="1" applyFill="1" applyBorder="1"/>
    <xf numFmtId="4" fontId="14" fillId="5" borderId="5" xfId="0" applyNumberFormat="1" applyFont="1" applyFill="1" applyBorder="1"/>
    <xf numFmtId="4" fontId="20" fillId="5" borderId="19" xfId="0" applyNumberFormat="1" applyFont="1" applyFill="1" applyBorder="1"/>
    <xf numFmtId="43" fontId="14" fillId="5" borderId="0" xfId="1" applyFont="1" applyFill="1"/>
    <xf numFmtId="0" fontId="14" fillId="5" borderId="0" xfId="0" applyFont="1" applyFill="1"/>
    <xf numFmtId="44" fontId="20" fillId="5" borderId="14" xfId="2" applyFont="1" applyFill="1" applyBorder="1" applyAlignment="1">
      <alignment horizontal="center"/>
    </xf>
    <xf numFmtId="43" fontId="23" fillId="0" borderId="0" xfId="0" applyNumberFormat="1" applyFont="1"/>
    <xf numFmtId="0" fontId="14" fillId="0" borderId="0" xfId="0" applyFont="1" applyAlignment="1">
      <alignment horizontal="center" vertical="center"/>
    </xf>
    <xf numFmtId="41" fontId="14" fillId="0" borderId="0" xfId="0" applyNumberFormat="1" applyFont="1" applyAlignment="1">
      <alignment horizontal="center"/>
    </xf>
    <xf numFmtId="164" fontId="31" fillId="0" borderId="0" xfId="1" applyNumberFormat="1" applyFont="1" applyFill="1" applyAlignment="1">
      <alignment horizontal="right"/>
    </xf>
    <xf numFmtId="0" fontId="32" fillId="0" borderId="0" xfId="0" applyFont="1"/>
    <xf numFmtId="165" fontId="31" fillId="0" borderId="0" xfId="0" applyNumberFormat="1" applyFont="1" applyAlignment="1">
      <alignment horizontal="right"/>
    </xf>
    <xf numFmtId="0" fontId="42" fillId="0" borderId="0" xfId="0" applyFont="1"/>
    <xf numFmtId="0" fontId="23" fillId="6" borderId="0" xfId="0" applyFont="1" applyFill="1"/>
    <xf numFmtId="0" fontId="23" fillId="0" borderId="0" xfId="0" applyFont="1" applyAlignment="1">
      <alignment horizontal="right"/>
    </xf>
    <xf numFmtId="14" fontId="23" fillId="0" borderId="0" xfId="0" applyNumberFormat="1" applyFont="1" applyAlignment="1">
      <alignment horizontal="center"/>
    </xf>
    <xf numFmtId="44" fontId="14" fillId="0" borderId="0" xfId="2" applyFont="1" applyFill="1"/>
    <xf numFmtId="0" fontId="14" fillId="0" borderId="0" xfId="0" applyFont="1" applyAlignment="1">
      <alignment wrapText="1"/>
    </xf>
    <xf numFmtId="14" fontId="14" fillId="0" borderId="0" xfId="2" applyNumberFormat="1" applyFont="1" applyFill="1"/>
    <xf numFmtId="44" fontId="14" fillId="0" borderId="0" xfId="2" applyFont="1"/>
    <xf numFmtId="0" fontId="20" fillId="2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164" fontId="20" fillId="2" borderId="1" xfId="1" applyNumberFormat="1" applyFont="1" applyFill="1" applyBorder="1" applyAlignment="1">
      <alignment horizontal="center"/>
    </xf>
    <xf numFmtId="44" fontId="20" fillId="2" borderId="1" xfId="2" applyFont="1" applyFill="1" applyBorder="1" applyAlignment="1">
      <alignment horizontal="center"/>
    </xf>
    <xf numFmtId="44" fontId="20" fillId="2" borderId="0" xfId="2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wrapText="1"/>
    </xf>
    <xf numFmtId="0" fontId="20" fillId="5" borderId="2" xfId="0" applyFont="1" applyFill="1" applyBorder="1" applyAlignment="1">
      <alignment horizontal="center"/>
    </xf>
    <xf numFmtId="164" fontId="20" fillId="2" borderId="2" xfId="1" applyNumberFormat="1" applyFont="1" applyFill="1" applyBorder="1" applyAlignment="1">
      <alignment horizontal="center"/>
    </xf>
    <xf numFmtId="44" fontId="20" fillId="2" borderId="2" xfId="2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164" fontId="20" fillId="2" borderId="3" xfId="1" applyNumberFormat="1" applyFont="1" applyFill="1" applyBorder="1" applyAlignment="1">
      <alignment horizontal="center"/>
    </xf>
    <xf numFmtId="44" fontId="20" fillId="2" borderId="3" xfId="2" applyFont="1" applyFill="1" applyBorder="1" applyAlignment="1">
      <alignment horizontal="center"/>
    </xf>
    <xf numFmtId="43" fontId="14" fillId="0" borderId="0" xfId="1" applyFont="1" applyAlignment="1">
      <alignment horizontal="center"/>
    </xf>
    <xf numFmtId="0" fontId="14" fillId="0" borderId="0" xfId="0" applyFont="1" applyAlignment="1">
      <alignment horizontal="left"/>
    </xf>
    <xf numFmtId="41" fontId="20" fillId="0" borderId="0" xfId="0" applyNumberFormat="1" applyFont="1" applyAlignment="1">
      <alignment horizontal="right"/>
    </xf>
    <xf numFmtId="43" fontId="14" fillId="0" borderId="0" xfId="1" applyFont="1" applyFill="1" applyAlignment="1">
      <alignment horizontal="right"/>
    </xf>
    <xf numFmtId="3" fontId="14" fillId="0" borderId="0" xfId="0" applyNumberFormat="1" applyFont="1"/>
    <xf numFmtId="9" fontId="14" fillId="0" borderId="0" xfId="0" applyNumberFormat="1" applyFont="1" applyAlignment="1">
      <alignment horizontal="center"/>
    </xf>
    <xf numFmtId="0" fontId="14" fillId="4" borderId="0" xfId="0" applyFont="1" applyFill="1" applyAlignment="1">
      <alignment horizontal="center"/>
    </xf>
    <xf numFmtId="43" fontId="14" fillId="0" borderId="0" xfId="1" applyFont="1" applyAlignment="1">
      <alignment horizontal="right"/>
    </xf>
    <xf numFmtId="0" fontId="23" fillId="0" borderId="0" xfId="0" applyFont="1" applyAlignment="1">
      <alignment wrapText="1"/>
    </xf>
    <xf numFmtId="0" fontId="20" fillId="2" borderId="5" xfId="0" applyFont="1" applyFill="1" applyBorder="1"/>
    <xf numFmtId="41" fontId="14" fillId="2" borderId="6" xfId="0" applyNumberFormat="1" applyFont="1" applyFill="1" applyBorder="1" applyAlignment="1">
      <alignment horizontal="right"/>
    </xf>
    <xf numFmtId="41" fontId="14" fillId="2" borderId="7" xfId="0" applyNumberFormat="1" applyFont="1" applyFill="1" applyBorder="1" applyAlignment="1">
      <alignment horizontal="right"/>
    </xf>
    <xf numFmtId="41" fontId="14" fillId="5" borderId="7" xfId="0" applyNumberFormat="1" applyFont="1" applyFill="1" applyBorder="1" applyAlignment="1">
      <alignment horizontal="right"/>
    </xf>
    <xf numFmtId="43" fontId="14" fillId="5" borderId="6" xfId="1" applyFont="1" applyFill="1" applyBorder="1" applyAlignment="1">
      <alignment horizontal="right"/>
    </xf>
    <xf numFmtId="10" fontId="20" fillId="2" borderId="5" xfId="0" applyNumberFormat="1" applyFont="1" applyFill="1" applyBorder="1" applyAlignment="1">
      <alignment horizontal="left"/>
    </xf>
    <xf numFmtId="44" fontId="14" fillId="2" borderId="7" xfId="2" applyFont="1" applyFill="1" applyBorder="1"/>
    <xf numFmtId="9" fontId="14" fillId="2" borderId="14" xfId="3" applyFont="1" applyFill="1" applyBorder="1"/>
    <xf numFmtId="10" fontId="14" fillId="0" borderId="0" xfId="0" applyNumberFormat="1" applyFont="1"/>
    <xf numFmtId="0" fontId="23" fillId="0" borderId="0" xfId="0" applyFont="1" applyAlignment="1">
      <alignment horizontal="center"/>
    </xf>
    <xf numFmtId="41" fontId="23" fillId="0" borderId="0" xfId="0" applyNumberFormat="1" applyFont="1" applyAlignment="1">
      <alignment horizontal="right"/>
    </xf>
    <xf numFmtId="41" fontId="15" fillId="0" borderId="0" xfId="0" applyNumberFormat="1" applyFont="1" applyAlignment="1">
      <alignment horizontal="right"/>
    </xf>
    <xf numFmtId="41" fontId="14" fillId="0" borderId="0" xfId="0" applyNumberFormat="1" applyFont="1" applyAlignment="1">
      <alignment wrapText="1"/>
    </xf>
    <xf numFmtId="0" fontId="14" fillId="6" borderId="0" xfId="0" applyFont="1" applyFill="1"/>
    <xf numFmtId="0" fontId="15" fillId="0" borderId="0" xfId="0" applyFont="1" applyAlignment="1">
      <alignment wrapText="1"/>
    </xf>
    <xf numFmtId="0" fontId="15" fillId="0" borderId="0" xfId="0" applyFont="1"/>
    <xf numFmtId="41" fontId="14" fillId="0" borderId="0" xfId="0" applyNumberFormat="1" applyFont="1"/>
    <xf numFmtId="3" fontId="14" fillId="2" borderId="5" xfId="0" applyNumberFormat="1" applyFont="1" applyFill="1" applyBorder="1"/>
    <xf numFmtId="44" fontId="14" fillId="2" borderId="7" xfId="2" applyFont="1" applyFill="1" applyBorder="1" applyAlignment="1">
      <alignment horizontal="right"/>
    </xf>
    <xf numFmtId="0" fontId="20" fillId="0" borderId="0" xfId="0" applyFont="1" applyAlignment="1">
      <alignment horizontal="left"/>
    </xf>
    <xf numFmtId="164" fontId="14" fillId="0" borderId="0" xfId="1" applyNumberFormat="1" applyFont="1" applyAlignment="1">
      <alignment horizontal="right"/>
    </xf>
    <xf numFmtId="164" fontId="14" fillId="0" borderId="0" xfId="1" applyNumberFormat="1" applyFont="1" applyFill="1" applyAlignment="1">
      <alignment horizontal="right"/>
    </xf>
    <xf numFmtId="44" fontId="14" fillId="0" borderId="0" xfId="2" applyFont="1" applyFill="1" applyAlignment="1">
      <alignment horizontal="right"/>
    </xf>
    <xf numFmtId="164" fontId="14" fillId="0" borderId="0" xfId="1" applyNumberFormat="1" applyFont="1" applyFill="1"/>
    <xf numFmtId="0" fontId="14" fillId="3" borderId="0" xfId="0" applyFont="1" applyFill="1" applyAlignment="1">
      <alignment horizontal="center"/>
    </xf>
    <xf numFmtId="164" fontId="15" fillId="0" borderId="0" xfId="1" applyNumberFormat="1" applyFont="1" applyFill="1" applyAlignment="1">
      <alignment horizontal="right"/>
    </xf>
    <xf numFmtId="164" fontId="14" fillId="2" borderId="6" xfId="1" applyNumberFormat="1" applyFont="1" applyFill="1" applyBorder="1" applyAlignment="1">
      <alignment horizontal="right"/>
    </xf>
    <xf numFmtId="164" fontId="14" fillId="2" borderId="7" xfId="1" applyNumberFormat="1" applyFont="1" applyFill="1" applyBorder="1" applyAlignment="1">
      <alignment horizontal="right"/>
    </xf>
    <xf numFmtId="164" fontId="14" fillId="5" borderId="7" xfId="1" applyNumberFormat="1" applyFont="1" applyFill="1" applyBorder="1" applyAlignment="1">
      <alignment horizontal="right"/>
    </xf>
    <xf numFmtId="164" fontId="14" fillId="5" borderId="7" xfId="1" applyNumberFormat="1" applyFont="1" applyFill="1" applyBorder="1"/>
    <xf numFmtId="164" fontId="20" fillId="0" borderId="0" xfId="1" applyNumberFormat="1" applyFont="1" applyAlignment="1">
      <alignment horizontal="right"/>
    </xf>
    <xf numFmtId="44" fontId="14" fillId="0" borderId="0" xfId="2" applyFont="1" applyAlignment="1">
      <alignment horizontal="right"/>
    </xf>
    <xf numFmtId="164" fontId="14" fillId="0" borderId="0" xfId="1" applyNumberFormat="1" applyFont="1"/>
    <xf numFmtId="0" fontId="15" fillId="0" borderId="0" xfId="0" applyFont="1" applyAlignment="1">
      <alignment horizontal="left"/>
    </xf>
    <xf numFmtId="41" fontId="14" fillId="4" borderId="0" xfId="0" applyNumberFormat="1" applyFont="1" applyFill="1" applyAlignment="1">
      <alignment horizontal="right"/>
    </xf>
    <xf numFmtId="41" fontId="14" fillId="5" borderId="6" xfId="0" applyNumberFormat="1" applyFont="1" applyFill="1" applyBorder="1" applyAlignment="1">
      <alignment horizontal="right"/>
    </xf>
    <xf numFmtId="41" fontId="14" fillId="0" borderId="42" xfId="0" applyNumberFormat="1" applyFont="1" applyBorder="1" applyAlignment="1">
      <alignment horizontal="right"/>
    </xf>
    <xf numFmtId="44" fontId="14" fillId="0" borderId="42" xfId="2" applyFont="1" applyBorder="1" applyAlignment="1">
      <alignment horizontal="right"/>
    </xf>
    <xf numFmtId="41" fontId="14" fillId="0" borderId="43" xfId="0" applyNumberFormat="1" applyFont="1" applyBorder="1" applyAlignment="1">
      <alignment horizontal="right"/>
    </xf>
    <xf numFmtId="164" fontId="14" fillId="0" borderId="43" xfId="0" applyNumberFormat="1" applyFont="1" applyBorder="1" applyAlignment="1">
      <alignment horizontal="right"/>
    </xf>
    <xf numFmtId="41" fontId="14" fillId="0" borderId="43" xfId="0" applyNumberFormat="1" applyFont="1" applyBorder="1"/>
    <xf numFmtId="41" fontId="14" fillId="0" borderId="46" xfId="0" applyNumberFormat="1" applyFont="1" applyBorder="1" applyAlignment="1">
      <alignment horizontal="right"/>
    </xf>
    <xf numFmtId="41" fontId="14" fillId="2" borderId="47" xfId="0" applyNumberFormat="1" applyFont="1" applyFill="1" applyBorder="1" applyAlignment="1">
      <alignment horizontal="right"/>
    </xf>
    <xf numFmtId="41" fontId="14" fillId="5" borderId="47" xfId="0" applyNumberFormat="1" applyFont="1" applyFill="1" applyBorder="1" applyAlignment="1">
      <alignment horizontal="right"/>
    </xf>
    <xf numFmtId="165" fontId="14" fillId="5" borderId="6" xfId="0" applyNumberFormat="1" applyFont="1" applyFill="1" applyBorder="1" applyAlignment="1">
      <alignment horizontal="right"/>
    </xf>
    <xf numFmtId="41" fontId="14" fillId="0" borderId="49" xfId="0" applyNumberFormat="1" applyFont="1" applyBorder="1" applyAlignment="1">
      <alignment horizontal="right"/>
    </xf>
    <xf numFmtId="44" fontId="14" fillId="0" borderId="0" xfId="2" applyFont="1" applyFill="1" applyBorder="1" applyAlignment="1">
      <alignment horizontal="right"/>
    </xf>
    <xf numFmtId="0" fontId="23" fillId="2" borderId="5" xfId="0" applyFont="1" applyFill="1" applyBorder="1"/>
    <xf numFmtId="41" fontId="15" fillId="2" borderId="47" xfId="0" applyNumberFormat="1" applyFont="1" applyFill="1" applyBorder="1" applyAlignment="1">
      <alignment horizontal="right"/>
    </xf>
    <xf numFmtId="41" fontId="14" fillId="5" borderId="48" xfId="0" applyNumberFormat="1" applyFont="1" applyFill="1" applyBorder="1" applyAlignment="1">
      <alignment horizontal="right"/>
    </xf>
    <xf numFmtId="165" fontId="14" fillId="5" borderId="0" xfId="0" applyNumberFormat="1" applyFont="1" applyFill="1" applyAlignment="1">
      <alignment horizontal="right"/>
    </xf>
    <xf numFmtId="165" fontId="14" fillId="5" borderId="14" xfId="0" applyNumberFormat="1" applyFont="1" applyFill="1" applyBorder="1" applyAlignment="1">
      <alignment horizontal="right"/>
    </xf>
    <xf numFmtId="3" fontId="14" fillId="2" borderId="14" xfId="0" applyNumberFormat="1" applyFont="1" applyFill="1" applyBorder="1"/>
    <xf numFmtId="44" fontId="14" fillId="2" borderId="0" xfId="2" applyFont="1" applyFill="1" applyBorder="1" applyAlignment="1">
      <alignment horizontal="right"/>
    </xf>
    <xf numFmtId="44" fontId="14" fillId="2" borderId="14" xfId="2" applyFont="1" applyFill="1" applyBorder="1" applyAlignment="1">
      <alignment horizontal="right"/>
    </xf>
    <xf numFmtId="44" fontId="20" fillId="2" borderId="6" xfId="2" applyFont="1" applyFill="1" applyBorder="1" applyAlignment="1">
      <alignment horizontal="right"/>
    </xf>
    <xf numFmtId="10" fontId="20" fillId="2" borderId="14" xfId="0" applyNumberFormat="1" applyFont="1" applyFill="1" applyBorder="1" applyAlignment="1">
      <alignment horizontal="left"/>
    </xf>
    <xf numFmtId="164" fontId="14" fillId="0" borderId="43" xfId="1" applyNumberFormat="1" applyFont="1" applyFill="1" applyBorder="1" applyAlignment="1">
      <alignment horizontal="right"/>
    </xf>
    <xf numFmtId="41" fontId="14" fillId="0" borderId="37" xfId="0" applyNumberFormat="1" applyFont="1" applyBorder="1" applyAlignment="1">
      <alignment horizontal="right"/>
    </xf>
    <xf numFmtId="41" fontId="14" fillId="0" borderId="31" xfId="0" applyNumberFormat="1" applyFont="1" applyBorder="1" applyAlignment="1">
      <alignment horizontal="right"/>
    </xf>
    <xf numFmtId="41" fontId="14" fillId="0" borderId="36" xfId="0" applyNumberFormat="1" applyFont="1" applyBorder="1" applyAlignment="1">
      <alignment horizontal="right"/>
    </xf>
    <xf numFmtId="3" fontId="15" fillId="0" borderId="0" xfId="0" applyNumberFormat="1" applyFont="1"/>
    <xf numFmtId="165" fontId="14" fillId="5" borderId="7" xfId="0" applyNumberFormat="1" applyFont="1" applyFill="1" applyBorder="1" applyAlignment="1">
      <alignment horizontal="right"/>
    </xf>
    <xf numFmtId="41" fontId="14" fillId="5" borderId="5" xfId="0" applyNumberFormat="1" applyFont="1" applyFill="1" applyBorder="1" applyAlignment="1">
      <alignment horizontal="right"/>
    </xf>
    <xf numFmtId="41" fontId="14" fillId="0" borderId="32" xfId="0" applyNumberFormat="1" applyFont="1" applyBorder="1" applyAlignment="1">
      <alignment horizontal="right"/>
    </xf>
    <xf numFmtId="41" fontId="14" fillId="0" borderId="38" xfId="0" applyNumberFormat="1" applyFont="1" applyBorder="1" applyAlignment="1">
      <alignment horizontal="right"/>
    </xf>
    <xf numFmtId="41" fontId="14" fillId="4" borderId="28" xfId="0" applyNumberFormat="1" applyFont="1" applyFill="1" applyBorder="1" applyAlignment="1">
      <alignment horizontal="right"/>
    </xf>
    <xf numFmtId="41" fontId="14" fillId="4" borderId="34" xfId="0" applyNumberFormat="1" applyFont="1" applyFill="1" applyBorder="1" applyAlignment="1">
      <alignment horizontal="right"/>
    </xf>
    <xf numFmtId="41" fontId="14" fillId="4" borderId="36" xfId="0" applyNumberFormat="1" applyFont="1" applyFill="1" applyBorder="1" applyAlignment="1">
      <alignment horizontal="right"/>
    </xf>
    <xf numFmtId="41" fontId="14" fillId="4" borderId="29" xfId="0" applyNumberFormat="1" applyFont="1" applyFill="1" applyBorder="1" applyAlignment="1">
      <alignment horizontal="right"/>
    </xf>
    <xf numFmtId="41" fontId="14" fillId="4" borderId="30" xfId="0" applyNumberFormat="1" applyFont="1" applyFill="1" applyBorder="1" applyAlignment="1">
      <alignment horizontal="right"/>
    </xf>
    <xf numFmtId="43" fontId="20" fillId="4" borderId="29" xfId="1" applyFont="1" applyFill="1" applyBorder="1" applyAlignment="1">
      <alignment horizontal="right"/>
    </xf>
    <xf numFmtId="41" fontId="15" fillId="0" borderId="29" xfId="0" applyNumberFormat="1" applyFont="1" applyBorder="1" applyAlignment="1">
      <alignment horizontal="right"/>
    </xf>
    <xf numFmtId="3" fontId="20" fillId="0" borderId="0" xfId="0" applyNumberFormat="1" applyFont="1"/>
    <xf numFmtId="164" fontId="14" fillId="4" borderId="29" xfId="1" applyNumberFormat="1" applyFont="1" applyFill="1" applyBorder="1" applyAlignment="1">
      <alignment horizontal="right"/>
    </xf>
    <xf numFmtId="2" fontId="14" fillId="0" borderId="0" xfId="0" applyNumberFormat="1" applyFont="1" applyAlignment="1">
      <alignment horizontal="center"/>
    </xf>
    <xf numFmtId="164" fontId="14" fillId="0" borderId="29" xfId="1" applyNumberFormat="1" applyFont="1" applyFill="1" applyBorder="1" applyAlignment="1">
      <alignment horizontal="right"/>
    </xf>
    <xf numFmtId="41" fontId="14" fillId="0" borderId="39" xfId="0" applyNumberFormat="1" applyFont="1" applyBorder="1" applyAlignment="1">
      <alignment horizontal="right"/>
    </xf>
    <xf numFmtId="41" fontId="14" fillId="0" borderId="33" xfId="0" applyNumberFormat="1" applyFont="1" applyBorder="1" applyAlignment="1">
      <alignment horizontal="right"/>
    </xf>
    <xf numFmtId="41" fontId="14" fillId="0" borderId="35" xfId="0" applyNumberFormat="1" applyFont="1" applyBorder="1" applyAlignment="1">
      <alignment horizontal="right"/>
    </xf>
    <xf numFmtId="41" fontId="14" fillId="0" borderId="45" xfId="0" applyNumberFormat="1" applyFont="1" applyBorder="1" applyAlignment="1">
      <alignment horizontal="right"/>
    </xf>
    <xf numFmtId="2" fontId="20" fillId="0" borderId="0" xfId="0" applyNumberFormat="1" applyFont="1" applyAlignment="1">
      <alignment horizontal="center"/>
    </xf>
    <xf numFmtId="41" fontId="14" fillId="0" borderId="44" xfId="0" applyNumberFormat="1" applyFont="1" applyBorder="1" applyAlignment="1">
      <alignment horizontal="right"/>
    </xf>
    <xf numFmtId="41" fontId="14" fillId="0" borderId="41" xfId="0" applyNumberFormat="1" applyFont="1" applyBorder="1" applyAlignment="1">
      <alignment horizontal="right"/>
    </xf>
    <xf numFmtId="41" fontId="14" fillId="0" borderId="40" xfId="0" applyNumberFormat="1" applyFont="1" applyBorder="1" applyAlignment="1">
      <alignment horizontal="right"/>
    </xf>
    <xf numFmtId="9" fontId="14" fillId="2" borderId="0" xfId="3" applyFont="1" applyFill="1" applyBorder="1"/>
    <xf numFmtId="0" fontId="14" fillId="0" borderId="0" xfId="0" applyFont="1" applyAlignment="1">
      <alignment horizontal="right" wrapText="1"/>
    </xf>
    <xf numFmtId="41" fontId="14" fillId="0" borderId="0" xfId="0" applyNumberFormat="1" applyFont="1" applyAlignment="1">
      <alignment horizontal="left"/>
    </xf>
    <xf numFmtId="9" fontId="20" fillId="0" borderId="0" xfId="0" applyNumberFormat="1" applyFont="1" applyAlignment="1">
      <alignment horizontal="right"/>
    </xf>
    <xf numFmtId="43" fontId="20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9" fontId="14" fillId="0" borderId="0" xfId="0" applyNumberFormat="1" applyFont="1"/>
    <xf numFmtId="4" fontId="14" fillId="0" borderId="0" xfId="0" applyNumberFormat="1" applyFont="1" applyAlignment="1">
      <alignment horizontal="center"/>
    </xf>
    <xf numFmtId="164" fontId="20" fillId="0" borderId="0" xfId="1" applyNumberFormat="1" applyFont="1" applyFill="1" applyAlignment="1">
      <alignment horizontal="right"/>
    </xf>
    <xf numFmtId="0" fontId="22" fillId="0" borderId="0" xfId="0" applyFont="1"/>
    <xf numFmtId="0" fontId="14" fillId="6" borderId="0" xfId="0" applyFont="1" applyFill="1" applyAlignment="1">
      <alignment horizontal="center"/>
    </xf>
    <xf numFmtId="3" fontId="14" fillId="6" borderId="0" xfId="0" applyNumberFormat="1" applyFont="1" applyFill="1" applyAlignment="1">
      <alignment horizontal="right"/>
    </xf>
    <xf numFmtId="165" fontId="14" fillId="6" borderId="0" xfId="0" applyNumberFormat="1" applyFont="1" applyFill="1" applyAlignment="1">
      <alignment horizontal="right"/>
    </xf>
    <xf numFmtId="164" fontId="14" fillId="6" borderId="0" xfId="1" applyNumberFormat="1" applyFont="1" applyFill="1" applyAlignment="1">
      <alignment horizontal="right"/>
    </xf>
    <xf numFmtId="164" fontId="15" fillId="6" borderId="0" xfId="1" applyNumberFormat="1" applyFont="1" applyFill="1" applyAlignment="1">
      <alignment horizontal="right"/>
    </xf>
    <xf numFmtId="0" fontId="14" fillId="2" borderId="8" xfId="0" applyFont="1" applyFill="1" applyBorder="1"/>
    <xf numFmtId="0" fontId="14" fillId="2" borderId="9" xfId="0" applyFont="1" applyFill="1" applyBorder="1"/>
    <xf numFmtId="3" fontId="14" fillId="2" borderId="9" xfId="0" applyNumberFormat="1" applyFont="1" applyFill="1" applyBorder="1" applyAlignment="1">
      <alignment horizontal="right"/>
    </xf>
    <xf numFmtId="41" fontId="14" fillId="2" borderId="9" xfId="0" applyNumberFormat="1" applyFont="1" applyFill="1" applyBorder="1" applyAlignment="1">
      <alignment horizontal="right"/>
    </xf>
    <xf numFmtId="41" fontId="14" fillId="2" borderId="10" xfId="0" applyNumberFormat="1" applyFont="1" applyFill="1" applyBorder="1" applyAlignment="1">
      <alignment horizontal="right"/>
    </xf>
    <xf numFmtId="0" fontId="20" fillId="2" borderId="15" xfId="0" applyFont="1" applyFill="1" applyBorder="1" applyAlignment="1">
      <alignment horizontal="center"/>
    </xf>
    <xf numFmtId="0" fontId="14" fillId="2" borderId="0" xfId="0" applyFont="1" applyFill="1"/>
    <xf numFmtId="3" fontId="20" fillId="2" borderId="0" xfId="0" applyNumberFormat="1" applyFont="1" applyFill="1" applyAlignment="1">
      <alignment horizontal="right"/>
    </xf>
    <xf numFmtId="41" fontId="20" fillId="2" borderId="0" xfId="0" applyNumberFormat="1" applyFont="1" applyFill="1" applyAlignment="1">
      <alignment horizontal="right"/>
    </xf>
    <xf numFmtId="41" fontId="20" fillId="2" borderId="16" xfId="0" applyNumberFormat="1" applyFont="1" applyFill="1" applyBorder="1" applyAlignment="1">
      <alignment horizontal="right"/>
    </xf>
    <xf numFmtId="0" fontId="14" fillId="2" borderId="11" xfId="0" applyFont="1" applyFill="1" applyBorder="1"/>
    <xf numFmtId="0" fontId="14" fillId="2" borderId="4" xfId="0" applyFont="1" applyFill="1" applyBorder="1"/>
    <xf numFmtId="0" fontId="14" fillId="2" borderId="4" xfId="0" applyFont="1" applyFill="1" applyBorder="1" applyAlignment="1">
      <alignment horizontal="right"/>
    </xf>
    <xf numFmtId="0" fontId="14" fillId="2" borderId="12" xfId="0" applyFont="1" applyFill="1" applyBorder="1" applyAlignment="1">
      <alignment horizontal="right"/>
    </xf>
    <xf numFmtId="0" fontId="20" fillId="6" borderId="5" xfId="0" applyFont="1" applyFill="1" applyBorder="1" applyAlignment="1">
      <alignment vertical="center"/>
    </xf>
    <xf numFmtId="41" fontId="14" fillId="6" borderId="6" xfId="0" applyNumberFormat="1" applyFont="1" applyFill="1" applyBorder="1"/>
    <xf numFmtId="41" fontId="14" fillId="6" borderId="7" xfId="0" applyNumberFormat="1" applyFont="1" applyFill="1" applyBorder="1"/>
    <xf numFmtId="0" fontId="14" fillId="8" borderId="0" xfId="0" applyFont="1" applyFill="1"/>
    <xf numFmtId="0" fontId="20" fillId="10" borderId="0" xfId="0" applyFont="1" applyFill="1" applyAlignment="1">
      <alignment horizontal="left"/>
    </xf>
    <xf numFmtId="43" fontId="14" fillId="2" borderId="9" xfId="0" applyNumberFormat="1" applyFont="1" applyFill="1" applyBorder="1" applyAlignment="1">
      <alignment horizontal="right"/>
    </xf>
    <xf numFmtId="43" fontId="14" fillId="2" borderId="10" xfId="0" applyNumberFormat="1" applyFont="1" applyFill="1" applyBorder="1" applyAlignment="1">
      <alignment horizontal="right"/>
    </xf>
    <xf numFmtId="43" fontId="20" fillId="2" borderId="0" xfId="0" applyNumberFormat="1" applyFont="1" applyFill="1" applyAlignment="1">
      <alignment horizontal="right"/>
    </xf>
    <xf numFmtId="43" fontId="20" fillId="2" borderId="16" xfId="0" applyNumberFormat="1" applyFont="1" applyFill="1" applyBorder="1" applyAlignment="1">
      <alignment horizontal="right"/>
    </xf>
    <xf numFmtId="43" fontId="14" fillId="2" borderId="4" xfId="0" applyNumberFormat="1" applyFont="1" applyFill="1" applyBorder="1" applyAlignment="1">
      <alignment horizontal="right"/>
    </xf>
    <xf numFmtId="43" fontId="14" fillId="2" borderId="12" xfId="0" applyNumberFormat="1" applyFont="1" applyFill="1" applyBorder="1" applyAlignment="1">
      <alignment horizontal="right"/>
    </xf>
    <xf numFmtId="0" fontId="20" fillId="9" borderId="0" xfId="0" applyFont="1" applyFill="1" applyAlignment="1">
      <alignment horizontal="left"/>
    </xf>
    <xf numFmtId="0" fontId="20" fillId="2" borderId="8" xfId="0" applyFont="1" applyFill="1" applyBorder="1"/>
    <xf numFmtId="0" fontId="20" fillId="2" borderId="11" xfId="0" applyFont="1" applyFill="1" applyBorder="1" applyAlignment="1">
      <alignment horizontal="center"/>
    </xf>
    <xf numFmtId="10" fontId="14" fillId="0" borderId="0" xfId="0" applyNumberFormat="1" applyFont="1" applyAlignment="1">
      <alignment horizontal="right"/>
    </xf>
    <xf numFmtId="44" fontId="14" fillId="0" borderId="0" xfId="0" applyNumberFormat="1" applyFont="1" applyAlignment="1">
      <alignment horizontal="right"/>
    </xf>
    <xf numFmtId="0" fontId="20" fillId="2" borderId="9" xfId="0" applyFont="1" applyFill="1" applyBorder="1"/>
    <xf numFmtId="3" fontId="20" fillId="2" borderId="9" xfId="0" applyNumberFormat="1" applyFont="1" applyFill="1" applyBorder="1" applyAlignment="1">
      <alignment horizontal="right"/>
    </xf>
    <xf numFmtId="41" fontId="20" fillId="2" borderId="9" xfId="0" applyNumberFormat="1" applyFont="1" applyFill="1" applyBorder="1" applyAlignment="1">
      <alignment horizontal="right"/>
    </xf>
    <xf numFmtId="41" fontId="20" fillId="2" borderId="10" xfId="0" applyNumberFormat="1" applyFont="1" applyFill="1" applyBorder="1" applyAlignment="1">
      <alignment horizontal="right"/>
    </xf>
    <xf numFmtId="0" fontId="20" fillId="2" borderId="0" xfId="0" applyFont="1" applyFill="1"/>
    <xf numFmtId="10" fontId="20" fillId="2" borderId="0" xfId="3" applyNumberFormat="1" applyFont="1" applyFill="1" applyAlignment="1">
      <alignment horizontal="right"/>
    </xf>
    <xf numFmtId="0" fontId="20" fillId="2" borderId="11" xfId="0" applyFont="1" applyFill="1" applyBorder="1"/>
    <xf numFmtId="0" fontId="20" fillId="2" borderId="4" xfId="0" applyFont="1" applyFill="1" applyBorder="1"/>
    <xf numFmtId="0" fontId="20" fillId="2" borderId="4" xfId="0" applyFont="1" applyFill="1" applyBorder="1" applyAlignment="1">
      <alignment horizontal="right"/>
    </xf>
    <xf numFmtId="0" fontId="20" fillId="2" borderId="12" xfId="0" applyFont="1" applyFill="1" applyBorder="1" applyAlignment="1">
      <alignment horizontal="right"/>
    </xf>
    <xf numFmtId="0" fontId="20" fillId="2" borderId="8" xfId="0" applyFont="1" applyFill="1" applyBorder="1" applyAlignment="1">
      <alignment horizontal="left"/>
    </xf>
    <xf numFmtId="3" fontId="20" fillId="2" borderId="10" xfId="0" applyNumberFormat="1" applyFont="1" applyFill="1" applyBorder="1" applyAlignment="1">
      <alignment horizontal="right"/>
    </xf>
    <xf numFmtId="0" fontId="20" fillId="2" borderId="11" xfId="0" applyFont="1" applyFill="1" applyBorder="1" applyAlignment="1">
      <alignment horizontal="left"/>
    </xf>
    <xf numFmtId="10" fontId="20" fillId="2" borderId="12" xfId="0" applyNumberFormat="1" applyFont="1" applyFill="1" applyBorder="1" applyAlignment="1">
      <alignment horizontal="right"/>
    </xf>
    <xf numFmtId="10" fontId="20" fillId="0" borderId="0" xfId="0" applyNumberFormat="1" applyFont="1" applyAlignment="1">
      <alignment horizontal="right"/>
    </xf>
    <xf numFmtId="14" fontId="14" fillId="0" borderId="0" xfId="0" applyNumberFormat="1" applyFont="1" applyAlignment="1">
      <alignment horizontal="right"/>
    </xf>
    <xf numFmtId="41" fontId="14" fillId="6" borderId="5" xfId="0" applyNumberFormat="1" applyFont="1" applyFill="1" applyBorder="1"/>
    <xf numFmtId="10" fontId="14" fillId="0" borderId="14" xfId="0" applyNumberFormat="1" applyFont="1" applyBorder="1" applyAlignment="1">
      <alignment horizontal="right"/>
    </xf>
    <xf numFmtId="0" fontId="20" fillId="16" borderId="5" xfId="0" applyFont="1" applyFill="1" applyBorder="1" applyAlignment="1">
      <alignment vertical="center"/>
    </xf>
    <xf numFmtId="4" fontId="14" fillId="0" borderId="0" xfId="0" applyNumberFormat="1" applyFont="1"/>
    <xf numFmtId="10" fontId="14" fillId="0" borderId="0" xfId="0" applyNumberFormat="1" applyFont="1" applyAlignment="1">
      <alignment horizontal="center"/>
    </xf>
    <xf numFmtId="0" fontId="14" fillId="11" borderId="0" xfId="0" applyFont="1" applyFill="1"/>
    <xf numFmtId="0" fontId="20" fillId="11" borderId="0" xfId="0" applyFont="1" applyFill="1"/>
    <xf numFmtId="43" fontId="14" fillId="6" borderId="5" xfId="0" applyNumberFormat="1" applyFont="1" applyFill="1" applyBorder="1"/>
    <xf numFmtId="14" fontId="14" fillId="0" borderId="0" xfId="0" applyNumberFormat="1" applyFont="1"/>
    <xf numFmtId="0" fontId="21" fillId="0" borderId="0" xfId="0" applyFont="1"/>
    <xf numFmtId="164" fontId="20" fillId="0" borderId="0" xfId="1" applyNumberFormat="1" applyFont="1"/>
    <xf numFmtId="10" fontId="14" fillId="0" borderId="0" xfId="3" applyNumberFormat="1" applyFont="1" applyAlignment="1">
      <alignment horizontal="right"/>
    </xf>
    <xf numFmtId="164" fontId="14" fillId="4" borderId="0" xfId="1" applyNumberFormat="1" applyFont="1" applyFill="1" applyAlignment="1">
      <alignment horizontal="right"/>
    </xf>
    <xf numFmtId="10" fontId="20" fillId="2" borderId="16" xfId="0" applyNumberFormat="1" applyFont="1" applyFill="1" applyBorder="1" applyAlignment="1">
      <alignment horizontal="right"/>
    </xf>
    <xf numFmtId="10" fontId="20" fillId="2" borderId="4" xfId="3" applyNumberFormat="1" applyFont="1" applyFill="1" applyBorder="1" applyAlignment="1">
      <alignment horizontal="right"/>
    </xf>
    <xf numFmtId="10" fontId="20" fillId="2" borderId="12" xfId="3" applyNumberFormat="1" applyFont="1" applyFill="1" applyBorder="1" applyAlignment="1">
      <alignment horizontal="right"/>
    </xf>
    <xf numFmtId="0" fontId="20" fillId="0" borderId="13" xfId="0" applyFont="1" applyBorder="1" applyAlignment="1">
      <alignment horizontal="center" textRotation="90"/>
    </xf>
    <xf numFmtId="5" fontId="20" fillId="0" borderId="13" xfId="0" applyNumberFormat="1" applyFont="1" applyBorder="1" applyAlignment="1">
      <alignment horizontal="center" textRotation="90"/>
    </xf>
    <xf numFmtId="10" fontId="20" fillId="0" borderId="13" xfId="0" applyNumberFormat="1" applyFont="1" applyBorder="1" applyAlignment="1">
      <alignment horizontal="center" textRotation="90"/>
    </xf>
    <xf numFmtId="0" fontId="20" fillId="0" borderId="0" xfId="0" applyFont="1" applyAlignment="1">
      <alignment textRotation="90"/>
    </xf>
    <xf numFmtId="9" fontId="14" fillId="0" borderId="0" xfId="3" applyFont="1"/>
    <xf numFmtId="0" fontId="20" fillId="0" borderId="6" xfId="0" applyFont="1" applyBorder="1" applyAlignment="1">
      <alignment horizontal="center"/>
    </xf>
    <xf numFmtId="3" fontId="20" fillId="0" borderId="6" xfId="0" applyNumberFormat="1" applyFont="1" applyBorder="1"/>
    <xf numFmtId="10" fontId="20" fillId="0" borderId="6" xfId="0" applyNumberFormat="1" applyFont="1" applyBorder="1"/>
    <xf numFmtId="10" fontId="20" fillId="0" borderId="0" xfId="0" applyNumberFormat="1" applyFont="1"/>
    <xf numFmtId="0" fontId="20" fillId="6" borderId="0" xfId="0" applyFont="1" applyFill="1" applyAlignment="1">
      <alignment horizontal="left"/>
    </xf>
    <xf numFmtId="3" fontId="14" fillId="4" borderId="0" xfId="0" applyNumberFormat="1" applyFont="1" applyFill="1"/>
    <xf numFmtId="9" fontId="14" fillId="4" borderId="0" xfId="3" applyFont="1" applyFill="1"/>
    <xf numFmtId="10" fontId="14" fillId="4" borderId="0" xfId="0" applyNumberFormat="1" applyFont="1" applyFill="1"/>
    <xf numFmtId="3" fontId="20" fillId="4" borderId="6" xfId="0" applyNumberFormat="1" applyFont="1" applyFill="1" applyBorder="1"/>
    <xf numFmtId="10" fontId="20" fillId="4" borderId="6" xfId="0" applyNumberFormat="1" applyFont="1" applyFill="1" applyBorder="1"/>
    <xf numFmtId="0" fontId="20" fillId="0" borderId="6" xfId="0" applyFont="1" applyBorder="1" applyAlignment="1">
      <alignment horizontal="left"/>
    </xf>
    <xf numFmtId="0" fontId="20" fillId="0" borderId="5" xfId="0" applyFont="1" applyBorder="1"/>
    <xf numFmtId="3" fontId="20" fillId="6" borderId="6" xfId="0" applyNumberFormat="1" applyFont="1" applyFill="1" applyBorder="1"/>
    <xf numFmtId="10" fontId="20" fillId="6" borderId="7" xfId="0" applyNumberFormat="1" applyFont="1" applyFill="1" applyBorder="1"/>
    <xf numFmtId="0" fontId="20" fillId="6" borderId="8" xfId="0" applyFont="1" applyFill="1" applyBorder="1" applyAlignment="1">
      <alignment wrapText="1"/>
    </xf>
    <xf numFmtId="4" fontId="20" fillId="6" borderId="10" xfId="0" applyNumberFormat="1" applyFont="1" applyFill="1" applyBorder="1"/>
    <xf numFmtId="0" fontId="20" fillId="6" borderId="11" xfId="0" applyFont="1" applyFill="1" applyBorder="1" applyAlignment="1">
      <alignment vertical="center"/>
    </xf>
    <xf numFmtId="43" fontId="20" fillId="6" borderId="12" xfId="0" applyNumberFormat="1" applyFont="1" applyFill="1" applyBorder="1"/>
    <xf numFmtId="0" fontId="20" fillId="0" borderId="0" xfId="0" applyFont="1" applyAlignment="1">
      <alignment vertical="center"/>
    </xf>
    <xf numFmtId="0" fontId="20" fillId="6" borderId="8" xfId="0" applyFont="1" applyFill="1" applyBorder="1" applyAlignment="1">
      <alignment horizontal="left"/>
    </xf>
    <xf numFmtId="0" fontId="14" fillId="6" borderId="9" xfId="0" applyFont="1" applyFill="1" applyBorder="1"/>
    <xf numFmtId="43" fontId="20" fillId="6" borderId="9" xfId="1" applyFont="1" applyFill="1" applyBorder="1"/>
    <xf numFmtId="43" fontId="20" fillId="6" borderId="10" xfId="1" applyFont="1" applyFill="1" applyBorder="1"/>
    <xf numFmtId="43" fontId="20" fillId="0" borderId="0" xfId="1" applyFont="1" applyFill="1" applyBorder="1"/>
    <xf numFmtId="0" fontId="14" fillId="6" borderId="4" xfId="0" applyFont="1" applyFill="1" applyBorder="1"/>
    <xf numFmtId="43" fontId="14" fillId="6" borderId="4" xfId="1" applyFont="1" applyFill="1" applyBorder="1"/>
    <xf numFmtId="43" fontId="14" fillId="6" borderId="12" xfId="1" applyFont="1" applyFill="1" applyBorder="1"/>
    <xf numFmtId="43" fontId="14" fillId="0" borderId="0" xfId="1" applyFont="1" applyFill="1" applyBorder="1"/>
    <xf numFmtId="167" fontId="14" fillId="0" borderId="0" xfId="0" applyNumberFormat="1" applyFont="1"/>
    <xf numFmtId="167" fontId="14" fillId="0" borderId="0" xfId="0" applyNumberFormat="1" applyFont="1" applyAlignment="1">
      <alignment horizontal="right"/>
    </xf>
    <xf numFmtId="0" fontId="20" fillId="0" borderId="4" xfId="0" applyFont="1" applyBorder="1" applyAlignment="1">
      <alignment horizontal="centerContinuous"/>
    </xf>
    <xf numFmtId="0" fontId="14" fillId="2" borderId="8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right"/>
    </xf>
    <xf numFmtId="0" fontId="20" fillId="2" borderId="9" xfId="0" applyFont="1" applyFill="1" applyBorder="1" applyAlignment="1">
      <alignment horizontal="left"/>
    </xf>
    <xf numFmtId="10" fontId="14" fillId="2" borderId="9" xfId="0" applyNumberFormat="1" applyFont="1" applyFill="1" applyBorder="1"/>
    <xf numFmtId="0" fontId="14" fillId="2" borderId="10" xfId="0" applyFont="1" applyFill="1" applyBorder="1"/>
    <xf numFmtId="0" fontId="14" fillId="2" borderId="15" xfId="0" applyFont="1" applyFill="1" applyBorder="1" applyAlignment="1">
      <alignment horizontal="center"/>
    </xf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10" fontId="14" fillId="2" borderId="0" xfId="0" applyNumberFormat="1" applyFont="1" applyFill="1"/>
    <xf numFmtId="0" fontId="14" fillId="2" borderId="16" xfId="0" applyFont="1" applyFill="1" applyBorder="1"/>
    <xf numFmtId="3" fontId="20" fillId="2" borderId="4" xfId="0" applyNumberFormat="1" applyFont="1" applyFill="1" applyBorder="1" applyAlignment="1">
      <alignment horizontal="left"/>
    </xf>
    <xf numFmtId="0" fontId="14" fillId="2" borderId="12" xfId="0" applyFont="1" applyFill="1" applyBorder="1"/>
    <xf numFmtId="3" fontId="20" fillId="0" borderId="0" xfId="0" applyNumberFormat="1" applyFont="1" applyAlignment="1">
      <alignment horizontal="left"/>
    </xf>
    <xf numFmtId="0" fontId="20" fillId="2" borderId="8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10" fontId="20" fillId="2" borderId="1" xfId="0" applyNumberFormat="1" applyFont="1" applyFill="1" applyBorder="1" applyAlignment="1">
      <alignment horizontal="center"/>
    </xf>
    <xf numFmtId="0" fontId="20" fillId="7" borderId="9" xfId="11" applyFont="1" applyFill="1" applyBorder="1" applyAlignment="1">
      <alignment horizontal="center"/>
    </xf>
    <xf numFmtId="0" fontId="20" fillId="7" borderId="1" xfId="11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10" fontId="20" fillId="2" borderId="2" xfId="0" applyNumberFormat="1" applyFont="1" applyFill="1" applyBorder="1" applyAlignment="1">
      <alignment horizontal="center"/>
    </xf>
    <xf numFmtId="0" fontId="20" fillId="7" borderId="0" xfId="11" applyFont="1" applyFill="1" applyAlignment="1">
      <alignment horizontal="center"/>
    </xf>
    <xf numFmtId="0" fontId="20" fillId="7" borderId="2" xfId="11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10" fontId="20" fillId="2" borderId="3" xfId="0" applyNumberFormat="1" applyFont="1" applyFill="1" applyBorder="1" applyAlignment="1">
      <alignment horizontal="center"/>
    </xf>
    <xf numFmtId="9" fontId="20" fillId="7" borderId="4" xfId="3" applyFont="1" applyFill="1" applyBorder="1" applyAlignment="1">
      <alignment horizontal="center"/>
    </xf>
    <xf numFmtId="9" fontId="20" fillId="7" borderId="3" xfId="3" applyFont="1" applyFill="1" applyBorder="1" applyAlignment="1">
      <alignment horizontal="center"/>
    </xf>
    <xf numFmtId="0" fontId="20" fillId="7" borderId="3" xfId="11" applyFont="1" applyFill="1" applyBorder="1" applyAlignment="1">
      <alignment horizontal="center"/>
    </xf>
    <xf numFmtId="10" fontId="20" fillId="0" borderId="0" xfId="0" applyNumberFormat="1" applyFont="1" applyAlignment="1">
      <alignment horizontal="center"/>
    </xf>
    <xf numFmtId="0" fontId="14" fillId="0" borderId="0" xfId="11" applyFont="1"/>
    <xf numFmtId="39" fontId="14" fillId="0" borderId="0" xfId="0" applyNumberFormat="1" applyFont="1"/>
    <xf numFmtId="41" fontId="14" fillId="4" borderId="0" xfId="0" applyNumberFormat="1" applyFont="1" applyFill="1"/>
    <xf numFmtId="43" fontId="14" fillId="0" borderId="0" xfId="1" applyFont="1" applyBorder="1"/>
    <xf numFmtId="43" fontId="14" fillId="0" borderId="0" xfId="11" applyNumberFormat="1" applyFont="1"/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20" fillId="4" borderId="0" xfId="0" applyNumberFormat="1" applyFont="1" applyFill="1"/>
    <xf numFmtId="0" fontId="20" fillId="5" borderId="51" xfId="0" applyFont="1" applyFill="1" applyBorder="1"/>
    <xf numFmtId="41" fontId="20" fillId="5" borderId="52" xfId="0" applyNumberFormat="1" applyFont="1" applyFill="1" applyBorder="1"/>
    <xf numFmtId="41" fontId="20" fillId="5" borderId="53" xfId="0" applyNumberFormat="1" applyFont="1" applyFill="1" applyBorder="1"/>
    <xf numFmtId="0" fontId="20" fillId="5" borderId="5" xfId="0" applyFont="1" applyFill="1" applyBorder="1"/>
    <xf numFmtId="4" fontId="20" fillId="2" borderId="6" xfId="0" applyNumberFormat="1" applyFont="1" applyFill="1" applyBorder="1"/>
    <xf numFmtId="4" fontId="20" fillId="4" borderId="0" xfId="0" applyNumberFormat="1" applyFont="1" applyFill="1"/>
    <xf numFmtId="39" fontId="20" fillId="4" borderId="0" xfId="0" applyNumberFormat="1" applyFont="1" applyFill="1"/>
    <xf numFmtId="39" fontId="20" fillId="2" borderId="6" xfId="0" applyNumberFormat="1" applyFont="1" applyFill="1" applyBorder="1"/>
    <xf numFmtId="10" fontId="20" fillId="2" borderId="6" xfId="0" applyNumberFormat="1" applyFont="1" applyFill="1" applyBorder="1"/>
    <xf numFmtId="43" fontId="20" fillId="2" borderId="7" xfId="0" applyNumberFormat="1" applyFont="1" applyFill="1" applyBorder="1"/>
    <xf numFmtId="4" fontId="20" fillId="2" borderId="9" xfId="0" applyNumberFormat="1" applyFont="1" applyFill="1" applyBorder="1"/>
    <xf numFmtId="39" fontId="20" fillId="2" borderId="9" xfId="0" applyNumberFormat="1" applyFont="1" applyFill="1" applyBorder="1"/>
    <xf numFmtId="10" fontId="20" fillId="2" borderId="9" xfId="0" applyNumberFormat="1" applyFont="1" applyFill="1" applyBorder="1"/>
    <xf numFmtId="43" fontId="20" fillId="2" borderId="10" xfId="0" applyNumberFormat="1" applyFont="1" applyFill="1" applyBorder="1"/>
    <xf numFmtId="4" fontId="20" fillId="2" borderId="4" xfId="0" applyNumberFormat="1" applyFont="1" applyFill="1" applyBorder="1"/>
    <xf numFmtId="1" fontId="20" fillId="2" borderId="4" xfId="0" applyNumberFormat="1" applyFont="1" applyFill="1" applyBorder="1" applyAlignment="1">
      <alignment horizontal="center"/>
    </xf>
    <xf numFmtId="10" fontId="20" fillId="2" borderId="4" xfId="0" applyNumberFormat="1" applyFont="1" applyFill="1" applyBorder="1"/>
    <xf numFmtId="43" fontId="20" fillId="2" borderId="12" xfId="0" applyNumberFormat="1" applyFont="1" applyFill="1" applyBorder="1"/>
    <xf numFmtId="39" fontId="14" fillId="0" borderId="0" xfId="0" applyNumberFormat="1" applyFont="1" applyAlignment="1">
      <alignment horizontal="center"/>
    </xf>
    <xf numFmtId="39" fontId="20" fillId="0" borderId="0" xfId="0" applyNumberFormat="1" applyFont="1" applyAlignment="1">
      <alignment horizontal="center"/>
    </xf>
    <xf numFmtId="4" fontId="22" fillId="2" borderId="6" xfId="0" applyNumberFormat="1" applyFont="1" applyFill="1" applyBorder="1"/>
    <xf numFmtId="2" fontId="14" fillId="0" borderId="0" xfId="0" applyNumberFormat="1" applyFont="1"/>
    <xf numFmtId="0" fontId="20" fillId="6" borderId="9" xfId="0" applyFont="1" applyFill="1" applyBorder="1" applyAlignment="1">
      <alignment horizontal="left"/>
    </xf>
    <xf numFmtId="0" fontId="14" fillId="2" borderId="11" xfId="0" applyFont="1" applyFill="1" applyBorder="1" applyAlignment="1">
      <alignment horizontal="center"/>
    </xf>
    <xf numFmtId="3" fontId="20" fillId="6" borderId="4" xfId="0" applyNumberFormat="1" applyFont="1" applyFill="1" applyBorder="1" applyAlignment="1">
      <alignment horizontal="left"/>
    </xf>
    <xf numFmtId="10" fontId="14" fillId="2" borderId="4" xfId="0" applyNumberFormat="1" applyFont="1" applyFill="1" applyBorder="1"/>
    <xf numFmtId="0" fontId="20" fillId="6" borderId="1" xfId="11" applyFont="1" applyFill="1" applyBorder="1" applyAlignment="1">
      <alignment horizontal="center"/>
    </xf>
    <xf numFmtId="0" fontId="20" fillId="7" borderId="8" xfId="11" applyFont="1" applyFill="1" applyBorder="1" applyAlignment="1">
      <alignment horizontal="center"/>
    </xf>
    <xf numFmtId="0" fontId="20" fillId="6" borderId="2" xfId="11" applyFont="1" applyFill="1" applyBorder="1" applyAlignment="1">
      <alignment horizontal="center"/>
    </xf>
    <xf numFmtId="0" fontId="20" fillId="7" borderId="15" xfId="11" applyFont="1" applyFill="1" applyBorder="1" applyAlignment="1">
      <alignment horizontal="center"/>
    </xf>
    <xf numFmtId="9" fontId="20" fillId="6" borderId="3" xfId="3" applyFont="1" applyFill="1" applyBorder="1" applyAlignment="1">
      <alignment horizontal="center"/>
    </xf>
    <xf numFmtId="0" fontId="20" fillId="7" borderId="11" xfId="11" applyFont="1" applyFill="1" applyBorder="1" applyAlignment="1">
      <alignment horizontal="center"/>
    </xf>
    <xf numFmtId="4" fontId="14" fillId="4" borderId="0" xfId="0" applyNumberFormat="1" applyFont="1" applyFill="1"/>
    <xf numFmtId="39" fontId="14" fillId="4" borderId="0" xfId="0" applyNumberFormat="1" applyFont="1" applyFill="1"/>
    <xf numFmtId="0" fontId="14" fillId="4" borderId="0" xfId="0" applyFont="1" applyFill="1" applyAlignment="1">
      <alignment horizontal="left"/>
    </xf>
    <xf numFmtId="4" fontId="20" fillId="5" borderId="6" xfId="0" applyNumberFormat="1" applyFont="1" applyFill="1" applyBorder="1"/>
    <xf numFmtId="4" fontId="20" fillId="2" borderId="0" xfId="0" applyNumberFormat="1" applyFont="1" applyFill="1"/>
    <xf numFmtId="4" fontId="14" fillId="6" borderId="0" xfId="0" applyNumberFormat="1" applyFont="1" applyFill="1"/>
    <xf numFmtId="39" fontId="14" fillId="6" borderId="0" xfId="0" applyNumberFormat="1" applyFont="1" applyFill="1"/>
    <xf numFmtId="10" fontId="14" fillId="6" borderId="0" xfId="0" applyNumberFormat="1" applyFont="1" applyFill="1"/>
    <xf numFmtId="43" fontId="14" fillId="6" borderId="0" xfId="1" applyFont="1" applyFill="1" applyBorder="1"/>
    <xf numFmtId="43" fontId="14" fillId="6" borderId="0" xfId="11" applyNumberFormat="1" applyFont="1" applyFill="1"/>
    <xf numFmtId="4" fontId="20" fillId="6" borderId="6" xfId="0" applyNumberFormat="1" applyFont="1" applyFill="1" applyBorder="1"/>
    <xf numFmtId="43" fontId="20" fillId="2" borderId="0" xfId="0" applyNumberFormat="1" applyFont="1" applyFill="1"/>
    <xf numFmtId="43" fontId="14" fillId="6" borderId="0" xfId="0" applyNumberFormat="1" applyFont="1" applyFill="1"/>
    <xf numFmtId="44" fontId="14" fillId="0" borderId="17" xfId="0" applyNumberFormat="1" applyFont="1" applyBorder="1"/>
    <xf numFmtId="0" fontId="20" fillId="7" borderId="5" xfId="0" applyFont="1" applyFill="1" applyBorder="1"/>
    <xf numFmtId="0" fontId="20" fillId="7" borderId="6" xfId="0" applyFont="1" applyFill="1" applyBorder="1"/>
    <xf numFmtId="0" fontId="20" fillId="7" borderId="7" xfId="0" applyFont="1" applyFill="1" applyBorder="1"/>
    <xf numFmtId="168" fontId="22" fillId="0" borderId="9" xfId="3" applyNumberFormat="1" applyFont="1" applyFill="1" applyBorder="1"/>
    <xf numFmtId="168" fontId="14" fillId="0" borderId="0" xfId="0" applyNumberFormat="1" applyFont="1"/>
    <xf numFmtId="168" fontId="14" fillId="0" borderId="9" xfId="0" applyNumberFormat="1" applyFont="1" applyBorder="1" applyAlignment="1">
      <alignment horizontal="right"/>
    </xf>
    <xf numFmtId="168" fontId="14" fillId="0" borderId="0" xfId="3" applyNumberFormat="1" applyFont="1" applyFill="1" applyBorder="1" applyAlignment="1">
      <alignment horizontal="right"/>
    </xf>
    <xf numFmtId="168" fontId="20" fillId="0" borderId="6" xfId="0" applyNumberFormat="1" applyFont="1" applyBorder="1" applyAlignment="1">
      <alignment horizontal="right"/>
    </xf>
    <xf numFmtId="168" fontId="14" fillId="0" borderId="0" xfId="0" applyNumberFormat="1" applyFont="1" applyAlignment="1">
      <alignment horizontal="right"/>
    </xf>
    <xf numFmtId="168" fontId="20" fillId="0" borderId="6" xfId="3" applyNumberFormat="1" applyFont="1" applyFill="1" applyBorder="1" applyAlignment="1">
      <alignment horizontal="right"/>
    </xf>
    <xf numFmtId="9" fontId="20" fillId="0" borderId="0" xfId="0" applyNumberFormat="1" applyFont="1"/>
    <xf numFmtId="0" fontId="1" fillId="4" borderId="0" xfId="0" applyFont="1" applyFill="1"/>
    <xf numFmtId="43" fontId="0" fillId="0" borderId="0" xfId="1" applyFont="1"/>
    <xf numFmtId="4" fontId="0" fillId="0" borderId="0" xfId="0" applyNumberFormat="1"/>
    <xf numFmtId="43" fontId="0" fillId="0" borderId="0" xfId="0" applyNumberFormat="1"/>
    <xf numFmtId="0" fontId="1" fillId="0" borderId="0" xfId="0" applyFont="1"/>
    <xf numFmtId="41" fontId="0" fillId="0" borderId="0" xfId="0" applyNumberFormat="1"/>
    <xf numFmtId="0" fontId="1" fillId="0" borderId="14" xfId="0" applyFont="1" applyBorder="1"/>
    <xf numFmtId="0" fontId="1" fillId="0" borderId="0" xfId="0" applyFont="1" applyAlignment="1">
      <alignment horizontal="left"/>
    </xf>
    <xf numFmtId="43" fontId="0" fillId="0" borderId="4" xfId="1" applyFont="1" applyBorder="1"/>
    <xf numFmtId="43" fontId="0" fillId="0" borderId="4" xfId="0" applyNumberFormat="1" applyBorder="1"/>
    <xf numFmtId="43" fontId="0" fillId="0" borderId="0" xfId="1" applyFont="1" applyFill="1" applyBorder="1"/>
    <xf numFmtId="0" fontId="0" fillId="0" borderId="4" xfId="0" applyBorder="1"/>
    <xf numFmtId="43" fontId="0" fillId="17" borderId="0" xfId="1" applyFont="1" applyFill="1" applyBorder="1"/>
    <xf numFmtId="43" fontId="0" fillId="17" borderId="0" xfId="0" applyNumberFormat="1" applyFill="1"/>
    <xf numFmtId="43" fontId="0" fillId="0" borderId="0" xfId="1" applyFont="1" applyBorder="1"/>
    <xf numFmtId="0" fontId="0" fillId="0" borderId="0" xfId="0" pivotButton="1"/>
    <xf numFmtId="0" fontId="0" fillId="0" borderId="0" xfId="0" applyAlignment="1">
      <alignment horizontal="left"/>
    </xf>
    <xf numFmtId="41" fontId="1" fillId="0" borderId="0" xfId="0" applyNumberFormat="1" applyFont="1"/>
    <xf numFmtId="0" fontId="0" fillId="18" borderId="0" xfId="0" applyFill="1"/>
    <xf numFmtId="0" fontId="43" fillId="18" borderId="14" xfId="0" applyFont="1" applyFill="1" applyBorder="1"/>
    <xf numFmtId="0" fontId="43" fillId="18" borderId="14" xfId="0" applyFont="1" applyFill="1" applyBorder="1" applyAlignment="1">
      <alignment horizontal="center"/>
    </xf>
    <xf numFmtId="0" fontId="43" fillId="18" borderId="0" xfId="0" applyFont="1" applyFill="1" applyAlignment="1">
      <alignment horizontal="center"/>
    </xf>
    <xf numFmtId="17" fontId="43" fillId="18" borderId="14" xfId="0" applyNumberFormat="1" applyFont="1" applyFill="1" applyBorder="1" applyAlignment="1">
      <alignment horizontal="center" wrapText="1"/>
    </xf>
    <xf numFmtId="17" fontId="43" fillId="18" borderId="0" xfId="0" applyNumberFormat="1" applyFont="1" applyFill="1" applyAlignment="1">
      <alignment horizontal="center" wrapText="1"/>
    </xf>
    <xf numFmtId="0" fontId="0" fillId="18" borderId="14" xfId="0" applyFill="1" applyBorder="1"/>
    <xf numFmtId="2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43" fontId="0" fillId="0" borderId="0" xfId="1" applyFont="1" applyFill="1"/>
    <xf numFmtId="0" fontId="0" fillId="0" borderId="13" xfId="0" applyBorder="1"/>
    <xf numFmtId="43" fontId="0" fillId="0" borderId="13" xfId="1" applyFont="1" applyFill="1" applyBorder="1"/>
    <xf numFmtId="43" fontId="0" fillId="0" borderId="13" xfId="0" applyNumberFormat="1" applyBorder="1"/>
    <xf numFmtId="0" fontId="0" fillId="0" borderId="13" xfId="0" applyBorder="1" applyAlignment="1">
      <alignment wrapText="1"/>
    </xf>
    <xf numFmtId="4" fontId="0" fillId="0" borderId="13" xfId="0" applyNumberFormat="1" applyBorder="1"/>
    <xf numFmtId="2" fontId="0" fillId="0" borderId="13" xfId="0" applyNumberFormat="1" applyBorder="1"/>
    <xf numFmtId="2" fontId="0" fillId="0" borderId="13" xfId="0" applyNumberFormat="1" applyBorder="1" applyAlignment="1">
      <alignment wrapText="1"/>
    </xf>
    <xf numFmtId="8" fontId="0" fillId="0" borderId="0" xfId="0" applyNumberFormat="1"/>
    <xf numFmtId="0" fontId="0" fillId="0" borderId="62" xfId="0" applyBorder="1"/>
    <xf numFmtId="43" fontId="1" fillId="0" borderId="62" xfId="0" applyNumberFormat="1" applyFont="1" applyBorder="1"/>
    <xf numFmtId="43" fontId="0" fillId="0" borderId="62" xfId="1" applyFont="1" applyBorder="1"/>
    <xf numFmtId="43" fontId="0" fillId="0" borderId="62" xfId="0" applyNumberFormat="1" applyBorder="1"/>
    <xf numFmtId="0" fontId="5" fillId="0" borderId="0" xfId="0" applyFont="1" applyAlignment="1">
      <alignment horizontal="right"/>
    </xf>
    <xf numFmtId="0" fontId="45" fillId="0" borderId="0" xfId="0" applyFont="1" applyAlignment="1">
      <alignment horizontal="center"/>
    </xf>
    <xf numFmtId="0" fontId="9" fillId="0" borderId="0" xfId="0" applyFont="1"/>
    <xf numFmtId="0" fontId="9" fillId="19" borderId="1" xfId="0" applyFont="1" applyFill="1" applyBorder="1"/>
    <xf numFmtId="0" fontId="5" fillId="19" borderId="1" xfId="0" applyFont="1" applyFill="1" applyBorder="1"/>
    <xf numFmtId="0" fontId="9" fillId="19" borderId="2" xfId="0" applyFont="1" applyFill="1" applyBorder="1" applyAlignment="1">
      <alignment horizontal="center"/>
    </xf>
    <xf numFmtId="0" fontId="9" fillId="19" borderId="3" xfId="0" applyFont="1" applyFill="1" applyBorder="1"/>
    <xf numFmtId="0" fontId="9" fillId="19" borderId="3" xfId="0" applyFont="1" applyFill="1" applyBorder="1" applyAlignment="1">
      <alignment horizontal="center"/>
    </xf>
    <xf numFmtId="0" fontId="46" fillId="0" borderId="8" xfId="0" applyFont="1" applyBorder="1"/>
    <xf numFmtId="0" fontId="5" fillId="0" borderId="9" xfId="0" applyFont="1" applyBorder="1"/>
    <xf numFmtId="10" fontId="46" fillId="0" borderId="9" xfId="0" applyNumberFormat="1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8" xfId="0" applyFont="1" applyBorder="1"/>
    <xf numFmtId="3" fontId="5" fillId="0" borderId="9" xfId="0" applyNumberFormat="1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9" fillId="0" borderId="15" xfId="0" applyFont="1" applyBorder="1"/>
    <xf numFmtId="4" fontId="5" fillId="0" borderId="0" xfId="0" applyNumberFormat="1" applyFont="1" applyAlignment="1">
      <alignment horizontal="right"/>
    </xf>
    <xf numFmtId="3" fontId="5" fillId="0" borderId="16" xfId="0" applyNumberFormat="1" applyFont="1" applyBorder="1" applyAlignment="1">
      <alignment horizontal="right"/>
    </xf>
    <xf numFmtId="10" fontId="5" fillId="0" borderId="0" xfId="0" applyNumberFormat="1" applyFont="1" applyAlignment="1">
      <alignment horizontal="right"/>
    </xf>
    <xf numFmtId="0" fontId="9" fillId="0" borderId="11" xfId="0" applyFont="1" applyBorder="1"/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4" fontId="9" fillId="0" borderId="6" xfId="0" applyNumberFormat="1" applyFont="1" applyBorder="1" applyAlignment="1">
      <alignment horizontal="right"/>
    </xf>
    <xf numFmtId="0" fontId="9" fillId="0" borderId="8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5" fillId="0" borderId="1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4" xfId="0" applyFont="1" applyBorder="1"/>
    <xf numFmtId="0" fontId="5" fillId="0" borderId="4" xfId="0" applyFont="1" applyBorder="1"/>
    <xf numFmtId="3" fontId="5" fillId="0" borderId="9" xfId="0" applyNumberFormat="1" applyFont="1" applyBorder="1" applyAlignment="1">
      <alignment horizontal="center"/>
    </xf>
    <xf numFmtId="0" fontId="47" fillId="0" borderId="0" xfId="0" applyFont="1"/>
    <xf numFmtId="3" fontId="9" fillId="0" borderId="7" xfId="0" applyNumberFormat="1" applyFont="1" applyBorder="1" applyAlignment="1">
      <alignment horizontal="right"/>
    </xf>
    <xf numFmtId="0" fontId="9" fillId="20" borderId="5" xfId="0" applyFont="1" applyFill="1" applyBorder="1"/>
    <xf numFmtId="0" fontId="9" fillId="20" borderId="6" xfId="0" applyFont="1" applyFill="1" applyBorder="1"/>
    <xf numFmtId="4" fontId="9" fillId="20" borderId="6" xfId="0" applyNumberFormat="1" applyFont="1" applyFill="1" applyBorder="1"/>
    <xf numFmtId="4" fontId="9" fillId="20" borderId="7" xfId="0" applyNumberFormat="1" applyFont="1" applyFill="1" applyBorder="1"/>
    <xf numFmtId="0" fontId="5" fillId="16" borderId="6" xfId="0" applyFont="1" applyFill="1" applyBorder="1"/>
    <xf numFmtId="0" fontId="5" fillId="16" borderId="5" xfId="0" applyFont="1" applyFill="1" applyBorder="1"/>
    <xf numFmtId="0" fontId="5" fillId="16" borderId="7" xfId="0" applyFont="1" applyFill="1" applyBorder="1"/>
    <xf numFmtId="0" fontId="44" fillId="0" borderId="0" xfId="0" applyFont="1" applyAlignment="1">
      <alignment wrapText="1"/>
    </xf>
    <xf numFmtId="43" fontId="0" fillId="0" borderId="0" xfId="0" applyNumberFormat="1" applyAlignment="1">
      <alignment vertical="center"/>
    </xf>
    <xf numFmtId="4" fontId="44" fillId="0" borderId="0" xfId="0" applyNumberFormat="1" applyFont="1" applyAlignment="1">
      <alignment wrapText="1"/>
    </xf>
    <xf numFmtId="165" fontId="0" fillId="0" borderId="0" xfId="0" applyNumberFormat="1"/>
    <xf numFmtId="0" fontId="0" fillId="0" borderId="0" xfId="0" applyAlignment="1">
      <alignment horizontal="left" wrapText="1"/>
    </xf>
    <xf numFmtId="0" fontId="13" fillId="0" borderId="13" xfId="0" applyFont="1" applyBorder="1" applyAlignment="1">
      <alignment horizontal="center"/>
    </xf>
    <xf numFmtId="0" fontId="14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167" fontId="20" fillId="0" borderId="0" xfId="0" applyNumberFormat="1" applyFont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44" fontId="5" fillId="0" borderId="4" xfId="2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0" xfId="0" applyFont="1" applyAlignment="1">
      <alignment horizontal="left"/>
    </xf>
    <xf numFmtId="44" fontId="5" fillId="0" borderId="0" xfId="2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16" fillId="13" borderId="8" xfId="0" applyFont="1" applyFill="1" applyBorder="1" applyAlignment="1">
      <alignment horizontal="center" vertical="center"/>
    </xf>
    <xf numFmtId="0" fontId="16" fillId="13" borderId="9" xfId="0" applyFont="1" applyFill="1" applyBorder="1" applyAlignment="1">
      <alignment horizontal="center" vertical="center"/>
    </xf>
    <xf numFmtId="0" fontId="16" fillId="13" borderId="10" xfId="0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6" fillId="13" borderId="16" xfId="0" applyFont="1" applyFill="1" applyBorder="1" applyAlignment="1">
      <alignment horizontal="center" vertical="center"/>
    </xf>
    <xf numFmtId="44" fontId="17" fillId="14" borderId="0" xfId="2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7" fillId="14" borderId="0" xfId="0" applyFont="1" applyFill="1" applyAlignment="1">
      <alignment horizontal="left"/>
    </xf>
    <xf numFmtId="0" fontId="17" fillId="14" borderId="16" xfId="0" applyFont="1" applyFill="1" applyBorder="1" applyAlignment="1">
      <alignment horizontal="left"/>
    </xf>
    <xf numFmtId="0" fontId="14" fillId="0" borderId="14" xfId="0" applyFont="1" applyBorder="1" applyAlignment="1">
      <alignment horizontal="center"/>
    </xf>
    <xf numFmtId="0" fontId="9" fillId="19" borderId="1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9" fillId="19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/>
    </xf>
  </cellXfs>
  <cellStyles count="12">
    <cellStyle name="Comma" xfId="1" builtinId="3"/>
    <cellStyle name="Comma 2" xfId="9" xr:uid="{00000000-0005-0000-0000-000001000000}"/>
    <cellStyle name="Comma 3" xfId="6" xr:uid="{00000000-0005-0000-0000-000002000000}"/>
    <cellStyle name="Currency" xfId="2" builtinId="4"/>
    <cellStyle name="Currency 2" xfId="8" xr:uid="{00000000-0005-0000-0000-000004000000}"/>
    <cellStyle name="Currency 3" xfId="5" xr:uid="{00000000-0005-0000-0000-000005000000}"/>
    <cellStyle name="Normal" xfId="0" builtinId="0"/>
    <cellStyle name="Normal 2" xfId="7" xr:uid="{00000000-0005-0000-0000-000007000000}"/>
    <cellStyle name="Normal 2 2" xfId="10" xr:uid="{00000000-0005-0000-0000-000008000000}"/>
    <cellStyle name="Normal 3" xfId="4" xr:uid="{00000000-0005-0000-0000-000009000000}"/>
    <cellStyle name="Normal_RBP '97 Smith's conversion" xfId="11" xr:uid="{1F317676-4459-403D-8F3A-161178839023}"/>
    <cellStyle name="Percent" xfId="3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</xdr:colOff>
      <xdr:row>31</xdr:row>
      <xdr:rowOff>1</xdr:rowOff>
    </xdr:from>
    <xdr:to>
      <xdr:col>60</xdr:col>
      <xdr:colOff>601133</xdr:colOff>
      <xdr:row>53</xdr:row>
      <xdr:rowOff>7808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BB2F70-E7A7-D355-3813-2EFC4C4C2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1" y="11387668"/>
          <a:ext cx="8525932" cy="3733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47625</xdr:rowOff>
    </xdr:from>
    <xdr:to>
      <xdr:col>1</xdr:col>
      <xdr:colOff>91440</xdr:colOff>
      <xdr:row>5</xdr:row>
      <xdr:rowOff>91440</xdr:rowOff>
    </xdr:to>
    <xdr:pic>
      <xdr:nvPicPr>
        <xdr:cNvPr id="1736" name="Picture 1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676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47625</xdr:rowOff>
    </xdr:from>
    <xdr:to>
      <xdr:col>0</xdr:col>
      <xdr:colOff>741045</xdr:colOff>
      <xdr:row>4</xdr:row>
      <xdr:rowOff>167640</xdr:rowOff>
    </xdr:to>
    <xdr:pic>
      <xdr:nvPicPr>
        <xdr:cNvPr id="2652" name="Picture 2">
          <a:extLst>
            <a:ext uri="{FF2B5EF4-FFF2-40B4-BE49-F238E27FC236}">
              <a16:creationId xmlns:a16="http://schemas.microsoft.com/office/drawing/2014/main" id="{00000000-0008-0000-0100-00005C0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0955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104775</xdr:rowOff>
    </xdr:from>
    <xdr:to>
      <xdr:col>0</xdr:col>
      <xdr:colOff>762000</xdr:colOff>
      <xdr:row>5</xdr:row>
      <xdr:rowOff>9525</xdr:rowOff>
    </xdr:to>
    <xdr:pic>
      <xdr:nvPicPr>
        <xdr:cNvPr id="12799" name="Picture 2">
          <a:extLst>
            <a:ext uri="{FF2B5EF4-FFF2-40B4-BE49-F238E27FC236}">
              <a16:creationId xmlns:a16="http://schemas.microsoft.com/office/drawing/2014/main" id="{00000000-0008-0000-0200-0000FF3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66700"/>
          <a:ext cx="685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38100</xdr:rowOff>
    </xdr:from>
    <xdr:to>
      <xdr:col>0</xdr:col>
      <xdr:colOff>733425</xdr:colOff>
      <xdr:row>4</xdr:row>
      <xdr:rowOff>152400</xdr:rowOff>
    </xdr:to>
    <xdr:pic>
      <xdr:nvPicPr>
        <xdr:cNvPr id="7682" name="Picture 2">
          <a:extLst>
            <a:ext uri="{FF2B5EF4-FFF2-40B4-BE49-F238E27FC236}">
              <a16:creationId xmlns:a16="http://schemas.microsoft.com/office/drawing/2014/main" id="{00000000-0008-0000-0300-00000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0025"/>
          <a:ext cx="676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0</xdr:col>
      <xdr:colOff>685800</xdr:colOff>
      <xdr:row>4</xdr:row>
      <xdr:rowOff>123825</xdr:rowOff>
    </xdr:to>
    <xdr:pic>
      <xdr:nvPicPr>
        <xdr:cNvPr id="13504" name="Picture 2">
          <a:extLst>
            <a:ext uri="{FF2B5EF4-FFF2-40B4-BE49-F238E27FC236}">
              <a16:creationId xmlns:a16="http://schemas.microsoft.com/office/drawing/2014/main" id="{00000000-0008-0000-0400-0000C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5628" name="Picture 3">
          <a:extLst>
            <a:ext uri="{FF2B5EF4-FFF2-40B4-BE49-F238E27FC236}">
              <a16:creationId xmlns:a16="http://schemas.microsoft.com/office/drawing/2014/main" id="{00000000-0008-0000-0500-0000FC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19050</xdr:rowOff>
    </xdr:from>
    <xdr:to>
      <xdr:col>0</xdr:col>
      <xdr:colOff>723900</xdr:colOff>
      <xdr:row>4</xdr:row>
      <xdr:rowOff>142875</xdr:rowOff>
    </xdr:to>
    <xdr:pic>
      <xdr:nvPicPr>
        <xdr:cNvPr id="4609" name="Picture 2">
          <a:extLst>
            <a:ext uri="{FF2B5EF4-FFF2-40B4-BE49-F238E27FC236}">
              <a16:creationId xmlns:a16="http://schemas.microsoft.com/office/drawing/2014/main" id="{00000000-0008-0000-0700-0000011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80975"/>
          <a:ext cx="685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AA28320-CE77-4E7B-94FE-953D0825E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5740"/>
          <a:ext cx="68580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38100</xdr:rowOff>
    </xdr:from>
    <xdr:to>
      <xdr:col>0</xdr:col>
      <xdr:colOff>704850</xdr:colOff>
      <xdr:row>4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5651033-8E87-4228-A9D6-B82BC0CC9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19050</xdr:rowOff>
    </xdr:from>
    <xdr:to>
      <xdr:col>0</xdr:col>
      <xdr:colOff>1619250</xdr:colOff>
      <xdr:row>5</xdr:row>
      <xdr:rowOff>123825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C99ED96-5358-4742-98A1-0780EB249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9050"/>
          <a:ext cx="9144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38100</xdr:rowOff>
    </xdr:from>
    <xdr:to>
      <xdr:col>0</xdr:col>
      <xdr:colOff>714375</xdr:colOff>
      <xdr:row>4</xdr:row>
      <xdr:rowOff>152400</xdr:rowOff>
    </xdr:to>
    <xdr:pic>
      <xdr:nvPicPr>
        <xdr:cNvPr id="9725" name="Picture 2">
          <a:extLst>
            <a:ext uri="{FF2B5EF4-FFF2-40B4-BE49-F238E27FC236}">
              <a16:creationId xmlns:a16="http://schemas.microsoft.com/office/drawing/2014/main" id="{00000000-0008-0000-0800-0000FD2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000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685800</xdr:colOff>
      <xdr:row>5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0AE1FF5-5ED7-46A1-B24C-A772E975D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5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1</xdr:row>
      <xdr:rowOff>0</xdr:rowOff>
    </xdr:from>
    <xdr:to>
      <xdr:col>0</xdr:col>
      <xdr:colOff>853962</xdr:colOff>
      <xdr:row>4</xdr:row>
      <xdr:rowOff>131082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379809-6C33-4AF6-89C3-F7D08354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93" y="163286"/>
          <a:ext cx="673894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43794</xdr:colOff>
      <xdr:row>86</xdr:row>
      <xdr:rowOff>21897</xdr:rowOff>
    </xdr:from>
    <xdr:to>
      <xdr:col>13</xdr:col>
      <xdr:colOff>983272</xdr:colOff>
      <xdr:row>99</xdr:row>
      <xdr:rowOff>147404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6479A-CE9E-D77E-01B2-69FC3688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9053" y="14637845"/>
          <a:ext cx="8668960" cy="2638793"/>
        </a:xfrm>
        <a:prstGeom prst="rect">
          <a:avLst/>
        </a:prstGeom>
      </xdr:spPr>
    </xdr:pic>
    <xdr:clientData/>
  </xdr:twoCellAnchor>
  <xdr:twoCellAnchor editAs="oneCell">
    <xdr:from>
      <xdr:col>6</xdr:col>
      <xdr:colOff>87587</xdr:colOff>
      <xdr:row>102</xdr:row>
      <xdr:rowOff>109484</xdr:rowOff>
    </xdr:from>
    <xdr:to>
      <xdr:col>13</xdr:col>
      <xdr:colOff>417380</xdr:colOff>
      <xdr:row>106</xdr:row>
      <xdr:rowOff>24183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F2DF5E-300F-DF1C-6A8E-9F19C259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2846" y="17353018"/>
          <a:ext cx="8059275" cy="68589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101</xdr:col>
      <xdr:colOff>0</xdr:colOff>
      <xdr:row>87</xdr:row>
      <xdr:rowOff>0</xdr:rowOff>
    </xdr:from>
    <xdr:to>
      <xdr:col>109</xdr:col>
      <xdr:colOff>544164</xdr:colOff>
      <xdr:row>89</xdr:row>
      <xdr:rowOff>123895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C481D8-0A2F-50C2-1CF7-571E784BB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707825" y="14430375"/>
          <a:ext cx="8878539" cy="504895"/>
        </a:xfrm>
        <a:prstGeom prst="rect">
          <a:avLst/>
        </a:prstGeom>
      </xdr:spPr>
    </xdr:pic>
    <xdr:clientData/>
  </xdr:twoCellAnchor>
  <xdr:twoCellAnchor editAs="oneCell">
    <xdr:from>
      <xdr:col>110</xdr:col>
      <xdr:colOff>0</xdr:colOff>
      <xdr:row>89</xdr:row>
      <xdr:rowOff>0</xdr:rowOff>
    </xdr:from>
    <xdr:to>
      <xdr:col>118</xdr:col>
      <xdr:colOff>163111</xdr:colOff>
      <xdr:row>102</xdr:row>
      <xdr:rowOff>133714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8E3245-B7C9-6F64-609C-A30B43836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94675" y="14754225"/>
          <a:ext cx="8497486" cy="2610214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84</xdr:row>
      <xdr:rowOff>0</xdr:rowOff>
    </xdr:from>
    <xdr:to>
      <xdr:col>63</xdr:col>
      <xdr:colOff>352425</xdr:colOff>
      <xdr:row>91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92B40EE-2E73-0C6C-8C8F-0BCEA525FEB1}"/>
            </a:ext>
            <a:ext uri="{147F2762-F138-4A5C-976F-8EAC2B608ADB}">
              <a16:predDERef xmlns:a16="http://schemas.microsoft.com/office/drawing/2014/main" pred="{52BCA02D-9810-2F6E-6408-105A5747C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73700" y="13620750"/>
          <a:ext cx="7686675" cy="14287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mar, Jai" refreshedDate="46057.876837384261" createdVersion="8" refreshedVersion="8" minRefreshableVersion="3" recordCount="134" xr:uid="{E2E0605C-6812-4677-8CC6-B33AB375D7C4}">
  <cacheSource type="worksheet">
    <worksheetSource ref="A1:N135" sheet="Data"/>
  </cacheSource>
  <cacheFields count="14">
    <cacheField name="Tenant Name" numFmtId="0">
      <sharedItems count="19">
        <s v="EOS Fitness"/>
        <s v="Third Pasrty MVS"/>
        <s v="Sally Beauty Supply "/>
        <s v="Wild Side Smoke Shop"/>
        <s v="Green Spa, LLC"/>
        <s v="AT&amp;T Mobility"/>
        <s v="Discount Nutrition"/>
        <s v="Adapt Chiropractic"/>
        <s v="Speakeasy Suites"/>
        <s v="Kachina Stained Glass"/>
        <s v="Zanders Creations"/>
        <s v="Brightnow Dental"/>
        <s v="Carr Animal Care"/>
        <s v="Razors Barber Shop"/>
        <s v="CrossFit New Strength"/>
        <s v="Vacant (Time Out Bar)"/>
        <s v="Walmart"/>
        <s v="Sportsman's Warehouse"/>
        <s v="John F. Long Foundation"/>
      </sharedItems>
    </cacheField>
    <cacheField name="Particulars" numFmtId="0">
      <sharedItems count="8">
        <s v="Rent"/>
        <s v="CAM"/>
        <s v="Building Exp"/>
        <s v="Ins"/>
        <s v="Admin Fee"/>
        <s v="RET"/>
        <s v="Signage"/>
        <s v="S Tax"/>
      </sharedItems>
    </cacheField>
    <cacheField name="JAN" numFmtId="0">
      <sharedItems containsString="0" containsBlank="1" containsNumber="1" minValue="0" maxValue="52938"/>
    </cacheField>
    <cacheField name="FEB" numFmtId="0">
      <sharedItems containsString="0" containsBlank="1" containsNumber="1" minValue="0" maxValue="52938"/>
    </cacheField>
    <cacheField name="MARCH" numFmtId="0">
      <sharedItems containsString="0" containsBlank="1" containsNumber="1" minValue="0" maxValue="52938"/>
    </cacheField>
    <cacheField name="APRIL" numFmtId="0">
      <sharedItems containsString="0" containsBlank="1" containsNumber="1" minValue="0" maxValue="52938"/>
    </cacheField>
    <cacheField name="MAY" numFmtId="0">
      <sharedItems containsString="0" containsBlank="1" containsNumber="1" minValue="0" maxValue="52938"/>
    </cacheField>
    <cacheField name="JUNE" numFmtId="0">
      <sharedItems containsString="0" containsBlank="1" containsNumber="1" minValue="0" maxValue="52938"/>
    </cacheField>
    <cacheField name="JULY" numFmtId="0">
      <sharedItems containsString="0" containsBlank="1" containsNumber="1" minValue="0" maxValue="52938"/>
    </cacheField>
    <cacheField name="AUGUST" numFmtId="0">
      <sharedItems containsString="0" containsBlank="1" containsNumber="1" minValue="0" maxValue="52938"/>
    </cacheField>
    <cacheField name="SEPT" numFmtId="0">
      <sharedItems containsString="0" containsBlank="1" containsNumber="1" minValue="0" maxValue="52938"/>
    </cacheField>
    <cacheField name="OCT" numFmtId="0">
      <sharedItems containsString="0" containsBlank="1" containsNumber="1" minValue="0" maxValue="52938"/>
    </cacheField>
    <cacheField name="NOV" numFmtId="0">
      <sharedItems containsString="0" containsBlank="1" containsNumber="1" minValue="0" maxValue="52938"/>
    </cacheField>
    <cacheField name="DEC" numFmtId="0">
      <sharedItems containsString="0" containsBlank="1" containsNumber="1" minValue="0" maxValue="529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52938"/>
    <n v="52938"/>
    <n v="52938"/>
    <n v="52938"/>
    <n v="52938"/>
    <n v="52938"/>
    <n v="52938"/>
    <n v="52938"/>
    <n v="52938"/>
    <n v="52938"/>
    <n v="52938"/>
    <n v="52938"/>
  </r>
  <r>
    <x v="1"/>
    <x v="0"/>
    <n v="6190.3"/>
    <n v="6190.3"/>
    <n v="6190.3"/>
    <n v="6190.3"/>
    <n v="6190.3"/>
    <n v="6190.3"/>
    <n v="6190.3"/>
    <n v="6190.3"/>
    <n v="6190.3"/>
    <n v="6376.01"/>
    <n v="6376.01"/>
    <n v="6376.01"/>
  </r>
  <r>
    <x v="2"/>
    <x v="0"/>
    <n v="2539.06"/>
    <n v="2539.06"/>
    <n v="2539.06"/>
    <n v="2539.06"/>
    <n v="2539.06"/>
    <n v="2539.06"/>
    <n v="2539.06"/>
    <n v="2539.06"/>
    <n v="2539.06"/>
    <n v="2539.06"/>
    <n v="2539.06"/>
    <n v="2539.06"/>
  </r>
  <r>
    <x v="3"/>
    <x v="0"/>
    <n v="2475.4299999999998"/>
    <n v="2475.4299999999998"/>
    <n v="2475.4299999999998"/>
    <n v="2475.4299999999998"/>
    <n v="2549.69"/>
    <n v="2549.69"/>
    <n v="2549.69"/>
    <n v="2549.69"/>
    <n v="2549.69"/>
    <n v="2549.69"/>
    <n v="2549.69"/>
    <n v="2549.69"/>
  </r>
  <r>
    <x v="4"/>
    <x v="0"/>
    <n v="2106.41"/>
    <n v="2106.41"/>
    <n v="2106.41"/>
    <n v="2148.54"/>
    <n v="2148.54"/>
    <n v="2148.54"/>
    <n v="2148.54"/>
    <n v="2148.54"/>
    <n v="2148.54"/>
    <n v="2148.54"/>
    <n v="2148.54"/>
    <n v="2148.54"/>
  </r>
  <r>
    <x v="5"/>
    <x v="0"/>
    <n v="5375.4"/>
    <n v="5375.4"/>
    <n v="5375.4"/>
    <n v="5375.4"/>
    <n v="5375.4"/>
    <n v="5375.4"/>
    <n v="5375.4"/>
    <n v="5375.4"/>
    <n v="5375.4"/>
    <n v="5375.4"/>
    <n v="5375.4"/>
    <n v="5375.4"/>
  </r>
  <r>
    <x v="6"/>
    <x v="0"/>
    <n v="2435.4699999999998"/>
    <n v="2435.4699999999998"/>
    <n v="2435.4699999999998"/>
    <n v="2484.1799999999998"/>
    <n v="2484.1799999999998"/>
    <n v="2484.1799999999998"/>
    <n v="2484.1799999999998"/>
    <n v="2484.1799999999998"/>
    <n v="2484.1799999999998"/>
    <n v="2484.1799999999998"/>
    <n v="2484.1799999999998"/>
    <n v="2484.1799999999998"/>
  </r>
  <r>
    <x v="7"/>
    <x v="0"/>
    <n v="3699.2"/>
    <n v="3699.2"/>
    <n v="3699.2"/>
    <n v="3699.2"/>
    <n v="3699.2"/>
    <n v="3699.2"/>
    <n v="3699.2"/>
    <n v="3699.2"/>
    <n v="3699.2"/>
    <n v="3699.2"/>
    <n v="3699.2"/>
    <n v="3699.2"/>
  </r>
  <r>
    <x v="8"/>
    <x v="0"/>
    <n v="5852.65"/>
    <n v="5852.65"/>
    <n v="5852.65"/>
    <n v="5852.65"/>
    <n v="5852.65"/>
    <n v="5852.65"/>
    <n v="5852.65"/>
    <n v="5852.65"/>
    <n v="5852.65"/>
    <n v="5852.65"/>
    <n v="6028.23"/>
    <n v="6028.23"/>
  </r>
  <r>
    <x v="9"/>
    <x v="0"/>
    <n v="2399.0300000000002"/>
    <n v="2399.0300000000002"/>
    <n v="2399.0300000000002"/>
    <n v="2399.0300000000002"/>
    <n v="2399.0300000000002"/>
    <n v="2399.0300000000002"/>
    <n v="2447.4499999999998"/>
    <n v="2447.4499999999998"/>
    <n v="2447.4499999999998"/>
    <n v="2447.4499999999998"/>
    <n v="2447.4499999999998"/>
    <n v="2447.4499999999998"/>
  </r>
  <r>
    <x v="10"/>
    <x v="0"/>
    <n v="2767.06"/>
    <n v="2767.06"/>
    <n v="2767.06"/>
    <n v="2850.08"/>
    <n v="2850.08"/>
    <n v="2850.08"/>
    <n v="2850.08"/>
    <n v="2850.08"/>
    <n v="2850.08"/>
    <n v="2850.08"/>
    <n v="2850.08"/>
    <n v="2850.08"/>
  </r>
  <r>
    <x v="11"/>
    <x v="0"/>
    <n v="7200"/>
    <n v="7200"/>
    <n v="7200"/>
    <n v="7200"/>
    <n v="7200"/>
    <n v="7200"/>
    <n v="7200"/>
    <n v="7200"/>
    <n v="7200"/>
    <n v="7200"/>
    <n v="7200"/>
    <n v="7200"/>
  </r>
  <r>
    <x v="12"/>
    <x v="0"/>
    <n v="2909.5"/>
    <n v="2909.5"/>
    <n v="2909.5"/>
    <n v="2909.5"/>
    <n v="2909.5"/>
    <n v="2909.5"/>
    <n v="2909.5"/>
    <n v="2909.5"/>
    <n v="2909.5"/>
    <n v="3200.45"/>
    <n v="3200.45"/>
    <n v="3200.45"/>
  </r>
  <r>
    <x v="13"/>
    <x v="0"/>
    <n v="1950.88"/>
    <n v="1950.88"/>
    <n v="1950.88"/>
    <n v="2009.41"/>
    <n v="2009.41"/>
    <n v="2009.41"/>
    <n v="2009.41"/>
    <n v="2009.41"/>
    <n v="2009.41"/>
    <n v="2009.41"/>
    <n v="2009.41"/>
    <n v="2009.41"/>
  </r>
  <r>
    <x v="14"/>
    <x v="0"/>
    <n v="4639.93"/>
    <n v="4639.93"/>
    <n v="4639.93"/>
    <n v="4639.93"/>
    <n v="4639.93"/>
    <n v="4639.93"/>
    <n v="4639.93"/>
    <n v="4639.93"/>
    <n v="4639.93"/>
    <n v="4639.93"/>
    <n v="4639.93"/>
    <n v="4639.93"/>
  </r>
  <r>
    <x v="15"/>
    <x v="0"/>
    <m/>
    <m/>
    <m/>
    <m/>
    <m/>
    <m/>
    <n v="6190.3"/>
    <n v="6190.3"/>
    <n v="6190.3"/>
    <n v="6190.3"/>
    <n v="6190.3"/>
    <n v="6190.3"/>
  </r>
  <r>
    <x v="0"/>
    <x v="1"/>
    <n v="4021.8169162499994"/>
    <n v="4021.8169162499994"/>
    <n v="4021.8169162499994"/>
    <n v="4021.8169162499994"/>
    <n v="4021.8169162499994"/>
    <n v="4021.8169162499994"/>
    <n v="4021.8169162499994"/>
    <n v="4021.8169162499994"/>
    <n v="4021.8169162499994"/>
    <n v="4021.8169162499994"/>
    <n v="4021.8169162499994"/>
    <n v="4021.8169162499994"/>
  </r>
  <r>
    <x v="1"/>
    <x v="1"/>
    <n v="583.52591605251894"/>
    <n v="583.52591605251894"/>
    <n v="583.52591605251894"/>
    <n v="583.52591605251894"/>
    <n v="583.52591605251894"/>
    <n v="583.52591605251894"/>
    <n v="583.52591605251894"/>
    <n v="583.52591605251894"/>
    <n v="583.52591605251894"/>
    <n v="583.52591605251894"/>
    <n v="583.52591605251894"/>
    <n v="583.52591605251894"/>
  </r>
  <r>
    <x v="2"/>
    <x v="1"/>
    <n v="338.83978105488274"/>
    <n v="338.83978105488274"/>
    <n v="338.83978105488274"/>
    <n v="338.83978105488274"/>
    <n v="338.83978105488274"/>
    <n v="338.83978105488274"/>
    <n v="338.83978105488274"/>
    <n v="338.83978105488274"/>
    <n v="338.83978105488274"/>
    <n v="338.83978105488274"/>
    <n v="338.83978105488274"/>
    <n v="338.83978105488274"/>
  </r>
  <r>
    <x v="3"/>
    <x v="1"/>
    <n v="272.31209415784218"/>
    <n v="272.31209415784218"/>
    <n v="272.31209415784218"/>
    <n v="272.31209415784218"/>
    <n v="272.31209415784218"/>
    <n v="272.31209415784218"/>
    <n v="272.31209415784218"/>
    <n v="272.31209415784218"/>
    <n v="272.31209415784218"/>
    <n v="272.31209415784218"/>
    <n v="272.31209415784218"/>
    <n v="272.31209415784218"/>
  </r>
  <r>
    <x v="4"/>
    <x v="1"/>
    <n v="216.2936062168003"/>
    <n v="216.2936062168003"/>
    <n v="216.2936062168003"/>
    <n v="216.2936062168003"/>
    <n v="216.2936062168003"/>
    <n v="216.2936062168003"/>
    <n v="216.2936062168003"/>
    <n v="216.2936062168003"/>
    <n v="216.2936062168003"/>
    <n v="216.2936062168003"/>
    <n v="216.2936062168003"/>
    <n v="216.2936062168003"/>
  </r>
  <r>
    <x v="5"/>
    <x v="1"/>
    <n v="450.2633236668633"/>
    <n v="450.2633236668633"/>
    <n v="450.2633236668633"/>
    <n v="450.2633236668633"/>
    <n v="450.2633236668633"/>
    <n v="450.2633236668633"/>
    <n v="450.2633236668633"/>
    <n v="450.2633236668633"/>
    <n v="450.2633236668633"/>
    <n v="450.2633236668633"/>
    <n v="450.2633236668633"/>
    <n v="450.2633236668633"/>
  </r>
  <r>
    <x v="6"/>
    <x v="1"/>
    <n v="291.76295802625947"/>
    <n v="291.76295802625947"/>
    <n v="291.76295802625947"/>
    <n v="291.76295802625947"/>
    <n v="291.76295802625947"/>
    <n v="291.76295802625947"/>
    <n v="291.76295802625947"/>
    <n v="291.76295802625947"/>
    <n v="291.76295802625947"/>
    <n v="291.76295802625947"/>
    <n v="291.76295802625947"/>
    <n v="291.76295802625947"/>
  </r>
  <r>
    <x v="7"/>
    <x v="1"/>
    <n v="105.51137267613569"/>
    <n v="105.51137267613569"/>
    <n v="105.51137267613569"/>
    <n v="105.51137267613569"/>
    <n v="105.51137267613569"/>
    <n v="105.51137267613569"/>
    <n v="105.51137267613569"/>
    <n v="105.51137267613569"/>
    <n v="105.51137267613569"/>
    <n v="105.51137267613569"/>
    <n v="105.51137267613569"/>
    <n v="105.51137267613569"/>
  </r>
  <r>
    <x v="8"/>
    <x v="1"/>
    <n v="758.58369086827452"/>
    <n v="758.58369086827452"/>
    <n v="758.58369086827452"/>
    <n v="758.58369086827452"/>
    <n v="758.58369086827452"/>
    <n v="758.58369086827452"/>
    <n v="758.58369086827452"/>
    <n v="758.58369086827452"/>
    <n v="758.58369086827452"/>
    <n v="758.58369086827452"/>
    <n v="758.58369086827452"/>
    <n v="758.58369086827452"/>
  </r>
  <r>
    <x v="9"/>
    <x v="1"/>
    <n v="250.33261798653061"/>
    <n v="250.33261798653061"/>
    <n v="250.33261798653061"/>
    <n v="250.33261798653061"/>
    <n v="250.33261798653061"/>
    <n v="250.33261798653061"/>
    <n v="250.33261798653061"/>
    <n v="250.33261798653061"/>
    <n v="250.33261798653061"/>
    <n v="250.33261798653061"/>
    <n v="250.33261798653061"/>
    <n v="250.33261798653061"/>
  </r>
  <r>
    <x v="10"/>
    <x v="1"/>
    <n v="318.79965880335936"/>
    <n v="318.79965880335936"/>
    <n v="318.79965880335936"/>
    <n v="318.79965880335936"/>
    <n v="318.79965880335936"/>
    <n v="318.79965880335936"/>
    <n v="318.79965880335936"/>
    <n v="318.79965880335936"/>
    <n v="318.79965880335936"/>
    <n v="318.79965880335936"/>
    <n v="318.79965880335936"/>
    <n v="318.79965880335936"/>
  </r>
  <r>
    <x v="11"/>
    <x v="1"/>
    <n v="797.79439633683899"/>
    <n v="797.79439633683899"/>
    <n v="797.79439633683899"/>
    <n v="797.79439633683899"/>
    <n v="797.79439633683899"/>
    <n v="797.79439633683899"/>
    <n v="797.79439633683899"/>
    <n v="797.79439633683899"/>
    <n v="797.79439633683899"/>
    <n v="797.79439633683899"/>
    <n v="797.79439633683899"/>
    <n v="797.79439633683899"/>
  </r>
  <r>
    <x v="12"/>
    <x v="1"/>
    <n v="200.31339443458941"/>
    <n v="200.31339443458941"/>
    <n v="200.31339443458941"/>
    <n v="200.31339443458941"/>
    <n v="200.31339443458941"/>
    <n v="200.31339443458941"/>
    <n v="200.31339443458941"/>
    <n v="200.31339443458941"/>
    <n v="200.31339443458941"/>
    <n v="200.31339443458941"/>
    <n v="200.31339443458941"/>
    <n v="200.31339443458941"/>
  </r>
  <r>
    <x v="13"/>
    <x v="1"/>
    <n v="424.03701307173156"/>
    <n v="424.03701307173156"/>
    <n v="424.03701307173156"/>
    <n v="424.03701307173156"/>
    <n v="424.03701307173156"/>
    <n v="424.03701307173156"/>
    <n v="424.03701307173156"/>
    <n v="424.03701307173156"/>
    <n v="424.03701307173156"/>
    <n v="424.03701307173156"/>
    <n v="424.03701307173156"/>
    <n v="424.03701307173156"/>
  </r>
  <r>
    <x v="14"/>
    <x v="1"/>
    <n v="685.44844272302544"/>
    <n v="685.44844272302544"/>
    <n v="685.44844272302544"/>
    <n v="685.44844272302544"/>
    <n v="685.44844272302544"/>
    <n v="685.44844272302544"/>
    <n v="685.44844272302544"/>
    <n v="685.44844272302544"/>
    <n v="685.44844272302544"/>
    <n v="685.44844272302544"/>
    <n v="685.44844272302544"/>
    <n v="685.44844272302544"/>
  </r>
  <r>
    <x v="15"/>
    <x v="1"/>
    <n v="0"/>
    <n v="0"/>
    <n v="0"/>
    <n v="0"/>
    <n v="0"/>
    <n v="0"/>
    <n v="394.81363971185505"/>
    <n v="394.81363971185505"/>
    <n v="394.81363971185505"/>
    <n v="394.81363971185505"/>
    <n v="394.81363971185505"/>
    <n v="394.81363971185505"/>
  </r>
  <r>
    <x v="0"/>
    <x v="2"/>
    <n v="0"/>
    <n v="0"/>
    <n v="0"/>
    <n v="0"/>
    <n v="0"/>
    <n v="0"/>
    <n v="0"/>
    <n v="0"/>
    <n v="0"/>
    <n v="0"/>
    <n v="0"/>
    <n v="0"/>
  </r>
  <r>
    <x v="1"/>
    <x v="2"/>
    <n v="491.64603014460857"/>
    <n v="491.64603014460857"/>
    <n v="491.64603014460857"/>
    <n v="491.64603014460857"/>
    <n v="491.64603014460857"/>
    <n v="491.64603014460857"/>
    <n v="491.64603014460857"/>
    <n v="491.64603014460857"/>
    <n v="491.64603014460857"/>
    <n v="491.64603014460857"/>
    <n v="491.64603014460857"/>
    <n v="491.64603014460857"/>
  </r>
  <r>
    <x v="2"/>
    <x v="2"/>
    <n v="0"/>
    <n v="0"/>
    <n v="0"/>
    <n v="0"/>
    <n v="0"/>
    <n v="0"/>
    <n v="0"/>
    <n v="0"/>
    <n v="0"/>
    <n v="0"/>
    <n v="0"/>
    <n v="0"/>
  </r>
  <r>
    <x v="3"/>
    <x v="2"/>
    <n v="229.43481406748393"/>
    <n v="229.43481406748393"/>
    <n v="229.43481406748393"/>
    <n v="229.43481406748393"/>
    <n v="229.43481406748393"/>
    <n v="229.43481406748393"/>
    <n v="229.43481406748393"/>
    <n v="229.43481406748393"/>
    <n v="229.43481406748393"/>
    <n v="229.43481406748393"/>
    <n v="229.43481406748393"/>
    <n v="229.43481406748393"/>
  </r>
  <r>
    <x v="4"/>
    <x v="2"/>
    <n v="182.23679517360156"/>
    <n v="182.23679517360156"/>
    <n v="182.23679517360156"/>
    <n v="182.23679517360156"/>
    <n v="182.23679517360156"/>
    <n v="182.23679517360156"/>
    <n v="182.23679517360156"/>
    <n v="182.23679517360156"/>
    <n v="182.23679517360156"/>
    <n v="182.23679517360156"/>
    <n v="182.23679517360156"/>
    <n v="182.23679517360156"/>
  </r>
  <r>
    <x v="5"/>
    <x v="2"/>
    <n v="0"/>
    <n v="0"/>
    <n v="0"/>
    <n v="0"/>
    <n v="0"/>
    <n v="0"/>
    <n v="0"/>
    <n v="0"/>
    <n v="0"/>
    <n v="0"/>
    <n v="0"/>
    <n v="0"/>
  </r>
  <r>
    <x v="6"/>
    <x v="2"/>
    <n v="245.82301507230429"/>
    <n v="245.82301507230429"/>
    <n v="245.82301507230429"/>
    <n v="245.82301507230429"/>
    <n v="245.82301507230429"/>
    <n v="245.82301507230429"/>
    <n v="245.82301507230429"/>
    <n v="245.82301507230429"/>
    <n v="245.82301507230429"/>
    <n v="245.82301507230429"/>
    <n v="245.82301507230429"/>
    <n v="245.82301507230429"/>
  </r>
  <r>
    <x v="7"/>
    <x v="2"/>
    <n v="0"/>
    <n v="0"/>
    <n v="0"/>
    <n v="0"/>
    <n v="0"/>
    <n v="0"/>
    <n v="0"/>
    <n v="0"/>
    <n v="0"/>
    <n v="0"/>
    <n v="0"/>
    <n v="0"/>
  </r>
  <r>
    <x v="8"/>
    <x v="2"/>
    <n v="639.13983918799113"/>
    <n v="639.13983918799113"/>
    <n v="639.13983918799113"/>
    <n v="639.13983918799113"/>
    <n v="639.13983918799113"/>
    <n v="639.13983918799113"/>
    <n v="639.13983918799113"/>
    <n v="639.13983918799113"/>
    <n v="639.13983918799113"/>
    <n v="639.13983918799113"/>
    <n v="639.13983918799113"/>
    <n v="639.13983918799113"/>
  </r>
  <r>
    <x v="9"/>
    <x v="2"/>
    <n v="210.91614693203701"/>
    <n v="210.91614693203701"/>
    <n v="210.91614693203701"/>
    <n v="210.91614693203701"/>
    <n v="210.91614693203701"/>
    <n v="210.91614693203701"/>
    <n v="210.91614693203701"/>
    <n v="210.91614693203701"/>
    <n v="210.91614693203701"/>
    <n v="210.91614693203701"/>
    <n v="210.91614693203701"/>
    <n v="210.91614693203701"/>
  </r>
  <r>
    <x v="10"/>
    <x v="2"/>
    <n v="268.60261446900449"/>
    <n v="268.60261446900449"/>
    <n v="268.60261446900449"/>
    <n v="268.60261446900449"/>
    <n v="268.60261446900449"/>
    <n v="268.60261446900449"/>
    <n v="268.60261446900449"/>
    <n v="268.60261446900449"/>
    <n v="268.60261446900449"/>
    <n v="268.60261446900449"/>
    <n v="268.60261446900449"/>
    <n v="268.60261446900449"/>
  </r>
  <r>
    <x v="11"/>
    <x v="2"/>
    <n v="0"/>
    <n v="0"/>
    <n v="0"/>
    <n v="0"/>
    <n v="0"/>
    <n v="0"/>
    <n v="0"/>
    <n v="0"/>
    <n v="0"/>
    <n v="0"/>
    <n v="0"/>
    <n v="0"/>
  </r>
  <r>
    <x v="12"/>
    <x v="2"/>
    <n v="0"/>
    <n v="0"/>
    <n v="0"/>
    <n v="0"/>
    <n v="0"/>
    <n v="0"/>
    <n v="0"/>
    <n v="0"/>
    <n v="0"/>
    <n v="0"/>
    <n v="0"/>
    <n v="0"/>
  </r>
  <r>
    <x v="13"/>
    <x v="2"/>
    <n v="0"/>
    <n v="0"/>
    <n v="0"/>
    <n v="0"/>
    <n v="0"/>
    <n v="0"/>
    <n v="0"/>
    <n v="0"/>
    <n v="0"/>
    <n v="0"/>
    <n v="0"/>
    <n v="0"/>
  </r>
  <r>
    <x v="14"/>
    <x v="2"/>
    <n v="577.52020340986678"/>
    <n v="577.52020340986678"/>
    <n v="577.52020340986678"/>
    <n v="577.52020340986678"/>
    <n v="577.52020340986678"/>
    <n v="577.52020340986678"/>
    <n v="577.52020340986678"/>
    <n v="577.52020340986678"/>
    <n v="577.52020340986678"/>
    <n v="577.52020340986678"/>
    <n v="577.52020340986678"/>
    <n v="577.52020340986678"/>
  </r>
  <r>
    <x v="15"/>
    <x v="2"/>
    <n v="0"/>
    <n v="0"/>
    <n v="0"/>
    <n v="0"/>
    <n v="0"/>
    <n v="0"/>
    <n v="492.79320421494594"/>
    <n v="492.79320421494594"/>
    <n v="492.79320421494594"/>
    <n v="492.79320421494594"/>
    <n v="492.79320421494594"/>
    <n v="492.79320421494594"/>
  </r>
  <r>
    <x v="0"/>
    <x v="3"/>
    <n v="1376.7464443427018"/>
    <n v="1376.7464443427018"/>
    <n v="1376.7464443427018"/>
    <n v="1376.7464443427018"/>
    <n v="1376.7464443427018"/>
    <n v="1376.7464443427018"/>
    <n v="1376.7464443427018"/>
    <n v="1376.7464443427018"/>
    <n v="1376.7464443427018"/>
    <n v="1376.7464443427018"/>
    <n v="1376.7464443427018"/>
    <n v="1376.7464443427018"/>
  </r>
  <r>
    <x v="1"/>
    <x v="3"/>
    <n v="118.00683808651731"/>
    <n v="118.00683808651731"/>
    <n v="118.00683808651731"/>
    <n v="118.00683808651731"/>
    <n v="118.00683808651731"/>
    <n v="118.00683808651731"/>
    <n v="118.00683808651731"/>
    <n v="118.00683808651731"/>
    <n v="118.00683808651731"/>
    <n v="118.00683808651731"/>
    <n v="118.00683808651731"/>
    <n v="118.00683808651731"/>
  </r>
  <r>
    <x v="2"/>
    <x v="3"/>
    <n v="63.920370630196878"/>
    <n v="63.920370630196878"/>
    <n v="63.920370630196878"/>
    <n v="63.920370630196878"/>
    <n v="63.920370630196878"/>
    <n v="63.920370630196878"/>
    <n v="63.920370630196878"/>
    <n v="63.920370630196878"/>
    <n v="63.920370630196878"/>
    <n v="63.920370630196878"/>
    <n v="63.920370630196878"/>
    <n v="63.920370630196878"/>
  </r>
  <r>
    <x v="3"/>
    <x v="3"/>
    <n v="55.069857773708073"/>
    <n v="55.069857773708073"/>
    <n v="55.069857773708073"/>
    <n v="55.069857773708073"/>
    <n v="55.069857773708073"/>
    <n v="55.069857773708073"/>
    <n v="55.069857773708073"/>
    <n v="55.069857773708073"/>
    <n v="55.069857773708073"/>
    <n v="55.069857773708073"/>
    <n v="55.069857773708073"/>
    <n v="55.069857773708073"/>
  </r>
  <r>
    <x v="4"/>
    <x v="3"/>
    <n v="43.741201317402414"/>
    <n v="43.741201317402414"/>
    <n v="43.741201317402414"/>
    <n v="43.741201317402414"/>
    <n v="43.741201317402414"/>
    <n v="43.741201317402414"/>
    <n v="43.741201317402414"/>
    <n v="43.741201317402414"/>
    <n v="43.741201317402414"/>
    <n v="43.741201317402414"/>
    <n v="43.741201317402414"/>
    <n v="43.741201317402414"/>
  </r>
  <r>
    <x v="5"/>
    <x v="3"/>
    <n v="98.103018062591374"/>
    <n v="98.103018062591374"/>
    <n v="98.103018062591374"/>
    <n v="98.103018062591374"/>
    <n v="98.103018062591374"/>
    <n v="98.103018062591374"/>
    <n v="98.103018062591374"/>
    <n v="98.103018062591374"/>
    <n v="98.103018062591374"/>
    <n v="98.103018062591374"/>
    <n v="98.103018062591374"/>
    <n v="98.103018062591374"/>
  </r>
  <r>
    <x v="6"/>
    <x v="3"/>
    <n v="59.003419043258653"/>
    <n v="59.003419043258653"/>
    <n v="59.003419043258653"/>
    <n v="59.003419043258653"/>
    <n v="59.003419043258653"/>
    <n v="59.003419043258653"/>
    <n v="59.003419043258653"/>
    <n v="59.003419043258653"/>
    <n v="59.003419043258653"/>
    <n v="59.003419043258653"/>
    <n v="59.003419043258653"/>
    <n v="59.003419043258653"/>
  </r>
  <r>
    <x v="7"/>
    <x v="3"/>
    <n v="68.207952414007011"/>
    <n v="68.207952414007011"/>
    <n v="68.207952414007011"/>
    <n v="68.207952414007011"/>
    <n v="68.207952414007011"/>
    <n v="68.207952414007011"/>
    <n v="68.207952414007011"/>
    <n v="68.207952414007011"/>
    <n v="68.207952414007011"/>
    <n v="68.207952414007011"/>
    <n v="68.207952414007011"/>
    <n v="68.207952414007011"/>
  </r>
  <r>
    <x v="8"/>
    <x v="3"/>
    <n v="153.40888951247248"/>
    <n v="153.40888951247248"/>
    <n v="153.40888951247248"/>
    <n v="153.40888951247248"/>
    <n v="153.40888951247248"/>
    <n v="153.40888951247248"/>
    <n v="153.40888951247248"/>
    <n v="153.40888951247248"/>
    <n v="153.40888951247248"/>
    <n v="153.40888951247248"/>
    <n v="153.40888951247248"/>
    <n v="153.40888951247248"/>
  </r>
  <r>
    <x v="9"/>
    <x v="3"/>
    <n v="50.624933539115915"/>
    <n v="50.624933539115915"/>
    <n v="50.624933539115915"/>
    <n v="50.624933539115915"/>
    <n v="50.624933539115915"/>
    <n v="50.624933539115915"/>
    <n v="50.624933539115915"/>
    <n v="50.624933539115915"/>
    <n v="50.624933539115915"/>
    <n v="50.624933539115915"/>
    <n v="50.624933539115915"/>
    <n v="50.624933539115915"/>
  </r>
  <r>
    <x v="10"/>
    <x v="3"/>
    <n v="64.471069207933951"/>
    <n v="64.471069207933951"/>
    <n v="64.471069207933951"/>
    <n v="64.471069207933951"/>
    <n v="64.471069207933951"/>
    <n v="64.471069207933951"/>
    <n v="64.471069207933951"/>
    <n v="64.471069207933951"/>
    <n v="64.471069207933951"/>
    <n v="64.471069207933951"/>
    <n v="64.471069207933951"/>
    <n v="64.471069207933951"/>
  </r>
  <r>
    <x v="11"/>
    <x v="3"/>
    <n v="141.60820570382077"/>
    <n v="141.60820570382077"/>
    <n v="141.60820570382077"/>
    <n v="141.60820570382077"/>
    <n v="141.60820570382077"/>
    <n v="141.60820570382077"/>
    <n v="141.60820570382077"/>
    <n v="141.60820570382077"/>
    <n v="141.60820570382077"/>
    <n v="141.60820570382077"/>
    <n v="141.60820570382077"/>
    <n v="141.60820570382077"/>
  </r>
  <r>
    <x v="12"/>
    <x v="3"/>
    <n v="62.425617347767655"/>
    <n v="62.425617347767655"/>
    <n v="62.425617347767655"/>
    <n v="62.425617347767655"/>
    <n v="62.425617347767655"/>
    <n v="62.425617347767655"/>
    <n v="62.425617347767655"/>
    <n v="62.425617347767655"/>
    <n v="62.425617347767655"/>
    <n v="62.425617347767655"/>
    <n v="62.425617347767655"/>
    <n v="62.425617347767655"/>
  </r>
  <r>
    <x v="13"/>
    <x v="3"/>
    <n v="51.136296504157507"/>
    <n v="51.136296504157507"/>
    <n v="51.136296504157507"/>
    <n v="51.136296504157507"/>
    <n v="51.136296504157507"/>
    <n v="51.136296504157507"/>
    <n v="51.136296504157507"/>
    <n v="51.136296504157507"/>
    <n v="51.136296504157507"/>
    <n v="51.136296504157507"/>
    <n v="51.136296504157507"/>
    <n v="51.136296504157507"/>
  </r>
  <r>
    <x v="14"/>
    <x v="3"/>
    <n v="138.61869913896234"/>
    <n v="138.61869913896234"/>
    <n v="138.61869913896234"/>
    <n v="138.61869913896234"/>
    <n v="138.61869913896234"/>
    <n v="138.61869913896234"/>
    <n v="138.61869913896234"/>
    <n v="138.61869913896234"/>
    <n v="138.61869913896234"/>
    <n v="138.61869913896234"/>
    <n v="138.61869913896234"/>
    <n v="138.61869913896234"/>
  </r>
  <r>
    <x v="15"/>
    <x v="3"/>
    <n v="0"/>
    <n v="0"/>
    <n v="0"/>
    <n v="0"/>
    <n v="0"/>
    <n v="0"/>
    <n v="118.28218737538583"/>
    <n v="118.28218737538583"/>
    <n v="118.28218737538583"/>
    <n v="118.28218737538583"/>
    <n v="118.28218737538583"/>
    <n v="118.28218737538583"/>
  </r>
  <r>
    <x v="0"/>
    <x v="4"/>
    <n v="0"/>
    <n v="0"/>
    <n v="0"/>
    <n v="0"/>
    <n v="0"/>
    <n v="0"/>
    <n v="0"/>
    <n v="0"/>
    <n v="0"/>
    <n v="0"/>
    <n v="0"/>
    <n v="0"/>
  </r>
  <r>
    <x v="1"/>
    <x v="4"/>
    <n v="107.51719461971273"/>
    <n v="107.51719461971273"/>
    <n v="107.51719461971273"/>
    <n v="107.51719461971273"/>
    <n v="107.51719461971273"/>
    <n v="107.51719461971273"/>
    <n v="107.51719461971273"/>
    <n v="107.51719461971273"/>
    <n v="107.51719461971273"/>
    <n v="107.51719461971273"/>
    <n v="107.51719461971273"/>
    <n v="107.51719461971273"/>
  </r>
  <r>
    <x v="2"/>
    <x v="4"/>
    <n v="0"/>
    <n v="0"/>
    <n v="0"/>
    <n v="0"/>
    <n v="0"/>
    <n v="0"/>
    <n v="0"/>
    <n v="0"/>
    <n v="0"/>
    <n v="0"/>
    <n v="0"/>
    <n v="0"/>
  </r>
  <r>
    <x v="3"/>
    <x v="4"/>
    <n v="0"/>
    <n v="0"/>
    <n v="0"/>
    <n v="0"/>
    <n v="0"/>
    <n v="0"/>
    <n v="0"/>
    <n v="0"/>
    <n v="0"/>
    <n v="0"/>
    <n v="0"/>
    <n v="0"/>
  </r>
  <r>
    <x v="4"/>
    <x v="4"/>
    <n v="0"/>
    <n v="0"/>
    <n v="0"/>
    <n v="0"/>
    <n v="0"/>
    <n v="0"/>
    <n v="0"/>
    <n v="0"/>
    <n v="0"/>
    <n v="0"/>
    <n v="0"/>
    <n v="0"/>
  </r>
  <r>
    <x v="5"/>
    <x v="4"/>
    <n v="0"/>
    <n v="0"/>
    <n v="0"/>
    <n v="0"/>
    <n v="0"/>
    <n v="0"/>
    <n v="0"/>
    <n v="0"/>
    <n v="0"/>
    <n v="0"/>
    <n v="0"/>
    <n v="0"/>
  </r>
  <r>
    <x v="6"/>
    <x v="4"/>
    <n v="0"/>
    <n v="0"/>
    <n v="0"/>
    <n v="0"/>
    <n v="0"/>
    <n v="0"/>
    <n v="0"/>
    <n v="0"/>
    <n v="0"/>
    <n v="0"/>
    <n v="0"/>
    <n v="0"/>
  </r>
  <r>
    <x v="7"/>
    <x v="4"/>
    <n v="0"/>
    <n v="0"/>
    <n v="0"/>
    <n v="0"/>
    <n v="0"/>
    <n v="0"/>
    <n v="0"/>
    <n v="0"/>
    <n v="0"/>
    <n v="0"/>
    <n v="0"/>
    <n v="0"/>
  </r>
  <r>
    <x v="8"/>
    <x v="4"/>
    <n v="0"/>
    <n v="0"/>
    <n v="0"/>
    <n v="0"/>
    <n v="0"/>
    <n v="0"/>
    <n v="0"/>
    <n v="0"/>
    <n v="0"/>
    <n v="0"/>
    <n v="0"/>
    <n v="0"/>
  </r>
  <r>
    <x v="9"/>
    <x v="4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</r>
  <r>
    <x v="10"/>
    <x v="4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</r>
  <r>
    <x v="11"/>
    <x v="4"/>
    <n v="0"/>
    <n v="0"/>
    <n v="0"/>
    <n v="0"/>
    <n v="0"/>
    <n v="0"/>
    <n v="0"/>
    <n v="0"/>
    <n v="0"/>
    <n v="0"/>
    <n v="0"/>
    <n v="0"/>
  </r>
  <r>
    <x v="12"/>
    <x v="4"/>
    <n v="0"/>
    <n v="0"/>
    <n v="0"/>
    <n v="0"/>
    <n v="0"/>
    <n v="0"/>
    <n v="0"/>
    <n v="0"/>
    <n v="0"/>
    <n v="0"/>
    <n v="0"/>
    <n v="0"/>
  </r>
  <r>
    <x v="13"/>
    <x v="4"/>
    <n v="0"/>
    <n v="0"/>
    <n v="0"/>
    <n v="0"/>
    <n v="0"/>
    <n v="0"/>
    <n v="0"/>
    <n v="0"/>
    <n v="0"/>
    <n v="0"/>
    <n v="0"/>
    <n v="0"/>
  </r>
  <r>
    <x v="14"/>
    <x v="4"/>
    <n v="63.148432306644615"/>
    <n v="63.148432306644615"/>
    <n v="63.148432306644615"/>
    <n v="63.148432306644615"/>
    <n v="63.148432306644615"/>
    <n v="63.148432306644615"/>
    <n v="63.148432306644615"/>
    <n v="63.148432306644615"/>
    <n v="63.148432306644615"/>
    <n v="63.148432306644615"/>
    <n v="63.148432306644615"/>
    <n v="63.148432306644615"/>
  </r>
  <r>
    <x v="15"/>
    <x v="4"/>
    <n v="0"/>
    <n v="0"/>
    <n v="0"/>
    <n v="0"/>
    <n v="0"/>
    <n v="0"/>
    <n v="44.380342196340052"/>
    <n v="44.380342196340052"/>
    <n v="44.380342196340052"/>
    <n v="44.380342196340052"/>
    <n v="44.380342196340052"/>
    <n v="44.380342196340052"/>
  </r>
  <r>
    <x v="0"/>
    <x v="5"/>
    <n v="6224.2422831529047"/>
    <n v="6224.2422831529047"/>
    <n v="6224.2422831529047"/>
    <n v="6224.2422831529047"/>
    <n v="6224.2422831529047"/>
    <n v="6224.2422831529047"/>
    <n v="6224.2422831529047"/>
    <n v="6224.2422831529047"/>
    <n v="6224.2422831529047"/>
    <n v="6224.2422831529047"/>
    <n v="6224.2422831529047"/>
    <n v="6224.2422831529047"/>
  </r>
  <r>
    <x v="1"/>
    <x v="5"/>
    <n v="533.50648141310614"/>
    <n v="533.50648141310614"/>
    <n v="533.50648141310614"/>
    <n v="533.50648141310614"/>
    <n v="533.50648141310614"/>
    <n v="533.50648141310614"/>
    <n v="533.50648141310614"/>
    <n v="533.50648141310614"/>
    <n v="533.50648141310614"/>
    <n v="533.50648141310614"/>
    <n v="533.50648141310614"/>
    <n v="533.50648141310614"/>
  </r>
  <r>
    <x v="2"/>
    <x v="5"/>
    <n v="288.98267743209914"/>
    <n v="288.98267743209914"/>
    <n v="288.98267743209914"/>
    <n v="288.98267743209914"/>
    <n v="288.98267743209914"/>
    <n v="288.98267743209914"/>
    <n v="288.98267743209914"/>
    <n v="288.98267743209914"/>
    <n v="288.98267743209914"/>
    <n v="288.98267743209914"/>
    <n v="288.98267743209914"/>
    <n v="288.98267743209914"/>
  </r>
  <r>
    <x v="3"/>
    <x v="5"/>
    <n v="248.96969132611619"/>
    <n v="248.96969132611619"/>
    <n v="248.96969132611619"/>
    <n v="248.96969132611619"/>
    <n v="248.96969132611619"/>
    <n v="248.96969132611619"/>
    <n v="248.96969132611619"/>
    <n v="248.96969132611619"/>
    <n v="248.96969132611619"/>
    <n v="248.96969132611619"/>
    <n v="248.96969132611619"/>
    <n v="248.96969132611619"/>
  </r>
  <r>
    <x v="4"/>
    <x v="5"/>
    <n v="197.753069110458"/>
    <n v="197.753069110458"/>
    <n v="197.753069110458"/>
    <n v="197.753069110458"/>
    <n v="197.753069110458"/>
    <n v="197.753069110458"/>
    <n v="197.753069110458"/>
    <n v="197.753069110458"/>
    <n v="197.753069110458"/>
    <n v="197.753069110458"/>
    <n v="197.753069110458"/>
    <n v="197.753069110458"/>
  </r>
  <r>
    <x v="5"/>
    <x v="5"/>
    <n v="443.52172154809551"/>
    <n v="443.52172154809551"/>
    <n v="443.52172154809551"/>
    <n v="443.52172154809551"/>
    <n v="443.52172154809551"/>
    <n v="443.52172154809551"/>
    <n v="443.52172154809551"/>
    <n v="443.52172154809551"/>
    <n v="443.52172154809551"/>
    <n v="443.52172154809551"/>
    <n v="443.52172154809551"/>
    <n v="443.52172154809551"/>
  </r>
  <r>
    <x v="6"/>
    <x v="5"/>
    <n v="266.75324070655307"/>
    <n v="266.75324070655307"/>
    <n v="266.75324070655307"/>
    <n v="266.75324070655307"/>
    <n v="266.75324070655307"/>
    <n v="266.75324070655307"/>
    <n v="266.75324070655307"/>
    <n v="266.75324070655307"/>
    <n v="266.75324070655307"/>
    <n v="266.75324070655307"/>
    <n v="266.75324070655307"/>
    <n v="266.75324070655307"/>
  </r>
  <r>
    <x v="7"/>
    <x v="5"/>
    <n v="308.36674625677534"/>
    <n v="308.36674625677534"/>
    <n v="308.36674625677534"/>
    <n v="308.36674625677534"/>
    <n v="308.36674625677534"/>
    <n v="308.36674625677534"/>
    <n v="308.36674625677534"/>
    <n v="308.36674625677534"/>
    <n v="308.36674625677534"/>
    <n v="308.36674625677534"/>
    <n v="308.36674625677534"/>
    <n v="308.36674625677534"/>
  </r>
  <r>
    <x v="8"/>
    <x v="5"/>
    <n v="693.55842583703804"/>
    <n v="693.55842583703804"/>
    <n v="693.55842583703804"/>
    <n v="693.55842583703804"/>
    <n v="693.55842583703804"/>
    <n v="693.55842583703804"/>
    <n v="693.55842583703804"/>
    <n v="693.55842583703804"/>
    <n v="693.55842583703804"/>
    <n v="693.55842583703804"/>
    <n v="693.55842583703804"/>
    <n v="693.55842583703804"/>
  </r>
  <r>
    <x v="9"/>
    <x v="5"/>
    <n v="228.87428052622252"/>
    <n v="228.87428052622252"/>
    <n v="228.87428052622252"/>
    <n v="228.87428052622252"/>
    <n v="228.87428052622252"/>
    <n v="228.87428052622252"/>
    <n v="228.87428052622252"/>
    <n v="228.87428052622252"/>
    <n v="228.87428052622252"/>
    <n v="228.87428052622252"/>
    <n v="228.87428052622252"/>
    <n v="228.87428052622252"/>
  </r>
  <r>
    <x v="10"/>
    <x v="5"/>
    <n v="291.47237434536032"/>
    <n v="291.47237434536032"/>
    <n v="291.47237434536032"/>
    <n v="291.47237434536032"/>
    <n v="291.47237434536032"/>
    <n v="291.47237434536032"/>
    <n v="291.47237434536032"/>
    <n v="291.47237434536032"/>
    <n v="291.47237434536032"/>
    <n v="291.47237434536032"/>
    <n v="291.47237434536032"/>
    <n v="291.47237434536032"/>
  </r>
  <r>
    <x v="11"/>
    <x v="5"/>
    <n v="640.20777769572749"/>
    <n v="640.20777769572749"/>
    <n v="640.20777769572749"/>
    <n v="640.20777769572749"/>
    <n v="640.20777769572749"/>
    <n v="640.20777769572749"/>
    <n v="640.20777769572749"/>
    <n v="640.20777769572749"/>
    <n v="640.20777769572749"/>
    <n v="640.20777769572749"/>
    <n v="640.20777769572749"/>
    <n v="640.20777769572749"/>
  </r>
  <r>
    <x v="12"/>
    <x v="5"/>
    <n v="282.22492866753316"/>
    <n v="282.22492866753316"/>
    <n v="282.22492866753316"/>
    <n v="282.22492866753316"/>
    <n v="282.22492866753316"/>
    <n v="282.22492866753316"/>
    <n v="282.22492866753316"/>
    <n v="282.22492866753316"/>
    <n v="282.22492866753316"/>
    <n v="282.22492866753316"/>
    <n v="282.22492866753316"/>
    <n v="282.22492866753316"/>
  </r>
  <r>
    <x v="13"/>
    <x v="5"/>
    <n v="231.18614194567934"/>
    <n v="231.18614194567934"/>
    <n v="231.18614194567934"/>
    <n v="231.18614194567934"/>
    <n v="231.18614194567934"/>
    <n v="231.18614194567934"/>
    <n v="231.18614194567934"/>
    <n v="231.18614194567934"/>
    <n v="231.18614194567934"/>
    <n v="231.18614194567934"/>
    <n v="231.18614194567934"/>
    <n v="231.18614194567934"/>
  </r>
  <r>
    <x v="14"/>
    <x v="5"/>
    <n v="626.69228016659542"/>
    <n v="626.69228016659542"/>
    <n v="626.69228016659542"/>
    <n v="626.69228016659542"/>
    <n v="626.69228016659542"/>
    <n v="626.69228016659542"/>
    <n v="626.69228016659542"/>
    <n v="626.69228016659542"/>
    <n v="626.69228016659542"/>
    <n v="626.69228016659542"/>
    <n v="626.69228016659542"/>
    <n v="626.69228016659542"/>
  </r>
  <r>
    <x v="15"/>
    <x v="5"/>
    <n v="0"/>
    <n v="0"/>
    <n v="0"/>
    <n v="0"/>
    <n v="0"/>
    <n v="0"/>
    <n v="534.75132986973665"/>
    <n v="534.75132986973665"/>
    <n v="534.75132986973665"/>
    <n v="534.75132986973665"/>
    <n v="534.75132986973665"/>
    <n v="534.75132986973665"/>
  </r>
  <r>
    <x v="0"/>
    <x v="6"/>
    <n v="0"/>
    <n v="0"/>
    <n v="0"/>
    <n v="0"/>
    <n v="0"/>
    <n v="0"/>
    <n v="0"/>
    <n v="0"/>
    <n v="0"/>
    <n v="0"/>
    <n v="0"/>
    <n v="0"/>
  </r>
  <r>
    <x v="1"/>
    <x v="6"/>
    <m/>
    <m/>
    <m/>
    <m/>
    <m/>
    <m/>
    <m/>
    <m/>
    <m/>
    <m/>
    <m/>
    <m/>
  </r>
  <r>
    <x v="2"/>
    <x v="6"/>
    <m/>
    <m/>
    <m/>
    <m/>
    <m/>
    <m/>
    <m/>
    <m/>
    <m/>
    <m/>
    <m/>
    <m/>
  </r>
  <r>
    <x v="3"/>
    <x v="6"/>
    <m/>
    <m/>
    <m/>
    <m/>
    <m/>
    <m/>
    <m/>
    <m/>
    <m/>
    <m/>
    <m/>
    <m/>
  </r>
  <r>
    <x v="4"/>
    <x v="6"/>
    <m/>
    <m/>
    <m/>
    <m/>
    <m/>
    <m/>
    <m/>
    <m/>
    <m/>
    <m/>
    <m/>
    <m/>
  </r>
  <r>
    <x v="5"/>
    <x v="6"/>
    <n v="500"/>
    <n v="500"/>
    <n v="500"/>
    <n v="500"/>
    <n v="500"/>
    <n v="500"/>
    <n v="500"/>
    <n v="500"/>
    <n v="500"/>
    <n v="500"/>
    <n v="500"/>
    <n v="500"/>
  </r>
  <r>
    <x v="6"/>
    <x v="6"/>
    <m/>
    <m/>
    <m/>
    <m/>
    <m/>
    <m/>
    <m/>
    <m/>
    <m/>
    <m/>
    <m/>
    <m/>
  </r>
  <r>
    <x v="7"/>
    <x v="6"/>
    <m/>
    <m/>
    <m/>
    <m/>
    <m/>
    <m/>
    <m/>
    <m/>
    <m/>
    <m/>
    <m/>
    <m/>
  </r>
  <r>
    <x v="8"/>
    <x v="6"/>
    <m/>
    <m/>
    <m/>
    <m/>
    <m/>
    <m/>
    <m/>
    <m/>
    <m/>
    <m/>
    <m/>
    <m/>
  </r>
  <r>
    <x v="9"/>
    <x v="6"/>
    <n v="70.83"/>
    <n v="70.83"/>
    <n v="70.83"/>
    <n v="70.83"/>
    <n v="70.83"/>
    <n v="70.83"/>
    <n v="70.83"/>
    <n v="70.83"/>
    <n v="70.83"/>
    <n v="70.83"/>
    <n v="70.83"/>
    <n v="70.83"/>
  </r>
  <r>
    <x v="10"/>
    <x v="6"/>
    <m/>
    <m/>
    <m/>
    <m/>
    <m/>
    <m/>
    <m/>
    <m/>
    <m/>
    <m/>
    <m/>
    <m/>
  </r>
  <r>
    <x v="11"/>
    <x v="6"/>
    <n v="500"/>
    <n v="500"/>
    <n v="500"/>
    <n v="500"/>
    <n v="500"/>
    <n v="500"/>
    <n v="500"/>
    <n v="500"/>
    <n v="500"/>
    <n v="500"/>
    <n v="500"/>
    <n v="500"/>
  </r>
  <r>
    <x v="12"/>
    <x v="6"/>
    <m/>
    <m/>
    <m/>
    <m/>
    <m/>
    <m/>
    <m/>
    <m/>
    <m/>
    <m/>
    <m/>
    <m/>
  </r>
  <r>
    <x v="13"/>
    <x v="6"/>
    <m/>
    <m/>
    <m/>
    <m/>
    <m/>
    <m/>
    <m/>
    <m/>
    <m/>
    <m/>
    <m/>
    <m/>
  </r>
  <r>
    <x v="14"/>
    <x v="6"/>
    <m/>
    <m/>
    <m/>
    <m/>
    <m/>
    <m/>
    <m/>
    <m/>
    <m/>
    <m/>
    <m/>
    <m/>
  </r>
  <r>
    <x v="15"/>
    <x v="6"/>
    <m/>
    <m/>
    <m/>
    <m/>
    <m/>
    <m/>
    <m/>
    <m/>
    <m/>
    <m/>
    <m/>
    <m/>
  </r>
  <r>
    <x v="16"/>
    <x v="6"/>
    <n v="2000"/>
    <n v="2000"/>
    <n v="2000"/>
    <n v="2000"/>
    <n v="2000"/>
    <n v="2000"/>
    <n v="2000"/>
    <n v="2000"/>
    <n v="2000"/>
    <n v="2000"/>
    <n v="2000"/>
    <n v="2000"/>
  </r>
  <r>
    <x v="17"/>
    <x v="6"/>
    <n v="1500"/>
    <n v="1500"/>
    <n v="1500"/>
    <n v="1500"/>
    <n v="1500"/>
    <n v="1500"/>
    <n v="1500"/>
    <n v="1500"/>
    <n v="1500"/>
    <n v="1500"/>
    <n v="1500"/>
    <n v="1500"/>
  </r>
  <r>
    <x v="18"/>
    <x v="6"/>
    <n v="15"/>
    <n v="15"/>
    <n v="15"/>
    <n v="15"/>
    <n v="15"/>
    <n v="15"/>
    <n v="15"/>
    <n v="15"/>
    <n v="15"/>
    <n v="15"/>
    <n v="15"/>
    <n v="15"/>
  </r>
  <r>
    <x v="0"/>
    <x v="7"/>
    <n v="1614.02"/>
    <n v="1614.02"/>
    <n v="1614.02"/>
    <n v="1614.02"/>
    <n v="1614.02"/>
    <n v="1614.02"/>
    <n v="1614.02"/>
    <n v="1614.02"/>
    <n v="1614.02"/>
    <n v="1614.02"/>
    <n v="1614.02"/>
    <n v="1614.02"/>
  </r>
  <r>
    <x v="1"/>
    <x v="7"/>
    <n v="200.61256150791161"/>
    <n v="200.61256150791161"/>
    <n v="200.61256150791161"/>
    <n v="200.61256150791161"/>
    <n v="200.61256150791161"/>
    <n v="200.61256150791161"/>
    <n v="200.61256150791161"/>
    <n v="200.61256150791161"/>
    <n v="200.61256150791161"/>
    <n v="205.25531150791159"/>
    <n v="205.25531150791159"/>
    <n v="205.25531150791159"/>
  </r>
  <r>
    <x v="2"/>
    <x v="7"/>
    <n v="80.770070727929465"/>
    <n v="80.770070727929465"/>
    <n v="80.770070727929465"/>
    <n v="80.770070727929465"/>
    <n v="80.770070727929465"/>
    <n v="80.770070727929465"/>
    <n v="80.770070727929465"/>
    <n v="80.770070727929465"/>
    <n v="80.770070727929465"/>
    <n v="80.770070727929465"/>
    <n v="80.770070727929465"/>
    <n v="80.770070727929465"/>
  </r>
  <r>
    <x v="3"/>
    <x v="7"/>
    <n v="82.030411433128762"/>
    <n v="82.030411433128762"/>
    <n v="82.030411433128762"/>
    <n v="82.030411433128762"/>
    <n v="83.886911433128773"/>
    <n v="83.886911433128773"/>
    <n v="83.886911433128773"/>
    <n v="83.886911433128773"/>
    <n v="83.886911433128773"/>
    <n v="83.886911433128773"/>
    <n v="83.886911433128773"/>
    <n v="83.886911433128773"/>
  </r>
  <r>
    <x v="4"/>
    <x v="7"/>
    <n v="68.660866795456556"/>
    <n v="68.660866795456556"/>
    <n v="68.660866795456556"/>
    <n v="69.714116795456562"/>
    <n v="69.714116795456562"/>
    <n v="69.714116795456562"/>
    <n v="69.714116795456562"/>
    <n v="69.714116795456562"/>
    <n v="69.714116795456562"/>
    <n v="69.714116795456562"/>
    <n v="69.714116795456562"/>
    <n v="69.714116795456562"/>
  </r>
  <r>
    <x v="5"/>
    <x v="7"/>
    <n v="171.68220158193876"/>
    <n v="171.68220158193876"/>
    <n v="171.68220158193876"/>
    <n v="171.68220158193876"/>
    <n v="171.68220158193876"/>
    <n v="171.68220158193876"/>
    <n v="171.68220158193876"/>
    <n v="171.68220158193876"/>
    <n v="171.68220158193876"/>
    <n v="171.68220158193876"/>
    <n v="171.68220158193876"/>
    <n v="171.68220158193876"/>
  </r>
  <r>
    <x v="6"/>
    <x v="7"/>
    <n v="82.470315821209383"/>
    <n v="82.470315821209383"/>
    <n v="82.470315821209383"/>
    <n v="83.688065821209378"/>
    <n v="83.688065821209378"/>
    <n v="83.688065821209378"/>
    <n v="83.688065821209378"/>
    <n v="83.688065821209378"/>
    <n v="83.688065821209378"/>
    <n v="83.688065821209378"/>
    <n v="83.688065821209378"/>
    <n v="83.688065821209378"/>
  </r>
  <r>
    <x v="7"/>
    <x v="7"/>
    <n v="104.53215178367296"/>
    <n v="104.53215178367296"/>
    <n v="104.53215178367296"/>
    <n v="104.53215178367296"/>
    <n v="104.53215178367296"/>
    <n v="104.53215178367296"/>
    <n v="104.53215178367296"/>
    <n v="104.53215178367296"/>
    <n v="104.53215178367296"/>
    <n v="104.53215178367296"/>
    <n v="104.53215178367296"/>
    <n v="104.53215178367296"/>
  </r>
  <r>
    <x v="8"/>
    <x v="7"/>
    <n v="202.43352113514439"/>
    <n v="202.43352113514439"/>
    <n v="202.43352113514439"/>
    <n v="202.43352113514439"/>
    <n v="202.43352113514439"/>
    <n v="202.43352113514439"/>
    <n v="202.43352113514439"/>
    <n v="202.43352113514439"/>
    <n v="202.43352113514439"/>
    <n v="202.43352113514439"/>
    <n v="206.82302113514439"/>
    <n v="206.82302113514439"/>
  </r>
  <r>
    <x v="9"/>
    <x v="7"/>
    <n v="80.267282807930997"/>
    <n v="80.267282807930997"/>
    <n v="80.267282807930997"/>
    <n v="80.267282807930997"/>
    <n v="80.267282807930997"/>
    <n v="80.267282807930997"/>
    <n v="81.477782807930978"/>
    <n v="81.477782807930978"/>
    <n v="81.477782807930978"/>
    <n v="81.477782807930978"/>
    <n v="81.477782807930978"/>
    <n v="81.477782807930978"/>
  </r>
  <r>
    <x v="10"/>
    <x v="7"/>
    <n v="92.762226253974802"/>
    <n v="92.762226253974788"/>
    <n v="92.762226253974788"/>
    <n v="92.762226253974788"/>
    <n v="92.762226253974788"/>
    <n v="92.762226253974788"/>
    <n v="92.762226253974788"/>
    <n v="92.762226253974788"/>
    <n v="92.762226253974788"/>
    <n v="92.762226253974788"/>
    <n v="92.762226253974788"/>
    <n v="92.762226253974788"/>
  </r>
  <r>
    <x v="11"/>
    <x v="7"/>
    <n v="231.99025949340967"/>
    <n v="231.99025949340967"/>
    <n v="231.99025949340967"/>
    <n v="231.99025949340967"/>
    <n v="231.99025949340967"/>
    <n v="231.99025949340967"/>
    <n v="231.99025949340967"/>
    <n v="231.99025949340967"/>
    <n v="231.99025949340967"/>
    <n v="231.99025949340967"/>
    <n v="231.99025949340967"/>
    <n v="231.99025949340967"/>
  </r>
  <r>
    <x v="12"/>
    <x v="7"/>
    <n v="86.361598511247266"/>
    <n v="86.361598511247266"/>
    <n v="86.361598511247266"/>
    <n v="86.361598511247266"/>
    <n v="86.361598511247266"/>
    <n v="86.361598511247266"/>
    <n v="86.361598511247266"/>
    <n v="86.361598511247266"/>
    <n v="86.361598511247266"/>
    <n v="93.635348511247258"/>
    <n v="93.635348511247258"/>
    <n v="93.635348511247258"/>
  </r>
  <r>
    <x v="13"/>
    <x v="7"/>
    <n v="66.430986288039207"/>
    <n v="66.430986288039207"/>
    <n v="66.430986288039207"/>
    <n v="67.89423628803921"/>
    <n v="67.89423628803921"/>
    <n v="67.89423628803921"/>
    <n v="67.89423628803921"/>
    <n v="67.89423628803921"/>
    <n v="67.89423628803921"/>
    <n v="67.89423628803921"/>
    <n v="67.89423628803921"/>
    <n v="67.89423628803921"/>
  </r>
  <r>
    <x v="14"/>
    <x v="7"/>
    <n v="168.28395144362739"/>
    <n v="168.28395144362739"/>
    <n v="168.28395144362739"/>
    <n v="168.28395144362739"/>
    <n v="168.28395144362739"/>
    <n v="168.28395144362739"/>
    <n v="168.28395144362739"/>
    <n v="168.28395144362739"/>
    <n v="168.28395144362739"/>
    <n v="168.28395144362739"/>
    <n v="168.28395144362739"/>
    <n v="168.28395144362739"/>
  </r>
  <r>
    <x v="15"/>
    <x v="7"/>
    <n v="0"/>
    <n v="0"/>
    <n v="0"/>
    <n v="0"/>
    <n v="0"/>
    <n v="0"/>
    <n v="194.38301758420661"/>
    <n v="194.38301758420661"/>
    <n v="194.38301758420661"/>
    <n v="194.38301758420661"/>
    <n v="194.38301758420661"/>
    <n v="194.38301758420661"/>
  </r>
  <r>
    <x v="16"/>
    <x v="7"/>
    <n v="50"/>
    <n v="50"/>
    <n v="50"/>
    <n v="50"/>
    <n v="50"/>
    <n v="50"/>
    <n v="50"/>
    <n v="50"/>
    <n v="50"/>
    <n v="50"/>
    <n v="50"/>
    <n v="50"/>
  </r>
  <r>
    <x v="17"/>
    <x v="7"/>
    <n v="37.5"/>
    <n v="37.5"/>
    <n v="37.5"/>
    <n v="37.5"/>
    <n v="37.5"/>
    <n v="37.5"/>
    <n v="37.5"/>
    <n v="37.5"/>
    <n v="37.5"/>
    <n v="37.5"/>
    <n v="37.5"/>
    <n v="37.5"/>
  </r>
  <r>
    <x v="18"/>
    <x v="7"/>
    <n v="0.375"/>
    <n v="0.375"/>
    <n v="0.375"/>
    <n v="0.375"/>
    <n v="0.375"/>
    <n v="0.375"/>
    <n v="0.375"/>
    <n v="0.375"/>
    <n v="0.375"/>
    <n v="0.375"/>
    <n v="0.375"/>
    <n v="114.64575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5FAE3-EBD9-45B7-BCE9-677C6D7162A5}" name="PivotTable1" cacheId="3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3" firstHeaderRow="0" firstDataRow="1" firstDataCol="1"/>
  <pivotFields count="14">
    <pivotField axis="axisRow" showAll="0">
      <items count="20">
        <item sd="0" x="7"/>
        <item sd="0" x="5"/>
        <item sd="0" x="11"/>
        <item sd="0" x="12"/>
        <item sd="0" x="14"/>
        <item sd="0" x="6"/>
        <item sd="0" x="0"/>
        <item sd="0" x="4"/>
        <item sd="0" x="18"/>
        <item sd="0" x="9"/>
        <item sd="0" x="13"/>
        <item sd="0" x="2"/>
        <item sd="0" x="8"/>
        <item sd="0" x="17"/>
        <item sd="0" x="1"/>
        <item sd="0" x="15"/>
        <item sd="0" x="16"/>
        <item sd="0" x="3"/>
        <item sd="0" x="10"/>
        <item t="default"/>
      </items>
    </pivotField>
    <pivotField axis="axisRow" showAll="0">
      <items count="9">
        <item x="4"/>
        <item x="2"/>
        <item x="1"/>
        <item x="3"/>
        <item x="0"/>
        <item x="5"/>
        <item x="7"/>
        <item x="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" fld="2" baseField="0" baseItem="0"/>
    <dataField name="Sum of FEB" fld="3" baseField="0" baseItem="0"/>
    <dataField name="Sum of MARCH" fld="4" baseField="0" baseItem="0"/>
    <dataField name="Sum of APRIL" fld="5" baseField="0" baseItem="0"/>
    <dataField name="Sum of MAY" fld="6" baseField="0" baseItem="0"/>
    <dataField name="Sum of JUNE" fld="7" baseField="0" baseItem="0"/>
    <dataField name="Sum of JULY" fld="8" baseField="0" baseItem="0"/>
    <dataField name="Sum of AUGUST" fld="9" baseField="0" baseItem="0"/>
    <dataField name="Sum of SEPT" fld="10" baseField="0" baseItem="0"/>
    <dataField name="Sum of OCT" fld="11" baseField="0" baseItem="0"/>
    <dataField name="Sum of NOV" fld="12" baseField="0" baseItem="0"/>
    <dataField name="Sum of DEC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2DDA-5BE7-4762-B91B-AD24B7A520EF}">
  <sheetPr codeName="Sheet1">
    <pageSetUpPr fitToPage="1"/>
  </sheetPr>
  <dimension ref="B2:C25"/>
  <sheetViews>
    <sheetView workbookViewId="0">
      <selection activeCell="F16" sqref="F16"/>
    </sheetView>
  </sheetViews>
  <sheetFormatPr defaultColWidth="9.42578125" defaultRowHeight="15.4"/>
  <cols>
    <col min="1" max="1" width="9.42578125" style="2"/>
    <col min="2" max="2" width="16.42578125" style="2" customWidth="1"/>
    <col min="3" max="3" width="74.42578125" style="2" customWidth="1"/>
    <col min="4" max="16384" width="9.42578125" style="2"/>
  </cols>
  <sheetData>
    <row r="2" spans="2:3" ht="19.350000000000001" thickBot="1">
      <c r="B2" s="612" t="s">
        <v>0</v>
      </c>
      <c r="C2" s="612"/>
    </row>
    <row r="3" spans="2:3">
      <c r="B3" s="5" t="s">
        <v>1</v>
      </c>
      <c r="C3" s="6"/>
    </row>
    <row r="4" spans="2:3" ht="15.95" thickBot="1">
      <c r="B4" s="7"/>
      <c r="C4" s="8"/>
    </row>
    <row r="5" spans="2:3" ht="47.45" customHeight="1" thickBot="1">
      <c r="B5" s="3" t="s">
        <v>2</v>
      </c>
      <c r="C5" s="37"/>
    </row>
    <row r="6" spans="2:3" ht="45" customHeight="1" thickBot="1">
      <c r="B6" s="3" t="s">
        <v>3</v>
      </c>
      <c r="C6" s="4"/>
    </row>
    <row r="7" spans="2:3">
      <c r="B7" s="5" t="s">
        <v>4</v>
      </c>
      <c r="C7" s="6"/>
    </row>
    <row r="8" spans="2:3">
      <c r="B8" s="9"/>
      <c r="C8" s="10"/>
    </row>
    <row r="9" spans="2:3">
      <c r="B9" s="9"/>
      <c r="C9" s="10"/>
    </row>
    <row r="10" spans="2:3">
      <c r="B10" s="9"/>
      <c r="C10" s="10"/>
    </row>
    <row r="11" spans="2:3">
      <c r="B11" s="9"/>
      <c r="C11" s="10"/>
    </row>
    <row r="12" spans="2:3">
      <c r="B12" s="9"/>
      <c r="C12" s="10"/>
    </row>
    <row r="13" spans="2:3" ht="15.95" thickBot="1">
      <c r="B13" s="7"/>
      <c r="C13" s="8"/>
    </row>
    <row r="14" spans="2:3" ht="25.5" customHeight="1" thickBot="1">
      <c r="B14" s="3" t="s">
        <v>5</v>
      </c>
      <c r="C14" s="12"/>
    </row>
    <row r="15" spans="2:3">
      <c r="B15" s="5" t="s">
        <v>6</v>
      </c>
      <c r="C15" s="6"/>
    </row>
    <row r="16" spans="2:3">
      <c r="B16" s="9"/>
      <c r="C16" s="10"/>
    </row>
    <row r="17" spans="2:3">
      <c r="B17" s="9"/>
      <c r="C17" s="10"/>
    </row>
    <row r="18" spans="2:3">
      <c r="B18" s="9"/>
      <c r="C18" s="10"/>
    </row>
    <row r="19" spans="2:3" ht="15.95" thickBot="1">
      <c r="B19" s="9"/>
      <c r="C19" s="10"/>
    </row>
    <row r="20" spans="2:3" ht="40.5" customHeight="1">
      <c r="B20" s="5" t="s">
        <v>7</v>
      </c>
      <c r="C20" s="11" t="s">
        <v>8</v>
      </c>
    </row>
    <row r="21" spans="2:3" ht="20.45" customHeight="1">
      <c r="B21" s="9"/>
      <c r="C21" s="10"/>
    </row>
    <row r="22" spans="2:3">
      <c r="B22" s="9"/>
      <c r="C22" s="10"/>
    </row>
    <row r="23" spans="2:3">
      <c r="B23" s="9"/>
      <c r="C23" s="10"/>
    </row>
    <row r="24" spans="2:3">
      <c r="B24" s="9"/>
      <c r="C24" s="10"/>
    </row>
    <row r="25" spans="2:3" ht="15.95" thickBot="1">
      <c r="B25" s="7"/>
      <c r="C25" s="8"/>
    </row>
  </sheetData>
  <mergeCells count="1">
    <mergeCell ref="B2:C2"/>
  </mergeCells>
  <pageMargins left="0.7" right="0.7" top="0.75" bottom="0.75" header="0.3" footer="0.3"/>
  <pageSetup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9C6A-CE97-4D90-B6D4-3577B0AEA60C}">
  <dimension ref="A1:BO35"/>
  <sheetViews>
    <sheetView tabSelected="1" zoomScale="90" zoomScaleNormal="90" workbookViewId="0">
      <pane xSplit="2" ySplit="3" topLeftCell="AI12" activePane="bottomRight" state="frozen"/>
      <selection pane="bottomRight" activeCell="AM13" sqref="AM13"/>
      <selection pane="bottomLeft" activeCell="A4" sqref="A4"/>
      <selection pane="topRight" activeCell="C1" sqref="C1"/>
    </sheetView>
  </sheetViews>
  <sheetFormatPr defaultRowHeight="12.75"/>
  <cols>
    <col min="2" max="2" width="23.42578125" bestFit="1" customWidth="1"/>
    <col min="3" max="3" width="12" hidden="1" customWidth="1"/>
    <col min="4" max="4" width="12.42578125" hidden="1" customWidth="1"/>
    <col min="5" max="5" width="14.42578125" hidden="1" customWidth="1"/>
    <col min="6" max="6" width="44.42578125" hidden="1" customWidth="1"/>
    <col min="7" max="7" width="23.42578125" hidden="1" customWidth="1"/>
    <col min="8" max="8" width="12" hidden="1" customWidth="1"/>
    <col min="9" max="9" width="12.42578125" hidden="1" customWidth="1"/>
    <col min="10" max="10" width="14.42578125" hidden="1" customWidth="1"/>
    <col min="11" max="11" width="39.42578125" hidden="1" customWidth="1"/>
    <col min="12" max="12" width="28.42578125" hidden="1" customWidth="1"/>
    <col min="13" max="13" width="12" hidden="1" customWidth="1"/>
    <col min="14" max="14" width="11.42578125" hidden="1" customWidth="1"/>
    <col min="15" max="15" width="14.42578125" hidden="1" customWidth="1"/>
    <col min="16" max="16" width="37.42578125" hidden="1" customWidth="1"/>
    <col min="17" max="17" width="25.140625" hidden="1" customWidth="1"/>
    <col min="18" max="18" width="12" hidden="1" customWidth="1"/>
    <col min="19" max="19" width="11.42578125" hidden="1" customWidth="1"/>
    <col min="20" max="20" width="14.42578125" hidden="1" customWidth="1"/>
    <col min="21" max="21" width="38.42578125" hidden="1" customWidth="1"/>
    <col min="22" max="22" width="12" hidden="1" customWidth="1"/>
    <col min="23" max="23" width="12.42578125" hidden="1" customWidth="1"/>
    <col min="24" max="24" width="14.42578125" hidden="1" customWidth="1"/>
    <col min="25" max="25" width="48.42578125" hidden="1" customWidth="1"/>
    <col min="26" max="26" width="12" hidden="1" customWidth="1"/>
    <col min="27" max="27" width="11.42578125" hidden="1" customWidth="1"/>
    <col min="28" max="28" width="14.42578125" hidden="1" customWidth="1"/>
    <col min="29" max="29" width="42.85546875" hidden="1" customWidth="1"/>
    <col min="30" max="30" width="5.42578125" hidden="1" customWidth="1"/>
    <col min="31" max="31" width="12.42578125" hidden="1" customWidth="1"/>
    <col min="32" max="32" width="15.42578125" hidden="1" customWidth="1"/>
    <col min="33" max="33" width="11.85546875" hidden="1" customWidth="1"/>
    <col min="34" max="34" width="40.42578125" hidden="1" customWidth="1"/>
    <col min="35" max="35" width="8.42578125" customWidth="1"/>
    <col min="36" max="38" width="12.42578125" customWidth="1"/>
    <col min="39" max="39" width="56.7109375" bestFit="1" customWidth="1"/>
    <col min="40" max="40" width="5.85546875" customWidth="1"/>
    <col min="41" max="41" width="11.42578125" hidden="1" customWidth="1"/>
    <col min="42" max="43" width="12.42578125" hidden="1" customWidth="1"/>
    <col min="44" max="44" width="30.42578125" hidden="1" customWidth="1"/>
    <col min="45" max="45" width="11" hidden="1" customWidth="1"/>
    <col min="46" max="47" width="12.42578125" hidden="1" customWidth="1"/>
    <col min="48" max="48" width="12" hidden="1" customWidth="1"/>
    <col min="49" max="53" width="30.42578125" hidden="1" customWidth="1"/>
    <col min="54" max="54" width="8.42578125" hidden="1" customWidth="1"/>
    <col min="55" max="57" width="30.42578125" hidden="1" customWidth="1"/>
    <col min="58" max="58" width="12" hidden="1" customWidth="1"/>
    <col min="59" max="59" width="9.140625" hidden="1" customWidth="1"/>
    <col min="60" max="61" width="15.42578125" bestFit="1" customWidth="1"/>
    <col min="62" max="62" width="13.42578125" bestFit="1" customWidth="1"/>
    <col min="63" max="63" width="71" bestFit="1" customWidth="1"/>
    <col min="64" max="64" width="9.42578125" bestFit="1" customWidth="1"/>
  </cols>
  <sheetData>
    <row r="1" spans="1:67" ht="13.35">
      <c r="BI1" s="529" t="s">
        <v>9</v>
      </c>
    </row>
    <row r="2" spans="1:67" ht="13.35">
      <c r="A2" s="543"/>
      <c r="B2" s="544" t="s">
        <v>10</v>
      </c>
      <c r="C2" s="545" t="s">
        <v>11</v>
      </c>
      <c r="D2" s="545" t="s">
        <v>12</v>
      </c>
      <c r="E2" s="545" t="s">
        <v>13</v>
      </c>
      <c r="F2" s="545" t="s">
        <v>14</v>
      </c>
      <c r="G2" s="545"/>
      <c r="H2" s="545" t="s">
        <v>11</v>
      </c>
      <c r="I2" s="545" t="s">
        <v>12</v>
      </c>
      <c r="J2" s="545" t="s">
        <v>13</v>
      </c>
      <c r="K2" s="545" t="s">
        <v>14</v>
      </c>
      <c r="L2" s="545"/>
      <c r="M2" s="545" t="s">
        <v>11</v>
      </c>
      <c r="N2" s="545" t="s">
        <v>12</v>
      </c>
      <c r="O2" s="545" t="s">
        <v>13</v>
      </c>
      <c r="P2" s="545" t="s">
        <v>14</v>
      </c>
      <c r="Q2" s="545"/>
      <c r="R2" s="545" t="s">
        <v>11</v>
      </c>
      <c r="S2" s="545" t="s">
        <v>12</v>
      </c>
      <c r="T2" s="545" t="s">
        <v>13</v>
      </c>
      <c r="U2" s="545" t="s">
        <v>14</v>
      </c>
      <c r="V2" s="545" t="s">
        <v>11</v>
      </c>
      <c r="W2" s="545" t="s">
        <v>12</v>
      </c>
      <c r="X2" s="545" t="s">
        <v>13</v>
      </c>
      <c r="Y2" s="545" t="s">
        <v>14</v>
      </c>
      <c r="Z2" s="545" t="s">
        <v>11</v>
      </c>
      <c r="AA2" s="545" t="s">
        <v>12</v>
      </c>
      <c r="AB2" s="545" t="s">
        <v>13</v>
      </c>
      <c r="AC2" s="545" t="s">
        <v>14</v>
      </c>
      <c r="AD2" s="543"/>
      <c r="AE2" s="545" t="s">
        <v>11</v>
      </c>
      <c r="AF2" s="545" t="s">
        <v>12</v>
      </c>
      <c r="AG2" s="545" t="s">
        <v>13</v>
      </c>
      <c r="AH2" s="545" t="s">
        <v>14</v>
      </c>
      <c r="AI2" s="543"/>
      <c r="AJ2" s="545" t="s">
        <v>11</v>
      </c>
      <c r="AK2" s="545" t="s">
        <v>12</v>
      </c>
      <c r="AL2" s="545" t="s">
        <v>13</v>
      </c>
      <c r="AM2" s="545" t="s">
        <v>14</v>
      </c>
      <c r="AN2" s="546"/>
      <c r="AO2" s="545" t="s">
        <v>11</v>
      </c>
      <c r="AP2" s="545" t="s">
        <v>12</v>
      </c>
      <c r="AQ2" s="545" t="s">
        <v>13</v>
      </c>
      <c r="AR2" s="545" t="s">
        <v>14</v>
      </c>
      <c r="AS2" s="546"/>
      <c r="AT2" s="545" t="s">
        <v>11</v>
      </c>
      <c r="AU2" s="545" t="s">
        <v>12</v>
      </c>
      <c r="AV2" s="545" t="s">
        <v>13</v>
      </c>
      <c r="AW2" s="545" t="s">
        <v>14</v>
      </c>
      <c r="AX2" s="545" t="s">
        <v>11</v>
      </c>
      <c r="AY2" s="545" t="s">
        <v>12</v>
      </c>
      <c r="AZ2" s="545" t="s">
        <v>13</v>
      </c>
      <c r="BA2" s="545" t="s">
        <v>14</v>
      </c>
      <c r="BB2" s="545"/>
      <c r="BC2" s="545" t="s">
        <v>11</v>
      </c>
      <c r="BD2" s="545" t="s">
        <v>12</v>
      </c>
      <c r="BE2" s="545" t="s">
        <v>13</v>
      </c>
      <c r="BF2" s="545" t="s">
        <v>14</v>
      </c>
      <c r="BG2" s="545"/>
      <c r="BH2" s="545" t="s">
        <v>11</v>
      </c>
      <c r="BI2" s="545" t="s">
        <v>12</v>
      </c>
      <c r="BJ2" s="545" t="s">
        <v>13</v>
      </c>
      <c r="BK2" s="545" t="s">
        <v>14</v>
      </c>
    </row>
    <row r="3" spans="1:67" ht="13.35">
      <c r="A3" s="543"/>
      <c r="B3" s="545" t="s">
        <v>15</v>
      </c>
      <c r="C3" s="547">
        <v>46023</v>
      </c>
      <c r="D3" s="547">
        <v>46023</v>
      </c>
      <c r="E3" s="547">
        <v>46023</v>
      </c>
      <c r="F3" s="547">
        <v>46023</v>
      </c>
      <c r="G3" s="547"/>
      <c r="H3" s="547">
        <v>46054</v>
      </c>
      <c r="I3" s="547">
        <v>46054</v>
      </c>
      <c r="J3" s="547">
        <v>46054</v>
      </c>
      <c r="K3" s="547">
        <v>46054</v>
      </c>
      <c r="L3" s="547"/>
      <c r="M3" s="547">
        <v>46082</v>
      </c>
      <c r="N3" s="547">
        <v>46082</v>
      </c>
      <c r="O3" s="547">
        <v>46082</v>
      </c>
      <c r="P3" s="547">
        <v>46082</v>
      </c>
      <c r="Q3" s="547"/>
      <c r="R3" s="547">
        <v>46113</v>
      </c>
      <c r="S3" s="547">
        <v>46113</v>
      </c>
      <c r="T3" s="547">
        <v>46113</v>
      </c>
      <c r="U3" s="547">
        <v>46113</v>
      </c>
      <c r="V3" s="547">
        <v>46143</v>
      </c>
      <c r="W3" s="547">
        <v>46143</v>
      </c>
      <c r="X3" s="547">
        <v>46143</v>
      </c>
      <c r="Y3" s="547">
        <v>46143</v>
      </c>
      <c r="Z3" s="547">
        <v>46198</v>
      </c>
      <c r="AA3" s="547">
        <v>46198</v>
      </c>
      <c r="AB3" s="547">
        <v>46198</v>
      </c>
      <c r="AC3" s="547">
        <v>46198</v>
      </c>
      <c r="AD3" s="543"/>
      <c r="AE3" s="547">
        <v>46228</v>
      </c>
      <c r="AF3" s="547">
        <v>46228</v>
      </c>
      <c r="AG3" s="547">
        <v>46228</v>
      </c>
      <c r="AH3" s="547">
        <v>46228</v>
      </c>
      <c r="AI3" s="543"/>
      <c r="AJ3" s="547">
        <v>46259</v>
      </c>
      <c r="AK3" s="547">
        <v>46259</v>
      </c>
      <c r="AL3" s="547">
        <v>46259</v>
      </c>
      <c r="AM3" s="547">
        <v>46259</v>
      </c>
      <c r="AN3" s="548"/>
      <c r="AO3" s="547">
        <v>46290</v>
      </c>
      <c r="AP3" s="547">
        <v>46290</v>
      </c>
      <c r="AQ3" s="547">
        <v>46290</v>
      </c>
      <c r="AR3" s="547">
        <v>46290</v>
      </c>
      <c r="AS3" s="548"/>
      <c r="AT3" s="547">
        <v>46320</v>
      </c>
      <c r="AU3" s="547">
        <v>46320</v>
      </c>
      <c r="AV3" s="547">
        <v>46320</v>
      </c>
      <c r="AW3" s="547">
        <v>46320</v>
      </c>
      <c r="AX3" s="547">
        <v>46351</v>
      </c>
      <c r="AY3" s="547">
        <v>46351</v>
      </c>
      <c r="AZ3" s="547">
        <v>46351</v>
      </c>
      <c r="BA3" s="547">
        <v>46351</v>
      </c>
      <c r="BB3" s="547"/>
      <c r="BC3" s="547">
        <v>46381</v>
      </c>
      <c r="BD3" s="547">
        <v>46381</v>
      </c>
      <c r="BE3" s="547">
        <v>46381</v>
      </c>
      <c r="BF3" s="547">
        <v>46381</v>
      </c>
      <c r="BG3" s="547"/>
      <c r="BH3" s="543"/>
      <c r="BI3" s="549"/>
      <c r="BJ3" s="549"/>
      <c r="BK3" s="549"/>
    </row>
    <row r="4" spans="1:67" ht="67.5" customHeight="1">
      <c r="A4" t="str">
        <f>Rent!B14</f>
        <v>Major A</v>
      </c>
      <c r="B4" s="529" t="str">
        <f>Rent!A14</f>
        <v>EOS Fitness</v>
      </c>
      <c r="C4" s="535">
        <f>VLOOKUP(B4,'Final Data'!A3:B27,2,0)</f>
        <v>66174.8256437456</v>
      </c>
      <c r="D4" s="527">
        <v>66725.03</v>
      </c>
      <c r="E4" s="528">
        <f t="shared" ref="E4:E17" si="0">D4-C4</f>
        <v>550.20435625439859</v>
      </c>
      <c r="F4" s="551" t="s">
        <v>16</v>
      </c>
      <c r="G4" s="551"/>
      <c r="H4" s="535">
        <f>VLOOKUP(B4,'Final Data'!A:C,3,0)</f>
        <v>66174.8256437456</v>
      </c>
      <c r="I4" s="527">
        <v>66725.03</v>
      </c>
      <c r="J4" s="528">
        <f t="shared" ref="J4:J23" si="1">I4-H4</f>
        <v>550.20435625439859</v>
      </c>
      <c r="K4" t="s">
        <v>16</v>
      </c>
      <c r="M4" s="535">
        <f>VLOOKUP(B4,'Final Data'!A:D,4,0)</f>
        <v>66174.8256437456</v>
      </c>
      <c r="N4" s="527">
        <v>81513.539999999994</v>
      </c>
      <c r="O4" s="528">
        <f>N4-M4</f>
        <v>15338.714356254393</v>
      </c>
      <c r="P4" s="551" t="s">
        <v>17</v>
      </c>
      <c r="Q4" s="551"/>
      <c r="R4" s="535">
        <f>VLOOKUP(B4,'Final Data'!A:E,5,0)</f>
        <v>66174.8256437456</v>
      </c>
      <c r="S4" s="527">
        <v>66174.83</v>
      </c>
      <c r="T4" s="528">
        <f>S4-R4</f>
        <v>4.3562544015003368E-3</v>
      </c>
      <c r="V4" s="535">
        <f>VLOOKUP(B4,'Final Data'!A:G,6,0)</f>
        <v>66174.8256437456</v>
      </c>
      <c r="W4" s="527">
        <v>72994.789999999994</v>
      </c>
      <c r="X4" s="528">
        <f>W4-V4</f>
        <v>6819.9643562543934</v>
      </c>
      <c r="Y4" s="551" t="s">
        <v>18</v>
      </c>
      <c r="Z4" s="535">
        <f>VLOOKUP(B4,'Final Data'!A:G,7,0)</f>
        <v>66174.8256437456</v>
      </c>
      <c r="AA4" s="527">
        <v>66174.84</v>
      </c>
      <c r="AB4" s="528">
        <f>AA4-Z4</f>
        <v>1.4356254396261647E-2</v>
      </c>
      <c r="AE4" s="535">
        <f>VLOOKUP(B4,'Final Data'!A:H,8,0)</f>
        <v>66174.8256437456</v>
      </c>
      <c r="AF4" s="527">
        <v>66174.84</v>
      </c>
      <c r="AG4" s="528">
        <f>AF4-AE4</f>
        <v>1.4356254396261647E-2</v>
      </c>
      <c r="AJ4" s="535">
        <f>VLOOKUP(B4,'Final Data'!A:I,9,0)</f>
        <v>66174.8256437456</v>
      </c>
      <c r="AK4" s="535">
        <v>66174.84</v>
      </c>
      <c r="AL4" s="535">
        <f>AK4-AJ4</f>
        <v>1.4356254396261647E-2</v>
      </c>
      <c r="AO4" s="550"/>
      <c r="AP4" s="527"/>
      <c r="AQ4" s="528"/>
      <c r="AT4" s="550"/>
      <c r="AU4" s="527"/>
      <c r="AV4" s="528"/>
      <c r="AX4" s="553"/>
      <c r="AZ4" s="528"/>
      <c r="BC4" s="553"/>
      <c r="BD4" s="527"/>
      <c r="BE4" s="528"/>
      <c r="BH4" s="528">
        <f t="shared" ref="BH4:BH23" si="2">+C4+H4+M4+R4+V4+Z4+AE4+AJ4+AO4+AT4+AX4+BC4</f>
        <v>529398.6051499648</v>
      </c>
      <c r="BI4" s="528">
        <f t="shared" ref="BI4:BI23" si="3">+D4+I4+N4+S4+W4+AA4+AF4+AK4+AP4+AU4+AY4+BD4</f>
        <v>552657.73999999987</v>
      </c>
      <c r="BJ4" s="528">
        <f t="shared" ref="BJ4:BJ23" si="4">+E4+J4+O4+T4+X4+AB4+AG4+AL4+AQ4+AV4+AZ4+BE4</f>
        <v>23259.134850035174</v>
      </c>
      <c r="BK4" s="551" t="s">
        <v>19</v>
      </c>
      <c r="BN4" s="528"/>
    </row>
    <row r="5" spans="1:67" ht="38.65">
      <c r="A5" t="str">
        <f>Rent!B15</f>
        <v>B101</v>
      </c>
      <c r="B5" s="529" t="str">
        <f>Rent!A15</f>
        <v>Third Pasrty MVS</v>
      </c>
      <c r="C5" s="535">
        <f>VLOOKUP(B5,'Final Data'!A4:B28,2,0)</f>
        <v>8225.1150218243765</v>
      </c>
      <c r="D5" s="527">
        <v>8225.14</v>
      </c>
      <c r="E5" s="528">
        <f t="shared" si="0"/>
        <v>2.4978175622891285E-2</v>
      </c>
      <c r="H5" s="535">
        <f>VLOOKUP(B5,'Final Data'!A:C,3,0)</f>
        <v>8225.1150218243765</v>
      </c>
      <c r="I5" s="527">
        <v>8225.1200000000008</v>
      </c>
      <c r="J5" s="528">
        <f>I5-H5</f>
        <v>4.9781756242737174E-3</v>
      </c>
      <c r="M5" s="535">
        <f>VLOOKUP(B5,'Final Data'!A:D,4,0)</f>
        <v>8225.1150218243765</v>
      </c>
      <c r="N5" s="527">
        <v>8225.1200000000008</v>
      </c>
      <c r="O5" s="528">
        <f t="shared" ref="O5:O22" si="5">N5-M5</f>
        <v>4.9781756242737174E-3</v>
      </c>
      <c r="R5" s="535">
        <f>VLOOKUP(B5,'Final Data'!A:E,5,0)</f>
        <v>8225.1150218243765</v>
      </c>
      <c r="S5" s="527">
        <v>8225.14</v>
      </c>
      <c r="T5" s="528">
        <f t="shared" ref="T5:T22" si="6">S5-R5</f>
        <v>2.4978175622891285E-2</v>
      </c>
      <c r="V5" s="535">
        <f>VLOOKUP(B5,'Final Data'!A:G,6,0)</f>
        <v>8225.1150218243765</v>
      </c>
      <c r="W5" s="527">
        <v>9380.92</v>
      </c>
      <c r="X5" s="528">
        <f t="shared" ref="X5:X22" si="7">W5-V5</f>
        <v>1155.8049781756235</v>
      </c>
      <c r="Y5" s="551" t="s">
        <v>20</v>
      </c>
      <c r="Z5" s="535">
        <f>VLOOKUP(B5,'Final Data'!A:G,7,0)</f>
        <v>8225.1150218243765</v>
      </c>
      <c r="AA5" s="527">
        <v>8197.6200000000008</v>
      </c>
      <c r="AB5" s="528">
        <f t="shared" ref="AB5:AB22" si="8">AA5-Z5</f>
        <v>-27.495021824375726</v>
      </c>
      <c r="AC5" t="s">
        <v>21</v>
      </c>
      <c r="AE5" s="535">
        <f>VLOOKUP(B5,'Final Data'!A:H,8,0)</f>
        <v>8225.1150218243765</v>
      </c>
      <c r="AF5" s="527">
        <v>8225.14</v>
      </c>
      <c r="AG5" s="528">
        <f t="shared" ref="AG5:AG22" si="9">AF5-AE5</f>
        <v>2.4978175622891285E-2</v>
      </c>
      <c r="AJ5" s="535">
        <f>VLOOKUP(B5,'Final Data'!A:I,9,0)</f>
        <v>8225.1150218243765</v>
      </c>
      <c r="AK5" s="535">
        <v>8225.14</v>
      </c>
      <c r="AL5" s="535">
        <f t="shared" ref="AL5:AL23" si="10">AK5-AJ5</f>
        <v>2.4978175622891285E-2</v>
      </c>
      <c r="AO5" s="550"/>
      <c r="AP5" s="527"/>
      <c r="AQ5" s="528"/>
      <c r="AR5" s="551"/>
      <c r="AS5" s="551"/>
      <c r="AT5" s="550"/>
      <c r="AU5" s="552"/>
      <c r="AV5" s="528"/>
      <c r="AW5" s="551"/>
      <c r="AX5" s="553"/>
      <c r="AY5" s="552"/>
      <c r="AZ5" s="528"/>
      <c r="BA5" s="551"/>
      <c r="BB5" s="551"/>
      <c r="BC5" s="553"/>
      <c r="BD5" s="552"/>
      <c r="BE5" s="528"/>
      <c r="BF5" s="551"/>
      <c r="BH5" s="528">
        <f t="shared" si="2"/>
        <v>65800.920174595012</v>
      </c>
      <c r="BI5" s="528">
        <f t="shared" si="3"/>
        <v>66929.34</v>
      </c>
      <c r="BJ5" s="528">
        <f t="shared" si="4"/>
        <v>1128.4198254049879</v>
      </c>
      <c r="BK5" s="551" t="s">
        <v>22</v>
      </c>
      <c r="BL5" s="528"/>
      <c r="BM5" s="528"/>
    </row>
    <row r="6" spans="1:67" ht="27" customHeight="1">
      <c r="A6" t="str">
        <f>Rent!B16</f>
        <v>B103</v>
      </c>
      <c r="B6" s="529" t="str">
        <f>Rent!A16</f>
        <v xml:space="preserve">Sally Beauty Supply </v>
      </c>
      <c r="C6" s="535">
        <f>VLOOKUP(B6,'Final Data'!A5:B29,2,0)</f>
        <v>3311.5728998451082</v>
      </c>
      <c r="D6" s="527">
        <v>3371</v>
      </c>
      <c r="E6" s="528">
        <f t="shared" si="0"/>
        <v>59.427100154891832</v>
      </c>
      <c r="F6" s="551" t="s">
        <v>23</v>
      </c>
      <c r="G6" s="551"/>
      <c r="H6" s="535">
        <f>VLOOKUP(B6,'Final Data'!A:C,3,0)</f>
        <v>3311.5728998451082</v>
      </c>
      <c r="I6" s="527">
        <v>3371</v>
      </c>
      <c r="J6" s="528">
        <f t="shared" si="1"/>
        <v>59.427100154891832</v>
      </c>
      <c r="K6" t="s">
        <v>23</v>
      </c>
      <c r="M6" s="535">
        <f>VLOOKUP(B6,'Final Data'!A:D,4,0)</f>
        <v>3311.5728998451082</v>
      </c>
      <c r="N6" s="527">
        <v>3371</v>
      </c>
      <c r="O6" s="528">
        <f t="shared" si="5"/>
        <v>59.427100154891832</v>
      </c>
      <c r="P6" t="s">
        <v>23</v>
      </c>
      <c r="R6" s="535">
        <f>VLOOKUP(B6,'Final Data'!A:E,5,0)</f>
        <v>3311.5728998451082</v>
      </c>
      <c r="S6" s="527">
        <v>3371</v>
      </c>
      <c r="T6" s="528">
        <f t="shared" si="6"/>
        <v>59.427100154891832</v>
      </c>
      <c r="U6" t="s">
        <v>23</v>
      </c>
      <c r="V6" s="535">
        <f>VLOOKUP(B6,'Final Data'!A:G,6,0)</f>
        <v>3311.5728998451082</v>
      </c>
      <c r="W6" s="527">
        <v>3371</v>
      </c>
      <c r="X6" s="528">
        <f t="shared" si="7"/>
        <v>59.427100154891832</v>
      </c>
      <c r="Y6" t="s">
        <v>23</v>
      </c>
      <c r="Z6" s="535">
        <f>VLOOKUP(B6,'Final Data'!A:G,7,0)</f>
        <v>3311.5728998451082</v>
      </c>
      <c r="AA6" s="527">
        <v>3371</v>
      </c>
      <c r="AB6" s="528">
        <f t="shared" si="8"/>
        <v>59.427100154891832</v>
      </c>
      <c r="AC6" t="s">
        <v>23</v>
      </c>
      <c r="AE6" s="535">
        <f>VLOOKUP(B6,'Final Data'!A:H,8,0)</f>
        <v>3311.5728998451082</v>
      </c>
      <c r="AF6" s="527">
        <v>3371</v>
      </c>
      <c r="AG6" s="528">
        <f t="shared" si="9"/>
        <v>59.427100154891832</v>
      </c>
      <c r="AH6" t="s">
        <v>23</v>
      </c>
      <c r="AJ6" s="535">
        <f>VLOOKUP(B6,'Final Data'!A:I,9,0)</f>
        <v>3311.5728998451082</v>
      </c>
      <c r="AK6" s="535">
        <v>2895.56</v>
      </c>
      <c r="AL6" s="535">
        <f t="shared" si="10"/>
        <v>-416.01289984510822</v>
      </c>
      <c r="AM6" t="s">
        <v>24</v>
      </c>
      <c r="AO6" s="550"/>
      <c r="AP6" s="527"/>
      <c r="AQ6" s="528"/>
      <c r="AT6" s="550"/>
      <c r="AU6" s="527"/>
      <c r="AV6" s="528"/>
      <c r="AX6" s="553"/>
      <c r="AY6" s="527"/>
      <c r="AZ6" s="528"/>
      <c r="BC6" s="553"/>
      <c r="BD6" s="527"/>
      <c r="BE6" s="528"/>
      <c r="BH6" s="528">
        <f t="shared" si="2"/>
        <v>26492.583198760865</v>
      </c>
      <c r="BI6" s="528">
        <f t="shared" si="3"/>
        <v>26492.560000000001</v>
      </c>
      <c r="BJ6" s="528">
        <f t="shared" si="4"/>
        <v>-2.3198760865398071E-2</v>
      </c>
      <c r="BK6" s="551"/>
    </row>
    <row r="7" spans="1:67" ht="26.1">
      <c r="A7" t="str">
        <f>Rent!B17</f>
        <v>B104</v>
      </c>
      <c r="B7" s="529" t="str">
        <f>Rent!A17</f>
        <v>Wild Side Smoke Shop</v>
      </c>
      <c r="C7" s="535">
        <f>VLOOKUP(B7,'Final Data'!A6:B30,2,0)</f>
        <v>3363.2468687582791</v>
      </c>
      <c r="D7" s="527">
        <v>3091.9</v>
      </c>
      <c r="E7" s="528">
        <f t="shared" si="0"/>
        <v>-271.34686875827902</v>
      </c>
      <c r="F7" s="551" t="s">
        <v>25</v>
      </c>
      <c r="G7" s="551"/>
      <c r="H7" s="535">
        <f>VLOOKUP(B7,'Final Data'!A:C,3,0)</f>
        <v>3363.2468687582791</v>
      </c>
      <c r="I7" s="527">
        <v>3363.25</v>
      </c>
      <c r="J7" s="528">
        <f t="shared" si="1"/>
        <v>3.1312417208937404E-3</v>
      </c>
      <c r="M7" s="535">
        <f>VLOOKUP(B7,'Final Data'!A:D,4,0)</f>
        <v>3363.2468687582791</v>
      </c>
      <c r="N7" s="527">
        <v>3363.25</v>
      </c>
      <c r="O7" s="528">
        <f t="shared" si="5"/>
        <v>3.1312417208937404E-3</v>
      </c>
      <c r="R7" s="535">
        <f>VLOOKUP(B7,'Final Data'!A:E,5,0)</f>
        <v>3363.2468687582791</v>
      </c>
      <c r="S7" s="527">
        <v>3363.25</v>
      </c>
      <c r="T7" s="528">
        <f t="shared" si="6"/>
        <v>3.1312417208937404E-3</v>
      </c>
      <c r="V7" s="535">
        <f>VLOOKUP(B7,'Final Data'!A:G,6,0)</f>
        <v>3439.3633687582792</v>
      </c>
      <c r="W7" s="527">
        <v>3363.25</v>
      </c>
      <c r="X7" s="528">
        <f t="shared" si="7"/>
        <v>-76.113368758279194</v>
      </c>
      <c r="Y7" t="s">
        <v>26</v>
      </c>
      <c r="Z7" s="535">
        <f>VLOOKUP(B7,'Final Data'!A:G,7,0)</f>
        <v>3439.3633687582792</v>
      </c>
      <c r="AA7" s="527">
        <v>3363.25</v>
      </c>
      <c r="AB7" s="528">
        <f t="shared" si="8"/>
        <v>-76.113368758279194</v>
      </c>
      <c r="AC7" t="s">
        <v>26</v>
      </c>
      <c r="AE7" s="535">
        <f>VLOOKUP(B7,'Final Data'!A:H,8,0)</f>
        <v>3439.3633687582792</v>
      </c>
      <c r="AF7" s="527">
        <v>3363.25</v>
      </c>
      <c r="AG7" s="528">
        <f t="shared" si="9"/>
        <v>-76.113368758279194</v>
      </c>
      <c r="AH7" t="s">
        <v>26</v>
      </c>
      <c r="AJ7" s="535">
        <f>VLOOKUP(B7,'Final Data'!A:I,9,0)</f>
        <v>3439.3633687582792</v>
      </c>
      <c r="AK7" s="535">
        <v>3363.25</v>
      </c>
      <c r="AL7" s="535">
        <f t="shared" si="10"/>
        <v>-76.113368758279194</v>
      </c>
      <c r="AM7" t="s">
        <v>26</v>
      </c>
      <c r="AO7" s="550"/>
      <c r="AP7" s="527"/>
      <c r="AQ7" s="528"/>
      <c r="AT7" s="550"/>
      <c r="AU7" s="527"/>
      <c r="AV7" s="528"/>
      <c r="AX7" s="553"/>
      <c r="AY7" s="527"/>
      <c r="AZ7" s="528"/>
      <c r="BC7" s="553"/>
      <c r="BD7" s="527"/>
      <c r="BE7" s="528"/>
      <c r="BH7" s="528">
        <f t="shared" si="2"/>
        <v>27210.440950066237</v>
      </c>
      <c r="BI7" s="528">
        <f t="shared" si="3"/>
        <v>26634.65</v>
      </c>
      <c r="BJ7" s="528">
        <f t="shared" si="4"/>
        <v>-575.79095006623311</v>
      </c>
      <c r="BK7" s="551" t="s">
        <v>27</v>
      </c>
    </row>
    <row r="8" spans="1:67" ht="63.95">
      <c r="A8" t="str">
        <f>Rent!B18</f>
        <v>B105</v>
      </c>
      <c r="B8" s="529" t="str">
        <f>Rent!A18</f>
        <v>Green Spa, LLC</v>
      </c>
      <c r="C8" s="535">
        <f>VLOOKUP(B8,'Final Data'!A7:B31,2,0)</f>
        <v>2815.0955386137184</v>
      </c>
      <c r="D8" s="527">
        <v>2698.17</v>
      </c>
      <c r="E8" s="528">
        <f t="shared" si="0"/>
        <v>-116.92553861371835</v>
      </c>
      <c r="F8" s="551" t="s">
        <v>28</v>
      </c>
      <c r="G8" s="551"/>
      <c r="H8" s="535">
        <f>VLOOKUP(B8,'Final Data'!A:C,3,0)</f>
        <v>2815.0955386137184</v>
      </c>
      <c r="I8" s="527">
        <v>2937.03</v>
      </c>
      <c r="J8" s="528">
        <f t="shared" si="1"/>
        <v>121.93446138628178</v>
      </c>
      <c r="K8" s="551" t="s">
        <v>29</v>
      </c>
      <c r="L8" s="551"/>
      <c r="M8" s="535">
        <f>VLOOKUP(B8,'Final Data'!A:D,4,0)</f>
        <v>2815.0955386137184</v>
      </c>
      <c r="N8" s="527">
        <v>2815.1</v>
      </c>
      <c r="O8" s="528">
        <f t="shared" si="5"/>
        <v>4.4613862814912864E-3</v>
      </c>
      <c r="P8" s="551"/>
      <c r="Q8" s="551"/>
      <c r="R8" s="535">
        <f>VLOOKUP(B8,'Final Data'!A:E,5,0)</f>
        <v>2858.2787886137185</v>
      </c>
      <c r="S8" s="527">
        <v>2815.1</v>
      </c>
      <c r="T8" s="528">
        <f t="shared" si="6"/>
        <v>-43.178788613718552</v>
      </c>
      <c r="U8" s="551" t="s">
        <v>30</v>
      </c>
      <c r="V8" s="535">
        <f>VLOOKUP(B8,'Final Data'!A:G,6,0)</f>
        <v>2858.2787886137185</v>
      </c>
      <c r="W8" s="527">
        <v>2885.1</v>
      </c>
      <c r="X8" s="528">
        <f t="shared" si="7"/>
        <v>26.821211386281448</v>
      </c>
      <c r="Y8" s="551" t="s">
        <v>31</v>
      </c>
      <c r="Z8" s="535">
        <f>VLOOKUP(B8,'Final Data'!A:G,7,0)</f>
        <v>2858.2787886137185</v>
      </c>
      <c r="AA8" s="527">
        <v>2885.1</v>
      </c>
      <c r="AB8" s="528">
        <f t="shared" si="8"/>
        <v>26.821211386281448</v>
      </c>
      <c r="AC8" s="551" t="s">
        <v>32</v>
      </c>
      <c r="AE8" s="535">
        <f>VLOOKUP(B8,'Final Data'!A:H,8,0)</f>
        <v>2858.2787886137185</v>
      </c>
      <c r="AF8" s="527">
        <v>2815.1</v>
      </c>
      <c r="AG8" s="528">
        <f t="shared" si="9"/>
        <v>-43.178788613718552</v>
      </c>
      <c r="AH8" s="551" t="s">
        <v>33</v>
      </c>
      <c r="AJ8" s="535">
        <f>VLOOKUP(B8,'Final Data'!A:I,9,0)</f>
        <v>2858.2787886137185</v>
      </c>
      <c r="AK8" s="535">
        <v>2815.1</v>
      </c>
      <c r="AL8" s="535">
        <f t="shared" si="10"/>
        <v>-43.178788613718552</v>
      </c>
      <c r="AM8" s="551" t="s">
        <v>33</v>
      </c>
      <c r="AO8" s="550"/>
      <c r="AP8" s="527"/>
      <c r="AQ8" s="528"/>
      <c r="AT8" s="550"/>
      <c r="AU8" s="527"/>
      <c r="AV8" s="528"/>
      <c r="AX8" s="553"/>
      <c r="AY8" s="527"/>
      <c r="AZ8" s="528"/>
      <c r="BC8" s="553"/>
      <c r="BD8" s="527"/>
      <c r="BE8" s="528"/>
      <c r="BF8" s="551"/>
      <c r="BH8" s="528">
        <f t="shared" si="2"/>
        <v>22736.680558909753</v>
      </c>
      <c r="BI8" s="528">
        <f t="shared" si="3"/>
        <v>22665.8</v>
      </c>
      <c r="BJ8" s="528">
        <f t="shared" si="4"/>
        <v>-70.880558909747833</v>
      </c>
      <c r="BK8" s="551" t="s">
        <v>34</v>
      </c>
      <c r="BM8" s="528"/>
    </row>
    <row r="9" spans="1:67" ht="38.65">
      <c r="B9" s="529" t="s">
        <v>35</v>
      </c>
      <c r="C9" s="535">
        <v>15.375</v>
      </c>
      <c r="D9">
        <v>60</v>
      </c>
      <c r="E9" s="528">
        <f t="shared" si="0"/>
        <v>44.625</v>
      </c>
      <c r="F9" s="551" t="s">
        <v>36</v>
      </c>
      <c r="G9" s="551">
        <f>60-15</f>
        <v>45</v>
      </c>
      <c r="H9" s="535">
        <f>VLOOKUP(B9,'Final Data'!A:C,3,0)</f>
        <v>15.375</v>
      </c>
      <c r="I9" s="527">
        <v>0</v>
      </c>
      <c r="J9" s="528">
        <f t="shared" si="1"/>
        <v>-15.375</v>
      </c>
      <c r="K9" s="551" t="s">
        <v>37</v>
      </c>
      <c r="L9" s="551"/>
      <c r="M9" s="535">
        <f>VLOOKUP(B9,'Final Data'!A:D,4,0)</f>
        <v>15.375</v>
      </c>
      <c r="N9" s="527">
        <v>0</v>
      </c>
      <c r="O9" s="528">
        <f t="shared" si="5"/>
        <v>-15.375</v>
      </c>
      <c r="P9" s="551" t="s">
        <v>37</v>
      </c>
      <c r="Q9" s="551"/>
      <c r="R9" s="535">
        <f>VLOOKUP(B9,'Final Data'!A:E,5,0)</f>
        <v>15.375</v>
      </c>
      <c r="S9">
        <v>60</v>
      </c>
      <c r="T9" s="528">
        <f t="shared" si="6"/>
        <v>44.625</v>
      </c>
      <c r="U9" s="551" t="s">
        <v>38</v>
      </c>
      <c r="V9" s="535">
        <f>VLOOKUP(B9,'Final Data'!A:G,6,0)</f>
        <v>15.375</v>
      </c>
      <c r="W9" s="527">
        <v>0</v>
      </c>
      <c r="X9" s="528">
        <f t="shared" si="7"/>
        <v>-15.375</v>
      </c>
      <c r="Y9" s="551" t="s">
        <v>39</v>
      </c>
      <c r="Z9" s="535">
        <f>VLOOKUP(B9,'Final Data'!A:G,7,0)</f>
        <v>15.375</v>
      </c>
      <c r="AA9" s="527">
        <v>0</v>
      </c>
      <c r="AB9" s="528">
        <f t="shared" si="8"/>
        <v>-15.375</v>
      </c>
      <c r="AC9" s="551" t="s">
        <v>39</v>
      </c>
      <c r="AE9" s="535">
        <f>VLOOKUP(B9,'Final Data'!A:H,8,0)</f>
        <v>15.375</v>
      </c>
      <c r="AF9" s="527">
        <v>0</v>
      </c>
      <c r="AG9" s="528">
        <f t="shared" si="9"/>
        <v>-15.375</v>
      </c>
      <c r="AH9" t="s">
        <v>39</v>
      </c>
      <c r="AJ9" s="535">
        <f>VLOOKUP(B9,'Final Data'!A:I,9,0)</f>
        <v>15.375</v>
      </c>
      <c r="AK9" s="535">
        <v>45</v>
      </c>
      <c r="AL9" s="535">
        <f t="shared" si="10"/>
        <v>29.625</v>
      </c>
      <c r="AM9" s="551" t="s">
        <v>40</v>
      </c>
      <c r="AO9" s="550"/>
      <c r="AP9" s="527"/>
      <c r="AQ9" s="528"/>
      <c r="AT9" s="550"/>
      <c r="AU9" s="527"/>
      <c r="AV9" s="528"/>
      <c r="AX9" s="553"/>
      <c r="AY9" s="527"/>
      <c r="AZ9" s="528"/>
      <c r="BC9" s="553"/>
      <c r="BD9" s="527"/>
      <c r="BE9" s="528"/>
      <c r="BF9" s="551"/>
      <c r="BH9" s="528">
        <f t="shared" si="2"/>
        <v>123</v>
      </c>
      <c r="BI9" s="528">
        <f t="shared" si="3"/>
        <v>165</v>
      </c>
      <c r="BJ9" s="528">
        <f t="shared" si="4"/>
        <v>42</v>
      </c>
      <c r="BK9" s="551" t="s">
        <v>41</v>
      </c>
      <c r="BM9" s="528"/>
    </row>
    <row r="10" spans="1:67" ht="65.45" customHeight="1">
      <c r="A10" t="str">
        <f>Rent!B19</f>
        <v>B106</v>
      </c>
      <c r="B10" s="529" t="str">
        <f>Rent!A19</f>
        <v>AT&amp;T Mobility</v>
      </c>
      <c r="C10" s="535">
        <v>7038.9702648594903</v>
      </c>
      <c r="D10" s="527">
        <v>7206.85</v>
      </c>
      <c r="E10" s="528">
        <f t="shared" si="0"/>
        <v>167.87973514051009</v>
      </c>
      <c r="F10" s="551" t="s">
        <v>42</v>
      </c>
      <c r="G10" s="551"/>
      <c r="H10" s="535">
        <f>VLOOKUP(B10,'Final Data'!A:C,3,0)</f>
        <v>7038.9702648594885</v>
      </c>
      <c r="I10" s="527">
        <v>6871.07</v>
      </c>
      <c r="J10" s="528">
        <f t="shared" si="1"/>
        <v>-167.90026485948874</v>
      </c>
      <c r="K10" s="551" t="s">
        <v>43</v>
      </c>
      <c r="L10" s="551"/>
      <c r="M10" s="535">
        <f>VLOOKUP(B10,'Final Data'!A:D,4,0)</f>
        <v>7038.9702648594885</v>
      </c>
      <c r="N10" s="527">
        <v>7038.96</v>
      </c>
      <c r="O10" s="528">
        <f t="shared" si="5"/>
        <v>-1.0264859488415823E-2</v>
      </c>
      <c r="P10" s="551"/>
      <c r="Q10" s="551"/>
      <c r="R10" s="535">
        <f>VLOOKUP(B10,'Final Data'!A:E,5,0)</f>
        <v>7038.9702648594885</v>
      </c>
      <c r="S10" s="527">
        <v>7038.96</v>
      </c>
      <c r="T10" s="528">
        <f t="shared" si="6"/>
        <v>-1.0264859488415823E-2</v>
      </c>
      <c r="U10" s="551"/>
      <c r="V10" s="535">
        <f>VLOOKUP(B10,'Final Data'!A:G,6,0)</f>
        <v>7038.9702648594885</v>
      </c>
      <c r="W10" s="527">
        <v>4880.8100000000004</v>
      </c>
      <c r="X10" s="528">
        <f t="shared" si="7"/>
        <v>-2158.1602648594881</v>
      </c>
      <c r="Y10" s="551" t="s">
        <v>44</v>
      </c>
      <c r="Z10" s="535">
        <f>VLOOKUP(B10,'Final Data'!A:G,7,0)</f>
        <v>7038.9702648594885</v>
      </c>
      <c r="AA10" s="527">
        <v>7038.96</v>
      </c>
      <c r="AB10" s="528">
        <f t="shared" si="8"/>
        <v>-1.0264859488415823E-2</v>
      </c>
      <c r="AC10" s="551"/>
      <c r="AE10" s="535">
        <f>VLOOKUP(B10,'Final Data'!A:H,8,0)</f>
        <v>7038.9702648594885</v>
      </c>
      <c r="AF10" s="527">
        <v>7038.96</v>
      </c>
      <c r="AG10" s="528">
        <f t="shared" si="9"/>
        <v>-1.0264859488415823E-2</v>
      </c>
      <c r="AH10" s="551"/>
      <c r="AJ10" s="535">
        <f>VLOOKUP(B10,'Final Data'!A:I,9,0)</f>
        <v>7038.9702648594885</v>
      </c>
      <c r="AK10" s="535">
        <v>0</v>
      </c>
      <c r="AL10" s="535">
        <f t="shared" si="10"/>
        <v>-7038.9702648594885</v>
      </c>
      <c r="AM10" s="551" t="s">
        <v>45</v>
      </c>
      <c r="AO10" s="550"/>
      <c r="AP10" s="527"/>
      <c r="AQ10" s="528"/>
      <c r="AR10" s="551"/>
      <c r="AS10" s="551"/>
      <c r="AT10" s="550"/>
      <c r="AU10" s="527"/>
      <c r="AV10" s="528"/>
      <c r="AW10" s="551"/>
      <c r="AX10" s="553"/>
      <c r="AY10" s="527"/>
      <c r="AZ10" s="528"/>
      <c r="BA10" s="551"/>
      <c r="BB10" s="551"/>
      <c r="BC10" s="553"/>
      <c r="BD10" s="552"/>
      <c r="BE10" s="528"/>
      <c r="BF10" s="551"/>
      <c r="BH10" s="528">
        <f t="shared" si="2"/>
        <v>56311.762118875915</v>
      </c>
      <c r="BI10" s="528">
        <f t="shared" si="3"/>
        <v>47114.57</v>
      </c>
      <c r="BJ10" s="528">
        <f t="shared" si="4"/>
        <v>-9197.1921188759079</v>
      </c>
      <c r="BK10" s="551" t="s">
        <v>46</v>
      </c>
      <c r="BO10" t="s">
        <v>47</v>
      </c>
    </row>
    <row r="11" spans="1:67" ht="38.65">
      <c r="A11" t="str">
        <f>Rent!B20</f>
        <v>B108</v>
      </c>
      <c r="B11" s="529" t="str">
        <f>Rent!A20</f>
        <v>Discount Nutrition</v>
      </c>
      <c r="C11" s="535">
        <f>VLOOKUP(B11,'Final Data'!A9:B33,2,0)</f>
        <v>3381.282948669585</v>
      </c>
      <c r="D11" s="527">
        <v>3207.94</v>
      </c>
      <c r="E11" s="528">
        <f t="shared" si="0"/>
        <v>-173.34294866958498</v>
      </c>
      <c r="F11" s="551" t="s">
        <v>48</v>
      </c>
      <c r="G11" s="551"/>
      <c r="H11" s="535">
        <f>VLOOKUP(B11,'Final Data'!A:C,3,0)</f>
        <v>3381.282948669585</v>
      </c>
      <c r="I11" s="527">
        <v>3207.94</v>
      </c>
      <c r="J11" s="528">
        <f t="shared" si="1"/>
        <v>-173.34294866958498</v>
      </c>
      <c r="K11" s="551" t="s">
        <v>48</v>
      </c>
      <c r="L11" s="551"/>
      <c r="M11" s="535">
        <f>VLOOKUP(B11,'Final Data'!A:D,4,0)</f>
        <v>3381.282948669585</v>
      </c>
      <c r="N11" s="527">
        <v>3207.94</v>
      </c>
      <c r="O11" s="528">
        <f t="shared" si="5"/>
        <v>-173.34294866958498</v>
      </c>
      <c r="P11" t="s">
        <v>48</v>
      </c>
      <c r="R11" s="535">
        <f>VLOOKUP(B11,'Final Data'!A:E,5,0)</f>
        <v>3431.2106986695853</v>
      </c>
      <c r="S11" s="527">
        <v>3207.94</v>
      </c>
      <c r="T11" s="528">
        <f t="shared" si="6"/>
        <v>-223.27069866958527</v>
      </c>
      <c r="U11" s="551" t="s">
        <v>49</v>
      </c>
      <c r="V11" s="535">
        <f>VLOOKUP(B11,'Final Data'!A:G,6,0)</f>
        <v>3431.2106986695853</v>
      </c>
      <c r="W11" s="527">
        <v>0</v>
      </c>
      <c r="X11" s="528">
        <f t="shared" si="7"/>
        <v>-3431.2106986695853</v>
      </c>
      <c r="Y11" t="s">
        <v>50</v>
      </c>
      <c r="Z11" s="535">
        <f>VLOOKUP(B11,'Final Data'!A:G,7,0)</f>
        <v>3431.2106986695853</v>
      </c>
      <c r="AA11" s="527">
        <v>3207.94</v>
      </c>
      <c r="AB11" s="528">
        <f t="shared" si="8"/>
        <v>-223.27069866958527</v>
      </c>
      <c r="AC11" s="551" t="s">
        <v>51</v>
      </c>
      <c r="AE11" s="535">
        <f>VLOOKUP(B11,'Final Data'!A:H,8,0)</f>
        <v>3431.2106986695853</v>
      </c>
      <c r="AF11" s="527">
        <v>3207.94</v>
      </c>
      <c r="AG11" s="528">
        <f t="shared" si="9"/>
        <v>-223.27069866958527</v>
      </c>
      <c r="AH11" t="s">
        <v>51</v>
      </c>
      <c r="AJ11" s="535">
        <f>VLOOKUP(B11,'Final Data'!A:I,9,0)</f>
        <v>3431.2106986695853</v>
      </c>
      <c r="AK11" s="535">
        <v>8422.82</v>
      </c>
      <c r="AL11" s="535">
        <f t="shared" si="10"/>
        <v>4991.6093013304144</v>
      </c>
      <c r="AM11" s="551" t="s">
        <v>52</v>
      </c>
      <c r="AO11" s="550"/>
      <c r="AP11" s="527"/>
      <c r="AQ11" s="528"/>
      <c r="AT11" s="550"/>
      <c r="AU11" s="527"/>
      <c r="AV11" s="528"/>
      <c r="AX11" s="553"/>
      <c r="AZ11" s="528"/>
      <c r="BC11" s="553"/>
      <c r="BD11" s="527"/>
      <c r="BE11" s="528"/>
      <c r="BH11" s="528">
        <f t="shared" si="2"/>
        <v>27299.902339356689</v>
      </c>
      <c r="BI11" s="528">
        <f t="shared" si="3"/>
        <v>27670.46</v>
      </c>
      <c r="BJ11" s="528">
        <f t="shared" si="4"/>
        <v>370.55766064331874</v>
      </c>
      <c r="BK11" s="551" t="s">
        <v>53</v>
      </c>
      <c r="BO11" t="s">
        <v>47</v>
      </c>
    </row>
    <row r="12" spans="1:67" ht="32.450000000000003" customHeight="1">
      <c r="A12" t="str">
        <f>Rent!B21</f>
        <v>B109</v>
      </c>
      <c r="B12" s="529" t="str">
        <f>Rent!A21</f>
        <v>Adapt Chiropractic</v>
      </c>
      <c r="C12" s="535">
        <v>4285.81822313059</v>
      </c>
      <c r="D12" s="527">
        <v>4711.62</v>
      </c>
      <c r="E12" s="528">
        <f t="shared" si="0"/>
        <v>425.80177686940988</v>
      </c>
      <c r="F12" s="551" t="s">
        <v>54</v>
      </c>
      <c r="G12" s="551"/>
      <c r="H12" s="535">
        <f>VLOOKUP(B12,'Final Data'!A:C,3,0)</f>
        <v>4285.8182231305909</v>
      </c>
      <c r="I12" s="527">
        <v>3860.04</v>
      </c>
      <c r="J12" s="528">
        <f t="shared" si="1"/>
        <v>-425.77822313059096</v>
      </c>
      <c r="K12" s="551" t="s">
        <v>55</v>
      </c>
      <c r="L12" s="551"/>
      <c r="M12" s="535">
        <f>VLOOKUP(B12,'Final Data'!A:D,4,0)</f>
        <v>4285.8182231305909</v>
      </c>
      <c r="N12" s="527">
        <v>4285.83</v>
      </c>
      <c r="O12" s="528">
        <f t="shared" si="5"/>
        <v>1.1776869409004576E-2</v>
      </c>
      <c r="R12" s="535">
        <f>VLOOKUP(B12,'Final Data'!A:E,5,0)</f>
        <v>4285.8182231305909</v>
      </c>
      <c r="S12" s="527">
        <v>4285.83</v>
      </c>
      <c r="T12" s="528">
        <f t="shared" si="6"/>
        <v>1.1776869409004576E-2</v>
      </c>
      <c r="V12" s="535">
        <f>VLOOKUP(B12,'Final Data'!A:G,6,0)</f>
        <v>4285.8182231305909</v>
      </c>
      <c r="W12" s="527">
        <v>173.99</v>
      </c>
      <c r="X12" s="528">
        <f t="shared" si="7"/>
        <v>-4111.8282231305911</v>
      </c>
      <c r="Y12" s="551" t="s">
        <v>56</v>
      </c>
      <c r="Z12" s="535">
        <f>VLOOKUP(B12,'Final Data'!A:G,7,0)</f>
        <v>4285.8182231305909</v>
      </c>
      <c r="AA12" s="527">
        <v>4285.83</v>
      </c>
      <c r="AB12" s="528">
        <f t="shared" si="8"/>
        <v>1.1776869409004576E-2</v>
      </c>
      <c r="AE12" s="535">
        <f>VLOOKUP(B12,'Final Data'!A:H,8,0)</f>
        <v>4285.8182231305909</v>
      </c>
      <c r="AF12" s="527">
        <v>4285.83</v>
      </c>
      <c r="AG12" s="528">
        <f t="shared" si="9"/>
        <v>1.1776869409004576E-2</v>
      </c>
      <c r="AJ12" s="535">
        <f>VLOOKUP(B12,'Final Data'!A:I,9,0)</f>
        <v>4285.8182231305909</v>
      </c>
      <c r="AK12" s="535">
        <v>4285.83</v>
      </c>
      <c r="AL12" s="535">
        <f t="shared" si="10"/>
        <v>1.1776869409004576E-2</v>
      </c>
      <c r="AM12" s="551"/>
      <c r="AO12" s="550"/>
      <c r="AP12" s="527"/>
      <c r="AQ12" s="528"/>
      <c r="AR12" s="551"/>
      <c r="AS12" s="551"/>
      <c r="AT12" s="550"/>
      <c r="AU12" s="552"/>
      <c r="AV12" s="528"/>
      <c r="AW12" s="551"/>
      <c r="AX12" s="553"/>
      <c r="AY12" s="552"/>
      <c r="AZ12" s="528"/>
      <c r="BA12" s="551"/>
      <c r="BB12" s="551"/>
      <c r="BC12" s="553"/>
      <c r="BD12" s="552"/>
      <c r="BE12" s="528"/>
      <c r="BF12" s="551"/>
      <c r="BH12" s="528">
        <f t="shared" si="2"/>
        <v>34286.545785044727</v>
      </c>
      <c r="BI12" s="528">
        <f t="shared" si="3"/>
        <v>30174.800000000003</v>
      </c>
      <c r="BJ12" s="528">
        <f t="shared" si="4"/>
        <v>-4111.7457850447272</v>
      </c>
      <c r="BK12" s="551" t="s">
        <v>57</v>
      </c>
      <c r="BM12" s="528"/>
    </row>
    <row r="13" spans="1:67" ht="13.35">
      <c r="A13" t="str">
        <f>Rent!B22</f>
        <v>B111</v>
      </c>
      <c r="B13" s="529" t="str">
        <f>Rent!A22</f>
        <v>Speakeasy Suites</v>
      </c>
      <c r="C13" s="535">
        <f>VLOOKUP(B13,'Final Data'!A11:B35,2,0)</f>
        <v>8299.7743665409198</v>
      </c>
      <c r="D13" s="527">
        <v>8299.7800000000007</v>
      </c>
      <c r="E13" s="528">
        <f t="shared" si="0"/>
        <v>5.6334590808546636E-3</v>
      </c>
      <c r="F13" s="551"/>
      <c r="G13" s="551"/>
      <c r="H13" s="535">
        <f>VLOOKUP(B13,'Final Data'!A:C,3,0)</f>
        <v>8299.7743665409198</v>
      </c>
      <c r="I13" s="527">
        <v>8299.7800000000007</v>
      </c>
      <c r="J13" s="528">
        <f t="shared" si="1"/>
        <v>5.6334590808546636E-3</v>
      </c>
      <c r="M13" s="535">
        <f>VLOOKUP(B13,'Final Data'!A:D,4,0)</f>
        <v>8299.7743665409198</v>
      </c>
      <c r="N13" s="527">
        <v>8299.7800000000007</v>
      </c>
      <c r="O13" s="528">
        <f t="shared" si="5"/>
        <v>5.6334590808546636E-3</v>
      </c>
      <c r="R13" s="535">
        <f>VLOOKUP(B13,'Final Data'!A:E,5,0)</f>
        <v>8299.7743665409198</v>
      </c>
      <c r="S13" s="527">
        <v>8299.7800000000007</v>
      </c>
      <c r="T13" s="528">
        <f t="shared" si="6"/>
        <v>5.6334590808546636E-3</v>
      </c>
      <c r="V13" s="535">
        <f>VLOOKUP(B13,'Final Data'!A:G,6,0)</f>
        <v>8299.7743665409198</v>
      </c>
      <c r="W13" s="527">
        <v>8299.7800000000007</v>
      </c>
      <c r="X13" s="528">
        <f t="shared" si="7"/>
        <v>5.6334590808546636E-3</v>
      </c>
      <c r="Z13" s="535">
        <f>VLOOKUP(B13,'Final Data'!A:G,7,0)</f>
        <v>8299.7743665409198</v>
      </c>
      <c r="AA13" s="527">
        <v>8299.7800000000007</v>
      </c>
      <c r="AB13" s="528">
        <f t="shared" si="8"/>
        <v>5.6334590808546636E-3</v>
      </c>
      <c r="AE13" s="535">
        <f>VLOOKUP(B13,'Final Data'!A:H,8,0)</f>
        <v>8299.7743665409198</v>
      </c>
      <c r="AF13" s="527">
        <v>9868.42</v>
      </c>
      <c r="AG13" s="528">
        <f t="shared" si="9"/>
        <v>1568.6456334590803</v>
      </c>
      <c r="AH13" s="551" t="s">
        <v>58</v>
      </c>
      <c r="AJ13" s="535">
        <f>VLOOKUP(B13,'Final Data'!A:I,9,0)</f>
        <v>8299.7743665409198</v>
      </c>
      <c r="AK13" s="535">
        <v>8299.7800000000007</v>
      </c>
      <c r="AL13" s="535">
        <f t="shared" si="10"/>
        <v>5.6334590808546636E-3</v>
      </c>
      <c r="AO13" s="550"/>
      <c r="AP13" s="527"/>
      <c r="AQ13" s="528"/>
      <c r="AT13" s="550"/>
      <c r="AU13" s="527"/>
      <c r="AV13" s="528"/>
      <c r="AW13" s="551"/>
      <c r="AX13" s="553"/>
      <c r="AY13" s="552"/>
      <c r="AZ13" s="528"/>
      <c r="BA13" s="551"/>
      <c r="BB13" s="551"/>
      <c r="BC13" s="553"/>
      <c r="BD13" s="552"/>
      <c r="BE13" s="528"/>
      <c r="BF13" s="551"/>
      <c r="BH13" s="528">
        <f t="shared" si="2"/>
        <v>66398.194932327358</v>
      </c>
      <c r="BI13" s="528">
        <f t="shared" si="3"/>
        <v>67966.880000000005</v>
      </c>
      <c r="BJ13" s="528">
        <f t="shared" si="4"/>
        <v>1568.6850676726463</v>
      </c>
      <c r="BK13" s="551" t="s">
        <v>59</v>
      </c>
    </row>
    <row r="14" spans="1:67" ht="13.35">
      <c r="B14" s="529" t="s">
        <v>60</v>
      </c>
      <c r="C14" s="535">
        <v>1537.5</v>
      </c>
      <c r="D14" s="527">
        <v>1537.5</v>
      </c>
      <c r="E14" s="528">
        <f t="shared" si="0"/>
        <v>0</v>
      </c>
      <c r="F14" s="551"/>
      <c r="G14" s="551"/>
      <c r="H14" s="535">
        <f>VLOOKUP(B14,'Final Data'!A:C,3,0)</f>
        <v>1537.5</v>
      </c>
      <c r="I14" s="527">
        <v>1537.5</v>
      </c>
      <c r="J14" s="528">
        <f t="shared" si="1"/>
        <v>0</v>
      </c>
      <c r="M14" s="535">
        <f>VLOOKUP(B14,'Final Data'!A:D,4,0)</f>
        <v>1537.5</v>
      </c>
      <c r="N14" s="527">
        <v>1537.5</v>
      </c>
      <c r="O14" s="528">
        <f t="shared" si="5"/>
        <v>0</v>
      </c>
      <c r="R14" s="535">
        <f>VLOOKUP(B14,'Final Data'!A:E,5,0)</f>
        <v>1537.5</v>
      </c>
      <c r="S14" s="527">
        <v>1537.5</v>
      </c>
      <c r="T14" s="528">
        <f t="shared" si="6"/>
        <v>0</v>
      </c>
      <c r="V14" s="535">
        <f>VLOOKUP(B14,'Final Data'!A:G,6,0)</f>
        <v>1537.5</v>
      </c>
      <c r="W14" s="527">
        <v>1537.5</v>
      </c>
      <c r="X14" s="528">
        <f t="shared" si="7"/>
        <v>0</v>
      </c>
      <c r="Z14" s="535">
        <f>VLOOKUP(B14,'Final Data'!A:G,7,0)</f>
        <v>1537.5</v>
      </c>
      <c r="AA14" s="527">
        <v>1537.5</v>
      </c>
      <c r="AB14" s="528">
        <f t="shared" si="8"/>
        <v>0</v>
      </c>
      <c r="AE14" s="535">
        <f>VLOOKUP(B14,'Final Data'!A:H,8,0)</f>
        <v>1537.5</v>
      </c>
      <c r="AF14" s="527">
        <v>1537.5</v>
      </c>
      <c r="AG14" s="528">
        <f t="shared" si="9"/>
        <v>0</v>
      </c>
      <c r="AJ14" s="535">
        <f>VLOOKUP(B14,'Final Data'!A:I,9,0)</f>
        <v>1537.5</v>
      </c>
      <c r="AK14" s="535">
        <v>1537.5</v>
      </c>
      <c r="AL14" s="535">
        <f t="shared" si="10"/>
        <v>0</v>
      </c>
      <c r="AO14" s="550"/>
      <c r="AP14" s="527"/>
      <c r="AQ14" s="528"/>
      <c r="AT14" s="550"/>
      <c r="AU14" s="527"/>
      <c r="AV14" s="528"/>
      <c r="AW14" s="551"/>
      <c r="AX14" s="553"/>
      <c r="AY14" s="552"/>
      <c r="AZ14" s="528"/>
      <c r="BA14" s="551"/>
      <c r="BB14" s="551"/>
      <c r="BC14" s="553"/>
      <c r="BD14" s="552"/>
      <c r="BE14" s="528"/>
      <c r="BF14" s="551"/>
      <c r="BH14" s="528">
        <f t="shared" si="2"/>
        <v>12300</v>
      </c>
      <c r="BI14" s="528">
        <f t="shared" si="3"/>
        <v>12300</v>
      </c>
      <c r="BJ14" s="528">
        <f t="shared" si="4"/>
        <v>0</v>
      </c>
      <c r="BK14" s="551"/>
    </row>
    <row r="15" spans="1:67" ht="38.65">
      <c r="A15" s="541">
        <f>Rent!B23</f>
        <v>101</v>
      </c>
      <c r="B15" s="529" t="str">
        <f>Rent!A23</f>
        <v>Kachina Stained Glass</v>
      </c>
      <c r="C15" s="535">
        <f>VLOOKUP(B15,'Final Data'!A12:B36,2,0)</f>
        <v>3290.9585951251711</v>
      </c>
      <c r="D15" s="527">
        <v>3290.87</v>
      </c>
      <c r="E15" s="528">
        <f t="shared" si="0"/>
        <v>-8.8595125171195832E-2</v>
      </c>
      <c r="F15" s="551"/>
      <c r="G15" s="551"/>
      <c r="H15" s="535">
        <f>VLOOKUP(B15,'Final Data'!A:C,3,0)</f>
        <v>3290.9585951251711</v>
      </c>
      <c r="I15" s="527">
        <v>3290.87</v>
      </c>
      <c r="J15" s="528">
        <f t="shared" si="1"/>
        <v>-8.8595125171195832E-2</v>
      </c>
      <c r="K15" s="551"/>
      <c r="L15" s="551"/>
      <c r="M15" s="535">
        <f>VLOOKUP(B15,'Final Data'!A:D,4,0)</f>
        <v>3290.9585951251711</v>
      </c>
      <c r="N15" s="527">
        <v>3290.87</v>
      </c>
      <c r="O15" s="528">
        <f t="shared" si="5"/>
        <v>-8.8595125171195832E-2</v>
      </c>
      <c r="P15" s="551"/>
      <c r="Q15" s="551"/>
      <c r="R15" s="535">
        <f>VLOOKUP(B15,'Final Data'!A:E,5,0)</f>
        <v>3290.9585951251711</v>
      </c>
      <c r="S15" s="527">
        <v>3290.87</v>
      </c>
      <c r="T15" s="528">
        <f t="shared" si="6"/>
        <v>-8.8595125171195832E-2</v>
      </c>
      <c r="U15" s="551"/>
      <c r="V15" s="535">
        <f>VLOOKUP(B15,'Final Data'!A:G,6,0)</f>
        <v>3290.9585951251711</v>
      </c>
      <c r="W15" s="527">
        <v>3421.98</v>
      </c>
      <c r="X15" s="528">
        <f t="shared" si="7"/>
        <v>131.02140487482893</v>
      </c>
      <c r="Y15" s="551" t="s">
        <v>61</v>
      </c>
      <c r="Z15" s="535">
        <f>VLOOKUP(B15,'Final Data'!A:G,7,0)</f>
        <v>3290.9585951251711</v>
      </c>
      <c r="AA15" s="527">
        <v>3290.87</v>
      </c>
      <c r="AB15" s="528">
        <f t="shared" si="8"/>
        <v>-8.8595125171195832E-2</v>
      </c>
      <c r="AC15" s="551"/>
      <c r="AE15" s="535">
        <f>VLOOKUP(B15,'Final Data'!A:H,8,0)</f>
        <v>3340.5890951251704</v>
      </c>
      <c r="AF15" s="527">
        <v>3340.5</v>
      </c>
      <c r="AG15" s="528">
        <f t="shared" si="9"/>
        <v>-8.9095125170388201E-2</v>
      </c>
      <c r="AH15" s="551"/>
      <c r="AJ15" s="535">
        <f>VLOOKUP(B15,'Final Data'!A:I,9,0)</f>
        <v>3340.5890951251704</v>
      </c>
      <c r="AK15" s="535">
        <v>0</v>
      </c>
      <c r="AL15" s="535">
        <f t="shared" si="10"/>
        <v>-3340.5890951251704</v>
      </c>
      <c r="AM15" s="551" t="s">
        <v>62</v>
      </c>
      <c r="AO15" s="550"/>
      <c r="AP15" s="527"/>
      <c r="AQ15" s="528"/>
      <c r="AR15" s="551"/>
      <c r="AS15" s="551"/>
      <c r="AT15" s="550"/>
      <c r="AU15" s="552"/>
      <c r="AV15" s="528"/>
      <c r="AW15" s="607"/>
      <c r="AX15" s="553"/>
      <c r="AY15" s="607"/>
      <c r="AZ15" s="608"/>
      <c r="BA15" s="607"/>
      <c r="BB15" s="607"/>
      <c r="BC15" s="553"/>
      <c r="BD15" s="609"/>
      <c r="BE15" s="528"/>
      <c r="BF15" s="607"/>
      <c r="BH15" s="528">
        <f t="shared" si="2"/>
        <v>26426.929761001371</v>
      </c>
      <c r="BI15" s="528">
        <f t="shared" si="3"/>
        <v>23216.829999999998</v>
      </c>
      <c r="BJ15" s="528">
        <f t="shared" si="4"/>
        <v>-3210.0997610013678</v>
      </c>
      <c r="BK15" s="551" t="s">
        <v>63</v>
      </c>
      <c r="BM15" s="528"/>
    </row>
    <row r="16" spans="1:67" ht="38.65">
      <c r="A16" s="541">
        <f>Rent!B24</f>
        <v>102</v>
      </c>
      <c r="B16" s="529" t="str">
        <f>Rent!A24</f>
        <v>Zanders Creations</v>
      </c>
      <c r="C16" s="535">
        <f>VLOOKUP(B16,'Final Data'!A13:B37,2,0)</f>
        <v>3803.2512764129665</v>
      </c>
      <c r="D16" s="527">
        <v>3803.17</v>
      </c>
      <c r="E16" s="528">
        <f t="shared" si="0"/>
        <v>-8.1276412966417411E-2</v>
      </c>
      <c r="F16" s="551"/>
      <c r="G16" s="551"/>
      <c r="H16" s="535">
        <f>VLOOKUP(B16,'Final Data'!A:C,3,0)</f>
        <v>3803.2512764129665</v>
      </c>
      <c r="I16" s="527">
        <v>3803.17</v>
      </c>
      <c r="J16" s="528">
        <f t="shared" si="1"/>
        <v>-8.1276412966417411E-2</v>
      </c>
      <c r="K16" s="551"/>
      <c r="L16" s="551"/>
      <c r="M16" s="535">
        <f>VLOOKUP(B16,'Final Data'!A:D,4,0)</f>
        <v>3803.2512764129665</v>
      </c>
      <c r="N16" s="527">
        <v>3803.17</v>
      </c>
      <c r="O16" s="528">
        <f t="shared" si="5"/>
        <v>-8.1276412966417411E-2</v>
      </c>
      <c r="P16" s="551"/>
      <c r="Q16" s="551"/>
      <c r="R16" s="535">
        <f>VLOOKUP(B16,'Final Data'!A:E,5,0)</f>
        <v>3886.271276412966</v>
      </c>
      <c r="S16" s="527">
        <v>3803.17</v>
      </c>
      <c r="T16" s="528">
        <f t="shared" si="6"/>
        <v>-83.101276412965944</v>
      </c>
      <c r="U16" s="551" t="s">
        <v>64</v>
      </c>
      <c r="V16" s="535">
        <f>VLOOKUP(B16,'Final Data'!A:G,6,0)</f>
        <v>3886.271276412966</v>
      </c>
      <c r="W16" s="527">
        <v>4380.6899999999996</v>
      </c>
      <c r="X16" s="528">
        <f t="shared" si="7"/>
        <v>494.41872358703358</v>
      </c>
      <c r="Y16" s="551" t="s">
        <v>65</v>
      </c>
      <c r="Z16" s="535">
        <f>VLOOKUP(B16,'Final Data'!A:G,7,0)</f>
        <v>3886.271276412966</v>
      </c>
      <c r="AA16" s="527">
        <v>3888.26</v>
      </c>
      <c r="AB16" s="528">
        <f t="shared" si="8"/>
        <v>1.988723587034201</v>
      </c>
      <c r="AC16" s="551" t="s">
        <v>66</v>
      </c>
      <c r="AE16" s="535">
        <f>VLOOKUP(B16,'Final Data'!A:H,8,0)</f>
        <v>3886.271276412966</v>
      </c>
      <c r="AF16" s="527">
        <v>3888.26</v>
      </c>
      <c r="AG16" s="528">
        <f t="shared" si="9"/>
        <v>1.988723587034201</v>
      </c>
      <c r="AH16" s="551" t="s">
        <v>66</v>
      </c>
      <c r="AJ16" s="535">
        <f>VLOOKUP(B16,'Final Data'!A:I,9,0)</f>
        <v>3886.271276412966</v>
      </c>
      <c r="AK16" s="535">
        <v>3888.26</v>
      </c>
      <c r="AL16" s="535">
        <f t="shared" si="10"/>
        <v>1.988723587034201</v>
      </c>
      <c r="AM16" s="611" t="s">
        <v>66</v>
      </c>
      <c r="AO16" s="550"/>
      <c r="AP16" s="527"/>
      <c r="AQ16" s="528"/>
      <c r="AT16" s="550"/>
      <c r="AU16" s="527"/>
      <c r="AV16" s="528"/>
      <c r="AW16" s="551"/>
      <c r="AX16" s="553"/>
      <c r="AY16" s="552"/>
      <c r="AZ16" s="528"/>
      <c r="BA16" s="551"/>
      <c r="BB16" s="551"/>
      <c r="BC16" s="553"/>
      <c r="BD16" s="552"/>
      <c r="BE16" s="528"/>
      <c r="BF16" s="551"/>
      <c r="BH16" s="528">
        <f t="shared" si="2"/>
        <v>30841.110211303727</v>
      </c>
      <c r="BI16" s="528">
        <f t="shared" si="3"/>
        <v>31258.15</v>
      </c>
      <c r="BJ16" s="528">
        <f t="shared" si="4"/>
        <v>417.03978869627099</v>
      </c>
      <c r="BK16" s="551" t="s">
        <v>67</v>
      </c>
      <c r="BM16" s="528"/>
    </row>
    <row r="17" spans="1:66" ht="63.95">
      <c r="A17" s="541">
        <f>Rent!B25</f>
        <v>103</v>
      </c>
      <c r="B17" s="529" t="str">
        <f>Rent!A25</f>
        <v>Brightnow Dental</v>
      </c>
      <c r="C17" s="535">
        <v>9511.6006392298004</v>
      </c>
      <c r="D17" s="527">
        <v>0</v>
      </c>
      <c r="E17" s="528">
        <f t="shared" si="0"/>
        <v>-9511.6006392298004</v>
      </c>
      <c r="F17" s="551" t="s">
        <v>68</v>
      </c>
      <c r="G17" s="551"/>
      <c r="H17" s="535">
        <f>VLOOKUP(B17,'Final Data'!A:C,3,0)</f>
        <v>9511.6006392297968</v>
      </c>
      <c r="I17" s="527">
        <v>0</v>
      </c>
      <c r="J17" s="528">
        <f t="shared" si="1"/>
        <v>-9511.6006392297968</v>
      </c>
      <c r="K17" t="s">
        <v>69</v>
      </c>
      <c r="M17" s="535">
        <f>VLOOKUP(B17,'Final Data'!A:D,4,0)</f>
        <v>9511.6006392297968</v>
      </c>
      <c r="N17" s="527">
        <v>0</v>
      </c>
      <c r="O17" s="528">
        <f t="shared" si="5"/>
        <v>-9511.6006392297968</v>
      </c>
      <c r="P17" t="s">
        <v>69</v>
      </c>
      <c r="R17" s="535">
        <f>VLOOKUP(B17,'Final Data'!A:E,5,0)</f>
        <v>9511.6006392297968</v>
      </c>
      <c r="S17" s="527">
        <v>93000</v>
      </c>
      <c r="T17" s="528">
        <f t="shared" si="6"/>
        <v>83488.3993607702</v>
      </c>
      <c r="U17" s="551" t="s">
        <v>70</v>
      </c>
      <c r="V17" s="535">
        <f>VLOOKUP(B17,'Final Data'!A:G,6,0)</f>
        <v>9511.6006392297968</v>
      </c>
      <c r="W17" s="527">
        <v>0</v>
      </c>
      <c r="X17" s="528">
        <f t="shared" si="7"/>
        <v>-9511.6006392297968</v>
      </c>
      <c r="Y17" s="551" t="s">
        <v>69</v>
      </c>
      <c r="Z17" s="535">
        <f>VLOOKUP(B17,'Final Data'!A:G,7,0)</f>
        <v>9511.6006392297968</v>
      </c>
      <c r="AA17" s="527">
        <v>0</v>
      </c>
      <c r="AB17" s="528">
        <f t="shared" si="8"/>
        <v>-9511.6006392297968</v>
      </c>
      <c r="AC17" t="s">
        <v>69</v>
      </c>
      <c r="AE17" s="535">
        <f>VLOOKUP(B17,'Final Data'!A:H,8,0)</f>
        <v>9511.6006392297968</v>
      </c>
      <c r="AF17" s="527">
        <v>0</v>
      </c>
      <c r="AG17" s="528">
        <f t="shared" si="9"/>
        <v>-9511.6006392297968</v>
      </c>
      <c r="AH17" t="s">
        <v>69</v>
      </c>
      <c r="AJ17" s="535">
        <f>VLOOKUP(B17,'Final Data'!A:I,9,0)</f>
        <v>9511.6006392297968</v>
      </c>
      <c r="AK17" s="535">
        <v>0</v>
      </c>
      <c r="AL17" s="535">
        <f t="shared" si="10"/>
        <v>-9511.6006392297968</v>
      </c>
      <c r="AM17" t="s">
        <v>71</v>
      </c>
      <c r="AO17" s="550"/>
      <c r="AP17" s="527"/>
      <c r="AQ17" s="528"/>
      <c r="AT17" s="550"/>
      <c r="AU17" s="552"/>
      <c r="AV17" s="528"/>
      <c r="AW17" s="551"/>
      <c r="AX17" s="553"/>
      <c r="AY17" s="551"/>
      <c r="AZ17" s="528"/>
      <c r="BA17" s="551"/>
      <c r="BB17" s="551"/>
      <c r="BC17" s="553"/>
      <c r="BD17" s="551"/>
      <c r="BE17" s="528"/>
      <c r="BF17" s="551"/>
      <c r="BG17" t="s">
        <v>47</v>
      </c>
      <c r="BH17" s="528">
        <f t="shared" si="2"/>
        <v>76092.805113838389</v>
      </c>
      <c r="BI17" s="528">
        <f t="shared" si="3"/>
        <v>93000</v>
      </c>
      <c r="BJ17" s="528">
        <f t="shared" si="4"/>
        <v>16907.194886161618</v>
      </c>
      <c r="BK17" s="551" t="s">
        <v>72</v>
      </c>
    </row>
    <row r="18" spans="1:66" ht="40.5" customHeight="1">
      <c r="A18" s="541">
        <f>Rent!B26</f>
        <v>106</v>
      </c>
      <c r="B18" s="529" t="str">
        <f>Rent!A26</f>
        <v>Carr Animal Care</v>
      </c>
      <c r="C18" s="535">
        <v>3540.82553896114</v>
      </c>
      <c r="D18" s="527">
        <v>3540.83</v>
      </c>
      <c r="E18" s="528">
        <f>D18-C18</f>
        <v>4.4610388599721773E-3</v>
      </c>
      <c r="F18" s="551"/>
      <c r="G18" s="551"/>
      <c r="H18" s="535">
        <f>VLOOKUP(B18,'Final Data'!A:C,3,0)</f>
        <v>3540.8255389611377</v>
      </c>
      <c r="I18" s="527">
        <v>3540.83</v>
      </c>
      <c r="J18" s="528">
        <f t="shared" si="1"/>
        <v>4.4610388622459141E-3</v>
      </c>
      <c r="M18" s="535">
        <f>VLOOKUP(B18,'Final Data'!A:D,4,0)</f>
        <v>3540.8255389611377</v>
      </c>
      <c r="N18" s="527">
        <v>3540.83</v>
      </c>
      <c r="O18" s="528">
        <f t="shared" si="5"/>
        <v>4.4610388622459141E-3</v>
      </c>
      <c r="R18" s="535">
        <f>VLOOKUP(B18,'Final Data'!A:E,5,0)</f>
        <v>3540.8255389611377</v>
      </c>
      <c r="S18" s="527">
        <v>3540.83</v>
      </c>
      <c r="T18" s="528">
        <f t="shared" si="6"/>
        <v>4.4610388622459141E-3</v>
      </c>
      <c r="V18" s="535">
        <f>VLOOKUP(B18,'Final Data'!A:G,6,0)</f>
        <v>3540.8255389611377</v>
      </c>
      <c r="W18" s="527">
        <v>2457.85</v>
      </c>
      <c r="X18" s="528">
        <f t="shared" si="7"/>
        <v>-1082.9755389611378</v>
      </c>
      <c r="Y18" s="551" t="s">
        <v>73</v>
      </c>
      <c r="Z18" s="535">
        <f>VLOOKUP(B18,'Final Data'!A:G,7,0)</f>
        <v>3540.8255389611377</v>
      </c>
      <c r="AA18" s="527">
        <v>3540.83</v>
      </c>
      <c r="AB18" s="528">
        <f t="shared" si="8"/>
        <v>4.4610388622459141E-3</v>
      </c>
      <c r="AE18" s="535">
        <f>VLOOKUP(B18,'Final Data'!A:H,8,0)</f>
        <v>3540.8255389611377</v>
      </c>
      <c r="AF18" s="527">
        <v>3540.83</v>
      </c>
      <c r="AG18" s="528">
        <f t="shared" si="9"/>
        <v>4.4610388622459141E-3</v>
      </c>
      <c r="AJ18" s="535">
        <f>VLOOKUP(B18,'Final Data'!A:I,9,0)</f>
        <v>3540.8255389611377</v>
      </c>
      <c r="AK18" s="535">
        <v>3540.83</v>
      </c>
      <c r="AL18" s="535">
        <f t="shared" si="10"/>
        <v>4.4610388622459141E-3</v>
      </c>
      <c r="AO18" s="550"/>
      <c r="AP18" s="527"/>
      <c r="AQ18" s="528"/>
      <c r="AT18" s="550"/>
      <c r="AU18" s="527"/>
      <c r="AV18" s="528"/>
      <c r="AX18" s="553"/>
      <c r="AY18" s="552"/>
      <c r="AZ18" s="528"/>
      <c r="BA18" s="551"/>
      <c r="BB18" s="551"/>
      <c r="BC18" s="553"/>
      <c r="BD18" s="552"/>
      <c r="BE18" s="528"/>
      <c r="BF18" s="551"/>
      <c r="BH18" s="528">
        <f t="shared" si="2"/>
        <v>28326.604311689098</v>
      </c>
      <c r="BI18" s="528">
        <f t="shared" si="3"/>
        <v>27243.660000000003</v>
      </c>
      <c r="BJ18" s="528">
        <f t="shared" si="4"/>
        <v>-1082.9443116891043</v>
      </c>
      <c r="BK18" s="551" t="s">
        <v>74</v>
      </c>
      <c r="BN18" s="528"/>
    </row>
    <row r="19" spans="1:66" ht="38.65">
      <c r="A19" s="541">
        <f>Rent!B27</f>
        <v>107</v>
      </c>
      <c r="B19" s="529" t="str">
        <f>Rent!A27</f>
        <v>Razors Barber Shop</v>
      </c>
      <c r="C19" s="535">
        <v>2723.6704378096101</v>
      </c>
      <c r="D19" s="527">
        <v>2629.68</v>
      </c>
      <c r="E19" s="528">
        <f t="shared" ref="E19:E22" si="11">D19-C19</f>
        <v>-93.990437809610285</v>
      </c>
      <c r="F19" s="551" t="s">
        <v>75</v>
      </c>
      <c r="G19" s="551"/>
      <c r="H19" s="535">
        <f>VLOOKUP(B19,'Final Data'!A:C,3,0)</f>
        <v>2723.6704378096078</v>
      </c>
      <c r="I19" s="527">
        <v>2629.78</v>
      </c>
      <c r="J19" s="528">
        <f t="shared" si="1"/>
        <v>-93.890437809607647</v>
      </c>
      <c r="K19" t="s">
        <v>75</v>
      </c>
      <c r="M19" s="535">
        <f>VLOOKUP(B19,'Final Data'!A:D,4,0)</f>
        <v>2723.6704378096078</v>
      </c>
      <c r="N19" s="527">
        <v>2629.78</v>
      </c>
      <c r="O19" s="528">
        <f t="shared" si="5"/>
        <v>-93.890437809607647</v>
      </c>
      <c r="P19" t="s">
        <v>75</v>
      </c>
      <c r="R19" s="535">
        <f>VLOOKUP(B19,'Final Data'!A:E,5,0)</f>
        <v>2783.6636878096083</v>
      </c>
      <c r="S19" s="527">
        <v>2629.78</v>
      </c>
      <c r="T19" s="528">
        <f t="shared" si="6"/>
        <v>-153.88368780960809</v>
      </c>
      <c r="U19" s="551" t="s">
        <v>76</v>
      </c>
      <c r="V19" s="535">
        <f>VLOOKUP(B19,'Final Data'!A:G,6,0)</f>
        <v>2783.6636878096083</v>
      </c>
      <c r="W19" s="527">
        <v>2629.78</v>
      </c>
      <c r="X19" s="528">
        <f t="shared" si="7"/>
        <v>-153.88368780960809</v>
      </c>
      <c r="Y19" t="s">
        <v>77</v>
      </c>
      <c r="Z19" s="535">
        <f>VLOOKUP(B19,'Final Data'!A:G,7,0)</f>
        <v>2783.6636878096083</v>
      </c>
      <c r="AA19" s="527">
        <v>2629.78</v>
      </c>
      <c r="AB19" s="528">
        <f t="shared" si="8"/>
        <v>-153.88368780960809</v>
      </c>
      <c r="AC19" t="s">
        <v>77</v>
      </c>
      <c r="AE19" s="535">
        <f>VLOOKUP(B19,'Final Data'!A:H,8,0)</f>
        <v>2783.6636878096083</v>
      </c>
      <c r="AF19" s="527">
        <v>3000.29</v>
      </c>
      <c r="AG19" s="528">
        <f t="shared" si="9"/>
        <v>216.62631219039167</v>
      </c>
      <c r="AH19" t="s">
        <v>78</v>
      </c>
      <c r="AJ19" s="535">
        <f>VLOOKUP(B19,'Final Data'!A:I,9,0)</f>
        <v>2783.6636878096083</v>
      </c>
      <c r="AK19" s="535">
        <v>2883.68</v>
      </c>
      <c r="AL19" s="535">
        <f t="shared" si="10"/>
        <v>100.01631219039155</v>
      </c>
      <c r="AM19" t="s">
        <v>79</v>
      </c>
      <c r="AO19" s="550"/>
      <c r="AP19" s="527"/>
      <c r="AQ19" s="528"/>
      <c r="AT19" s="550"/>
      <c r="AU19" s="527"/>
      <c r="AV19" s="528"/>
      <c r="AX19" s="553"/>
      <c r="AY19" s="527"/>
      <c r="AZ19" s="528"/>
      <c r="BC19" s="553"/>
      <c r="BD19" s="527"/>
      <c r="BE19" s="528"/>
      <c r="BF19" s="551"/>
      <c r="BH19" s="528">
        <f t="shared" si="2"/>
        <v>22089.329752476864</v>
      </c>
      <c r="BI19" s="528">
        <f t="shared" si="3"/>
        <v>21662.550000000003</v>
      </c>
      <c r="BJ19" s="528">
        <f t="shared" si="4"/>
        <v>-426.77975247686663</v>
      </c>
      <c r="BK19" s="551" t="s">
        <v>80</v>
      </c>
    </row>
    <row r="20" spans="1:66" ht="38.65">
      <c r="A20" s="541">
        <f>Rent!B28</f>
        <v>108</v>
      </c>
      <c r="B20" s="529" t="str">
        <f>Rent!A28</f>
        <v>CrossFit New Strength</v>
      </c>
      <c r="C20" s="535">
        <v>6899.6420091887203</v>
      </c>
      <c r="D20" s="527">
        <v>6499.12</v>
      </c>
      <c r="E20" s="528">
        <f t="shared" si="11"/>
        <v>-400.5220091887204</v>
      </c>
      <c r="F20" s="551" t="s">
        <v>81</v>
      </c>
      <c r="G20" s="551"/>
      <c r="H20" s="535">
        <f>VLOOKUP(B20,'Final Data'!A:C,3,0)</f>
        <v>6899.6420091887212</v>
      </c>
      <c r="I20" s="527">
        <v>6499.12</v>
      </c>
      <c r="J20" s="528">
        <f t="shared" si="1"/>
        <v>-400.52200918872131</v>
      </c>
      <c r="K20" t="s">
        <v>81</v>
      </c>
      <c r="M20" s="535">
        <f>VLOOKUP(B20,'Final Data'!A:D,4,0)</f>
        <v>6899.6420091887212</v>
      </c>
      <c r="N20" s="527">
        <v>6499.12</v>
      </c>
      <c r="O20" s="528">
        <f t="shared" si="5"/>
        <v>-400.52200918872131</v>
      </c>
      <c r="P20" t="s">
        <v>81</v>
      </c>
      <c r="R20" s="535">
        <f>VLOOKUP(B20,'Final Data'!A:E,5,0)</f>
        <v>6899.6420091887212</v>
      </c>
      <c r="S20" s="527">
        <v>12998.24</v>
      </c>
      <c r="T20" s="528">
        <f t="shared" si="6"/>
        <v>6098.5979908112786</v>
      </c>
      <c r="U20" s="551" t="s">
        <v>82</v>
      </c>
      <c r="V20" s="535">
        <f>VLOOKUP(B20,'Final Data'!A:G,6,0)</f>
        <v>6899.6420091887212</v>
      </c>
      <c r="W20" s="527">
        <v>0</v>
      </c>
      <c r="X20" s="528">
        <f t="shared" si="7"/>
        <v>-6899.6420091887212</v>
      </c>
      <c r="Y20" t="s">
        <v>83</v>
      </c>
      <c r="Z20" s="535">
        <f>VLOOKUP(B20,'Final Data'!A:G,7,0)</f>
        <v>6899.6420091887212</v>
      </c>
      <c r="AA20" s="527">
        <v>6499.12</v>
      </c>
      <c r="AB20" s="528">
        <f t="shared" si="8"/>
        <v>-400.52200918872131</v>
      </c>
      <c r="AC20" t="s">
        <v>81</v>
      </c>
      <c r="AE20" s="535">
        <f>VLOOKUP(B20,'Final Data'!A:H,8,0)</f>
        <v>6899.6420091887212</v>
      </c>
      <c r="AF20" s="527">
        <v>6499.12</v>
      </c>
      <c r="AG20" s="528">
        <f t="shared" si="9"/>
        <v>-400.52200918872131</v>
      </c>
      <c r="AH20" t="s">
        <v>81</v>
      </c>
      <c r="AJ20" s="535">
        <f>VLOOKUP(B20,'Final Data'!A:I,9,0)</f>
        <v>6899.6420091887212</v>
      </c>
      <c r="AK20" s="535">
        <v>0</v>
      </c>
      <c r="AL20" s="535">
        <f t="shared" si="10"/>
        <v>-6899.6420091887212</v>
      </c>
      <c r="AM20" t="s">
        <v>83</v>
      </c>
      <c r="AO20" s="550"/>
      <c r="AP20" s="527"/>
      <c r="AQ20" s="528"/>
      <c r="AT20" s="550"/>
      <c r="AU20" s="527"/>
      <c r="AV20" s="528"/>
      <c r="AW20" s="551"/>
      <c r="AX20" s="553"/>
      <c r="AY20" s="551"/>
      <c r="AZ20" s="528"/>
      <c r="BA20" s="551"/>
      <c r="BB20" s="551"/>
      <c r="BC20" s="553"/>
      <c r="BD20" s="552"/>
      <c r="BE20" s="528"/>
      <c r="BF20" s="551"/>
      <c r="BH20" s="528">
        <f t="shared" si="2"/>
        <v>55197.136073509762</v>
      </c>
      <c r="BI20" s="528">
        <f t="shared" si="3"/>
        <v>45493.840000000004</v>
      </c>
      <c r="BJ20" s="528">
        <f t="shared" si="4"/>
        <v>-9703.2960735097695</v>
      </c>
      <c r="BK20" s="551" t="s">
        <v>84</v>
      </c>
    </row>
    <row r="21" spans="1:66" ht="13.35">
      <c r="A21" s="541">
        <f>Rent!B29</f>
        <v>111</v>
      </c>
      <c r="B21" s="529" t="str">
        <f>Rent!A29</f>
        <v>Vacant (Time Out Bar)</v>
      </c>
      <c r="C21" s="535">
        <f>VLOOKUP(B21,'Final Data'!A18:B42,2,0)</f>
        <v>0</v>
      </c>
      <c r="D21" s="527">
        <v>0</v>
      </c>
      <c r="E21" s="528">
        <f t="shared" si="11"/>
        <v>0</v>
      </c>
      <c r="H21" s="535">
        <f>VLOOKUP(B21,'Final Data'!A:C,3,0)</f>
        <v>0</v>
      </c>
      <c r="I21" s="527">
        <v>0</v>
      </c>
      <c r="J21" s="528">
        <f t="shared" si="1"/>
        <v>0</v>
      </c>
      <c r="M21" s="535">
        <f>VLOOKUP(B21,'Final Data'!A:D,4,0)</f>
        <v>0</v>
      </c>
      <c r="N21" s="527">
        <v>0</v>
      </c>
      <c r="O21" s="528">
        <f t="shared" si="5"/>
        <v>0</v>
      </c>
      <c r="R21" s="535">
        <f>VLOOKUP(B21,'Final Data'!A:E,5,0)</f>
        <v>0</v>
      </c>
      <c r="S21" s="527">
        <v>0</v>
      </c>
      <c r="T21" s="528">
        <f t="shared" si="6"/>
        <v>0</v>
      </c>
      <c r="V21" s="535">
        <f>VLOOKUP(B21,'Final Data'!A:G,6,0)</f>
        <v>0</v>
      </c>
      <c r="W21" s="527">
        <v>0</v>
      </c>
      <c r="X21" s="528">
        <f t="shared" si="7"/>
        <v>0</v>
      </c>
      <c r="Z21" s="535">
        <f>VLOOKUP(B21,'Final Data'!A:G,7,0)</f>
        <v>0</v>
      </c>
      <c r="AA21" s="527">
        <v>0</v>
      </c>
      <c r="AB21" s="528">
        <f t="shared" si="8"/>
        <v>0</v>
      </c>
      <c r="AE21" s="535">
        <f>VLOOKUP(B21,'Final Data'!A:H,8,0)</f>
        <v>7969.7037209524706</v>
      </c>
      <c r="AF21" s="527">
        <v>0</v>
      </c>
      <c r="AG21" s="528">
        <f t="shared" si="9"/>
        <v>-7969.7037209524706</v>
      </c>
      <c r="AH21" t="s">
        <v>85</v>
      </c>
      <c r="AJ21" s="535">
        <f>VLOOKUP(B21,'Final Data'!A:I,9,0)</f>
        <v>7969.7037209524706</v>
      </c>
      <c r="AK21" s="535">
        <v>0</v>
      </c>
      <c r="AL21" s="535">
        <f t="shared" si="10"/>
        <v>-7969.7037209524706</v>
      </c>
      <c r="AM21" t="s">
        <v>85</v>
      </c>
      <c r="AO21" s="550"/>
      <c r="AP21" s="527"/>
      <c r="AQ21" s="528"/>
      <c r="AT21" s="550"/>
      <c r="AU21" s="527"/>
      <c r="AV21" s="528"/>
      <c r="AW21" s="551"/>
      <c r="AX21" s="526"/>
      <c r="AY21" s="552"/>
      <c r="AZ21" s="528"/>
      <c r="BA21" s="551"/>
      <c r="BB21" s="551"/>
      <c r="BC21" s="553"/>
      <c r="BD21" s="551"/>
      <c r="BE21" s="528"/>
      <c r="BF21" s="551"/>
      <c r="BH21" s="528">
        <f t="shared" si="2"/>
        <v>15939.407441904941</v>
      </c>
      <c r="BI21" s="528">
        <f t="shared" si="3"/>
        <v>0</v>
      </c>
      <c r="BJ21" s="528">
        <f t="shared" si="4"/>
        <v>-15939.407441904941</v>
      </c>
      <c r="BK21" s="551" t="s">
        <v>86</v>
      </c>
    </row>
    <row r="22" spans="1:66" ht="26.1">
      <c r="B22" s="529" t="s">
        <v>87</v>
      </c>
      <c r="C22" s="535">
        <v>2050</v>
      </c>
      <c r="D22" s="527">
        <v>2050</v>
      </c>
      <c r="E22" s="528">
        <f t="shared" si="11"/>
        <v>0</v>
      </c>
      <c r="F22" s="551"/>
      <c r="G22" s="551"/>
      <c r="H22" s="535">
        <f>VLOOKUP(B22,'Final Data'!A:C,3,0)</f>
        <v>2050</v>
      </c>
      <c r="I22" s="527">
        <v>2050</v>
      </c>
      <c r="J22" s="528">
        <f t="shared" si="1"/>
        <v>0</v>
      </c>
      <c r="M22" s="535">
        <f>VLOOKUP(B22,'Final Data'!A:D,4,0)</f>
        <v>2050</v>
      </c>
      <c r="N22" s="527">
        <v>2012.5</v>
      </c>
      <c r="O22" s="528">
        <f t="shared" si="5"/>
        <v>-37.5</v>
      </c>
      <c r="P22" t="s">
        <v>88</v>
      </c>
      <c r="R22" s="535">
        <f>VLOOKUP(B22,'Final Data'!A:E,5,0)</f>
        <v>2050</v>
      </c>
      <c r="S22" s="527">
        <v>2037.5</v>
      </c>
      <c r="T22" s="528">
        <f t="shared" si="6"/>
        <v>-12.5</v>
      </c>
      <c r="U22" t="s">
        <v>89</v>
      </c>
      <c r="V22" s="535">
        <f>VLOOKUP(B22,'Final Data'!A:G,6,0)</f>
        <v>2050</v>
      </c>
      <c r="W22" s="527">
        <v>2037.5</v>
      </c>
      <c r="X22" s="528">
        <f t="shared" si="7"/>
        <v>-12.5</v>
      </c>
      <c r="Y22" t="s">
        <v>89</v>
      </c>
      <c r="Z22" s="535">
        <f>VLOOKUP(B22,'Final Data'!A:G,7,0)</f>
        <v>2050</v>
      </c>
      <c r="AA22" s="527">
        <v>2037.5</v>
      </c>
      <c r="AB22" s="528">
        <f t="shared" si="8"/>
        <v>-12.5</v>
      </c>
      <c r="AC22" t="s">
        <v>89</v>
      </c>
      <c r="AE22" s="535">
        <f>VLOOKUP(B22,'Final Data'!A:H,8,0)</f>
        <v>2050</v>
      </c>
      <c r="AF22" s="527">
        <v>2037.5</v>
      </c>
      <c r="AG22" s="528">
        <f t="shared" si="9"/>
        <v>-12.5</v>
      </c>
      <c r="AH22" t="s">
        <v>89</v>
      </c>
      <c r="AJ22" s="535">
        <f>VLOOKUP(B22,'Final Data'!A:I,9,0)</f>
        <v>2050</v>
      </c>
      <c r="AK22" s="535">
        <v>2037.5</v>
      </c>
      <c r="AL22" s="535">
        <f t="shared" si="10"/>
        <v>-12.5</v>
      </c>
      <c r="AM22" t="s">
        <v>89</v>
      </c>
      <c r="AO22" s="550"/>
      <c r="AP22" s="527"/>
      <c r="AQ22" s="528"/>
      <c r="AT22" s="550"/>
      <c r="AU22" s="527"/>
      <c r="AV22" s="528"/>
      <c r="AW22" s="551"/>
      <c r="AX22" s="553"/>
      <c r="AY22" s="552"/>
      <c r="AZ22" s="528"/>
      <c r="BA22" s="551"/>
      <c r="BB22" s="551"/>
      <c r="BC22" s="553"/>
      <c r="BD22" s="551"/>
      <c r="BE22" s="528"/>
      <c r="BF22" s="551"/>
      <c r="BH22" s="528">
        <f t="shared" si="2"/>
        <v>16400</v>
      </c>
      <c r="BI22" s="528">
        <f t="shared" si="3"/>
        <v>16300</v>
      </c>
      <c r="BJ22" s="528">
        <f t="shared" si="4"/>
        <v>-100</v>
      </c>
      <c r="BK22" s="551" t="s">
        <v>90</v>
      </c>
    </row>
    <row r="23" spans="1:66" ht="38.65">
      <c r="B23" s="529" t="s">
        <v>91</v>
      </c>
      <c r="C23" s="535"/>
      <c r="D23" s="527"/>
      <c r="E23" s="528"/>
      <c r="H23" s="535"/>
      <c r="I23" s="527"/>
      <c r="J23" s="528">
        <f t="shared" si="1"/>
        <v>0</v>
      </c>
      <c r="M23" s="535"/>
      <c r="N23" s="527"/>
      <c r="O23" s="528"/>
      <c r="R23" s="535"/>
      <c r="S23" s="527"/>
      <c r="T23" s="528"/>
      <c r="V23" s="535"/>
      <c r="W23" s="527"/>
      <c r="X23" s="528"/>
      <c r="Z23" s="535"/>
      <c r="AA23" s="527"/>
      <c r="AB23" s="528"/>
      <c r="AE23" s="535"/>
      <c r="AF23" s="527"/>
      <c r="AG23" s="528"/>
      <c r="AJ23" s="550">
        <v>0</v>
      </c>
      <c r="AK23" s="527">
        <v>15383.27</v>
      </c>
      <c r="AL23" s="535">
        <f t="shared" si="10"/>
        <v>15383.27</v>
      </c>
      <c r="AM23" s="551" t="s">
        <v>92</v>
      </c>
      <c r="AO23" s="550"/>
      <c r="AP23" s="527"/>
      <c r="AQ23" s="528"/>
      <c r="AT23" s="550"/>
      <c r="AU23" s="527"/>
      <c r="AV23" s="528"/>
      <c r="AW23" s="551"/>
      <c r="AX23" s="553"/>
      <c r="AY23" s="552"/>
      <c r="AZ23" s="528"/>
      <c r="BA23" s="551"/>
      <c r="BB23" s="551"/>
      <c r="BC23" s="553"/>
      <c r="BD23" s="551"/>
      <c r="BE23" s="528"/>
      <c r="BF23" s="551"/>
      <c r="BH23" s="528">
        <f t="shared" si="2"/>
        <v>0</v>
      </c>
      <c r="BI23" s="528">
        <f t="shared" si="3"/>
        <v>15383.27</v>
      </c>
      <c r="BJ23" s="528">
        <f t="shared" si="4"/>
        <v>15383.27</v>
      </c>
      <c r="BK23" s="551" t="s">
        <v>93</v>
      </c>
    </row>
    <row r="24" spans="1:66">
      <c r="C24" s="535"/>
      <c r="E24" s="528">
        <f>D24-C24</f>
        <v>0</v>
      </c>
      <c r="H24" s="535"/>
      <c r="J24" s="528"/>
      <c r="M24" s="535"/>
      <c r="O24" s="528"/>
      <c r="R24" s="535"/>
      <c r="T24" s="528"/>
      <c r="V24" s="535"/>
      <c r="X24" s="528"/>
      <c r="Z24" s="535"/>
      <c r="AB24" s="528"/>
      <c r="AE24" s="535"/>
      <c r="AF24" s="527"/>
      <c r="AG24" s="528"/>
      <c r="AJ24" s="550"/>
      <c r="AL24" s="528"/>
      <c r="AO24" s="550"/>
      <c r="AQ24" s="528"/>
      <c r="AT24" s="550"/>
      <c r="AU24" s="527"/>
      <c r="AV24" s="528"/>
      <c r="AX24" s="526"/>
      <c r="AZ24" s="528"/>
      <c r="BC24" s="526"/>
      <c r="BE24" s="528"/>
      <c r="BH24" s="528"/>
      <c r="BI24" s="528"/>
      <c r="BJ24" s="528"/>
    </row>
    <row r="25" spans="1:66" ht="13.35" thickBot="1">
      <c r="A25" s="554"/>
      <c r="B25" s="554"/>
      <c r="C25" s="555"/>
      <c r="D25" s="554"/>
      <c r="E25" s="556">
        <f>D25-C25</f>
        <v>0</v>
      </c>
      <c r="F25" s="557"/>
      <c r="G25" s="557"/>
      <c r="H25" s="555"/>
      <c r="I25" s="554"/>
      <c r="J25" s="556"/>
      <c r="K25" s="557"/>
      <c r="L25" s="557"/>
      <c r="M25" s="555"/>
      <c r="N25" s="554"/>
      <c r="O25" s="556"/>
      <c r="P25" s="557"/>
      <c r="Q25" s="557"/>
      <c r="R25" s="555"/>
      <c r="S25" s="554"/>
      <c r="T25" s="556"/>
      <c r="U25" s="557"/>
      <c r="V25" s="555"/>
      <c r="W25" s="554"/>
      <c r="X25" s="556"/>
      <c r="Y25" s="557"/>
      <c r="Z25" s="555"/>
      <c r="AA25" s="554"/>
      <c r="AB25" s="556"/>
      <c r="AC25" s="557"/>
      <c r="AD25" s="554"/>
      <c r="AE25" s="555"/>
      <c r="AF25" s="558"/>
      <c r="AG25" s="556"/>
      <c r="AH25" s="557"/>
      <c r="AI25" s="554"/>
      <c r="AJ25" s="559"/>
      <c r="AK25" s="554"/>
      <c r="AL25" s="556"/>
      <c r="AM25" s="557"/>
      <c r="AN25" s="554"/>
      <c r="AO25" s="559"/>
      <c r="AP25" s="554"/>
      <c r="AQ25" s="556"/>
      <c r="AR25" s="557"/>
      <c r="AS25" s="557"/>
      <c r="AT25" s="557"/>
      <c r="AU25" s="557"/>
      <c r="AV25" s="554"/>
      <c r="AW25" s="557"/>
      <c r="AX25" s="557"/>
      <c r="AY25" s="557"/>
      <c r="AZ25" s="557"/>
      <c r="BA25" s="557"/>
      <c r="BB25" s="557"/>
      <c r="BC25" s="560"/>
      <c r="BD25" s="557"/>
      <c r="BE25" s="560"/>
      <c r="BF25" s="557"/>
      <c r="BG25" s="554"/>
      <c r="BH25" s="556"/>
      <c r="BI25" s="556"/>
      <c r="BJ25" s="556"/>
      <c r="BK25" s="557"/>
    </row>
    <row r="26" spans="1:66" s="562" customFormat="1" ht="14.1" thickBot="1">
      <c r="C26" s="563">
        <f>SUM(C4:C23)</f>
        <v>140268.52527271505</v>
      </c>
      <c r="D26" s="563">
        <f>SUM(D4:D23)</f>
        <v>130948.59999999998</v>
      </c>
      <c r="E26" s="563">
        <f>SUM(E4:E23)</f>
        <v>-9319.9252727150779</v>
      </c>
      <c r="H26" s="563">
        <f>SUM(H4:H23)</f>
        <v>140268.52527271505</v>
      </c>
      <c r="I26" s="563">
        <f>SUM(I4:I23)</f>
        <v>130211.52999999998</v>
      </c>
      <c r="J26" s="563">
        <f>SUM(J4:J23)</f>
        <v>-10056.995272715067</v>
      </c>
      <c r="M26" s="563">
        <f>SUM(M4:M25)</f>
        <v>140268.52527271505</v>
      </c>
      <c r="N26" s="563">
        <f>SUM(N4:N25)</f>
        <v>145434.28999999998</v>
      </c>
      <c r="O26" s="563">
        <f>SUM(O4:O25)</f>
        <v>5165.7647272849254</v>
      </c>
      <c r="R26" s="563">
        <f>SUM(R4:R25)</f>
        <v>140504.64952271507</v>
      </c>
      <c r="S26" s="563">
        <f>SUM(S4:S25)</f>
        <v>229679.71999999997</v>
      </c>
      <c r="T26" s="563">
        <f>SUM(T4:T25)</f>
        <v>89175.070477284928</v>
      </c>
      <c r="V26" s="563">
        <f>SUM(V4:V25)</f>
        <v>140580.76602271508</v>
      </c>
      <c r="W26" s="563">
        <f>SUM(W4:W25)</f>
        <v>121814.94</v>
      </c>
      <c r="X26" s="563">
        <f>SUM(X4:X25)</f>
        <v>-18765.826022715075</v>
      </c>
      <c r="Z26" s="563">
        <f>SUM(Z4:Z23)</f>
        <v>140580.76602271508</v>
      </c>
      <c r="AA26" s="563">
        <f>SUM(AA4:AA23)</f>
        <v>130248.18</v>
      </c>
      <c r="AB26" s="563">
        <f>SUM(AB4:AB23)</f>
        <v>-10332.58602271507</v>
      </c>
      <c r="AE26" s="563">
        <f>SUM(AE4:AE23)</f>
        <v>148600.10024366755</v>
      </c>
      <c r="AF26" s="563">
        <f>SUM(AF4:AF23)</f>
        <v>132194.47999999998</v>
      </c>
      <c r="AG26" s="563">
        <f>SUM(AG4:AG23)</f>
        <v>-16405.620243667545</v>
      </c>
      <c r="AJ26" s="563">
        <f>SUM(AJ4:AJ23)</f>
        <v>148600.10024366755</v>
      </c>
      <c r="AK26" s="563">
        <f>SUM(AK4:AK23)</f>
        <v>133798.35999999999</v>
      </c>
      <c r="AL26" s="563">
        <f>SUM(AL4:AL23)</f>
        <v>-14801.740243667544</v>
      </c>
      <c r="AM26" s="564"/>
      <c r="AN26" s="564"/>
      <c r="AO26" s="564"/>
      <c r="AP26" s="564"/>
      <c r="AQ26" s="564"/>
      <c r="AT26" s="564"/>
      <c r="AU26" s="564"/>
      <c r="AV26" s="565"/>
      <c r="AX26" s="564"/>
      <c r="AY26" s="564"/>
      <c r="AZ26" s="565"/>
      <c r="BC26" s="564"/>
      <c r="BD26" s="564"/>
      <c r="BE26" s="565"/>
      <c r="BH26" s="563">
        <f>SUM(BH4:BH23)</f>
        <v>1139671.9578736254</v>
      </c>
      <c r="BI26" s="563">
        <f>SUM(BI4:BI23)</f>
        <v>1154330.1000000001</v>
      </c>
      <c r="BJ26" s="563">
        <f>SUM(BJ4:BJ23)</f>
        <v>14658.142126374487</v>
      </c>
    </row>
    <row r="27" spans="1:66" ht="13.35" thickTop="1">
      <c r="C27" s="527">
        <v>140268</v>
      </c>
      <c r="D27" s="527">
        <v>130948.6</v>
      </c>
      <c r="E27" s="528">
        <v>-9319.4</v>
      </c>
      <c r="H27" s="527">
        <v>140268</v>
      </c>
      <c r="I27" s="527">
        <v>130211.53</v>
      </c>
      <c r="J27" s="527">
        <v>-10056.469999999999</v>
      </c>
      <c r="M27" s="527"/>
      <c r="N27" s="527"/>
      <c r="O27" s="527"/>
      <c r="R27" s="527"/>
      <c r="S27" s="527"/>
      <c r="T27" s="527"/>
      <c r="V27" s="527"/>
      <c r="W27" s="527"/>
      <c r="X27" s="527"/>
      <c r="Z27" s="527">
        <v>140581</v>
      </c>
      <c r="AA27" s="527">
        <v>130248.18</v>
      </c>
      <c r="AB27" s="527">
        <v>-10332.82</v>
      </c>
      <c r="AE27" s="527">
        <v>148599</v>
      </c>
      <c r="AF27" s="527">
        <v>132194.48000000001</v>
      </c>
      <c r="AG27" s="527">
        <v>-16404.52</v>
      </c>
      <c r="AJ27" s="526">
        <v>148599</v>
      </c>
      <c r="AK27" s="526">
        <v>133798.35999999999</v>
      </c>
      <c r="AL27" s="526">
        <v>-14800.64</v>
      </c>
      <c r="AM27" s="526"/>
      <c r="AN27" s="526"/>
      <c r="AO27" s="526"/>
      <c r="AP27" s="526"/>
      <c r="AQ27" s="526"/>
      <c r="AT27" s="527"/>
      <c r="AU27" s="527"/>
      <c r="AV27" s="527"/>
      <c r="AX27" s="527"/>
      <c r="AY27" s="527"/>
      <c r="AZ27" s="527"/>
      <c r="BC27" s="527"/>
      <c r="BD27" s="527"/>
      <c r="BE27" s="527"/>
      <c r="BH27" s="527">
        <v>1139669</v>
      </c>
      <c r="BI27" s="527">
        <v>1154330.1000000001</v>
      </c>
      <c r="BJ27" s="527">
        <v>14661.1</v>
      </c>
    </row>
    <row r="28" spans="1:66">
      <c r="C28" s="528">
        <f>C26-C27</f>
        <v>0.52527271505095996</v>
      </c>
      <c r="D28" s="528">
        <f>D26-D27</f>
        <v>0</v>
      </c>
      <c r="E28" s="528">
        <f>E26-E27</f>
        <v>-0.5252727150782448</v>
      </c>
      <c r="H28" s="528">
        <f>H26-H27</f>
        <v>0.52527271505095996</v>
      </c>
      <c r="I28" s="528">
        <f>I26-I27</f>
        <v>0</v>
      </c>
      <c r="J28" s="528">
        <f>J26-J27</f>
        <v>-0.52527271506733086</v>
      </c>
      <c r="M28" s="528">
        <v>140268</v>
      </c>
      <c r="N28" s="528">
        <v>145434.29</v>
      </c>
      <c r="O28" s="528">
        <v>5166.29</v>
      </c>
      <c r="R28" s="528">
        <v>140505</v>
      </c>
      <c r="S28" s="528">
        <v>229679.72</v>
      </c>
      <c r="T28" s="528">
        <v>89174.720000000001</v>
      </c>
      <c r="V28" s="527">
        <v>140581</v>
      </c>
      <c r="W28" s="528">
        <v>121814.94</v>
      </c>
      <c r="X28" s="528">
        <v>-18766.060000000001</v>
      </c>
      <c r="Z28" s="528">
        <f>Z27-Z26</f>
        <v>0.23397728492273018</v>
      </c>
      <c r="AA28" s="528">
        <f>AA27-AA26</f>
        <v>0</v>
      </c>
      <c r="AB28" s="528">
        <f>AB27-AB26</f>
        <v>-0.23397728493000614</v>
      </c>
      <c r="AE28" s="528">
        <f>AE27-AE26</f>
        <v>-1.1002436675480567</v>
      </c>
      <c r="AF28" s="528">
        <f>AF27-AF26</f>
        <v>0</v>
      </c>
      <c r="AG28" s="528">
        <f>AG27-AG26</f>
        <v>1.1002436675444187</v>
      </c>
      <c r="AJ28" s="526">
        <f>AJ27-AJ26</f>
        <v>-1.1002436675480567</v>
      </c>
      <c r="AK28" s="526">
        <f>AK27-AK26</f>
        <v>0</v>
      </c>
      <c r="AL28" s="526">
        <f>AL27-AL26</f>
        <v>1.1002436675444187</v>
      </c>
      <c r="AM28" s="526"/>
      <c r="AN28" s="526"/>
      <c r="AO28" s="526"/>
      <c r="AP28" s="526"/>
      <c r="AQ28" s="526"/>
      <c r="AT28" s="528"/>
      <c r="AU28" s="528"/>
      <c r="AV28" s="528"/>
      <c r="AX28" s="528"/>
      <c r="AY28" s="528"/>
      <c r="AZ28" s="528"/>
      <c r="BA28" s="528"/>
      <c r="BC28" s="528"/>
      <c r="BD28" s="528"/>
      <c r="BE28" s="528"/>
      <c r="BH28" s="528">
        <f>BH26-BH27</f>
        <v>2.9578736254479736</v>
      </c>
      <c r="BI28" s="528">
        <f>BI26-BI27</f>
        <v>0</v>
      </c>
      <c r="BJ28" s="528">
        <f>BJ26-BJ27</f>
        <v>-2.9578736255134572</v>
      </c>
    </row>
    <row r="29" spans="1:66">
      <c r="D29" s="527"/>
      <c r="I29" s="527"/>
      <c r="M29" s="528">
        <f>M28-M26</f>
        <v>-0.52527271505095996</v>
      </c>
      <c r="N29" s="527">
        <f>N28-N26</f>
        <v>0</v>
      </c>
      <c r="O29" s="528">
        <f>O28-O26</f>
        <v>0.52527271507460682</v>
      </c>
      <c r="R29" s="528">
        <f>R26-R28</f>
        <v>-0.35047728492645547</v>
      </c>
      <c r="S29" s="528">
        <f>S26-S28</f>
        <v>0</v>
      </c>
      <c r="T29" s="528">
        <f>T26-T28</f>
        <v>0.35047728492645547</v>
      </c>
      <c r="V29" s="528">
        <f>V26-V28</f>
        <v>-0.23397728492273018</v>
      </c>
      <c r="W29" s="528">
        <f>W26-W28</f>
        <v>0</v>
      </c>
      <c r="X29" s="528">
        <f>X26-X28</f>
        <v>0.23397728492636816</v>
      </c>
      <c r="AA29" s="527"/>
    </row>
    <row r="30" spans="1:66">
      <c r="C30" s="527"/>
      <c r="D30" s="527"/>
      <c r="H30" s="527"/>
      <c r="I30" s="527"/>
      <c r="M30" s="527"/>
      <c r="N30" s="527"/>
      <c r="R30" s="527"/>
      <c r="S30" s="527"/>
      <c r="V30" s="527"/>
      <c r="W30" s="527"/>
      <c r="Z30" s="527"/>
      <c r="AA30" s="527"/>
      <c r="BC30" s="527"/>
      <c r="BD30" s="527"/>
    </row>
    <row r="31" spans="1:66">
      <c r="AW31" s="551"/>
    </row>
    <row r="32" spans="1:66">
      <c r="BC32" s="527"/>
      <c r="BI32" s="550"/>
    </row>
    <row r="33" spans="57:61">
      <c r="BE33" s="561"/>
      <c r="BI33" s="527"/>
    </row>
    <row r="34" spans="57:61">
      <c r="BE34" s="561"/>
    </row>
    <row r="35" spans="57:61">
      <c r="BE35" s="561"/>
      <c r="BI35" s="550"/>
    </row>
  </sheetData>
  <pageMargins left="0.7" right="0.7" top="0.75" bottom="0.75" header="0.3" footer="0.3"/>
  <pageSetup orientation="portrait" r:id="rId1"/>
  <ignoredErrors>
    <ignoredError sqref="D26 I26 N26 S26:T26 W26 AF26 AK26:AL26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D888-9E00-4E6A-8427-FD35C3D4197E}">
  <dimension ref="A3:M29"/>
  <sheetViews>
    <sheetView workbookViewId="0">
      <selection activeCell="B20" sqref="B20"/>
    </sheetView>
  </sheetViews>
  <sheetFormatPr defaultRowHeight="12.75"/>
  <cols>
    <col min="1" max="1" width="20.42578125" bestFit="1" customWidth="1"/>
    <col min="2" max="13" width="15.42578125" bestFit="1" customWidth="1"/>
  </cols>
  <sheetData>
    <row r="3" spans="1:13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</row>
    <row r="4" spans="1:13">
      <c r="A4" t="s">
        <v>107</v>
      </c>
      <c r="B4" s="550">
        <v>4285.8182231305909</v>
      </c>
      <c r="C4" s="550">
        <v>4285.8182231305909</v>
      </c>
      <c r="D4" s="550">
        <v>4285.8182231305909</v>
      </c>
      <c r="E4" s="550">
        <v>4285.8182231305909</v>
      </c>
      <c r="F4" s="550">
        <v>4285.8182231305909</v>
      </c>
      <c r="G4" s="550">
        <v>4285.8182231305909</v>
      </c>
      <c r="H4" s="550">
        <v>4285.8182231305909</v>
      </c>
      <c r="I4" s="550">
        <v>4285.8182231305909</v>
      </c>
      <c r="J4" s="550">
        <v>4285.8182231305909</v>
      </c>
      <c r="K4" s="550">
        <v>4285.8182231305909</v>
      </c>
      <c r="L4" s="550">
        <v>4285.8182231305909</v>
      </c>
      <c r="M4" s="550">
        <v>4285.8182231305909</v>
      </c>
    </row>
    <row r="5" spans="1:13">
      <c r="A5" t="s">
        <v>108</v>
      </c>
      <c r="B5" s="550">
        <v>7038.9702648594903</v>
      </c>
      <c r="C5" s="550">
        <v>7038.9702648594885</v>
      </c>
      <c r="D5" s="550">
        <v>7038.9702648594885</v>
      </c>
      <c r="E5" s="550">
        <v>7038.9702648594885</v>
      </c>
      <c r="F5" s="550">
        <v>7038.9702648594885</v>
      </c>
      <c r="G5" s="550">
        <v>7038.9702648594885</v>
      </c>
      <c r="H5" s="550">
        <v>7038.9702648594885</v>
      </c>
      <c r="I5" s="550">
        <v>7038.9702648594885</v>
      </c>
      <c r="J5" s="550">
        <v>7038.9702648594885</v>
      </c>
      <c r="K5" s="550">
        <v>7038.9702648594885</v>
      </c>
      <c r="L5" s="550">
        <v>7038.9702648594885</v>
      </c>
      <c r="M5" s="550">
        <v>7038.9702648594885</v>
      </c>
    </row>
    <row r="6" spans="1:13">
      <c r="A6" t="s">
        <v>109</v>
      </c>
      <c r="B6" s="550">
        <v>9511.6006392297968</v>
      </c>
      <c r="C6" s="550">
        <v>9511.6006392297968</v>
      </c>
      <c r="D6" s="550">
        <v>9511.6006392297968</v>
      </c>
      <c r="E6" s="550">
        <v>9511.6006392297968</v>
      </c>
      <c r="F6" s="550">
        <v>9511.6006392297968</v>
      </c>
      <c r="G6" s="550">
        <v>9511.6006392297968</v>
      </c>
      <c r="H6" s="550">
        <v>9511.6006392297968</v>
      </c>
      <c r="I6" s="550">
        <v>9511.6006392297968</v>
      </c>
      <c r="J6" s="550">
        <v>9511.6006392297968</v>
      </c>
      <c r="K6" s="550">
        <v>9511.6006392297968</v>
      </c>
      <c r="L6" s="550">
        <v>9511.6006392297968</v>
      </c>
      <c r="M6" s="550">
        <v>9511.6006392297968</v>
      </c>
    </row>
    <row r="7" spans="1:13">
      <c r="A7" t="s">
        <v>110</v>
      </c>
      <c r="B7" s="550">
        <v>3540.8255389611377</v>
      </c>
      <c r="C7" s="550">
        <v>3540.8255389611377</v>
      </c>
      <c r="D7" s="550">
        <v>3540.8255389611377</v>
      </c>
      <c r="E7" s="550">
        <v>3540.8255389611377</v>
      </c>
      <c r="F7" s="550">
        <v>3540.8255389611377</v>
      </c>
      <c r="G7" s="550">
        <v>3540.8255389611377</v>
      </c>
      <c r="H7" s="550">
        <v>3540.8255389611377</v>
      </c>
      <c r="I7" s="550">
        <v>3540.8255389611377</v>
      </c>
      <c r="J7" s="550">
        <v>3540.8255389611377</v>
      </c>
      <c r="K7" s="550">
        <v>3839.0492889611373</v>
      </c>
      <c r="L7" s="550">
        <v>3839.0492889611373</v>
      </c>
      <c r="M7" s="550">
        <v>3839.0492889611373</v>
      </c>
    </row>
    <row r="8" spans="1:13">
      <c r="A8" t="s">
        <v>111</v>
      </c>
      <c r="B8" s="550">
        <v>6899.6420091887212</v>
      </c>
      <c r="C8" s="550">
        <v>6899.6420091887212</v>
      </c>
      <c r="D8" s="550">
        <v>6899.6420091887212</v>
      </c>
      <c r="E8" s="550">
        <v>6899.6420091887212</v>
      </c>
      <c r="F8" s="550">
        <v>6899.6420091887212</v>
      </c>
      <c r="G8" s="550">
        <v>6899.6420091887212</v>
      </c>
      <c r="H8" s="550">
        <v>6899.6420091887212</v>
      </c>
      <c r="I8" s="550">
        <v>6899.6420091887212</v>
      </c>
      <c r="J8" s="550">
        <v>6899.6420091887212</v>
      </c>
      <c r="K8" s="550">
        <v>6899.6420091887212</v>
      </c>
      <c r="L8" s="550">
        <v>6899.6420091887212</v>
      </c>
      <c r="M8" s="550">
        <v>6899.6420091887212</v>
      </c>
    </row>
    <row r="9" spans="1:13">
      <c r="A9" t="s">
        <v>112</v>
      </c>
      <c r="B9" s="550">
        <v>3381.282948669585</v>
      </c>
      <c r="C9" s="550">
        <v>3381.282948669585</v>
      </c>
      <c r="D9" s="550">
        <v>3381.282948669585</v>
      </c>
      <c r="E9" s="550">
        <v>3431.2106986695853</v>
      </c>
      <c r="F9" s="550">
        <v>3431.2106986695853</v>
      </c>
      <c r="G9" s="550">
        <v>3431.2106986695853</v>
      </c>
      <c r="H9" s="550">
        <v>3431.2106986695853</v>
      </c>
      <c r="I9" s="550">
        <v>3431.2106986695853</v>
      </c>
      <c r="J9" s="550">
        <v>3431.2106986695853</v>
      </c>
      <c r="K9" s="550">
        <v>3431.2106986695853</v>
      </c>
      <c r="L9" s="550">
        <v>3431.2106986695853</v>
      </c>
      <c r="M9" s="550">
        <v>3431.2106986695853</v>
      </c>
    </row>
    <row r="10" spans="1:13">
      <c r="A10" t="s">
        <v>113</v>
      </c>
      <c r="B10" s="550">
        <v>66174.8256437456</v>
      </c>
      <c r="C10" s="550">
        <v>66174.8256437456</v>
      </c>
      <c r="D10" s="550">
        <v>66174.8256437456</v>
      </c>
      <c r="E10" s="550">
        <v>66174.8256437456</v>
      </c>
      <c r="F10" s="550">
        <v>66174.8256437456</v>
      </c>
      <c r="G10" s="550">
        <v>66174.8256437456</v>
      </c>
      <c r="H10" s="550">
        <v>66174.8256437456</v>
      </c>
      <c r="I10" s="550">
        <v>66174.8256437456</v>
      </c>
      <c r="J10" s="550">
        <v>66174.8256437456</v>
      </c>
      <c r="K10" s="550">
        <v>66174.8256437456</v>
      </c>
      <c r="L10" s="550">
        <v>66174.8256437456</v>
      </c>
      <c r="M10" s="550">
        <v>66174.8256437456</v>
      </c>
    </row>
    <row r="11" spans="1:13">
      <c r="A11" t="s">
        <v>114</v>
      </c>
      <c r="B11" s="550">
        <v>2815.0955386137184</v>
      </c>
      <c r="C11" s="550">
        <v>2815.0955386137184</v>
      </c>
      <c r="D11" s="550">
        <v>2815.0955386137184</v>
      </c>
      <c r="E11" s="550">
        <v>2858.2787886137185</v>
      </c>
      <c r="F11" s="550">
        <v>2858.2787886137185</v>
      </c>
      <c r="G11" s="550">
        <v>2858.2787886137185</v>
      </c>
      <c r="H11" s="550">
        <v>2858.2787886137185</v>
      </c>
      <c r="I11" s="550">
        <v>2858.2787886137185</v>
      </c>
      <c r="J11" s="550">
        <v>2858.2787886137185</v>
      </c>
      <c r="K11" s="550">
        <v>2858.2787886137185</v>
      </c>
      <c r="L11" s="550">
        <v>2858.2787886137185</v>
      </c>
      <c r="M11" s="550">
        <v>2858.2787886137185</v>
      </c>
    </row>
    <row r="12" spans="1:13">
      <c r="A12" t="s">
        <v>35</v>
      </c>
      <c r="B12" s="550">
        <v>15.375</v>
      </c>
      <c r="C12" s="550">
        <v>15.375</v>
      </c>
      <c r="D12" s="550">
        <v>15.375</v>
      </c>
      <c r="E12" s="550">
        <v>15.375</v>
      </c>
      <c r="F12" s="550">
        <v>15.375</v>
      </c>
      <c r="G12" s="550">
        <v>15.375</v>
      </c>
      <c r="H12" s="550">
        <v>15.375</v>
      </c>
      <c r="I12" s="550">
        <v>15.375</v>
      </c>
      <c r="J12" s="550">
        <v>15.375</v>
      </c>
      <c r="K12" s="550">
        <v>15.375</v>
      </c>
      <c r="L12" s="550">
        <v>15.375</v>
      </c>
      <c r="M12" s="550">
        <v>129.64575000000002</v>
      </c>
    </row>
    <row r="13" spans="1:13">
      <c r="A13" t="s">
        <v>115</v>
      </c>
      <c r="B13" s="550">
        <v>3290.9585951251711</v>
      </c>
      <c r="C13" s="550">
        <v>3290.9585951251711</v>
      </c>
      <c r="D13" s="550">
        <v>3290.9585951251711</v>
      </c>
      <c r="E13" s="550">
        <v>3290.9585951251711</v>
      </c>
      <c r="F13" s="550">
        <v>3290.9585951251711</v>
      </c>
      <c r="G13" s="550">
        <v>3290.9585951251711</v>
      </c>
      <c r="H13" s="550">
        <v>3340.5890951251704</v>
      </c>
      <c r="I13" s="550">
        <v>3340.5890951251704</v>
      </c>
      <c r="J13" s="550">
        <v>3340.5890951251704</v>
      </c>
      <c r="K13" s="550">
        <v>3340.5890951251704</v>
      </c>
      <c r="L13" s="550">
        <v>3340.5890951251704</v>
      </c>
      <c r="M13" s="550">
        <v>3340.5890951251704</v>
      </c>
    </row>
    <row r="14" spans="1:13">
      <c r="A14" t="s">
        <v>116</v>
      </c>
      <c r="B14" s="550">
        <v>2723.6704378096078</v>
      </c>
      <c r="C14" s="550">
        <v>2723.6704378096078</v>
      </c>
      <c r="D14" s="550">
        <v>2723.6704378096078</v>
      </c>
      <c r="E14" s="550">
        <v>2783.6636878096083</v>
      </c>
      <c r="F14" s="550">
        <v>2783.6636878096083</v>
      </c>
      <c r="G14" s="550">
        <v>2783.6636878096083</v>
      </c>
      <c r="H14" s="550">
        <v>2783.6636878096083</v>
      </c>
      <c r="I14" s="550">
        <v>2783.6636878096083</v>
      </c>
      <c r="J14" s="550">
        <v>2783.6636878096083</v>
      </c>
      <c r="K14" s="550">
        <v>2783.6636878096083</v>
      </c>
      <c r="L14" s="550">
        <v>2783.6636878096083</v>
      </c>
      <c r="M14" s="550">
        <v>2783.6636878096083</v>
      </c>
    </row>
    <row r="15" spans="1:13">
      <c r="A15" t="s">
        <v>117</v>
      </c>
      <c r="B15" s="550">
        <v>3311.5728998451082</v>
      </c>
      <c r="C15" s="550">
        <v>3311.5728998451082</v>
      </c>
      <c r="D15" s="550">
        <v>3311.5728998451082</v>
      </c>
      <c r="E15" s="550">
        <v>3311.5728998451082</v>
      </c>
      <c r="F15" s="550">
        <v>3311.5728998451082</v>
      </c>
      <c r="G15" s="550">
        <v>3311.5728998451082</v>
      </c>
      <c r="H15" s="550">
        <v>3311.5728998451082</v>
      </c>
      <c r="I15" s="550">
        <v>3311.5728998451082</v>
      </c>
      <c r="J15" s="550">
        <v>3311.5728998451082</v>
      </c>
      <c r="K15" s="550">
        <v>3311.5728998451082</v>
      </c>
      <c r="L15" s="550">
        <v>3311.5728998451082</v>
      </c>
      <c r="M15" s="550">
        <v>3311.5728998451082</v>
      </c>
    </row>
    <row r="16" spans="1:13">
      <c r="A16" t="s">
        <v>118</v>
      </c>
      <c r="B16" s="550">
        <v>8299.7743665409198</v>
      </c>
      <c r="C16" s="550">
        <v>8299.7743665409198</v>
      </c>
      <c r="D16" s="550">
        <v>8299.7743665409198</v>
      </c>
      <c r="E16" s="550">
        <v>8299.7743665409198</v>
      </c>
      <c r="F16" s="550">
        <v>8299.7743665409198</v>
      </c>
      <c r="G16" s="550">
        <v>8299.7743665409198</v>
      </c>
      <c r="H16" s="550">
        <v>8299.7743665409198</v>
      </c>
      <c r="I16" s="550">
        <v>8299.7743665409198</v>
      </c>
      <c r="J16" s="550">
        <v>8299.7743665409198</v>
      </c>
      <c r="K16" s="550">
        <v>8299.7743665409198</v>
      </c>
      <c r="L16" s="550">
        <v>8479.743866540919</v>
      </c>
      <c r="M16" s="550">
        <v>8479.743866540919</v>
      </c>
    </row>
    <row r="17" spans="1:13">
      <c r="A17" t="s">
        <v>60</v>
      </c>
      <c r="B17" s="550">
        <v>1537.5</v>
      </c>
      <c r="C17" s="550">
        <v>1537.5</v>
      </c>
      <c r="D17" s="550">
        <v>1537.5</v>
      </c>
      <c r="E17" s="550">
        <v>1537.5</v>
      </c>
      <c r="F17" s="550">
        <v>1537.5</v>
      </c>
      <c r="G17" s="550">
        <v>1537.5</v>
      </c>
      <c r="H17" s="550">
        <v>1537.5</v>
      </c>
      <c r="I17" s="550">
        <v>1537.5</v>
      </c>
      <c r="J17" s="550">
        <v>1537.5</v>
      </c>
      <c r="K17" s="550">
        <v>1537.5</v>
      </c>
      <c r="L17" s="550">
        <v>1537.5</v>
      </c>
      <c r="M17" s="550">
        <v>1537.5</v>
      </c>
    </row>
    <row r="18" spans="1:13">
      <c r="A18" t="s">
        <v>119</v>
      </c>
      <c r="B18" s="550">
        <v>8225.1150218243765</v>
      </c>
      <c r="C18" s="550">
        <v>8225.1150218243765</v>
      </c>
      <c r="D18" s="550">
        <v>8225.1150218243765</v>
      </c>
      <c r="E18" s="550">
        <v>8225.1150218243765</v>
      </c>
      <c r="F18" s="550">
        <v>8225.1150218243765</v>
      </c>
      <c r="G18" s="550">
        <v>8225.1150218243765</v>
      </c>
      <c r="H18" s="550">
        <v>8225.1150218243765</v>
      </c>
      <c r="I18" s="550">
        <v>8225.1150218243765</v>
      </c>
      <c r="J18" s="550">
        <v>8225.1150218243765</v>
      </c>
      <c r="K18" s="550">
        <v>8415.4677718243765</v>
      </c>
      <c r="L18" s="550">
        <v>8415.4677718243765</v>
      </c>
      <c r="M18" s="550">
        <v>8415.4677718243765</v>
      </c>
    </row>
    <row r="19" spans="1:13">
      <c r="A19" t="s">
        <v>120</v>
      </c>
      <c r="B19" s="550">
        <v>0</v>
      </c>
      <c r="C19" s="550">
        <v>0</v>
      </c>
      <c r="D19" s="550">
        <v>0</v>
      </c>
      <c r="E19" s="550">
        <v>0</v>
      </c>
      <c r="F19" s="550">
        <v>0</v>
      </c>
      <c r="G19" s="550">
        <v>0</v>
      </c>
      <c r="H19" s="550">
        <v>7969.7037209524706</v>
      </c>
      <c r="I19" s="550">
        <v>7969.7037209524706</v>
      </c>
      <c r="J19" s="550">
        <v>7969.7037209524706</v>
      </c>
      <c r="K19" s="550">
        <v>7969.7037209524706</v>
      </c>
      <c r="L19" s="550">
        <v>7969.7037209524706</v>
      </c>
      <c r="M19" s="550">
        <v>7969.7037209524706</v>
      </c>
    </row>
    <row r="20" spans="1:13">
      <c r="A20" t="s">
        <v>87</v>
      </c>
      <c r="B20" s="550">
        <v>2050</v>
      </c>
      <c r="C20" s="550">
        <v>2050</v>
      </c>
      <c r="D20" s="550">
        <v>2050</v>
      </c>
      <c r="E20" s="550">
        <v>2050</v>
      </c>
      <c r="F20" s="550">
        <v>2050</v>
      </c>
      <c r="G20" s="550">
        <v>2050</v>
      </c>
      <c r="H20" s="550">
        <v>2050</v>
      </c>
      <c r="I20" s="550">
        <v>2050</v>
      </c>
      <c r="J20" s="550">
        <v>2050</v>
      </c>
      <c r="K20" s="550">
        <v>2050</v>
      </c>
      <c r="L20" s="550">
        <v>2050</v>
      </c>
      <c r="M20" s="550">
        <v>2050</v>
      </c>
    </row>
    <row r="21" spans="1:13">
      <c r="A21" t="s">
        <v>121</v>
      </c>
      <c r="B21" s="550">
        <v>3363.2468687582791</v>
      </c>
      <c r="C21" s="550">
        <v>3363.2468687582791</v>
      </c>
      <c r="D21" s="550">
        <v>3363.2468687582791</v>
      </c>
      <c r="E21" s="550">
        <v>3363.2468687582791</v>
      </c>
      <c r="F21" s="550">
        <v>3439.3633687582792</v>
      </c>
      <c r="G21" s="550">
        <v>3439.3633687582792</v>
      </c>
      <c r="H21" s="550">
        <v>3439.3633687582792</v>
      </c>
      <c r="I21" s="550">
        <v>3439.3633687582792</v>
      </c>
      <c r="J21" s="550">
        <v>3439.3633687582792</v>
      </c>
      <c r="K21" s="550">
        <v>3439.3633687582792</v>
      </c>
      <c r="L21" s="550">
        <v>3439.3633687582792</v>
      </c>
      <c r="M21" s="550">
        <v>3439.3633687582792</v>
      </c>
    </row>
    <row r="22" spans="1:13">
      <c r="A22" t="s">
        <v>122</v>
      </c>
      <c r="B22" s="550">
        <v>3803.2512764129665</v>
      </c>
      <c r="C22" s="550">
        <v>3803.2512764129665</v>
      </c>
      <c r="D22" s="550">
        <v>3803.2512764129665</v>
      </c>
      <c r="E22" s="550">
        <v>3886.271276412966</v>
      </c>
      <c r="F22" s="550">
        <v>3886.271276412966</v>
      </c>
      <c r="G22" s="550">
        <v>3886.271276412966</v>
      </c>
      <c r="H22" s="550">
        <v>3886.271276412966</v>
      </c>
      <c r="I22" s="550">
        <v>3886.271276412966</v>
      </c>
      <c r="J22" s="550">
        <v>3886.271276412966</v>
      </c>
      <c r="K22" s="550">
        <v>3886.271276412966</v>
      </c>
      <c r="L22" s="550">
        <v>3886.271276412966</v>
      </c>
      <c r="M22" s="550">
        <v>3886.271276412966</v>
      </c>
    </row>
    <row r="23" spans="1:13">
      <c r="A23" t="s">
        <v>123</v>
      </c>
      <c r="B23" s="550">
        <v>140268.52527271508</v>
      </c>
      <c r="C23" s="550">
        <v>140268.52527271508</v>
      </c>
      <c r="D23" s="550">
        <v>140268.52527271508</v>
      </c>
      <c r="E23" s="550">
        <v>140504.64952271507</v>
      </c>
      <c r="F23" s="550">
        <v>140580.76602271508</v>
      </c>
      <c r="G23" s="550">
        <v>140580.76602271508</v>
      </c>
      <c r="H23" s="550">
        <v>148600.10024366755</v>
      </c>
      <c r="I23" s="550">
        <v>148600.10024366755</v>
      </c>
      <c r="J23" s="550">
        <v>148600.10024366755</v>
      </c>
      <c r="K23" s="550">
        <v>149088.67674366757</v>
      </c>
      <c r="L23" s="550">
        <v>149268.64624366755</v>
      </c>
      <c r="M23" s="550">
        <v>149382.91699366755</v>
      </c>
    </row>
    <row r="24" spans="1:13"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</row>
    <row r="25" spans="1:13" s="529" customFormat="1" ht="13.35">
      <c r="A25" s="529" t="s">
        <v>124</v>
      </c>
      <c r="B25" s="542">
        <v>140268.52541380873</v>
      </c>
      <c r="C25" s="542">
        <v>140268.52541380873</v>
      </c>
      <c r="D25" s="542">
        <v>140268.52541380873</v>
      </c>
      <c r="E25" s="542">
        <v>140504.64966380873</v>
      </c>
      <c r="F25" s="542">
        <v>140580.7661638087</v>
      </c>
      <c r="G25" s="542">
        <v>140580.7661638087</v>
      </c>
      <c r="H25" s="542">
        <v>148600.10038476117</v>
      </c>
      <c r="I25" s="542">
        <v>148600.10038476117</v>
      </c>
      <c r="J25" s="542">
        <v>148600.10038476117</v>
      </c>
      <c r="K25" s="542">
        <v>149088.67688476123</v>
      </c>
      <c r="L25" s="542">
        <v>149268.6463847612</v>
      </c>
      <c r="M25" s="542">
        <v>149382.9171347612</v>
      </c>
    </row>
    <row r="27" spans="1:13">
      <c r="A27" t="s">
        <v>125</v>
      </c>
      <c r="B27" s="530">
        <v>140268.5254138087</v>
      </c>
      <c r="C27" s="530">
        <v>140268.52541380899</v>
      </c>
      <c r="D27" s="530">
        <v>140268.5254138087</v>
      </c>
      <c r="E27" s="530">
        <v>140504.6496638087</v>
      </c>
      <c r="F27" s="530">
        <v>140580.7661638087</v>
      </c>
      <c r="G27" s="530">
        <v>140580.7661638087</v>
      </c>
      <c r="H27" s="530">
        <v>148600.10038476114</v>
      </c>
      <c r="I27" s="530">
        <v>148600.10038476114</v>
      </c>
      <c r="J27" s="530">
        <v>148600.10038476114</v>
      </c>
      <c r="K27" s="530">
        <v>149088.67688476114</v>
      </c>
      <c r="L27" s="530">
        <v>149268.64638476112</v>
      </c>
      <c r="M27" s="530">
        <v>149382.91713476111</v>
      </c>
    </row>
    <row r="29" spans="1:13" s="529" customFormat="1" ht="13.35">
      <c r="A29" s="529" t="s">
        <v>126</v>
      </c>
      <c r="B29" s="529">
        <v>0</v>
      </c>
      <c r="C29" s="529">
        <v>0</v>
      </c>
      <c r="D29" s="529">
        <v>0</v>
      </c>
      <c r="E29" s="529">
        <v>0</v>
      </c>
      <c r="F29" s="529">
        <v>0</v>
      </c>
      <c r="G29" s="529">
        <v>0</v>
      </c>
      <c r="H29" s="529">
        <v>0</v>
      </c>
      <c r="I29" s="529">
        <v>0</v>
      </c>
      <c r="J29" s="529">
        <v>0</v>
      </c>
      <c r="K29" s="529">
        <v>0</v>
      </c>
      <c r="L29" s="529">
        <v>0</v>
      </c>
      <c r="M29" s="5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75A4-BED0-47E7-BB7F-EC9670EB360E}">
  <dimension ref="A3:M23"/>
  <sheetViews>
    <sheetView workbookViewId="0">
      <selection activeCell="B6" sqref="B6"/>
    </sheetView>
  </sheetViews>
  <sheetFormatPr defaultRowHeight="12.75"/>
  <cols>
    <col min="1" max="1" width="25.42578125" bestFit="1" customWidth="1"/>
    <col min="2" max="3" width="12" bestFit="1" customWidth="1"/>
    <col min="4" max="4" width="14.42578125" bestFit="1" customWidth="1"/>
    <col min="5" max="5" width="13.42578125" bestFit="1" customWidth="1"/>
    <col min="6" max="6" width="12" bestFit="1" customWidth="1"/>
    <col min="7" max="8" width="12.42578125" bestFit="1" customWidth="1"/>
    <col min="9" max="9" width="15.42578125" bestFit="1" customWidth="1"/>
    <col min="10" max="10" width="12.42578125" bestFit="1" customWidth="1"/>
    <col min="11" max="13" width="12" bestFit="1" customWidth="1"/>
  </cols>
  <sheetData>
    <row r="3" spans="1:13">
      <c r="A3" s="540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</row>
    <row r="4" spans="1:13">
      <c r="A4" s="541" t="s">
        <v>107</v>
      </c>
      <c r="B4">
        <v>4285.8182231305909</v>
      </c>
      <c r="C4">
        <v>4285.8182231305909</v>
      </c>
      <c r="D4">
        <v>4285.8182231305909</v>
      </c>
      <c r="E4">
        <v>4285.8182231305909</v>
      </c>
      <c r="F4">
        <v>4285.8182231305909</v>
      </c>
      <c r="G4">
        <v>4285.8182231305909</v>
      </c>
      <c r="H4">
        <v>4285.8182231305909</v>
      </c>
      <c r="I4">
        <v>4285.8182231305909</v>
      </c>
      <c r="J4">
        <v>4285.8182231305909</v>
      </c>
      <c r="K4">
        <v>4285.8182231305909</v>
      </c>
      <c r="L4">
        <v>4285.8182231305909</v>
      </c>
      <c r="M4">
        <v>4285.8182231305909</v>
      </c>
    </row>
    <row r="5" spans="1:13">
      <c r="A5" s="541" t="s">
        <v>108</v>
      </c>
      <c r="B5">
        <v>7038.9702648594885</v>
      </c>
      <c r="C5">
        <v>7038.9702648594885</v>
      </c>
      <c r="D5">
        <v>7038.9702648594885</v>
      </c>
      <c r="E5">
        <v>7038.9702648594885</v>
      </c>
      <c r="F5">
        <v>7038.9702648594885</v>
      </c>
      <c r="G5">
        <v>7038.9702648594885</v>
      </c>
      <c r="H5">
        <v>7038.9702648594885</v>
      </c>
      <c r="I5">
        <v>7038.9702648594885</v>
      </c>
      <c r="J5">
        <v>7038.9702648594885</v>
      </c>
      <c r="K5">
        <v>7038.9702648594885</v>
      </c>
      <c r="L5">
        <v>7038.9702648594885</v>
      </c>
      <c r="M5">
        <v>7038.9702648594885</v>
      </c>
    </row>
    <row r="6" spans="1:13">
      <c r="A6" s="541" t="s">
        <v>109</v>
      </c>
      <c r="B6">
        <v>9511.6006392297968</v>
      </c>
      <c r="C6">
        <v>9511.6006392297968</v>
      </c>
      <c r="D6">
        <v>9511.6006392297968</v>
      </c>
      <c r="E6">
        <v>9511.6006392297968</v>
      </c>
      <c r="F6">
        <v>9511.6006392297968</v>
      </c>
      <c r="G6">
        <v>9511.6006392297968</v>
      </c>
      <c r="H6">
        <v>9511.6006392297968</v>
      </c>
      <c r="I6">
        <v>9511.6006392297968</v>
      </c>
      <c r="J6">
        <v>9511.6006392297968</v>
      </c>
      <c r="K6">
        <v>9511.6006392297968</v>
      </c>
      <c r="L6">
        <v>9511.6006392297968</v>
      </c>
      <c r="M6">
        <v>9511.6006392297968</v>
      </c>
    </row>
    <row r="7" spans="1:13">
      <c r="A7" s="541" t="s">
        <v>110</v>
      </c>
      <c r="B7">
        <v>3540.8255389611377</v>
      </c>
      <c r="C7">
        <v>3540.8255389611377</v>
      </c>
      <c r="D7">
        <v>3540.8255389611377</v>
      </c>
      <c r="E7">
        <v>3540.8255389611377</v>
      </c>
      <c r="F7">
        <v>3540.8255389611377</v>
      </c>
      <c r="G7">
        <v>3540.8255389611377</v>
      </c>
      <c r="H7">
        <v>3540.8255389611377</v>
      </c>
      <c r="I7">
        <v>3540.8255389611377</v>
      </c>
      <c r="J7">
        <v>3540.8255389611377</v>
      </c>
      <c r="K7">
        <v>3839.0492889611373</v>
      </c>
      <c r="L7">
        <v>3839.0492889611373</v>
      </c>
      <c r="M7">
        <v>3839.0492889611373</v>
      </c>
    </row>
    <row r="8" spans="1:13">
      <c r="A8" s="541" t="s">
        <v>111</v>
      </c>
      <c r="B8">
        <v>6899.6420091887212</v>
      </c>
      <c r="C8">
        <v>6899.6420091887212</v>
      </c>
      <c r="D8">
        <v>6899.6420091887212</v>
      </c>
      <c r="E8">
        <v>6899.6420091887212</v>
      </c>
      <c r="F8">
        <v>6899.6420091887212</v>
      </c>
      <c r="G8">
        <v>6899.6420091887212</v>
      </c>
      <c r="H8">
        <v>6899.6420091887212</v>
      </c>
      <c r="I8">
        <v>6899.6420091887212</v>
      </c>
      <c r="J8">
        <v>6899.6420091887212</v>
      </c>
      <c r="K8">
        <v>6899.6420091887212</v>
      </c>
      <c r="L8">
        <v>6899.6420091887212</v>
      </c>
      <c r="M8">
        <v>6899.6420091887212</v>
      </c>
    </row>
    <row r="9" spans="1:13">
      <c r="A9" s="541" t="s">
        <v>112</v>
      </c>
      <c r="B9">
        <v>3381.282948669585</v>
      </c>
      <c r="C9">
        <v>3381.282948669585</v>
      </c>
      <c r="D9">
        <v>3381.282948669585</v>
      </c>
      <c r="E9">
        <v>3431.2106986695853</v>
      </c>
      <c r="F9">
        <v>3431.2106986695853</v>
      </c>
      <c r="G9">
        <v>3431.2106986695853</v>
      </c>
      <c r="H9">
        <v>3431.2106986695853</v>
      </c>
      <c r="I9">
        <v>3431.2106986695853</v>
      </c>
      <c r="J9">
        <v>3431.2106986695853</v>
      </c>
      <c r="K9">
        <v>3431.2106986695853</v>
      </c>
      <c r="L9">
        <v>3431.2106986695853</v>
      </c>
      <c r="M9">
        <v>3431.2106986695853</v>
      </c>
    </row>
    <row r="10" spans="1:13">
      <c r="A10" s="541" t="s">
        <v>113</v>
      </c>
      <c r="B10">
        <v>66174.8256437456</v>
      </c>
      <c r="C10">
        <v>66174.8256437456</v>
      </c>
      <c r="D10">
        <v>66174.8256437456</v>
      </c>
      <c r="E10">
        <v>66174.8256437456</v>
      </c>
      <c r="F10">
        <v>66174.8256437456</v>
      </c>
      <c r="G10">
        <v>66174.8256437456</v>
      </c>
      <c r="H10">
        <v>66174.8256437456</v>
      </c>
      <c r="I10">
        <v>66174.8256437456</v>
      </c>
      <c r="J10">
        <v>66174.8256437456</v>
      </c>
      <c r="K10">
        <v>66174.8256437456</v>
      </c>
      <c r="L10">
        <v>66174.8256437456</v>
      </c>
      <c r="M10">
        <v>66174.8256437456</v>
      </c>
    </row>
    <row r="11" spans="1:13">
      <c r="A11" s="541" t="s">
        <v>114</v>
      </c>
      <c r="B11">
        <v>2815.0955386137184</v>
      </c>
      <c r="C11">
        <v>2815.0955386137184</v>
      </c>
      <c r="D11">
        <v>2815.0955386137184</v>
      </c>
      <c r="E11">
        <v>2858.2787886137185</v>
      </c>
      <c r="F11">
        <v>2858.2787886137185</v>
      </c>
      <c r="G11">
        <v>2858.2787886137185</v>
      </c>
      <c r="H11">
        <v>2858.2787886137185</v>
      </c>
      <c r="I11">
        <v>2858.2787886137185</v>
      </c>
      <c r="J11">
        <v>2858.2787886137185</v>
      </c>
      <c r="K11">
        <v>2858.2787886137185</v>
      </c>
      <c r="L11">
        <v>2858.2787886137185</v>
      </c>
      <c r="M11">
        <v>2858.2787886137185</v>
      </c>
    </row>
    <row r="12" spans="1:13">
      <c r="A12" s="541" t="s">
        <v>35</v>
      </c>
      <c r="B12">
        <v>15.375</v>
      </c>
      <c r="C12">
        <v>15.375</v>
      </c>
      <c r="D12">
        <v>15.375</v>
      </c>
      <c r="E12">
        <v>15.375</v>
      </c>
      <c r="F12">
        <v>15.375</v>
      </c>
      <c r="G12">
        <v>15.375</v>
      </c>
      <c r="H12">
        <v>15.375</v>
      </c>
      <c r="I12">
        <v>15.375</v>
      </c>
      <c r="J12">
        <v>15.375</v>
      </c>
      <c r="K12">
        <v>15.375</v>
      </c>
      <c r="L12">
        <v>15.375</v>
      </c>
      <c r="M12">
        <v>129.64575000000002</v>
      </c>
    </row>
    <row r="13" spans="1:13">
      <c r="A13" s="541" t="s">
        <v>115</v>
      </c>
      <c r="B13">
        <v>3290.9585951251711</v>
      </c>
      <c r="C13">
        <v>3290.9585951251711</v>
      </c>
      <c r="D13">
        <v>3290.9585951251711</v>
      </c>
      <c r="E13">
        <v>3290.9585951251711</v>
      </c>
      <c r="F13">
        <v>3290.9585951251711</v>
      </c>
      <c r="G13">
        <v>3290.9585951251711</v>
      </c>
      <c r="H13">
        <v>3340.5890951251704</v>
      </c>
      <c r="I13">
        <v>3340.5890951251704</v>
      </c>
      <c r="J13">
        <v>3340.5890951251704</v>
      </c>
      <c r="K13">
        <v>3340.5890951251704</v>
      </c>
      <c r="L13">
        <v>3340.5890951251704</v>
      </c>
      <c r="M13">
        <v>3340.5890951251704</v>
      </c>
    </row>
    <row r="14" spans="1:13">
      <c r="A14" s="541" t="s">
        <v>116</v>
      </c>
      <c r="B14">
        <v>2723.6704378096078</v>
      </c>
      <c r="C14">
        <v>2723.6704378096078</v>
      </c>
      <c r="D14">
        <v>2723.6704378096078</v>
      </c>
      <c r="E14">
        <v>2783.6636878096083</v>
      </c>
      <c r="F14">
        <v>2783.6636878096083</v>
      </c>
      <c r="G14">
        <v>2783.6636878096083</v>
      </c>
      <c r="H14">
        <v>2783.6636878096083</v>
      </c>
      <c r="I14">
        <v>2783.6636878096083</v>
      </c>
      <c r="J14">
        <v>2783.6636878096083</v>
      </c>
      <c r="K14">
        <v>2783.6636878096083</v>
      </c>
      <c r="L14">
        <v>2783.6636878096083</v>
      </c>
      <c r="M14">
        <v>2783.6636878096083</v>
      </c>
    </row>
    <row r="15" spans="1:13">
      <c r="A15" s="541" t="s">
        <v>117</v>
      </c>
      <c r="B15">
        <v>3311.5728998451082</v>
      </c>
      <c r="C15">
        <v>3311.5728998451082</v>
      </c>
      <c r="D15">
        <v>3311.5728998451082</v>
      </c>
      <c r="E15">
        <v>3311.5728998451082</v>
      </c>
      <c r="F15">
        <v>3311.5728998451082</v>
      </c>
      <c r="G15">
        <v>3311.5728998451082</v>
      </c>
      <c r="H15">
        <v>3311.5728998451082</v>
      </c>
      <c r="I15">
        <v>3311.5728998451082</v>
      </c>
      <c r="J15">
        <v>3311.5728998451082</v>
      </c>
      <c r="K15">
        <v>3311.5728998451082</v>
      </c>
      <c r="L15">
        <v>3311.5728998451082</v>
      </c>
      <c r="M15">
        <v>3311.5728998451082</v>
      </c>
    </row>
    <row r="16" spans="1:13">
      <c r="A16" s="541" t="s">
        <v>118</v>
      </c>
      <c r="B16">
        <v>8299.7743665409198</v>
      </c>
      <c r="C16">
        <v>8299.7743665409198</v>
      </c>
      <c r="D16">
        <v>8299.7743665409198</v>
      </c>
      <c r="E16">
        <v>8299.7743665409198</v>
      </c>
      <c r="F16">
        <v>8299.7743665409198</v>
      </c>
      <c r="G16">
        <v>8299.7743665409198</v>
      </c>
      <c r="H16">
        <v>8299.7743665409198</v>
      </c>
      <c r="I16">
        <v>8299.7743665409198</v>
      </c>
      <c r="J16">
        <v>8299.7743665409198</v>
      </c>
      <c r="K16">
        <v>8299.7743665409198</v>
      </c>
      <c r="L16">
        <v>8479.743866540919</v>
      </c>
      <c r="M16">
        <v>8479.743866540919</v>
      </c>
    </row>
    <row r="17" spans="1:13">
      <c r="A17" s="541" t="s">
        <v>60</v>
      </c>
      <c r="B17">
        <v>1537.5</v>
      </c>
      <c r="C17">
        <v>1537.5</v>
      </c>
      <c r="D17">
        <v>1537.5</v>
      </c>
      <c r="E17">
        <v>1537.5</v>
      </c>
      <c r="F17">
        <v>1537.5</v>
      </c>
      <c r="G17">
        <v>1537.5</v>
      </c>
      <c r="H17">
        <v>1537.5</v>
      </c>
      <c r="I17">
        <v>1537.5</v>
      </c>
      <c r="J17">
        <v>1537.5</v>
      </c>
      <c r="K17">
        <v>1537.5</v>
      </c>
      <c r="L17">
        <v>1537.5</v>
      </c>
      <c r="M17">
        <v>1537.5</v>
      </c>
    </row>
    <row r="18" spans="1:13">
      <c r="A18" s="541" t="s">
        <v>119</v>
      </c>
      <c r="B18">
        <v>8225.1150218243765</v>
      </c>
      <c r="C18">
        <v>8225.1150218243765</v>
      </c>
      <c r="D18">
        <v>8225.1150218243765</v>
      </c>
      <c r="E18">
        <v>8225.1150218243765</v>
      </c>
      <c r="F18">
        <v>8225.1150218243765</v>
      </c>
      <c r="G18">
        <v>8225.1150218243765</v>
      </c>
      <c r="H18">
        <v>8225.1150218243765</v>
      </c>
      <c r="I18">
        <v>8225.1150218243765</v>
      </c>
      <c r="J18">
        <v>8225.1150218243765</v>
      </c>
      <c r="K18">
        <v>8415.4677718243765</v>
      </c>
      <c r="L18">
        <v>8415.4677718243765</v>
      </c>
      <c r="M18">
        <v>8415.4677718243765</v>
      </c>
    </row>
    <row r="19" spans="1:13">
      <c r="A19" s="541" t="s">
        <v>120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7969.7037209524706</v>
      </c>
      <c r="I19">
        <v>7969.7037209524706</v>
      </c>
      <c r="J19">
        <v>7969.7037209524706</v>
      </c>
      <c r="K19">
        <v>7969.7037209524706</v>
      </c>
      <c r="L19">
        <v>7969.7037209524706</v>
      </c>
      <c r="M19">
        <v>7969.7037209524706</v>
      </c>
    </row>
    <row r="20" spans="1:13">
      <c r="A20" s="541" t="s">
        <v>87</v>
      </c>
      <c r="B20">
        <v>2050</v>
      </c>
      <c r="C20">
        <v>2050</v>
      </c>
      <c r="D20">
        <v>2050</v>
      </c>
      <c r="E20">
        <v>2050</v>
      </c>
      <c r="F20">
        <v>2050</v>
      </c>
      <c r="G20">
        <v>2050</v>
      </c>
      <c r="H20">
        <v>2050</v>
      </c>
      <c r="I20">
        <v>2050</v>
      </c>
      <c r="J20">
        <v>2050</v>
      </c>
      <c r="K20">
        <v>2050</v>
      </c>
      <c r="L20">
        <v>2050</v>
      </c>
      <c r="M20">
        <v>2050</v>
      </c>
    </row>
    <row r="21" spans="1:13">
      <c r="A21" s="541" t="s">
        <v>121</v>
      </c>
      <c r="B21">
        <v>3363.2468687582791</v>
      </c>
      <c r="C21">
        <v>3363.2468687582791</v>
      </c>
      <c r="D21">
        <v>3363.2468687582791</v>
      </c>
      <c r="E21">
        <v>3363.2468687582791</v>
      </c>
      <c r="F21">
        <v>3439.3633687582792</v>
      </c>
      <c r="G21">
        <v>3439.3633687582792</v>
      </c>
      <c r="H21">
        <v>3439.3633687582792</v>
      </c>
      <c r="I21">
        <v>3439.3633687582792</v>
      </c>
      <c r="J21">
        <v>3439.3633687582792</v>
      </c>
      <c r="K21">
        <v>3439.3633687582792</v>
      </c>
      <c r="L21">
        <v>3439.3633687582792</v>
      </c>
      <c r="M21">
        <v>3439.3633687582792</v>
      </c>
    </row>
    <row r="22" spans="1:13">
      <c r="A22" s="541" t="s">
        <v>122</v>
      </c>
      <c r="B22">
        <v>3803.2512764129665</v>
      </c>
      <c r="C22">
        <v>3803.2512764129665</v>
      </c>
      <c r="D22">
        <v>3803.2512764129665</v>
      </c>
      <c r="E22">
        <v>3886.271276412966</v>
      </c>
      <c r="F22">
        <v>3886.271276412966</v>
      </c>
      <c r="G22">
        <v>3886.271276412966</v>
      </c>
      <c r="H22">
        <v>3886.271276412966</v>
      </c>
      <c r="I22">
        <v>3886.271276412966</v>
      </c>
      <c r="J22">
        <v>3886.271276412966</v>
      </c>
      <c r="K22">
        <v>3886.271276412966</v>
      </c>
      <c r="L22">
        <v>3886.271276412966</v>
      </c>
      <c r="M22">
        <v>3886.271276412966</v>
      </c>
    </row>
    <row r="23" spans="1:13">
      <c r="A23" s="541" t="s">
        <v>123</v>
      </c>
      <c r="B23">
        <v>140268.52527271508</v>
      </c>
      <c r="C23">
        <v>140268.52527271508</v>
      </c>
      <c r="D23">
        <v>140268.52527271508</v>
      </c>
      <c r="E23">
        <v>140504.64952271507</v>
      </c>
      <c r="F23">
        <v>140580.76602271508</v>
      </c>
      <c r="G23">
        <v>140580.76602271508</v>
      </c>
      <c r="H23">
        <v>148600.10024366755</v>
      </c>
      <c r="I23">
        <v>148600.10024366755</v>
      </c>
      <c r="J23">
        <v>148600.10024366755</v>
      </c>
      <c r="K23">
        <v>149088.67674366757</v>
      </c>
      <c r="L23">
        <v>149268.64624366755</v>
      </c>
      <c r="M23">
        <v>149382.91699366755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873A-9315-4BED-8B58-FD21070FABA1}">
  <sheetPr filterMode="1"/>
  <dimension ref="A1:O197"/>
  <sheetViews>
    <sheetView workbookViewId="0">
      <selection activeCell="J23" sqref="J23:J122"/>
    </sheetView>
  </sheetViews>
  <sheetFormatPr defaultRowHeight="12.75"/>
  <cols>
    <col min="1" max="1" width="18.42578125" bestFit="1" customWidth="1"/>
    <col min="2" max="2" width="9.42578125" bestFit="1" customWidth="1"/>
    <col min="3" max="3" width="11.42578125" bestFit="1" customWidth="1"/>
    <col min="4" max="11" width="10.42578125" bestFit="1" customWidth="1"/>
    <col min="13" max="13" width="13.42578125" customWidth="1"/>
    <col min="14" max="14" width="12.42578125" customWidth="1"/>
    <col min="15" max="15" width="11.42578125" customWidth="1"/>
  </cols>
  <sheetData>
    <row r="1" spans="1:15" ht="15.4">
      <c r="A1" s="44" t="s">
        <v>127</v>
      </c>
      <c r="B1" s="44" t="s">
        <v>128</v>
      </c>
      <c r="C1" s="44" t="s">
        <v>129</v>
      </c>
      <c r="D1" s="44" t="s">
        <v>130</v>
      </c>
      <c r="E1" s="44" t="s">
        <v>131</v>
      </c>
      <c r="F1" s="44" t="s">
        <v>132</v>
      </c>
      <c r="G1" s="44" t="s">
        <v>133</v>
      </c>
      <c r="H1" s="44" t="s">
        <v>134</v>
      </c>
      <c r="I1" s="44" t="s">
        <v>135</v>
      </c>
      <c r="J1" s="44" t="s">
        <v>136</v>
      </c>
      <c r="K1" s="44" t="s">
        <v>137</v>
      </c>
      <c r="L1" s="44" t="s">
        <v>138</v>
      </c>
      <c r="M1" s="44" t="s">
        <v>139</v>
      </c>
      <c r="N1" s="44" t="s">
        <v>140</v>
      </c>
    </row>
    <row r="2" spans="1:15" ht="13.35" hidden="1">
      <c r="A2" s="525" t="s">
        <v>113</v>
      </c>
      <c r="B2" t="s">
        <v>141</v>
      </c>
      <c r="C2" s="526">
        <v>52938</v>
      </c>
      <c r="D2" s="526">
        <v>52938</v>
      </c>
      <c r="E2" s="526">
        <v>52938</v>
      </c>
      <c r="F2" s="526">
        <v>52938</v>
      </c>
      <c r="G2" s="526">
        <v>52938</v>
      </c>
      <c r="H2" s="526">
        <v>52938</v>
      </c>
      <c r="I2" s="526">
        <v>52938</v>
      </c>
      <c r="J2" s="527">
        <v>52938</v>
      </c>
      <c r="K2" s="528">
        <v>52938</v>
      </c>
      <c r="L2">
        <v>52938</v>
      </c>
      <c r="M2">
        <v>52938</v>
      </c>
      <c r="N2">
        <v>52938</v>
      </c>
    </row>
    <row r="3" spans="1:15" ht="13.35" hidden="1">
      <c r="A3" s="525" t="s">
        <v>119</v>
      </c>
      <c r="B3" t="s">
        <v>141</v>
      </c>
      <c r="C3" s="526">
        <v>6190.3</v>
      </c>
      <c r="D3" s="526">
        <v>6190.3</v>
      </c>
      <c r="E3" s="526">
        <v>6190.3</v>
      </c>
      <c r="F3" s="526">
        <v>6190.3</v>
      </c>
      <c r="G3" s="526">
        <v>6190.3</v>
      </c>
      <c r="H3" s="526">
        <v>6190.3</v>
      </c>
      <c r="I3" s="526">
        <v>6190.3</v>
      </c>
      <c r="J3" s="527">
        <v>6190.3</v>
      </c>
      <c r="K3" s="528">
        <v>6190.3</v>
      </c>
      <c r="L3">
        <v>6376.01</v>
      </c>
      <c r="M3">
        <v>6376.01</v>
      </c>
      <c r="N3">
        <v>6376.01</v>
      </c>
    </row>
    <row r="4" spans="1:15" ht="13.35" hidden="1">
      <c r="A4" s="525" t="s">
        <v>117</v>
      </c>
      <c r="B4" t="s">
        <v>141</v>
      </c>
      <c r="C4" s="526">
        <v>2539.06</v>
      </c>
      <c r="D4" s="526">
        <v>2539.06</v>
      </c>
      <c r="E4" s="526">
        <v>2539.06</v>
      </c>
      <c r="F4" s="526">
        <v>2539.06</v>
      </c>
      <c r="G4" s="526">
        <v>2539.06</v>
      </c>
      <c r="H4" s="526">
        <v>2539.06</v>
      </c>
      <c r="I4" s="526">
        <v>2539.06</v>
      </c>
      <c r="J4">
        <v>2539.06</v>
      </c>
      <c r="K4" s="528">
        <v>2539.06</v>
      </c>
      <c r="L4">
        <v>2539.06</v>
      </c>
      <c r="M4">
        <v>2539.06</v>
      </c>
      <c r="N4">
        <v>2539.06</v>
      </c>
    </row>
    <row r="5" spans="1:15" ht="13.35" hidden="1">
      <c r="A5" s="525" t="s">
        <v>121</v>
      </c>
      <c r="B5" t="s">
        <v>141</v>
      </c>
      <c r="C5" s="526">
        <v>2475.4299999999998</v>
      </c>
      <c r="D5" s="526">
        <v>2475.4299999999998</v>
      </c>
      <c r="E5" s="526">
        <v>2475.4299999999998</v>
      </c>
      <c r="F5" s="526">
        <v>2475.4299999999998</v>
      </c>
      <c r="G5" s="526">
        <v>2549.69</v>
      </c>
      <c r="H5" s="526">
        <v>2549.69</v>
      </c>
      <c r="I5" s="526">
        <v>2549.69</v>
      </c>
      <c r="J5">
        <v>2549.69</v>
      </c>
      <c r="K5" s="528">
        <v>2549.69</v>
      </c>
      <c r="L5">
        <v>2549.69</v>
      </c>
      <c r="M5">
        <v>2549.69</v>
      </c>
      <c r="N5">
        <v>2549.69</v>
      </c>
    </row>
    <row r="6" spans="1:15" ht="13.35" hidden="1">
      <c r="A6" s="525" t="s">
        <v>114</v>
      </c>
      <c r="B6" t="s">
        <v>141</v>
      </c>
      <c r="C6" s="526">
        <v>2106.41</v>
      </c>
      <c r="D6" s="526">
        <v>2106.41</v>
      </c>
      <c r="E6" s="526">
        <v>2106.41</v>
      </c>
      <c r="F6" s="526">
        <v>2148.54</v>
      </c>
      <c r="G6" s="526">
        <v>2148.54</v>
      </c>
      <c r="H6" s="526">
        <v>2148.54</v>
      </c>
      <c r="I6" s="526">
        <v>2148.54</v>
      </c>
      <c r="J6">
        <v>2148.54</v>
      </c>
      <c r="K6" s="528">
        <v>2148.54</v>
      </c>
      <c r="L6">
        <v>2148.54</v>
      </c>
      <c r="M6">
        <v>2148.54</v>
      </c>
      <c r="N6">
        <v>2148.54</v>
      </c>
    </row>
    <row r="7" spans="1:15" ht="13.35">
      <c r="A7" s="525" t="s">
        <v>108</v>
      </c>
      <c r="B7" t="s">
        <v>141</v>
      </c>
      <c r="C7" s="526">
        <v>5375.4</v>
      </c>
      <c r="D7" s="526">
        <v>5375.4</v>
      </c>
      <c r="E7" s="526">
        <v>5375.4</v>
      </c>
      <c r="F7" s="526">
        <v>5375.4</v>
      </c>
      <c r="G7" s="526">
        <v>5375.4</v>
      </c>
      <c r="H7" s="526">
        <v>5375.4</v>
      </c>
      <c r="I7" s="526">
        <v>5375.4</v>
      </c>
      <c r="J7" s="527">
        <v>5375.4</v>
      </c>
      <c r="K7" s="528">
        <v>5375.4</v>
      </c>
      <c r="L7">
        <v>5375.4</v>
      </c>
      <c r="M7">
        <v>5375.4</v>
      </c>
      <c r="N7">
        <v>5375.4</v>
      </c>
    </row>
    <row r="8" spans="1:15" ht="13.35" hidden="1">
      <c r="A8" s="525" t="s">
        <v>112</v>
      </c>
      <c r="B8" t="s">
        <v>141</v>
      </c>
      <c r="C8" s="526">
        <v>2435.4699999999998</v>
      </c>
      <c r="D8" s="526">
        <v>2435.4699999999998</v>
      </c>
      <c r="E8" s="526">
        <v>2435.4699999999998</v>
      </c>
      <c r="F8" s="526">
        <v>2484.1799999999998</v>
      </c>
      <c r="G8" s="526">
        <v>2484.1799999999998</v>
      </c>
      <c r="H8" s="526">
        <v>2484.1799999999998</v>
      </c>
      <c r="I8" s="526">
        <v>2484.1799999999998</v>
      </c>
      <c r="J8">
        <v>2484.1799999999998</v>
      </c>
      <c r="K8" s="528">
        <v>2484.1799999999998</v>
      </c>
      <c r="L8">
        <v>2484.1799999999998</v>
      </c>
      <c r="M8">
        <v>2484.1799999999998</v>
      </c>
      <c r="N8">
        <v>2484.1799999999998</v>
      </c>
    </row>
    <row r="9" spans="1:15" ht="13.35" hidden="1">
      <c r="A9" s="525" t="s">
        <v>107</v>
      </c>
      <c r="B9" t="s">
        <v>141</v>
      </c>
      <c r="C9" s="526">
        <v>3699.2</v>
      </c>
      <c r="D9" s="526">
        <v>3699.2</v>
      </c>
      <c r="E9" s="526">
        <v>3699.2</v>
      </c>
      <c r="F9" s="526">
        <v>3699.2</v>
      </c>
      <c r="G9" s="526">
        <v>3699.2</v>
      </c>
      <c r="H9" s="526">
        <v>3699.2</v>
      </c>
      <c r="I9" s="526">
        <v>3699.2</v>
      </c>
      <c r="J9">
        <v>3699.2</v>
      </c>
      <c r="K9" s="528">
        <v>3699.2</v>
      </c>
      <c r="L9">
        <v>3699.2</v>
      </c>
      <c r="M9">
        <v>3699.2</v>
      </c>
      <c r="N9">
        <v>3699.2</v>
      </c>
    </row>
    <row r="10" spans="1:15" ht="13.35" hidden="1">
      <c r="A10" s="529" t="s">
        <v>118</v>
      </c>
      <c r="B10" t="s">
        <v>141</v>
      </c>
      <c r="C10" s="526">
        <v>5852.65</v>
      </c>
      <c r="D10" s="526">
        <v>5852.65</v>
      </c>
      <c r="E10" s="526">
        <v>5852.65</v>
      </c>
      <c r="F10" s="526">
        <v>5852.65</v>
      </c>
      <c r="G10" s="526">
        <v>5852.65</v>
      </c>
      <c r="H10" s="526">
        <v>5852.65</v>
      </c>
      <c r="I10" s="526">
        <v>5852.65</v>
      </c>
      <c r="J10" s="527">
        <v>5852.65</v>
      </c>
      <c r="K10" s="528">
        <v>5852.65</v>
      </c>
      <c r="L10">
        <v>5852.65</v>
      </c>
      <c r="M10" s="528">
        <v>6028.23</v>
      </c>
      <c r="N10" s="526">
        <v>6028.23</v>
      </c>
      <c r="O10" s="528"/>
    </row>
    <row r="11" spans="1:15" ht="13.35" hidden="1">
      <c r="A11" s="529" t="s">
        <v>115</v>
      </c>
      <c r="B11" t="s">
        <v>141</v>
      </c>
      <c r="C11" s="526">
        <v>2399.0300000000002</v>
      </c>
      <c r="D11" s="526">
        <v>2399.0300000000002</v>
      </c>
      <c r="E11" s="526">
        <v>2399.0300000000002</v>
      </c>
      <c r="F11" s="526">
        <v>2399.0300000000002</v>
      </c>
      <c r="G11" s="526">
        <v>2399.0300000000002</v>
      </c>
      <c r="H11" s="526">
        <v>2399.0300000000002</v>
      </c>
      <c r="I11" s="526">
        <v>2447.4499999999998</v>
      </c>
      <c r="J11">
        <v>2447.4499999999998</v>
      </c>
      <c r="K11" s="528">
        <v>2447.4499999999998</v>
      </c>
      <c r="L11">
        <v>2447.4499999999998</v>
      </c>
      <c r="M11" s="528">
        <v>2447.4499999999998</v>
      </c>
      <c r="N11" s="526">
        <v>2447.4499999999998</v>
      </c>
      <c r="O11" s="528"/>
    </row>
    <row r="12" spans="1:15" ht="13.35" hidden="1">
      <c r="A12" s="529" t="s">
        <v>122</v>
      </c>
      <c r="B12" t="s">
        <v>141</v>
      </c>
      <c r="C12" s="526">
        <v>2767.06</v>
      </c>
      <c r="D12" s="526">
        <v>2767.06</v>
      </c>
      <c r="E12" s="526">
        <v>2767.06</v>
      </c>
      <c r="F12" s="526">
        <v>2850.08</v>
      </c>
      <c r="G12" s="526">
        <v>2850.08</v>
      </c>
      <c r="H12" s="526">
        <v>2850.08</v>
      </c>
      <c r="I12" s="526">
        <v>2850.08</v>
      </c>
      <c r="J12" s="526">
        <v>2850.08</v>
      </c>
      <c r="K12" s="528">
        <v>2850.08</v>
      </c>
      <c r="L12">
        <v>2850.08</v>
      </c>
      <c r="M12" s="528">
        <v>2850.08</v>
      </c>
      <c r="N12" s="526">
        <v>2850.08</v>
      </c>
      <c r="O12" s="528"/>
    </row>
    <row r="13" spans="1:15" ht="13.35" hidden="1">
      <c r="A13" s="529" t="s">
        <v>109</v>
      </c>
      <c r="B13" t="s">
        <v>141</v>
      </c>
      <c r="C13" s="526">
        <v>7200</v>
      </c>
      <c r="D13" s="526">
        <v>7200</v>
      </c>
      <c r="E13" s="526">
        <v>7200</v>
      </c>
      <c r="F13" s="526">
        <v>7200</v>
      </c>
      <c r="G13" s="526">
        <v>7200</v>
      </c>
      <c r="H13" s="526">
        <v>7200</v>
      </c>
      <c r="I13" s="526">
        <v>7200</v>
      </c>
      <c r="J13">
        <v>7200</v>
      </c>
      <c r="K13" s="528">
        <v>7200</v>
      </c>
      <c r="L13">
        <v>7200</v>
      </c>
      <c r="M13" s="528">
        <v>7200</v>
      </c>
      <c r="N13" s="526">
        <v>7200</v>
      </c>
      <c r="O13" s="528"/>
    </row>
    <row r="14" spans="1:15" ht="13.35" hidden="1">
      <c r="A14" s="529" t="s">
        <v>110</v>
      </c>
      <c r="B14" t="s">
        <v>141</v>
      </c>
      <c r="C14" s="526">
        <v>2909.5</v>
      </c>
      <c r="D14" s="526">
        <v>2909.5</v>
      </c>
      <c r="E14" s="526">
        <v>2909.5</v>
      </c>
      <c r="F14" s="526">
        <v>2909.5</v>
      </c>
      <c r="G14" s="526">
        <v>2909.5</v>
      </c>
      <c r="H14" s="526">
        <v>2909.5</v>
      </c>
      <c r="I14" s="526">
        <v>2909.5</v>
      </c>
      <c r="J14">
        <v>2909.5</v>
      </c>
      <c r="K14" s="528">
        <v>2909.5</v>
      </c>
      <c r="L14">
        <v>3200.45</v>
      </c>
      <c r="M14" s="528">
        <v>3200.45</v>
      </c>
      <c r="N14" s="526">
        <v>3200.45</v>
      </c>
      <c r="O14" s="528"/>
    </row>
    <row r="15" spans="1:15" ht="13.35" hidden="1">
      <c r="A15" s="529" t="s">
        <v>116</v>
      </c>
      <c r="B15" t="s">
        <v>141</v>
      </c>
      <c r="C15" s="526">
        <v>1950.88</v>
      </c>
      <c r="D15" s="526">
        <v>1950.88</v>
      </c>
      <c r="E15" s="526">
        <v>1950.88</v>
      </c>
      <c r="F15" s="526">
        <v>2009.41</v>
      </c>
      <c r="G15" s="526">
        <v>2009.41</v>
      </c>
      <c r="H15" s="526">
        <v>2009.41</v>
      </c>
      <c r="I15" s="526">
        <v>2009.41</v>
      </c>
      <c r="J15">
        <v>2009.41</v>
      </c>
      <c r="K15" s="528">
        <v>2009.41</v>
      </c>
      <c r="L15">
        <v>2009.41</v>
      </c>
      <c r="M15" s="528">
        <v>2009.41</v>
      </c>
      <c r="N15" s="526">
        <v>2009.41</v>
      </c>
      <c r="O15" s="528"/>
    </row>
    <row r="16" spans="1:15" ht="13.35" hidden="1">
      <c r="A16" s="529" t="s">
        <v>111</v>
      </c>
      <c r="B16" t="s">
        <v>141</v>
      </c>
      <c r="C16" s="526">
        <v>4639.93</v>
      </c>
      <c r="D16" s="526">
        <v>4639.93</v>
      </c>
      <c r="E16" s="526">
        <v>4639.93</v>
      </c>
      <c r="F16" s="526">
        <v>4639.93</v>
      </c>
      <c r="G16" s="526">
        <v>4639.93</v>
      </c>
      <c r="H16" s="526">
        <v>4639.93</v>
      </c>
      <c r="I16" s="526">
        <v>4639.93</v>
      </c>
      <c r="J16" s="526">
        <v>4639.93</v>
      </c>
      <c r="K16" s="528">
        <v>4639.93</v>
      </c>
      <c r="L16">
        <v>4639.93</v>
      </c>
      <c r="M16" s="528">
        <v>4639.93</v>
      </c>
      <c r="N16" s="526">
        <v>4639.93</v>
      </c>
      <c r="O16" s="528"/>
    </row>
    <row r="17" spans="1:15" ht="13.35" hidden="1">
      <c r="A17" s="529" t="s">
        <v>120</v>
      </c>
      <c r="B17" t="s">
        <v>141</v>
      </c>
      <c r="C17" s="526"/>
      <c r="D17" s="526"/>
      <c r="E17" s="526"/>
      <c r="F17" s="526"/>
      <c r="G17" s="526"/>
      <c r="H17" s="526"/>
      <c r="I17" s="526">
        <v>6190.3</v>
      </c>
      <c r="J17">
        <v>6190.3</v>
      </c>
      <c r="K17" s="528">
        <v>6190.3</v>
      </c>
      <c r="L17">
        <v>6190.3</v>
      </c>
      <c r="M17" s="528">
        <v>6190.3</v>
      </c>
      <c r="N17" s="526">
        <v>6190.3</v>
      </c>
      <c r="O17" s="528"/>
    </row>
    <row r="18" spans="1:15" ht="13.35" hidden="1">
      <c r="A18" s="529" t="s">
        <v>113</v>
      </c>
      <c r="B18" t="s">
        <v>142</v>
      </c>
      <c r="C18">
        <v>4021.8169162499994</v>
      </c>
      <c r="D18">
        <v>4021.8169162499994</v>
      </c>
      <c r="E18">
        <v>4021.8169162499994</v>
      </c>
      <c r="F18">
        <v>4021.8169162499994</v>
      </c>
      <c r="G18">
        <v>4021.8169162499994</v>
      </c>
      <c r="H18">
        <v>4021.8169162499994</v>
      </c>
      <c r="I18">
        <v>4021.8169162499994</v>
      </c>
      <c r="J18" s="527">
        <v>4021.8169162499994</v>
      </c>
      <c r="K18" s="528">
        <v>4021.8169162499994</v>
      </c>
      <c r="L18">
        <v>4021.8169162499994</v>
      </c>
      <c r="M18">
        <v>4021.8169162499994</v>
      </c>
      <c r="N18">
        <v>4021.8169162499994</v>
      </c>
    </row>
    <row r="19" spans="1:15" ht="13.35" hidden="1">
      <c r="A19" s="529" t="s">
        <v>119</v>
      </c>
      <c r="B19" t="s">
        <v>142</v>
      </c>
      <c r="C19" s="530">
        <v>583.52591605251894</v>
      </c>
      <c r="D19" s="530">
        <v>583.52591605251894</v>
      </c>
      <c r="E19" s="530">
        <v>583.52591605251894</v>
      </c>
      <c r="F19" s="530">
        <v>583.52591605251894</v>
      </c>
      <c r="G19" s="530">
        <v>583.52591605251894</v>
      </c>
      <c r="H19" s="530">
        <v>583.52591605251894</v>
      </c>
      <c r="I19" s="530">
        <v>583.52591605251894</v>
      </c>
      <c r="J19" s="530">
        <v>583.52591605251894</v>
      </c>
      <c r="K19" s="528">
        <v>583.52591605251894</v>
      </c>
      <c r="L19">
        <v>583.52591605251894</v>
      </c>
      <c r="M19">
        <v>583.52591605251894</v>
      </c>
      <c r="N19">
        <v>583.52591605251894</v>
      </c>
    </row>
    <row r="20" spans="1:15" ht="13.35" hidden="1">
      <c r="A20" s="529" t="s">
        <v>117</v>
      </c>
      <c r="B20" t="s">
        <v>142</v>
      </c>
      <c r="C20" s="530">
        <v>338.83978105488274</v>
      </c>
      <c r="D20" s="530">
        <v>338.83978105488274</v>
      </c>
      <c r="E20" s="530">
        <v>338.83978105488274</v>
      </c>
      <c r="F20" s="530">
        <v>338.83978105488274</v>
      </c>
      <c r="G20" s="530">
        <v>338.83978105488274</v>
      </c>
      <c r="H20" s="530">
        <v>338.83978105488274</v>
      </c>
      <c r="I20" s="530">
        <v>338.83978105488274</v>
      </c>
      <c r="J20" s="530">
        <v>338.83978105488274</v>
      </c>
      <c r="K20" s="528">
        <v>338.83978105488274</v>
      </c>
      <c r="L20">
        <v>338.83978105488274</v>
      </c>
      <c r="M20">
        <v>338.83978105488274</v>
      </c>
      <c r="N20">
        <v>338.83978105488274</v>
      </c>
    </row>
    <row r="21" spans="1:15" ht="13.35" hidden="1">
      <c r="A21" s="529" t="s">
        <v>121</v>
      </c>
      <c r="B21" t="s">
        <v>142</v>
      </c>
      <c r="C21" s="530">
        <v>272.31209415784218</v>
      </c>
      <c r="D21" s="530">
        <v>272.31209415784218</v>
      </c>
      <c r="E21" s="530">
        <v>272.31209415784218</v>
      </c>
      <c r="F21" s="530">
        <v>272.31209415784218</v>
      </c>
      <c r="G21" s="530">
        <v>272.31209415784218</v>
      </c>
      <c r="H21" s="530">
        <v>272.31209415784218</v>
      </c>
      <c r="I21" s="530">
        <v>272.31209415784218</v>
      </c>
      <c r="J21" s="530">
        <v>272.31209415784218</v>
      </c>
      <c r="K21" s="528">
        <v>272.31209415784218</v>
      </c>
      <c r="L21">
        <v>272.31209415784218</v>
      </c>
      <c r="M21">
        <v>272.31209415784218</v>
      </c>
      <c r="N21">
        <v>272.31209415784218</v>
      </c>
    </row>
    <row r="22" spans="1:15" ht="13.35" hidden="1">
      <c r="A22" s="529" t="s">
        <v>114</v>
      </c>
      <c r="B22" t="s">
        <v>142</v>
      </c>
      <c r="C22" s="530">
        <v>216.2936062168003</v>
      </c>
      <c r="D22" s="530">
        <v>216.2936062168003</v>
      </c>
      <c r="E22" s="530">
        <v>216.2936062168003</v>
      </c>
      <c r="F22" s="530">
        <v>216.2936062168003</v>
      </c>
      <c r="G22" s="530">
        <v>216.2936062168003</v>
      </c>
      <c r="H22" s="530">
        <v>216.2936062168003</v>
      </c>
      <c r="I22" s="530">
        <v>216.2936062168003</v>
      </c>
      <c r="J22">
        <v>216.2936062168003</v>
      </c>
      <c r="K22" s="528">
        <v>216.2936062168003</v>
      </c>
      <c r="L22">
        <v>216.2936062168003</v>
      </c>
      <c r="M22">
        <v>216.2936062168003</v>
      </c>
      <c r="N22">
        <v>216.2936062168003</v>
      </c>
    </row>
    <row r="23" spans="1:15" ht="13.35">
      <c r="A23" s="529" t="s">
        <v>108</v>
      </c>
      <c r="B23" t="s">
        <v>142</v>
      </c>
      <c r="C23" s="530">
        <v>450.2633236668633</v>
      </c>
      <c r="D23" s="530">
        <v>450.2633236668633</v>
      </c>
      <c r="E23" s="530">
        <v>450.2633236668633</v>
      </c>
      <c r="F23" s="530">
        <v>450.2633236668633</v>
      </c>
      <c r="G23" s="530">
        <v>450.2633236668633</v>
      </c>
      <c r="H23" s="530">
        <v>450.2633236668633</v>
      </c>
      <c r="I23" s="530">
        <v>450.2633236668633</v>
      </c>
      <c r="J23">
        <v>450.2633236668633</v>
      </c>
      <c r="K23" s="528">
        <v>450.2633236668633</v>
      </c>
      <c r="L23">
        <v>450.2633236668633</v>
      </c>
      <c r="M23">
        <v>450.2633236668633</v>
      </c>
      <c r="N23">
        <v>450.2633236668633</v>
      </c>
    </row>
    <row r="24" spans="1:15" ht="13.35" hidden="1">
      <c r="A24" s="529" t="s">
        <v>112</v>
      </c>
      <c r="B24" t="s">
        <v>142</v>
      </c>
      <c r="C24" s="530">
        <v>291.76295802625947</v>
      </c>
      <c r="D24" s="530">
        <v>291.76295802625947</v>
      </c>
      <c r="E24" s="530">
        <v>291.76295802625947</v>
      </c>
      <c r="F24" s="530">
        <v>291.76295802625947</v>
      </c>
      <c r="G24" s="530">
        <v>291.76295802625947</v>
      </c>
      <c r="H24" s="530">
        <v>291.76295802625947</v>
      </c>
      <c r="I24" s="530">
        <v>291.76295802625947</v>
      </c>
      <c r="J24" s="530">
        <v>291.76295802625947</v>
      </c>
      <c r="K24" s="528">
        <v>291.76295802625947</v>
      </c>
      <c r="L24">
        <v>291.76295802625947</v>
      </c>
      <c r="M24">
        <v>291.76295802625947</v>
      </c>
      <c r="N24">
        <v>291.76295802625947</v>
      </c>
    </row>
    <row r="25" spans="1:15" ht="13.35" hidden="1">
      <c r="A25" s="529" t="s">
        <v>107</v>
      </c>
      <c r="B25" t="s">
        <v>142</v>
      </c>
      <c r="C25" s="526">
        <v>105.51137267613569</v>
      </c>
      <c r="D25" s="526">
        <v>105.51137267613569</v>
      </c>
      <c r="E25" s="526">
        <v>105.51137267613569</v>
      </c>
      <c r="F25" s="526">
        <v>105.51137267613569</v>
      </c>
      <c r="G25" s="526">
        <v>105.51137267613569</v>
      </c>
      <c r="H25" s="526">
        <v>105.51137267613569</v>
      </c>
      <c r="I25" s="526">
        <v>105.51137267613569</v>
      </c>
      <c r="J25" s="526">
        <v>105.51137267613569</v>
      </c>
      <c r="K25" s="528">
        <v>105.51137267613569</v>
      </c>
      <c r="L25">
        <v>105.51137267613569</v>
      </c>
      <c r="M25">
        <v>105.51137267613569</v>
      </c>
      <c r="N25">
        <v>105.51137267613569</v>
      </c>
    </row>
    <row r="26" spans="1:15" ht="13.35" hidden="1">
      <c r="A26" s="531" t="s">
        <v>118</v>
      </c>
      <c r="B26" t="s">
        <v>142</v>
      </c>
      <c r="C26" s="530">
        <v>758.58369086827452</v>
      </c>
      <c r="D26" s="530">
        <v>758.58369086827452</v>
      </c>
      <c r="E26" s="530">
        <v>758.58369086827452</v>
      </c>
      <c r="F26" s="530">
        <v>758.58369086827452</v>
      </c>
      <c r="G26" s="530">
        <v>758.58369086827452</v>
      </c>
      <c r="H26" s="530">
        <v>758.58369086827452</v>
      </c>
      <c r="I26" s="530">
        <v>758.58369086827452</v>
      </c>
      <c r="J26" s="527">
        <v>758.58369086827452</v>
      </c>
      <c r="K26" s="528">
        <v>758.58369086827452</v>
      </c>
      <c r="L26">
        <v>758.58369086827452</v>
      </c>
      <c r="M26">
        <v>758.58369086827452</v>
      </c>
      <c r="N26">
        <v>758.58369086827452</v>
      </c>
    </row>
    <row r="27" spans="1:15" ht="13.35" hidden="1">
      <c r="A27" s="531" t="s">
        <v>115</v>
      </c>
      <c r="B27" t="s">
        <v>142</v>
      </c>
      <c r="C27" s="530">
        <v>250.33261798653061</v>
      </c>
      <c r="D27" s="530">
        <v>250.33261798653061</v>
      </c>
      <c r="E27" s="530">
        <v>250.33261798653061</v>
      </c>
      <c r="F27" s="530">
        <v>250.33261798653061</v>
      </c>
      <c r="G27" s="530">
        <v>250.33261798653061</v>
      </c>
      <c r="H27" s="530">
        <v>250.33261798653061</v>
      </c>
      <c r="I27" s="530">
        <v>250.33261798653061</v>
      </c>
      <c r="J27">
        <v>250.33261798653061</v>
      </c>
      <c r="K27" s="528">
        <v>250.33261798653061</v>
      </c>
      <c r="L27">
        <v>250.33261798653061</v>
      </c>
      <c r="M27">
        <v>250.33261798653061</v>
      </c>
      <c r="N27">
        <v>250.33261798653061</v>
      </c>
    </row>
    <row r="28" spans="1:15" ht="13.35" hidden="1">
      <c r="A28" s="531" t="s">
        <v>122</v>
      </c>
      <c r="B28" t="s">
        <v>142</v>
      </c>
      <c r="C28" s="530">
        <v>318.79965880335936</v>
      </c>
      <c r="D28" s="530">
        <v>318.79965880335936</v>
      </c>
      <c r="E28" s="530">
        <v>318.79965880335936</v>
      </c>
      <c r="F28" s="530">
        <v>318.79965880335936</v>
      </c>
      <c r="G28" s="530">
        <v>318.79965880335936</v>
      </c>
      <c r="H28" s="530">
        <v>318.79965880335936</v>
      </c>
      <c r="I28" s="530">
        <v>318.79965880335936</v>
      </c>
      <c r="J28">
        <v>318.79965880335936</v>
      </c>
      <c r="K28" s="528">
        <v>318.79965880335936</v>
      </c>
      <c r="L28">
        <v>318.79965880335936</v>
      </c>
      <c r="M28">
        <v>318.79965880335936</v>
      </c>
      <c r="N28">
        <v>318.79965880335936</v>
      </c>
    </row>
    <row r="29" spans="1:15" ht="13.35" hidden="1">
      <c r="A29" s="531" t="s">
        <v>109</v>
      </c>
      <c r="B29" t="s">
        <v>142</v>
      </c>
      <c r="C29" s="530">
        <v>797.79439633683899</v>
      </c>
      <c r="D29" s="530">
        <v>797.79439633683899</v>
      </c>
      <c r="E29" s="530">
        <v>797.79439633683899</v>
      </c>
      <c r="F29" s="530">
        <v>797.79439633683899</v>
      </c>
      <c r="G29" s="530">
        <v>797.79439633683899</v>
      </c>
      <c r="H29" s="530">
        <v>797.79439633683899</v>
      </c>
      <c r="I29" s="530">
        <v>797.79439633683899</v>
      </c>
      <c r="J29">
        <v>797.79439633683899</v>
      </c>
      <c r="K29" s="528">
        <v>797.79439633683899</v>
      </c>
      <c r="L29">
        <v>797.79439633683899</v>
      </c>
      <c r="M29">
        <v>797.79439633683899</v>
      </c>
      <c r="N29">
        <v>797.79439633683899</v>
      </c>
    </row>
    <row r="30" spans="1:15" ht="13.35" hidden="1">
      <c r="A30" s="531" t="s">
        <v>110</v>
      </c>
      <c r="B30" t="s">
        <v>142</v>
      </c>
      <c r="C30" s="530">
        <v>200.31339443458941</v>
      </c>
      <c r="D30" s="530">
        <v>200.31339443458941</v>
      </c>
      <c r="E30" s="530">
        <v>200.31339443458941</v>
      </c>
      <c r="F30" s="530">
        <v>200.31339443458941</v>
      </c>
      <c r="G30" s="530">
        <v>200.31339443458941</v>
      </c>
      <c r="H30" s="530">
        <v>200.31339443458941</v>
      </c>
      <c r="I30" s="530">
        <v>200.31339443458941</v>
      </c>
      <c r="J30">
        <v>200.31339443458941</v>
      </c>
      <c r="K30" s="528">
        <v>200.31339443458941</v>
      </c>
      <c r="L30">
        <v>200.31339443458941</v>
      </c>
      <c r="M30">
        <v>200.31339443458941</v>
      </c>
      <c r="N30">
        <v>200.31339443458941</v>
      </c>
    </row>
    <row r="31" spans="1:15" ht="13.35" hidden="1">
      <c r="A31" s="531" t="s">
        <v>116</v>
      </c>
      <c r="B31" t="s">
        <v>142</v>
      </c>
      <c r="C31" s="530">
        <v>424.03701307173156</v>
      </c>
      <c r="D31" s="530">
        <v>424.03701307173156</v>
      </c>
      <c r="E31" s="530">
        <v>424.03701307173156</v>
      </c>
      <c r="F31" s="530">
        <v>424.03701307173156</v>
      </c>
      <c r="G31" s="530">
        <v>424.03701307173156</v>
      </c>
      <c r="H31" s="530">
        <v>424.03701307173156</v>
      </c>
      <c r="I31" s="530">
        <v>424.03701307173156</v>
      </c>
      <c r="J31">
        <v>424.03701307173156</v>
      </c>
      <c r="K31" s="528">
        <v>424.03701307173156</v>
      </c>
      <c r="L31">
        <v>424.03701307173156</v>
      </c>
      <c r="M31">
        <v>424.03701307173156</v>
      </c>
      <c r="N31">
        <v>424.03701307173156</v>
      </c>
    </row>
    <row r="32" spans="1:15" ht="13.35" hidden="1">
      <c r="A32" s="531" t="s">
        <v>111</v>
      </c>
      <c r="B32" t="s">
        <v>142</v>
      </c>
      <c r="C32" s="530">
        <v>685.44844272302544</v>
      </c>
      <c r="D32" s="530">
        <v>685.44844272302544</v>
      </c>
      <c r="E32" s="530">
        <v>685.44844272302544</v>
      </c>
      <c r="F32" s="530">
        <v>685.44844272302544</v>
      </c>
      <c r="G32" s="530">
        <v>685.44844272302544</v>
      </c>
      <c r="H32" s="530">
        <v>685.44844272302544</v>
      </c>
      <c r="I32" s="530">
        <v>685.44844272302544</v>
      </c>
      <c r="J32">
        <v>685.44844272302544</v>
      </c>
      <c r="K32" s="528">
        <v>685.44844272302544</v>
      </c>
      <c r="L32">
        <v>685.44844272302544</v>
      </c>
      <c r="M32">
        <v>685.44844272302544</v>
      </c>
      <c r="N32">
        <v>685.44844272302544</v>
      </c>
    </row>
    <row r="33" spans="1:15" ht="13.35" hidden="1">
      <c r="A33" s="531" t="s">
        <v>120</v>
      </c>
      <c r="B33" t="s">
        <v>142</v>
      </c>
      <c r="C33" s="530">
        <v>0</v>
      </c>
      <c r="D33" s="530">
        <v>0</v>
      </c>
      <c r="E33" s="530">
        <v>0</v>
      </c>
      <c r="F33" s="530">
        <v>0</v>
      </c>
      <c r="G33" s="530">
        <v>0</v>
      </c>
      <c r="H33" s="530">
        <v>0</v>
      </c>
      <c r="I33" s="530">
        <v>394.81363971185505</v>
      </c>
      <c r="J33">
        <v>394.81363971185505</v>
      </c>
      <c r="K33" s="528">
        <v>394.81363971185505</v>
      </c>
      <c r="L33">
        <v>394.81363971185505</v>
      </c>
      <c r="M33">
        <v>394.81363971185505</v>
      </c>
      <c r="N33">
        <v>394.81363971185505</v>
      </c>
    </row>
    <row r="34" spans="1:15" ht="13.35" hidden="1">
      <c r="A34" s="529" t="s">
        <v>113</v>
      </c>
      <c r="B34" t="s">
        <v>143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s="527">
        <v>0</v>
      </c>
      <c r="K34" s="528">
        <v>0</v>
      </c>
      <c r="L34">
        <v>0</v>
      </c>
      <c r="M34" s="526">
        <v>0</v>
      </c>
      <c r="N34" s="526">
        <v>0</v>
      </c>
      <c r="O34" s="526"/>
    </row>
    <row r="35" spans="1:15" ht="13.35" hidden="1">
      <c r="A35" s="529" t="s">
        <v>119</v>
      </c>
      <c r="B35" t="s">
        <v>143</v>
      </c>
      <c r="C35" s="530">
        <v>491.64603014460857</v>
      </c>
      <c r="D35" s="530">
        <v>491.64603014460857</v>
      </c>
      <c r="E35" s="530">
        <v>491.64603014460857</v>
      </c>
      <c r="F35" s="530">
        <v>491.64603014460857</v>
      </c>
      <c r="G35" s="530">
        <v>491.64603014460857</v>
      </c>
      <c r="H35" s="530">
        <v>491.64603014460857</v>
      </c>
      <c r="I35" s="530">
        <v>491.64603014460857</v>
      </c>
      <c r="J35">
        <v>491.64603014460857</v>
      </c>
      <c r="K35" s="528">
        <v>491.64603014460857</v>
      </c>
      <c r="L35">
        <v>491.64603014460857</v>
      </c>
      <c r="M35" s="526">
        <v>491.64603014460857</v>
      </c>
      <c r="N35" s="526">
        <v>491.64603014460857</v>
      </c>
      <c r="O35" s="526"/>
    </row>
    <row r="36" spans="1:15" ht="13.35" hidden="1">
      <c r="A36" s="529" t="s">
        <v>117</v>
      </c>
      <c r="B36" t="s">
        <v>143</v>
      </c>
      <c r="C36" s="530">
        <v>0</v>
      </c>
      <c r="D36" s="530">
        <v>0</v>
      </c>
      <c r="E36" s="530">
        <v>0</v>
      </c>
      <c r="F36" s="530">
        <v>0</v>
      </c>
      <c r="G36" s="530">
        <v>0</v>
      </c>
      <c r="H36" s="530">
        <v>0</v>
      </c>
      <c r="I36" s="530">
        <v>0</v>
      </c>
      <c r="J36">
        <v>0</v>
      </c>
      <c r="K36" s="528">
        <v>0</v>
      </c>
      <c r="L36">
        <v>0</v>
      </c>
      <c r="M36" s="526">
        <v>0</v>
      </c>
      <c r="N36" s="526">
        <v>0</v>
      </c>
      <c r="O36" s="526"/>
    </row>
    <row r="37" spans="1:15" ht="13.35" hidden="1">
      <c r="A37" s="529" t="s">
        <v>121</v>
      </c>
      <c r="B37" t="s">
        <v>143</v>
      </c>
      <c r="C37" s="530">
        <v>229.43481406748393</v>
      </c>
      <c r="D37" s="530">
        <v>229.43481406748393</v>
      </c>
      <c r="E37" s="530">
        <v>229.43481406748393</v>
      </c>
      <c r="F37" s="530">
        <v>229.43481406748393</v>
      </c>
      <c r="G37" s="530">
        <v>229.43481406748393</v>
      </c>
      <c r="H37" s="530">
        <v>229.43481406748393</v>
      </c>
      <c r="I37" s="530">
        <v>229.43481406748393</v>
      </c>
      <c r="J37">
        <v>229.43481406748393</v>
      </c>
      <c r="K37" s="528">
        <v>229.43481406748393</v>
      </c>
      <c r="L37">
        <v>229.43481406748393</v>
      </c>
      <c r="M37" s="526">
        <v>229.43481406748393</v>
      </c>
      <c r="N37" s="526">
        <v>229.43481406748393</v>
      </c>
      <c r="O37" s="526"/>
    </row>
    <row r="38" spans="1:15" ht="13.35" hidden="1">
      <c r="A38" s="529" t="s">
        <v>114</v>
      </c>
      <c r="B38" t="s">
        <v>143</v>
      </c>
      <c r="C38" s="530">
        <v>182.23679517360156</v>
      </c>
      <c r="D38" s="530">
        <v>182.23679517360156</v>
      </c>
      <c r="E38" s="530">
        <v>182.23679517360156</v>
      </c>
      <c r="F38" s="530">
        <v>182.23679517360156</v>
      </c>
      <c r="G38" s="530">
        <v>182.23679517360156</v>
      </c>
      <c r="H38" s="530">
        <v>182.23679517360156</v>
      </c>
      <c r="I38" s="530">
        <v>182.23679517360156</v>
      </c>
      <c r="J38">
        <v>182.23679517360156</v>
      </c>
      <c r="K38" s="528">
        <v>182.23679517360156</v>
      </c>
      <c r="L38">
        <v>182.23679517360156</v>
      </c>
      <c r="M38" s="526">
        <v>182.23679517360156</v>
      </c>
      <c r="N38" s="526">
        <v>182.23679517360156</v>
      </c>
      <c r="O38" s="526"/>
    </row>
    <row r="39" spans="1:15" ht="13.35">
      <c r="A39" s="529" t="s">
        <v>108</v>
      </c>
      <c r="B39" t="s">
        <v>143</v>
      </c>
      <c r="C39" s="530">
        <v>0</v>
      </c>
      <c r="D39" s="530">
        <v>0</v>
      </c>
      <c r="E39" s="530">
        <v>0</v>
      </c>
      <c r="F39" s="530">
        <v>0</v>
      </c>
      <c r="G39" s="530">
        <v>0</v>
      </c>
      <c r="H39" s="530">
        <v>0</v>
      </c>
      <c r="I39" s="530">
        <v>0</v>
      </c>
      <c r="J39">
        <v>0</v>
      </c>
      <c r="K39" s="528">
        <v>0</v>
      </c>
      <c r="L39">
        <v>0</v>
      </c>
      <c r="M39" s="526">
        <v>0</v>
      </c>
      <c r="N39" s="526">
        <v>0</v>
      </c>
      <c r="O39" s="526"/>
    </row>
    <row r="40" spans="1:15" ht="13.35" hidden="1">
      <c r="A40" s="529" t="s">
        <v>112</v>
      </c>
      <c r="B40" t="s">
        <v>143</v>
      </c>
      <c r="C40" s="530">
        <v>245.82301507230429</v>
      </c>
      <c r="D40" s="530">
        <v>245.82301507230429</v>
      </c>
      <c r="E40" s="530">
        <v>245.82301507230429</v>
      </c>
      <c r="F40" s="530">
        <v>245.82301507230429</v>
      </c>
      <c r="G40" s="530">
        <v>245.82301507230429</v>
      </c>
      <c r="H40" s="530">
        <v>245.82301507230429</v>
      </c>
      <c r="I40" s="530">
        <v>245.82301507230429</v>
      </c>
      <c r="J40">
        <v>245.82301507230429</v>
      </c>
      <c r="K40" s="528">
        <v>245.82301507230429</v>
      </c>
      <c r="L40">
        <v>245.82301507230429</v>
      </c>
      <c r="M40" s="526">
        <v>245.82301507230429</v>
      </c>
      <c r="N40" s="526">
        <v>245.82301507230429</v>
      </c>
      <c r="O40" s="526"/>
    </row>
    <row r="41" spans="1:15" ht="13.35" hidden="1">
      <c r="A41" s="529" t="s">
        <v>107</v>
      </c>
      <c r="B41" t="s">
        <v>143</v>
      </c>
      <c r="C41" s="530">
        <v>0</v>
      </c>
      <c r="D41" s="530">
        <v>0</v>
      </c>
      <c r="E41" s="530">
        <v>0</v>
      </c>
      <c r="F41" s="530">
        <v>0</v>
      </c>
      <c r="G41" s="530">
        <v>0</v>
      </c>
      <c r="H41" s="530">
        <v>0</v>
      </c>
      <c r="I41" s="530">
        <v>0</v>
      </c>
      <c r="J41">
        <v>0</v>
      </c>
      <c r="K41" s="528">
        <v>0</v>
      </c>
      <c r="L41">
        <v>0</v>
      </c>
      <c r="M41" s="526">
        <v>0</v>
      </c>
      <c r="N41" s="526">
        <v>0</v>
      </c>
      <c r="O41" s="526"/>
    </row>
    <row r="42" spans="1:15" ht="13.35" hidden="1">
      <c r="A42" s="529" t="s">
        <v>118</v>
      </c>
      <c r="B42" t="s">
        <v>143</v>
      </c>
      <c r="C42" s="526">
        <v>639.13983918799113</v>
      </c>
      <c r="D42" s="526">
        <v>639.13983918799113</v>
      </c>
      <c r="E42" s="526">
        <v>639.13983918799113</v>
      </c>
      <c r="F42" s="526">
        <v>639.13983918799113</v>
      </c>
      <c r="G42" s="526">
        <v>639.13983918799113</v>
      </c>
      <c r="H42" s="526">
        <v>639.13983918799113</v>
      </c>
      <c r="I42" s="526">
        <v>639.13983918799113</v>
      </c>
      <c r="J42" s="527">
        <v>639.13983918799113</v>
      </c>
      <c r="K42" s="528">
        <v>639.13983918799113</v>
      </c>
      <c r="L42">
        <v>639.13983918799113</v>
      </c>
      <c r="M42">
        <v>639.13983918799113</v>
      </c>
      <c r="N42">
        <v>639.13983918799113</v>
      </c>
    </row>
    <row r="43" spans="1:15" ht="13.35" hidden="1">
      <c r="A43" s="529" t="s">
        <v>115</v>
      </c>
      <c r="B43" t="s">
        <v>143</v>
      </c>
      <c r="C43" s="526">
        <v>210.91614693203701</v>
      </c>
      <c r="D43" s="526">
        <v>210.91614693203701</v>
      </c>
      <c r="E43" s="526">
        <v>210.91614693203701</v>
      </c>
      <c r="F43" s="526">
        <v>210.91614693203701</v>
      </c>
      <c r="G43" s="526">
        <v>210.91614693203701</v>
      </c>
      <c r="H43" s="526">
        <v>210.91614693203701</v>
      </c>
      <c r="I43" s="526">
        <v>210.91614693203701</v>
      </c>
      <c r="J43">
        <v>210.91614693203701</v>
      </c>
      <c r="K43" s="528">
        <v>210.91614693203701</v>
      </c>
      <c r="L43">
        <v>210.91614693203701</v>
      </c>
      <c r="M43">
        <v>210.91614693203701</v>
      </c>
      <c r="N43">
        <v>210.91614693203701</v>
      </c>
    </row>
    <row r="44" spans="1:15" ht="13.35" hidden="1">
      <c r="A44" s="529" t="s">
        <v>122</v>
      </c>
      <c r="B44" t="s">
        <v>143</v>
      </c>
      <c r="C44" s="526">
        <v>268.60261446900449</v>
      </c>
      <c r="D44" s="526">
        <v>268.60261446900449</v>
      </c>
      <c r="E44" s="526">
        <v>268.60261446900449</v>
      </c>
      <c r="F44" s="526">
        <v>268.60261446900449</v>
      </c>
      <c r="G44" s="526">
        <v>268.60261446900449</v>
      </c>
      <c r="H44" s="526">
        <v>268.60261446900449</v>
      </c>
      <c r="I44" s="526">
        <v>268.60261446900449</v>
      </c>
      <c r="J44">
        <v>268.60261446900449</v>
      </c>
      <c r="K44" s="528">
        <v>268.60261446900449</v>
      </c>
      <c r="L44">
        <v>268.60261446900449</v>
      </c>
      <c r="M44">
        <v>268.60261446900449</v>
      </c>
      <c r="N44">
        <v>268.60261446900449</v>
      </c>
    </row>
    <row r="45" spans="1:15" ht="13.35" hidden="1">
      <c r="A45" s="529" t="s">
        <v>109</v>
      </c>
      <c r="B45" t="s">
        <v>143</v>
      </c>
      <c r="C45" s="526">
        <v>0</v>
      </c>
      <c r="D45" s="526">
        <v>0</v>
      </c>
      <c r="E45" s="526">
        <v>0</v>
      </c>
      <c r="F45" s="526">
        <v>0</v>
      </c>
      <c r="G45" s="526">
        <v>0</v>
      </c>
      <c r="H45" s="526">
        <v>0</v>
      </c>
      <c r="I45" s="526">
        <v>0</v>
      </c>
      <c r="J45">
        <v>0</v>
      </c>
      <c r="K45" s="528">
        <v>0</v>
      </c>
      <c r="L45">
        <v>0</v>
      </c>
      <c r="M45">
        <v>0</v>
      </c>
      <c r="N45">
        <v>0</v>
      </c>
    </row>
    <row r="46" spans="1:15" ht="13.35" hidden="1">
      <c r="A46" s="529" t="s">
        <v>110</v>
      </c>
      <c r="B46" t="s">
        <v>143</v>
      </c>
      <c r="C46" s="526">
        <v>0</v>
      </c>
      <c r="D46" s="526">
        <v>0</v>
      </c>
      <c r="E46" s="526">
        <v>0</v>
      </c>
      <c r="F46" s="526">
        <v>0</v>
      </c>
      <c r="G46" s="526">
        <v>0</v>
      </c>
      <c r="H46" s="526">
        <v>0</v>
      </c>
      <c r="I46" s="526">
        <v>0</v>
      </c>
      <c r="J46">
        <v>0</v>
      </c>
      <c r="K46" s="528">
        <v>0</v>
      </c>
      <c r="L46">
        <v>0</v>
      </c>
      <c r="M46">
        <v>0</v>
      </c>
      <c r="N46">
        <v>0</v>
      </c>
    </row>
    <row r="47" spans="1:15" ht="13.35" hidden="1">
      <c r="A47" s="529" t="s">
        <v>116</v>
      </c>
      <c r="B47" t="s">
        <v>143</v>
      </c>
      <c r="C47" s="526">
        <v>0</v>
      </c>
      <c r="D47" s="526">
        <v>0</v>
      </c>
      <c r="E47" s="526">
        <v>0</v>
      </c>
      <c r="F47" s="526">
        <v>0</v>
      </c>
      <c r="G47" s="526">
        <v>0</v>
      </c>
      <c r="H47" s="526">
        <v>0</v>
      </c>
      <c r="I47" s="526">
        <v>0</v>
      </c>
      <c r="J47">
        <v>0</v>
      </c>
      <c r="K47" s="528">
        <v>0</v>
      </c>
      <c r="L47">
        <v>0</v>
      </c>
      <c r="M47">
        <v>0</v>
      </c>
      <c r="N47">
        <v>0</v>
      </c>
    </row>
    <row r="48" spans="1:15" ht="13.35" hidden="1">
      <c r="A48" s="529" t="s">
        <v>111</v>
      </c>
      <c r="B48" t="s">
        <v>143</v>
      </c>
      <c r="C48" s="526">
        <v>577.52020340986678</v>
      </c>
      <c r="D48" s="526">
        <v>577.52020340986678</v>
      </c>
      <c r="E48" s="526">
        <v>577.52020340986678</v>
      </c>
      <c r="F48" s="526">
        <v>577.52020340986678</v>
      </c>
      <c r="G48" s="526">
        <v>577.52020340986678</v>
      </c>
      <c r="H48" s="526">
        <v>577.52020340986678</v>
      </c>
      <c r="I48" s="526">
        <v>577.52020340986678</v>
      </c>
      <c r="J48">
        <v>577.52020340986678</v>
      </c>
      <c r="K48" s="528">
        <v>577.52020340986678</v>
      </c>
      <c r="L48">
        <v>577.52020340986678</v>
      </c>
      <c r="M48">
        <v>577.52020340986678</v>
      </c>
      <c r="N48">
        <v>577.52020340986678</v>
      </c>
    </row>
    <row r="49" spans="1:14" ht="13.35" hidden="1">
      <c r="A49" s="529" t="s">
        <v>120</v>
      </c>
      <c r="B49" t="s">
        <v>143</v>
      </c>
      <c r="C49" s="526">
        <v>0</v>
      </c>
      <c r="D49" s="526">
        <v>0</v>
      </c>
      <c r="E49" s="526">
        <v>0</v>
      </c>
      <c r="F49" s="526">
        <v>0</v>
      </c>
      <c r="G49" s="526">
        <v>0</v>
      </c>
      <c r="H49" s="526">
        <v>0</v>
      </c>
      <c r="I49" s="526">
        <v>492.79320421494594</v>
      </c>
      <c r="J49">
        <v>492.79320421494594</v>
      </c>
      <c r="K49" s="528">
        <v>492.79320421494594</v>
      </c>
      <c r="L49">
        <v>492.79320421494594</v>
      </c>
      <c r="M49">
        <v>492.79320421494594</v>
      </c>
      <c r="N49">
        <v>492.79320421494594</v>
      </c>
    </row>
    <row r="50" spans="1:14" ht="13.35" hidden="1">
      <c r="A50" s="529" t="s">
        <v>113</v>
      </c>
      <c r="B50" t="s">
        <v>144</v>
      </c>
      <c r="C50">
        <v>1376.7464443427018</v>
      </c>
      <c r="D50">
        <v>1376.7464443427018</v>
      </c>
      <c r="E50">
        <v>1376.7464443427018</v>
      </c>
      <c r="F50">
        <v>1376.7464443427018</v>
      </c>
      <c r="G50">
        <v>1376.7464443427018</v>
      </c>
      <c r="H50">
        <v>1376.7464443427018</v>
      </c>
      <c r="I50">
        <v>1376.7464443427018</v>
      </c>
      <c r="J50" s="527">
        <v>1376.7464443427018</v>
      </c>
      <c r="K50" s="528">
        <v>1376.7464443427018</v>
      </c>
      <c r="L50">
        <v>1376.7464443427018</v>
      </c>
      <c r="M50">
        <v>1376.7464443427018</v>
      </c>
      <c r="N50">
        <v>1376.7464443427018</v>
      </c>
    </row>
    <row r="51" spans="1:14" ht="13.35" hidden="1">
      <c r="A51" s="529" t="s">
        <v>119</v>
      </c>
      <c r="B51" t="s">
        <v>144</v>
      </c>
      <c r="C51" s="530">
        <v>118.00683808651731</v>
      </c>
      <c r="D51" s="530">
        <v>118.00683808651731</v>
      </c>
      <c r="E51" s="530">
        <v>118.00683808651731</v>
      </c>
      <c r="F51" s="530">
        <v>118.00683808651731</v>
      </c>
      <c r="G51" s="530">
        <v>118.00683808651731</v>
      </c>
      <c r="H51" s="530">
        <v>118.00683808651731</v>
      </c>
      <c r="I51" s="530">
        <v>118.00683808651731</v>
      </c>
      <c r="J51">
        <v>118.00683808651731</v>
      </c>
      <c r="K51" s="528">
        <v>118.00683808651731</v>
      </c>
      <c r="L51">
        <v>118.00683808651731</v>
      </c>
      <c r="M51">
        <v>118.00683808651731</v>
      </c>
      <c r="N51">
        <v>118.00683808651731</v>
      </c>
    </row>
    <row r="52" spans="1:14" ht="13.35" hidden="1">
      <c r="A52" s="529" t="s">
        <v>117</v>
      </c>
      <c r="B52" t="s">
        <v>144</v>
      </c>
      <c r="C52" s="530">
        <v>63.920370630196878</v>
      </c>
      <c r="D52" s="530">
        <v>63.920370630196878</v>
      </c>
      <c r="E52" s="530">
        <v>63.920370630196878</v>
      </c>
      <c r="F52" s="530">
        <v>63.920370630196878</v>
      </c>
      <c r="G52" s="530">
        <v>63.920370630196878</v>
      </c>
      <c r="H52" s="530">
        <v>63.920370630196878</v>
      </c>
      <c r="I52" s="530">
        <v>63.920370630196878</v>
      </c>
      <c r="J52">
        <v>63.920370630196878</v>
      </c>
      <c r="K52" s="528">
        <v>63.920370630196878</v>
      </c>
      <c r="L52">
        <v>63.920370630196878</v>
      </c>
      <c r="M52">
        <v>63.920370630196878</v>
      </c>
      <c r="N52">
        <v>63.920370630196878</v>
      </c>
    </row>
    <row r="53" spans="1:14" ht="13.35" hidden="1">
      <c r="A53" s="529" t="s">
        <v>121</v>
      </c>
      <c r="B53" t="s">
        <v>144</v>
      </c>
      <c r="C53" s="530">
        <v>55.069857773708073</v>
      </c>
      <c r="D53" s="530">
        <v>55.069857773708073</v>
      </c>
      <c r="E53" s="530">
        <v>55.069857773708073</v>
      </c>
      <c r="F53" s="530">
        <v>55.069857773708073</v>
      </c>
      <c r="G53" s="530">
        <v>55.069857773708073</v>
      </c>
      <c r="H53" s="530">
        <v>55.069857773708073</v>
      </c>
      <c r="I53" s="530">
        <v>55.069857773708073</v>
      </c>
      <c r="J53">
        <v>55.069857773708073</v>
      </c>
      <c r="K53" s="528">
        <v>55.069857773708073</v>
      </c>
      <c r="L53">
        <v>55.069857773708073</v>
      </c>
      <c r="M53">
        <v>55.069857773708073</v>
      </c>
      <c r="N53">
        <v>55.069857773708073</v>
      </c>
    </row>
    <row r="54" spans="1:14" ht="13.35" hidden="1">
      <c r="A54" s="529" t="s">
        <v>114</v>
      </c>
      <c r="B54" t="s">
        <v>144</v>
      </c>
      <c r="C54" s="530">
        <v>43.741201317402414</v>
      </c>
      <c r="D54" s="530">
        <v>43.741201317402414</v>
      </c>
      <c r="E54" s="530">
        <v>43.741201317402414</v>
      </c>
      <c r="F54" s="530">
        <v>43.741201317402414</v>
      </c>
      <c r="G54" s="530">
        <v>43.741201317402414</v>
      </c>
      <c r="H54" s="530">
        <v>43.741201317402414</v>
      </c>
      <c r="I54" s="530">
        <v>43.741201317402414</v>
      </c>
      <c r="J54">
        <v>43.741201317402414</v>
      </c>
      <c r="K54" s="528">
        <v>43.741201317402414</v>
      </c>
      <c r="L54">
        <v>43.741201317402414</v>
      </c>
      <c r="M54">
        <v>43.741201317402414</v>
      </c>
      <c r="N54">
        <v>43.741201317402414</v>
      </c>
    </row>
    <row r="55" spans="1:14" ht="13.35">
      <c r="A55" s="529" t="s">
        <v>108</v>
      </c>
      <c r="B55" t="s">
        <v>144</v>
      </c>
      <c r="C55" s="530">
        <v>98.103018062591374</v>
      </c>
      <c r="D55" s="530">
        <v>98.103018062591374</v>
      </c>
      <c r="E55" s="530">
        <v>98.103018062591374</v>
      </c>
      <c r="F55" s="530">
        <v>98.103018062591374</v>
      </c>
      <c r="G55" s="530">
        <v>98.103018062591374</v>
      </c>
      <c r="H55" s="530">
        <v>98.103018062591374</v>
      </c>
      <c r="I55" s="530">
        <v>98.103018062591374</v>
      </c>
      <c r="J55">
        <v>98.103018062591374</v>
      </c>
      <c r="K55" s="528">
        <v>98.103018062591374</v>
      </c>
      <c r="L55">
        <v>98.103018062591374</v>
      </c>
      <c r="M55">
        <v>98.103018062591374</v>
      </c>
      <c r="N55">
        <v>98.103018062591374</v>
      </c>
    </row>
    <row r="56" spans="1:14" ht="13.35" hidden="1">
      <c r="A56" s="529" t="s">
        <v>112</v>
      </c>
      <c r="B56" t="s">
        <v>144</v>
      </c>
      <c r="C56" s="530">
        <v>59.003419043258653</v>
      </c>
      <c r="D56" s="530">
        <v>59.003419043258653</v>
      </c>
      <c r="E56" s="530">
        <v>59.003419043258653</v>
      </c>
      <c r="F56" s="530">
        <v>59.003419043258653</v>
      </c>
      <c r="G56" s="530">
        <v>59.003419043258653</v>
      </c>
      <c r="H56" s="530">
        <v>59.003419043258653</v>
      </c>
      <c r="I56" s="530">
        <v>59.003419043258653</v>
      </c>
      <c r="J56">
        <v>59.003419043258653</v>
      </c>
      <c r="K56" s="528">
        <v>59.003419043258653</v>
      </c>
      <c r="L56">
        <v>59.003419043258653</v>
      </c>
      <c r="M56">
        <v>59.003419043258653</v>
      </c>
      <c r="N56">
        <v>59.003419043258653</v>
      </c>
    </row>
    <row r="57" spans="1:14" ht="13.35" hidden="1">
      <c r="A57" s="529" t="s">
        <v>107</v>
      </c>
      <c r="B57" t="s">
        <v>144</v>
      </c>
      <c r="C57">
        <v>68.207952414007011</v>
      </c>
      <c r="D57">
        <v>68.207952414007011</v>
      </c>
      <c r="E57">
        <v>68.207952414007011</v>
      </c>
      <c r="F57">
        <v>68.207952414007011</v>
      </c>
      <c r="G57">
        <v>68.207952414007011</v>
      </c>
      <c r="H57">
        <v>68.207952414007011</v>
      </c>
      <c r="I57">
        <v>68.207952414007011</v>
      </c>
      <c r="J57">
        <v>68.207952414007011</v>
      </c>
      <c r="K57" s="528">
        <v>68.207952414007011</v>
      </c>
      <c r="L57">
        <v>68.207952414007011</v>
      </c>
      <c r="M57">
        <v>68.207952414007011</v>
      </c>
      <c r="N57">
        <v>68.207952414007011</v>
      </c>
    </row>
    <row r="58" spans="1:14" ht="13.35" hidden="1">
      <c r="A58" s="529" t="s">
        <v>118</v>
      </c>
      <c r="B58" t="s">
        <v>144</v>
      </c>
      <c r="C58" s="526">
        <v>153.40888951247248</v>
      </c>
      <c r="D58" s="526">
        <v>153.40888951247248</v>
      </c>
      <c r="E58" s="526">
        <v>153.40888951247248</v>
      </c>
      <c r="F58" s="526">
        <v>153.40888951247248</v>
      </c>
      <c r="G58" s="526">
        <v>153.40888951247248</v>
      </c>
      <c r="H58" s="526">
        <v>153.40888951247248</v>
      </c>
      <c r="I58" s="526">
        <v>153.40888951247248</v>
      </c>
      <c r="J58" s="527">
        <v>153.40888951247248</v>
      </c>
      <c r="K58" s="528">
        <v>153.40888951247248</v>
      </c>
      <c r="L58">
        <v>153.40888951247248</v>
      </c>
      <c r="M58" s="528">
        <v>153.40888951247248</v>
      </c>
      <c r="N58">
        <v>153.40888951247248</v>
      </c>
    </row>
    <row r="59" spans="1:14" ht="13.35" hidden="1">
      <c r="A59" s="529" t="s">
        <v>115</v>
      </c>
      <c r="B59" t="s">
        <v>144</v>
      </c>
      <c r="C59" s="526">
        <v>50.624933539115915</v>
      </c>
      <c r="D59" s="526">
        <v>50.624933539115915</v>
      </c>
      <c r="E59" s="526">
        <v>50.624933539115915</v>
      </c>
      <c r="F59" s="526">
        <v>50.624933539115915</v>
      </c>
      <c r="G59" s="526">
        <v>50.624933539115915</v>
      </c>
      <c r="H59" s="526">
        <v>50.624933539115915</v>
      </c>
      <c r="I59" s="526">
        <v>50.624933539115915</v>
      </c>
      <c r="J59">
        <v>50.624933539115915</v>
      </c>
      <c r="K59" s="528">
        <v>50.624933539115915</v>
      </c>
      <c r="L59">
        <v>50.624933539115915</v>
      </c>
      <c r="M59">
        <v>50.624933539115915</v>
      </c>
      <c r="N59">
        <v>50.624933539115915</v>
      </c>
    </row>
    <row r="60" spans="1:14" ht="13.35" hidden="1">
      <c r="A60" s="529" t="s">
        <v>122</v>
      </c>
      <c r="B60" t="s">
        <v>144</v>
      </c>
      <c r="C60" s="526">
        <v>64.471069207933951</v>
      </c>
      <c r="D60" s="526">
        <v>64.471069207933951</v>
      </c>
      <c r="E60" s="526">
        <v>64.471069207933951</v>
      </c>
      <c r="F60" s="526">
        <v>64.471069207933951</v>
      </c>
      <c r="G60" s="526">
        <v>64.471069207933951</v>
      </c>
      <c r="H60" s="526">
        <v>64.471069207933951</v>
      </c>
      <c r="I60" s="526">
        <v>64.471069207933951</v>
      </c>
      <c r="J60">
        <v>64.471069207933951</v>
      </c>
      <c r="K60" s="528">
        <v>64.471069207933951</v>
      </c>
      <c r="L60">
        <v>64.471069207933951</v>
      </c>
      <c r="M60">
        <v>64.471069207933951</v>
      </c>
      <c r="N60">
        <v>64.471069207933951</v>
      </c>
    </row>
    <row r="61" spans="1:14" ht="13.35" hidden="1">
      <c r="A61" s="529" t="s">
        <v>109</v>
      </c>
      <c r="B61" t="s">
        <v>144</v>
      </c>
      <c r="C61" s="526">
        <v>141.60820570382077</v>
      </c>
      <c r="D61" s="526">
        <v>141.60820570382077</v>
      </c>
      <c r="E61" s="526">
        <v>141.60820570382077</v>
      </c>
      <c r="F61" s="526">
        <v>141.60820570382077</v>
      </c>
      <c r="G61" s="526">
        <v>141.60820570382077</v>
      </c>
      <c r="H61" s="526">
        <v>141.60820570382077</v>
      </c>
      <c r="I61" s="526">
        <v>141.60820570382077</v>
      </c>
      <c r="J61">
        <v>141.60820570382077</v>
      </c>
      <c r="K61" s="528">
        <v>141.60820570382077</v>
      </c>
      <c r="L61">
        <v>141.60820570382077</v>
      </c>
      <c r="M61">
        <v>141.60820570382077</v>
      </c>
      <c r="N61">
        <v>141.60820570382077</v>
      </c>
    </row>
    <row r="62" spans="1:14" ht="13.35" hidden="1">
      <c r="A62" s="529" t="s">
        <v>110</v>
      </c>
      <c r="B62" t="s">
        <v>144</v>
      </c>
      <c r="C62" s="526">
        <v>62.425617347767655</v>
      </c>
      <c r="D62" s="526">
        <v>62.425617347767655</v>
      </c>
      <c r="E62" s="526">
        <v>62.425617347767655</v>
      </c>
      <c r="F62" s="526">
        <v>62.425617347767655</v>
      </c>
      <c r="G62" s="526">
        <v>62.425617347767655</v>
      </c>
      <c r="H62" s="526">
        <v>62.425617347767655</v>
      </c>
      <c r="I62" s="526">
        <v>62.425617347767655</v>
      </c>
      <c r="J62">
        <v>62.425617347767655</v>
      </c>
      <c r="K62" s="528">
        <v>62.425617347767655</v>
      </c>
      <c r="L62">
        <v>62.425617347767655</v>
      </c>
      <c r="M62">
        <v>62.425617347767655</v>
      </c>
      <c r="N62">
        <v>62.425617347767655</v>
      </c>
    </row>
    <row r="63" spans="1:14" ht="13.35" hidden="1">
      <c r="A63" s="529" t="s">
        <v>116</v>
      </c>
      <c r="B63" t="s">
        <v>144</v>
      </c>
      <c r="C63" s="526">
        <v>51.136296504157507</v>
      </c>
      <c r="D63" s="526">
        <v>51.136296504157507</v>
      </c>
      <c r="E63" s="526">
        <v>51.136296504157507</v>
      </c>
      <c r="F63" s="526">
        <v>51.136296504157507</v>
      </c>
      <c r="G63" s="526">
        <v>51.136296504157507</v>
      </c>
      <c r="H63" s="526">
        <v>51.136296504157507</v>
      </c>
      <c r="I63" s="526">
        <v>51.136296504157507</v>
      </c>
      <c r="J63">
        <v>51.136296504157507</v>
      </c>
      <c r="K63" s="528">
        <v>51.136296504157507</v>
      </c>
      <c r="L63">
        <v>51.136296504157507</v>
      </c>
      <c r="M63">
        <v>51.136296504157507</v>
      </c>
      <c r="N63">
        <v>51.136296504157507</v>
      </c>
    </row>
    <row r="64" spans="1:14" ht="13.35" hidden="1">
      <c r="A64" s="529" t="s">
        <v>111</v>
      </c>
      <c r="B64" t="s">
        <v>144</v>
      </c>
      <c r="C64" s="526">
        <v>138.61869913896234</v>
      </c>
      <c r="D64" s="526">
        <v>138.61869913896234</v>
      </c>
      <c r="E64" s="526">
        <v>138.61869913896234</v>
      </c>
      <c r="F64" s="526">
        <v>138.61869913896234</v>
      </c>
      <c r="G64" s="526">
        <v>138.61869913896234</v>
      </c>
      <c r="H64" s="526">
        <v>138.61869913896234</v>
      </c>
      <c r="I64" s="526">
        <v>138.61869913896234</v>
      </c>
      <c r="J64">
        <v>138.61869913896234</v>
      </c>
      <c r="K64" s="528">
        <v>138.61869913896234</v>
      </c>
      <c r="L64">
        <v>138.61869913896234</v>
      </c>
      <c r="M64">
        <v>138.61869913896234</v>
      </c>
      <c r="N64">
        <v>138.61869913896234</v>
      </c>
    </row>
    <row r="65" spans="1:14" ht="13.35" hidden="1">
      <c r="A65" s="529" t="s">
        <v>120</v>
      </c>
      <c r="B65" t="s">
        <v>144</v>
      </c>
      <c r="C65" s="526">
        <v>0</v>
      </c>
      <c r="D65" s="526">
        <v>0</v>
      </c>
      <c r="E65" s="526">
        <v>0</v>
      </c>
      <c r="F65" s="526">
        <v>0</v>
      </c>
      <c r="G65" s="526">
        <v>0</v>
      </c>
      <c r="H65" s="526">
        <v>0</v>
      </c>
      <c r="I65" s="526">
        <v>118.28218737538583</v>
      </c>
      <c r="J65">
        <v>118.28218737538583</v>
      </c>
      <c r="K65" s="528">
        <v>118.28218737538583</v>
      </c>
      <c r="L65">
        <v>118.28218737538583</v>
      </c>
      <c r="M65">
        <v>118.28218737538583</v>
      </c>
      <c r="N65">
        <v>118.28218737538583</v>
      </c>
    </row>
    <row r="66" spans="1:14" ht="13.35" hidden="1">
      <c r="A66" s="529" t="s">
        <v>113</v>
      </c>
      <c r="B66" t="s">
        <v>145</v>
      </c>
      <c r="C66" s="526">
        <v>0</v>
      </c>
      <c r="D66" s="526">
        <v>0</v>
      </c>
      <c r="E66" s="526">
        <v>0</v>
      </c>
      <c r="F66" s="526">
        <v>0</v>
      </c>
      <c r="G66" s="526">
        <v>0</v>
      </c>
      <c r="H66" s="526">
        <v>0</v>
      </c>
      <c r="I66" s="526">
        <v>0</v>
      </c>
      <c r="J66" s="527">
        <v>0</v>
      </c>
      <c r="K66" s="528">
        <v>0</v>
      </c>
      <c r="L66">
        <v>0</v>
      </c>
      <c r="M66">
        <v>0</v>
      </c>
      <c r="N66">
        <v>0</v>
      </c>
    </row>
    <row r="67" spans="1:14" ht="13.35" hidden="1">
      <c r="A67" s="529" t="s">
        <v>119</v>
      </c>
      <c r="B67" t="s">
        <v>145</v>
      </c>
      <c r="C67" s="526">
        <v>107.51719461971273</v>
      </c>
      <c r="D67" s="526">
        <v>107.51719461971273</v>
      </c>
      <c r="E67" s="526">
        <v>107.51719461971273</v>
      </c>
      <c r="F67" s="526">
        <v>107.51719461971273</v>
      </c>
      <c r="G67" s="526">
        <v>107.51719461971273</v>
      </c>
      <c r="H67" s="526">
        <v>107.51719461971273</v>
      </c>
      <c r="I67" s="526">
        <v>107.51719461971273</v>
      </c>
      <c r="J67">
        <v>107.51719461971273</v>
      </c>
      <c r="K67" s="528">
        <v>107.51719461971273</v>
      </c>
      <c r="L67">
        <v>107.51719461971273</v>
      </c>
      <c r="M67">
        <v>107.51719461971273</v>
      </c>
      <c r="N67">
        <v>107.51719461971273</v>
      </c>
    </row>
    <row r="68" spans="1:14" ht="13.35" hidden="1">
      <c r="A68" s="529" t="s">
        <v>117</v>
      </c>
      <c r="B68" t="s">
        <v>145</v>
      </c>
      <c r="C68" s="526">
        <v>0</v>
      </c>
      <c r="D68" s="526">
        <v>0</v>
      </c>
      <c r="E68" s="526">
        <v>0</v>
      </c>
      <c r="F68" s="526">
        <v>0</v>
      </c>
      <c r="G68" s="526">
        <v>0</v>
      </c>
      <c r="H68" s="526">
        <v>0</v>
      </c>
      <c r="I68" s="526">
        <v>0</v>
      </c>
      <c r="J68">
        <v>0</v>
      </c>
      <c r="K68" s="528">
        <v>0</v>
      </c>
      <c r="L68">
        <v>0</v>
      </c>
      <c r="M68">
        <v>0</v>
      </c>
      <c r="N68">
        <v>0</v>
      </c>
    </row>
    <row r="69" spans="1:14" ht="13.35" hidden="1">
      <c r="A69" s="529" t="s">
        <v>121</v>
      </c>
      <c r="B69" t="s">
        <v>145</v>
      </c>
      <c r="C69" s="526">
        <v>0</v>
      </c>
      <c r="D69" s="526">
        <v>0</v>
      </c>
      <c r="E69" s="526">
        <v>0</v>
      </c>
      <c r="F69" s="526">
        <v>0</v>
      </c>
      <c r="G69" s="526">
        <v>0</v>
      </c>
      <c r="H69" s="526">
        <v>0</v>
      </c>
      <c r="I69" s="526">
        <v>0</v>
      </c>
      <c r="J69">
        <v>0</v>
      </c>
      <c r="K69" s="528">
        <v>0</v>
      </c>
      <c r="L69">
        <v>0</v>
      </c>
      <c r="M69">
        <v>0</v>
      </c>
      <c r="N69">
        <v>0</v>
      </c>
    </row>
    <row r="70" spans="1:14" ht="13.35" hidden="1">
      <c r="A70" s="529" t="s">
        <v>114</v>
      </c>
      <c r="B70" t="s">
        <v>145</v>
      </c>
      <c r="C70" s="526">
        <v>0</v>
      </c>
      <c r="D70" s="526">
        <v>0</v>
      </c>
      <c r="E70" s="526">
        <v>0</v>
      </c>
      <c r="F70" s="526">
        <v>0</v>
      </c>
      <c r="G70" s="526">
        <v>0</v>
      </c>
      <c r="H70" s="526">
        <v>0</v>
      </c>
      <c r="I70" s="526">
        <v>0</v>
      </c>
      <c r="J70">
        <v>0</v>
      </c>
      <c r="K70" s="528">
        <v>0</v>
      </c>
      <c r="L70">
        <v>0</v>
      </c>
      <c r="M70">
        <v>0</v>
      </c>
      <c r="N70">
        <v>0</v>
      </c>
    </row>
    <row r="71" spans="1:14" ht="13.35">
      <c r="A71" s="529" t="s">
        <v>108</v>
      </c>
      <c r="B71" t="s">
        <v>145</v>
      </c>
      <c r="C71" s="526">
        <v>0</v>
      </c>
      <c r="D71" s="526">
        <v>0</v>
      </c>
      <c r="E71" s="526">
        <v>0</v>
      </c>
      <c r="F71" s="526">
        <v>0</v>
      </c>
      <c r="G71" s="526">
        <v>0</v>
      </c>
      <c r="H71" s="526">
        <v>0</v>
      </c>
      <c r="I71" s="526">
        <v>0</v>
      </c>
      <c r="J71">
        <v>0</v>
      </c>
      <c r="K71" s="528">
        <v>0</v>
      </c>
      <c r="L71">
        <v>0</v>
      </c>
      <c r="M71">
        <v>0</v>
      </c>
      <c r="N71">
        <v>0</v>
      </c>
    </row>
    <row r="72" spans="1:14" ht="13.35" hidden="1">
      <c r="A72" s="529" t="s">
        <v>112</v>
      </c>
      <c r="B72" t="s">
        <v>145</v>
      </c>
      <c r="C72" s="526">
        <v>0</v>
      </c>
      <c r="D72" s="526">
        <v>0</v>
      </c>
      <c r="E72" s="526">
        <v>0</v>
      </c>
      <c r="F72" s="526">
        <v>0</v>
      </c>
      <c r="G72" s="526">
        <v>0</v>
      </c>
      <c r="H72" s="526">
        <v>0</v>
      </c>
      <c r="I72" s="526">
        <v>0</v>
      </c>
      <c r="J72">
        <v>0</v>
      </c>
      <c r="K72" s="528">
        <v>0</v>
      </c>
      <c r="L72">
        <v>0</v>
      </c>
      <c r="M72">
        <v>0</v>
      </c>
      <c r="N72">
        <v>0</v>
      </c>
    </row>
    <row r="73" spans="1:14" ht="13.35" hidden="1">
      <c r="A73" s="529" t="s">
        <v>107</v>
      </c>
      <c r="B73" t="s">
        <v>145</v>
      </c>
      <c r="C73" s="526">
        <v>0</v>
      </c>
      <c r="D73" s="526">
        <v>0</v>
      </c>
      <c r="E73" s="526">
        <v>0</v>
      </c>
      <c r="F73" s="526">
        <v>0</v>
      </c>
      <c r="G73" s="526">
        <v>0</v>
      </c>
      <c r="H73" s="526">
        <v>0</v>
      </c>
      <c r="I73" s="526">
        <v>0</v>
      </c>
      <c r="J73">
        <v>0</v>
      </c>
      <c r="K73" s="528">
        <v>0</v>
      </c>
      <c r="L73">
        <v>0</v>
      </c>
      <c r="M73">
        <v>0</v>
      </c>
      <c r="N73">
        <v>0</v>
      </c>
    </row>
    <row r="74" spans="1:14" ht="13.35" hidden="1">
      <c r="A74" s="529" t="s">
        <v>118</v>
      </c>
      <c r="B74" t="s">
        <v>145</v>
      </c>
      <c r="C74" s="526">
        <v>0</v>
      </c>
      <c r="D74" s="526">
        <v>0</v>
      </c>
      <c r="E74" s="526">
        <v>0</v>
      </c>
      <c r="F74" s="526">
        <v>0</v>
      </c>
      <c r="G74" s="526">
        <v>0</v>
      </c>
      <c r="H74" s="526">
        <v>0</v>
      </c>
      <c r="I74" s="526">
        <v>0</v>
      </c>
      <c r="J74" s="527">
        <v>0</v>
      </c>
      <c r="K74" s="527">
        <v>0</v>
      </c>
      <c r="L74">
        <v>0</v>
      </c>
      <c r="M74" s="526">
        <v>0</v>
      </c>
      <c r="N74" s="526">
        <v>0</v>
      </c>
    </row>
    <row r="75" spans="1:14" ht="13.35" hidden="1">
      <c r="A75" s="529" t="s">
        <v>115</v>
      </c>
      <c r="B75" t="s">
        <v>145</v>
      </c>
      <c r="C75" s="526">
        <v>8.3333333333333329E-2</v>
      </c>
      <c r="D75" s="526">
        <v>8.3333333333333329E-2</v>
      </c>
      <c r="E75" s="526">
        <v>8.3333333333333329E-2</v>
      </c>
      <c r="F75" s="526">
        <v>8.3333333333333329E-2</v>
      </c>
      <c r="G75" s="526">
        <v>8.3333333333333329E-2</v>
      </c>
      <c r="H75" s="526">
        <v>8.3333333333333329E-2</v>
      </c>
      <c r="I75" s="526">
        <v>8.3333333333333329E-2</v>
      </c>
      <c r="J75">
        <v>8.3333333333333329E-2</v>
      </c>
      <c r="K75" s="527">
        <v>8.3333333333333329E-2</v>
      </c>
      <c r="L75">
        <v>8.3333333333333329E-2</v>
      </c>
      <c r="M75" s="526">
        <v>8.3333333333333329E-2</v>
      </c>
      <c r="N75" s="526">
        <v>8.3333333333333329E-2</v>
      </c>
    </row>
    <row r="76" spans="1:14" ht="13.35" hidden="1">
      <c r="A76" s="529" t="s">
        <v>122</v>
      </c>
      <c r="B76" t="s">
        <v>145</v>
      </c>
      <c r="C76" s="526">
        <v>8.3333333333333329E-2</v>
      </c>
      <c r="D76" s="526">
        <v>8.3333333333333329E-2</v>
      </c>
      <c r="E76" s="526">
        <v>8.3333333333333329E-2</v>
      </c>
      <c r="F76" s="526">
        <v>8.3333333333333329E-2</v>
      </c>
      <c r="G76" s="526">
        <v>8.3333333333333329E-2</v>
      </c>
      <c r="H76" s="526">
        <v>8.3333333333333329E-2</v>
      </c>
      <c r="I76" s="526">
        <v>8.3333333333333329E-2</v>
      </c>
      <c r="J76">
        <v>8.3333333333333329E-2</v>
      </c>
      <c r="K76" s="527">
        <v>8.3333333333333329E-2</v>
      </c>
      <c r="L76">
        <v>8.3333333333333329E-2</v>
      </c>
      <c r="M76" s="526">
        <v>8.3333333333333329E-2</v>
      </c>
      <c r="N76" s="526">
        <v>8.3333333333333329E-2</v>
      </c>
    </row>
    <row r="77" spans="1:14" ht="13.35" hidden="1">
      <c r="A77" s="529" t="s">
        <v>109</v>
      </c>
      <c r="B77" t="s">
        <v>145</v>
      </c>
      <c r="C77" s="526">
        <v>0</v>
      </c>
      <c r="D77" s="526">
        <v>0</v>
      </c>
      <c r="E77" s="526">
        <v>0</v>
      </c>
      <c r="F77" s="526">
        <v>0</v>
      </c>
      <c r="G77" s="526">
        <v>0</v>
      </c>
      <c r="H77" s="526">
        <v>0</v>
      </c>
      <c r="I77" s="526">
        <v>0</v>
      </c>
      <c r="J77">
        <v>0</v>
      </c>
      <c r="K77" s="527">
        <v>0</v>
      </c>
      <c r="L77">
        <v>0</v>
      </c>
      <c r="M77" s="526">
        <v>0</v>
      </c>
      <c r="N77" s="526">
        <v>0</v>
      </c>
    </row>
    <row r="78" spans="1:14" ht="13.35" hidden="1">
      <c r="A78" s="529" t="s">
        <v>110</v>
      </c>
      <c r="B78" t="s">
        <v>145</v>
      </c>
      <c r="C78" s="526">
        <v>0</v>
      </c>
      <c r="D78" s="526">
        <v>0</v>
      </c>
      <c r="E78" s="526">
        <v>0</v>
      </c>
      <c r="F78" s="526">
        <v>0</v>
      </c>
      <c r="G78" s="526">
        <v>0</v>
      </c>
      <c r="H78" s="526">
        <v>0</v>
      </c>
      <c r="I78" s="526">
        <v>0</v>
      </c>
      <c r="J78">
        <v>0</v>
      </c>
      <c r="K78" s="527">
        <v>0</v>
      </c>
      <c r="L78">
        <v>0</v>
      </c>
      <c r="M78" s="526">
        <v>0</v>
      </c>
      <c r="N78" s="526">
        <v>0</v>
      </c>
    </row>
    <row r="79" spans="1:14" ht="13.35" hidden="1">
      <c r="A79" s="529" t="s">
        <v>116</v>
      </c>
      <c r="B79" t="s">
        <v>145</v>
      </c>
      <c r="C79" s="526">
        <v>0</v>
      </c>
      <c r="D79" s="526">
        <v>0</v>
      </c>
      <c r="E79" s="526">
        <v>0</v>
      </c>
      <c r="F79" s="526">
        <v>0</v>
      </c>
      <c r="G79" s="526">
        <v>0</v>
      </c>
      <c r="H79" s="526">
        <v>0</v>
      </c>
      <c r="I79" s="526">
        <v>0</v>
      </c>
      <c r="J79">
        <v>0</v>
      </c>
      <c r="K79" s="527">
        <v>0</v>
      </c>
      <c r="L79">
        <v>0</v>
      </c>
      <c r="M79" s="526">
        <v>0</v>
      </c>
      <c r="N79" s="526">
        <v>0</v>
      </c>
    </row>
    <row r="80" spans="1:14" ht="13.35" hidden="1">
      <c r="A80" s="529" t="s">
        <v>111</v>
      </c>
      <c r="B80" t="s">
        <v>145</v>
      </c>
      <c r="C80" s="526">
        <v>63.148432306644615</v>
      </c>
      <c r="D80" s="526">
        <v>63.148432306644615</v>
      </c>
      <c r="E80" s="526">
        <v>63.148432306644615</v>
      </c>
      <c r="F80" s="526">
        <v>63.148432306644615</v>
      </c>
      <c r="G80" s="526">
        <v>63.148432306644615</v>
      </c>
      <c r="H80" s="526">
        <v>63.148432306644615</v>
      </c>
      <c r="I80" s="526">
        <v>63.148432306644615</v>
      </c>
      <c r="J80">
        <v>63.148432306644615</v>
      </c>
      <c r="K80" s="527">
        <v>63.148432306644615</v>
      </c>
      <c r="L80">
        <v>63.148432306644615</v>
      </c>
      <c r="M80" s="526">
        <v>63.148432306644615</v>
      </c>
      <c r="N80" s="526">
        <v>63.148432306644615</v>
      </c>
    </row>
    <row r="81" spans="1:14" ht="13.35" hidden="1">
      <c r="A81" s="529" t="s">
        <v>120</v>
      </c>
      <c r="B81" t="s">
        <v>145</v>
      </c>
      <c r="C81" s="526">
        <v>0</v>
      </c>
      <c r="D81" s="526">
        <v>0</v>
      </c>
      <c r="E81" s="526">
        <v>0</v>
      </c>
      <c r="F81" s="526">
        <v>0</v>
      </c>
      <c r="G81" s="526">
        <v>0</v>
      </c>
      <c r="H81" s="526">
        <v>0</v>
      </c>
      <c r="I81" s="526">
        <v>44.380342196340052</v>
      </c>
      <c r="J81">
        <v>44.380342196340052</v>
      </c>
      <c r="K81" s="527">
        <v>44.380342196340052</v>
      </c>
      <c r="L81">
        <v>44.380342196340052</v>
      </c>
      <c r="M81" s="526">
        <v>44.380342196340052</v>
      </c>
      <c r="N81" s="526">
        <v>44.380342196340052</v>
      </c>
    </row>
    <row r="82" spans="1:14" ht="13.35" hidden="1">
      <c r="A82" s="529" t="s">
        <v>113</v>
      </c>
      <c r="B82" t="s">
        <v>146</v>
      </c>
      <c r="C82" s="526">
        <v>6224.2422831529047</v>
      </c>
      <c r="D82" s="526">
        <v>6224.2422831529047</v>
      </c>
      <c r="E82" s="526">
        <v>6224.2422831529047</v>
      </c>
      <c r="F82" s="526">
        <v>6224.2422831529047</v>
      </c>
      <c r="G82" s="526">
        <v>6224.2422831529047</v>
      </c>
      <c r="H82" s="526">
        <v>6224.2422831529047</v>
      </c>
      <c r="I82" s="526">
        <v>6224.2422831529047</v>
      </c>
      <c r="J82" s="527">
        <v>6224.2422831529047</v>
      </c>
      <c r="K82" s="527">
        <v>6224.2422831529047</v>
      </c>
      <c r="L82">
        <v>6224.2422831529047</v>
      </c>
      <c r="M82" s="528">
        <v>6224.2422831529047</v>
      </c>
      <c r="N82">
        <v>6224.2422831529047</v>
      </c>
    </row>
    <row r="83" spans="1:14" ht="13.35" hidden="1">
      <c r="A83" s="529" t="s">
        <v>119</v>
      </c>
      <c r="B83" t="s">
        <v>146</v>
      </c>
      <c r="C83" s="526">
        <v>533.50648141310614</v>
      </c>
      <c r="D83" s="526">
        <v>533.50648141310614</v>
      </c>
      <c r="E83" s="526">
        <v>533.50648141310614</v>
      </c>
      <c r="F83" s="526">
        <v>533.50648141310614</v>
      </c>
      <c r="G83" s="526">
        <v>533.50648141310614</v>
      </c>
      <c r="H83" s="526">
        <v>533.50648141310614</v>
      </c>
      <c r="I83" s="526">
        <v>533.50648141310614</v>
      </c>
      <c r="J83">
        <v>533.50648141310614</v>
      </c>
      <c r="K83" s="527">
        <v>533.50648141310614</v>
      </c>
      <c r="L83">
        <v>533.50648141310614</v>
      </c>
      <c r="M83" s="528">
        <v>533.50648141310614</v>
      </c>
      <c r="N83">
        <v>533.50648141310614</v>
      </c>
    </row>
    <row r="84" spans="1:14" ht="13.35" hidden="1">
      <c r="A84" s="529" t="s">
        <v>117</v>
      </c>
      <c r="B84" t="s">
        <v>146</v>
      </c>
      <c r="C84" s="526">
        <v>288.98267743209914</v>
      </c>
      <c r="D84" s="526">
        <v>288.98267743209914</v>
      </c>
      <c r="E84" s="526">
        <v>288.98267743209914</v>
      </c>
      <c r="F84" s="526">
        <v>288.98267743209914</v>
      </c>
      <c r="G84" s="526">
        <v>288.98267743209914</v>
      </c>
      <c r="H84" s="526">
        <v>288.98267743209914</v>
      </c>
      <c r="I84" s="526">
        <v>288.98267743209914</v>
      </c>
      <c r="J84">
        <v>288.98267743209914</v>
      </c>
      <c r="K84" s="527">
        <v>288.98267743209914</v>
      </c>
      <c r="L84">
        <v>288.98267743209914</v>
      </c>
      <c r="M84" s="528">
        <v>288.98267743209914</v>
      </c>
      <c r="N84">
        <v>288.98267743209914</v>
      </c>
    </row>
    <row r="85" spans="1:14" ht="13.35" hidden="1">
      <c r="A85" s="529" t="s">
        <v>121</v>
      </c>
      <c r="B85" t="s">
        <v>146</v>
      </c>
      <c r="C85" s="526">
        <v>248.96969132611619</v>
      </c>
      <c r="D85" s="526">
        <v>248.96969132611619</v>
      </c>
      <c r="E85" s="526">
        <v>248.96969132611619</v>
      </c>
      <c r="F85" s="526">
        <v>248.96969132611619</v>
      </c>
      <c r="G85" s="526">
        <v>248.96969132611619</v>
      </c>
      <c r="H85" s="526">
        <v>248.96969132611619</v>
      </c>
      <c r="I85" s="526">
        <v>248.96969132611619</v>
      </c>
      <c r="J85">
        <v>248.96969132611619</v>
      </c>
      <c r="K85" s="527">
        <v>248.96969132611619</v>
      </c>
      <c r="L85">
        <v>248.96969132611619</v>
      </c>
      <c r="M85" s="528">
        <v>248.96969132611619</v>
      </c>
      <c r="N85">
        <v>248.96969132611619</v>
      </c>
    </row>
    <row r="86" spans="1:14" ht="13.35" hidden="1">
      <c r="A86" s="529" t="s">
        <v>114</v>
      </c>
      <c r="B86" t="s">
        <v>146</v>
      </c>
      <c r="C86" s="526">
        <v>197.753069110458</v>
      </c>
      <c r="D86" s="526">
        <v>197.753069110458</v>
      </c>
      <c r="E86" s="526">
        <v>197.753069110458</v>
      </c>
      <c r="F86" s="526">
        <v>197.753069110458</v>
      </c>
      <c r="G86" s="526">
        <v>197.753069110458</v>
      </c>
      <c r="H86" s="526">
        <v>197.753069110458</v>
      </c>
      <c r="I86" s="526">
        <v>197.753069110458</v>
      </c>
      <c r="J86">
        <v>197.753069110458</v>
      </c>
      <c r="K86" s="527">
        <v>197.753069110458</v>
      </c>
      <c r="L86">
        <v>197.753069110458</v>
      </c>
      <c r="M86" s="528">
        <v>197.753069110458</v>
      </c>
      <c r="N86">
        <v>197.753069110458</v>
      </c>
    </row>
    <row r="87" spans="1:14" ht="13.35">
      <c r="A87" s="529" t="s">
        <v>108</v>
      </c>
      <c r="B87" t="s">
        <v>146</v>
      </c>
      <c r="C87" s="526">
        <v>443.52172154809551</v>
      </c>
      <c r="D87" s="526">
        <v>443.52172154809551</v>
      </c>
      <c r="E87" s="526">
        <v>443.52172154809551</v>
      </c>
      <c r="F87" s="526">
        <v>443.52172154809551</v>
      </c>
      <c r="G87" s="526">
        <v>443.52172154809551</v>
      </c>
      <c r="H87" s="526">
        <v>443.52172154809551</v>
      </c>
      <c r="I87" s="526">
        <v>443.52172154809551</v>
      </c>
      <c r="J87">
        <v>443.52172154809551</v>
      </c>
      <c r="K87" s="527">
        <v>443.52172154809551</v>
      </c>
      <c r="L87">
        <v>443.52172154809551</v>
      </c>
      <c r="M87" s="528">
        <v>443.52172154809551</v>
      </c>
      <c r="N87">
        <v>443.52172154809551</v>
      </c>
    </row>
    <row r="88" spans="1:14" ht="13.35" hidden="1">
      <c r="A88" s="529" t="s">
        <v>112</v>
      </c>
      <c r="B88" t="s">
        <v>146</v>
      </c>
      <c r="C88" s="526">
        <v>266.75324070655307</v>
      </c>
      <c r="D88" s="526">
        <v>266.75324070655307</v>
      </c>
      <c r="E88" s="526">
        <v>266.75324070655307</v>
      </c>
      <c r="F88" s="526">
        <v>266.75324070655307</v>
      </c>
      <c r="G88" s="526">
        <v>266.75324070655307</v>
      </c>
      <c r="H88" s="526">
        <v>266.75324070655307</v>
      </c>
      <c r="I88" s="526">
        <v>266.75324070655307</v>
      </c>
      <c r="J88">
        <v>266.75324070655307</v>
      </c>
      <c r="K88" s="527">
        <v>266.75324070655307</v>
      </c>
      <c r="L88">
        <v>266.75324070655307</v>
      </c>
      <c r="M88" s="528">
        <v>266.75324070655307</v>
      </c>
      <c r="N88">
        <v>266.75324070655307</v>
      </c>
    </row>
    <row r="89" spans="1:14" ht="13.35" hidden="1">
      <c r="A89" s="529" t="s">
        <v>107</v>
      </c>
      <c r="B89" t="s">
        <v>146</v>
      </c>
      <c r="C89" s="526">
        <v>308.36674625677534</v>
      </c>
      <c r="D89" s="526">
        <v>308.36674625677534</v>
      </c>
      <c r="E89" s="526">
        <v>308.36674625677534</v>
      </c>
      <c r="F89" s="526">
        <v>308.36674625677534</v>
      </c>
      <c r="G89" s="526">
        <v>308.36674625677534</v>
      </c>
      <c r="H89" s="526">
        <v>308.36674625677534</v>
      </c>
      <c r="I89" s="526">
        <v>308.36674625677534</v>
      </c>
      <c r="J89">
        <v>308.36674625677534</v>
      </c>
      <c r="K89" s="527">
        <v>308.36674625677534</v>
      </c>
      <c r="L89">
        <v>308.36674625677534</v>
      </c>
      <c r="M89" s="528">
        <v>308.36674625677534</v>
      </c>
      <c r="N89">
        <v>308.36674625677534</v>
      </c>
    </row>
    <row r="90" spans="1:14" ht="13.35" hidden="1">
      <c r="A90" s="529" t="s">
        <v>118</v>
      </c>
      <c r="B90" t="s">
        <v>146</v>
      </c>
      <c r="C90" s="526">
        <v>693.55842583703804</v>
      </c>
      <c r="D90" s="526">
        <v>693.55842583703804</v>
      </c>
      <c r="E90" s="526">
        <v>693.55842583703804</v>
      </c>
      <c r="F90" s="526">
        <v>693.55842583703804</v>
      </c>
      <c r="G90" s="526">
        <v>693.55842583703804</v>
      </c>
      <c r="H90" s="526">
        <v>693.55842583703804</v>
      </c>
      <c r="I90" s="526">
        <v>693.55842583703804</v>
      </c>
      <c r="J90" s="527">
        <v>693.55842583703804</v>
      </c>
      <c r="K90" s="527">
        <v>693.55842583703804</v>
      </c>
      <c r="L90">
        <v>693.55842583703804</v>
      </c>
      <c r="M90">
        <v>693.55842583703804</v>
      </c>
      <c r="N90">
        <v>693.55842583703804</v>
      </c>
    </row>
    <row r="91" spans="1:14" ht="13.35" hidden="1">
      <c r="A91" s="529" t="s">
        <v>115</v>
      </c>
      <c r="B91" t="s">
        <v>146</v>
      </c>
      <c r="C91" s="526">
        <v>228.87428052622252</v>
      </c>
      <c r="D91" s="526">
        <v>228.87428052622252</v>
      </c>
      <c r="E91" s="526">
        <v>228.87428052622252</v>
      </c>
      <c r="F91" s="526">
        <v>228.87428052622252</v>
      </c>
      <c r="G91" s="526">
        <v>228.87428052622252</v>
      </c>
      <c r="H91" s="526">
        <v>228.87428052622252</v>
      </c>
      <c r="I91" s="526">
        <v>228.87428052622252</v>
      </c>
      <c r="J91">
        <v>228.87428052622252</v>
      </c>
      <c r="K91" s="527">
        <v>228.87428052622252</v>
      </c>
      <c r="L91">
        <v>228.87428052622252</v>
      </c>
      <c r="M91">
        <v>228.87428052622252</v>
      </c>
      <c r="N91">
        <v>228.87428052622252</v>
      </c>
    </row>
    <row r="92" spans="1:14" ht="13.35" hidden="1">
      <c r="A92" s="529" t="s">
        <v>122</v>
      </c>
      <c r="B92" t="s">
        <v>146</v>
      </c>
      <c r="C92" s="526">
        <v>291.47237434536032</v>
      </c>
      <c r="D92" s="526">
        <v>291.47237434536032</v>
      </c>
      <c r="E92" s="526">
        <v>291.47237434536032</v>
      </c>
      <c r="F92" s="526">
        <v>291.47237434536032</v>
      </c>
      <c r="G92" s="526">
        <v>291.47237434536032</v>
      </c>
      <c r="H92" s="526">
        <v>291.47237434536032</v>
      </c>
      <c r="I92" s="526">
        <v>291.47237434536032</v>
      </c>
      <c r="J92">
        <v>291.47237434536032</v>
      </c>
      <c r="K92" s="527">
        <v>291.47237434536032</v>
      </c>
      <c r="L92">
        <v>291.47237434536032</v>
      </c>
      <c r="M92">
        <v>291.47237434536032</v>
      </c>
      <c r="N92">
        <v>291.47237434536032</v>
      </c>
    </row>
    <row r="93" spans="1:14" ht="13.35" hidden="1">
      <c r="A93" s="529" t="s">
        <v>109</v>
      </c>
      <c r="B93" t="s">
        <v>146</v>
      </c>
      <c r="C93" s="526">
        <v>640.20777769572749</v>
      </c>
      <c r="D93" s="526">
        <v>640.20777769572749</v>
      </c>
      <c r="E93" s="526">
        <v>640.20777769572749</v>
      </c>
      <c r="F93" s="526">
        <v>640.20777769572749</v>
      </c>
      <c r="G93" s="526">
        <v>640.20777769572749</v>
      </c>
      <c r="H93" s="526">
        <v>640.20777769572749</v>
      </c>
      <c r="I93" s="526">
        <v>640.20777769572749</v>
      </c>
      <c r="J93">
        <v>640.20777769572749</v>
      </c>
      <c r="K93" s="527">
        <v>640.20777769572749</v>
      </c>
      <c r="L93">
        <v>640.20777769572749</v>
      </c>
      <c r="M93">
        <v>640.20777769572749</v>
      </c>
      <c r="N93">
        <v>640.20777769572749</v>
      </c>
    </row>
    <row r="94" spans="1:14" ht="13.35" hidden="1">
      <c r="A94" s="529" t="s">
        <v>110</v>
      </c>
      <c r="B94" t="s">
        <v>146</v>
      </c>
      <c r="C94" s="526">
        <v>282.22492866753316</v>
      </c>
      <c r="D94" s="526">
        <v>282.22492866753316</v>
      </c>
      <c r="E94" s="526">
        <v>282.22492866753316</v>
      </c>
      <c r="F94" s="526">
        <v>282.22492866753316</v>
      </c>
      <c r="G94" s="526">
        <v>282.22492866753316</v>
      </c>
      <c r="H94" s="526">
        <v>282.22492866753316</v>
      </c>
      <c r="I94" s="526">
        <v>282.22492866753316</v>
      </c>
      <c r="J94">
        <v>282.22492866753316</v>
      </c>
      <c r="K94" s="527">
        <v>282.22492866753316</v>
      </c>
      <c r="L94">
        <v>282.22492866753316</v>
      </c>
      <c r="M94">
        <v>282.22492866753316</v>
      </c>
      <c r="N94">
        <v>282.22492866753316</v>
      </c>
    </row>
    <row r="95" spans="1:14" ht="13.35" hidden="1">
      <c r="A95" s="529" t="s">
        <v>116</v>
      </c>
      <c r="B95" t="s">
        <v>146</v>
      </c>
      <c r="C95" s="526">
        <v>231.18614194567934</v>
      </c>
      <c r="D95" s="526">
        <v>231.18614194567934</v>
      </c>
      <c r="E95" s="526">
        <v>231.18614194567934</v>
      </c>
      <c r="F95" s="526">
        <v>231.18614194567934</v>
      </c>
      <c r="G95" s="526">
        <v>231.18614194567934</v>
      </c>
      <c r="H95" s="526">
        <v>231.18614194567934</v>
      </c>
      <c r="I95" s="526">
        <v>231.18614194567934</v>
      </c>
      <c r="J95">
        <v>231.18614194567934</v>
      </c>
      <c r="K95" s="527">
        <v>231.18614194567934</v>
      </c>
      <c r="L95">
        <v>231.18614194567934</v>
      </c>
      <c r="M95">
        <v>231.18614194567934</v>
      </c>
      <c r="N95">
        <v>231.18614194567934</v>
      </c>
    </row>
    <row r="96" spans="1:14" ht="13.35" hidden="1">
      <c r="A96" s="529" t="s">
        <v>111</v>
      </c>
      <c r="B96" t="s">
        <v>146</v>
      </c>
      <c r="C96" s="526">
        <v>626.69228016659542</v>
      </c>
      <c r="D96" s="526">
        <v>626.69228016659542</v>
      </c>
      <c r="E96" s="526">
        <v>626.69228016659542</v>
      </c>
      <c r="F96" s="526">
        <v>626.69228016659542</v>
      </c>
      <c r="G96" s="526">
        <v>626.69228016659542</v>
      </c>
      <c r="H96" s="526">
        <v>626.69228016659542</v>
      </c>
      <c r="I96" s="526">
        <v>626.69228016659542</v>
      </c>
      <c r="J96">
        <v>626.69228016659542</v>
      </c>
      <c r="K96" s="527">
        <v>626.69228016659542</v>
      </c>
      <c r="L96">
        <v>626.69228016659542</v>
      </c>
      <c r="M96">
        <v>626.69228016659542</v>
      </c>
      <c r="N96">
        <v>626.69228016659542</v>
      </c>
    </row>
    <row r="97" spans="1:14" ht="13.35" hidden="1">
      <c r="A97" s="529" t="s">
        <v>120</v>
      </c>
      <c r="B97" t="s">
        <v>146</v>
      </c>
      <c r="C97" s="526">
        <v>0</v>
      </c>
      <c r="D97" s="526">
        <v>0</v>
      </c>
      <c r="E97" s="526">
        <v>0</v>
      </c>
      <c r="F97" s="526">
        <v>0</v>
      </c>
      <c r="G97" s="526">
        <v>0</v>
      </c>
      <c r="H97" s="526">
        <v>0</v>
      </c>
      <c r="I97" s="526">
        <v>534.75132986973665</v>
      </c>
      <c r="J97">
        <v>534.75132986973665</v>
      </c>
      <c r="K97" s="527">
        <v>534.75132986973665</v>
      </c>
      <c r="L97">
        <v>534.75132986973665</v>
      </c>
      <c r="M97">
        <v>534.75132986973665</v>
      </c>
      <c r="N97">
        <v>534.75132986973665</v>
      </c>
    </row>
    <row r="98" spans="1:14" ht="13.35" hidden="1">
      <c r="A98" s="529" t="s">
        <v>113</v>
      </c>
      <c r="B98" t="s">
        <v>147</v>
      </c>
      <c r="C98" s="526">
        <v>0</v>
      </c>
      <c r="D98" s="526">
        <v>0</v>
      </c>
      <c r="E98" s="526">
        <v>0</v>
      </c>
      <c r="F98" s="526">
        <v>0</v>
      </c>
      <c r="G98" s="526">
        <v>0</v>
      </c>
      <c r="H98" s="526">
        <v>0</v>
      </c>
      <c r="I98" s="526">
        <v>0</v>
      </c>
      <c r="J98" s="527">
        <v>0</v>
      </c>
      <c r="K98" s="527">
        <v>0</v>
      </c>
      <c r="L98">
        <v>0</v>
      </c>
      <c r="M98">
        <v>0</v>
      </c>
      <c r="N98">
        <v>0</v>
      </c>
    </row>
    <row r="99" spans="1:14" ht="13.35" hidden="1">
      <c r="A99" s="529" t="s">
        <v>119</v>
      </c>
      <c r="B99" t="s">
        <v>147</v>
      </c>
      <c r="C99" s="526"/>
      <c r="D99" s="526"/>
      <c r="E99" s="526"/>
      <c r="F99" s="526"/>
      <c r="G99" s="526"/>
      <c r="H99" s="526"/>
      <c r="I99" s="526"/>
      <c r="K99" s="527"/>
    </row>
    <row r="100" spans="1:14" ht="13.35" hidden="1">
      <c r="A100" s="529" t="s">
        <v>117</v>
      </c>
      <c r="B100" t="s">
        <v>147</v>
      </c>
      <c r="C100" s="526"/>
      <c r="D100" s="526"/>
      <c r="E100" s="526"/>
      <c r="F100" s="526"/>
      <c r="G100" s="526"/>
      <c r="H100" s="526"/>
      <c r="I100" s="526"/>
      <c r="K100" s="527"/>
    </row>
    <row r="101" spans="1:14" ht="13.35" hidden="1">
      <c r="A101" s="529" t="s">
        <v>121</v>
      </c>
      <c r="B101" t="s">
        <v>147</v>
      </c>
      <c r="C101" s="526"/>
      <c r="D101" s="526"/>
      <c r="E101" s="526"/>
      <c r="F101" s="526"/>
      <c r="G101" s="526"/>
      <c r="H101" s="526"/>
      <c r="I101" s="526"/>
      <c r="K101" s="527"/>
    </row>
    <row r="102" spans="1:14" ht="13.35" hidden="1">
      <c r="A102" s="529" t="s">
        <v>114</v>
      </c>
      <c r="B102" t="s">
        <v>147</v>
      </c>
      <c r="C102" s="526"/>
      <c r="D102" s="526"/>
      <c r="E102" s="526"/>
      <c r="F102" s="526"/>
      <c r="G102" s="526"/>
      <c r="H102" s="526"/>
      <c r="I102" s="526"/>
      <c r="K102" s="527"/>
    </row>
    <row r="103" spans="1:14" ht="13.35">
      <c r="A103" s="529" t="s">
        <v>108</v>
      </c>
      <c r="B103" t="s">
        <v>147</v>
      </c>
      <c r="C103" s="526">
        <v>500</v>
      </c>
      <c r="D103" s="526">
        <v>500</v>
      </c>
      <c r="E103" s="526">
        <v>500</v>
      </c>
      <c r="F103" s="526">
        <v>500</v>
      </c>
      <c r="G103" s="526">
        <v>500</v>
      </c>
      <c r="H103" s="526">
        <v>500</v>
      </c>
      <c r="I103" s="526">
        <v>500</v>
      </c>
      <c r="J103">
        <v>500</v>
      </c>
      <c r="K103" s="527">
        <v>500</v>
      </c>
      <c r="L103">
        <v>500</v>
      </c>
      <c r="M103">
        <v>500</v>
      </c>
      <c r="N103">
        <v>500</v>
      </c>
    </row>
    <row r="104" spans="1:14" ht="13.35" hidden="1">
      <c r="A104" s="529" t="s">
        <v>112</v>
      </c>
      <c r="B104" t="s">
        <v>147</v>
      </c>
      <c r="C104" s="526"/>
      <c r="D104" s="526"/>
      <c r="E104" s="526"/>
      <c r="F104" s="526"/>
      <c r="G104" s="526"/>
      <c r="H104" s="526"/>
      <c r="I104" s="526"/>
      <c r="K104" s="527"/>
    </row>
    <row r="105" spans="1:14" ht="13.35" hidden="1">
      <c r="A105" s="529" t="s">
        <v>107</v>
      </c>
      <c r="B105" t="s">
        <v>147</v>
      </c>
      <c r="C105" s="526"/>
      <c r="D105" s="526"/>
      <c r="E105" s="526"/>
      <c r="F105" s="526"/>
      <c r="G105" s="526"/>
      <c r="H105" s="526"/>
      <c r="I105" s="526"/>
      <c r="K105" s="527"/>
    </row>
    <row r="106" spans="1:14" ht="13.35" hidden="1">
      <c r="A106" s="529" t="s">
        <v>118</v>
      </c>
      <c r="B106" t="s">
        <v>147</v>
      </c>
      <c r="C106" s="526"/>
      <c r="D106" s="526"/>
      <c r="E106" s="526"/>
      <c r="F106" s="526"/>
      <c r="G106" s="526"/>
      <c r="H106" s="526"/>
      <c r="I106" s="526"/>
      <c r="J106" s="527"/>
      <c r="K106" s="528"/>
    </row>
    <row r="107" spans="1:14" ht="13.35" hidden="1">
      <c r="A107" s="529" t="s">
        <v>115</v>
      </c>
      <c r="B107" t="s">
        <v>147</v>
      </c>
      <c r="C107" s="526">
        <v>70.83</v>
      </c>
      <c r="D107" s="526">
        <v>70.83</v>
      </c>
      <c r="E107" s="526">
        <v>70.83</v>
      </c>
      <c r="F107" s="526">
        <v>70.83</v>
      </c>
      <c r="G107" s="526">
        <v>70.83</v>
      </c>
      <c r="H107" s="526">
        <v>70.83</v>
      </c>
      <c r="I107" s="526">
        <v>70.83</v>
      </c>
      <c r="J107">
        <v>70.83</v>
      </c>
      <c r="K107" s="528">
        <v>70.83</v>
      </c>
      <c r="L107">
        <v>70.83</v>
      </c>
      <c r="M107">
        <v>70.83</v>
      </c>
      <c r="N107">
        <v>70.83</v>
      </c>
    </row>
    <row r="108" spans="1:14" ht="13.35" hidden="1">
      <c r="A108" s="529" t="s">
        <v>122</v>
      </c>
      <c r="B108" t="s">
        <v>147</v>
      </c>
      <c r="C108" s="526"/>
      <c r="D108" s="526"/>
      <c r="E108" s="526"/>
      <c r="F108" s="526"/>
      <c r="G108" s="526"/>
      <c r="H108" s="526"/>
      <c r="I108" s="526"/>
      <c r="K108" s="528"/>
    </row>
    <row r="109" spans="1:14" ht="13.35" hidden="1">
      <c r="A109" s="529" t="s">
        <v>109</v>
      </c>
      <c r="B109" t="s">
        <v>147</v>
      </c>
      <c r="C109" s="526">
        <v>500</v>
      </c>
      <c r="D109" s="526">
        <v>500</v>
      </c>
      <c r="E109" s="526">
        <v>500</v>
      </c>
      <c r="F109" s="526">
        <v>500</v>
      </c>
      <c r="G109" s="526">
        <v>500</v>
      </c>
      <c r="H109" s="526">
        <v>500</v>
      </c>
      <c r="I109" s="526">
        <v>500</v>
      </c>
      <c r="J109">
        <v>500</v>
      </c>
      <c r="K109" s="528">
        <v>500</v>
      </c>
      <c r="L109">
        <v>500</v>
      </c>
      <c r="M109">
        <v>500</v>
      </c>
      <c r="N109">
        <v>500</v>
      </c>
    </row>
    <row r="110" spans="1:14" ht="13.35" hidden="1">
      <c r="A110" s="529" t="s">
        <v>110</v>
      </c>
      <c r="B110" t="s">
        <v>147</v>
      </c>
      <c r="C110" s="526"/>
      <c r="D110" s="526"/>
      <c r="E110" s="526"/>
      <c r="F110" s="526"/>
      <c r="G110" s="526"/>
      <c r="H110" s="526"/>
      <c r="I110" s="526"/>
      <c r="K110" s="528"/>
    </row>
    <row r="111" spans="1:14" ht="13.35" hidden="1">
      <c r="A111" s="529" t="s">
        <v>116</v>
      </c>
      <c r="B111" t="s">
        <v>147</v>
      </c>
      <c r="C111" s="526"/>
      <c r="D111" s="526"/>
      <c r="E111" s="526"/>
      <c r="F111" s="526"/>
      <c r="G111" s="526"/>
      <c r="H111" s="526"/>
      <c r="I111" s="526"/>
      <c r="K111" s="528"/>
    </row>
    <row r="112" spans="1:14" ht="13.35" hidden="1">
      <c r="A112" s="529" t="s">
        <v>111</v>
      </c>
      <c r="B112" t="s">
        <v>147</v>
      </c>
      <c r="C112" s="526"/>
      <c r="D112" s="526"/>
      <c r="E112" s="526"/>
      <c r="F112" s="526"/>
      <c r="G112" s="526"/>
      <c r="H112" s="526"/>
      <c r="I112" s="526"/>
      <c r="K112" s="528"/>
    </row>
    <row r="113" spans="1:14" ht="13.35" hidden="1">
      <c r="A113" s="529" t="s">
        <v>120</v>
      </c>
      <c r="B113" t="s">
        <v>147</v>
      </c>
      <c r="C113" s="526"/>
      <c r="D113" s="526"/>
      <c r="E113" s="526"/>
      <c r="F113" s="526"/>
      <c r="G113" s="526"/>
      <c r="H113" s="526"/>
      <c r="I113" s="526"/>
      <c r="K113" s="528"/>
    </row>
    <row r="114" spans="1:14" ht="13.35" hidden="1">
      <c r="A114" s="529" t="s">
        <v>87</v>
      </c>
      <c r="B114" t="s">
        <v>147</v>
      </c>
      <c r="C114" s="526">
        <v>2000</v>
      </c>
      <c r="D114" s="526">
        <v>2000</v>
      </c>
      <c r="E114" s="526">
        <v>2000</v>
      </c>
      <c r="F114" s="526">
        <v>2000</v>
      </c>
      <c r="G114" s="526">
        <v>2000</v>
      </c>
      <c r="H114" s="526">
        <v>2000</v>
      </c>
      <c r="I114" s="526">
        <v>2000</v>
      </c>
      <c r="J114">
        <v>2000</v>
      </c>
      <c r="K114" s="528">
        <v>2000</v>
      </c>
      <c r="L114">
        <v>2000</v>
      </c>
      <c r="M114">
        <v>2000</v>
      </c>
      <c r="N114">
        <v>2000</v>
      </c>
    </row>
    <row r="115" spans="1:14" ht="13.35" hidden="1">
      <c r="A115" s="529" t="s">
        <v>60</v>
      </c>
      <c r="B115" t="s">
        <v>147</v>
      </c>
      <c r="C115" s="526">
        <v>1500</v>
      </c>
      <c r="D115" s="526">
        <v>1500</v>
      </c>
      <c r="E115" s="526">
        <v>1500</v>
      </c>
      <c r="F115" s="526">
        <v>1500</v>
      </c>
      <c r="G115" s="526">
        <v>1500</v>
      </c>
      <c r="H115" s="526">
        <v>1500</v>
      </c>
      <c r="I115" s="526">
        <v>1500</v>
      </c>
      <c r="J115">
        <v>1500</v>
      </c>
      <c r="K115" s="528">
        <v>1500</v>
      </c>
      <c r="L115">
        <v>1500</v>
      </c>
      <c r="M115">
        <v>1500</v>
      </c>
      <c r="N115">
        <v>1500</v>
      </c>
    </row>
    <row r="116" spans="1:14" ht="13.35" hidden="1">
      <c r="A116" s="529" t="s">
        <v>35</v>
      </c>
      <c r="B116" t="s">
        <v>147</v>
      </c>
      <c r="C116" s="526">
        <v>15</v>
      </c>
      <c r="D116" s="526">
        <v>15</v>
      </c>
      <c r="E116" s="526">
        <v>15</v>
      </c>
      <c r="F116" s="526">
        <v>15</v>
      </c>
      <c r="G116" s="526">
        <v>15</v>
      </c>
      <c r="H116" s="526">
        <v>15</v>
      </c>
      <c r="I116" s="526">
        <v>15</v>
      </c>
      <c r="J116">
        <v>15</v>
      </c>
      <c r="K116" s="528">
        <v>15</v>
      </c>
      <c r="L116">
        <v>15</v>
      </c>
      <c r="M116">
        <v>15</v>
      </c>
      <c r="N116">
        <v>15</v>
      </c>
    </row>
    <row r="117" spans="1:14" ht="15.4" hidden="1">
      <c r="A117" s="529" t="s">
        <v>113</v>
      </c>
      <c r="B117" t="s">
        <v>148</v>
      </c>
      <c r="C117" s="584">
        <v>1614.02</v>
      </c>
      <c r="D117" s="584">
        <v>1614.02</v>
      </c>
      <c r="E117" s="584">
        <v>1614.02</v>
      </c>
      <c r="F117" s="584">
        <v>1614.02</v>
      </c>
      <c r="G117" s="584">
        <v>1614.02</v>
      </c>
      <c r="H117" s="584">
        <v>1614.02</v>
      </c>
      <c r="I117" s="584">
        <v>1614.02</v>
      </c>
      <c r="J117" s="584">
        <v>1614.02</v>
      </c>
      <c r="K117" s="584">
        <v>1614.02</v>
      </c>
      <c r="L117" s="584">
        <v>1614.02</v>
      </c>
      <c r="M117" s="584">
        <v>1614.02</v>
      </c>
      <c r="N117" s="584">
        <v>1614.02</v>
      </c>
    </row>
    <row r="118" spans="1:14" ht="13.35" hidden="1">
      <c r="A118" s="529" t="s">
        <v>119</v>
      </c>
      <c r="B118" t="s">
        <v>148</v>
      </c>
      <c r="C118" s="526">
        <v>200.61256150791161</v>
      </c>
      <c r="D118" s="526">
        <v>200.61256150791161</v>
      </c>
      <c r="E118" s="526">
        <v>200.61256150791161</v>
      </c>
      <c r="F118" s="526">
        <v>200.61256150791161</v>
      </c>
      <c r="G118" s="526">
        <v>200.61256150791161</v>
      </c>
      <c r="H118" s="526">
        <v>200.61256150791161</v>
      </c>
      <c r="I118" s="526">
        <v>200.61256150791161</v>
      </c>
      <c r="J118" s="527">
        <v>200.61256150791161</v>
      </c>
      <c r="K118" s="527">
        <v>200.61256150791161</v>
      </c>
      <c r="L118" s="527">
        <v>205.25531150791159</v>
      </c>
      <c r="M118" s="527">
        <v>205.25531150791159</v>
      </c>
      <c r="N118" s="527">
        <v>205.25531150791159</v>
      </c>
    </row>
    <row r="119" spans="1:14" ht="13.35" hidden="1">
      <c r="A119" s="529" t="s">
        <v>117</v>
      </c>
      <c r="B119" t="s">
        <v>148</v>
      </c>
      <c r="C119" s="526">
        <v>80.770070727929465</v>
      </c>
      <c r="D119" s="526">
        <v>80.770070727929465</v>
      </c>
      <c r="E119" s="526">
        <v>80.770070727929465</v>
      </c>
      <c r="F119" s="526">
        <v>80.770070727929465</v>
      </c>
      <c r="G119" s="526">
        <v>80.770070727929465</v>
      </c>
      <c r="H119" s="526">
        <v>80.770070727929465</v>
      </c>
      <c r="I119" s="526">
        <v>80.770070727929465</v>
      </c>
      <c r="J119" s="527">
        <v>80.770070727929465</v>
      </c>
      <c r="K119" s="527">
        <v>80.770070727929465</v>
      </c>
      <c r="L119" s="527">
        <v>80.770070727929465</v>
      </c>
      <c r="M119" s="527">
        <v>80.770070727929465</v>
      </c>
      <c r="N119" s="527">
        <v>80.770070727929465</v>
      </c>
    </row>
    <row r="120" spans="1:14" ht="13.35" hidden="1">
      <c r="A120" s="529" t="s">
        <v>121</v>
      </c>
      <c r="B120" t="s">
        <v>148</v>
      </c>
      <c r="C120" s="526">
        <v>82.030411433128762</v>
      </c>
      <c r="D120" s="526">
        <v>82.030411433128762</v>
      </c>
      <c r="E120" s="526">
        <v>82.030411433128762</v>
      </c>
      <c r="F120" s="526">
        <v>82.030411433128762</v>
      </c>
      <c r="G120" s="526">
        <v>83.886911433128773</v>
      </c>
      <c r="H120" s="526">
        <v>83.886911433128773</v>
      </c>
      <c r="I120" s="526">
        <v>83.886911433128773</v>
      </c>
      <c r="J120" s="527">
        <v>83.886911433128773</v>
      </c>
      <c r="K120" s="527">
        <v>83.886911433128773</v>
      </c>
      <c r="L120" s="527">
        <v>83.886911433128773</v>
      </c>
      <c r="M120" s="527">
        <v>83.886911433128773</v>
      </c>
      <c r="N120" s="527">
        <v>83.886911433128773</v>
      </c>
    </row>
    <row r="121" spans="1:14" ht="13.35" hidden="1">
      <c r="A121" s="529" t="s">
        <v>114</v>
      </c>
      <c r="B121" t="s">
        <v>148</v>
      </c>
      <c r="C121" s="526">
        <v>68.660866795456556</v>
      </c>
      <c r="D121" s="526">
        <v>68.660866795456556</v>
      </c>
      <c r="E121" s="526">
        <v>68.660866795456556</v>
      </c>
      <c r="F121" s="526">
        <v>69.714116795456562</v>
      </c>
      <c r="G121" s="526">
        <v>69.714116795456562</v>
      </c>
      <c r="H121" s="526">
        <v>69.714116795456562</v>
      </c>
      <c r="I121" s="526">
        <v>69.714116795456562</v>
      </c>
      <c r="J121" s="527">
        <v>69.714116795456562</v>
      </c>
      <c r="K121" s="527">
        <v>69.714116795456562</v>
      </c>
      <c r="L121" s="527">
        <v>69.714116795456562</v>
      </c>
      <c r="M121" s="527">
        <v>69.714116795456562</v>
      </c>
      <c r="N121" s="527">
        <v>69.714116795456562</v>
      </c>
    </row>
    <row r="122" spans="1:14" ht="13.35">
      <c r="A122" s="529" t="s">
        <v>108</v>
      </c>
      <c r="B122" t="s">
        <v>148</v>
      </c>
      <c r="C122" s="526">
        <v>171.68220158193876</v>
      </c>
      <c r="D122" s="526">
        <v>171.68220158193876</v>
      </c>
      <c r="E122" s="526">
        <v>171.68220158193876</v>
      </c>
      <c r="F122" s="526">
        <v>171.68220158193876</v>
      </c>
      <c r="G122" s="526">
        <v>171.68220158193876</v>
      </c>
      <c r="H122" s="526">
        <v>171.68220158193876</v>
      </c>
      <c r="I122" s="526">
        <v>171.68220158193876</v>
      </c>
      <c r="J122" s="527">
        <v>171.68220158193876</v>
      </c>
      <c r="K122" s="527">
        <v>171.68220158193876</v>
      </c>
      <c r="L122" s="527">
        <v>171.68220158193876</v>
      </c>
      <c r="M122" s="527">
        <v>171.68220158193876</v>
      </c>
      <c r="N122" s="527">
        <v>171.68220158193876</v>
      </c>
    </row>
    <row r="123" spans="1:14" ht="13.35" hidden="1">
      <c r="A123" s="529" t="s">
        <v>112</v>
      </c>
      <c r="B123" t="s">
        <v>148</v>
      </c>
      <c r="C123" s="526">
        <v>82.470315821209383</v>
      </c>
      <c r="D123" s="526">
        <v>82.470315821209383</v>
      </c>
      <c r="E123" s="526">
        <v>82.470315821209383</v>
      </c>
      <c r="F123" s="526">
        <v>83.688065821209378</v>
      </c>
      <c r="G123" s="526">
        <v>83.688065821209378</v>
      </c>
      <c r="H123" s="526">
        <v>83.688065821209378</v>
      </c>
      <c r="I123" s="526">
        <v>83.688065821209378</v>
      </c>
      <c r="J123" s="527">
        <v>83.688065821209378</v>
      </c>
      <c r="K123" s="527">
        <v>83.688065821209378</v>
      </c>
      <c r="L123" s="527">
        <v>83.688065821209378</v>
      </c>
      <c r="M123" s="527">
        <v>83.688065821209378</v>
      </c>
      <c r="N123" s="527">
        <v>83.688065821209378</v>
      </c>
    </row>
    <row r="124" spans="1:14" ht="13.35" hidden="1">
      <c r="A124" s="529" t="s">
        <v>107</v>
      </c>
      <c r="B124" t="s">
        <v>148</v>
      </c>
      <c r="C124" s="526">
        <v>104.53215178367296</v>
      </c>
      <c r="D124" s="526">
        <v>104.53215178367296</v>
      </c>
      <c r="E124" s="526">
        <v>104.53215178367296</v>
      </c>
      <c r="F124" s="526">
        <v>104.53215178367296</v>
      </c>
      <c r="G124" s="526">
        <v>104.53215178367296</v>
      </c>
      <c r="H124" s="526">
        <v>104.53215178367296</v>
      </c>
      <c r="I124" s="526">
        <v>104.53215178367296</v>
      </c>
      <c r="J124" s="527">
        <v>104.53215178367296</v>
      </c>
      <c r="K124" s="527">
        <v>104.53215178367296</v>
      </c>
      <c r="L124" s="527">
        <v>104.53215178367296</v>
      </c>
      <c r="M124" s="527">
        <v>104.53215178367296</v>
      </c>
      <c r="N124" s="527">
        <v>104.53215178367296</v>
      </c>
    </row>
    <row r="125" spans="1:14" ht="13.35" hidden="1">
      <c r="A125" s="529" t="s">
        <v>118</v>
      </c>
      <c r="B125" t="s">
        <v>148</v>
      </c>
      <c r="C125" s="526">
        <v>202.43352113514439</v>
      </c>
      <c r="D125" s="526">
        <v>202.43352113514439</v>
      </c>
      <c r="E125" s="526">
        <v>202.43352113514439</v>
      </c>
      <c r="F125" s="526">
        <v>202.43352113514439</v>
      </c>
      <c r="G125" s="526">
        <v>202.43352113514439</v>
      </c>
      <c r="H125" s="526">
        <v>202.43352113514439</v>
      </c>
      <c r="I125" s="526">
        <v>202.43352113514439</v>
      </c>
      <c r="J125" s="527">
        <v>202.43352113514439</v>
      </c>
      <c r="K125" s="527">
        <v>202.43352113514439</v>
      </c>
      <c r="L125" s="527">
        <v>202.43352113514439</v>
      </c>
      <c r="M125" s="527">
        <v>206.82302113514439</v>
      </c>
      <c r="N125" s="527">
        <v>206.82302113514439</v>
      </c>
    </row>
    <row r="126" spans="1:14" ht="13.35" hidden="1">
      <c r="A126" s="529" t="s">
        <v>115</v>
      </c>
      <c r="B126" t="s">
        <v>148</v>
      </c>
      <c r="C126" s="526">
        <v>80.267282807930997</v>
      </c>
      <c r="D126" s="526">
        <v>80.267282807930997</v>
      </c>
      <c r="E126" s="526">
        <v>80.267282807930997</v>
      </c>
      <c r="F126" s="526">
        <v>80.267282807930997</v>
      </c>
      <c r="G126" s="526">
        <v>80.267282807930997</v>
      </c>
      <c r="H126" s="526">
        <v>80.267282807930997</v>
      </c>
      <c r="I126" s="526">
        <v>81.477782807930978</v>
      </c>
      <c r="J126" s="527">
        <v>81.477782807930978</v>
      </c>
      <c r="K126" s="527">
        <v>81.477782807930978</v>
      </c>
      <c r="L126" s="527">
        <v>81.477782807930978</v>
      </c>
      <c r="M126" s="527">
        <v>81.477782807930978</v>
      </c>
      <c r="N126" s="527">
        <v>81.477782807930978</v>
      </c>
    </row>
    <row r="127" spans="1:14" ht="13.35" hidden="1">
      <c r="A127" s="529" t="s">
        <v>122</v>
      </c>
      <c r="B127" t="s">
        <v>148</v>
      </c>
      <c r="C127" s="526">
        <v>92.762226253974802</v>
      </c>
      <c r="D127" s="526">
        <v>92.762226253974788</v>
      </c>
      <c r="E127" s="526">
        <v>92.762226253974788</v>
      </c>
      <c r="F127" s="526">
        <v>92.762226253974788</v>
      </c>
      <c r="G127" s="526">
        <v>92.762226253974788</v>
      </c>
      <c r="H127" s="526">
        <v>92.762226253974788</v>
      </c>
      <c r="I127" s="526">
        <v>92.762226253974788</v>
      </c>
      <c r="J127" s="527">
        <v>92.762226253974788</v>
      </c>
      <c r="K127" s="527">
        <v>92.762226253974788</v>
      </c>
      <c r="L127" s="527">
        <v>92.762226253974788</v>
      </c>
      <c r="M127" s="527">
        <v>92.762226253974788</v>
      </c>
      <c r="N127" s="527">
        <v>92.762226253974788</v>
      </c>
    </row>
    <row r="128" spans="1:14" ht="13.35" hidden="1">
      <c r="A128" s="532" t="s">
        <v>109</v>
      </c>
      <c r="B128" t="s">
        <v>148</v>
      </c>
      <c r="C128" s="526">
        <v>231.99025949340967</v>
      </c>
      <c r="D128" s="526">
        <v>231.99025949340967</v>
      </c>
      <c r="E128" s="526">
        <v>231.99025949340967</v>
      </c>
      <c r="F128" s="526">
        <v>231.99025949340967</v>
      </c>
      <c r="G128" s="526">
        <v>231.99025949340967</v>
      </c>
      <c r="H128" s="526">
        <v>231.99025949340967</v>
      </c>
      <c r="I128" s="526">
        <v>231.99025949340967</v>
      </c>
      <c r="J128" s="527">
        <v>231.99025949340967</v>
      </c>
      <c r="K128" s="527">
        <v>231.99025949340967</v>
      </c>
      <c r="L128" s="527">
        <v>231.99025949340967</v>
      </c>
      <c r="M128" s="527">
        <v>231.99025949340967</v>
      </c>
      <c r="N128" s="527">
        <v>231.99025949340967</v>
      </c>
    </row>
    <row r="129" spans="1:14" ht="13.35" hidden="1">
      <c r="A129" s="532" t="s">
        <v>110</v>
      </c>
      <c r="B129" t="s">
        <v>148</v>
      </c>
      <c r="C129" s="526">
        <v>86.361598511247266</v>
      </c>
      <c r="D129" s="526">
        <v>86.361598511247266</v>
      </c>
      <c r="E129" s="526">
        <v>86.361598511247266</v>
      </c>
      <c r="F129" s="526">
        <v>86.361598511247266</v>
      </c>
      <c r="G129" s="526">
        <v>86.361598511247266</v>
      </c>
      <c r="H129" s="526">
        <v>86.361598511247266</v>
      </c>
      <c r="I129" s="526">
        <v>86.361598511247266</v>
      </c>
      <c r="J129" s="527">
        <v>86.361598511247266</v>
      </c>
      <c r="K129" s="527">
        <v>86.361598511247266</v>
      </c>
      <c r="L129" s="527">
        <v>93.635348511247258</v>
      </c>
      <c r="M129" s="527">
        <v>93.635348511247258</v>
      </c>
      <c r="N129" s="527">
        <v>93.635348511247258</v>
      </c>
    </row>
    <row r="130" spans="1:14" ht="13.35" hidden="1">
      <c r="A130" s="532" t="s">
        <v>116</v>
      </c>
      <c r="B130" t="s">
        <v>148</v>
      </c>
      <c r="C130" s="526">
        <v>66.430986288039207</v>
      </c>
      <c r="D130" s="526">
        <v>66.430986288039207</v>
      </c>
      <c r="E130" s="526">
        <v>66.430986288039207</v>
      </c>
      <c r="F130" s="526">
        <v>67.89423628803921</v>
      </c>
      <c r="G130" s="526">
        <v>67.89423628803921</v>
      </c>
      <c r="H130" s="526">
        <v>67.89423628803921</v>
      </c>
      <c r="I130" s="526">
        <v>67.89423628803921</v>
      </c>
      <c r="J130" s="527">
        <v>67.89423628803921</v>
      </c>
      <c r="K130" s="527">
        <v>67.89423628803921</v>
      </c>
      <c r="L130" s="527">
        <v>67.89423628803921</v>
      </c>
      <c r="M130" s="527">
        <v>67.89423628803921</v>
      </c>
      <c r="N130" s="527">
        <v>67.89423628803921</v>
      </c>
    </row>
    <row r="131" spans="1:14" ht="13.35" hidden="1">
      <c r="A131" s="532" t="s">
        <v>111</v>
      </c>
      <c r="B131" t="s">
        <v>148</v>
      </c>
      <c r="C131" s="526">
        <v>168.28395144362739</v>
      </c>
      <c r="D131" s="526">
        <v>168.28395144362739</v>
      </c>
      <c r="E131" s="526">
        <v>168.28395144362739</v>
      </c>
      <c r="F131" s="526">
        <v>168.28395144362739</v>
      </c>
      <c r="G131" s="526">
        <v>168.28395144362739</v>
      </c>
      <c r="H131" s="526">
        <v>168.28395144362739</v>
      </c>
      <c r="I131" s="526">
        <v>168.28395144362739</v>
      </c>
      <c r="J131" s="527">
        <v>168.28395144362739</v>
      </c>
      <c r="K131" s="527">
        <v>168.28395144362739</v>
      </c>
      <c r="L131" s="527">
        <v>168.28395144362739</v>
      </c>
      <c r="M131" s="527">
        <v>168.28395144362739</v>
      </c>
      <c r="N131" s="527">
        <v>168.28395144362739</v>
      </c>
    </row>
    <row r="132" spans="1:14" ht="13.35" hidden="1">
      <c r="A132" s="532" t="s">
        <v>120</v>
      </c>
      <c r="B132" t="s">
        <v>148</v>
      </c>
      <c r="C132" s="526">
        <v>0</v>
      </c>
      <c r="D132" s="526">
        <v>0</v>
      </c>
      <c r="E132" s="526">
        <v>0</v>
      </c>
      <c r="F132" s="526">
        <v>0</v>
      </c>
      <c r="G132" s="526">
        <v>0</v>
      </c>
      <c r="H132" s="526">
        <v>0</v>
      </c>
      <c r="I132" s="526">
        <v>194.38301758420661</v>
      </c>
      <c r="J132" s="527">
        <v>194.38301758420661</v>
      </c>
      <c r="K132" s="527">
        <v>194.38301758420661</v>
      </c>
      <c r="L132" s="527">
        <v>194.38301758420661</v>
      </c>
      <c r="M132" s="527">
        <v>194.38301758420661</v>
      </c>
      <c r="N132" s="527">
        <v>194.38301758420661</v>
      </c>
    </row>
    <row r="133" spans="1:14" ht="13.35" hidden="1">
      <c r="A133" s="532" t="s">
        <v>87</v>
      </c>
      <c r="B133" t="s">
        <v>148</v>
      </c>
      <c r="C133" s="526">
        <v>50</v>
      </c>
      <c r="D133" s="526">
        <v>50</v>
      </c>
      <c r="E133" s="526">
        <v>50</v>
      </c>
      <c r="F133" s="526">
        <v>50</v>
      </c>
      <c r="G133" s="526">
        <v>50</v>
      </c>
      <c r="H133" s="526">
        <v>50</v>
      </c>
      <c r="I133" s="526">
        <v>50</v>
      </c>
      <c r="J133" s="527">
        <v>50</v>
      </c>
      <c r="K133" s="527">
        <v>50</v>
      </c>
      <c r="L133" s="527">
        <v>50</v>
      </c>
      <c r="M133" s="527">
        <v>50</v>
      </c>
      <c r="N133" s="527">
        <v>50</v>
      </c>
    </row>
    <row r="134" spans="1:14" ht="13.35" hidden="1">
      <c r="A134" s="532" t="s">
        <v>60</v>
      </c>
      <c r="B134" t="s">
        <v>148</v>
      </c>
      <c r="C134" s="526">
        <v>37.5</v>
      </c>
      <c r="D134" s="526">
        <v>37.5</v>
      </c>
      <c r="E134" s="526">
        <v>37.5</v>
      </c>
      <c r="F134" s="526">
        <v>37.5</v>
      </c>
      <c r="G134" s="526">
        <v>37.5</v>
      </c>
      <c r="H134" s="526">
        <v>37.5</v>
      </c>
      <c r="I134" s="526">
        <v>37.5</v>
      </c>
      <c r="J134" s="527">
        <v>37.5</v>
      </c>
      <c r="K134" s="527">
        <v>37.5</v>
      </c>
      <c r="L134" s="527">
        <v>37.5</v>
      </c>
      <c r="M134" s="527">
        <v>37.5</v>
      </c>
      <c r="N134" s="527">
        <v>37.5</v>
      </c>
    </row>
    <row r="135" spans="1:14" ht="13.35" hidden="1">
      <c r="A135" s="532" t="s">
        <v>35</v>
      </c>
      <c r="B135" t="s">
        <v>148</v>
      </c>
      <c r="C135" s="526">
        <v>0.375</v>
      </c>
      <c r="D135" s="526">
        <v>0.375</v>
      </c>
      <c r="E135" s="526">
        <v>0.375</v>
      </c>
      <c r="F135" s="526">
        <v>0.375</v>
      </c>
      <c r="G135" s="526">
        <v>0.375</v>
      </c>
      <c r="H135" s="526">
        <v>0.375</v>
      </c>
      <c r="I135" s="526">
        <v>0.375</v>
      </c>
      <c r="J135" s="527">
        <v>0.375</v>
      </c>
      <c r="K135" s="527">
        <v>0.375</v>
      </c>
      <c r="L135" s="527">
        <v>0.375</v>
      </c>
      <c r="M135" s="527">
        <v>0.375</v>
      </c>
      <c r="N135" s="527">
        <v>114.64575000000001</v>
      </c>
    </row>
    <row r="136" spans="1:14" ht="13.35">
      <c r="A136" s="529"/>
      <c r="C136" s="526"/>
      <c r="D136" s="526"/>
      <c r="E136" s="526"/>
      <c r="F136" s="526"/>
      <c r="G136" s="526"/>
      <c r="H136" s="526"/>
      <c r="I136" s="526"/>
    </row>
    <row r="137" spans="1:14" ht="13.35">
      <c r="A137" s="529"/>
      <c r="C137" s="526"/>
      <c r="D137" s="526"/>
      <c r="E137" s="526"/>
      <c r="F137" s="526"/>
      <c r="G137" s="526"/>
      <c r="H137" s="526"/>
      <c r="I137" s="526"/>
    </row>
    <row r="138" spans="1:14" ht="13.35">
      <c r="A138" s="529"/>
      <c r="C138" s="526"/>
      <c r="D138" s="526"/>
      <c r="E138" s="526"/>
      <c r="F138" s="526"/>
      <c r="G138" s="526"/>
      <c r="H138" s="526">
        <v>318.8</v>
      </c>
      <c r="I138" s="526"/>
    </row>
    <row r="139" spans="1:14" ht="13.35">
      <c r="A139" s="529"/>
      <c r="C139" s="526"/>
      <c r="D139" s="526"/>
      <c r="E139" s="526"/>
      <c r="F139" s="526">
        <f>E6-F6</f>
        <v>-42.130000000000109</v>
      </c>
      <c r="G139" s="526">
        <v>2106.41</v>
      </c>
      <c r="H139" s="526"/>
      <c r="I139" s="526"/>
      <c r="J139" s="527">
        <v>2106.41</v>
      </c>
    </row>
    <row r="140" spans="1:14" ht="13.35">
      <c r="A140" s="529"/>
      <c r="C140" s="526"/>
      <c r="D140" s="526"/>
      <c r="E140" s="526"/>
      <c r="F140" s="526"/>
      <c r="G140" s="526"/>
      <c r="H140" s="526">
        <f>H28-H138</f>
        <v>-3.4119664064746758E-4</v>
      </c>
      <c r="I140" s="526"/>
      <c r="J140" s="527">
        <f>J6-J139</f>
        <v>42.130000000000109</v>
      </c>
    </row>
    <row r="141" spans="1:14" ht="13.35">
      <c r="A141" s="529"/>
      <c r="C141" s="526"/>
      <c r="D141" s="526"/>
      <c r="E141" s="526"/>
      <c r="F141" s="526"/>
      <c r="G141" s="526">
        <f>G6-G139</f>
        <v>42.130000000000109</v>
      </c>
      <c r="H141" s="526">
        <v>94.84</v>
      </c>
      <c r="I141" s="526"/>
    </row>
    <row r="142" spans="1:14" ht="13.35">
      <c r="A142" s="529"/>
      <c r="C142" s="530"/>
      <c r="D142" s="530"/>
      <c r="E142" s="530"/>
      <c r="F142" s="530"/>
      <c r="G142" s="610">
        <v>26.82</v>
      </c>
      <c r="H142" s="530">
        <f>H127-H141</f>
        <v>-2.0777737460252155</v>
      </c>
      <c r="I142" s="530"/>
    </row>
    <row r="143" spans="1:14" ht="13.35">
      <c r="A143" s="529"/>
      <c r="C143" s="526"/>
      <c r="D143" s="526"/>
      <c r="E143" s="526"/>
      <c r="F143" s="526"/>
      <c r="G143" s="526"/>
      <c r="H143" s="526"/>
      <c r="I143" s="526"/>
    </row>
    <row r="144" spans="1:14" ht="13.35">
      <c r="A144" s="529"/>
      <c r="C144" s="526"/>
      <c r="D144" s="526"/>
      <c r="E144" s="526"/>
      <c r="F144" s="526"/>
      <c r="G144" s="526">
        <f>G141-G142</f>
        <v>15.310000000000109</v>
      </c>
      <c r="H144" s="526"/>
      <c r="I144" s="526"/>
    </row>
    <row r="145" spans="1:14" ht="13.35">
      <c r="A145" s="529"/>
      <c r="C145" s="526"/>
      <c r="D145" s="526"/>
      <c r="E145" s="526"/>
      <c r="F145" s="526"/>
      <c r="G145" s="526"/>
      <c r="H145" s="526"/>
      <c r="I145" s="526"/>
    </row>
    <row r="146" spans="1:14" ht="13.35">
      <c r="A146" s="529"/>
      <c r="C146" s="526"/>
      <c r="D146" s="526"/>
      <c r="E146" s="526"/>
      <c r="F146" s="526"/>
      <c r="G146" s="526"/>
      <c r="H146" s="526"/>
      <c r="I146" s="526"/>
    </row>
    <row r="147" spans="1:14" ht="13.35">
      <c r="A147" s="529"/>
      <c r="C147" s="526"/>
      <c r="D147" s="526"/>
      <c r="E147" s="526"/>
      <c r="F147" s="526"/>
      <c r="G147" s="526"/>
      <c r="H147" s="526"/>
      <c r="I147" s="526"/>
    </row>
    <row r="148" spans="1:14" ht="13.35">
      <c r="A148" s="529"/>
      <c r="C148" s="526"/>
      <c r="D148" s="526"/>
      <c r="E148" s="526"/>
      <c r="F148" s="526"/>
      <c r="G148" s="526"/>
      <c r="H148" s="526"/>
      <c r="I148" s="526"/>
    </row>
    <row r="149" spans="1:14" ht="13.35">
      <c r="A149" s="529"/>
      <c r="C149" s="526"/>
      <c r="D149" s="526"/>
      <c r="E149" s="526"/>
      <c r="F149" s="526"/>
      <c r="G149" s="526"/>
      <c r="H149" s="526"/>
      <c r="I149" s="526"/>
    </row>
    <row r="150" spans="1:14" ht="13.35">
      <c r="A150" s="529"/>
      <c r="C150" s="530"/>
      <c r="D150" s="530"/>
      <c r="E150" s="530"/>
      <c r="F150" s="530"/>
      <c r="G150" s="530"/>
      <c r="H150" s="530"/>
      <c r="I150" s="530"/>
    </row>
    <row r="151" spans="1:14" ht="13.35">
      <c r="A151" s="529"/>
      <c r="C151" s="526"/>
      <c r="D151" s="526"/>
      <c r="E151" s="526"/>
      <c r="F151" s="526"/>
      <c r="G151" s="526"/>
      <c r="H151" s="526"/>
      <c r="I151" s="526"/>
    </row>
    <row r="152" spans="1:14" ht="13.35">
      <c r="A152" s="529"/>
      <c r="C152" s="530"/>
      <c r="D152" s="526"/>
      <c r="E152" s="526"/>
      <c r="F152" s="526"/>
      <c r="G152" s="526"/>
      <c r="H152" s="526"/>
      <c r="I152" s="526"/>
    </row>
    <row r="153" spans="1:14" ht="13.35">
      <c r="A153" s="529"/>
      <c r="C153" s="530"/>
      <c r="D153" s="526"/>
      <c r="E153" s="526"/>
      <c r="F153" s="526"/>
      <c r="G153" s="526"/>
      <c r="H153" s="526"/>
      <c r="I153" s="526"/>
    </row>
    <row r="154" spans="1:14" ht="13.35">
      <c r="A154" s="529"/>
      <c r="C154" s="530"/>
      <c r="D154" s="526"/>
      <c r="E154" s="526"/>
      <c r="F154" s="526"/>
      <c r="G154" s="526"/>
      <c r="H154" s="526"/>
      <c r="I154" s="526"/>
    </row>
    <row r="155" spans="1:14" ht="13.35">
      <c r="A155" s="529"/>
      <c r="C155" s="530"/>
      <c r="D155" s="526"/>
      <c r="E155" s="526"/>
      <c r="F155" s="526"/>
      <c r="G155" s="526"/>
      <c r="H155" s="526"/>
      <c r="I155" s="526"/>
    </row>
    <row r="156" spans="1:14" ht="13.35">
      <c r="A156" s="529"/>
      <c r="C156" s="530"/>
      <c r="D156" s="526"/>
      <c r="E156" s="526"/>
      <c r="F156" s="526"/>
      <c r="G156" s="526"/>
      <c r="H156" s="526"/>
      <c r="I156" s="526"/>
    </row>
    <row r="157" spans="1:14" ht="13.35">
      <c r="A157" s="529"/>
      <c r="C157" s="530"/>
      <c r="D157" s="526"/>
      <c r="E157" s="526"/>
      <c r="F157" s="526"/>
      <c r="G157" s="526"/>
      <c r="H157" s="526"/>
      <c r="I157" s="526"/>
    </row>
    <row r="158" spans="1:14" ht="13.35">
      <c r="A158" s="529"/>
      <c r="C158" s="530"/>
      <c r="D158" s="530"/>
      <c r="E158" s="530"/>
      <c r="F158" s="530"/>
      <c r="G158" s="530"/>
      <c r="H158" s="530"/>
      <c r="I158" s="530"/>
    </row>
    <row r="159" spans="1:14" ht="13.35">
      <c r="A159" s="529"/>
      <c r="C159" s="530"/>
      <c r="D159" s="526"/>
      <c r="E159" s="526"/>
      <c r="F159" s="526"/>
      <c r="G159" s="526"/>
      <c r="H159" s="526"/>
      <c r="I159" s="526"/>
    </row>
    <row r="160" spans="1:14">
      <c r="K160" s="528"/>
      <c r="M160" s="533"/>
      <c r="N160" s="533"/>
    </row>
    <row r="161" spans="9:15">
      <c r="K161" s="526"/>
      <c r="M161" s="526"/>
      <c r="N161" s="526"/>
      <c r="O161" s="526"/>
    </row>
    <row r="163" spans="9:15">
      <c r="M163" s="528"/>
    </row>
    <row r="166" spans="9:15">
      <c r="I166" s="526"/>
      <c r="J166" s="526"/>
      <c r="K166" s="528"/>
    </row>
    <row r="167" spans="9:15">
      <c r="I167" s="526"/>
      <c r="J167" s="526"/>
      <c r="K167" s="528"/>
      <c r="M167" s="526"/>
    </row>
    <row r="168" spans="9:15">
      <c r="I168" s="526"/>
      <c r="J168" s="526"/>
      <c r="K168" s="528"/>
    </row>
    <row r="169" spans="9:15">
      <c r="I169" s="526"/>
      <c r="J169" s="526"/>
      <c r="K169" s="528"/>
    </row>
    <row r="170" spans="9:15">
      <c r="I170" s="526"/>
      <c r="J170" s="526"/>
      <c r="K170" s="528"/>
    </row>
    <row r="171" spans="9:15">
      <c r="I171" s="526"/>
      <c r="J171" s="533"/>
      <c r="K171" s="534"/>
    </row>
    <row r="172" spans="9:15">
      <c r="I172" s="535"/>
      <c r="J172" s="535"/>
      <c r="K172" s="535"/>
    </row>
    <row r="173" spans="9:15">
      <c r="I173" s="526"/>
      <c r="J173" s="535"/>
      <c r="K173" s="536"/>
    </row>
    <row r="174" spans="9:15">
      <c r="K174" s="528"/>
    </row>
    <row r="176" spans="9:15">
      <c r="I176" s="526"/>
      <c r="J176" s="526"/>
      <c r="K176" s="526"/>
    </row>
    <row r="177" spans="9:11">
      <c r="I177" s="526"/>
      <c r="J177" s="526"/>
      <c r="K177" s="526"/>
    </row>
    <row r="178" spans="9:11">
      <c r="I178" s="526"/>
      <c r="J178" s="526"/>
      <c r="K178" s="526"/>
    </row>
    <row r="179" spans="9:11">
      <c r="I179" s="526"/>
      <c r="J179" s="526"/>
      <c r="K179" s="526"/>
    </row>
    <row r="180" spans="9:11">
      <c r="I180" s="526"/>
      <c r="J180" s="526"/>
      <c r="K180" s="526"/>
    </row>
    <row r="181" spans="9:11">
      <c r="I181" s="533"/>
      <c r="J181" s="533"/>
      <c r="K181" s="533"/>
    </row>
    <row r="182" spans="9:11">
      <c r="I182" s="537"/>
      <c r="J182" s="535"/>
      <c r="K182" s="535"/>
    </row>
    <row r="184" spans="9:11">
      <c r="I184" s="538"/>
      <c r="J184" s="535"/>
      <c r="K184" s="526"/>
    </row>
    <row r="185" spans="9:11">
      <c r="I185" s="528"/>
    </row>
    <row r="187" spans="9:11">
      <c r="I187" s="526"/>
      <c r="J187" s="526"/>
      <c r="K187" s="526"/>
    </row>
    <row r="188" spans="9:11">
      <c r="I188" s="526"/>
      <c r="J188" s="526"/>
      <c r="K188" s="526"/>
    </row>
    <row r="189" spans="9:11">
      <c r="I189" s="526"/>
      <c r="J189" s="526"/>
      <c r="K189" s="526"/>
    </row>
    <row r="190" spans="9:11">
      <c r="I190" s="526"/>
      <c r="J190" s="526"/>
      <c r="K190" s="526"/>
    </row>
    <row r="191" spans="9:11">
      <c r="I191" s="526"/>
      <c r="J191" s="526"/>
      <c r="K191" s="526"/>
    </row>
    <row r="192" spans="9:11">
      <c r="I192" s="539"/>
      <c r="J192" s="526"/>
      <c r="K192" s="526"/>
    </row>
    <row r="193" spans="9:11">
      <c r="I193" s="533"/>
      <c r="J193" s="533"/>
      <c r="K193" s="533"/>
    </row>
    <row r="194" spans="9:11">
      <c r="I194" s="539"/>
      <c r="J194" s="539"/>
      <c r="K194" s="539"/>
    </row>
    <row r="195" spans="9:11">
      <c r="I195" s="526"/>
      <c r="J195" s="526"/>
      <c r="K195" s="526"/>
    </row>
    <row r="196" spans="9:11">
      <c r="I196" s="526"/>
      <c r="J196" s="526"/>
      <c r="K196" s="526"/>
    </row>
    <row r="197" spans="9:11">
      <c r="I197" s="526"/>
      <c r="J197" s="526"/>
      <c r="K197" s="526"/>
    </row>
  </sheetData>
  <autoFilter ref="A1:N135" xr:uid="{6636873A-9315-4BED-8B58-FD21070FABA1}">
    <filterColumn colId="0">
      <filters>
        <filter val="AT&amp;T Mobility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  <pageSetUpPr fitToPage="1"/>
  </sheetPr>
  <dimension ref="A1:BS235"/>
  <sheetViews>
    <sheetView zoomScaleNormal="100" zoomScaleSheetLayoutView="130" zoomScalePageLayoutView="55" workbookViewId="0">
      <pane xSplit="1" ySplit="10" topLeftCell="B11" activePane="bottomRight" state="frozen"/>
      <selection pane="bottomRight" activeCell="B15" sqref="B15"/>
      <selection pane="bottomLeft" activeCell="A11" sqref="A11"/>
      <selection pane="topRight" activeCell="B1" sqref="B1"/>
    </sheetView>
  </sheetViews>
  <sheetFormatPr defaultColWidth="11.42578125" defaultRowHeight="15.4"/>
  <cols>
    <col min="1" max="1" width="9.42578125" style="89" customWidth="1"/>
    <col min="2" max="2" width="36.42578125" style="89" customWidth="1"/>
    <col min="3" max="3" width="13.42578125" style="89" customWidth="1"/>
    <col min="4" max="12" width="11.42578125" style="89" customWidth="1"/>
    <col min="13" max="13" width="13.42578125" style="89" customWidth="1"/>
    <col min="14" max="14" width="12" style="89" customWidth="1"/>
    <col min="15" max="15" width="15.42578125" style="89" customWidth="1"/>
    <col min="16" max="16" width="12.42578125" style="89" customWidth="1"/>
    <col min="17" max="17" width="14.42578125" style="89" customWidth="1"/>
    <col min="18" max="18" width="12.42578125" style="89" customWidth="1"/>
    <col min="19" max="19" width="14" style="89" customWidth="1"/>
    <col min="20" max="20" width="11.42578125" style="89" customWidth="1"/>
    <col min="21" max="21" width="9.42578125" style="92" customWidth="1"/>
    <col min="22" max="22" width="11.42578125" style="92" customWidth="1"/>
    <col min="23" max="23" width="78.42578125" style="90" customWidth="1"/>
    <col min="24" max="24" width="7.42578125" style="91" customWidth="1"/>
    <col min="25" max="26" width="8.42578125" style="91" customWidth="1"/>
    <col min="27" max="30" width="8.42578125" style="89" customWidth="1"/>
    <col min="31" max="31" width="10.42578125" style="89" customWidth="1"/>
    <col min="32" max="36" width="8.42578125" style="89" customWidth="1"/>
    <col min="37" max="37" width="10.42578125" style="89" customWidth="1"/>
    <col min="38" max="38" width="20.42578125" style="89" customWidth="1"/>
    <col min="39" max="39" width="8" style="89" customWidth="1"/>
    <col min="40" max="40" width="12.42578125" style="89" customWidth="1"/>
    <col min="41" max="41" width="11.42578125" style="89" customWidth="1"/>
    <col min="42" max="54" width="8.42578125" style="89" customWidth="1"/>
    <col min="55" max="55" width="26.42578125" style="89" customWidth="1"/>
    <col min="56" max="56" width="8.42578125" style="89" customWidth="1"/>
    <col min="57" max="57" width="12.42578125" style="89" customWidth="1"/>
    <col min="58" max="58" width="7.42578125" style="89" customWidth="1"/>
    <col min="59" max="71" width="8.42578125" style="89" customWidth="1"/>
    <col min="72" max="72" width="21.42578125" style="89" customWidth="1"/>
    <col min="73" max="73" width="8.42578125" style="89" customWidth="1"/>
    <col min="74" max="74" width="10.42578125" style="89" customWidth="1"/>
    <col min="75" max="87" width="8.42578125" style="89" customWidth="1"/>
    <col min="88" max="16384" width="11.42578125" style="89"/>
  </cols>
  <sheetData>
    <row r="1" spans="1:32" ht="13.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07"/>
      <c r="O1" s="208"/>
      <c r="P1" s="40"/>
      <c r="Q1" s="40"/>
      <c r="R1" s="40"/>
      <c r="S1" s="40"/>
      <c r="T1" s="2"/>
      <c r="U1" s="209"/>
      <c r="V1" s="209"/>
      <c r="W1" s="210"/>
      <c r="X1" s="60"/>
      <c r="Y1" s="60"/>
      <c r="Z1" s="60"/>
      <c r="AA1" s="2"/>
      <c r="AB1" s="2"/>
      <c r="AC1" s="2"/>
      <c r="AD1" s="2"/>
      <c r="AE1" s="2"/>
      <c r="AF1" s="2"/>
    </row>
    <row r="2" spans="1:32" ht="13.15" customHeight="1">
      <c r="A2" s="614" t="s">
        <v>149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88"/>
      <c r="Q2" s="88"/>
      <c r="R2" s="88"/>
      <c r="S2" s="88"/>
      <c r="T2" s="2"/>
      <c r="U2" s="209"/>
      <c r="V2" s="209"/>
      <c r="W2" s="210"/>
      <c r="X2" s="60"/>
      <c r="Y2" s="60"/>
      <c r="Z2" s="60"/>
      <c r="AA2" s="2"/>
      <c r="AB2" s="2"/>
      <c r="AC2" s="2"/>
      <c r="AD2" s="2"/>
      <c r="AE2" s="2"/>
      <c r="AF2" s="2"/>
    </row>
    <row r="3" spans="1:32" ht="13.15" customHeight="1">
      <c r="A3" s="614" t="s">
        <v>150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88"/>
      <c r="Q3" s="88"/>
      <c r="R3" s="88"/>
      <c r="S3" s="88"/>
      <c r="T3" s="2"/>
      <c r="U3" s="209"/>
      <c r="V3" s="209"/>
      <c r="W3" s="210"/>
      <c r="X3" s="60"/>
      <c r="Y3" s="60"/>
      <c r="Z3" s="60"/>
      <c r="AA3" s="2"/>
      <c r="AB3" s="2"/>
      <c r="AC3" s="2"/>
      <c r="AD3" s="2"/>
      <c r="AE3" s="2"/>
      <c r="AF3" s="2"/>
    </row>
    <row r="4" spans="1:32" ht="13.15" customHeight="1">
      <c r="A4" s="614" t="s">
        <v>151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88"/>
      <c r="Q4" s="88"/>
      <c r="R4" s="88"/>
      <c r="S4" s="88"/>
      <c r="T4" s="2" t="s">
        <v>152</v>
      </c>
      <c r="U4" s="211">
        <f ca="1">TODAY()</f>
        <v>46269</v>
      </c>
      <c r="V4" s="211"/>
      <c r="W4" s="210"/>
      <c r="X4" s="60"/>
      <c r="Y4" s="60"/>
      <c r="Z4" s="60"/>
      <c r="AA4" s="2"/>
      <c r="AB4" s="2"/>
      <c r="AC4" s="2"/>
      <c r="AD4" s="2"/>
      <c r="AE4" s="2"/>
      <c r="AF4" s="2"/>
    </row>
    <row r="5" spans="1:32" ht="13.15" customHeight="1">
      <c r="A5" s="615" t="s">
        <v>153</v>
      </c>
      <c r="B5" s="615"/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88"/>
      <c r="Q5" s="88"/>
      <c r="R5" s="88"/>
      <c r="S5" s="88"/>
      <c r="T5" s="2"/>
      <c r="U5" s="209"/>
      <c r="V5" s="209"/>
      <c r="W5" s="210"/>
      <c r="X5" s="60"/>
      <c r="Y5" s="60"/>
      <c r="Z5" s="60"/>
      <c r="AA5" s="2"/>
      <c r="AB5" s="2"/>
      <c r="AC5" s="2"/>
      <c r="AD5" s="2"/>
      <c r="AE5" s="2"/>
      <c r="AF5" s="2"/>
    </row>
    <row r="6" spans="1:32" ht="13.15" customHeight="1">
      <c r="A6" s="614" t="s">
        <v>154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88"/>
      <c r="Q6" s="88"/>
      <c r="R6" s="88"/>
      <c r="S6" s="88"/>
      <c r="T6" s="2"/>
      <c r="U6" s="212"/>
      <c r="V6" s="212"/>
      <c r="W6" s="210"/>
      <c r="X6" s="60"/>
      <c r="Y6" s="60"/>
      <c r="Z6" s="60"/>
      <c r="AA6" s="2"/>
      <c r="AB6" s="2"/>
      <c r="AC6" s="2"/>
      <c r="AD6" s="2"/>
      <c r="AE6" s="2"/>
      <c r="AF6" s="2"/>
    </row>
    <row r="7" spans="1:32" ht="16.149999999999999" customHeight="1">
      <c r="A7" s="2"/>
      <c r="B7" s="2"/>
      <c r="C7" s="2"/>
      <c r="D7" s="2"/>
      <c r="E7" s="2"/>
      <c r="F7" s="4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12"/>
      <c r="V7" s="212"/>
      <c r="W7" s="210"/>
      <c r="X7" s="60"/>
      <c r="Y7" s="60"/>
      <c r="Z7" s="60"/>
      <c r="AA7" s="2"/>
      <c r="AB7" s="2"/>
      <c r="AC7" s="2"/>
      <c r="AD7" s="2"/>
      <c r="AE7" s="2"/>
      <c r="AF7" s="2"/>
    </row>
    <row r="8" spans="1:32" ht="13.15" customHeight="1">
      <c r="A8" s="213" t="s">
        <v>155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213">
        <v>2026</v>
      </c>
      <c r="P8" s="214">
        <v>2025</v>
      </c>
      <c r="Q8" s="214">
        <v>2025</v>
      </c>
      <c r="R8" s="213" t="s">
        <v>156</v>
      </c>
      <c r="S8" s="213" t="s">
        <v>157</v>
      </c>
      <c r="T8" s="215" t="s">
        <v>158</v>
      </c>
      <c r="U8" s="216" t="s">
        <v>159</v>
      </c>
      <c r="V8" s="217"/>
      <c r="W8" s="210"/>
      <c r="X8" s="60"/>
      <c r="Y8" s="60"/>
      <c r="Z8" s="60"/>
      <c r="AA8" s="2"/>
      <c r="AB8" s="2"/>
      <c r="AC8" s="2"/>
      <c r="AD8" s="2"/>
      <c r="AE8" s="2"/>
      <c r="AF8" s="2"/>
    </row>
    <row r="9" spans="1:32" ht="13.15" customHeight="1">
      <c r="A9" s="218" t="s">
        <v>160</v>
      </c>
      <c r="B9" s="44" t="s">
        <v>161</v>
      </c>
      <c r="C9" s="44" t="s">
        <v>129</v>
      </c>
      <c r="D9" s="44" t="s">
        <v>130</v>
      </c>
      <c r="E9" s="44" t="s">
        <v>131</v>
      </c>
      <c r="F9" s="44" t="s">
        <v>132</v>
      </c>
      <c r="G9" s="44" t="s">
        <v>133</v>
      </c>
      <c r="H9" s="44" t="s">
        <v>134</v>
      </c>
      <c r="I9" s="44" t="s">
        <v>135</v>
      </c>
      <c r="J9" s="44" t="s">
        <v>136</v>
      </c>
      <c r="K9" s="44" t="s">
        <v>137</v>
      </c>
      <c r="L9" s="44" t="s">
        <v>138</v>
      </c>
      <c r="M9" s="44" t="s">
        <v>139</v>
      </c>
      <c r="N9" s="44" t="s">
        <v>140</v>
      </c>
      <c r="O9" s="44" t="s">
        <v>156</v>
      </c>
      <c r="P9" s="219" t="s">
        <v>162</v>
      </c>
      <c r="Q9" s="219" t="s">
        <v>156</v>
      </c>
      <c r="R9" s="44" t="s">
        <v>163</v>
      </c>
      <c r="S9" s="44" t="s">
        <v>164</v>
      </c>
      <c r="T9" s="220" t="s">
        <v>165</v>
      </c>
      <c r="U9" s="221" t="s">
        <v>166</v>
      </c>
      <c r="V9" s="217" t="s">
        <v>167</v>
      </c>
      <c r="W9" s="210"/>
      <c r="X9" s="60"/>
      <c r="Y9" s="60"/>
      <c r="Z9" s="60"/>
      <c r="AA9" s="2"/>
      <c r="AB9" s="2"/>
      <c r="AC9" s="2"/>
      <c r="AD9" s="2"/>
      <c r="AE9" s="2"/>
      <c r="AF9" s="2"/>
    </row>
    <row r="10" spans="1:32" ht="12.95" customHeight="1">
      <c r="A10" s="46" t="s">
        <v>168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6" t="s">
        <v>169</v>
      </c>
      <c r="P10" s="222" t="s">
        <v>169</v>
      </c>
      <c r="Q10" s="222" t="s">
        <v>169</v>
      </c>
      <c r="R10" s="46"/>
      <c r="S10" s="46" t="s">
        <v>170</v>
      </c>
      <c r="T10" s="223" t="s">
        <v>171</v>
      </c>
      <c r="U10" s="224" t="s">
        <v>172</v>
      </c>
      <c r="V10" s="217"/>
      <c r="W10" s="210"/>
      <c r="X10" s="60"/>
      <c r="Y10" s="60"/>
      <c r="Z10" s="60"/>
      <c r="AA10" s="2"/>
      <c r="AB10" s="2"/>
      <c r="AC10" s="2"/>
      <c r="AD10" s="2"/>
      <c r="AE10" s="2"/>
      <c r="AF10" s="93" t="s">
        <v>173</v>
      </c>
    </row>
    <row r="11" spans="1:32" ht="15" customHeight="1">
      <c r="A11" s="2"/>
      <c r="B11" s="88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225"/>
      <c r="S11" s="225"/>
      <c r="T11" s="2"/>
      <c r="U11" s="212"/>
      <c r="V11" s="212"/>
      <c r="W11" s="210"/>
      <c r="X11" s="60"/>
      <c r="Y11" s="60"/>
      <c r="Z11" s="60"/>
      <c r="AA11" s="2"/>
      <c r="AB11" s="2"/>
      <c r="AC11" s="2"/>
      <c r="AD11" s="2"/>
      <c r="AE11" s="2"/>
      <c r="AF11" s="2"/>
    </row>
    <row r="12" spans="1:32" ht="15" customHeight="1">
      <c r="A12" s="2"/>
      <c r="B12" s="88" t="s">
        <v>174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225"/>
      <c r="S12" s="225"/>
      <c r="T12" s="2"/>
      <c r="U12" s="212"/>
      <c r="V12" s="212"/>
      <c r="W12" s="210"/>
      <c r="X12" s="60"/>
      <c r="Y12" s="60"/>
      <c r="Z12" s="60"/>
      <c r="AA12" s="2"/>
      <c r="AB12" s="2"/>
      <c r="AC12" s="2"/>
      <c r="AD12" s="2"/>
      <c r="AE12" s="2"/>
      <c r="AF12" s="2"/>
    </row>
    <row r="13" spans="1:32" ht="13.15" customHeight="1">
      <c r="A13" s="60">
        <v>40100</v>
      </c>
      <c r="B13" s="226" t="s">
        <v>175</v>
      </c>
      <c r="C13" s="69">
        <f>Rent!E34</f>
        <v>105478.31999999998</v>
      </c>
      <c r="D13" s="69">
        <f>Rent!F34</f>
        <v>105478.31999999998</v>
      </c>
      <c r="E13" s="69">
        <f>Rent!G34</f>
        <v>105478.31999999998</v>
      </c>
      <c r="F13" s="69">
        <f>Rent!H34</f>
        <v>105710.70999999999</v>
      </c>
      <c r="G13" s="69">
        <f>Rent!I34</f>
        <v>105784.96999999997</v>
      </c>
      <c r="H13" s="69">
        <f>Rent!J34</f>
        <v>105784.96999999997</v>
      </c>
      <c r="I13" s="69">
        <f>Rent!K34</f>
        <v>112023.68999999999</v>
      </c>
      <c r="J13" s="69">
        <f>Rent!L34</f>
        <v>112023.68999999999</v>
      </c>
      <c r="K13" s="69">
        <f>Rent!M34</f>
        <v>112023.68999999999</v>
      </c>
      <c r="L13" s="69">
        <f>Rent!N34</f>
        <v>112500.34999999999</v>
      </c>
      <c r="M13" s="69">
        <f>Rent!O34</f>
        <v>112675.92999999998</v>
      </c>
      <c r="N13" s="69">
        <f>Rent!P34</f>
        <v>112675.92999999998</v>
      </c>
      <c r="O13" s="227">
        <f>SUM(C13:N13)</f>
        <v>1307638.8899999997</v>
      </c>
      <c r="P13" s="69">
        <v>1272840</v>
      </c>
      <c r="Q13" s="69">
        <v>1350412</v>
      </c>
      <c r="R13" s="228" t="e">
        <f>SUM((O13)/(Rent!#REF!+Rent!#REF!+Rent!$C$15+Rent!$C$17+Rent!$C$18+Rent!$C$19+Rent!$C$20+Rent!$C$21+Rent!$C$22))</f>
        <v>#REF!</v>
      </c>
      <c r="S13" s="228">
        <f>O13-P13</f>
        <v>34798.889999999665</v>
      </c>
      <c r="T13" s="229">
        <f>Rent!$C$34</f>
        <v>67709</v>
      </c>
      <c r="U13" s="209">
        <f>O13/T13</f>
        <v>19.312630374100927</v>
      </c>
      <c r="V13" s="209"/>
      <c r="W13" s="210"/>
      <c r="X13" s="230"/>
      <c r="Y13" s="60"/>
      <c r="Z13" s="60"/>
      <c r="AA13" s="2"/>
      <c r="AB13" s="2"/>
      <c r="AC13" s="2"/>
      <c r="AD13" s="2"/>
      <c r="AE13" s="2"/>
      <c r="AF13" s="2"/>
    </row>
    <row r="14" spans="1:32" ht="13.15" customHeight="1">
      <c r="A14" s="231">
        <v>40140</v>
      </c>
      <c r="B14" s="2" t="s">
        <v>176</v>
      </c>
      <c r="C14" s="69">
        <f>CAM!E35</f>
        <v>9715.6351823256518</v>
      </c>
      <c r="D14" s="69">
        <f>CAM!F35</f>
        <v>9715.6351823256518</v>
      </c>
      <c r="E14" s="69">
        <f>CAM!G35</f>
        <v>9715.6351823256518</v>
      </c>
      <c r="F14" s="69">
        <f>CAM!H35</f>
        <v>9715.6351823256518</v>
      </c>
      <c r="G14" s="69">
        <f>CAM!I35</f>
        <v>9715.6351823256518</v>
      </c>
      <c r="H14" s="69">
        <f>CAM!J35</f>
        <v>9715.6351823256518</v>
      </c>
      <c r="I14" s="69">
        <f>CAM!K35</f>
        <v>10110.448822037506</v>
      </c>
      <c r="J14" s="69">
        <f>CAM!L35</f>
        <v>10110.448822037506</v>
      </c>
      <c r="K14" s="69">
        <f>CAM!M35</f>
        <v>10110.448822037506</v>
      </c>
      <c r="L14" s="69">
        <f>CAM!N35</f>
        <v>10110.448822037506</v>
      </c>
      <c r="M14" s="69">
        <f>CAM!O35</f>
        <v>10110.448822037506</v>
      </c>
      <c r="N14" s="69">
        <f>CAM!P35</f>
        <v>10110.448822037506</v>
      </c>
      <c r="O14" s="227">
        <f t="shared" ref="O14:O20" si="0">SUM(C14:N14)</f>
        <v>118956.50402617895</v>
      </c>
      <c r="P14" s="69">
        <v>99472</v>
      </c>
      <c r="Q14" s="69">
        <v>106692</v>
      </c>
      <c r="R14" s="232" t="e">
        <f>SUM((O14)/(Rent!#REF!+Rent!#REF!+Rent!$C$15+Rent!$C$17+Rent!$C$18+Rent!$C$19+Rent!$C$20+Rent!$C$21+Rent!$C$22))</f>
        <v>#REF!</v>
      </c>
      <c r="S14" s="228">
        <f>P14-O14</f>
        <v>-19484.504026178955</v>
      </c>
      <c r="T14" s="229">
        <f>Rent!$C$34</f>
        <v>67709</v>
      </c>
      <c r="U14" s="212">
        <f>O14/T14</f>
        <v>1.7568787609649965</v>
      </c>
      <c r="V14" s="212"/>
      <c r="W14" s="210"/>
      <c r="X14" s="60"/>
      <c r="Y14" s="60"/>
      <c r="Z14" s="60"/>
      <c r="AA14" s="2"/>
      <c r="AB14" s="2"/>
      <c r="AC14" s="2"/>
      <c r="AD14" s="2"/>
      <c r="AE14" s="2"/>
      <c r="AF14" s="2"/>
    </row>
    <row r="15" spans="1:32" ht="13.15" customHeight="1">
      <c r="A15" s="231">
        <v>41300</v>
      </c>
      <c r="B15" s="2" t="s">
        <v>177</v>
      </c>
      <c r="C15" s="69">
        <f>'Sales Tax'!E109</f>
        <v>3421.1835466782613</v>
      </c>
      <c r="D15" s="69">
        <f>'Sales Tax'!F109</f>
        <v>3421.1835466782613</v>
      </c>
      <c r="E15" s="69">
        <f>'Sales Tax'!G109</f>
        <v>3421.1835466782613</v>
      </c>
      <c r="F15" s="69">
        <f>'Sales Tax'!H109</f>
        <v>3424.9177966782613</v>
      </c>
      <c r="G15" s="69">
        <f>'Sales Tax'!I109</f>
        <v>3426.7742966782612</v>
      </c>
      <c r="H15" s="69">
        <f>'Sales Tax'!J109</f>
        <v>3426.7742966782612</v>
      </c>
      <c r="I15" s="69">
        <f>'Sales Tax'!K109</f>
        <v>3622.3678142624681</v>
      </c>
      <c r="J15" s="69">
        <f>'Sales Tax'!L109</f>
        <v>3622.3678142624681</v>
      </c>
      <c r="K15" s="69">
        <f>'Sales Tax'!M109</f>
        <v>3622.3678142624681</v>
      </c>
      <c r="L15" s="69">
        <f>'Sales Tax'!N109</f>
        <v>3634.2843142624679</v>
      </c>
      <c r="M15" s="69">
        <f>'Sales Tax'!O109</f>
        <v>3638.6738142624677</v>
      </c>
      <c r="N15" s="69">
        <f>'Sales Tax'!P109</f>
        <v>3752.9445642624678</v>
      </c>
      <c r="O15" s="227">
        <f t="shared" si="0"/>
        <v>42435.023165644372</v>
      </c>
      <c r="P15" s="69">
        <v>40624</v>
      </c>
      <c r="Q15" s="69">
        <v>43176</v>
      </c>
      <c r="R15" s="232" t="e">
        <f>SUM((O15)/(Rent!#REF!+Rent!#REF!+Rent!$C$15+Rent!$C$17+Rent!$C$18+Rent!$C$19+Rent!$C$20+Rent!$C$21+Rent!$C$22))</f>
        <v>#REF!</v>
      </c>
      <c r="S15" s="228">
        <f>P15-O15</f>
        <v>-1811.0231656443721</v>
      </c>
      <c r="T15" s="229">
        <f>Rent!$C$34</f>
        <v>67709</v>
      </c>
      <c r="U15" s="212"/>
      <c r="V15" s="212"/>
      <c r="W15" s="210"/>
      <c r="X15" s="60"/>
      <c r="Y15" s="60"/>
      <c r="Z15" s="60"/>
      <c r="AA15" s="2"/>
      <c r="AB15" s="2"/>
      <c r="AC15" s="2"/>
      <c r="AD15" s="2"/>
      <c r="AE15" s="2"/>
      <c r="AF15" s="2"/>
    </row>
    <row r="16" spans="1:32" ht="13.15" customHeight="1">
      <c r="A16" s="231">
        <v>40150</v>
      </c>
      <c r="B16" s="2" t="s">
        <v>178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f>SUM(C16:N16)</f>
        <v>0</v>
      </c>
      <c r="P16" s="69"/>
      <c r="Q16" s="69"/>
      <c r="R16" s="232" t="e">
        <f>SUM((O16)/(Rent!#REF!+Rent!#REF!+Rent!$C$15+Rent!$C$17+Rent!$C$18+Rent!$C$19+Rent!$C$20+Rent!$C$21+Rent!$C$22))</f>
        <v>#REF!</v>
      </c>
      <c r="S16" s="228">
        <f t="shared" ref="S16:S26" si="1">P16-O16</f>
        <v>0</v>
      </c>
      <c r="T16" s="229"/>
      <c r="U16" s="212">
        <v>0</v>
      </c>
      <c r="V16" s="212"/>
      <c r="W16" s="210"/>
      <c r="X16" s="60"/>
      <c r="Y16" s="60"/>
      <c r="Z16" s="60"/>
      <c r="AA16" s="2"/>
      <c r="AB16" s="2"/>
      <c r="AC16" s="2"/>
      <c r="AD16" s="2"/>
      <c r="AE16" s="2"/>
      <c r="AF16" s="2"/>
    </row>
    <row r="17" spans="1:25" ht="13.15" customHeight="1">
      <c r="A17" s="231">
        <v>40170</v>
      </c>
      <c r="B17" s="2" t="s">
        <v>179</v>
      </c>
      <c r="C17" s="69">
        <f>'Building Expenses'!E35</f>
        <v>2845.3194584568973</v>
      </c>
      <c r="D17" s="69">
        <f>'Building Expenses'!F35</f>
        <v>2845.3194584568973</v>
      </c>
      <c r="E17" s="69">
        <f>'Building Expenses'!G35</f>
        <v>2845.3194584568973</v>
      </c>
      <c r="F17" s="69">
        <f>'Building Expenses'!H35</f>
        <v>2845.3194584568973</v>
      </c>
      <c r="G17" s="69">
        <f>'Building Expenses'!I35</f>
        <v>2845.3194584568973</v>
      </c>
      <c r="H17" s="69">
        <f>'Building Expenses'!J35</f>
        <v>2845.3194584568973</v>
      </c>
      <c r="I17" s="69">
        <f>'Building Expenses'!K35</f>
        <v>3338.1126626718433</v>
      </c>
      <c r="J17" s="69">
        <f>'Building Expenses'!L35</f>
        <v>3338.1126626718433</v>
      </c>
      <c r="K17" s="69">
        <f>'Building Expenses'!M35</f>
        <v>3338.1126626718433</v>
      </c>
      <c r="L17" s="69">
        <f>'Building Expenses'!N35</f>
        <v>3338.1126626718433</v>
      </c>
      <c r="M17" s="69">
        <f>'Building Expenses'!O35</f>
        <v>3338.1126626718433</v>
      </c>
      <c r="N17" s="69">
        <f>'Building Expenses'!P35</f>
        <v>3338.1126626718433</v>
      </c>
      <c r="O17" s="227">
        <f t="shared" si="0"/>
        <v>37100.592726772447</v>
      </c>
      <c r="P17" s="69"/>
      <c r="Q17" s="69"/>
      <c r="R17" s="232" t="e">
        <f>SUM(O17)/(Rent!#REF!+Rent!#REF!+Rent!C16+Rent!C17+Rent!C18+Rent!C19+Rent!C20+Rent!C21)</f>
        <v>#REF!</v>
      </c>
      <c r="S17" s="228">
        <f t="shared" si="1"/>
        <v>-37100.592726772447</v>
      </c>
      <c r="T17" s="229">
        <f>Rent!$C$34</f>
        <v>67709</v>
      </c>
      <c r="U17" s="212">
        <f t="shared" ref="U17:U24" si="2">O17/T17</f>
        <v>0.54794182053748319</v>
      </c>
      <c r="V17" s="212"/>
      <c r="W17" s="210"/>
      <c r="X17" s="60"/>
      <c r="Y17" s="60"/>
    </row>
    <row r="18" spans="1:25" ht="13.15" customHeight="1">
      <c r="A18" s="231">
        <v>40230</v>
      </c>
      <c r="B18" s="2" t="s">
        <v>180</v>
      </c>
      <c r="C18" s="69">
        <f>Ins.!E35</f>
        <v>2545.0928126246135</v>
      </c>
      <c r="D18" s="69">
        <f>Ins.!F35</f>
        <v>2545.0928126246135</v>
      </c>
      <c r="E18" s="69">
        <f>Ins.!G35</f>
        <v>2545.0928126246135</v>
      </c>
      <c r="F18" s="69">
        <f>Ins.!H35</f>
        <v>2545.0928126246135</v>
      </c>
      <c r="G18" s="69">
        <f>Ins.!I35</f>
        <v>2545.0928126246135</v>
      </c>
      <c r="H18" s="69">
        <f>Ins.!J35</f>
        <v>2545.0928126246135</v>
      </c>
      <c r="I18" s="69">
        <f>Ins.!K35</f>
        <v>2663.3749999999995</v>
      </c>
      <c r="J18" s="69">
        <f>Ins.!L35</f>
        <v>2663.3749999999995</v>
      </c>
      <c r="K18" s="69">
        <f>Ins.!M35</f>
        <v>2663.3749999999995</v>
      </c>
      <c r="L18" s="69">
        <f>Ins.!N35</f>
        <v>2663.3749999999995</v>
      </c>
      <c r="M18" s="69">
        <f>Ins.!O35</f>
        <v>2663.3749999999995</v>
      </c>
      <c r="N18" s="69">
        <f>Ins.!P35</f>
        <v>2663.3749999999995</v>
      </c>
      <c r="O18" s="227">
        <f t="shared" si="0"/>
        <v>31250.806875747683</v>
      </c>
      <c r="P18" s="69">
        <v>17496</v>
      </c>
      <c r="Q18" s="69">
        <v>18516</v>
      </c>
      <c r="R18" s="232" t="e">
        <f>SUM(O18)/(Rent!#REF!+Rent!C15+Rent!C17+Rent!C18+Rent!C19+Rent!C20+Rent!C21+Rent!C22)</f>
        <v>#REF!</v>
      </c>
      <c r="S18" s="228">
        <f t="shared" si="1"/>
        <v>-13754.806875747683</v>
      </c>
      <c r="T18" s="229">
        <f>Rent!$C$34</f>
        <v>67709</v>
      </c>
      <c r="U18" s="212">
        <f t="shared" si="2"/>
        <v>0.46154583402129234</v>
      </c>
      <c r="V18" s="212"/>
      <c r="W18" s="210"/>
      <c r="X18" s="60"/>
      <c r="Y18" s="60"/>
    </row>
    <row r="19" spans="1:25" ht="13.15" customHeight="1">
      <c r="A19" s="231">
        <v>40240</v>
      </c>
      <c r="B19" s="2" t="s">
        <v>181</v>
      </c>
      <c r="C19" s="69">
        <f>'RE Tax'!E37</f>
        <v>11506.312120130264</v>
      </c>
      <c r="D19" s="69">
        <f>'RE Tax'!F37</f>
        <v>11506.312120130264</v>
      </c>
      <c r="E19" s="69">
        <f>'RE Tax'!G37</f>
        <v>11506.312120130264</v>
      </c>
      <c r="F19" s="69">
        <f>'RE Tax'!H37</f>
        <v>11506.312120130264</v>
      </c>
      <c r="G19" s="69">
        <f>'RE Tax'!I37</f>
        <v>11506.312120130264</v>
      </c>
      <c r="H19" s="69">
        <f>'RE Tax'!J37</f>
        <v>11506.312120130264</v>
      </c>
      <c r="I19" s="69">
        <f>'RE Tax'!K37</f>
        <v>12041.06345</v>
      </c>
      <c r="J19" s="69">
        <f>'RE Tax'!L37</f>
        <v>12041.06345</v>
      </c>
      <c r="K19" s="69">
        <f>'RE Tax'!M37</f>
        <v>12041.06345</v>
      </c>
      <c r="L19" s="69">
        <f>'RE Tax'!N37</f>
        <v>12041.06345</v>
      </c>
      <c r="M19" s="69">
        <f>'RE Tax'!O37</f>
        <v>12041.06345</v>
      </c>
      <c r="N19" s="69">
        <f>'RE Tax'!P37</f>
        <v>12041.06345</v>
      </c>
      <c r="O19" s="227">
        <f t="shared" si="0"/>
        <v>141284.25342078158</v>
      </c>
      <c r="P19" s="69">
        <v>157244</v>
      </c>
      <c r="Q19" s="69">
        <v>165792</v>
      </c>
      <c r="R19" s="232" t="e">
        <f>SUM(O19)/(Rent!#REF!+Rent!C16+Rent!C18+Rent!C19+Rent!C20+Rent!C21+Rent!C22+Rent!C23)</f>
        <v>#REF!</v>
      </c>
      <c r="S19" s="228">
        <f t="shared" si="1"/>
        <v>15959.746579218423</v>
      </c>
      <c r="T19" s="229">
        <f>Rent!$C$34</f>
        <v>67709</v>
      </c>
      <c r="U19" s="212">
        <f t="shared" si="2"/>
        <v>2.0866391974594451</v>
      </c>
      <c r="V19" s="212"/>
      <c r="W19" s="210"/>
      <c r="X19" s="60"/>
      <c r="Y19" s="60"/>
    </row>
    <row r="20" spans="1:25" ht="13.15" customHeight="1">
      <c r="A20" s="60">
        <v>40250</v>
      </c>
      <c r="B20" s="2" t="s">
        <v>182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0</v>
      </c>
      <c r="O20" s="227">
        <f t="shared" si="0"/>
        <v>0</v>
      </c>
      <c r="P20" s="69">
        <v>7280</v>
      </c>
      <c r="Q20" s="69">
        <v>0</v>
      </c>
      <c r="R20" s="228"/>
      <c r="S20" s="228">
        <f t="shared" si="1"/>
        <v>7280</v>
      </c>
      <c r="T20" s="229">
        <f>Rent!$C$34</f>
        <v>67709</v>
      </c>
      <c r="U20" s="209"/>
      <c r="V20" s="209"/>
      <c r="W20" s="233"/>
      <c r="X20" s="60"/>
      <c r="Y20" s="60"/>
    </row>
    <row r="21" spans="1:25" ht="12.95" customHeight="1">
      <c r="A21" s="60">
        <v>40390</v>
      </c>
      <c r="B21" s="2" t="s">
        <v>183</v>
      </c>
      <c r="C21" s="69">
        <f>'Admin Fee'!E34</f>
        <v>170.83229359302399</v>
      </c>
      <c r="D21" s="69">
        <f>'Admin Fee'!F34</f>
        <v>170.83229359302399</v>
      </c>
      <c r="E21" s="69">
        <f>'Admin Fee'!G34</f>
        <v>170.83229359302399</v>
      </c>
      <c r="F21" s="69">
        <f>'Admin Fee'!H34</f>
        <v>170.83229359302399</v>
      </c>
      <c r="G21" s="69">
        <f>'Admin Fee'!I34</f>
        <v>170.83229359302399</v>
      </c>
      <c r="H21" s="69">
        <f>'Admin Fee'!J34</f>
        <v>170.83229359302399</v>
      </c>
      <c r="I21" s="69">
        <f>'Admin Fee'!K34</f>
        <v>215.21263578936404</v>
      </c>
      <c r="J21" s="69">
        <f>'Admin Fee'!L34</f>
        <v>215.21263578936404</v>
      </c>
      <c r="K21" s="69">
        <f>'Admin Fee'!M34</f>
        <v>215.21263578936404</v>
      </c>
      <c r="L21" s="69">
        <f>'Admin Fee'!N34</f>
        <v>215.21263578936404</v>
      </c>
      <c r="M21" s="69">
        <f>'Admin Fee'!O34</f>
        <v>215.21263578936404</v>
      </c>
      <c r="N21" s="69">
        <f>'Admin Fee'!P34</f>
        <v>215.21263578936404</v>
      </c>
      <c r="O21" s="227">
        <f>SUM(C21:N21)</f>
        <v>2316.2695762943276</v>
      </c>
      <c r="P21" s="69">
        <v>35017</v>
      </c>
      <c r="Q21" s="69">
        <v>38976</v>
      </c>
      <c r="R21" s="228" t="e">
        <f>SUM(O21)/(Rent!#REF!+Rent!C17+Rent!C19+Rent!C20+Rent!C21+Rent!C22+Rent!C23+Rent!C24)</f>
        <v>#REF!</v>
      </c>
      <c r="S21" s="228">
        <f t="shared" si="1"/>
        <v>32700.730423705674</v>
      </c>
      <c r="T21" s="229">
        <f>Rent!$C$34</f>
        <v>67709</v>
      </c>
      <c r="U21" s="209">
        <f t="shared" si="2"/>
        <v>3.4209183067159872E-2</v>
      </c>
      <c r="V21" s="209"/>
      <c r="W21" s="210"/>
      <c r="X21" s="60"/>
      <c r="Y21" s="60"/>
    </row>
    <row r="22" spans="1:25" ht="12.95" customHeight="1">
      <c r="A22" s="60"/>
      <c r="B22" s="2" t="s">
        <v>184</v>
      </c>
      <c r="C22" s="69">
        <f>Signage!E37</f>
        <v>4585.83</v>
      </c>
      <c r="D22" s="69">
        <f>Signage!F37</f>
        <v>4585.83</v>
      </c>
      <c r="E22" s="69">
        <f>Signage!G37</f>
        <v>4585.83</v>
      </c>
      <c r="F22" s="69">
        <f>Signage!H37</f>
        <v>4585.83</v>
      </c>
      <c r="G22" s="69">
        <f>Signage!I37</f>
        <v>4585.83</v>
      </c>
      <c r="H22" s="69">
        <f>Signage!J37</f>
        <v>4585.83</v>
      </c>
      <c r="I22" s="69">
        <f>Signage!K37</f>
        <v>4585.83</v>
      </c>
      <c r="J22" s="69">
        <f>Signage!L37</f>
        <v>4585.83</v>
      </c>
      <c r="K22" s="69">
        <f>Signage!M37</f>
        <v>4585.83</v>
      </c>
      <c r="L22" s="69">
        <f>Signage!N37</f>
        <v>4585.83</v>
      </c>
      <c r="M22" s="69">
        <f>Signage!O37</f>
        <v>4585.83</v>
      </c>
      <c r="N22" s="69">
        <f>Signage!P37</f>
        <v>4585.83</v>
      </c>
      <c r="O22" s="227">
        <f>SUM(C22:N22)</f>
        <v>55029.960000000014</v>
      </c>
      <c r="P22" s="69">
        <v>50500</v>
      </c>
      <c r="Q22" s="69">
        <v>54000</v>
      </c>
      <c r="R22" s="228" t="e">
        <f>SUM(O22)/(Rent!#REF!+Rent!C18+Rent!C20+Rent!C21+Rent!C22+Rent!C23+Rent!C24+Rent!C25)</f>
        <v>#REF!</v>
      </c>
      <c r="S22" s="228">
        <f t="shared" si="1"/>
        <v>-4529.9600000000137</v>
      </c>
      <c r="T22" s="229">
        <f>Rent!$C$34</f>
        <v>67709</v>
      </c>
      <c r="U22" s="209">
        <f t="shared" si="2"/>
        <v>0.81274217607703581</v>
      </c>
      <c r="V22" s="209"/>
      <c r="W22" s="613"/>
      <c r="X22" s="613"/>
      <c r="Y22" s="613"/>
    </row>
    <row r="23" spans="1:25" ht="12.95" customHeight="1">
      <c r="A23" s="60">
        <v>40143</v>
      </c>
      <c r="B23" s="2" t="s">
        <v>185</v>
      </c>
      <c r="C23" s="69">
        <f>'Rent Deferral Recovery'!D30</f>
        <v>0</v>
      </c>
      <c r="D23" s="69">
        <f>'Rent Deferral Recovery'!E30</f>
        <v>0</v>
      </c>
      <c r="E23" s="69">
        <f>'Rent Deferral Recovery'!F30</f>
        <v>0</v>
      </c>
      <c r="F23" s="69">
        <f>'Rent Deferral Recovery'!G30</f>
        <v>0</v>
      </c>
      <c r="G23" s="69">
        <f>'Rent Deferral Recovery'!H30</f>
        <v>0</v>
      </c>
      <c r="H23" s="69">
        <f>'Rent Deferral Recovery'!I30</f>
        <v>0</v>
      </c>
      <c r="I23" s="69">
        <f>'Rent Deferral Recovery'!J30</f>
        <v>0</v>
      </c>
      <c r="J23" s="69">
        <f>'Rent Deferral Recovery'!K30</f>
        <v>0</v>
      </c>
      <c r="K23" s="69">
        <f>'Rent Deferral Recovery'!L30</f>
        <v>0</v>
      </c>
      <c r="L23" s="69">
        <f>'Rent Deferral Recovery'!M30</f>
        <v>0</v>
      </c>
      <c r="M23" s="69">
        <f>'Rent Deferral Recovery'!N30</f>
        <v>0</v>
      </c>
      <c r="N23" s="69">
        <f>'Rent Deferral Recovery'!O30</f>
        <v>0</v>
      </c>
      <c r="O23" s="227">
        <f>SUM(C23:N23)</f>
        <v>0</v>
      </c>
      <c r="P23" s="69"/>
      <c r="Q23" s="69"/>
      <c r="R23" s="228" t="e">
        <f>SUM(O23)/(Rent!#REF!+Rent!C19+Rent!C21+Rent!C22+Rent!C23+Rent!C24+Rent!C25+Rent!C26)</f>
        <v>#REF!</v>
      </c>
      <c r="S23" s="228">
        <f t="shared" si="1"/>
        <v>0</v>
      </c>
      <c r="T23" s="229">
        <f>Rent!$C$34</f>
        <v>67709</v>
      </c>
      <c r="U23" s="209">
        <f t="shared" si="2"/>
        <v>0</v>
      </c>
      <c r="V23" s="209"/>
      <c r="W23" s="613"/>
      <c r="X23" s="613"/>
      <c r="Y23" s="613"/>
    </row>
    <row r="24" spans="1:25" ht="12.95" customHeight="1">
      <c r="A24" s="60">
        <v>40600</v>
      </c>
      <c r="B24" s="2" t="s">
        <v>186</v>
      </c>
      <c r="C24" s="69">
        <v>0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227">
        <f>SUM(C24:N24)</f>
        <v>0</v>
      </c>
      <c r="P24" s="69"/>
      <c r="Q24" s="69"/>
      <c r="R24" s="228"/>
      <c r="S24" s="228">
        <f t="shared" si="1"/>
        <v>0</v>
      </c>
      <c r="T24" s="229">
        <f>Rent!$C$34</f>
        <v>67709</v>
      </c>
      <c r="U24" s="209">
        <f t="shared" si="2"/>
        <v>0</v>
      </c>
      <c r="V24" s="209"/>
      <c r="W24" s="210"/>
      <c r="X24" s="60"/>
      <c r="Y24" s="60"/>
    </row>
    <row r="25" spans="1:25" ht="13.15" customHeight="1">
      <c r="A25" s="60">
        <v>40220</v>
      </c>
      <c r="B25" s="2" t="s">
        <v>187</v>
      </c>
      <c r="C25" s="69">
        <v>0</v>
      </c>
      <c r="D25" s="69">
        <v>0</v>
      </c>
      <c r="E25" s="69">
        <v>0</v>
      </c>
      <c r="F25" s="69">
        <v>0</v>
      </c>
      <c r="G25" s="69">
        <v>0</v>
      </c>
      <c r="H25" s="69">
        <v>0</v>
      </c>
      <c r="I25" s="69">
        <v>0</v>
      </c>
      <c r="J25" s="69">
        <v>0</v>
      </c>
      <c r="K25" s="69">
        <v>0</v>
      </c>
      <c r="L25" s="69">
        <v>0</v>
      </c>
      <c r="M25" s="69">
        <v>0</v>
      </c>
      <c r="N25" s="69">
        <v>0</v>
      </c>
      <c r="O25" s="69">
        <f t="shared" ref="O25:O26" si="3">SUM(C25:N25)</f>
        <v>0</v>
      </c>
      <c r="P25" s="69"/>
      <c r="Q25" s="69"/>
      <c r="R25" s="228"/>
      <c r="S25" s="228">
        <f t="shared" si="1"/>
        <v>0</v>
      </c>
      <c r="T25" s="229">
        <f>Rent!$C$34</f>
        <v>67709</v>
      </c>
      <c r="U25" s="209"/>
      <c r="V25" s="209"/>
      <c r="W25" s="210"/>
      <c r="X25" s="60"/>
      <c r="Y25" s="60"/>
    </row>
    <row r="26" spans="1:25" ht="13.15" customHeight="1">
      <c r="A26" s="60">
        <v>45000</v>
      </c>
      <c r="B26" s="2" t="s">
        <v>188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f t="shared" si="3"/>
        <v>0</v>
      </c>
      <c r="P26" s="69">
        <v>185</v>
      </c>
      <c r="Q26" s="69">
        <v>0</v>
      </c>
      <c r="R26" s="228"/>
      <c r="S26" s="228">
        <f t="shared" si="1"/>
        <v>185</v>
      </c>
      <c r="T26" s="229">
        <f>Rent!$C$34</f>
        <v>67709</v>
      </c>
      <c r="U26" s="209"/>
      <c r="V26" s="209"/>
      <c r="W26" s="233"/>
      <c r="X26" s="60"/>
      <c r="Y26" s="60"/>
    </row>
    <row r="27" spans="1:25" ht="13.15" customHeight="1">
      <c r="A27" s="2"/>
      <c r="B27" s="234" t="s">
        <v>189</v>
      </c>
      <c r="C27" s="235">
        <f t="shared" ref="C27:O27" si="4">SUM(C13:C25)</f>
        <v>140268.5254138087</v>
      </c>
      <c r="D27" s="235">
        <f t="shared" si="4"/>
        <v>140268.5254138087</v>
      </c>
      <c r="E27" s="235">
        <f t="shared" si="4"/>
        <v>140268.5254138087</v>
      </c>
      <c r="F27" s="235">
        <f t="shared" si="4"/>
        <v>140504.6496638087</v>
      </c>
      <c r="G27" s="235">
        <f t="shared" si="4"/>
        <v>140580.7661638087</v>
      </c>
      <c r="H27" s="235">
        <f t="shared" si="4"/>
        <v>140580.7661638087</v>
      </c>
      <c r="I27" s="235">
        <f t="shared" si="4"/>
        <v>148600.10038476114</v>
      </c>
      <c r="J27" s="235">
        <f t="shared" si="4"/>
        <v>148600.10038476114</v>
      </c>
      <c r="K27" s="235">
        <f t="shared" si="4"/>
        <v>148600.10038476114</v>
      </c>
      <c r="L27" s="235">
        <f t="shared" si="4"/>
        <v>149088.67688476114</v>
      </c>
      <c r="M27" s="235">
        <f t="shared" si="4"/>
        <v>149268.64638476112</v>
      </c>
      <c r="N27" s="235">
        <f t="shared" si="4"/>
        <v>149382.91713476111</v>
      </c>
      <c r="O27" s="236">
        <f t="shared" si="4"/>
        <v>1736012.2997914189</v>
      </c>
      <c r="P27" s="237">
        <f>SUM(P13:P26)</f>
        <v>1680658</v>
      </c>
      <c r="Q27" s="237">
        <f>SUM(Q13:Q26)</f>
        <v>1777564</v>
      </c>
      <c r="R27" s="238" t="e">
        <f>SUM(R13:R24)</f>
        <v>#REF!</v>
      </c>
      <c r="S27" s="238">
        <f>SUM(S13:S24)</f>
        <v>14058.480208580295</v>
      </c>
      <c r="T27" s="239"/>
      <c r="U27" s="240">
        <f>SUM(U13:U24)</f>
        <v>25.012587346228344</v>
      </c>
      <c r="V27" s="241">
        <f>S27/O27</f>
        <v>8.0981455086864395E-3</v>
      </c>
      <c r="W27" s="210"/>
      <c r="X27" s="60"/>
      <c r="Y27" s="60"/>
    </row>
    <row r="28" spans="1:25" ht="13.15" customHeight="1">
      <c r="A28" s="2"/>
      <c r="B28" s="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232"/>
      <c r="S28" s="232"/>
      <c r="T28" s="242"/>
      <c r="U28" s="212"/>
      <c r="V28" s="212"/>
      <c r="W28" s="210"/>
      <c r="X28" s="60"/>
      <c r="Y28" s="60"/>
    </row>
    <row r="29" spans="1:25" ht="13.15" customHeight="1">
      <c r="A29" s="2"/>
      <c r="B29" s="60" t="s">
        <v>190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232"/>
      <c r="S29" s="232"/>
      <c r="T29" s="2"/>
      <c r="U29" s="212"/>
      <c r="V29" s="212"/>
      <c r="W29" s="210"/>
      <c r="X29" s="60"/>
      <c r="Y29" s="60"/>
    </row>
    <row r="30" spans="1:25" ht="13.15" customHeight="1">
      <c r="A30" s="243"/>
      <c r="B30" s="226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232"/>
      <c r="S30" s="232"/>
      <c r="T30" s="2"/>
      <c r="U30" s="212"/>
      <c r="V30" s="212"/>
      <c r="W30" s="210"/>
      <c r="X30" s="60"/>
      <c r="Y30" s="60"/>
    </row>
    <row r="31" spans="1:25" ht="13.15" customHeight="1">
      <c r="A31" s="60">
        <v>50150</v>
      </c>
      <c r="B31" s="51" t="s">
        <v>191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17000</v>
      </c>
      <c r="M31" s="69">
        <v>0</v>
      </c>
      <c r="N31" s="69">
        <v>0</v>
      </c>
      <c r="O31" s="69">
        <f>SUM(C31:N31)</f>
        <v>17000</v>
      </c>
      <c r="P31" s="69">
        <v>17000</v>
      </c>
      <c r="Q31" s="69">
        <v>17000</v>
      </c>
      <c r="R31" s="228">
        <f>O31/T31</f>
        <v>0.25107445095925207</v>
      </c>
      <c r="S31" s="228">
        <f t="shared" ref="S31:S54" si="5">P31-O31</f>
        <v>0</v>
      </c>
      <c r="T31" s="229">
        <f>CAM!C$35</f>
        <v>67709</v>
      </c>
      <c r="U31" s="209">
        <f>O31/T31</f>
        <v>0.25107445095925207</v>
      </c>
      <c r="V31" s="209"/>
      <c r="W31" s="210"/>
      <c r="X31" s="60"/>
      <c r="Y31" s="60"/>
    </row>
    <row r="32" spans="1:25" ht="13.15" customHeight="1">
      <c r="A32" s="60">
        <v>50160</v>
      </c>
      <c r="B32" s="2" t="s">
        <v>192</v>
      </c>
      <c r="C32" s="69">
        <v>0</v>
      </c>
      <c r="D32" s="69">
        <v>0</v>
      </c>
      <c r="E32" s="69">
        <v>0</v>
      </c>
      <c r="F32" s="69">
        <v>0</v>
      </c>
      <c r="G32" s="69">
        <v>1500</v>
      </c>
      <c r="H32" s="69">
        <v>0</v>
      </c>
      <c r="I32" s="69">
        <v>0</v>
      </c>
      <c r="J32" s="69">
        <v>0</v>
      </c>
      <c r="K32" s="69">
        <v>0</v>
      </c>
      <c r="L32" s="69">
        <v>1500</v>
      </c>
      <c r="M32" s="69">
        <v>0</v>
      </c>
      <c r="N32" s="69">
        <v>0</v>
      </c>
      <c r="O32" s="69">
        <f>SUM(C32:N32)</f>
        <v>3000</v>
      </c>
      <c r="P32" s="69">
        <v>2599</v>
      </c>
      <c r="Q32" s="69">
        <v>0</v>
      </c>
      <c r="R32" s="228">
        <v>0</v>
      </c>
      <c r="S32" s="228">
        <f t="shared" si="5"/>
        <v>-401</v>
      </c>
      <c r="T32" s="229">
        <f>CAM!C$35</f>
        <v>67709</v>
      </c>
      <c r="U32" s="209">
        <v>0</v>
      </c>
      <c r="V32" s="209"/>
      <c r="W32" s="210"/>
      <c r="X32" s="60"/>
      <c r="Y32" s="60"/>
    </row>
    <row r="33" spans="1:23" ht="13.15" customHeight="1">
      <c r="A33" s="60">
        <v>50190</v>
      </c>
      <c r="B33" s="51" t="s">
        <v>193</v>
      </c>
      <c r="C33" s="69"/>
      <c r="D33" s="69"/>
      <c r="E33" s="69">
        <v>300</v>
      </c>
      <c r="F33" s="69"/>
      <c r="G33" s="69"/>
      <c r="H33" s="69">
        <v>300</v>
      </c>
      <c r="I33" s="69"/>
      <c r="J33" s="69"/>
      <c r="K33" s="69">
        <v>300</v>
      </c>
      <c r="L33" s="69"/>
      <c r="M33" s="69"/>
      <c r="N33" s="69">
        <v>300</v>
      </c>
      <c r="O33" s="69">
        <f t="shared" ref="O33:O50" si="6">SUM(C33:N33)</f>
        <v>1200</v>
      </c>
      <c r="P33" s="69">
        <v>1400</v>
      </c>
      <c r="Q33" s="69">
        <v>2400</v>
      </c>
      <c r="R33" s="228">
        <f t="shared" ref="R33:R52" si="7">O33/T33</f>
        <v>1.7722902420653087E-2</v>
      </c>
      <c r="S33" s="228">
        <f t="shared" si="5"/>
        <v>200</v>
      </c>
      <c r="T33" s="229">
        <f>CAM!C$35</f>
        <v>67709</v>
      </c>
      <c r="U33" s="209">
        <f t="shared" ref="U33:U52" si="8">O33/T33</f>
        <v>1.7722902420653087E-2</v>
      </c>
      <c r="V33" s="209"/>
      <c r="W33" s="210"/>
    </row>
    <row r="34" spans="1:23" ht="13.15" customHeight="1">
      <c r="A34" s="60">
        <v>50170</v>
      </c>
      <c r="B34" s="51" t="s">
        <v>194</v>
      </c>
      <c r="C34" s="69">
        <v>1560</v>
      </c>
      <c r="D34" s="69">
        <f>C34</f>
        <v>1560</v>
      </c>
      <c r="E34" s="69">
        <f t="shared" ref="E34:N34" si="9">D34</f>
        <v>1560</v>
      </c>
      <c r="F34" s="69">
        <f t="shared" si="9"/>
        <v>1560</v>
      </c>
      <c r="G34" s="69">
        <f t="shared" si="9"/>
        <v>1560</v>
      </c>
      <c r="H34" s="69">
        <f t="shared" si="9"/>
        <v>1560</v>
      </c>
      <c r="I34" s="69">
        <f t="shared" si="9"/>
        <v>1560</v>
      </c>
      <c r="J34" s="69">
        <f t="shared" si="9"/>
        <v>1560</v>
      </c>
      <c r="K34" s="69">
        <f t="shared" si="9"/>
        <v>1560</v>
      </c>
      <c r="L34" s="69">
        <f t="shared" si="9"/>
        <v>1560</v>
      </c>
      <c r="M34" s="69">
        <f t="shared" si="9"/>
        <v>1560</v>
      </c>
      <c r="N34" s="69">
        <f t="shared" si="9"/>
        <v>1560</v>
      </c>
      <c r="O34" s="69">
        <f t="shared" si="6"/>
        <v>18720</v>
      </c>
      <c r="P34" s="69">
        <v>16170</v>
      </c>
      <c r="Q34" s="69">
        <v>17640</v>
      </c>
      <c r="R34" s="228">
        <f t="shared" si="7"/>
        <v>0.27647727776218817</v>
      </c>
      <c r="S34" s="228">
        <f t="shared" si="5"/>
        <v>-2550</v>
      </c>
      <c r="T34" s="229">
        <f>CAM!C$35</f>
        <v>67709</v>
      </c>
      <c r="U34" s="209">
        <f t="shared" si="8"/>
        <v>0.27647727776218817</v>
      </c>
      <c r="V34" s="209"/>
      <c r="W34" s="210"/>
    </row>
    <row r="35" spans="1:23">
      <c r="A35" s="60">
        <v>50510</v>
      </c>
      <c r="B35" s="51" t="s">
        <v>195</v>
      </c>
      <c r="C35" s="69">
        <v>125</v>
      </c>
      <c r="D35" s="69">
        <v>125</v>
      </c>
      <c r="E35" s="69">
        <v>125</v>
      </c>
      <c r="F35" s="69">
        <v>125</v>
      </c>
      <c r="G35" s="69">
        <v>125</v>
      </c>
      <c r="H35" s="69">
        <v>125</v>
      </c>
      <c r="I35" s="69">
        <v>125</v>
      </c>
      <c r="J35" s="69">
        <v>125</v>
      </c>
      <c r="K35" s="69">
        <v>125</v>
      </c>
      <c r="L35" s="69">
        <v>125</v>
      </c>
      <c r="M35" s="69">
        <v>125</v>
      </c>
      <c r="N35" s="69">
        <v>125</v>
      </c>
      <c r="O35" s="69">
        <f t="shared" si="6"/>
        <v>1500</v>
      </c>
      <c r="P35" s="69">
        <v>1375</v>
      </c>
      <c r="Q35" s="69">
        <v>1500</v>
      </c>
      <c r="R35" s="228">
        <f t="shared" si="7"/>
        <v>2.2153628025816361E-2</v>
      </c>
      <c r="S35" s="228">
        <f t="shared" si="5"/>
        <v>-125</v>
      </c>
      <c r="T35" s="229">
        <f>CAM!C$35</f>
        <v>67709</v>
      </c>
      <c r="U35" s="209">
        <f t="shared" si="8"/>
        <v>2.2153628025816361E-2</v>
      </c>
      <c r="V35" s="209"/>
      <c r="W35" s="210"/>
    </row>
    <row r="36" spans="1:23" ht="13.15" customHeight="1">
      <c r="A36" s="60">
        <v>50520</v>
      </c>
      <c r="B36" s="2" t="s">
        <v>196</v>
      </c>
      <c r="C36" s="69">
        <v>0</v>
      </c>
      <c r="D36" s="69">
        <v>0</v>
      </c>
      <c r="E36" s="69">
        <v>0</v>
      </c>
      <c r="F36" s="69">
        <v>0</v>
      </c>
      <c r="G36" s="69">
        <v>5000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69">
        <v>0</v>
      </c>
      <c r="O36" s="69">
        <f t="shared" si="6"/>
        <v>5000</v>
      </c>
      <c r="P36" s="69">
        <v>0</v>
      </c>
      <c r="Q36" s="244">
        <v>5000</v>
      </c>
      <c r="R36" s="228">
        <f t="shared" si="7"/>
        <v>7.384542675272121E-2</v>
      </c>
      <c r="S36" s="228">
        <f t="shared" si="5"/>
        <v>-5000</v>
      </c>
      <c r="T36" s="229">
        <f>CAM!C$35</f>
        <v>67709</v>
      </c>
      <c r="U36" s="209">
        <f t="shared" si="8"/>
        <v>7.384542675272121E-2</v>
      </c>
      <c r="V36" s="209"/>
      <c r="W36" s="210"/>
    </row>
    <row r="37" spans="1:23" ht="13.15" customHeight="1">
      <c r="A37" s="60">
        <v>50530</v>
      </c>
      <c r="B37" s="51" t="s">
        <v>197</v>
      </c>
      <c r="C37" s="69">
        <v>300</v>
      </c>
      <c r="D37" s="69">
        <f>C37</f>
        <v>300</v>
      </c>
      <c r="E37" s="69">
        <f t="shared" ref="E37:N37" si="10">D37</f>
        <v>300</v>
      </c>
      <c r="F37" s="69">
        <f t="shared" si="10"/>
        <v>300</v>
      </c>
      <c r="G37" s="69">
        <f t="shared" si="10"/>
        <v>300</v>
      </c>
      <c r="H37" s="69">
        <f t="shared" si="10"/>
        <v>300</v>
      </c>
      <c r="I37" s="69">
        <f t="shared" si="10"/>
        <v>300</v>
      </c>
      <c r="J37" s="69">
        <f t="shared" si="10"/>
        <v>300</v>
      </c>
      <c r="K37" s="69">
        <f t="shared" si="10"/>
        <v>300</v>
      </c>
      <c r="L37" s="69">
        <f t="shared" si="10"/>
        <v>300</v>
      </c>
      <c r="M37" s="69">
        <f t="shared" si="10"/>
        <v>300</v>
      </c>
      <c r="N37" s="69">
        <f t="shared" si="10"/>
        <v>300</v>
      </c>
      <c r="O37" s="69">
        <f t="shared" si="6"/>
        <v>3600</v>
      </c>
      <c r="P37" s="69">
        <v>4000</v>
      </c>
      <c r="Q37" s="69">
        <v>1200</v>
      </c>
      <c r="R37" s="228">
        <f t="shared" si="7"/>
        <v>5.3168707261959269E-2</v>
      </c>
      <c r="S37" s="228">
        <f t="shared" si="5"/>
        <v>400</v>
      </c>
      <c r="T37" s="229">
        <f>CAM!C$35</f>
        <v>67709</v>
      </c>
      <c r="U37" s="209">
        <f t="shared" si="8"/>
        <v>5.3168707261959269E-2</v>
      </c>
      <c r="V37" s="209"/>
      <c r="W37" s="2"/>
    </row>
    <row r="38" spans="1:23" ht="13.15" customHeight="1">
      <c r="A38" s="60">
        <v>51020</v>
      </c>
      <c r="B38" s="51" t="s">
        <v>198</v>
      </c>
      <c r="C38" s="69">
        <v>300</v>
      </c>
      <c r="D38" s="69">
        <f>C38</f>
        <v>300</v>
      </c>
      <c r="E38" s="69">
        <f t="shared" ref="E38:N38" si="11">D38</f>
        <v>300</v>
      </c>
      <c r="F38" s="69">
        <f t="shared" si="11"/>
        <v>300</v>
      </c>
      <c r="G38" s="69">
        <f t="shared" si="11"/>
        <v>300</v>
      </c>
      <c r="H38" s="69">
        <f t="shared" si="11"/>
        <v>300</v>
      </c>
      <c r="I38" s="69">
        <f t="shared" si="11"/>
        <v>300</v>
      </c>
      <c r="J38" s="69">
        <f t="shared" si="11"/>
        <v>300</v>
      </c>
      <c r="K38" s="69">
        <f t="shared" si="11"/>
        <v>300</v>
      </c>
      <c r="L38" s="69">
        <f t="shared" si="11"/>
        <v>300</v>
      </c>
      <c r="M38" s="69">
        <f t="shared" si="11"/>
        <v>300</v>
      </c>
      <c r="N38" s="69">
        <f t="shared" si="11"/>
        <v>300</v>
      </c>
      <c r="O38" s="69">
        <f t="shared" si="6"/>
        <v>3600</v>
      </c>
      <c r="P38" s="69">
        <v>3801</v>
      </c>
      <c r="Q38" s="69">
        <v>3600</v>
      </c>
      <c r="R38" s="228">
        <f t="shared" si="7"/>
        <v>5.3168707261959269E-2</v>
      </c>
      <c r="S38" s="228">
        <f t="shared" si="5"/>
        <v>201</v>
      </c>
      <c r="T38" s="229">
        <f>CAM!C$35</f>
        <v>67709</v>
      </c>
      <c r="U38" s="209">
        <f t="shared" si="8"/>
        <v>5.3168707261959269E-2</v>
      </c>
      <c r="V38" s="209"/>
      <c r="W38" s="210"/>
    </row>
    <row r="39" spans="1:23" ht="13.15" customHeight="1">
      <c r="A39" s="60">
        <v>51030</v>
      </c>
      <c r="B39" s="51" t="s">
        <v>199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69">
        <v>0</v>
      </c>
      <c r="K39" s="69">
        <v>0</v>
      </c>
      <c r="L39" s="69">
        <v>0</v>
      </c>
      <c r="M39" s="69">
        <v>0</v>
      </c>
      <c r="N39" s="69">
        <v>0</v>
      </c>
      <c r="O39" s="69">
        <f t="shared" si="6"/>
        <v>0</v>
      </c>
      <c r="P39" s="69">
        <v>1630</v>
      </c>
      <c r="Q39" s="69">
        <v>0</v>
      </c>
      <c r="R39" s="228"/>
      <c r="S39" s="228">
        <f t="shared" si="5"/>
        <v>1630</v>
      </c>
      <c r="T39" s="229">
        <f>CAM!C$35</f>
        <v>67709</v>
      </c>
      <c r="U39" s="209"/>
      <c r="V39" s="209"/>
      <c r="W39" s="233"/>
    </row>
    <row r="40" spans="1:23" ht="13.15" customHeight="1">
      <c r="A40" s="60">
        <v>51040</v>
      </c>
      <c r="B40" s="51" t="s">
        <v>200</v>
      </c>
      <c r="C40" s="69">
        <v>875</v>
      </c>
      <c r="D40" s="69">
        <f>C40</f>
        <v>875</v>
      </c>
      <c r="E40" s="69">
        <f t="shared" ref="E40:N40" si="12">D40</f>
        <v>875</v>
      </c>
      <c r="F40" s="69">
        <f t="shared" si="12"/>
        <v>875</v>
      </c>
      <c r="G40" s="69">
        <f t="shared" si="12"/>
        <v>875</v>
      </c>
      <c r="H40" s="69">
        <f t="shared" si="12"/>
        <v>875</v>
      </c>
      <c r="I40" s="69">
        <f t="shared" si="12"/>
        <v>875</v>
      </c>
      <c r="J40" s="69">
        <f t="shared" si="12"/>
        <v>875</v>
      </c>
      <c r="K40" s="69">
        <f t="shared" si="12"/>
        <v>875</v>
      </c>
      <c r="L40" s="69">
        <f t="shared" si="12"/>
        <v>875</v>
      </c>
      <c r="M40" s="69">
        <f t="shared" si="12"/>
        <v>875</v>
      </c>
      <c r="N40" s="69">
        <f t="shared" si="12"/>
        <v>875</v>
      </c>
      <c r="O40" s="69">
        <f t="shared" si="6"/>
        <v>10500</v>
      </c>
      <c r="P40" s="69">
        <v>8668</v>
      </c>
      <c r="Q40" s="245">
        <v>9456</v>
      </c>
      <c r="R40" s="228">
        <f t="shared" si="7"/>
        <v>0.15507539618071453</v>
      </c>
      <c r="S40" s="228">
        <f t="shared" si="5"/>
        <v>-1832</v>
      </c>
      <c r="T40" s="229">
        <f>CAM!C$35</f>
        <v>67709</v>
      </c>
      <c r="U40" s="209">
        <f t="shared" si="8"/>
        <v>0.15507539618071453</v>
      </c>
      <c r="V40" s="209"/>
      <c r="W40" s="246"/>
    </row>
    <row r="41" spans="1:23" ht="13.15" customHeight="1">
      <c r="A41" s="60">
        <v>52010</v>
      </c>
      <c r="B41" s="51" t="s">
        <v>201</v>
      </c>
      <c r="C41" s="69"/>
      <c r="D41" s="69">
        <f>C41</f>
        <v>0</v>
      </c>
      <c r="E41" s="69">
        <v>50</v>
      </c>
      <c r="F41" s="69"/>
      <c r="G41" s="69">
        <f t="shared" ref="G41:M41" si="13">F41</f>
        <v>0</v>
      </c>
      <c r="H41" s="69">
        <v>50</v>
      </c>
      <c r="I41" s="69"/>
      <c r="J41" s="69">
        <f t="shared" si="13"/>
        <v>0</v>
      </c>
      <c r="K41" s="69">
        <v>50</v>
      </c>
      <c r="L41" s="69"/>
      <c r="M41" s="69">
        <f t="shared" si="13"/>
        <v>0</v>
      </c>
      <c r="N41" s="69">
        <v>50</v>
      </c>
      <c r="O41" s="69">
        <f t="shared" si="6"/>
        <v>200</v>
      </c>
      <c r="P41" s="69">
        <v>1045</v>
      </c>
      <c r="Q41" s="69">
        <v>1140</v>
      </c>
      <c r="R41" s="228">
        <f t="shared" si="7"/>
        <v>2.9538170701088481E-3</v>
      </c>
      <c r="S41" s="228">
        <f t="shared" si="5"/>
        <v>845</v>
      </c>
      <c r="T41" s="229">
        <f>CAM!C$35</f>
        <v>67709</v>
      </c>
      <c r="U41" s="209">
        <f t="shared" si="8"/>
        <v>2.9538170701088481E-3</v>
      </c>
      <c r="V41" s="209"/>
      <c r="W41" s="210"/>
    </row>
    <row r="42" spans="1:23" ht="13.15" customHeight="1">
      <c r="A42" s="60">
        <v>51050</v>
      </c>
      <c r="B42" s="51" t="s">
        <v>202</v>
      </c>
      <c r="C42" s="69">
        <v>99</v>
      </c>
      <c r="D42" s="69">
        <f>C42</f>
        <v>99</v>
      </c>
      <c r="E42" s="69">
        <f t="shared" ref="E42:N42" si="14">D42</f>
        <v>99</v>
      </c>
      <c r="F42" s="69">
        <f t="shared" si="14"/>
        <v>99</v>
      </c>
      <c r="G42" s="69">
        <f t="shared" si="14"/>
        <v>99</v>
      </c>
      <c r="H42" s="69">
        <f t="shared" si="14"/>
        <v>99</v>
      </c>
      <c r="I42" s="69">
        <f t="shared" si="14"/>
        <v>99</v>
      </c>
      <c r="J42" s="69">
        <f t="shared" si="14"/>
        <v>99</v>
      </c>
      <c r="K42" s="69">
        <f t="shared" si="14"/>
        <v>99</v>
      </c>
      <c r="L42" s="69">
        <f t="shared" si="14"/>
        <v>99</v>
      </c>
      <c r="M42" s="69">
        <f t="shared" si="14"/>
        <v>99</v>
      </c>
      <c r="N42" s="69">
        <f t="shared" si="14"/>
        <v>99</v>
      </c>
      <c r="O42" s="69">
        <f t="shared" si="6"/>
        <v>1188</v>
      </c>
      <c r="P42" s="69">
        <v>990</v>
      </c>
      <c r="Q42" s="69">
        <v>1188</v>
      </c>
      <c r="R42" s="228">
        <f t="shared" si="7"/>
        <v>1.7545673396446557E-2</v>
      </c>
      <c r="S42" s="228">
        <f t="shared" si="5"/>
        <v>-198</v>
      </c>
      <c r="T42" s="229">
        <f>CAM!C$35</f>
        <v>67709</v>
      </c>
      <c r="U42" s="209">
        <f t="shared" si="8"/>
        <v>1.7545673396446557E-2</v>
      </c>
      <c r="V42" s="209"/>
      <c r="W42" s="210"/>
    </row>
    <row r="43" spans="1:23" ht="13.15" customHeight="1">
      <c r="A43" s="60">
        <v>5116</v>
      </c>
      <c r="B43" s="2" t="s">
        <v>203</v>
      </c>
      <c r="C43" s="69">
        <v>0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227">
        <f t="shared" si="6"/>
        <v>0</v>
      </c>
      <c r="P43" s="69"/>
      <c r="Q43" s="245"/>
      <c r="R43" s="228">
        <f t="shared" si="7"/>
        <v>0</v>
      </c>
      <c r="S43" s="228">
        <f t="shared" si="5"/>
        <v>0</v>
      </c>
      <c r="T43" s="229">
        <f>CAM!C$35</f>
        <v>67709</v>
      </c>
      <c r="U43" s="209">
        <f t="shared" si="8"/>
        <v>0</v>
      </c>
      <c r="V43" s="209"/>
      <c r="W43" s="248"/>
    </row>
    <row r="44" spans="1:23" ht="13.15" customHeight="1">
      <c r="A44" s="60">
        <v>51080</v>
      </c>
      <c r="B44" s="51" t="s">
        <v>204</v>
      </c>
      <c r="C44" s="69">
        <v>4267</v>
      </c>
      <c r="D44" s="69">
        <v>4267</v>
      </c>
      <c r="E44" s="69">
        <v>4267</v>
      </c>
      <c r="F44" s="69">
        <v>4274</v>
      </c>
      <c r="G44" s="69">
        <v>4277</v>
      </c>
      <c r="H44" s="69">
        <v>4277</v>
      </c>
      <c r="I44" s="69">
        <v>4278</v>
      </c>
      <c r="J44" s="69">
        <v>4278</v>
      </c>
      <c r="K44" s="69">
        <v>4278</v>
      </c>
      <c r="L44" s="69">
        <v>4296</v>
      </c>
      <c r="M44" s="69">
        <v>4298</v>
      </c>
      <c r="N44" s="69">
        <v>4302</v>
      </c>
      <c r="O44" s="69">
        <f t="shared" si="6"/>
        <v>51359</v>
      </c>
      <c r="P44" s="69">
        <v>56656</v>
      </c>
      <c r="Q44" s="69">
        <v>55075</v>
      </c>
      <c r="R44" s="228">
        <f t="shared" si="7"/>
        <v>0.75852545451860165</v>
      </c>
      <c r="S44" s="228">
        <f t="shared" si="5"/>
        <v>5297</v>
      </c>
      <c r="T44" s="229">
        <f>CAM!C$35</f>
        <v>67709</v>
      </c>
      <c r="U44" s="209">
        <f t="shared" si="8"/>
        <v>0.75852545451860165</v>
      </c>
      <c r="V44" s="209"/>
      <c r="W44" s="210"/>
    </row>
    <row r="45" spans="1:23" ht="13.15" customHeight="1">
      <c r="A45" s="60">
        <v>51100</v>
      </c>
      <c r="B45" s="2" t="s">
        <v>205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f t="shared" si="6"/>
        <v>0</v>
      </c>
      <c r="P45" s="69"/>
      <c r="Q45" s="69"/>
      <c r="R45" s="228">
        <f t="shared" si="7"/>
        <v>0</v>
      </c>
      <c r="S45" s="228">
        <f t="shared" si="5"/>
        <v>0</v>
      </c>
      <c r="T45" s="229">
        <f>CAM!C$35</f>
        <v>67709</v>
      </c>
      <c r="U45" s="209">
        <f t="shared" si="8"/>
        <v>0</v>
      </c>
      <c r="V45" s="209"/>
      <c r="W45" s="210"/>
    </row>
    <row r="46" spans="1:23" ht="13.15" customHeight="1">
      <c r="A46" s="60">
        <v>50550</v>
      </c>
      <c r="B46" s="51" t="s">
        <v>206</v>
      </c>
      <c r="C46" s="69">
        <v>205</v>
      </c>
      <c r="D46" s="69">
        <f>C46</f>
        <v>205</v>
      </c>
      <c r="E46" s="69">
        <f t="shared" ref="E46:N47" si="15">D46</f>
        <v>205</v>
      </c>
      <c r="F46" s="69">
        <f t="shared" si="15"/>
        <v>205</v>
      </c>
      <c r="G46" s="69">
        <f t="shared" si="15"/>
        <v>205</v>
      </c>
      <c r="H46" s="69">
        <f t="shared" si="15"/>
        <v>205</v>
      </c>
      <c r="I46" s="69">
        <f t="shared" si="15"/>
        <v>205</v>
      </c>
      <c r="J46" s="69">
        <f t="shared" si="15"/>
        <v>205</v>
      </c>
      <c r="K46" s="69">
        <f t="shared" si="15"/>
        <v>205</v>
      </c>
      <c r="L46" s="69">
        <f t="shared" si="15"/>
        <v>205</v>
      </c>
      <c r="M46" s="69">
        <f t="shared" si="15"/>
        <v>205</v>
      </c>
      <c r="N46" s="69">
        <f t="shared" si="15"/>
        <v>205</v>
      </c>
      <c r="O46" s="69">
        <f t="shared" si="6"/>
        <v>2460</v>
      </c>
      <c r="P46" s="69">
        <v>2050</v>
      </c>
      <c r="Q46" s="244">
        <v>2460</v>
      </c>
      <c r="R46" s="228">
        <f t="shared" si="7"/>
        <v>3.6331949962338829E-2</v>
      </c>
      <c r="S46" s="228">
        <f t="shared" si="5"/>
        <v>-410</v>
      </c>
      <c r="T46" s="229">
        <f>CAM!C$35</f>
        <v>67709</v>
      </c>
      <c r="U46" s="209">
        <f t="shared" si="8"/>
        <v>3.6331949962338829E-2</v>
      </c>
      <c r="V46" s="209"/>
      <c r="W46" s="210"/>
    </row>
    <row r="47" spans="1:23" ht="13.15" customHeight="1">
      <c r="A47" s="60">
        <v>51150</v>
      </c>
      <c r="B47" s="51" t="s">
        <v>207</v>
      </c>
      <c r="C47" s="69">
        <v>590</v>
      </c>
      <c r="D47" s="69">
        <f>C47</f>
        <v>590</v>
      </c>
      <c r="E47" s="69">
        <f t="shared" si="15"/>
        <v>590</v>
      </c>
      <c r="F47" s="69">
        <f t="shared" si="15"/>
        <v>590</v>
      </c>
      <c r="G47" s="69">
        <f t="shared" si="15"/>
        <v>590</v>
      </c>
      <c r="H47" s="69">
        <f t="shared" si="15"/>
        <v>590</v>
      </c>
      <c r="I47" s="69">
        <f t="shared" si="15"/>
        <v>590</v>
      </c>
      <c r="J47" s="69">
        <f t="shared" si="15"/>
        <v>590</v>
      </c>
      <c r="K47" s="69">
        <f t="shared" si="15"/>
        <v>590</v>
      </c>
      <c r="L47" s="69">
        <f t="shared" si="15"/>
        <v>590</v>
      </c>
      <c r="M47" s="69">
        <f t="shared" si="15"/>
        <v>590</v>
      </c>
      <c r="N47" s="69">
        <f t="shared" si="15"/>
        <v>590</v>
      </c>
      <c r="O47" s="69">
        <f t="shared" si="6"/>
        <v>7080</v>
      </c>
      <c r="P47" s="69">
        <v>238</v>
      </c>
      <c r="Q47" s="245">
        <v>0</v>
      </c>
      <c r="R47" s="228">
        <f t="shared" si="7"/>
        <v>0.10456512428185323</v>
      </c>
      <c r="S47" s="228">
        <f t="shared" si="5"/>
        <v>-6842</v>
      </c>
      <c r="T47" s="229">
        <f>CAM!C$35</f>
        <v>67709</v>
      </c>
      <c r="U47" s="209">
        <f t="shared" si="8"/>
        <v>0.10456512428185323</v>
      </c>
      <c r="V47" s="209"/>
      <c r="W47" s="210"/>
    </row>
    <row r="48" spans="1:23" ht="13.15" customHeight="1">
      <c r="A48" s="60">
        <v>51200</v>
      </c>
      <c r="B48" s="2" t="s">
        <v>208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f t="shared" si="6"/>
        <v>0</v>
      </c>
      <c r="P48" s="69"/>
      <c r="Q48" s="69"/>
      <c r="R48" s="228">
        <f t="shared" si="7"/>
        <v>0</v>
      </c>
      <c r="S48" s="228">
        <f t="shared" si="5"/>
        <v>0</v>
      </c>
      <c r="T48" s="229">
        <f>CAM!C$35</f>
        <v>67709</v>
      </c>
      <c r="U48" s="209">
        <f t="shared" si="8"/>
        <v>0</v>
      </c>
      <c r="V48" s="209"/>
      <c r="W48" s="210"/>
    </row>
    <row r="49" spans="1:26" ht="13.15" customHeight="1">
      <c r="A49" s="60">
        <v>51220</v>
      </c>
      <c r="B49" s="2" t="s">
        <v>209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</v>
      </c>
      <c r="O49" s="69">
        <f>SUM(C49:N49)</f>
        <v>0</v>
      </c>
      <c r="P49" s="69"/>
      <c r="Q49" s="69"/>
      <c r="R49" s="228">
        <f t="shared" si="7"/>
        <v>0</v>
      </c>
      <c r="S49" s="228">
        <f t="shared" si="5"/>
        <v>0</v>
      </c>
      <c r="T49" s="229">
        <f>CAM!C$35</f>
        <v>67709</v>
      </c>
      <c r="U49" s="209">
        <f t="shared" si="8"/>
        <v>0</v>
      </c>
      <c r="V49" s="209"/>
      <c r="W49" s="210"/>
      <c r="X49" s="60"/>
      <c r="Y49" s="60"/>
      <c r="Z49" s="60"/>
    </row>
    <row r="50" spans="1:26" ht="13.15" customHeight="1">
      <c r="A50" s="60">
        <v>55110</v>
      </c>
      <c r="B50" s="51" t="s">
        <v>210</v>
      </c>
      <c r="C50" s="69">
        <f>1595*103%</f>
        <v>1642.8500000000001</v>
      </c>
      <c r="D50" s="69">
        <f>C50</f>
        <v>1642.8500000000001</v>
      </c>
      <c r="E50" s="69">
        <f t="shared" ref="E50:N50" si="16">D50</f>
        <v>1642.8500000000001</v>
      </c>
      <c r="F50" s="69">
        <f t="shared" si="16"/>
        <v>1642.8500000000001</v>
      </c>
      <c r="G50" s="69">
        <f t="shared" si="16"/>
        <v>1642.8500000000001</v>
      </c>
      <c r="H50" s="69">
        <f t="shared" si="16"/>
        <v>1642.8500000000001</v>
      </c>
      <c r="I50" s="69">
        <f t="shared" si="16"/>
        <v>1642.8500000000001</v>
      </c>
      <c r="J50" s="69">
        <f t="shared" si="16"/>
        <v>1642.8500000000001</v>
      </c>
      <c r="K50" s="69">
        <f t="shared" si="16"/>
        <v>1642.8500000000001</v>
      </c>
      <c r="L50" s="69">
        <f t="shared" si="16"/>
        <v>1642.8500000000001</v>
      </c>
      <c r="M50" s="69">
        <f t="shared" si="16"/>
        <v>1642.8500000000001</v>
      </c>
      <c r="N50" s="69">
        <f t="shared" si="16"/>
        <v>1642.8500000000001</v>
      </c>
      <c r="O50" s="69">
        <f t="shared" si="6"/>
        <v>19714.199999999997</v>
      </c>
      <c r="P50" s="69">
        <v>8851</v>
      </c>
      <c r="Q50" s="69">
        <v>9600</v>
      </c>
      <c r="R50" s="228">
        <f t="shared" si="7"/>
        <v>0.2911607024176992</v>
      </c>
      <c r="S50" s="228">
        <f t="shared" si="5"/>
        <v>-10863.199999999997</v>
      </c>
      <c r="T50" s="229">
        <f>CAM!C$35</f>
        <v>67709</v>
      </c>
      <c r="U50" s="209">
        <f t="shared" si="8"/>
        <v>0.2911607024176992</v>
      </c>
      <c r="V50" s="209"/>
      <c r="W50" s="226"/>
      <c r="X50" s="60"/>
      <c r="Y50" s="60"/>
      <c r="Z50" s="60"/>
    </row>
    <row r="51" spans="1:26" ht="13.15" customHeight="1">
      <c r="A51" s="60">
        <v>55140</v>
      </c>
      <c r="B51" s="2" t="s">
        <v>211</v>
      </c>
      <c r="C51" s="69"/>
      <c r="D51" s="69">
        <f>C51</f>
        <v>0</v>
      </c>
      <c r="E51" s="69">
        <f t="shared" ref="E51:N51" si="17">D51</f>
        <v>0</v>
      </c>
      <c r="F51" s="69">
        <f t="shared" si="17"/>
        <v>0</v>
      </c>
      <c r="G51" s="69">
        <f t="shared" si="17"/>
        <v>0</v>
      </c>
      <c r="H51" s="69">
        <f t="shared" si="17"/>
        <v>0</v>
      </c>
      <c r="I51" s="69">
        <f t="shared" si="17"/>
        <v>0</v>
      </c>
      <c r="J51" s="69">
        <f t="shared" si="17"/>
        <v>0</v>
      </c>
      <c r="K51" s="69">
        <f t="shared" si="17"/>
        <v>0</v>
      </c>
      <c r="L51" s="69">
        <f t="shared" si="17"/>
        <v>0</v>
      </c>
      <c r="M51" s="69">
        <f t="shared" si="17"/>
        <v>0</v>
      </c>
      <c r="N51" s="69">
        <f t="shared" si="17"/>
        <v>0</v>
      </c>
      <c r="O51" s="69">
        <f>SUM(C51:N51)</f>
        <v>0</v>
      </c>
      <c r="P51" s="69"/>
      <c r="Q51" s="69"/>
      <c r="R51" s="228">
        <f t="shared" si="7"/>
        <v>0</v>
      </c>
      <c r="S51" s="228">
        <f t="shared" si="5"/>
        <v>0</v>
      </c>
      <c r="T51" s="229">
        <f>CAM!C$35</f>
        <v>67709</v>
      </c>
      <c r="U51" s="209">
        <f t="shared" si="8"/>
        <v>0</v>
      </c>
      <c r="V51" s="209"/>
      <c r="W51" s="2"/>
      <c r="X51" s="60"/>
      <c r="Y51" s="60"/>
      <c r="Z51" s="60"/>
    </row>
    <row r="52" spans="1:26" ht="13.15" customHeight="1">
      <c r="A52" s="60">
        <v>55150</v>
      </c>
      <c r="B52" s="2" t="s">
        <v>212</v>
      </c>
      <c r="C52" s="69">
        <v>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69">
        <v>0</v>
      </c>
      <c r="O52" s="69">
        <f>SUM(C52:N52)</f>
        <v>0</v>
      </c>
      <c r="P52" s="69"/>
      <c r="Q52" s="69"/>
      <c r="R52" s="228">
        <f t="shared" si="7"/>
        <v>0</v>
      </c>
      <c r="S52" s="228">
        <f t="shared" si="5"/>
        <v>0</v>
      </c>
      <c r="T52" s="229">
        <f>CAM!C$35</f>
        <v>67709</v>
      </c>
      <c r="U52" s="209">
        <f t="shared" si="8"/>
        <v>0</v>
      </c>
      <c r="V52" s="209"/>
      <c r="W52" s="210"/>
      <c r="X52" s="60"/>
      <c r="Y52" s="60"/>
      <c r="Z52" s="60"/>
    </row>
    <row r="53" spans="1:26" ht="13.15" customHeight="1">
      <c r="A53" s="60">
        <v>51070</v>
      </c>
      <c r="B53" s="249" t="s">
        <v>213</v>
      </c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245">
        <f>'Cap-EX'!F6</f>
        <v>11918.625</v>
      </c>
      <c r="O53" s="69">
        <f>SUM(C53:N53)</f>
        <v>11918.625</v>
      </c>
      <c r="P53" s="69">
        <f>'Cap-EX'!F6</f>
        <v>11918.625</v>
      </c>
      <c r="Q53" s="69"/>
      <c r="R53" s="228">
        <f t="shared" ref="R53" si="18">O53/T53</f>
        <v>0.17602718988613036</v>
      </c>
      <c r="S53" s="228">
        <f t="shared" ref="S53" si="19">P53-O53</f>
        <v>0</v>
      </c>
      <c r="T53" s="229">
        <f>CAM!C$35</f>
        <v>67709</v>
      </c>
      <c r="U53" s="209"/>
      <c r="V53" s="209"/>
      <c r="W53" s="210"/>
      <c r="X53" s="60"/>
      <c r="Y53" s="60"/>
      <c r="Z53" s="60"/>
    </row>
    <row r="54" spans="1:26" ht="13.15" customHeight="1">
      <c r="A54" s="60"/>
      <c r="B54" s="2"/>
      <c r="C54" s="69"/>
      <c r="D54" s="250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232"/>
      <c r="S54" s="228">
        <f t="shared" si="5"/>
        <v>0</v>
      </c>
      <c r="T54" s="229"/>
      <c r="U54" s="212"/>
      <c r="V54" s="212"/>
      <c r="W54" s="210"/>
      <c r="X54" s="60"/>
      <c r="Y54" s="60"/>
      <c r="Z54" s="60"/>
    </row>
    <row r="55" spans="1:26" ht="13.15" customHeight="1">
      <c r="A55" s="2"/>
      <c r="B55" s="234" t="s">
        <v>214</v>
      </c>
      <c r="C55" s="235">
        <f t="shared" ref="C55:S55" si="20">SUM(C31:C53)</f>
        <v>9963.85</v>
      </c>
      <c r="D55" s="235">
        <f t="shared" si="20"/>
        <v>9963.85</v>
      </c>
      <c r="E55" s="235">
        <f t="shared" si="20"/>
        <v>10313.85</v>
      </c>
      <c r="F55" s="235">
        <f t="shared" si="20"/>
        <v>9970.85</v>
      </c>
      <c r="G55" s="235">
        <f t="shared" si="20"/>
        <v>16473.849999999999</v>
      </c>
      <c r="H55" s="235">
        <f t="shared" si="20"/>
        <v>10323.85</v>
      </c>
      <c r="I55" s="235">
        <f t="shared" si="20"/>
        <v>9974.85</v>
      </c>
      <c r="J55" s="235">
        <f t="shared" si="20"/>
        <v>9974.85</v>
      </c>
      <c r="K55" s="235">
        <f t="shared" si="20"/>
        <v>10324.85</v>
      </c>
      <c r="L55" s="235">
        <f t="shared" si="20"/>
        <v>28492.85</v>
      </c>
      <c r="M55" s="235">
        <f t="shared" si="20"/>
        <v>9994.85</v>
      </c>
      <c r="N55" s="235">
        <f t="shared" si="20"/>
        <v>22267.474999999999</v>
      </c>
      <c r="O55" s="235">
        <f t="shared" si="20"/>
        <v>158039.82500000001</v>
      </c>
      <c r="P55" s="235">
        <f t="shared" si="20"/>
        <v>138391.625</v>
      </c>
      <c r="Q55" s="235">
        <f t="shared" si="20"/>
        <v>127259</v>
      </c>
      <c r="R55" s="235">
        <f t="shared" si="20"/>
        <v>2.289796408158443</v>
      </c>
      <c r="S55" s="235">
        <f t="shared" si="20"/>
        <v>-19648.199999999997</v>
      </c>
      <c r="T55" s="251"/>
      <c r="U55" s="252">
        <f>SUM(U31:U52)</f>
        <v>2.1137692182723127</v>
      </c>
      <c r="V55" s="241">
        <f>S55/O55</f>
        <v>-0.1243243593822</v>
      </c>
      <c r="W55" s="210"/>
      <c r="X55" s="60"/>
      <c r="Y55" s="60"/>
      <c r="Z55" s="60"/>
    </row>
    <row r="56" spans="1:26" ht="13.15" customHeight="1">
      <c r="A56" s="2"/>
      <c r="B56" s="2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229"/>
      <c r="U56" s="212"/>
      <c r="V56" s="212"/>
      <c r="W56" s="210"/>
      <c r="X56" s="60"/>
      <c r="Y56" s="60"/>
      <c r="Z56" s="60"/>
    </row>
    <row r="57" spans="1:26" ht="20.65" customHeight="1">
      <c r="A57" s="2"/>
      <c r="B57" s="253" t="s">
        <v>215</v>
      </c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5"/>
      <c r="P57" s="255"/>
      <c r="Q57" s="256"/>
      <c r="R57" s="257"/>
      <c r="S57" s="257"/>
      <c r="T57" s="2"/>
      <c r="U57" s="212"/>
      <c r="V57" s="212"/>
      <c r="W57" s="229"/>
      <c r="X57" s="60"/>
      <c r="Y57" s="60"/>
      <c r="Z57" s="60"/>
    </row>
    <row r="58" spans="1:26" ht="15.95" customHeight="1">
      <c r="A58" s="60">
        <v>51060</v>
      </c>
      <c r="B58" s="2" t="s">
        <v>216</v>
      </c>
      <c r="C58" s="255">
        <v>0</v>
      </c>
      <c r="D58" s="255">
        <v>0</v>
      </c>
      <c r="E58" s="255">
        <v>0</v>
      </c>
      <c r="F58" s="255">
        <v>5000</v>
      </c>
      <c r="G58" s="255">
        <v>0</v>
      </c>
      <c r="H58" s="255">
        <v>0</v>
      </c>
      <c r="I58" s="255">
        <v>0</v>
      </c>
      <c r="J58" s="255">
        <v>0</v>
      </c>
      <c r="K58" s="255">
        <v>0</v>
      </c>
      <c r="L58" s="255">
        <v>5000</v>
      </c>
      <c r="M58" s="255">
        <v>0</v>
      </c>
      <c r="N58" s="255">
        <v>0</v>
      </c>
      <c r="O58" s="255">
        <f t="shared" ref="O58:O65" si="21">SUM(C58:N58)</f>
        <v>10000</v>
      </c>
      <c r="P58" s="255">
        <v>0</v>
      </c>
      <c r="Q58" s="69">
        <v>0</v>
      </c>
      <c r="R58" s="257">
        <f t="shared" ref="R58" si="22">O58</f>
        <v>10000</v>
      </c>
      <c r="S58" s="228">
        <f t="shared" ref="S58:S66" si="23">P58-O58</f>
        <v>-10000</v>
      </c>
      <c r="T58" s="229">
        <f>Rent!C38</f>
        <v>32709</v>
      </c>
      <c r="U58" s="212">
        <f>R58/T58</f>
        <v>0.30572625271332049</v>
      </c>
      <c r="V58" s="212"/>
      <c r="W58" s="229"/>
      <c r="X58" s="60"/>
      <c r="Y58" s="60"/>
      <c r="Z58" s="60"/>
    </row>
    <row r="59" spans="1:26" ht="13.15" customHeight="1">
      <c r="A59" s="60">
        <v>51070</v>
      </c>
      <c r="B59" s="2" t="s">
        <v>217</v>
      </c>
      <c r="C59" s="255">
        <v>0</v>
      </c>
      <c r="D59" s="255">
        <v>0</v>
      </c>
      <c r="E59" s="255">
        <v>0</v>
      </c>
      <c r="F59" s="255">
        <v>0</v>
      </c>
      <c r="G59" s="255">
        <v>0</v>
      </c>
      <c r="H59" s="255">
        <v>0</v>
      </c>
      <c r="I59" s="255">
        <v>0</v>
      </c>
      <c r="J59" s="255">
        <v>0</v>
      </c>
      <c r="K59" s="255">
        <v>0</v>
      </c>
      <c r="L59" s="255">
        <v>0</v>
      </c>
      <c r="M59" s="255">
        <v>0</v>
      </c>
      <c r="N59" s="255">
        <v>0</v>
      </c>
      <c r="O59" s="255">
        <f t="shared" si="21"/>
        <v>0</v>
      </c>
      <c r="P59" s="255">
        <v>0</v>
      </c>
      <c r="Q59" s="69">
        <v>12000</v>
      </c>
      <c r="R59" s="257">
        <f t="shared" ref="R59:R65" si="24">O59</f>
        <v>0</v>
      </c>
      <c r="S59" s="228">
        <f t="shared" si="23"/>
        <v>0</v>
      </c>
      <c r="T59" s="229">
        <f>T58</f>
        <v>32709</v>
      </c>
      <c r="U59" s="212">
        <f t="shared" ref="U59:U65" si="25">R59/T59</f>
        <v>0</v>
      </c>
      <c r="V59" s="212"/>
      <c r="W59" s="229"/>
      <c r="X59" s="60"/>
      <c r="Y59" s="60"/>
      <c r="Z59" s="60"/>
    </row>
    <row r="60" spans="1:26" s="96" customFormat="1" ht="13.15" customHeight="1">
      <c r="A60" s="60">
        <v>51110</v>
      </c>
      <c r="B60" s="51" t="s">
        <v>218</v>
      </c>
      <c r="C60" s="255">
        <f>179*3</f>
        <v>537</v>
      </c>
      <c r="D60" s="255"/>
      <c r="E60" s="255"/>
      <c r="F60" s="255">
        <f>C60</f>
        <v>537</v>
      </c>
      <c r="G60" s="255"/>
      <c r="H60" s="255"/>
      <c r="I60" s="255">
        <f>F60</f>
        <v>537</v>
      </c>
      <c r="J60" s="255"/>
      <c r="K60" s="255"/>
      <c r="L60" s="255">
        <f>I60</f>
        <v>537</v>
      </c>
      <c r="M60" s="255"/>
      <c r="N60" s="255"/>
      <c r="O60" s="255">
        <f t="shared" si="21"/>
        <v>2148</v>
      </c>
      <c r="P60" s="255">
        <v>1508</v>
      </c>
      <c r="Q60" s="69">
        <v>2148</v>
      </c>
      <c r="R60" s="257">
        <f t="shared" si="24"/>
        <v>2148</v>
      </c>
      <c r="S60" s="228">
        <f t="shared" si="23"/>
        <v>-640</v>
      </c>
      <c r="T60" s="229">
        <f t="shared" ref="T60:T65" si="26">T59</f>
        <v>32709</v>
      </c>
      <c r="U60" s="212">
        <f t="shared" si="25"/>
        <v>6.5669999082821243E-2</v>
      </c>
      <c r="V60" s="212"/>
      <c r="W60" s="229"/>
      <c r="X60" s="258"/>
      <c r="Y60" s="258"/>
      <c r="Z60" s="258"/>
    </row>
    <row r="61" spans="1:26" s="96" customFormat="1" ht="12.95" customHeight="1">
      <c r="A61" s="60">
        <v>51120</v>
      </c>
      <c r="B61" s="2" t="s">
        <v>219</v>
      </c>
      <c r="C61" s="255">
        <v>900</v>
      </c>
      <c r="D61" s="255">
        <v>2500</v>
      </c>
      <c r="E61" s="255">
        <v>0</v>
      </c>
      <c r="F61" s="255">
        <v>0</v>
      </c>
      <c r="G61" s="255">
        <v>0</v>
      </c>
      <c r="H61" s="255">
        <v>0</v>
      </c>
      <c r="I61" s="255">
        <v>0</v>
      </c>
      <c r="J61" s="255">
        <v>0</v>
      </c>
      <c r="K61" s="255">
        <v>0</v>
      </c>
      <c r="L61" s="255">
        <v>0</v>
      </c>
      <c r="M61" s="255">
        <v>0</v>
      </c>
      <c r="N61" s="255">
        <v>0</v>
      </c>
      <c r="O61" s="255">
        <f t="shared" si="21"/>
        <v>3400</v>
      </c>
      <c r="P61" s="255">
        <v>0</v>
      </c>
      <c r="Q61" s="69">
        <v>3400</v>
      </c>
      <c r="R61" s="257">
        <f t="shared" si="24"/>
        <v>3400</v>
      </c>
      <c r="S61" s="228">
        <f t="shared" si="23"/>
        <v>-3400</v>
      </c>
      <c r="T61" s="229">
        <f t="shared" si="26"/>
        <v>32709</v>
      </c>
      <c r="U61" s="212">
        <f t="shared" si="25"/>
        <v>0.10394692592252897</v>
      </c>
      <c r="V61" s="212"/>
      <c r="W61" s="229"/>
      <c r="X61" s="258"/>
      <c r="Y61" s="258"/>
      <c r="Z61" s="258"/>
    </row>
    <row r="62" spans="1:26" s="96" customFormat="1" ht="12.95" customHeight="1">
      <c r="A62" s="60">
        <v>52020</v>
      </c>
      <c r="B62" s="51" t="s">
        <v>220</v>
      </c>
      <c r="C62" s="255">
        <v>1000</v>
      </c>
      <c r="D62" s="255"/>
      <c r="E62" s="255">
        <v>0</v>
      </c>
      <c r="F62" s="255">
        <v>0</v>
      </c>
      <c r="G62" s="255">
        <v>0</v>
      </c>
      <c r="H62" s="255">
        <v>0</v>
      </c>
      <c r="I62" s="255">
        <v>0</v>
      </c>
      <c r="J62" s="255">
        <v>0</v>
      </c>
      <c r="K62" s="255">
        <v>0</v>
      </c>
      <c r="L62" s="255">
        <v>0</v>
      </c>
      <c r="M62" s="255">
        <v>0</v>
      </c>
      <c r="N62" s="255">
        <v>0</v>
      </c>
      <c r="O62" s="255">
        <f t="shared" si="21"/>
        <v>1000</v>
      </c>
      <c r="P62" s="255">
        <v>768</v>
      </c>
      <c r="Q62" s="69">
        <v>850</v>
      </c>
      <c r="R62" s="257">
        <f t="shared" si="24"/>
        <v>1000</v>
      </c>
      <c r="S62" s="228">
        <f t="shared" si="23"/>
        <v>-232</v>
      </c>
      <c r="T62" s="229">
        <f t="shared" si="26"/>
        <v>32709</v>
      </c>
      <c r="U62" s="212">
        <f t="shared" si="25"/>
        <v>3.057262527133205E-2</v>
      </c>
      <c r="V62" s="212"/>
      <c r="W62" s="229"/>
      <c r="X62" s="258"/>
      <c r="Y62" s="258"/>
      <c r="Z62" s="258"/>
    </row>
    <row r="63" spans="1:26" s="96" customFormat="1" ht="12.95" customHeight="1">
      <c r="A63" s="60">
        <v>52030</v>
      </c>
      <c r="B63" s="2" t="s">
        <v>221</v>
      </c>
      <c r="C63" s="255">
        <v>500</v>
      </c>
      <c r="D63" s="255">
        <v>0</v>
      </c>
      <c r="E63" s="255">
        <v>0</v>
      </c>
      <c r="F63" s="255">
        <v>0</v>
      </c>
      <c r="G63" s="255">
        <v>0</v>
      </c>
      <c r="H63" s="255">
        <v>0</v>
      </c>
      <c r="I63" s="255">
        <v>0</v>
      </c>
      <c r="J63" s="255">
        <v>0</v>
      </c>
      <c r="K63" s="255">
        <v>0</v>
      </c>
      <c r="L63" s="255">
        <v>0</v>
      </c>
      <c r="M63" s="255">
        <v>0</v>
      </c>
      <c r="N63" s="255">
        <v>0</v>
      </c>
      <c r="O63" s="255">
        <f t="shared" si="21"/>
        <v>500</v>
      </c>
      <c r="P63" s="255">
        <v>0</v>
      </c>
      <c r="Q63" s="69">
        <v>6000</v>
      </c>
      <c r="R63" s="257">
        <f t="shared" si="24"/>
        <v>500</v>
      </c>
      <c r="S63" s="228">
        <f t="shared" si="23"/>
        <v>-500</v>
      </c>
      <c r="T63" s="229">
        <f t="shared" si="26"/>
        <v>32709</v>
      </c>
      <c r="U63" s="212">
        <f t="shared" si="25"/>
        <v>1.5286312635666025E-2</v>
      </c>
      <c r="V63" s="212"/>
      <c r="W63" s="229"/>
      <c r="X63" s="258"/>
      <c r="Y63" s="258"/>
      <c r="Z63" s="258"/>
    </row>
    <row r="64" spans="1:26" s="96" customFormat="1">
      <c r="A64" s="60">
        <v>55120</v>
      </c>
      <c r="B64" s="51" t="s">
        <v>222</v>
      </c>
      <c r="C64" s="255">
        <f>(479+636)*103%</f>
        <v>1148.45</v>
      </c>
      <c r="D64" s="255">
        <f>C64</f>
        <v>1148.45</v>
      </c>
      <c r="E64" s="255">
        <f t="shared" ref="E64:N64" si="27">D64</f>
        <v>1148.45</v>
      </c>
      <c r="F64" s="255">
        <f t="shared" si="27"/>
        <v>1148.45</v>
      </c>
      <c r="G64" s="255">
        <f t="shared" si="27"/>
        <v>1148.45</v>
      </c>
      <c r="H64" s="255">
        <f t="shared" si="27"/>
        <v>1148.45</v>
      </c>
      <c r="I64" s="255">
        <f t="shared" si="27"/>
        <v>1148.45</v>
      </c>
      <c r="J64" s="255">
        <f t="shared" si="27"/>
        <v>1148.45</v>
      </c>
      <c r="K64" s="255">
        <f t="shared" si="27"/>
        <v>1148.45</v>
      </c>
      <c r="L64" s="255">
        <f t="shared" si="27"/>
        <v>1148.45</v>
      </c>
      <c r="M64" s="255">
        <f t="shared" si="27"/>
        <v>1148.45</v>
      </c>
      <c r="N64" s="255">
        <f t="shared" si="27"/>
        <v>1148.45</v>
      </c>
      <c r="O64" s="255">
        <f t="shared" si="21"/>
        <v>13781.400000000003</v>
      </c>
      <c r="P64" s="255">
        <v>12173</v>
      </c>
      <c r="Q64" s="69">
        <v>13380</v>
      </c>
      <c r="R64" s="257">
        <f t="shared" si="24"/>
        <v>13781.400000000003</v>
      </c>
      <c r="S64" s="228">
        <f t="shared" si="23"/>
        <v>-1608.4000000000033</v>
      </c>
      <c r="T64" s="229">
        <f t="shared" si="26"/>
        <v>32709</v>
      </c>
      <c r="U64" s="212">
        <f t="shared" si="25"/>
        <v>0.42133357791433562</v>
      </c>
      <c r="V64" s="212"/>
      <c r="W64" s="210"/>
      <c r="X64" s="258"/>
      <c r="Y64" s="258"/>
      <c r="Z64" s="258"/>
    </row>
    <row r="65" spans="1:23" ht="12.95" customHeight="1">
      <c r="A65" s="60">
        <v>55130</v>
      </c>
      <c r="B65" s="51" t="s">
        <v>223</v>
      </c>
      <c r="C65" s="255">
        <f>2710*103%</f>
        <v>2791.3</v>
      </c>
      <c r="D65" s="255">
        <f>C65</f>
        <v>2791.3</v>
      </c>
      <c r="E65" s="255">
        <f t="shared" ref="E65:N65" si="28">D65</f>
        <v>2791.3</v>
      </c>
      <c r="F65" s="255">
        <f t="shared" si="28"/>
        <v>2791.3</v>
      </c>
      <c r="G65" s="255">
        <f t="shared" si="28"/>
        <v>2791.3</v>
      </c>
      <c r="H65" s="255">
        <f t="shared" si="28"/>
        <v>2791.3</v>
      </c>
      <c r="I65" s="255">
        <f t="shared" si="28"/>
        <v>2791.3</v>
      </c>
      <c r="J65" s="255">
        <f t="shared" si="28"/>
        <v>2791.3</v>
      </c>
      <c r="K65" s="255">
        <f t="shared" si="28"/>
        <v>2791.3</v>
      </c>
      <c r="L65" s="255">
        <f t="shared" si="28"/>
        <v>2791.3</v>
      </c>
      <c r="M65" s="255">
        <f t="shared" si="28"/>
        <v>2791.3</v>
      </c>
      <c r="N65" s="255">
        <f t="shared" si="28"/>
        <v>2791.3</v>
      </c>
      <c r="O65" s="255">
        <f t="shared" si="21"/>
        <v>33495.599999999999</v>
      </c>
      <c r="P65" s="255">
        <v>26007</v>
      </c>
      <c r="Q65" s="69">
        <v>28800</v>
      </c>
      <c r="R65" s="257">
        <f t="shared" si="24"/>
        <v>33495.599999999999</v>
      </c>
      <c r="S65" s="228">
        <f t="shared" si="23"/>
        <v>-7488.5999999999985</v>
      </c>
      <c r="T65" s="229">
        <f t="shared" si="26"/>
        <v>32709</v>
      </c>
      <c r="U65" s="209">
        <f t="shared" si="25"/>
        <v>1.0240484270384298</v>
      </c>
      <c r="V65" s="209"/>
      <c r="W65" s="75"/>
    </row>
    <row r="66" spans="1:23" ht="13.15" customHeight="1">
      <c r="A66" s="97"/>
      <c r="B66" s="249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9"/>
      <c r="P66" s="259"/>
      <c r="Q66" s="256"/>
      <c r="R66" s="257"/>
      <c r="S66" s="228">
        <f t="shared" si="23"/>
        <v>0</v>
      </c>
      <c r="T66" s="2"/>
      <c r="U66" s="212"/>
      <c r="V66" s="212"/>
      <c r="W66" s="229"/>
    </row>
    <row r="67" spans="1:23" ht="15" customHeight="1">
      <c r="A67" s="60"/>
      <c r="B67" s="234" t="s">
        <v>224</v>
      </c>
      <c r="C67" s="260">
        <f t="shared" ref="C67:S67" si="29">SUM(C58:C65)</f>
        <v>6876.75</v>
      </c>
      <c r="D67" s="260">
        <f t="shared" si="29"/>
        <v>6439.75</v>
      </c>
      <c r="E67" s="260">
        <f t="shared" si="29"/>
        <v>3939.75</v>
      </c>
      <c r="F67" s="260">
        <f t="shared" si="29"/>
        <v>9476.75</v>
      </c>
      <c r="G67" s="260">
        <f t="shared" si="29"/>
        <v>3939.75</v>
      </c>
      <c r="H67" s="260">
        <f t="shared" si="29"/>
        <v>3939.75</v>
      </c>
      <c r="I67" s="260">
        <f t="shared" si="29"/>
        <v>4476.75</v>
      </c>
      <c r="J67" s="260">
        <f t="shared" si="29"/>
        <v>3939.75</v>
      </c>
      <c r="K67" s="260">
        <f t="shared" si="29"/>
        <v>3939.75</v>
      </c>
      <c r="L67" s="260">
        <f t="shared" si="29"/>
        <v>9476.75</v>
      </c>
      <c r="M67" s="260">
        <f t="shared" si="29"/>
        <v>3939.75</v>
      </c>
      <c r="N67" s="260">
        <f t="shared" si="29"/>
        <v>3939.75</v>
      </c>
      <c r="O67" s="261">
        <f t="shared" si="29"/>
        <v>64325</v>
      </c>
      <c r="P67" s="262">
        <f t="shared" si="29"/>
        <v>40456</v>
      </c>
      <c r="Q67" s="237">
        <f t="shared" si="29"/>
        <v>66578</v>
      </c>
      <c r="R67" s="263">
        <f t="shared" si="29"/>
        <v>64325</v>
      </c>
      <c r="S67" s="263">
        <f t="shared" si="29"/>
        <v>-23869</v>
      </c>
      <c r="T67" s="251"/>
      <c r="U67" s="240">
        <f>SUM(U58:U65)</f>
        <v>1.9665841205784342</v>
      </c>
      <c r="V67" s="241">
        <f>S67/O67</f>
        <v>-0.37106879129420911</v>
      </c>
      <c r="W67" s="264"/>
    </row>
    <row r="68" spans="1:23" ht="13.15" customHeight="1">
      <c r="A68" s="97"/>
      <c r="B68" s="100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255"/>
      <c r="Q68" s="265"/>
      <c r="R68" s="266"/>
      <c r="S68" s="266"/>
      <c r="T68" s="229"/>
      <c r="U68" s="212"/>
      <c r="V68" s="212"/>
      <c r="W68" s="229"/>
    </row>
    <row r="69" spans="1:23" ht="13.15" customHeight="1">
      <c r="A69" s="97"/>
      <c r="B69" s="51" t="s">
        <v>225</v>
      </c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255"/>
      <c r="Q69" s="265"/>
      <c r="R69" s="266"/>
      <c r="S69" s="266"/>
      <c r="T69" s="229"/>
      <c r="U69" s="212"/>
      <c r="V69" s="212"/>
      <c r="W69" s="229"/>
    </row>
    <row r="70" spans="1:23" ht="13.15" customHeight="1">
      <c r="A70" s="60">
        <v>50111</v>
      </c>
      <c r="B70" s="253" t="s">
        <v>226</v>
      </c>
      <c r="C70" s="69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f>25572*110%</f>
        <v>28129.200000000001</v>
      </c>
      <c r="M70" s="69">
        <v>0</v>
      </c>
      <c r="N70" s="69">
        <v>0</v>
      </c>
      <c r="O70" s="69">
        <f>SUM(C70:N70)</f>
        <v>28129.200000000001</v>
      </c>
      <c r="P70" s="69">
        <v>0</v>
      </c>
      <c r="Q70" s="2">
        <v>25000</v>
      </c>
      <c r="R70" s="232">
        <f>O70/T70</f>
        <v>0.41544255564252908</v>
      </c>
      <c r="S70" s="69">
        <f>O70-P70</f>
        <v>28129.200000000001</v>
      </c>
      <c r="T70" s="229">
        <f>Ins.!C$35</f>
        <v>67709</v>
      </c>
      <c r="U70" s="212">
        <f>O70/T70</f>
        <v>0.41544255564252908</v>
      </c>
      <c r="V70" s="212"/>
      <c r="W70" s="210" t="s">
        <v>227</v>
      </c>
    </row>
    <row r="71" spans="1:23" ht="13.15" customHeight="1">
      <c r="A71" s="60">
        <v>50112</v>
      </c>
      <c r="B71" s="51" t="s">
        <v>228</v>
      </c>
      <c r="C71" s="69">
        <v>0</v>
      </c>
      <c r="D71" s="69">
        <v>0</v>
      </c>
      <c r="E71" s="69">
        <v>0</v>
      </c>
      <c r="F71" s="69">
        <v>0</v>
      </c>
      <c r="G71" s="69">
        <v>0</v>
      </c>
      <c r="H71" s="69">
        <v>0</v>
      </c>
      <c r="I71" s="69">
        <v>0</v>
      </c>
      <c r="J71" s="69">
        <v>0</v>
      </c>
      <c r="K71" s="69">
        <v>0</v>
      </c>
      <c r="L71" s="69">
        <v>0</v>
      </c>
      <c r="M71" s="69">
        <v>0</v>
      </c>
      <c r="N71" s="69"/>
      <c r="O71" s="69">
        <f t="shared" ref="O71:O73" si="30">SUM(C71:N71)</f>
        <v>0</v>
      </c>
      <c r="P71" s="69">
        <v>0</v>
      </c>
      <c r="Q71" s="2"/>
      <c r="R71" s="232">
        <f>O71/T71</f>
        <v>0</v>
      </c>
      <c r="S71" s="69">
        <f>O71-P71</f>
        <v>0</v>
      </c>
      <c r="T71" s="229">
        <f>Ins.!C$35</f>
        <v>67709</v>
      </c>
      <c r="U71" s="212">
        <f>O71/T71</f>
        <v>0</v>
      </c>
      <c r="V71" s="212"/>
      <c r="W71" s="210"/>
    </row>
    <row r="72" spans="1:23" ht="13.15" customHeight="1">
      <c r="A72" s="60">
        <v>50130</v>
      </c>
      <c r="B72" s="253" t="s">
        <v>229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f>3483*110%</f>
        <v>3831.3</v>
      </c>
      <c r="M72" s="69">
        <v>0</v>
      </c>
      <c r="N72" s="69">
        <v>0</v>
      </c>
      <c r="O72" s="69">
        <f t="shared" si="30"/>
        <v>3831.3</v>
      </c>
      <c r="P72" s="69">
        <v>0</v>
      </c>
      <c r="Q72" s="2"/>
      <c r="R72" s="232">
        <f>O72/T72</f>
        <v>5.6584796703540149E-2</v>
      </c>
      <c r="S72" s="69">
        <f>O72-P72</f>
        <v>3831.3</v>
      </c>
      <c r="T72" s="229">
        <f>Ins.!C$35</f>
        <v>67709</v>
      </c>
      <c r="U72" s="212">
        <f>O72/T72</f>
        <v>5.6584796703540149E-2</v>
      </c>
      <c r="V72" s="212"/>
      <c r="W72" s="210"/>
    </row>
    <row r="73" spans="1:23" ht="13.15" customHeight="1">
      <c r="A73" s="60">
        <v>50140</v>
      </c>
      <c r="B73" s="253" t="s">
        <v>230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69">
        <v>0</v>
      </c>
      <c r="O73" s="69">
        <f t="shared" si="30"/>
        <v>0</v>
      </c>
      <c r="P73" s="69"/>
      <c r="Q73" s="2"/>
      <c r="R73" s="232">
        <f>O73/T73</f>
        <v>0</v>
      </c>
      <c r="S73" s="69">
        <f>O73-P73</f>
        <v>0</v>
      </c>
      <c r="T73" s="229">
        <f>Ins.!C$35</f>
        <v>67709</v>
      </c>
      <c r="U73" s="212">
        <f>O73/T73</f>
        <v>0</v>
      </c>
      <c r="V73" s="212"/>
      <c r="W73" s="210"/>
    </row>
    <row r="74" spans="1:23" ht="13.15" customHeight="1">
      <c r="A74" s="60"/>
      <c r="B74" s="267"/>
      <c r="C74" s="69"/>
      <c r="D74" s="69"/>
      <c r="E74" s="69"/>
      <c r="F74" s="69"/>
      <c r="G74" s="69"/>
      <c r="H74" s="69"/>
      <c r="I74" s="268"/>
      <c r="J74" s="69"/>
      <c r="K74" s="69"/>
      <c r="L74" s="69"/>
      <c r="M74" s="69"/>
      <c r="N74" s="69"/>
      <c r="O74" s="69"/>
      <c r="P74" s="69"/>
      <c r="Q74" s="2"/>
      <c r="R74" s="69"/>
      <c r="S74" s="69"/>
      <c r="T74" s="229"/>
      <c r="U74" s="212"/>
      <c r="V74" s="212"/>
      <c r="W74" s="210"/>
    </row>
    <row r="75" spans="1:23" ht="13.15" customHeight="1">
      <c r="A75" s="60"/>
      <c r="B75" s="234" t="s">
        <v>231</v>
      </c>
      <c r="C75" s="235">
        <f>SUM(C70:C73)</f>
        <v>0</v>
      </c>
      <c r="D75" s="235">
        <f t="shared" ref="D75:N75" si="31">SUM(D70:D73)</f>
        <v>0</v>
      </c>
      <c r="E75" s="235">
        <f t="shared" si="31"/>
        <v>0</v>
      </c>
      <c r="F75" s="235">
        <f t="shared" si="31"/>
        <v>0</v>
      </c>
      <c r="G75" s="235">
        <f t="shared" si="31"/>
        <v>0</v>
      </c>
      <c r="H75" s="235">
        <f t="shared" si="31"/>
        <v>0</v>
      </c>
      <c r="I75" s="235">
        <f t="shared" si="31"/>
        <v>0</v>
      </c>
      <c r="J75" s="235">
        <f>SUM(J70:J73)</f>
        <v>0</v>
      </c>
      <c r="K75" s="235">
        <f t="shared" si="31"/>
        <v>0</v>
      </c>
      <c r="L75" s="235">
        <f t="shared" si="31"/>
        <v>31960.5</v>
      </c>
      <c r="M75" s="235">
        <f t="shared" si="31"/>
        <v>0</v>
      </c>
      <c r="N75" s="235">
        <f t="shared" si="31"/>
        <v>0</v>
      </c>
      <c r="O75" s="236">
        <f>SUM(O70:O73)</f>
        <v>31960.5</v>
      </c>
      <c r="P75" s="237">
        <f>SUM(P70:P73)</f>
        <v>0</v>
      </c>
      <c r="Q75" s="237">
        <f>SUM(Q70:Q73)</f>
        <v>25000</v>
      </c>
      <c r="R75" s="238">
        <f>SUM(R70:R73)</f>
        <v>0.47202735234606924</v>
      </c>
      <c r="S75" s="269">
        <f>SUM(S70:S73)</f>
        <v>31960.5</v>
      </c>
      <c r="T75" s="251"/>
      <c r="U75" s="252">
        <f>SUM(U70:U73)</f>
        <v>0.47202735234606924</v>
      </c>
      <c r="V75" s="241">
        <f>S75/O75</f>
        <v>1</v>
      </c>
      <c r="W75" s="210"/>
    </row>
    <row r="76" spans="1:23" ht="13.15" customHeight="1">
      <c r="A76" s="60"/>
      <c r="B76" s="226"/>
      <c r="C76" s="270"/>
      <c r="D76" s="270"/>
      <c r="E76" s="270"/>
      <c r="F76" s="270"/>
      <c r="G76" s="270"/>
      <c r="H76" s="271"/>
      <c r="I76" s="270"/>
      <c r="J76" s="270"/>
      <c r="K76" s="270"/>
      <c r="L76" s="270"/>
      <c r="M76" s="270"/>
      <c r="N76" s="270"/>
      <c r="O76" s="270"/>
      <c r="P76" s="270"/>
      <c r="Q76" s="270"/>
      <c r="R76" s="69"/>
      <c r="S76" s="69"/>
      <c r="T76" s="229"/>
      <c r="U76" s="212"/>
      <c r="V76" s="212"/>
      <c r="W76" s="210"/>
    </row>
    <row r="77" spans="1:23" ht="13.15" customHeight="1">
      <c r="A77" s="60"/>
      <c r="B77" s="253" t="s">
        <v>232</v>
      </c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69"/>
      <c r="S77" s="69"/>
      <c r="T77" s="229"/>
      <c r="U77" s="212"/>
      <c r="V77" s="212"/>
      <c r="W77" s="210"/>
    </row>
    <row r="78" spans="1:23" ht="13.15" customHeight="1">
      <c r="A78" s="60">
        <v>54000</v>
      </c>
      <c r="B78" s="51" t="s">
        <v>233</v>
      </c>
      <c r="C78" s="272">
        <v>0</v>
      </c>
      <c r="D78" s="272">
        <v>0</v>
      </c>
      <c r="E78" s="272">
        <f>(1392.14+106459.74+35210.26)/2</f>
        <v>71531.070000000007</v>
      </c>
      <c r="F78" s="272">
        <v>0</v>
      </c>
      <c r="G78" s="272">
        <v>0</v>
      </c>
      <c r="H78" s="272">
        <v>0</v>
      </c>
      <c r="I78" s="272">
        <v>0</v>
      </c>
      <c r="J78" s="272">
        <v>0</v>
      </c>
      <c r="K78" s="272">
        <v>0</v>
      </c>
      <c r="L78" s="273">
        <f>E78*102%</f>
        <v>72961.691400000011</v>
      </c>
      <c r="M78" s="273">
        <v>0</v>
      </c>
      <c r="N78" s="274">
        <f>F78*102%</f>
        <v>0</v>
      </c>
      <c r="O78" s="272">
        <f>SUM(C78:N78)</f>
        <v>144492.76140000002</v>
      </c>
      <c r="P78" s="272">
        <v>142000</v>
      </c>
      <c r="Q78" s="250">
        <f>P78</f>
        <v>142000</v>
      </c>
      <c r="R78" s="232">
        <f>O78/T78</f>
        <v>2.1340259256524248</v>
      </c>
      <c r="S78" s="272">
        <f>O78-P78</f>
        <v>2492.7614000000176</v>
      </c>
      <c r="T78" s="229">
        <f>T73</f>
        <v>67709</v>
      </c>
      <c r="U78" s="212">
        <f>O78/T78</f>
        <v>2.1340259256524248</v>
      </c>
      <c r="V78" s="212"/>
      <c r="W78" s="210" t="s">
        <v>234</v>
      </c>
    </row>
    <row r="79" spans="1:23" ht="13.15" customHeight="1">
      <c r="A79" s="60"/>
      <c r="B79" s="2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69"/>
      <c r="S79" s="69"/>
      <c r="T79" s="229"/>
      <c r="U79" s="265"/>
      <c r="V79" s="265"/>
      <c r="W79" s="210"/>
    </row>
    <row r="80" spans="1:23" ht="13.15" customHeight="1">
      <c r="A80" s="60"/>
      <c r="B80" s="234" t="s">
        <v>235</v>
      </c>
      <c r="C80" s="276">
        <f t="shared" ref="C80:R80" si="32">C78</f>
        <v>0</v>
      </c>
      <c r="D80" s="276">
        <f t="shared" si="32"/>
        <v>0</v>
      </c>
      <c r="E80" s="276">
        <f t="shared" si="32"/>
        <v>71531.070000000007</v>
      </c>
      <c r="F80" s="276">
        <f t="shared" si="32"/>
        <v>0</v>
      </c>
      <c r="G80" s="276">
        <f t="shared" si="32"/>
        <v>0</v>
      </c>
      <c r="H80" s="276">
        <f t="shared" si="32"/>
        <v>0</v>
      </c>
      <c r="I80" s="276">
        <f t="shared" si="32"/>
        <v>0</v>
      </c>
      <c r="J80" s="276">
        <f t="shared" si="32"/>
        <v>0</v>
      </c>
      <c r="K80" s="276">
        <f t="shared" si="32"/>
        <v>0</v>
      </c>
      <c r="L80" s="276">
        <f t="shared" si="32"/>
        <v>72961.691400000011</v>
      </c>
      <c r="M80" s="276">
        <f t="shared" si="32"/>
        <v>0</v>
      </c>
      <c r="N80" s="276">
        <f t="shared" si="32"/>
        <v>0</v>
      </c>
      <c r="O80" s="276">
        <f t="shared" si="32"/>
        <v>144492.76140000002</v>
      </c>
      <c r="P80" s="277">
        <f t="shared" si="32"/>
        <v>142000</v>
      </c>
      <c r="Q80" s="277">
        <f t="shared" si="32"/>
        <v>142000</v>
      </c>
      <c r="R80" s="278">
        <f t="shared" si="32"/>
        <v>2.1340259256524248</v>
      </c>
      <c r="S80" s="277">
        <f>S78</f>
        <v>2492.7614000000176</v>
      </c>
      <c r="T80" s="251"/>
      <c r="U80" s="252">
        <f>U78</f>
        <v>2.1340259256524248</v>
      </c>
      <c r="V80" s="241">
        <f>S80/O80</f>
        <v>1.7251808158744327E-2</v>
      </c>
      <c r="W80" s="210"/>
    </row>
    <row r="81" spans="1:71" ht="13.15" customHeight="1">
      <c r="A81" s="60"/>
      <c r="B81" s="51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62"/>
      <c r="S81" s="62"/>
      <c r="T81" s="229"/>
      <c r="U81" s="280"/>
      <c r="V81" s="280"/>
      <c r="W81" s="210"/>
      <c r="X81" s="60"/>
      <c r="Y81" s="60"/>
      <c r="Z81" s="60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</row>
    <row r="82" spans="1:71" ht="13.15" customHeight="1">
      <c r="A82" s="60"/>
      <c r="B82" s="281" t="s">
        <v>236</v>
      </c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>
        <f>-N53</f>
        <v>-11918.625</v>
      </c>
      <c r="O82" s="282">
        <f>SUM(C82:N82)</f>
        <v>-11918.625</v>
      </c>
      <c r="P82" s="277"/>
      <c r="Q82" s="283"/>
      <c r="R82" s="284"/>
      <c r="S82" s="285"/>
      <c r="T82" s="286"/>
      <c r="U82" s="287"/>
      <c r="V82" s="288"/>
      <c r="W82" s="210"/>
      <c r="X82" s="60"/>
      <c r="Y82" s="60"/>
      <c r="Z82" s="60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</row>
    <row r="83" spans="1:71" ht="13.15" customHeight="1">
      <c r="A83" s="60"/>
      <c r="B83" s="51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69"/>
      <c r="S83" s="69"/>
      <c r="T83" s="229"/>
      <c r="U83" s="265"/>
      <c r="V83" s="265"/>
      <c r="W83" s="210"/>
      <c r="X83" s="60"/>
      <c r="Y83" s="60"/>
      <c r="Z83" s="60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</row>
    <row r="84" spans="1:71" ht="13.15" customHeight="1">
      <c r="A84" s="60"/>
      <c r="B84" s="234" t="s">
        <v>237</v>
      </c>
      <c r="C84" s="276">
        <f t="shared" ref="C84:N84" si="33">C55+C75+C80+C67</f>
        <v>16840.599999999999</v>
      </c>
      <c r="D84" s="276">
        <f t="shared" si="33"/>
        <v>16403.599999999999</v>
      </c>
      <c r="E84" s="276">
        <f t="shared" si="33"/>
        <v>85784.670000000013</v>
      </c>
      <c r="F84" s="276">
        <f t="shared" si="33"/>
        <v>19447.599999999999</v>
      </c>
      <c r="G84" s="276">
        <f t="shared" si="33"/>
        <v>20413.599999999999</v>
      </c>
      <c r="H84" s="276">
        <f t="shared" si="33"/>
        <v>14263.6</v>
      </c>
      <c r="I84" s="276">
        <f t="shared" si="33"/>
        <v>14451.6</v>
      </c>
      <c r="J84" s="276">
        <f t="shared" si="33"/>
        <v>13914.6</v>
      </c>
      <c r="K84" s="276">
        <f t="shared" si="33"/>
        <v>14264.6</v>
      </c>
      <c r="L84" s="276">
        <f t="shared" si="33"/>
        <v>142891.79140000002</v>
      </c>
      <c r="M84" s="276">
        <f t="shared" si="33"/>
        <v>13934.6</v>
      </c>
      <c r="N84" s="276">
        <f t="shared" si="33"/>
        <v>26207.224999999999</v>
      </c>
      <c r="O84" s="276">
        <f>O55+O67+O75+O80</f>
        <v>398818.08640000003</v>
      </c>
      <c r="P84" s="277">
        <f>P55+P75+P67+P80</f>
        <v>320847.625</v>
      </c>
      <c r="Q84" s="277">
        <f>Q55+Q75+Q80+Q67</f>
        <v>360837</v>
      </c>
      <c r="R84" s="278">
        <f>R55+R75+R80</f>
        <v>4.8958496861569376</v>
      </c>
      <c r="S84" s="277">
        <f>S55+S75+S80</f>
        <v>14805.061400000021</v>
      </c>
      <c r="T84" s="251"/>
      <c r="U84" s="289">
        <f>U55+U75+U80</f>
        <v>4.7198224962708064</v>
      </c>
      <c r="V84" s="241">
        <f>S84/O84</f>
        <v>3.7122342002190646E-2</v>
      </c>
      <c r="W84" s="210"/>
      <c r="X84" s="60"/>
      <c r="Y84" s="60"/>
      <c r="Z84" s="60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 spans="1:71" ht="13.15" customHeight="1">
      <c r="A85" s="60"/>
      <c r="B85" s="51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69"/>
      <c r="S85" s="69"/>
      <c r="T85" s="229"/>
      <c r="U85" s="265"/>
      <c r="V85" s="265"/>
      <c r="W85" s="210"/>
      <c r="X85" s="60"/>
      <c r="Y85" s="60"/>
      <c r="Z85" s="60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</row>
    <row r="86" spans="1:71" ht="13.15" customHeight="1">
      <c r="A86" s="60"/>
      <c r="B86" s="234" t="s">
        <v>238</v>
      </c>
      <c r="C86" s="276">
        <f t="shared" ref="C86:M86" si="34">C27-C84</f>
        <v>123427.9254138087</v>
      </c>
      <c r="D86" s="276">
        <f t="shared" si="34"/>
        <v>123864.9254138087</v>
      </c>
      <c r="E86" s="276">
        <f t="shared" si="34"/>
        <v>54483.855413808691</v>
      </c>
      <c r="F86" s="276">
        <f t="shared" si="34"/>
        <v>121057.04966380869</v>
      </c>
      <c r="G86" s="276">
        <f t="shared" si="34"/>
        <v>120167.1661638087</v>
      </c>
      <c r="H86" s="276">
        <f t="shared" si="34"/>
        <v>126317.1661638087</v>
      </c>
      <c r="I86" s="276">
        <f t="shared" si="34"/>
        <v>134148.50038476114</v>
      </c>
      <c r="J86" s="276">
        <f t="shared" si="34"/>
        <v>134685.50038476114</v>
      </c>
      <c r="K86" s="276">
        <f t="shared" si="34"/>
        <v>134335.50038476114</v>
      </c>
      <c r="L86" s="276">
        <f t="shared" si="34"/>
        <v>6196.8854847611219</v>
      </c>
      <c r="M86" s="276">
        <f t="shared" si="34"/>
        <v>135334.04638476111</v>
      </c>
      <c r="N86" s="276">
        <f>N27-N84-N82</f>
        <v>135094.31713476111</v>
      </c>
      <c r="O86" s="276">
        <f>O27-O84-O82</f>
        <v>1349112.838391419</v>
      </c>
      <c r="P86" s="277">
        <f>P27-P84</f>
        <v>1359810.375</v>
      </c>
      <c r="Q86" s="277">
        <f>Q27-Q84</f>
        <v>1416727</v>
      </c>
      <c r="R86" s="237" t="e">
        <f>R27-R84</f>
        <v>#REF!</v>
      </c>
      <c r="S86" s="277">
        <f>Q27-S84</f>
        <v>1762758.9386</v>
      </c>
      <c r="T86" s="239"/>
      <c r="U86" s="239"/>
      <c r="V86" s="290"/>
      <c r="W86" s="210"/>
      <c r="X86" s="60"/>
      <c r="Y86" s="60"/>
      <c r="Z86" s="60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</row>
    <row r="87" spans="1:71" ht="13.15" customHeight="1">
      <c r="A87" s="60"/>
      <c r="B87" s="51"/>
      <c r="C87" s="270"/>
      <c r="D87" s="270"/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70"/>
      <c r="Q87" s="270"/>
      <c r="R87" s="69"/>
      <c r="S87" s="69"/>
      <c r="T87" s="229"/>
      <c r="U87" s="265"/>
      <c r="V87" s="265"/>
      <c r="W87" s="210"/>
      <c r="X87" s="60"/>
      <c r="Y87" s="60"/>
      <c r="Z87" s="60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</row>
    <row r="88" spans="1:71" ht="13.15" customHeight="1">
      <c r="A88" s="2"/>
      <c r="B88" s="88" t="s">
        <v>239</v>
      </c>
      <c r="C88" s="272"/>
      <c r="D88" s="272"/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72"/>
      <c r="Q88" s="272"/>
      <c r="R88" s="69"/>
      <c r="S88" s="69"/>
      <c r="T88" s="229"/>
      <c r="U88" s="265"/>
      <c r="V88" s="265"/>
      <c r="W88" s="210"/>
      <c r="X88" s="60"/>
      <c r="Y88" s="60"/>
      <c r="Z88" s="60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89" spans="1:71" ht="13.15" customHeight="1">
      <c r="A89" s="60">
        <v>70210</v>
      </c>
      <c r="B89" s="2" t="s">
        <v>240</v>
      </c>
      <c r="C89" s="291">
        <v>0</v>
      </c>
      <c r="D89" s="291">
        <v>0</v>
      </c>
      <c r="E89" s="291">
        <v>0</v>
      </c>
      <c r="F89" s="291">
        <v>0</v>
      </c>
      <c r="G89" s="291">
        <v>0</v>
      </c>
      <c r="H89" s="291">
        <v>0</v>
      </c>
      <c r="I89" s="291">
        <v>0</v>
      </c>
      <c r="J89" s="291">
        <v>0</v>
      </c>
      <c r="K89" s="291">
        <v>0</v>
      </c>
      <c r="L89" s="291">
        <v>0</v>
      </c>
      <c r="M89" s="291">
        <v>0</v>
      </c>
      <c r="N89" s="291">
        <v>0</v>
      </c>
      <c r="O89" s="272">
        <f t="shared" ref="O89:O101" si="35">SUM(C89:N89)</f>
        <v>0</v>
      </c>
      <c r="P89" s="272">
        <v>0</v>
      </c>
      <c r="Q89" s="2"/>
      <c r="R89" s="232">
        <f>O89/CAM!$C$35</f>
        <v>0</v>
      </c>
      <c r="S89" s="272">
        <f t="shared" ref="S89:S101" si="36">O89-P89</f>
        <v>0</v>
      </c>
      <c r="T89" s="229"/>
      <c r="U89" s="265"/>
      <c r="V89" s="265"/>
      <c r="W89" s="210"/>
      <c r="X89" s="60"/>
      <c r="Y89" s="60"/>
      <c r="Z89" s="60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</row>
    <row r="90" spans="1:71" ht="13.15" customHeight="1">
      <c r="A90" s="60">
        <v>70220</v>
      </c>
      <c r="B90" s="2" t="s">
        <v>241</v>
      </c>
      <c r="C90" s="291">
        <v>0</v>
      </c>
      <c r="D90" s="291">
        <v>0</v>
      </c>
      <c r="E90" s="291">
        <v>0</v>
      </c>
      <c r="F90" s="291">
        <v>0</v>
      </c>
      <c r="G90" s="291">
        <v>0</v>
      </c>
      <c r="H90" s="291">
        <v>0</v>
      </c>
      <c r="I90" s="291">
        <v>0</v>
      </c>
      <c r="J90" s="291">
        <v>0</v>
      </c>
      <c r="K90" s="291">
        <v>0</v>
      </c>
      <c r="L90" s="291">
        <v>0</v>
      </c>
      <c r="M90" s="291">
        <v>0</v>
      </c>
      <c r="N90" s="291">
        <v>0</v>
      </c>
      <c r="O90" s="272">
        <f t="shared" si="35"/>
        <v>0</v>
      </c>
      <c r="P90" s="272">
        <v>0</v>
      </c>
      <c r="Q90" s="2"/>
      <c r="R90" s="232">
        <f>O90/CAM!$C$35</f>
        <v>0</v>
      </c>
      <c r="S90" s="272">
        <f t="shared" si="36"/>
        <v>0</v>
      </c>
      <c r="T90" s="229"/>
      <c r="U90" s="212"/>
      <c r="V90" s="212"/>
      <c r="W90" s="210"/>
      <c r="X90" s="60"/>
      <c r="Y90" s="60"/>
      <c r="Z90" s="60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 spans="1:71" ht="13.15" customHeight="1">
      <c r="A91" s="60">
        <v>70230</v>
      </c>
      <c r="B91" s="2" t="s">
        <v>242</v>
      </c>
      <c r="C91" s="291">
        <v>0</v>
      </c>
      <c r="D91" s="291">
        <v>0</v>
      </c>
      <c r="E91" s="291">
        <v>0</v>
      </c>
      <c r="F91" s="291">
        <v>0</v>
      </c>
      <c r="G91" s="291">
        <v>0</v>
      </c>
      <c r="H91" s="291">
        <v>0</v>
      </c>
      <c r="I91" s="291">
        <v>0</v>
      </c>
      <c r="J91" s="291">
        <v>0</v>
      </c>
      <c r="K91" s="291">
        <v>0</v>
      </c>
      <c r="L91" s="291">
        <v>0</v>
      </c>
      <c r="M91" s="291">
        <v>0</v>
      </c>
      <c r="N91" s="291">
        <v>0</v>
      </c>
      <c r="O91" s="272">
        <f t="shared" si="35"/>
        <v>0</v>
      </c>
      <c r="P91" s="272">
        <v>0</v>
      </c>
      <c r="Q91" s="2"/>
      <c r="R91" s="232">
        <f>O91/CAM!$C$35</f>
        <v>0</v>
      </c>
      <c r="S91" s="272">
        <f t="shared" si="36"/>
        <v>0</v>
      </c>
      <c r="T91" s="2"/>
      <c r="U91" s="212"/>
      <c r="V91" s="212"/>
      <c r="W91" s="210"/>
      <c r="X91" s="60"/>
      <c r="Y91" s="60"/>
      <c r="Z91" s="60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</row>
    <row r="92" spans="1:71" ht="13.15" customHeight="1">
      <c r="A92" s="60">
        <v>70240</v>
      </c>
      <c r="B92" s="2" t="s">
        <v>243</v>
      </c>
      <c r="C92" s="291">
        <v>0</v>
      </c>
      <c r="D92" s="291">
        <v>0</v>
      </c>
      <c r="E92" s="291">
        <v>0</v>
      </c>
      <c r="F92" s="291">
        <v>0</v>
      </c>
      <c r="G92" s="291">
        <v>0</v>
      </c>
      <c r="H92" s="291">
        <v>0</v>
      </c>
      <c r="I92" s="291">
        <v>0</v>
      </c>
      <c r="J92" s="291">
        <v>0</v>
      </c>
      <c r="K92" s="291">
        <v>0</v>
      </c>
      <c r="L92" s="291">
        <v>0</v>
      </c>
      <c r="M92" s="291">
        <v>0</v>
      </c>
      <c r="N92" s="291">
        <v>0</v>
      </c>
      <c r="O92" s="270">
        <f t="shared" si="35"/>
        <v>0</v>
      </c>
      <c r="P92" s="272">
        <v>0</v>
      </c>
      <c r="Q92" s="2"/>
      <c r="R92" s="232">
        <f>O92/CAM!$C$35</f>
        <v>0</v>
      </c>
      <c r="S92" s="292">
        <f t="shared" si="36"/>
        <v>0</v>
      </c>
      <c r="T92" s="229"/>
      <c r="U92" s="212"/>
      <c r="V92" s="212"/>
      <c r="W92" s="210"/>
      <c r="X92" s="88"/>
      <c r="Y92" s="88"/>
      <c r="Z92" s="88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</row>
    <row r="93" spans="1:71" s="102" customFormat="1" ht="13.15" customHeight="1">
      <c r="A93" s="101">
        <v>70250</v>
      </c>
      <c r="B93" s="102" t="s">
        <v>244</v>
      </c>
      <c r="C93" s="103">
        <v>0</v>
      </c>
      <c r="D93" s="103">
        <v>0</v>
      </c>
      <c r="E93" s="103">
        <v>0</v>
      </c>
      <c r="F93" s="103">
        <v>0</v>
      </c>
      <c r="G93" s="103">
        <v>0</v>
      </c>
      <c r="H93" s="103">
        <v>0</v>
      </c>
      <c r="I93" s="103">
        <v>0</v>
      </c>
      <c r="J93" s="103">
        <v>0</v>
      </c>
      <c r="K93" s="103">
        <v>0</v>
      </c>
      <c r="L93" s="103">
        <v>0</v>
      </c>
      <c r="M93" s="103">
        <v>0</v>
      </c>
      <c r="N93" s="103">
        <v>0</v>
      </c>
      <c r="O93" s="104">
        <f t="shared" si="35"/>
        <v>0</v>
      </c>
      <c r="P93" s="105">
        <v>1299</v>
      </c>
      <c r="Q93" s="102">
        <v>0</v>
      </c>
      <c r="R93" s="106"/>
      <c r="S93" s="107">
        <f t="shared" si="36"/>
        <v>-1299</v>
      </c>
      <c r="T93" s="108"/>
      <c r="U93" s="109"/>
      <c r="V93" s="109"/>
      <c r="W93" s="110" t="s">
        <v>245</v>
      </c>
      <c r="X93" s="111"/>
      <c r="Y93" s="111"/>
      <c r="Z93" s="111"/>
    </row>
    <row r="94" spans="1:71" s="102" customFormat="1" ht="13.15" customHeight="1">
      <c r="A94" s="101">
        <v>70320</v>
      </c>
      <c r="B94" s="102" t="s">
        <v>246</v>
      </c>
      <c r="C94" s="103">
        <v>0</v>
      </c>
      <c r="D94" s="103">
        <v>0</v>
      </c>
      <c r="E94" s="103">
        <v>0</v>
      </c>
      <c r="F94" s="103">
        <v>0</v>
      </c>
      <c r="G94" s="103">
        <v>0</v>
      </c>
      <c r="H94" s="103">
        <v>0</v>
      </c>
      <c r="I94" s="103">
        <v>0</v>
      </c>
      <c r="J94" s="103">
        <v>0</v>
      </c>
      <c r="K94" s="103">
        <v>0</v>
      </c>
      <c r="L94" s="103">
        <v>0</v>
      </c>
      <c r="M94" s="103">
        <v>0</v>
      </c>
      <c r="N94" s="103">
        <v>0</v>
      </c>
      <c r="O94" s="105">
        <f t="shared" si="35"/>
        <v>0</v>
      </c>
      <c r="P94" s="105">
        <v>0</v>
      </c>
      <c r="R94" s="106">
        <f>O94/CAM!$C$35</f>
        <v>0</v>
      </c>
      <c r="S94" s="107">
        <f t="shared" si="36"/>
        <v>0</v>
      </c>
      <c r="T94" s="108"/>
      <c r="U94" s="109"/>
      <c r="V94" s="109"/>
      <c r="W94" s="112"/>
      <c r="X94" s="101"/>
      <c r="Y94" s="101"/>
      <c r="Z94" s="101"/>
    </row>
    <row r="95" spans="1:71" s="102" customFormat="1" ht="13.15" customHeight="1">
      <c r="A95" s="101">
        <v>70280</v>
      </c>
      <c r="B95" s="102" t="s">
        <v>247</v>
      </c>
      <c r="C95" s="103">
        <v>2000</v>
      </c>
      <c r="D95" s="103">
        <f>C95</f>
        <v>2000</v>
      </c>
      <c r="E95" s="103">
        <f t="shared" ref="E95:N95" si="37">D95</f>
        <v>2000</v>
      </c>
      <c r="F95" s="103">
        <f t="shared" si="37"/>
        <v>2000</v>
      </c>
      <c r="G95" s="103">
        <f t="shared" si="37"/>
        <v>2000</v>
      </c>
      <c r="H95" s="103">
        <f t="shared" si="37"/>
        <v>2000</v>
      </c>
      <c r="I95" s="103">
        <f t="shared" si="37"/>
        <v>2000</v>
      </c>
      <c r="J95" s="103">
        <f t="shared" si="37"/>
        <v>2000</v>
      </c>
      <c r="K95" s="103">
        <f t="shared" si="37"/>
        <v>2000</v>
      </c>
      <c r="L95" s="103">
        <f t="shared" si="37"/>
        <v>2000</v>
      </c>
      <c r="M95" s="103">
        <f t="shared" si="37"/>
        <v>2000</v>
      </c>
      <c r="N95" s="103">
        <f t="shared" si="37"/>
        <v>2000</v>
      </c>
      <c r="O95" s="105">
        <f t="shared" si="35"/>
        <v>24000</v>
      </c>
      <c r="P95" s="105">
        <v>11272</v>
      </c>
      <c r="Q95" s="102">
        <v>0</v>
      </c>
      <c r="R95" s="106">
        <f>O95/CAM!$C$35</f>
        <v>0.35445804841306178</v>
      </c>
      <c r="S95" s="107">
        <f t="shared" si="36"/>
        <v>12728</v>
      </c>
      <c r="T95" s="108"/>
      <c r="U95" s="109"/>
      <c r="V95" s="109"/>
      <c r="W95" s="112"/>
      <c r="X95" s="101"/>
      <c r="Y95" s="101"/>
      <c r="Z95" s="101"/>
      <c r="BR95" s="113"/>
      <c r="BS95" s="113"/>
    </row>
    <row r="96" spans="1:71" s="102" customFormat="1" ht="13.15" customHeight="1">
      <c r="A96" s="101">
        <v>70370</v>
      </c>
      <c r="B96" s="102" t="s">
        <v>248</v>
      </c>
      <c r="C96" s="103">
        <v>0</v>
      </c>
      <c r="D96" s="103">
        <v>0</v>
      </c>
      <c r="E96" s="103">
        <v>0</v>
      </c>
      <c r="F96" s="103">
        <v>0</v>
      </c>
      <c r="G96" s="103">
        <v>0</v>
      </c>
      <c r="H96" s="103">
        <v>0</v>
      </c>
      <c r="I96" s="103">
        <v>0</v>
      </c>
      <c r="J96" s="103">
        <v>0</v>
      </c>
      <c r="K96" s="103">
        <v>0</v>
      </c>
      <c r="L96" s="103">
        <v>0</v>
      </c>
      <c r="M96" s="103">
        <v>0</v>
      </c>
      <c r="N96" s="103">
        <v>0</v>
      </c>
      <c r="O96" s="105">
        <f t="shared" si="35"/>
        <v>0</v>
      </c>
      <c r="P96" s="105">
        <v>0</v>
      </c>
      <c r="R96" s="106">
        <f>O96/CAM!$C$35</f>
        <v>0</v>
      </c>
      <c r="S96" s="107">
        <f t="shared" si="36"/>
        <v>0</v>
      </c>
      <c r="T96" s="108"/>
      <c r="U96" s="109"/>
      <c r="V96" s="109"/>
      <c r="W96" s="112"/>
      <c r="X96" s="101"/>
      <c r="Y96" s="101"/>
      <c r="Z96" s="101"/>
      <c r="BR96" s="113"/>
      <c r="BS96" s="113"/>
    </row>
    <row r="97" spans="1:71" s="102" customFormat="1" ht="13.15" customHeight="1">
      <c r="A97" s="101">
        <v>70380</v>
      </c>
      <c r="B97" s="102" t="s">
        <v>249</v>
      </c>
      <c r="C97" s="103">
        <v>0</v>
      </c>
      <c r="D97" s="103">
        <v>0</v>
      </c>
      <c r="E97" s="103">
        <v>0</v>
      </c>
      <c r="F97" s="103">
        <v>0</v>
      </c>
      <c r="G97" s="103">
        <v>0</v>
      </c>
      <c r="H97" s="103">
        <v>0</v>
      </c>
      <c r="I97" s="103">
        <v>0</v>
      </c>
      <c r="J97" s="103">
        <v>0</v>
      </c>
      <c r="K97" s="103">
        <v>0</v>
      </c>
      <c r="L97" s="103">
        <v>0</v>
      </c>
      <c r="M97" s="103">
        <v>0</v>
      </c>
      <c r="N97" s="103">
        <v>0</v>
      </c>
      <c r="O97" s="105">
        <f t="shared" si="35"/>
        <v>0</v>
      </c>
      <c r="P97" s="105">
        <v>0</v>
      </c>
      <c r="R97" s="106">
        <f>O97/CAM!$C$35</f>
        <v>0</v>
      </c>
      <c r="S97" s="107">
        <f t="shared" si="36"/>
        <v>0</v>
      </c>
      <c r="T97" s="108"/>
      <c r="U97" s="109"/>
      <c r="V97" s="109"/>
      <c r="W97" s="112"/>
      <c r="X97" s="101"/>
      <c r="Y97" s="101"/>
      <c r="Z97" s="101"/>
      <c r="BP97" s="113"/>
      <c r="BQ97" s="113"/>
      <c r="BR97" s="113"/>
      <c r="BS97" s="113"/>
    </row>
    <row r="98" spans="1:71" s="102" customFormat="1" ht="13.15" customHeight="1">
      <c r="A98" s="101">
        <v>70400</v>
      </c>
      <c r="B98" s="102" t="s">
        <v>250</v>
      </c>
      <c r="C98" s="103">
        <v>0</v>
      </c>
      <c r="D98" s="103">
        <v>0</v>
      </c>
      <c r="E98" s="103">
        <v>0</v>
      </c>
      <c r="F98" s="103">
        <v>0</v>
      </c>
      <c r="G98" s="103">
        <v>0</v>
      </c>
      <c r="H98" s="103">
        <v>0</v>
      </c>
      <c r="I98" s="103">
        <v>0</v>
      </c>
      <c r="J98" s="103">
        <v>0</v>
      </c>
      <c r="K98" s="103">
        <v>0</v>
      </c>
      <c r="L98" s="103">
        <v>0</v>
      </c>
      <c r="M98" s="103">
        <v>0</v>
      </c>
      <c r="N98" s="103">
        <v>0</v>
      </c>
      <c r="O98" s="105">
        <f t="shared" si="35"/>
        <v>0</v>
      </c>
      <c r="P98" s="105">
        <v>0</v>
      </c>
      <c r="R98" s="106">
        <f>O98/CAM!$C$35</f>
        <v>0</v>
      </c>
      <c r="S98" s="107">
        <f t="shared" si="36"/>
        <v>0</v>
      </c>
      <c r="T98" s="108"/>
      <c r="U98" s="109"/>
      <c r="V98" s="109"/>
      <c r="W98" s="112"/>
      <c r="X98" s="101"/>
      <c r="Y98" s="101"/>
      <c r="Z98" s="101"/>
      <c r="BP98" s="113"/>
      <c r="BQ98" s="113"/>
      <c r="BR98" s="113"/>
      <c r="BS98" s="113"/>
    </row>
    <row r="99" spans="1:71" s="102" customFormat="1" ht="13.15" customHeight="1">
      <c r="A99" s="101">
        <v>70440</v>
      </c>
      <c r="B99" s="102" t="s">
        <v>251</v>
      </c>
      <c r="C99" s="103">
        <v>0</v>
      </c>
      <c r="D99" s="103">
        <v>0</v>
      </c>
      <c r="E99" s="103">
        <v>0</v>
      </c>
      <c r="F99" s="103">
        <v>0</v>
      </c>
      <c r="G99" s="103">
        <v>0</v>
      </c>
      <c r="H99" s="103">
        <v>0</v>
      </c>
      <c r="I99" s="103">
        <v>0</v>
      </c>
      <c r="J99" s="103">
        <v>0</v>
      </c>
      <c r="K99" s="103">
        <v>0</v>
      </c>
      <c r="L99" s="103">
        <v>0</v>
      </c>
      <c r="M99" s="103">
        <v>0</v>
      </c>
      <c r="N99" s="103">
        <v>0</v>
      </c>
      <c r="O99" s="105">
        <f t="shared" si="35"/>
        <v>0</v>
      </c>
      <c r="P99" s="105">
        <v>0</v>
      </c>
      <c r="R99" s="106"/>
      <c r="S99" s="107">
        <f t="shared" si="36"/>
        <v>0</v>
      </c>
      <c r="T99" s="108"/>
      <c r="U99" s="109"/>
      <c r="V99" s="109"/>
      <c r="W99" s="112"/>
      <c r="X99" s="101"/>
      <c r="Y99" s="101"/>
      <c r="Z99" s="101"/>
      <c r="BP99" s="113"/>
      <c r="BQ99" s="113"/>
      <c r="BR99" s="113"/>
      <c r="BS99" s="113"/>
    </row>
    <row r="100" spans="1:71" s="102" customFormat="1" ht="13.15" customHeight="1">
      <c r="A100" s="101">
        <v>70410</v>
      </c>
      <c r="B100" s="102" t="s">
        <v>252</v>
      </c>
      <c r="C100" s="103">
        <f>C15</f>
        <v>3421.1835466782613</v>
      </c>
      <c r="D100" s="103">
        <f t="shared" ref="D100:N100" si="38">D15</f>
        <v>3421.1835466782613</v>
      </c>
      <c r="E100" s="103">
        <f t="shared" si="38"/>
        <v>3421.1835466782613</v>
      </c>
      <c r="F100" s="103">
        <f t="shared" si="38"/>
        <v>3424.9177966782613</v>
      </c>
      <c r="G100" s="103">
        <f t="shared" si="38"/>
        <v>3426.7742966782612</v>
      </c>
      <c r="H100" s="103">
        <f t="shared" si="38"/>
        <v>3426.7742966782612</v>
      </c>
      <c r="I100" s="103">
        <f t="shared" si="38"/>
        <v>3622.3678142624681</v>
      </c>
      <c r="J100" s="103">
        <f t="shared" si="38"/>
        <v>3622.3678142624681</v>
      </c>
      <c r="K100" s="103">
        <f t="shared" si="38"/>
        <v>3622.3678142624681</v>
      </c>
      <c r="L100" s="103">
        <f t="shared" si="38"/>
        <v>3634.2843142624679</v>
      </c>
      <c r="M100" s="103">
        <f t="shared" si="38"/>
        <v>3638.6738142624677</v>
      </c>
      <c r="N100" s="103">
        <f t="shared" si="38"/>
        <v>3752.9445642624678</v>
      </c>
      <c r="O100" s="105">
        <f t="shared" si="35"/>
        <v>42435.023165644372</v>
      </c>
      <c r="P100" s="105">
        <v>22480</v>
      </c>
      <c r="Q100" s="102">
        <v>0</v>
      </c>
      <c r="R100" s="106"/>
      <c r="S100" s="107">
        <f t="shared" si="36"/>
        <v>19955.023165644372</v>
      </c>
      <c r="T100" s="108"/>
      <c r="U100" s="109"/>
      <c r="V100" s="109"/>
      <c r="W100" s="110" t="s">
        <v>245</v>
      </c>
      <c r="X100" s="101"/>
      <c r="Y100" s="101"/>
      <c r="Z100" s="101"/>
      <c r="BP100" s="113"/>
      <c r="BQ100" s="113"/>
      <c r="BR100" s="113"/>
      <c r="BS100" s="113"/>
    </row>
    <row r="101" spans="1:71" ht="13.15" customHeight="1">
      <c r="A101" s="60">
        <v>70461</v>
      </c>
      <c r="B101" s="165" t="s">
        <v>253</v>
      </c>
      <c r="C101" s="291">
        <v>0</v>
      </c>
      <c r="D101" s="291">
        <v>0</v>
      </c>
      <c r="E101" s="291">
        <v>0</v>
      </c>
      <c r="F101" s="291">
        <v>0</v>
      </c>
      <c r="G101" s="291">
        <v>0</v>
      </c>
      <c r="H101" s="291">
        <v>0</v>
      </c>
      <c r="I101" s="291">
        <v>0</v>
      </c>
      <c r="J101" s="291">
        <v>0</v>
      </c>
      <c r="K101" s="291">
        <v>0</v>
      </c>
      <c r="L101" s="291">
        <v>0</v>
      </c>
      <c r="M101" s="291">
        <v>0</v>
      </c>
      <c r="N101" s="291">
        <v>0</v>
      </c>
      <c r="O101" s="293">
        <f t="shared" si="35"/>
        <v>0</v>
      </c>
      <c r="P101" s="272">
        <v>0</v>
      </c>
      <c r="Q101" s="2"/>
      <c r="R101" s="232">
        <f>O101/CAM!$C$35</f>
        <v>0</v>
      </c>
      <c r="S101" s="294">
        <f t="shared" si="36"/>
        <v>0</v>
      </c>
      <c r="T101" s="295"/>
      <c r="U101" s="212"/>
      <c r="V101" s="212"/>
      <c r="W101" s="210"/>
      <c r="X101" s="60"/>
      <c r="Y101" s="60"/>
      <c r="Z101" s="60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61"/>
      <c r="BQ101" s="61"/>
      <c r="BR101" s="61"/>
      <c r="BS101" s="61"/>
    </row>
    <row r="102" spans="1:71" ht="13.15" customHeight="1">
      <c r="A102" s="2"/>
      <c r="B102" s="51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2"/>
      <c r="R102" s="69"/>
      <c r="S102" s="69"/>
      <c r="T102" s="229"/>
      <c r="U102" s="212"/>
      <c r="V102" s="212"/>
      <c r="W102" s="210"/>
      <c r="X102" s="60"/>
      <c r="Y102" s="60"/>
      <c r="Z102" s="60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61"/>
      <c r="BQ102" s="61"/>
      <c r="BR102" s="61"/>
      <c r="BS102" s="61"/>
    </row>
    <row r="103" spans="1:71" ht="13.15" customHeight="1">
      <c r="A103" s="2"/>
      <c r="B103" s="234" t="s">
        <v>254</v>
      </c>
      <c r="C103" s="235">
        <f>SUM(C89:C101)</f>
        <v>5421.1835466782613</v>
      </c>
      <c r="D103" s="235">
        <f t="shared" ref="D103:N103" si="39">SUM(D89:D101)</f>
        <v>5421.1835466782613</v>
      </c>
      <c r="E103" s="235">
        <f t="shared" si="39"/>
        <v>5421.1835466782613</v>
      </c>
      <c r="F103" s="235">
        <f t="shared" si="39"/>
        <v>5424.9177966782609</v>
      </c>
      <c r="G103" s="235">
        <f t="shared" si="39"/>
        <v>5426.7742966782607</v>
      </c>
      <c r="H103" s="235">
        <f t="shared" si="39"/>
        <v>5426.7742966782607</v>
      </c>
      <c r="I103" s="235">
        <f t="shared" si="39"/>
        <v>5622.3678142624685</v>
      </c>
      <c r="J103" s="235">
        <f t="shared" si="39"/>
        <v>5622.3678142624685</v>
      </c>
      <c r="K103" s="235">
        <f t="shared" si="39"/>
        <v>5622.3678142624685</v>
      </c>
      <c r="L103" s="235">
        <f t="shared" si="39"/>
        <v>5634.2843142624679</v>
      </c>
      <c r="M103" s="235">
        <f t="shared" si="39"/>
        <v>5638.6738142624672</v>
      </c>
      <c r="N103" s="235">
        <f t="shared" si="39"/>
        <v>5752.9445642624678</v>
      </c>
      <c r="O103" s="236">
        <f>SUM(O89:O101)</f>
        <v>66435.023165644379</v>
      </c>
      <c r="P103" s="237">
        <f>SUM(P89:P101)</f>
        <v>35051</v>
      </c>
      <c r="Q103" s="237">
        <f>SUM(Q89:Q101)</f>
        <v>0</v>
      </c>
      <c r="R103" s="296">
        <f>SUM(R89:R101)</f>
        <v>0.35445804841306178</v>
      </c>
      <c r="S103" s="269">
        <f>SUM(S89:S101)</f>
        <v>31384.023165644372</v>
      </c>
      <c r="T103" s="241"/>
      <c r="U103" s="212"/>
      <c r="V103" s="241"/>
      <c r="W103" s="210"/>
      <c r="X103" s="60"/>
      <c r="Y103" s="60"/>
      <c r="Z103" s="60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61"/>
      <c r="BQ103" s="61"/>
      <c r="BR103" s="61"/>
      <c r="BS103" s="61"/>
    </row>
    <row r="104" spans="1:71" ht="13.15" customHeight="1">
      <c r="A104" s="2"/>
      <c r="B104" s="2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2"/>
      <c r="R104" s="69"/>
      <c r="S104" s="69"/>
      <c r="T104" s="229"/>
      <c r="U104" s="212"/>
      <c r="V104" s="212"/>
      <c r="W104" s="210"/>
      <c r="X104" s="60"/>
      <c r="Y104" s="60"/>
      <c r="Z104" s="60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61"/>
      <c r="BQ104" s="61"/>
      <c r="BR104" s="61"/>
      <c r="BS104" s="61"/>
    </row>
    <row r="105" spans="1:71" ht="13.15" customHeight="1">
      <c r="A105" s="2"/>
      <c r="B105" s="234" t="s">
        <v>255</v>
      </c>
      <c r="C105" s="235">
        <f>C86-C103</f>
        <v>118006.74186713043</v>
      </c>
      <c r="D105" s="235">
        <f t="shared" ref="D105:R105" si="40">D86-D103</f>
        <v>118443.74186713043</v>
      </c>
      <c r="E105" s="235">
        <f t="shared" si="40"/>
        <v>49062.671867130426</v>
      </c>
      <c r="F105" s="235">
        <f t="shared" si="40"/>
        <v>115632.13186713043</v>
      </c>
      <c r="G105" s="235">
        <f t="shared" si="40"/>
        <v>114740.39186713044</v>
      </c>
      <c r="H105" s="235">
        <f t="shared" si="40"/>
        <v>120890.39186713044</v>
      </c>
      <c r="I105" s="235">
        <f t="shared" si="40"/>
        <v>128526.13257049867</v>
      </c>
      <c r="J105" s="235">
        <f t="shared" si="40"/>
        <v>129063.13257049867</v>
      </c>
      <c r="K105" s="235">
        <f t="shared" si="40"/>
        <v>128713.13257049867</v>
      </c>
      <c r="L105" s="235">
        <f t="shared" si="40"/>
        <v>562.60117049865403</v>
      </c>
      <c r="M105" s="235">
        <f t="shared" si="40"/>
        <v>129695.37257049864</v>
      </c>
      <c r="N105" s="235">
        <f t="shared" si="40"/>
        <v>129341.37257049864</v>
      </c>
      <c r="O105" s="236">
        <f t="shared" si="40"/>
        <v>1282677.8152257747</v>
      </c>
      <c r="P105" s="237">
        <f t="shared" si="40"/>
        <v>1324759.375</v>
      </c>
      <c r="Q105" s="237">
        <f t="shared" si="40"/>
        <v>1416727</v>
      </c>
      <c r="R105" s="296" t="e">
        <f t="shared" si="40"/>
        <v>#REF!</v>
      </c>
      <c r="S105" s="297">
        <f>S86-S103</f>
        <v>1731374.9154343556</v>
      </c>
      <c r="T105" s="241"/>
      <c r="U105" s="212"/>
      <c r="V105" s="241">
        <f>S105/O105</f>
        <v>1.3498127860967191</v>
      </c>
      <c r="W105" s="210"/>
      <c r="X105" s="60"/>
      <c r="Y105" s="60"/>
      <c r="Z105" s="60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61"/>
      <c r="BQ105" s="61"/>
      <c r="BR105" s="61"/>
      <c r="BS105" s="61"/>
    </row>
    <row r="106" spans="1:71" ht="13.15" customHeight="1">
      <c r="A106" s="2"/>
      <c r="B106" s="51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69"/>
      <c r="O106" s="69"/>
      <c r="P106" s="299"/>
      <c r="Q106" s="69"/>
      <c r="R106" s="69"/>
      <c r="S106" s="69"/>
      <c r="T106" s="229"/>
      <c r="U106" s="212"/>
      <c r="V106" s="212"/>
      <c r="W106" s="210"/>
      <c r="X106" s="60"/>
      <c r="Y106" s="60"/>
      <c r="Z106" s="60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88"/>
      <c r="BJ106" s="2"/>
      <c r="BK106" s="2"/>
      <c r="BL106" s="2"/>
      <c r="BM106" s="2"/>
      <c r="BN106" s="2" t="s">
        <v>47</v>
      </c>
      <c r="BO106" s="2" t="s">
        <v>47</v>
      </c>
      <c r="BP106" s="61"/>
      <c r="BQ106" s="61"/>
      <c r="BR106" s="61"/>
      <c r="BS106" s="61"/>
    </row>
    <row r="107" spans="1:71" ht="13.15" customHeight="1">
      <c r="A107" s="2"/>
      <c r="B107" s="51" t="s">
        <v>256</v>
      </c>
      <c r="C107" s="300"/>
      <c r="D107" s="301"/>
      <c r="E107" s="301"/>
      <c r="F107" s="301"/>
      <c r="G107" s="301"/>
      <c r="H107" s="302"/>
      <c r="I107" s="301"/>
      <c r="J107" s="303"/>
      <c r="K107" s="304"/>
      <c r="L107" s="304"/>
      <c r="M107" s="268"/>
      <c r="N107" s="303"/>
      <c r="O107" s="304"/>
      <c r="P107" s="292"/>
      <c r="Q107" s="2"/>
      <c r="R107" s="69"/>
      <c r="S107" s="69"/>
      <c r="T107" s="229"/>
      <c r="U107" s="212"/>
      <c r="V107" s="212"/>
      <c r="W107" s="210"/>
      <c r="X107" s="60"/>
      <c r="Y107" s="60"/>
      <c r="Z107" s="60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88"/>
      <c r="BJ107" s="2"/>
      <c r="BK107" s="2"/>
      <c r="BL107" s="2"/>
      <c r="BM107" s="2"/>
      <c r="BN107" s="2"/>
      <c r="BO107" s="2"/>
      <c r="BP107" s="61"/>
      <c r="BQ107" s="61"/>
      <c r="BR107" s="61"/>
      <c r="BS107" s="61"/>
    </row>
    <row r="108" spans="1:71" ht="16.5" customHeight="1">
      <c r="A108" s="60">
        <v>70110</v>
      </c>
      <c r="B108" s="165" t="s">
        <v>257</v>
      </c>
      <c r="C108" s="305">
        <v>33450.04</v>
      </c>
      <c r="D108" s="305">
        <f>C108</f>
        <v>33450.04</v>
      </c>
      <c r="E108" s="305">
        <f t="shared" ref="E108:N108" si="41">D108</f>
        <v>33450.04</v>
      </c>
      <c r="F108" s="305">
        <f t="shared" si="41"/>
        <v>33450.04</v>
      </c>
      <c r="G108" s="305">
        <f t="shared" si="41"/>
        <v>33450.04</v>
      </c>
      <c r="H108" s="305">
        <f t="shared" si="41"/>
        <v>33450.04</v>
      </c>
      <c r="I108" s="305">
        <f t="shared" si="41"/>
        <v>33450.04</v>
      </c>
      <c r="J108" s="305">
        <f t="shared" si="41"/>
        <v>33450.04</v>
      </c>
      <c r="K108" s="305">
        <f t="shared" si="41"/>
        <v>33450.04</v>
      </c>
      <c r="L108" s="305">
        <f t="shared" si="41"/>
        <v>33450.04</v>
      </c>
      <c r="M108" s="305">
        <f t="shared" si="41"/>
        <v>33450.04</v>
      </c>
      <c r="N108" s="305">
        <f t="shared" si="41"/>
        <v>33450.04</v>
      </c>
      <c r="O108" s="303">
        <f t="shared" ref="O108:O109" si="42">SUM(C108:N108)</f>
        <v>401400.47999999992</v>
      </c>
      <c r="P108" s="306">
        <v>396029</v>
      </c>
      <c r="Q108" s="2">
        <v>401400</v>
      </c>
      <c r="R108" s="69"/>
      <c r="S108" s="245">
        <f>O108-P108</f>
        <v>5371.4799999999232</v>
      </c>
      <c r="T108" s="307"/>
      <c r="U108" s="212"/>
      <c r="V108" s="212"/>
      <c r="W108" s="210"/>
      <c r="X108" s="88"/>
      <c r="Y108" s="60"/>
      <c r="Z108" s="88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88"/>
      <c r="BJ108" s="2"/>
      <c r="BK108" s="2"/>
      <c r="BL108" s="2"/>
      <c r="BM108" s="2"/>
      <c r="BN108" s="2"/>
      <c r="BO108" s="2"/>
      <c r="BP108" s="61"/>
      <c r="BQ108" s="61"/>
      <c r="BR108" s="61"/>
      <c r="BS108" s="61"/>
    </row>
    <row r="109" spans="1:71" ht="13.15" customHeight="1">
      <c r="A109" s="60">
        <v>70111</v>
      </c>
      <c r="B109" s="165" t="s">
        <v>258</v>
      </c>
      <c r="C109" s="308"/>
      <c r="D109" s="308"/>
      <c r="E109" s="308"/>
      <c r="F109" s="308"/>
      <c r="G109" s="308"/>
      <c r="H109" s="308"/>
      <c r="I109" s="308"/>
      <c r="J109" s="308"/>
      <c r="K109" s="308"/>
      <c r="L109" s="308"/>
      <c r="M109" s="308"/>
      <c r="N109" s="308"/>
      <c r="O109" s="303">
        <f t="shared" si="42"/>
        <v>0</v>
      </c>
      <c r="P109" s="306">
        <v>0</v>
      </c>
      <c r="Q109" s="2"/>
      <c r="R109" s="69"/>
      <c r="S109" s="245">
        <f>O109-P109</f>
        <v>0</v>
      </c>
      <c r="T109" s="307"/>
      <c r="U109" s="212"/>
      <c r="V109" s="212"/>
      <c r="W109" s="210"/>
      <c r="X109" s="309"/>
      <c r="Y109" s="60"/>
      <c r="Z109" s="309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88"/>
      <c r="BJ109" s="2"/>
      <c r="BK109" s="2"/>
      <c r="BL109" s="2"/>
      <c r="BM109" s="2"/>
      <c r="BN109" s="2"/>
      <c r="BO109" s="2"/>
      <c r="BP109" s="61"/>
      <c r="BQ109" s="61"/>
      <c r="BR109" s="61"/>
      <c r="BS109" s="61"/>
    </row>
    <row r="110" spans="1:71" ht="13.15" customHeight="1">
      <c r="A110" s="60">
        <v>70182</v>
      </c>
      <c r="B110" s="2" t="s">
        <v>259</v>
      </c>
      <c r="C110" s="310">
        <v>0</v>
      </c>
      <c r="D110" s="310">
        <v>0</v>
      </c>
      <c r="E110" s="310">
        <v>0</v>
      </c>
      <c r="F110" s="310">
        <v>0</v>
      </c>
      <c r="G110" s="310">
        <v>0</v>
      </c>
      <c r="H110" s="310">
        <v>0</v>
      </c>
      <c r="I110" s="310">
        <v>0</v>
      </c>
      <c r="J110" s="310">
        <v>0</v>
      </c>
      <c r="K110" s="310">
        <v>0</v>
      </c>
      <c r="L110" s="310">
        <v>0</v>
      </c>
      <c r="M110" s="310">
        <v>0</v>
      </c>
      <c r="N110" s="310">
        <v>0</v>
      </c>
      <c r="O110" s="303">
        <f>SUM(C110:N110)</f>
        <v>0</v>
      </c>
      <c r="P110" s="306">
        <v>0</v>
      </c>
      <c r="Q110" s="2"/>
      <c r="R110" s="69"/>
      <c r="S110" s="69">
        <f>O110-P110</f>
        <v>0</v>
      </c>
      <c r="T110" s="229"/>
      <c r="U110" s="212"/>
      <c r="V110" s="212"/>
      <c r="W110" s="210"/>
      <c r="X110" s="309"/>
      <c r="Y110" s="60"/>
      <c r="Z110" s="309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88"/>
      <c r="BJ110" s="2"/>
      <c r="BK110" s="2"/>
      <c r="BL110" s="2"/>
      <c r="BM110" s="2"/>
      <c r="BN110" s="2"/>
      <c r="BO110" s="2"/>
      <c r="BP110" s="61"/>
      <c r="BQ110" s="61"/>
      <c r="BR110" s="61"/>
      <c r="BS110" s="61"/>
    </row>
    <row r="111" spans="1:71" ht="13.15" customHeight="1">
      <c r="A111" s="2"/>
      <c r="B111" s="51"/>
      <c r="C111" s="311"/>
      <c r="D111" s="312"/>
      <c r="E111" s="313"/>
      <c r="F111" s="313"/>
      <c r="G111" s="69"/>
      <c r="H111" s="312"/>
      <c r="I111" s="69"/>
      <c r="J111" s="69"/>
      <c r="K111" s="69"/>
      <c r="L111" s="69"/>
      <c r="M111" s="69"/>
      <c r="N111" s="69"/>
      <c r="O111" s="311"/>
      <c r="P111" s="312"/>
      <c r="Q111" s="2"/>
      <c r="R111" s="69"/>
      <c r="S111" s="69"/>
      <c r="T111" s="229"/>
      <c r="U111" s="212"/>
      <c r="V111" s="212"/>
      <c r="W111" s="210"/>
      <c r="X111" s="60"/>
      <c r="Y111" s="60"/>
      <c r="Z111" s="60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88"/>
      <c r="BJ111" s="2"/>
      <c r="BK111" s="2"/>
      <c r="BL111" s="2"/>
      <c r="BM111" s="2"/>
      <c r="BN111" s="2"/>
      <c r="BO111" s="2"/>
      <c r="BP111" s="61"/>
      <c r="BQ111" s="61"/>
      <c r="BR111" s="61"/>
      <c r="BS111" s="61"/>
    </row>
    <row r="112" spans="1:71" ht="13.15" customHeight="1">
      <c r="A112" s="2"/>
      <c r="B112" s="234" t="s">
        <v>256</v>
      </c>
      <c r="C112" s="235">
        <f t="shared" ref="C112:Q112" si="43">SUM(C108:C110)</f>
        <v>33450.04</v>
      </c>
      <c r="D112" s="235">
        <f t="shared" si="43"/>
        <v>33450.04</v>
      </c>
      <c r="E112" s="235">
        <f t="shared" si="43"/>
        <v>33450.04</v>
      </c>
      <c r="F112" s="235">
        <f t="shared" si="43"/>
        <v>33450.04</v>
      </c>
      <c r="G112" s="235">
        <f t="shared" si="43"/>
        <v>33450.04</v>
      </c>
      <c r="H112" s="235">
        <f t="shared" si="43"/>
        <v>33450.04</v>
      </c>
      <c r="I112" s="235">
        <f t="shared" si="43"/>
        <v>33450.04</v>
      </c>
      <c r="J112" s="235">
        <f t="shared" si="43"/>
        <v>33450.04</v>
      </c>
      <c r="K112" s="235">
        <f t="shared" si="43"/>
        <v>33450.04</v>
      </c>
      <c r="L112" s="235">
        <f t="shared" si="43"/>
        <v>33450.04</v>
      </c>
      <c r="M112" s="235">
        <f t="shared" si="43"/>
        <v>33450.04</v>
      </c>
      <c r="N112" s="235">
        <f t="shared" si="43"/>
        <v>33450.04</v>
      </c>
      <c r="O112" s="235">
        <f t="shared" si="43"/>
        <v>401400.47999999992</v>
      </c>
      <c r="P112" s="235">
        <f t="shared" si="43"/>
        <v>396029</v>
      </c>
      <c r="Q112" s="235">
        <f t="shared" si="43"/>
        <v>401400</v>
      </c>
      <c r="R112" s="69"/>
      <c r="S112" s="236">
        <f>SUM(S108:S110)</f>
        <v>5371.4799999999232</v>
      </c>
      <c r="T112" s="241"/>
      <c r="U112" s="212"/>
      <c r="V112" s="241">
        <f>S112/O112</f>
        <v>1.3381847475618176E-2</v>
      </c>
      <c r="W112" s="210"/>
      <c r="X112" s="60"/>
      <c r="Y112" s="60"/>
      <c r="Z112" s="60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88"/>
      <c r="BJ112" s="2"/>
      <c r="BK112" s="2"/>
      <c r="BL112" s="2"/>
      <c r="BM112" s="2"/>
      <c r="BN112" s="2"/>
      <c r="BO112" s="2"/>
      <c r="BP112" s="61"/>
      <c r="BQ112" s="61"/>
      <c r="BR112" s="61"/>
      <c r="BS112" s="61"/>
    </row>
    <row r="113" spans="1:71" ht="13.15" customHeight="1">
      <c r="A113" s="2"/>
      <c r="B113" s="2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314"/>
      <c r="Q113" s="69"/>
      <c r="R113" s="69"/>
      <c r="S113" s="69"/>
      <c r="T113" s="229"/>
      <c r="U113" s="212"/>
      <c r="V113" s="212"/>
      <c r="W113" s="210"/>
      <c r="X113" s="315"/>
      <c r="Y113" s="315"/>
      <c r="Z113" s="315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88"/>
      <c r="BJ113" s="2"/>
      <c r="BK113" s="2"/>
      <c r="BL113" s="2"/>
      <c r="BM113" s="2"/>
      <c r="BN113" s="2"/>
      <c r="BO113" s="2"/>
      <c r="BP113" s="61"/>
      <c r="BQ113" s="61"/>
      <c r="BR113" s="61"/>
      <c r="BS113" s="61"/>
    </row>
    <row r="114" spans="1:71" ht="13.15" customHeight="1">
      <c r="A114" s="2"/>
      <c r="B114" s="51" t="s">
        <v>260</v>
      </c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316"/>
      <c r="Q114" s="69"/>
      <c r="R114" s="69"/>
      <c r="S114" s="69"/>
      <c r="T114" s="229"/>
      <c r="U114" s="212"/>
      <c r="V114" s="212"/>
      <c r="W114" s="210"/>
      <c r="X114" s="60"/>
      <c r="Y114" s="60"/>
      <c r="Z114" s="60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88"/>
      <c r="BJ114" s="2"/>
      <c r="BK114" s="2"/>
      <c r="BL114" s="2"/>
      <c r="BM114" s="2"/>
      <c r="BN114" s="2"/>
      <c r="BO114" s="2"/>
      <c r="BP114" s="61"/>
      <c r="BQ114" s="61"/>
      <c r="BR114" s="61"/>
      <c r="BS114" s="61"/>
    </row>
    <row r="115" spans="1:71" ht="13.15" customHeight="1">
      <c r="A115" s="2"/>
      <c r="B115" s="51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229"/>
      <c r="U115" s="212"/>
      <c r="V115" s="212"/>
      <c r="W115" s="210"/>
      <c r="X115" s="60"/>
      <c r="Y115" s="60"/>
      <c r="Z115" s="60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88"/>
      <c r="BJ115" s="2"/>
      <c r="BK115" s="2"/>
      <c r="BL115" s="2"/>
      <c r="BM115" s="2"/>
      <c r="BN115" s="2"/>
      <c r="BO115" s="2"/>
      <c r="BP115" s="61"/>
      <c r="BQ115" s="61"/>
      <c r="BR115" s="61"/>
      <c r="BS115" s="61"/>
    </row>
    <row r="116" spans="1:71" ht="13.15" customHeight="1">
      <c r="A116" s="2"/>
      <c r="B116" s="51" t="s">
        <v>261</v>
      </c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232"/>
      <c r="P116" s="317"/>
      <c r="Q116" s="69"/>
      <c r="R116" s="69"/>
      <c r="S116" s="69"/>
      <c r="T116" s="229"/>
      <c r="U116" s="212"/>
      <c r="V116" s="212"/>
      <c r="W116" s="210"/>
      <c r="X116" s="60"/>
      <c r="Y116" s="60"/>
      <c r="Z116" s="60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88"/>
      <c r="BJ116" s="2"/>
      <c r="BK116" s="2"/>
      <c r="BL116" s="2"/>
      <c r="BM116" s="2"/>
      <c r="BN116" s="2"/>
      <c r="BO116" s="2"/>
      <c r="BP116" s="61"/>
      <c r="BQ116" s="61"/>
      <c r="BR116" s="61"/>
      <c r="BS116" s="61"/>
    </row>
    <row r="117" spans="1:71" ht="13.15" customHeight="1">
      <c r="A117" s="60">
        <v>10410</v>
      </c>
      <c r="B117" s="51" t="s">
        <v>262</v>
      </c>
      <c r="C117" s="232">
        <v>12316</v>
      </c>
      <c r="D117" s="232">
        <f>C117</f>
        <v>12316</v>
      </c>
      <c r="E117" s="232">
        <f>D117-E78</f>
        <v>-59215.070000000007</v>
      </c>
      <c r="F117" s="232">
        <f>D117</f>
        <v>12316</v>
      </c>
      <c r="G117" s="232">
        <f>F117</f>
        <v>12316</v>
      </c>
      <c r="H117" s="232">
        <f t="shared" ref="H117:K117" si="44">G117</f>
        <v>12316</v>
      </c>
      <c r="I117" s="232">
        <f t="shared" si="44"/>
        <v>12316</v>
      </c>
      <c r="J117" s="232">
        <f t="shared" si="44"/>
        <v>12316</v>
      </c>
      <c r="K117" s="232">
        <f t="shared" si="44"/>
        <v>12316</v>
      </c>
      <c r="L117" s="232">
        <f>K117-L78</f>
        <v>-60645.691400000011</v>
      </c>
      <c r="M117" s="232">
        <f>K117</f>
        <v>12316</v>
      </c>
      <c r="N117" s="232">
        <f>M117</f>
        <v>12316</v>
      </c>
      <c r="O117" s="232">
        <f>SUM(C117:N117)</f>
        <v>3299.2385999999824</v>
      </c>
      <c r="P117" s="318">
        <v>115067</v>
      </c>
      <c r="Q117" s="2">
        <v>0</v>
      </c>
      <c r="R117" s="69"/>
      <c r="S117" s="69">
        <f t="shared" ref="S117:S122" si="45">O117-P117</f>
        <v>-111767.76140000002</v>
      </c>
      <c r="T117" s="229"/>
      <c r="U117" s="212"/>
      <c r="V117" s="212"/>
      <c r="W117" s="210" t="s">
        <v>263</v>
      </c>
      <c r="X117" s="60"/>
      <c r="Y117" s="60"/>
      <c r="Z117" s="60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88"/>
      <c r="BJ117" s="2"/>
      <c r="BK117" s="2"/>
      <c r="BL117" s="2"/>
      <c r="BM117" s="2"/>
      <c r="BN117" s="2"/>
      <c r="BO117" s="2"/>
      <c r="BP117" s="61"/>
      <c r="BQ117" s="61"/>
      <c r="BR117" s="61"/>
      <c r="BS117" s="61"/>
    </row>
    <row r="118" spans="1:71" ht="13.15" customHeight="1">
      <c r="A118" s="60">
        <v>10400</v>
      </c>
      <c r="B118" s="2" t="s">
        <v>264</v>
      </c>
      <c r="C118" s="232">
        <v>0</v>
      </c>
      <c r="D118" s="232">
        <v>0</v>
      </c>
      <c r="E118" s="232">
        <v>0</v>
      </c>
      <c r="F118" s="232">
        <v>0</v>
      </c>
      <c r="G118" s="232">
        <v>0</v>
      </c>
      <c r="H118" s="232">
        <v>0</v>
      </c>
      <c r="I118" s="232">
        <v>0</v>
      </c>
      <c r="J118" s="232">
        <v>0</v>
      </c>
      <c r="K118" s="232">
        <v>0</v>
      </c>
      <c r="L118" s="232">
        <v>0</v>
      </c>
      <c r="M118" s="232">
        <v>0</v>
      </c>
      <c r="N118" s="232">
        <f>M118-N79</f>
        <v>0</v>
      </c>
      <c r="O118" s="232">
        <f t="shared" ref="O118:O130" si="46">SUM(C118:N118)</f>
        <v>0</v>
      </c>
      <c r="P118" s="317"/>
      <c r="Q118" s="2"/>
      <c r="R118" s="69"/>
      <c r="S118" s="69">
        <f t="shared" si="45"/>
        <v>0</v>
      </c>
      <c r="T118" s="229"/>
      <c r="U118" s="212"/>
      <c r="V118" s="212"/>
      <c r="W118" s="210"/>
      <c r="X118" s="60"/>
      <c r="Y118" s="60"/>
      <c r="Z118" s="60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88"/>
      <c r="BJ118" s="2"/>
      <c r="BK118" s="2"/>
      <c r="BL118" s="2"/>
      <c r="BM118" s="2"/>
      <c r="BN118" s="2"/>
      <c r="BO118" s="2"/>
      <c r="BP118" s="61"/>
      <c r="BQ118" s="61"/>
      <c r="BR118" s="61"/>
      <c r="BS118" s="61"/>
    </row>
    <row r="119" spans="1:71" ht="13.15" customHeight="1">
      <c r="A119" s="60">
        <v>10460</v>
      </c>
      <c r="B119" s="51" t="s">
        <v>265</v>
      </c>
      <c r="C119" s="232">
        <v>2487</v>
      </c>
      <c r="D119" s="232">
        <f>C119</f>
        <v>2487</v>
      </c>
      <c r="E119" s="232">
        <f>D119-E70</f>
        <v>2487</v>
      </c>
      <c r="F119" s="232">
        <f>D119</f>
        <v>2487</v>
      </c>
      <c r="G119" s="232">
        <f t="shared" ref="G119:N120" si="47">F119</f>
        <v>2487</v>
      </c>
      <c r="H119" s="232">
        <f t="shared" si="47"/>
        <v>2487</v>
      </c>
      <c r="I119" s="232">
        <f t="shared" si="47"/>
        <v>2487</v>
      </c>
      <c r="J119" s="232">
        <f t="shared" si="47"/>
        <v>2487</v>
      </c>
      <c r="K119" s="232">
        <f>J119-L75</f>
        <v>-29473.5</v>
      </c>
      <c r="L119" s="232">
        <f>J119</f>
        <v>2487</v>
      </c>
      <c r="M119" s="232">
        <f t="shared" si="47"/>
        <v>2487</v>
      </c>
      <c r="N119" s="232">
        <f t="shared" si="47"/>
        <v>2487</v>
      </c>
      <c r="O119" s="232">
        <f t="shared" si="46"/>
        <v>-2116.5</v>
      </c>
      <c r="P119" s="318">
        <v>37774</v>
      </c>
      <c r="Q119" s="2">
        <v>-3</v>
      </c>
      <c r="R119" s="69"/>
      <c r="S119" s="69">
        <f t="shared" si="45"/>
        <v>-39890.5</v>
      </c>
      <c r="T119" s="229"/>
      <c r="U119" s="212"/>
      <c r="V119" s="212"/>
      <c r="W119" s="210"/>
      <c r="X119" s="60"/>
      <c r="Y119" s="60"/>
      <c r="Z119" s="60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88"/>
      <c r="BJ119" s="2"/>
      <c r="BK119" s="2"/>
      <c r="BL119" s="2"/>
      <c r="BM119" s="2"/>
      <c r="BN119" s="2"/>
      <c r="BO119" s="2"/>
      <c r="BP119" s="61"/>
      <c r="BQ119" s="61"/>
      <c r="BR119" s="61"/>
      <c r="BS119" s="61"/>
    </row>
    <row r="120" spans="1:71" ht="13.15" customHeight="1">
      <c r="A120" s="60">
        <v>10470</v>
      </c>
      <c r="B120" s="51" t="s">
        <v>266</v>
      </c>
      <c r="C120" s="232">
        <v>564.24</v>
      </c>
      <c r="D120" s="232">
        <f>C120</f>
        <v>564.24</v>
      </c>
      <c r="E120" s="232">
        <f t="shared" ref="E120:M120" si="48">D120</f>
        <v>564.24</v>
      </c>
      <c r="F120" s="232">
        <f t="shared" si="48"/>
        <v>564.24</v>
      </c>
      <c r="G120" s="232">
        <f t="shared" si="48"/>
        <v>564.24</v>
      </c>
      <c r="H120" s="232">
        <f t="shared" si="48"/>
        <v>564.24</v>
      </c>
      <c r="I120" s="232">
        <f t="shared" si="48"/>
        <v>564.24</v>
      </c>
      <c r="J120" s="232">
        <f t="shared" si="48"/>
        <v>564.24</v>
      </c>
      <c r="K120" s="232">
        <f t="shared" si="48"/>
        <v>564.24</v>
      </c>
      <c r="L120" s="232">
        <f t="shared" si="48"/>
        <v>564.24</v>
      </c>
      <c r="M120" s="232">
        <f t="shared" si="48"/>
        <v>564.24</v>
      </c>
      <c r="N120" s="232">
        <f t="shared" si="47"/>
        <v>564.24</v>
      </c>
      <c r="O120" s="232">
        <f t="shared" si="46"/>
        <v>6770.8799999999983</v>
      </c>
      <c r="P120" s="318">
        <v>398459</v>
      </c>
      <c r="Q120" s="2">
        <v>6768</v>
      </c>
      <c r="R120" s="69"/>
      <c r="S120" s="69">
        <f t="shared" si="45"/>
        <v>-391688.12</v>
      </c>
      <c r="T120" s="229"/>
      <c r="U120" s="212"/>
      <c r="V120" s="212"/>
      <c r="W120" s="210"/>
      <c r="X120" s="60"/>
      <c r="Y120" s="60"/>
      <c r="Z120" s="60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88"/>
      <c r="BJ120" s="2"/>
      <c r="BK120" s="2"/>
      <c r="BL120" s="2"/>
      <c r="BM120" s="2"/>
      <c r="BN120" s="2"/>
      <c r="BO120" s="2"/>
      <c r="BP120" s="61"/>
      <c r="BQ120" s="61"/>
      <c r="BR120" s="61"/>
      <c r="BS120" s="61"/>
    </row>
    <row r="121" spans="1:71" ht="13.15" customHeight="1">
      <c r="A121" s="60">
        <v>15100</v>
      </c>
      <c r="B121" s="2" t="s">
        <v>267</v>
      </c>
      <c r="C121" s="232">
        <v>0</v>
      </c>
      <c r="D121" s="232">
        <v>0</v>
      </c>
      <c r="E121" s="232">
        <v>0</v>
      </c>
      <c r="F121" s="232">
        <v>0</v>
      </c>
      <c r="G121" s="232">
        <v>0</v>
      </c>
      <c r="H121" s="232">
        <v>0</v>
      </c>
      <c r="I121" s="232">
        <v>0</v>
      </c>
      <c r="J121" s="232">
        <f>Rent!C29*20</f>
        <v>60140</v>
      </c>
      <c r="K121" s="232">
        <v>0</v>
      </c>
      <c r="L121" s="232">
        <v>0</v>
      </c>
      <c r="M121" s="232">
        <v>0</v>
      </c>
      <c r="N121" s="232">
        <v>0</v>
      </c>
      <c r="O121" s="232">
        <f t="shared" si="46"/>
        <v>60140</v>
      </c>
      <c r="P121" s="69"/>
      <c r="Q121" s="2"/>
      <c r="R121" s="69">
        <v>0</v>
      </c>
      <c r="S121" s="69">
        <f t="shared" si="45"/>
        <v>60140</v>
      </c>
      <c r="T121" s="229"/>
      <c r="U121" s="212"/>
      <c r="V121" s="212"/>
      <c r="W121" s="210" t="s">
        <v>268</v>
      </c>
      <c r="X121" s="60"/>
      <c r="Y121" s="60"/>
      <c r="Z121" s="60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61"/>
      <c r="BS121" s="61"/>
    </row>
    <row r="122" spans="1:71" ht="13.15" customHeight="1">
      <c r="A122" s="60">
        <v>15400</v>
      </c>
      <c r="B122" s="2" t="s">
        <v>269</v>
      </c>
      <c r="C122" s="232">
        <v>0</v>
      </c>
      <c r="D122" s="232">
        <v>0</v>
      </c>
      <c r="E122" s="232">
        <v>0</v>
      </c>
      <c r="F122" s="232">
        <v>0</v>
      </c>
      <c r="G122" s="232">
        <v>0</v>
      </c>
      <c r="H122" s="232">
        <v>0</v>
      </c>
      <c r="I122" s="232">
        <v>0</v>
      </c>
      <c r="J122" s="232">
        <v>0</v>
      </c>
      <c r="K122" s="232">
        <v>0</v>
      </c>
      <c r="L122" s="232">
        <v>0</v>
      </c>
      <c r="M122" s="232">
        <v>0</v>
      </c>
      <c r="N122" s="232">
        <v>0</v>
      </c>
      <c r="O122" s="232">
        <f t="shared" si="46"/>
        <v>0</v>
      </c>
      <c r="P122" s="245"/>
      <c r="Q122" s="2"/>
      <c r="R122" s="69"/>
      <c r="S122" s="245">
        <f t="shared" si="45"/>
        <v>0</v>
      </c>
      <c r="T122" s="229"/>
      <c r="U122" s="212"/>
      <c r="V122" s="212"/>
      <c r="W122" s="210"/>
      <c r="X122" s="60"/>
      <c r="Y122" s="60"/>
      <c r="Z122" s="60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61"/>
      <c r="BS122" s="61"/>
    </row>
    <row r="123" spans="1:71" ht="13.15" customHeight="1">
      <c r="A123" s="60">
        <v>16500</v>
      </c>
      <c r="B123" s="51" t="s">
        <v>270</v>
      </c>
      <c r="C123" s="232">
        <v>0</v>
      </c>
      <c r="D123" s="232">
        <v>0</v>
      </c>
      <c r="E123" s="232">
        <f>F167/2</f>
        <v>11831.451625671481</v>
      </c>
      <c r="F123" s="232">
        <v>0</v>
      </c>
      <c r="G123" s="232">
        <v>0</v>
      </c>
      <c r="H123" s="232">
        <v>0</v>
      </c>
      <c r="I123" s="232">
        <v>0</v>
      </c>
      <c r="J123" s="232">
        <f>E123</f>
        <v>11831.451625671481</v>
      </c>
      <c r="K123" s="232">
        <v>0</v>
      </c>
      <c r="L123" s="232">
        <v>0</v>
      </c>
      <c r="M123" s="232">
        <v>0</v>
      </c>
      <c r="N123" s="232">
        <v>0</v>
      </c>
      <c r="O123" s="232">
        <f t="shared" si="46"/>
        <v>23662.903251342963</v>
      </c>
      <c r="P123" s="69">
        <v>9505</v>
      </c>
      <c r="Q123" s="2">
        <v>0</v>
      </c>
      <c r="R123" s="69">
        <v>0</v>
      </c>
      <c r="S123" s="245">
        <f t="shared" ref="S123:S130" si="49">O123-P123</f>
        <v>14157.903251342963</v>
      </c>
      <c r="T123" s="229"/>
      <c r="U123" s="212"/>
      <c r="V123" s="212"/>
      <c r="W123" s="210" t="s">
        <v>271</v>
      </c>
      <c r="X123" s="60"/>
      <c r="Y123" s="60"/>
      <c r="Z123" s="60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61"/>
      <c r="BS123" s="61"/>
    </row>
    <row r="124" spans="1:71" ht="13.15" customHeight="1">
      <c r="A124" s="60">
        <v>25300</v>
      </c>
      <c r="B124" s="51" t="s">
        <v>272</v>
      </c>
      <c r="C124" s="232">
        <v>19039.8</v>
      </c>
      <c r="D124" s="232">
        <f>C124</f>
        <v>19039.8</v>
      </c>
      <c r="E124" s="232">
        <f t="shared" ref="E124:N124" si="50">D124</f>
        <v>19039.8</v>
      </c>
      <c r="F124" s="232">
        <f t="shared" si="50"/>
        <v>19039.8</v>
      </c>
      <c r="G124" s="232">
        <f t="shared" si="50"/>
        <v>19039.8</v>
      </c>
      <c r="H124" s="232">
        <f t="shared" si="50"/>
        <v>19039.8</v>
      </c>
      <c r="I124" s="232">
        <f t="shared" si="50"/>
        <v>19039.8</v>
      </c>
      <c r="J124" s="232">
        <f t="shared" si="50"/>
        <v>19039.8</v>
      </c>
      <c r="K124" s="232">
        <f t="shared" si="50"/>
        <v>19039.8</v>
      </c>
      <c r="L124" s="232">
        <f t="shared" si="50"/>
        <v>19039.8</v>
      </c>
      <c r="M124" s="232">
        <f t="shared" si="50"/>
        <v>19039.8</v>
      </c>
      <c r="N124" s="232">
        <f t="shared" si="50"/>
        <v>19039.8</v>
      </c>
      <c r="O124" s="232">
        <f t="shared" si="46"/>
        <v>228477.59999999995</v>
      </c>
      <c r="P124" s="69">
        <v>-9638314</v>
      </c>
      <c r="Q124" s="2">
        <v>228480</v>
      </c>
      <c r="R124" s="69">
        <v>0</v>
      </c>
      <c r="S124" s="245">
        <f t="shared" si="49"/>
        <v>9866791.5999999996</v>
      </c>
      <c r="T124" s="229"/>
      <c r="U124" s="212"/>
      <c r="V124" s="212"/>
      <c r="W124" s="210"/>
      <c r="X124" s="60"/>
      <c r="Y124" s="60"/>
      <c r="Z124" s="60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61"/>
      <c r="BS124" s="61"/>
    </row>
    <row r="125" spans="1:71" ht="13.15" customHeight="1">
      <c r="A125" s="60"/>
      <c r="B125" s="51" t="s">
        <v>273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f t="shared" si="46"/>
        <v>0</v>
      </c>
      <c r="P125" s="69">
        <v>-8909920</v>
      </c>
      <c r="Q125" s="2">
        <v>0</v>
      </c>
      <c r="R125" s="69"/>
      <c r="S125" s="245">
        <f t="shared" si="49"/>
        <v>8909920</v>
      </c>
      <c r="T125" s="229"/>
      <c r="U125" s="212"/>
      <c r="V125" s="212"/>
      <c r="W125" s="233"/>
      <c r="X125" s="60"/>
      <c r="Y125" s="60"/>
      <c r="Z125" s="60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61"/>
      <c r="BS125" s="61"/>
    </row>
    <row r="126" spans="1:71" ht="13.15" customHeight="1">
      <c r="A126" s="60"/>
      <c r="B126" s="51" t="s">
        <v>274</v>
      </c>
      <c r="C126" s="228">
        <v>0</v>
      </c>
      <c r="D126" s="228">
        <v>0</v>
      </c>
      <c r="E126" s="228">
        <v>0</v>
      </c>
      <c r="F126" s="228">
        <v>0</v>
      </c>
      <c r="G126" s="228">
        <v>0</v>
      </c>
      <c r="H126" s="228">
        <v>0</v>
      </c>
      <c r="I126" s="228">
        <v>0</v>
      </c>
      <c r="J126" s="228">
        <v>0</v>
      </c>
      <c r="K126" s="228">
        <v>0</v>
      </c>
      <c r="L126" s="228">
        <v>0</v>
      </c>
      <c r="M126" s="228">
        <v>0</v>
      </c>
      <c r="N126" s="228">
        <v>0</v>
      </c>
      <c r="O126" s="228">
        <f t="shared" ref="O126:O129" si="51">SUM(C126:N126)</f>
        <v>0</v>
      </c>
      <c r="P126" s="69">
        <v>14125</v>
      </c>
      <c r="Q126" s="2">
        <v>0</v>
      </c>
      <c r="R126" s="69"/>
      <c r="S126" s="245">
        <f t="shared" si="49"/>
        <v>-14125</v>
      </c>
      <c r="T126" s="229"/>
      <c r="U126" s="212"/>
      <c r="V126" s="212"/>
      <c r="W126" s="233"/>
      <c r="X126" s="60"/>
      <c r="Y126" s="60"/>
      <c r="Z126" s="60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61"/>
      <c r="BS126" s="61"/>
    </row>
    <row r="127" spans="1:71" ht="13.15" customHeight="1">
      <c r="A127" s="60"/>
      <c r="B127" s="51" t="s">
        <v>275</v>
      </c>
      <c r="C127" s="228">
        <v>0</v>
      </c>
      <c r="D127" s="228">
        <v>0</v>
      </c>
      <c r="E127" s="228">
        <v>0</v>
      </c>
      <c r="F127" s="228">
        <v>0</v>
      </c>
      <c r="G127" s="228">
        <v>0</v>
      </c>
      <c r="H127" s="228">
        <v>0</v>
      </c>
      <c r="I127" s="228">
        <v>0</v>
      </c>
      <c r="J127" s="228">
        <v>0</v>
      </c>
      <c r="K127" s="228">
        <v>0</v>
      </c>
      <c r="L127" s="228">
        <v>0</v>
      </c>
      <c r="M127" s="228">
        <v>0</v>
      </c>
      <c r="N127" s="228">
        <v>0</v>
      </c>
      <c r="O127" s="228">
        <f t="shared" si="51"/>
        <v>0</v>
      </c>
      <c r="P127" s="69">
        <v>2131</v>
      </c>
      <c r="Q127" s="2">
        <v>0</v>
      </c>
      <c r="R127" s="69"/>
      <c r="S127" s="245">
        <f t="shared" si="49"/>
        <v>-2131</v>
      </c>
      <c r="T127" s="229"/>
      <c r="U127" s="212"/>
      <c r="V127" s="212"/>
      <c r="W127" s="233"/>
      <c r="X127" s="60"/>
      <c r="Y127" s="60"/>
      <c r="Z127" s="60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61"/>
      <c r="BS127" s="61"/>
    </row>
    <row r="128" spans="1:71" ht="13.15" customHeight="1">
      <c r="A128" s="60"/>
      <c r="B128" s="51" t="s">
        <v>276</v>
      </c>
      <c r="C128" s="228">
        <v>0</v>
      </c>
      <c r="D128" s="228">
        <v>0</v>
      </c>
      <c r="E128" s="228">
        <v>0</v>
      </c>
      <c r="F128" s="228">
        <v>0</v>
      </c>
      <c r="G128" s="228">
        <v>0</v>
      </c>
      <c r="H128" s="228">
        <v>0</v>
      </c>
      <c r="I128" s="228">
        <v>0</v>
      </c>
      <c r="J128" s="228">
        <v>0</v>
      </c>
      <c r="K128" s="228">
        <v>0</v>
      </c>
      <c r="L128" s="228">
        <v>0</v>
      </c>
      <c r="M128" s="228">
        <v>0</v>
      </c>
      <c r="N128" s="228">
        <v>0</v>
      </c>
      <c r="O128" s="228">
        <f t="shared" si="51"/>
        <v>0</v>
      </c>
      <c r="P128" s="69">
        <v>1470677</v>
      </c>
      <c r="Q128" s="2">
        <v>0</v>
      </c>
      <c r="R128" s="69"/>
      <c r="S128" s="245">
        <f t="shared" si="49"/>
        <v>-1470677</v>
      </c>
      <c r="T128" s="229"/>
      <c r="U128" s="212"/>
      <c r="V128" s="212"/>
      <c r="W128" s="233"/>
      <c r="X128" s="60"/>
      <c r="Y128" s="60"/>
      <c r="Z128" s="60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61"/>
      <c r="BS128" s="61"/>
    </row>
    <row r="129" spans="1:71" ht="13.15" customHeight="1">
      <c r="A129" s="60"/>
      <c r="B129" s="51" t="s">
        <v>277</v>
      </c>
      <c r="C129" s="228">
        <v>0</v>
      </c>
      <c r="D129" s="228">
        <v>0</v>
      </c>
      <c r="E129" s="228">
        <v>0</v>
      </c>
      <c r="F129" s="228">
        <v>0</v>
      </c>
      <c r="G129" s="228">
        <v>0</v>
      </c>
      <c r="H129" s="228">
        <v>0</v>
      </c>
      <c r="I129" s="228">
        <v>0</v>
      </c>
      <c r="J129" s="228">
        <v>0</v>
      </c>
      <c r="K129" s="228">
        <v>0</v>
      </c>
      <c r="L129" s="228">
        <v>0</v>
      </c>
      <c r="M129" s="228">
        <v>0</v>
      </c>
      <c r="N129" s="228">
        <v>0</v>
      </c>
      <c r="O129" s="228">
        <f t="shared" si="51"/>
        <v>0</v>
      </c>
      <c r="P129" s="69">
        <v>-165153</v>
      </c>
      <c r="Q129" s="2">
        <v>0</v>
      </c>
      <c r="R129" s="69"/>
      <c r="S129" s="245">
        <f t="shared" si="49"/>
        <v>165153</v>
      </c>
      <c r="T129" s="229"/>
      <c r="U129" s="212"/>
      <c r="V129" s="212"/>
      <c r="W129" s="233"/>
      <c r="X129" s="60"/>
      <c r="Y129" s="60"/>
      <c r="Z129" s="60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61"/>
      <c r="BS129" s="61"/>
    </row>
    <row r="130" spans="1:71" ht="13.15" customHeight="1">
      <c r="A130" s="60">
        <v>25301</v>
      </c>
      <c r="B130" s="2" t="s">
        <v>278</v>
      </c>
      <c r="C130" s="232">
        <v>0</v>
      </c>
      <c r="D130" s="232">
        <v>0</v>
      </c>
      <c r="E130" s="232">
        <v>0</v>
      </c>
      <c r="F130" s="232">
        <v>0</v>
      </c>
      <c r="G130" s="232">
        <v>0</v>
      </c>
      <c r="H130" s="232">
        <v>0</v>
      </c>
      <c r="I130" s="232">
        <v>0</v>
      </c>
      <c r="J130" s="232">
        <v>0</v>
      </c>
      <c r="K130" s="232">
        <v>0</v>
      </c>
      <c r="L130" s="232">
        <v>0</v>
      </c>
      <c r="M130" s="232">
        <v>0</v>
      </c>
      <c r="N130" s="232">
        <v>0</v>
      </c>
      <c r="O130" s="232">
        <f t="shared" si="46"/>
        <v>0</v>
      </c>
      <c r="P130" s="245"/>
      <c r="Q130" s="2"/>
      <c r="R130" s="69">
        <v>1</v>
      </c>
      <c r="S130" s="245">
        <f t="shared" si="49"/>
        <v>0</v>
      </c>
      <c r="T130" s="229"/>
      <c r="U130" s="212"/>
      <c r="V130" s="212"/>
      <c r="W130" s="210"/>
      <c r="X130" s="60"/>
      <c r="Y130" s="60"/>
      <c r="Z130" s="60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61"/>
      <c r="BS130" s="61"/>
    </row>
    <row r="131" spans="1:71" ht="13.15" customHeight="1">
      <c r="A131" s="60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2"/>
      <c r="R131" s="69"/>
      <c r="S131" s="69"/>
      <c r="T131" s="229"/>
      <c r="U131" s="212"/>
      <c r="V131" s="212"/>
      <c r="W131" s="210"/>
      <c r="X131" s="60"/>
      <c r="Y131" s="60"/>
      <c r="Z131" s="60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61"/>
      <c r="BS131" s="61"/>
    </row>
    <row r="132" spans="1:71" ht="13.15" customHeight="1">
      <c r="A132" s="60"/>
      <c r="B132" s="234" t="s">
        <v>279</v>
      </c>
      <c r="C132" s="235">
        <f t="shared" ref="C132:Q132" si="52">SUM(C117:C130)</f>
        <v>34407.040000000001</v>
      </c>
      <c r="D132" s="235">
        <f t="shared" si="52"/>
        <v>34407.040000000001</v>
      </c>
      <c r="E132" s="235">
        <f t="shared" si="52"/>
        <v>-25292.578374328532</v>
      </c>
      <c r="F132" s="235">
        <f t="shared" si="52"/>
        <v>34407.040000000001</v>
      </c>
      <c r="G132" s="235">
        <f t="shared" si="52"/>
        <v>34407.040000000001</v>
      </c>
      <c r="H132" s="235">
        <f t="shared" si="52"/>
        <v>34407.040000000001</v>
      </c>
      <c r="I132" s="235">
        <f t="shared" si="52"/>
        <v>34407.040000000001</v>
      </c>
      <c r="J132" s="235">
        <f t="shared" si="52"/>
        <v>106378.49162567149</v>
      </c>
      <c r="K132" s="235">
        <f t="shared" si="52"/>
        <v>2446.5400000000009</v>
      </c>
      <c r="L132" s="235">
        <f t="shared" si="52"/>
        <v>-38554.651400000017</v>
      </c>
      <c r="M132" s="235">
        <f t="shared" si="52"/>
        <v>34407.040000000001</v>
      </c>
      <c r="N132" s="235">
        <f t="shared" si="52"/>
        <v>34407.040000000001</v>
      </c>
      <c r="O132" s="235">
        <f t="shared" si="52"/>
        <v>320234.1218513429</v>
      </c>
      <c r="P132" s="269">
        <f t="shared" si="52"/>
        <v>-16665649</v>
      </c>
      <c r="Q132" s="269">
        <f t="shared" si="52"/>
        <v>235245</v>
      </c>
      <c r="R132" s="69"/>
      <c r="S132" s="237">
        <f>SUM(S117:S130)</f>
        <v>16985883.12185134</v>
      </c>
      <c r="T132" s="241"/>
      <c r="U132" s="319"/>
      <c r="V132" s="241">
        <f>S132/O132</f>
        <v>53.04207753893391</v>
      </c>
      <c r="W132" s="210"/>
      <c r="X132" s="60"/>
      <c r="Y132" s="60"/>
      <c r="Z132" s="60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61"/>
      <c r="BS132" s="61"/>
    </row>
    <row r="133" spans="1:71" ht="13.15" customHeight="1">
      <c r="A133" s="60"/>
      <c r="B133" s="2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229"/>
      <c r="U133" s="212"/>
      <c r="V133" s="212"/>
      <c r="W133" s="210"/>
      <c r="X133" s="60"/>
      <c r="Y133" s="60"/>
      <c r="Z133" s="60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61"/>
      <c r="BS133" s="61"/>
    </row>
    <row r="134" spans="1:71" ht="13.15" customHeight="1">
      <c r="A134" s="2"/>
      <c r="B134" s="234" t="s">
        <v>280</v>
      </c>
      <c r="C134" s="235">
        <f t="shared" ref="C134:Q134" si="53">C105-(C112+C132)</f>
        <v>50149.661867130431</v>
      </c>
      <c r="D134" s="235">
        <f t="shared" si="53"/>
        <v>50586.661867130431</v>
      </c>
      <c r="E134" s="235">
        <f t="shared" si="53"/>
        <v>40905.210241458961</v>
      </c>
      <c r="F134" s="235">
        <f t="shared" si="53"/>
        <v>47775.051867130431</v>
      </c>
      <c r="G134" s="235">
        <f t="shared" si="53"/>
        <v>46883.31186713044</v>
      </c>
      <c r="H134" s="235">
        <f t="shared" si="53"/>
        <v>53033.31186713044</v>
      </c>
      <c r="I134" s="235">
        <f t="shared" si="53"/>
        <v>60669.052570498665</v>
      </c>
      <c r="J134" s="235">
        <f t="shared" si="53"/>
        <v>-10765.39905517282</v>
      </c>
      <c r="K134" s="235">
        <f t="shared" si="53"/>
        <v>92816.552570498665</v>
      </c>
      <c r="L134" s="235">
        <f t="shared" si="53"/>
        <v>5667.2125704986702</v>
      </c>
      <c r="M134" s="235">
        <f t="shared" si="53"/>
        <v>61838.292570498641</v>
      </c>
      <c r="N134" s="235">
        <f t="shared" si="53"/>
        <v>61484.292570498641</v>
      </c>
      <c r="O134" s="236">
        <f t="shared" si="53"/>
        <v>561043.21337443183</v>
      </c>
      <c r="P134" s="269">
        <f t="shared" si="53"/>
        <v>17594379.375</v>
      </c>
      <c r="Q134" s="269">
        <f t="shared" si="53"/>
        <v>780082</v>
      </c>
      <c r="R134" s="62"/>
      <c r="S134" s="237">
        <f>S105-(S112+S132)</f>
        <v>-15259879.686416985</v>
      </c>
      <c r="T134" s="241"/>
      <c r="U134" s="319"/>
      <c r="V134" s="241"/>
      <c r="W134" s="210"/>
      <c r="X134" s="60"/>
      <c r="Y134" s="60"/>
      <c r="Z134" s="60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61"/>
      <c r="BS134" s="61"/>
    </row>
    <row r="135" spans="1:71" ht="13.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29"/>
      <c r="Q135" s="229"/>
      <c r="R135" s="2"/>
      <c r="S135" s="2"/>
      <c r="T135" s="229"/>
      <c r="U135" s="212"/>
      <c r="V135" s="212"/>
      <c r="W135" s="210"/>
      <c r="X135" s="60"/>
      <c r="Y135" s="60"/>
      <c r="Z135" s="60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61"/>
      <c r="BS135" s="39"/>
    </row>
    <row r="136" spans="1:71" ht="13.15" customHeight="1">
      <c r="A136" s="2"/>
      <c r="B136" s="51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2"/>
      <c r="P136" s="250"/>
      <c r="Q136" s="250"/>
      <c r="R136" s="2"/>
      <c r="S136" s="2"/>
      <c r="T136" s="229"/>
      <c r="U136" s="212"/>
      <c r="V136" s="212"/>
      <c r="W136" s="210"/>
      <c r="X136" s="60"/>
      <c r="Y136" s="60"/>
      <c r="Z136" s="60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39"/>
      <c r="BS136" s="39"/>
    </row>
    <row r="137" spans="1:71" ht="13.15" customHeight="1">
      <c r="A137" s="60"/>
      <c r="B137" s="115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229"/>
      <c r="U137" s="209"/>
      <c r="V137" s="209"/>
      <c r="W137" s="320"/>
      <c r="X137" s="60"/>
      <c r="Y137" s="60"/>
      <c r="Z137" s="60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39"/>
      <c r="BS137" s="2"/>
    </row>
    <row r="138" spans="1:71" ht="13.15" customHeight="1">
      <c r="A138" s="60"/>
      <c r="B138" s="226"/>
      <c r="C138" s="62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229"/>
      <c r="U138" s="209"/>
      <c r="V138" s="209"/>
      <c r="W138" s="210"/>
      <c r="X138" s="60"/>
      <c r="Y138" s="60"/>
      <c r="Z138" s="60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61"/>
      <c r="BS138" s="2"/>
    </row>
    <row r="139" spans="1:71" ht="13.15" customHeight="1">
      <c r="A139" s="60"/>
      <c r="B139" s="2"/>
      <c r="C139" s="69"/>
      <c r="D139" s="69"/>
      <c r="E139" s="69"/>
      <c r="F139" s="69"/>
      <c r="G139" s="69"/>
      <c r="H139" s="69"/>
      <c r="I139" s="2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229"/>
      <c r="U139" s="209"/>
      <c r="V139" s="209"/>
      <c r="W139" s="210"/>
      <c r="X139" s="60"/>
      <c r="Y139" s="60"/>
      <c r="Z139" s="60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39"/>
      <c r="BS139" s="2"/>
    </row>
    <row r="140" spans="1:71" ht="13.15" customHeight="1">
      <c r="A140" s="60"/>
      <c r="B140" s="150"/>
      <c r="C140" s="62"/>
      <c r="D140" s="69"/>
      <c r="E140" s="69"/>
      <c r="F140" s="69"/>
      <c r="G140" s="69"/>
      <c r="H140" s="227"/>
      <c r="I140" s="150"/>
      <c r="J140" s="62"/>
      <c r="K140" s="69"/>
      <c r="L140" s="69"/>
      <c r="M140" s="69"/>
      <c r="N140" s="69"/>
      <c r="O140" s="150"/>
      <c r="P140" s="227"/>
      <c r="Q140" s="150"/>
      <c r="R140" s="62"/>
      <c r="S140" s="62"/>
      <c r="T140" s="69"/>
      <c r="U140" s="69"/>
      <c r="V140" s="69"/>
      <c r="W140" s="69"/>
      <c r="X140" s="60"/>
      <c r="Y140" s="60"/>
      <c r="Z140" s="60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39"/>
      <c r="BS140" s="2"/>
    </row>
    <row r="141" spans="1:71" ht="13.15" customHeight="1">
      <c r="A141" s="60"/>
      <c r="B141" s="226" t="s">
        <v>281</v>
      </c>
      <c r="C141" s="69">
        <f>C27*3%</f>
        <v>4208.0557624142612</v>
      </c>
      <c r="D141" s="69">
        <f t="shared" ref="D141:N141" si="54">D27*3%</f>
        <v>4208.0557624142612</v>
      </c>
      <c r="E141" s="69">
        <f t="shared" si="54"/>
        <v>4208.0557624142612</v>
      </c>
      <c r="F141" s="69">
        <f t="shared" si="54"/>
        <v>4215.1394899142606</v>
      </c>
      <c r="G141" s="69">
        <f t="shared" si="54"/>
        <v>4217.4229849142612</v>
      </c>
      <c r="H141" s="69">
        <f t="shared" si="54"/>
        <v>4217.4229849142612</v>
      </c>
      <c r="I141" s="69">
        <f t="shared" si="54"/>
        <v>4458.0030115428344</v>
      </c>
      <c r="J141" s="69">
        <f t="shared" si="54"/>
        <v>4458.0030115428344</v>
      </c>
      <c r="K141" s="69">
        <f t="shared" si="54"/>
        <v>4458.0030115428344</v>
      </c>
      <c r="L141" s="69">
        <f t="shared" si="54"/>
        <v>4472.6603065428344</v>
      </c>
      <c r="M141" s="69">
        <f t="shared" si="54"/>
        <v>4478.0593915428335</v>
      </c>
      <c r="N141" s="69">
        <f t="shared" si="54"/>
        <v>4481.487514042833</v>
      </c>
      <c r="O141" s="321">
        <f>SUM(C141:N141)</f>
        <v>52080.368993742581</v>
      </c>
      <c r="P141" s="69"/>
      <c r="Q141" s="226"/>
      <c r="R141" s="69"/>
      <c r="S141" s="69"/>
      <c r="T141" s="69"/>
      <c r="U141" s="69"/>
      <c r="V141" s="69"/>
      <c r="W141" s="69"/>
      <c r="X141" s="60"/>
      <c r="Y141" s="60"/>
      <c r="Z141" s="60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61"/>
      <c r="BS141" s="2"/>
    </row>
    <row r="142" spans="1:71" ht="13.15" customHeight="1">
      <c r="A142" s="60"/>
      <c r="B142" s="226" t="s">
        <v>282</v>
      </c>
      <c r="C142" s="69"/>
      <c r="D142" s="69"/>
      <c r="E142" s="69"/>
      <c r="F142" s="69"/>
      <c r="G142" s="69"/>
      <c r="H142" s="69"/>
      <c r="I142" s="226"/>
      <c r="J142" s="69"/>
      <c r="K142" s="69"/>
      <c r="L142" s="69"/>
      <c r="M142" s="69"/>
      <c r="N142" s="69"/>
      <c r="O142" s="226"/>
      <c r="P142" s="69"/>
      <c r="Q142" s="226"/>
      <c r="R142" s="69"/>
      <c r="S142" s="69"/>
      <c r="T142" s="69"/>
      <c r="U142" s="69"/>
      <c r="V142" s="69"/>
      <c r="W142" s="69"/>
      <c r="X142" s="60"/>
      <c r="Y142" s="60"/>
      <c r="Z142" s="60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61"/>
      <c r="BS142" s="2"/>
    </row>
    <row r="143" spans="1:71" ht="13.15" customHeight="1">
      <c r="A143" s="60"/>
      <c r="B143" s="226"/>
      <c r="C143" s="69"/>
      <c r="D143" s="69"/>
      <c r="E143" s="69"/>
      <c r="F143" s="69"/>
      <c r="G143" s="69"/>
      <c r="H143" s="69"/>
      <c r="I143" s="226"/>
      <c r="J143" s="69"/>
      <c r="K143" s="69"/>
      <c r="L143" s="69"/>
      <c r="M143" s="69"/>
      <c r="N143" s="69"/>
      <c r="O143" s="226"/>
      <c r="P143" s="69"/>
      <c r="Q143" s="226"/>
      <c r="R143" s="69"/>
      <c r="S143" s="69"/>
      <c r="T143" s="69"/>
      <c r="U143" s="69"/>
      <c r="V143" s="69"/>
      <c r="W143" s="69"/>
      <c r="X143" s="60"/>
      <c r="Y143" s="60"/>
      <c r="Z143" s="60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39"/>
      <c r="BS143" s="2"/>
    </row>
    <row r="144" spans="1:71" ht="13.15" customHeight="1">
      <c r="A144" s="60"/>
      <c r="B144" s="226"/>
      <c r="C144" s="69"/>
      <c r="D144" s="69"/>
      <c r="E144" s="69"/>
      <c r="F144" s="69"/>
      <c r="G144" s="69"/>
      <c r="H144" s="69"/>
      <c r="I144" s="226"/>
      <c r="J144" s="69"/>
      <c r="K144" s="69"/>
      <c r="L144" s="69"/>
      <c r="M144" s="69"/>
      <c r="N144" s="69"/>
      <c r="O144" s="226"/>
      <c r="P144" s="69"/>
      <c r="Q144" s="226"/>
      <c r="R144" s="69"/>
      <c r="S144" s="69"/>
      <c r="T144" s="69"/>
      <c r="U144" s="69"/>
      <c r="V144" s="69"/>
      <c r="W144" s="69"/>
      <c r="X144" s="60"/>
      <c r="Y144" s="60"/>
      <c r="Z144" s="60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39"/>
      <c r="BS144" s="2"/>
    </row>
    <row r="145" spans="1:23" ht="13.15" customHeight="1">
      <c r="A145" s="60"/>
      <c r="B145" s="226"/>
      <c r="C145" s="69"/>
      <c r="D145" s="69"/>
      <c r="E145" s="69"/>
      <c r="F145" s="69"/>
      <c r="G145" s="69"/>
      <c r="H145" s="69"/>
      <c r="I145" s="226"/>
      <c r="J145" s="69"/>
      <c r="K145" s="69"/>
      <c r="L145" s="69"/>
      <c r="M145" s="69"/>
      <c r="N145" s="69"/>
      <c r="O145" s="226"/>
      <c r="P145" s="69"/>
      <c r="Q145" s="226"/>
      <c r="R145" s="69"/>
      <c r="S145" s="69"/>
      <c r="T145" s="69"/>
      <c r="U145" s="69"/>
      <c r="V145" s="69"/>
      <c r="W145" s="69"/>
    </row>
    <row r="146" spans="1:23" ht="13.15" customHeight="1">
      <c r="A146" s="60"/>
      <c r="B146" s="226"/>
      <c r="C146" s="69"/>
      <c r="D146" s="69"/>
      <c r="E146" s="69"/>
      <c r="F146" s="69"/>
      <c r="G146" s="69"/>
      <c r="H146" s="69"/>
      <c r="I146" s="226"/>
      <c r="J146" s="69"/>
      <c r="K146" s="69"/>
      <c r="L146" s="69"/>
      <c r="M146" s="69"/>
      <c r="N146" s="69"/>
      <c r="O146" s="226"/>
      <c r="P146" s="69"/>
      <c r="Q146" s="226"/>
      <c r="R146" s="69"/>
      <c r="S146" s="69"/>
      <c r="T146" s="69"/>
      <c r="U146" s="69"/>
      <c r="V146" s="69"/>
      <c r="W146" s="69"/>
    </row>
    <row r="147" spans="1:23" ht="13.15" customHeight="1">
      <c r="A147" s="60"/>
      <c r="B147" s="226"/>
      <c r="C147" s="69"/>
      <c r="D147" s="69"/>
      <c r="E147" s="322"/>
      <c r="F147" s="323"/>
      <c r="G147" s="69"/>
      <c r="H147" s="69"/>
      <c r="I147" s="226"/>
      <c r="J147" s="69"/>
      <c r="K147" s="69"/>
      <c r="L147" s="322"/>
      <c r="M147" s="323"/>
      <c r="N147" s="69"/>
      <c r="O147" s="226"/>
      <c r="P147" s="69"/>
      <c r="Q147" s="226"/>
      <c r="R147" s="69"/>
      <c r="S147" s="69"/>
      <c r="T147" s="69"/>
      <c r="U147" s="322"/>
      <c r="V147" s="322"/>
      <c r="W147" s="323"/>
    </row>
    <row r="148" spans="1:23" ht="13.15" customHeight="1">
      <c r="A148" s="2"/>
      <c r="B148" s="226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229"/>
      <c r="U148" s="209"/>
      <c r="V148" s="209"/>
      <c r="W148" s="210"/>
    </row>
    <row r="149" spans="1:23" ht="13.15" customHeight="1">
      <c r="A149" s="2"/>
      <c r="B149" s="150"/>
      <c r="C149" s="62"/>
      <c r="D149" s="69"/>
      <c r="E149" s="69"/>
      <c r="F149" s="69"/>
      <c r="G149" s="61"/>
      <c r="H149" s="227"/>
      <c r="I149" s="150"/>
      <c r="J149" s="62"/>
      <c r="K149" s="69"/>
      <c r="L149" s="69"/>
      <c r="M149" s="69"/>
      <c r="N149" s="61"/>
      <c r="O149" s="61"/>
      <c r="P149" s="61"/>
      <c r="Q149" s="61"/>
      <c r="R149" s="61"/>
      <c r="S149" s="61"/>
      <c r="T149" s="229"/>
      <c r="U149" s="209"/>
      <c r="V149" s="209"/>
      <c r="W149" s="210"/>
    </row>
    <row r="150" spans="1:23" ht="13.15" customHeight="1">
      <c r="A150" s="227"/>
      <c r="B150" s="226"/>
      <c r="C150" s="69"/>
      <c r="D150" s="69"/>
      <c r="E150" s="69"/>
      <c r="F150" s="69"/>
      <c r="G150" s="61"/>
      <c r="H150" s="69"/>
      <c r="I150" s="226"/>
      <c r="J150" s="69"/>
      <c r="K150" s="69"/>
      <c r="L150" s="69"/>
      <c r="M150" s="69"/>
      <c r="N150" s="61"/>
      <c r="O150" s="61"/>
      <c r="P150" s="61"/>
      <c r="Q150" s="61"/>
      <c r="R150" s="61"/>
      <c r="S150" s="61"/>
      <c r="T150" s="229"/>
      <c r="U150" s="209"/>
      <c r="V150" s="209"/>
      <c r="W150" s="210"/>
    </row>
    <row r="151" spans="1:23" ht="13.15" customHeight="1">
      <c r="A151" s="69"/>
      <c r="B151" s="226"/>
      <c r="C151" s="69"/>
      <c r="D151" s="69"/>
      <c r="E151" s="69"/>
      <c r="F151" s="69"/>
      <c r="G151" s="61"/>
      <c r="H151" s="69"/>
      <c r="I151" s="226"/>
      <c r="J151" s="69"/>
      <c r="K151" s="69"/>
      <c r="L151" s="69"/>
      <c r="M151" s="69"/>
      <c r="N151" s="61"/>
      <c r="O151" s="61"/>
      <c r="P151" s="61"/>
      <c r="Q151" s="61"/>
      <c r="R151" s="61"/>
      <c r="S151" s="61"/>
      <c r="T151" s="229"/>
      <c r="U151" s="209"/>
      <c r="V151" s="209"/>
      <c r="W151" s="210"/>
    </row>
    <row r="152" spans="1:23" ht="13.15" customHeight="1">
      <c r="A152" s="69"/>
      <c r="B152" s="226"/>
      <c r="C152" s="69"/>
      <c r="D152" s="69"/>
      <c r="E152" s="69"/>
      <c r="F152" s="69"/>
      <c r="G152" s="61"/>
      <c r="H152" s="69"/>
      <c r="I152" s="226"/>
      <c r="J152" s="69"/>
      <c r="K152" s="69"/>
      <c r="L152" s="69"/>
      <c r="M152" s="69"/>
      <c r="N152" s="61"/>
      <c r="O152" s="61"/>
      <c r="P152" s="61"/>
      <c r="Q152" s="61"/>
      <c r="R152" s="61"/>
      <c r="S152" s="61"/>
      <c r="T152" s="229"/>
      <c r="U152" s="209"/>
      <c r="V152" s="209"/>
      <c r="W152" s="210"/>
    </row>
    <row r="153" spans="1:23" ht="13.15" customHeight="1">
      <c r="A153" s="69"/>
      <c r="B153" s="226"/>
      <c r="C153" s="69"/>
      <c r="D153" s="69"/>
      <c r="E153" s="69"/>
      <c r="F153" s="69"/>
      <c r="G153" s="61"/>
      <c r="H153" s="69"/>
      <c r="I153" s="226"/>
      <c r="J153" s="69"/>
      <c r="K153" s="69"/>
      <c r="L153" s="69"/>
      <c r="M153" s="69"/>
      <c r="N153" s="61"/>
      <c r="O153" s="61"/>
      <c r="P153" s="61"/>
      <c r="Q153" s="61"/>
      <c r="R153" s="61"/>
      <c r="S153" s="61"/>
      <c r="T153" s="229"/>
      <c r="U153" s="209"/>
      <c r="V153" s="209"/>
      <c r="W153" s="210"/>
    </row>
    <row r="154" spans="1:23" ht="13.15" customHeight="1">
      <c r="A154" s="69"/>
      <c r="B154" s="226"/>
      <c r="C154" s="69"/>
      <c r="D154" s="227"/>
      <c r="E154" s="227"/>
      <c r="F154" s="322"/>
      <c r="G154" s="324"/>
      <c r="H154" s="69"/>
      <c r="I154" s="226"/>
      <c r="J154" s="69"/>
      <c r="K154" s="227"/>
      <c r="L154" s="227"/>
      <c r="M154" s="322"/>
      <c r="N154" s="324"/>
      <c r="O154" s="61"/>
      <c r="P154" s="61"/>
      <c r="Q154" s="61"/>
      <c r="R154" s="61"/>
      <c r="S154" s="61"/>
      <c r="T154" s="229"/>
      <c r="U154" s="209"/>
      <c r="V154" s="209"/>
      <c r="W154" s="210"/>
    </row>
    <row r="155" spans="1:23" ht="13.15" customHeight="1">
      <c r="A155" s="69"/>
      <c r="B155" s="226"/>
      <c r="C155" s="69"/>
      <c r="D155" s="69"/>
      <c r="E155" s="69"/>
      <c r="F155" s="69"/>
      <c r="G155" s="61"/>
      <c r="H155" s="69"/>
      <c r="I155" s="226"/>
      <c r="J155" s="69"/>
      <c r="K155" s="69"/>
      <c r="L155" s="69"/>
      <c r="M155" s="69"/>
      <c r="N155" s="61"/>
      <c r="O155" s="61"/>
      <c r="P155" s="61"/>
      <c r="Q155" s="61"/>
      <c r="R155" s="61"/>
      <c r="S155" s="61"/>
      <c r="T155" s="229"/>
      <c r="U155" s="209"/>
      <c r="V155" s="209"/>
      <c r="W155" s="210"/>
    </row>
    <row r="156" spans="1:23" ht="13.15" customHeight="1">
      <c r="A156" s="69"/>
      <c r="B156" s="226"/>
      <c r="C156" s="69"/>
      <c r="D156" s="69"/>
      <c r="E156" s="322"/>
      <c r="F156" s="323"/>
      <c r="G156" s="61"/>
      <c r="H156" s="69"/>
      <c r="I156" s="226"/>
      <c r="J156" s="69"/>
      <c r="K156" s="69"/>
      <c r="L156" s="322"/>
      <c r="M156" s="323"/>
      <c r="N156" s="61"/>
      <c r="O156" s="61"/>
      <c r="P156" s="61"/>
      <c r="Q156" s="61"/>
      <c r="R156" s="61"/>
      <c r="S156" s="61"/>
      <c r="T156" s="229"/>
      <c r="U156" s="209"/>
      <c r="V156" s="209"/>
      <c r="W156" s="210"/>
    </row>
    <row r="157" spans="1:23" ht="13.15" customHeight="1">
      <c r="A157" s="69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229"/>
      <c r="U157" s="209"/>
      <c r="V157" s="209"/>
      <c r="W157" s="210"/>
    </row>
    <row r="158" spans="1:23" ht="13.15" customHeight="1">
      <c r="A158" s="2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229"/>
      <c r="U158" s="209"/>
      <c r="V158" s="209"/>
      <c r="W158" s="210"/>
    </row>
    <row r="159" spans="1:23" ht="13.15" customHeight="1">
      <c r="A159" s="2"/>
      <c r="B159" s="150"/>
      <c r="C159" s="62"/>
      <c r="D159" s="227"/>
      <c r="E159" s="227"/>
      <c r="F159" s="322"/>
      <c r="G159" s="324"/>
      <c r="H159" s="61"/>
      <c r="I159" s="150"/>
      <c r="J159" s="62"/>
      <c r="K159" s="227"/>
      <c r="L159" s="227"/>
      <c r="M159" s="322"/>
      <c r="N159" s="324"/>
      <c r="O159" s="61"/>
      <c r="P159" s="61"/>
      <c r="Q159" s="61"/>
      <c r="R159" s="61"/>
      <c r="S159" s="61"/>
      <c r="T159" s="229"/>
      <c r="U159" s="209"/>
      <c r="V159" s="209"/>
      <c r="W159" s="210"/>
    </row>
    <row r="160" spans="1:23" ht="13.15" customHeight="1">
      <c r="A160" s="2"/>
      <c r="B160" s="226"/>
      <c r="C160" s="69"/>
      <c r="D160" s="227"/>
      <c r="E160" s="322"/>
      <c r="F160" s="323"/>
      <c r="G160" s="324"/>
      <c r="H160" s="61"/>
      <c r="I160" s="226"/>
      <c r="J160" s="69"/>
      <c r="K160" s="227"/>
      <c r="L160" s="322"/>
      <c r="M160" s="323"/>
      <c r="N160" s="324"/>
      <c r="O160" s="61"/>
      <c r="P160" s="61"/>
      <c r="Q160" s="61"/>
      <c r="R160" s="61"/>
      <c r="S160" s="61"/>
      <c r="T160" s="229"/>
      <c r="U160" s="209"/>
      <c r="V160" s="209"/>
      <c r="W160" s="210"/>
    </row>
    <row r="161" spans="2:65" ht="13.15" customHeight="1">
      <c r="B161" s="226"/>
      <c r="C161" s="69"/>
      <c r="D161" s="69"/>
      <c r="E161" s="69"/>
      <c r="F161" s="69"/>
      <c r="G161" s="61"/>
      <c r="H161" s="61"/>
      <c r="I161" s="226"/>
      <c r="J161" s="69"/>
      <c r="K161" s="69"/>
      <c r="L161" s="69"/>
      <c r="M161" s="69"/>
      <c r="N161" s="61"/>
      <c r="O161" s="61"/>
      <c r="P161" s="61"/>
      <c r="Q161" s="61"/>
      <c r="R161" s="61"/>
      <c r="S161" s="61"/>
      <c r="T161" s="229"/>
      <c r="U161" s="209"/>
      <c r="V161" s="209"/>
      <c r="W161" s="210"/>
      <c r="X161" s="60"/>
      <c r="Y161" s="60"/>
      <c r="Z161" s="60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</row>
    <row r="162" spans="2:65" ht="13.15" customHeight="1">
      <c r="B162" s="226" t="s">
        <v>283</v>
      </c>
      <c r="C162" s="69">
        <f>Rent!K29</f>
        <v>6190.3</v>
      </c>
      <c r="D162" s="69">
        <f>C162*12</f>
        <v>74283.600000000006</v>
      </c>
      <c r="E162" s="69"/>
      <c r="F162" s="69"/>
      <c r="G162" s="61"/>
      <c r="H162" s="61"/>
      <c r="I162" s="226"/>
      <c r="J162" s="69"/>
      <c r="K162" s="69"/>
      <c r="L162" s="69"/>
      <c r="M162" s="69"/>
      <c r="N162" s="61"/>
      <c r="O162" s="61"/>
      <c r="P162" s="61"/>
      <c r="Q162" s="61"/>
      <c r="R162" s="61"/>
      <c r="S162" s="61"/>
      <c r="T162" s="229"/>
      <c r="U162" s="209"/>
      <c r="V162" s="209"/>
      <c r="W162" s="210"/>
      <c r="X162" s="60"/>
      <c r="Y162" s="60"/>
      <c r="Z162" s="60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</row>
    <row r="163" spans="2:65" ht="13.15" customHeight="1">
      <c r="B163" s="226"/>
      <c r="C163" s="69">
        <f>C162*103%</f>
        <v>6376.009</v>
      </c>
      <c r="D163" s="69">
        <f t="shared" ref="D163:D166" si="55">C163*12</f>
        <v>76512.108000000007</v>
      </c>
      <c r="E163" s="69"/>
      <c r="F163" s="69"/>
      <c r="G163" s="61"/>
      <c r="H163" s="61"/>
      <c r="I163" s="226"/>
      <c r="J163" s="69"/>
      <c r="K163" s="69"/>
      <c r="L163" s="69"/>
      <c r="M163" s="69"/>
      <c r="N163" s="61"/>
      <c r="O163" s="61"/>
      <c r="P163" s="61"/>
      <c r="Q163" s="61"/>
      <c r="R163" s="61"/>
      <c r="S163" s="61"/>
      <c r="T163" s="229"/>
      <c r="U163" s="209"/>
      <c r="V163" s="209"/>
      <c r="W163" s="210"/>
      <c r="X163" s="60"/>
      <c r="Y163" s="60"/>
      <c r="Z163" s="60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 spans="2:65" ht="13.15" customHeight="1">
      <c r="B164" s="226"/>
      <c r="C164" s="69">
        <f t="shared" ref="C164:C166" si="56">C163*103%</f>
        <v>6567.2892700000002</v>
      </c>
      <c r="D164" s="69">
        <f t="shared" si="55"/>
        <v>78807.471239999999</v>
      </c>
      <c r="E164" s="69"/>
      <c r="F164" s="69"/>
      <c r="G164" s="61"/>
      <c r="H164" s="61"/>
      <c r="I164" s="226"/>
      <c r="J164" s="69"/>
      <c r="K164" s="69"/>
      <c r="L164" s="69"/>
      <c r="M164" s="69"/>
      <c r="N164" s="61"/>
      <c r="O164" s="61"/>
      <c r="P164" s="61"/>
      <c r="Q164" s="61"/>
      <c r="R164" s="61"/>
      <c r="S164" s="61"/>
      <c r="T164" s="229"/>
      <c r="U164" s="209"/>
      <c r="V164" s="209"/>
      <c r="W164" s="210"/>
      <c r="X164" s="60"/>
      <c r="Y164" s="60"/>
      <c r="Z164" s="60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 spans="2:65" ht="13.15" customHeight="1">
      <c r="B165" s="226"/>
      <c r="C165" s="69">
        <f t="shared" si="56"/>
        <v>6764.3079481000004</v>
      </c>
      <c r="D165" s="69">
        <f t="shared" si="55"/>
        <v>81171.695377199998</v>
      </c>
      <c r="E165" s="69"/>
      <c r="F165" s="69"/>
      <c r="G165" s="61"/>
      <c r="H165" s="61"/>
      <c r="I165" s="226"/>
      <c r="J165" s="69"/>
      <c r="K165" s="69"/>
      <c r="L165" s="69"/>
      <c r="M165" s="69"/>
      <c r="N165" s="61"/>
      <c r="O165" s="61"/>
      <c r="P165" s="61"/>
      <c r="Q165" s="61"/>
      <c r="R165" s="61"/>
      <c r="S165" s="61"/>
      <c r="T165" s="229"/>
      <c r="U165" s="212"/>
      <c r="V165" s="212"/>
      <c r="W165" s="210"/>
      <c r="X165" s="60"/>
      <c r="Y165" s="60"/>
      <c r="Z165" s="60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 spans="2:65">
      <c r="B166" s="226"/>
      <c r="C166" s="69">
        <f t="shared" si="56"/>
        <v>6967.2371865430005</v>
      </c>
      <c r="D166" s="69">
        <f t="shared" si="55"/>
        <v>83606.846238516009</v>
      </c>
      <c r="E166" s="322"/>
      <c r="F166" s="323"/>
      <c r="G166" s="2"/>
      <c r="H166" s="2"/>
      <c r="I166" s="226"/>
      <c r="J166" s="69"/>
      <c r="K166" s="69"/>
      <c r="L166" s="322"/>
      <c r="M166" s="323"/>
      <c r="N166" s="2"/>
      <c r="O166" s="2"/>
      <c r="P166" s="2"/>
      <c r="Q166" s="2"/>
      <c r="R166" s="2"/>
      <c r="S166" s="2"/>
      <c r="T166" s="229"/>
      <c r="U166" s="212"/>
      <c r="V166" s="212"/>
      <c r="W166" s="210"/>
      <c r="X166" s="60"/>
      <c r="Y166" s="60"/>
      <c r="Z166" s="60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 spans="2:65">
      <c r="B167" s="2"/>
      <c r="C167" s="2"/>
      <c r="D167" s="250">
        <f>SUM(D162:D166)</f>
        <v>394381.72085571603</v>
      </c>
      <c r="E167" s="325">
        <v>0.06</v>
      </c>
      <c r="F167" s="250">
        <f>E167*D167</f>
        <v>23662.903251342963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29"/>
      <c r="U167" s="212"/>
      <c r="V167" s="212"/>
      <c r="W167" s="210"/>
      <c r="X167" s="60"/>
      <c r="Y167" s="60"/>
      <c r="Z167" s="60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 spans="2:6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29"/>
      <c r="U168" s="212"/>
      <c r="V168" s="212"/>
      <c r="W168" s="210"/>
      <c r="X168" s="60"/>
      <c r="Y168" s="60"/>
      <c r="Z168" s="60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 spans="2:65" ht="13.15" customHeight="1">
      <c r="B169" s="2"/>
      <c r="C169" s="2"/>
      <c r="D169" s="2"/>
      <c r="E169" s="2"/>
      <c r="F169" s="2"/>
      <c r="G169" s="2"/>
      <c r="H169" s="2"/>
      <c r="I169" s="6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29"/>
      <c r="U169" s="212"/>
      <c r="V169" s="212"/>
      <c r="W169" s="210"/>
      <c r="X169" s="60"/>
      <c r="Y169" s="60"/>
      <c r="Z169" s="60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39" t="s">
        <v>47</v>
      </c>
      <c r="BM169" s="39" t="s">
        <v>47</v>
      </c>
    </row>
    <row r="170" spans="2:65" ht="13.1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29"/>
      <c r="U170" s="212"/>
      <c r="V170" s="212"/>
      <c r="W170" s="210"/>
      <c r="X170" s="60"/>
      <c r="Y170" s="60"/>
      <c r="Z170" s="60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39" t="s">
        <v>47</v>
      </c>
      <c r="BM170" s="39" t="s">
        <v>47</v>
      </c>
    </row>
    <row r="171" spans="2:65" ht="13.1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29"/>
      <c r="U171" s="212"/>
      <c r="V171" s="212"/>
      <c r="W171" s="210"/>
      <c r="X171" s="60"/>
      <c r="Y171" s="60"/>
      <c r="Z171" s="60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 spans="2:65" ht="13.1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29"/>
      <c r="U172" s="212"/>
      <c r="V172" s="212"/>
      <c r="W172" s="210"/>
      <c r="X172" s="60"/>
      <c r="Y172" s="60"/>
      <c r="Z172" s="60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 spans="2:65" ht="13.1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29"/>
      <c r="U173" s="212"/>
      <c r="V173" s="212"/>
      <c r="W173" s="210"/>
      <c r="X173" s="60"/>
      <c r="Y173" s="60"/>
      <c r="Z173" s="60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 spans="2:65" ht="13.1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29"/>
      <c r="U174" s="212"/>
      <c r="V174" s="212"/>
      <c r="W174" s="210"/>
      <c r="X174" s="60"/>
      <c r="Y174" s="60"/>
      <c r="Z174" s="60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 spans="2:65" ht="13.1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29"/>
      <c r="U175" s="212"/>
      <c r="V175" s="212"/>
      <c r="W175" s="210"/>
      <c r="X175" s="60"/>
      <c r="Y175" s="60"/>
      <c r="Z175" s="60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29"/>
      <c r="BF175" s="2"/>
      <c r="BG175" s="2"/>
      <c r="BH175" s="2"/>
      <c r="BI175" s="2"/>
      <c r="BJ175" s="2"/>
      <c r="BK175" s="2"/>
      <c r="BL175" s="2"/>
      <c r="BM175" s="2"/>
    </row>
    <row r="176" spans="2:65" ht="13.1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29"/>
      <c r="U176" s="212"/>
      <c r="V176" s="212"/>
      <c r="W176" s="210"/>
      <c r="X176" s="60"/>
      <c r="Y176" s="60"/>
      <c r="Z176" s="60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 spans="20:71" ht="13.15" customHeight="1">
      <c r="T177" s="229"/>
      <c r="U177" s="212"/>
      <c r="V177" s="212"/>
      <c r="W177" s="210"/>
      <c r="X177" s="60"/>
      <c r="Y177" s="60"/>
      <c r="Z177" s="60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</row>
    <row r="178" spans="20:71" ht="13.15" customHeight="1">
      <c r="T178" s="229"/>
      <c r="U178" s="212"/>
      <c r="V178" s="212"/>
      <c r="W178" s="210"/>
      <c r="X178" s="60"/>
      <c r="Y178" s="60"/>
      <c r="Z178" s="60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 spans="20:71">
      <c r="T179" s="229"/>
      <c r="U179" s="212"/>
      <c r="V179" s="212"/>
      <c r="W179" s="210"/>
      <c r="X179" s="60"/>
      <c r="Y179" s="60"/>
      <c r="Z179" s="60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</row>
    <row r="180" spans="20:71" ht="13.15" customHeight="1">
      <c r="T180" s="229"/>
      <c r="U180" s="212"/>
      <c r="V180" s="212"/>
      <c r="W180" s="210"/>
      <c r="X180" s="60"/>
      <c r="Y180" s="60"/>
      <c r="Z180" s="60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40" t="s">
        <v>47</v>
      </c>
    </row>
    <row r="181" spans="20:71" ht="13.15" customHeight="1">
      <c r="T181" s="229"/>
      <c r="U181" s="212"/>
      <c r="V181" s="212"/>
      <c r="W181" s="210"/>
      <c r="X181" s="60"/>
      <c r="Y181" s="60"/>
      <c r="Z181" s="60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40" t="s">
        <v>47</v>
      </c>
    </row>
    <row r="182" spans="20:71" ht="13.15" customHeight="1">
      <c r="T182" s="229"/>
      <c r="U182" s="212"/>
      <c r="V182" s="212"/>
      <c r="W182" s="210"/>
      <c r="X182" s="60"/>
      <c r="Y182" s="60"/>
      <c r="Z182" s="60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60"/>
    </row>
    <row r="183" spans="20:71" ht="13.15" customHeight="1">
      <c r="T183" s="229"/>
      <c r="U183" s="212"/>
      <c r="V183" s="212"/>
      <c r="W183" s="210"/>
      <c r="X183" s="60"/>
      <c r="Y183" s="60"/>
      <c r="Z183" s="60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60"/>
    </row>
    <row r="184" spans="20:71" ht="13.15" customHeight="1">
      <c r="T184" s="229"/>
      <c r="U184" s="212"/>
      <c r="V184" s="212"/>
      <c r="W184" s="210"/>
      <c r="X184" s="60"/>
      <c r="Y184" s="60"/>
      <c r="Z184" s="60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60"/>
    </row>
    <row r="185" spans="20:71" ht="13.15" customHeight="1">
      <c r="T185" s="229"/>
      <c r="U185" s="212"/>
      <c r="V185" s="212"/>
      <c r="W185" s="210"/>
      <c r="X185" s="60"/>
      <c r="Y185" s="60"/>
      <c r="Z185" s="60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60"/>
    </row>
    <row r="186" spans="20:71">
      <c r="T186" s="229"/>
      <c r="U186" s="212"/>
      <c r="V186" s="212"/>
      <c r="W186" s="210"/>
      <c r="X186" s="60"/>
      <c r="Y186" s="60"/>
      <c r="Z186" s="60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</row>
    <row r="187" spans="20:71">
      <c r="T187" s="229"/>
      <c r="U187" s="212"/>
      <c r="V187" s="212"/>
      <c r="W187" s="210"/>
      <c r="X187" s="60"/>
      <c r="Y187" s="60"/>
      <c r="Z187" s="60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 spans="20:71">
      <c r="T188" s="229"/>
      <c r="U188" s="212"/>
      <c r="V188" s="212"/>
      <c r="W188" s="210"/>
      <c r="X188" s="60"/>
      <c r="Y188" s="60"/>
      <c r="Z188" s="60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</row>
    <row r="189" spans="20:71">
      <c r="T189" s="229"/>
      <c r="U189" s="212"/>
      <c r="V189" s="212"/>
      <c r="W189" s="210"/>
      <c r="X189" s="60"/>
      <c r="Y189" s="60"/>
      <c r="Z189" s="60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 spans="20:71">
      <c r="T190" s="229"/>
      <c r="U190" s="212"/>
      <c r="V190" s="212"/>
      <c r="W190" s="210"/>
      <c r="X190" s="60"/>
      <c r="Y190" s="60"/>
      <c r="Z190" s="60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</row>
    <row r="191" spans="20:71">
      <c r="T191" s="229"/>
      <c r="U191" s="212"/>
      <c r="V191" s="212"/>
      <c r="W191" s="210"/>
      <c r="X191" s="60"/>
      <c r="Y191" s="60"/>
      <c r="Z191" s="60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 spans="20:71">
      <c r="T192" s="229"/>
      <c r="U192" s="212"/>
      <c r="V192" s="212"/>
      <c r="W192" s="210"/>
      <c r="X192" s="60"/>
      <c r="Y192" s="60"/>
      <c r="Z192" s="60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</row>
    <row r="193" spans="17:20">
      <c r="Q193" s="2"/>
      <c r="R193" s="2"/>
      <c r="S193" s="2"/>
      <c r="T193" s="229"/>
    </row>
    <row r="194" spans="17:20">
      <c r="Q194" s="2"/>
      <c r="R194" s="2"/>
      <c r="S194" s="2"/>
      <c r="T194" s="229"/>
    </row>
    <row r="195" spans="17:20">
      <c r="Q195" s="2"/>
      <c r="R195" s="2"/>
      <c r="S195" s="2"/>
      <c r="T195" s="229"/>
    </row>
    <row r="196" spans="17:20">
      <c r="Q196" s="2"/>
      <c r="R196" s="2"/>
      <c r="S196" s="2"/>
      <c r="T196" s="229"/>
    </row>
    <row r="197" spans="17:20">
      <c r="Q197" s="2"/>
      <c r="R197" s="2"/>
      <c r="S197" s="2"/>
      <c r="T197" s="229"/>
    </row>
    <row r="198" spans="17:20">
      <c r="Q198" s="2"/>
      <c r="R198" s="2"/>
      <c r="S198" s="2"/>
      <c r="T198" s="229"/>
    </row>
    <row r="199" spans="17:20">
      <c r="Q199" s="2"/>
      <c r="R199" s="2"/>
      <c r="S199" s="2"/>
      <c r="T199" s="229"/>
    </row>
    <row r="200" spans="17:20">
      <c r="Q200" s="2"/>
      <c r="R200" s="2"/>
      <c r="S200" s="2"/>
      <c r="T200" s="229"/>
    </row>
    <row r="201" spans="17:20">
      <c r="Q201" s="2"/>
      <c r="R201" s="2"/>
      <c r="S201" s="2"/>
      <c r="T201" s="229"/>
    </row>
    <row r="202" spans="17:20">
      <c r="Q202" s="2"/>
      <c r="R202" s="2"/>
      <c r="S202" s="2"/>
      <c r="T202" s="229"/>
    </row>
    <row r="203" spans="17:20">
      <c r="Q203" s="2"/>
      <c r="R203" s="2"/>
      <c r="S203" s="2"/>
      <c r="T203" s="229"/>
    </row>
    <row r="204" spans="17:20">
      <c r="Q204" s="2"/>
      <c r="R204" s="2"/>
      <c r="S204" s="2"/>
      <c r="T204" s="229"/>
    </row>
    <row r="205" spans="17:20">
      <c r="Q205" s="2"/>
      <c r="R205" s="2"/>
      <c r="S205" s="2"/>
      <c r="T205" s="229"/>
    </row>
    <row r="206" spans="17:20">
      <c r="Q206" s="165"/>
      <c r="R206" s="2"/>
      <c r="S206" s="2"/>
      <c r="T206" s="229"/>
    </row>
    <row r="207" spans="17:20">
      <c r="Q207" s="165"/>
      <c r="R207" s="2"/>
      <c r="S207" s="2"/>
      <c r="T207" s="229"/>
    </row>
    <row r="208" spans="17:20">
      <c r="Q208" s="165"/>
      <c r="R208" s="2"/>
      <c r="S208" s="2"/>
      <c r="T208" s="229"/>
    </row>
    <row r="209" spans="17:20">
      <c r="Q209" s="165"/>
      <c r="R209" s="2"/>
      <c r="S209" s="2"/>
      <c r="T209" s="229"/>
    </row>
    <row r="210" spans="17:20">
      <c r="Q210" s="165"/>
      <c r="R210" s="2"/>
      <c r="S210" s="2"/>
      <c r="T210" s="229"/>
    </row>
    <row r="211" spans="17:20">
      <c r="Q211" s="165"/>
      <c r="R211" s="2"/>
      <c r="S211" s="2"/>
      <c r="T211" s="229"/>
    </row>
    <row r="212" spans="17:20">
      <c r="Q212" s="165"/>
      <c r="R212" s="2"/>
      <c r="S212" s="2"/>
      <c r="T212" s="229"/>
    </row>
    <row r="213" spans="17:20">
      <c r="Q213" s="165"/>
      <c r="R213" s="2"/>
      <c r="S213" s="2"/>
      <c r="T213" s="229"/>
    </row>
    <row r="214" spans="17:20">
      <c r="Q214" s="165"/>
      <c r="R214" s="2"/>
      <c r="S214" s="2"/>
      <c r="T214" s="229"/>
    </row>
    <row r="215" spans="17:20">
      <c r="Q215" s="165"/>
      <c r="R215" s="2"/>
      <c r="S215" s="2"/>
      <c r="T215" s="229"/>
    </row>
    <row r="216" spans="17:20">
      <c r="Q216" s="165"/>
      <c r="R216" s="2"/>
      <c r="S216" s="2"/>
      <c r="T216" s="229"/>
    </row>
    <row r="217" spans="17:20">
      <c r="Q217" s="165"/>
      <c r="R217" s="2"/>
      <c r="S217" s="2"/>
      <c r="T217" s="229"/>
    </row>
    <row r="218" spans="17:20">
      <c r="Q218" s="165"/>
      <c r="R218" s="2"/>
      <c r="S218" s="2"/>
      <c r="T218" s="229"/>
    </row>
    <row r="219" spans="17:20">
      <c r="Q219" s="165"/>
      <c r="R219" s="2"/>
      <c r="S219" s="2"/>
      <c r="T219" s="229"/>
    </row>
    <row r="220" spans="17:20">
      <c r="Q220" s="165"/>
      <c r="R220" s="2"/>
      <c r="S220" s="2"/>
      <c r="T220" s="229"/>
    </row>
    <row r="221" spans="17:20">
      <c r="Q221" s="165"/>
      <c r="R221" s="2"/>
      <c r="S221" s="2"/>
      <c r="T221" s="229"/>
    </row>
    <row r="222" spans="17:20">
      <c r="Q222" s="165"/>
      <c r="R222" s="2"/>
      <c r="S222" s="2"/>
      <c r="T222" s="229"/>
    </row>
    <row r="223" spans="17:20">
      <c r="Q223" s="165"/>
      <c r="R223" s="2"/>
      <c r="S223" s="2"/>
      <c r="T223" s="229"/>
    </row>
    <row r="224" spans="17:20">
      <c r="Q224" s="165"/>
      <c r="R224" s="2"/>
      <c r="S224" s="2"/>
      <c r="T224" s="2"/>
    </row>
    <row r="225" spans="17:17">
      <c r="Q225" s="165"/>
    </row>
    <row r="226" spans="17:17">
      <c r="Q226" s="165"/>
    </row>
    <row r="227" spans="17:17">
      <c r="Q227" s="165"/>
    </row>
    <row r="228" spans="17:17">
      <c r="Q228" s="165"/>
    </row>
    <row r="229" spans="17:17">
      <c r="Q229" s="165"/>
    </row>
    <row r="230" spans="17:17">
      <c r="Q230" s="165"/>
    </row>
    <row r="231" spans="17:17">
      <c r="Q231" s="165"/>
    </row>
    <row r="232" spans="17:17">
      <c r="Q232" s="165"/>
    </row>
    <row r="233" spans="17:17">
      <c r="Q233" s="165"/>
    </row>
    <row r="234" spans="17:17">
      <c r="Q234" s="165"/>
    </row>
    <row r="235" spans="17:17">
      <c r="Q235" s="165"/>
    </row>
  </sheetData>
  <customSheetViews>
    <customSheetView guid="{7691FA39-7EA9-407C-9567-49BEFD6339F8}" scale="75" showPageBreaks="1" printArea="1" showRuler="0">
      <pane ySplit="10" topLeftCell="A120"/>
      <selection activeCell="A9" sqref="A9"/>
      <rowBreaks count="4" manualBreakCount="4">
        <brk id="52" max="14" man="1"/>
        <brk id="96" max="14" man="1"/>
        <brk id="98" max="14" man="1"/>
        <brk id="126" max="16383" man="1"/>
      </rowBreaks>
      <pageMargins left="0" right="0" top="0" bottom="0" header="0" footer="0"/>
      <printOptions horizontalCentered="1"/>
      <pageSetup scale="74" orientation="landscape" useFirstPageNumber="1" horizontalDpi="4294967292" r:id="rId1"/>
      <headerFooter alignWithMargins="0">
        <oddFooter>Page &amp;P</oddFooter>
      </headerFooter>
    </customSheetView>
  </customSheetViews>
  <mergeCells count="7">
    <mergeCell ref="W23:Y23"/>
    <mergeCell ref="W22:Y22"/>
    <mergeCell ref="A6:O6"/>
    <mergeCell ref="A2:O2"/>
    <mergeCell ref="A3:O3"/>
    <mergeCell ref="A4:O4"/>
    <mergeCell ref="A5:O5"/>
  </mergeCells>
  <phoneticPr fontId="2" type="noConversion"/>
  <printOptions horizontalCentered="1"/>
  <pageMargins left="0" right="0" top="0.5" bottom="0.7" header="0.5" footer="0.5"/>
  <pageSetup paperSize="3" scale="96" fitToHeight="0" orientation="landscape" useFirstPageNumber="1" r:id="rId2"/>
  <headerFooter alignWithMargins="0">
    <oddFooter>Page &amp;P</oddFooter>
  </headerFooter>
  <rowBreaks count="2" manualBreakCount="2">
    <brk id="56" max="17" man="1"/>
    <brk id="87" max="17" man="1"/>
  </rowBrea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A3A6-B621-437B-8DC7-988A2C0E2E6C}">
  <sheetPr codeName="Sheet17"/>
  <dimension ref="B3:M42"/>
  <sheetViews>
    <sheetView zoomScale="120" zoomScaleNormal="120" workbookViewId="0">
      <selection activeCell="C8" sqref="C8"/>
    </sheetView>
  </sheetViews>
  <sheetFormatPr defaultColWidth="8.42578125" defaultRowHeight="15.4"/>
  <cols>
    <col min="1" max="1" width="3.42578125" style="13" customWidth="1"/>
    <col min="2" max="2" width="31.42578125" style="13" customWidth="1"/>
    <col min="3" max="4" width="15.42578125" style="19" customWidth="1"/>
    <col min="5" max="6" width="15.42578125" style="30" customWidth="1"/>
    <col min="7" max="10" width="15.42578125" style="19" customWidth="1"/>
    <col min="11" max="11" width="45.42578125" style="13" customWidth="1"/>
    <col min="12" max="12" width="2.42578125" style="13" customWidth="1"/>
    <col min="13" max="16384" width="8.42578125" style="13"/>
  </cols>
  <sheetData>
    <row r="3" spans="2:13">
      <c r="B3" s="625" t="s">
        <v>284</v>
      </c>
      <c r="C3" s="626"/>
      <c r="D3" s="626"/>
      <c r="E3" s="626"/>
      <c r="F3" s="626"/>
      <c r="G3" s="626"/>
      <c r="H3" s="626"/>
      <c r="I3" s="626"/>
      <c r="J3" s="626"/>
      <c r="K3" s="627"/>
    </row>
    <row r="4" spans="2:13">
      <c r="B4" s="628"/>
      <c r="C4" s="629"/>
      <c r="D4" s="629"/>
      <c r="E4" s="629"/>
      <c r="F4" s="629"/>
      <c r="G4" s="629"/>
      <c r="H4" s="629"/>
      <c r="I4" s="629"/>
      <c r="J4" s="629"/>
      <c r="K4" s="630"/>
    </row>
    <row r="5" spans="2:13">
      <c r="B5" s="14" t="s">
        <v>161</v>
      </c>
      <c r="C5" s="15" t="s">
        <v>285</v>
      </c>
      <c r="D5" s="631" t="s">
        <v>286</v>
      </c>
      <c r="E5" s="631"/>
      <c r="F5" s="16" t="s">
        <v>287</v>
      </c>
      <c r="G5" s="15" t="s">
        <v>288</v>
      </c>
      <c r="H5" s="15" t="s">
        <v>289</v>
      </c>
      <c r="I5" s="15"/>
      <c r="J5" s="15"/>
      <c r="K5" s="17" t="s">
        <v>290</v>
      </c>
    </row>
    <row r="6" spans="2:13">
      <c r="B6" s="18" t="s">
        <v>3</v>
      </c>
      <c r="C6" s="19">
        <f>Summary!A53</f>
        <v>51070</v>
      </c>
      <c r="D6" s="622">
        <v>113849</v>
      </c>
      <c r="E6" s="622"/>
      <c r="F6" s="20">
        <f>(D6-18500)/8</f>
        <v>11918.625</v>
      </c>
      <c r="G6" s="19">
        <v>9</v>
      </c>
      <c r="H6" s="19" t="s">
        <v>291</v>
      </c>
      <c r="K6" s="21" t="s">
        <v>292</v>
      </c>
    </row>
    <row r="7" spans="2:13">
      <c r="B7" s="18" t="s">
        <v>293</v>
      </c>
      <c r="C7" s="19" t="s">
        <v>294</v>
      </c>
      <c r="D7" s="622">
        <v>35000</v>
      </c>
      <c r="E7" s="622"/>
      <c r="F7" s="20">
        <f>IFERROR(D7/G7,0)</f>
        <v>7000</v>
      </c>
      <c r="G7" s="19">
        <v>5</v>
      </c>
      <c r="H7" s="19" t="s">
        <v>295</v>
      </c>
      <c r="K7" s="21" t="s">
        <v>296</v>
      </c>
    </row>
    <row r="8" spans="2:13">
      <c r="B8" s="18"/>
      <c r="D8" s="622"/>
      <c r="E8" s="622"/>
      <c r="F8" s="20">
        <f>IFERROR(D8/G8,0)</f>
        <v>0</v>
      </c>
      <c r="K8" s="21"/>
    </row>
    <row r="9" spans="2:13">
      <c r="B9" s="18"/>
      <c r="D9" s="624"/>
      <c r="E9" s="624"/>
      <c r="F9" s="20"/>
      <c r="K9" s="21"/>
    </row>
    <row r="10" spans="2:13">
      <c r="B10" s="18"/>
      <c r="D10" s="624"/>
      <c r="E10" s="624"/>
      <c r="F10" s="20"/>
      <c r="K10" s="21"/>
    </row>
    <row r="11" spans="2:13">
      <c r="B11" s="22"/>
      <c r="C11" s="23"/>
      <c r="D11" s="632"/>
      <c r="E11" s="632"/>
      <c r="F11" s="24"/>
      <c r="G11" s="23"/>
      <c r="H11" s="23"/>
      <c r="I11" s="23"/>
      <c r="J11" s="23"/>
      <c r="K11" s="25"/>
    </row>
    <row r="13" spans="2:13">
      <c r="B13" s="625" t="s">
        <v>297</v>
      </c>
      <c r="C13" s="626"/>
      <c r="D13" s="626"/>
      <c r="E13" s="626"/>
      <c r="F13" s="626"/>
      <c r="G13" s="626"/>
      <c r="H13" s="626"/>
      <c r="I13" s="626"/>
      <c r="J13" s="626"/>
      <c r="K13" s="627"/>
    </row>
    <row r="14" spans="2:13">
      <c r="B14" s="628"/>
      <c r="C14" s="629"/>
      <c r="D14" s="629"/>
      <c r="E14" s="629"/>
      <c r="F14" s="629"/>
      <c r="G14" s="629"/>
      <c r="H14" s="629"/>
      <c r="I14" s="629"/>
      <c r="J14" s="629"/>
      <c r="K14" s="630"/>
    </row>
    <row r="15" spans="2:13" ht="15.95">
      <c r="B15" s="26"/>
      <c r="C15" s="27" t="s">
        <v>298</v>
      </c>
      <c r="D15" s="27" t="s">
        <v>298</v>
      </c>
      <c r="E15" s="27" t="s">
        <v>162</v>
      </c>
      <c r="F15" s="27" t="s">
        <v>156</v>
      </c>
      <c r="G15" s="27" t="s">
        <v>299</v>
      </c>
      <c r="H15" s="27" t="s">
        <v>299</v>
      </c>
      <c r="I15" s="27" t="s">
        <v>299</v>
      </c>
      <c r="J15" s="27" t="s">
        <v>299</v>
      </c>
      <c r="K15" s="28"/>
      <c r="M15" s="13" t="s">
        <v>300</v>
      </c>
    </row>
    <row r="16" spans="2:13">
      <c r="B16" s="14" t="s">
        <v>161</v>
      </c>
      <c r="C16" s="15">
        <v>2022</v>
      </c>
      <c r="D16" s="15">
        <v>2023</v>
      </c>
      <c r="E16" s="15">
        <v>2024</v>
      </c>
      <c r="F16" s="15">
        <v>2025</v>
      </c>
      <c r="G16" s="15">
        <v>2026</v>
      </c>
      <c r="H16" s="15">
        <v>2027</v>
      </c>
      <c r="I16" s="15">
        <v>2028</v>
      </c>
      <c r="J16" s="15">
        <v>2029</v>
      </c>
      <c r="K16" s="17" t="s">
        <v>290</v>
      </c>
    </row>
    <row r="17" spans="2:11">
      <c r="B17" s="18" t="s">
        <v>301</v>
      </c>
      <c r="C17" s="29"/>
      <c r="D17" s="30"/>
      <c r="E17" s="31"/>
      <c r="F17" s="31"/>
      <c r="G17" s="35"/>
      <c r="H17" s="29"/>
      <c r="I17" s="29"/>
      <c r="J17" s="29"/>
      <c r="K17" s="36"/>
    </row>
    <row r="18" spans="2:11">
      <c r="B18" s="18" t="s">
        <v>302</v>
      </c>
      <c r="C18" s="30"/>
      <c r="D18" s="30"/>
      <c r="E18" s="20"/>
      <c r="F18" s="20"/>
      <c r="G18" s="30"/>
      <c r="H18" s="30"/>
      <c r="I18" s="30"/>
      <c r="J18" s="30"/>
      <c r="K18" s="21"/>
    </row>
    <row r="19" spans="2:11">
      <c r="B19" s="18" t="s">
        <v>3</v>
      </c>
      <c r="C19" s="29"/>
      <c r="D19" s="29"/>
      <c r="E19" s="31"/>
      <c r="F19" s="31"/>
      <c r="G19" s="29"/>
      <c r="H19" s="29"/>
      <c r="I19" s="29"/>
      <c r="J19" s="29"/>
      <c r="K19" s="38"/>
    </row>
    <row r="20" spans="2:11">
      <c r="B20" s="18" t="s">
        <v>303</v>
      </c>
      <c r="C20" s="30"/>
      <c r="D20" s="30"/>
      <c r="E20" s="20"/>
      <c r="F20" s="20"/>
      <c r="G20" s="30"/>
      <c r="H20" s="30"/>
      <c r="I20" s="30"/>
      <c r="J20" s="30"/>
      <c r="K20" s="21"/>
    </row>
    <row r="21" spans="2:11">
      <c r="B21" s="18" t="s">
        <v>304</v>
      </c>
      <c r="C21" s="30"/>
      <c r="D21" s="30"/>
      <c r="E21" s="20"/>
      <c r="F21" s="20"/>
      <c r="G21" s="30"/>
      <c r="H21" s="30"/>
      <c r="I21" s="30"/>
      <c r="J21" s="30"/>
      <c r="K21" s="21"/>
    </row>
    <row r="22" spans="2:11">
      <c r="B22" s="18" t="s">
        <v>305</v>
      </c>
      <c r="C22" s="30"/>
      <c r="D22" s="30"/>
      <c r="E22" s="20"/>
      <c r="F22" s="20"/>
      <c r="G22" s="30"/>
      <c r="H22" s="30"/>
      <c r="I22" s="30"/>
      <c r="J22" s="30"/>
      <c r="K22" s="21"/>
    </row>
    <row r="23" spans="2:11">
      <c r="B23" s="18" t="s">
        <v>306</v>
      </c>
      <c r="C23" s="30"/>
      <c r="D23" s="30"/>
      <c r="E23" s="20"/>
      <c r="F23" s="20"/>
      <c r="G23" s="30"/>
      <c r="H23" s="30"/>
      <c r="I23" s="30"/>
      <c r="J23" s="30"/>
      <c r="K23" s="21"/>
    </row>
    <row r="24" spans="2:11">
      <c r="B24" s="18" t="s">
        <v>307</v>
      </c>
      <c r="C24" s="30"/>
      <c r="D24" s="30"/>
      <c r="E24" s="20"/>
      <c r="F24" s="20"/>
      <c r="G24" s="30"/>
      <c r="H24" s="30"/>
      <c r="I24" s="30"/>
      <c r="J24" s="30"/>
      <c r="K24" s="21"/>
    </row>
    <row r="25" spans="2:11">
      <c r="B25" s="18"/>
      <c r="C25" s="30"/>
      <c r="D25" s="30"/>
      <c r="E25" s="20"/>
      <c r="F25" s="20"/>
      <c r="G25" s="30"/>
      <c r="H25" s="30"/>
      <c r="I25" s="30"/>
      <c r="J25" s="30"/>
      <c r="K25" s="21"/>
    </row>
    <row r="26" spans="2:11">
      <c r="B26" s="22"/>
      <c r="C26" s="24"/>
      <c r="D26" s="24"/>
      <c r="E26" s="24"/>
      <c r="F26" s="24"/>
      <c r="G26" s="24"/>
      <c r="H26" s="24"/>
      <c r="I26" s="24"/>
      <c r="J26" s="24"/>
      <c r="K26" s="25"/>
    </row>
    <row r="28" spans="2:11">
      <c r="B28" s="625" t="s">
        <v>308</v>
      </c>
      <c r="C28" s="626"/>
      <c r="D28" s="626"/>
      <c r="E28" s="626"/>
      <c r="F28" s="626"/>
      <c r="G28" s="626"/>
      <c r="H28" s="626"/>
      <c r="I28" s="626"/>
      <c r="J28" s="626"/>
      <c r="K28" s="627"/>
    </row>
    <row r="29" spans="2:11">
      <c r="B29" s="628"/>
      <c r="C29" s="629"/>
      <c r="D29" s="629"/>
      <c r="E29" s="629"/>
      <c r="F29" s="629"/>
      <c r="G29" s="629"/>
      <c r="H29" s="629"/>
      <c r="I29" s="629"/>
      <c r="J29" s="629"/>
      <c r="K29" s="630"/>
    </row>
    <row r="30" spans="2:11">
      <c r="B30" s="14" t="s">
        <v>161</v>
      </c>
      <c r="C30" s="15"/>
      <c r="D30" s="16" t="s">
        <v>309</v>
      </c>
      <c r="E30" s="16" t="s">
        <v>310</v>
      </c>
      <c r="F30" s="16"/>
      <c r="G30" s="32" t="s">
        <v>311</v>
      </c>
      <c r="H30" s="32"/>
      <c r="I30" s="633" t="s">
        <v>290</v>
      </c>
      <c r="J30" s="633"/>
      <c r="K30" s="634"/>
    </row>
    <row r="31" spans="2:11">
      <c r="B31" s="620" t="s">
        <v>312</v>
      </c>
      <c r="C31" s="621"/>
      <c r="E31" s="19"/>
      <c r="F31" s="624" t="s">
        <v>313</v>
      </c>
      <c r="G31" s="624"/>
      <c r="H31" s="624"/>
      <c r="I31" s="621"/>
      <c r="J31" s="621"/>
      <c r="K31" s="623"/>
    </row>
    <row r="32" spans="2:11">
      <c r="B32" s="620" t="s">
        <v>314</v>
      </c>
      <c r="C32" s="621"/>
      <c r="E32" s="19"/>
      <c r="F32" s="624" t="s">
        <v>313</v>
      </c>
      <c r="G32" s="624"/>
      <c r="H32" s="624"/>
      <c r="I32" s="621"/>
      <c r="J32" s="621"/>
      <c r="K32" s="623"/>
    </row>
    <row r="33" spans="2:11">
      <c r="B33" s="620" t="s">
        <v>3</v>
      </c>
      <c r="C33" s="621"/>
      <c r="E33" s="19"/>
      <c r="F33" s="624" t="s">
        <v>313</v>
      </c>
      <c r="G33" s="624"/>
      <c r="H33" s="624"/>
      <c r="I33" s="621"/>
      <c r="J33" s="621"/>
      <c r="K33" s="623"/>
    </row>
    <row r="34" spans="2:11">
      <c r="B34" s="620" t="s">
        <v>303</v>
      </c>
      <c r="C34" s="621"/>
      <c r="E34" s="19"/>
      <c r="F34" s="624" t="s">
        <v>313</v>
      </c>
      <c r="G34" s="624"/>
      <c r="H34" s="624"/>
      <c r="I34" s="621"/>
      <c r="J34" s="621"/>
      <c r="K34" s="623"/>
    </row>
    <row r="35" spans="2:11">
      <c r="B35" s="620" t="s">
        <v>315</v>
      </c>
      <c r="C35" s="621"/>
      <c r="E35" s="19"/>
      <c r="F35" s="624" t="s">
        <v>313</v>
      </c>
      <c r="G35" s="624"/>
      <c r="H35" s="624"/>
      <c r="I35" s="621"/>
      <c r="J35" s="621"/>
      <c r="K35" s="623"/>
    </row>
    <row r="36" spans="2:11">
      <c r="B36" s="620"/>
      <c r="C36" s="621"/>
      <c r="D36" s="33"/>
      <c r="E36" s="20"/>
      <c r="F36" s="624"/>
      <c r="G36" s="624"/>
      <c r="H36" s="624"/>
      <c r="I36" s="621"/>
      <c r="J36" s="621"/>
      <c r="K36" s="623"/>
    </row>
    <row r="37" spans="2:11">
      <c r="B37" s="620"/>
      <c r="C37" s="621"/>
      <c r="D37" s="33"/>
      <c r="E37" s="20"/>
      <c r="F37" s="624"/>
      <c r="G37" s="624"/>
      <c r="H37" s="624"/>
      <c r="I37" s="621"/>
      <c r="J37" s="621"/>
      <c r="K37" s="623"/>
    </row>
    <row r="38" spans="2:11">
      <c r="B38" s="620"/>
      <c r="C38" s="621"/>
      <c r="D38" s="33"/>
      <c r="E38" s="20"/>
      <c r="F38" s="622"/>
      <c r="G38" s="622"/>
      <c r="H38" s="622"/>
      <c r="I38" s="621"/>
      <c r="J38" s="621"/>
      <c r="K38" s="623"/>
    </row>
    <row r="39" spans="2:11">
      <c r="B39" s="620"/>
      <c r="C39" s="621"/>
      <c r="D39" s="33"/>
      <c r="E39" s="20"/>
      <c r="F39" s="622"/>
      <c r="G39" s="622"/>
      <c r="H39" s="622"/>
      <c r="I39" s="621"/>
      <c r="J39" s="621"/>
      <c r="K39" s="623"/>
    </row>
    <row r="40" spans="2:11">
      <c r="B40" s="620"/>
      <c r="C40" s="621"/>
      <c r="D40" s="33"/>
      <c r="E40" s="20"/>
      <c r="F40" s="622"/>
      <c r="G40" s="622"/>
      <c r="H40" s="622"/>
      <c r="I40" s="621"/>
      <c r="J40" s="621"/>
      <c r="K40" s="623"/>
    </row>
    <row r="41" spans="2:11">
      <c r="B41" s="620"/>
      <c r="C41" s="621"/>
      <c r="D41" s="33"/>
      <c r="E41" s="20"/>
      <c r="F41" s="622"/>
      <c r="G41" s="622"/>
      <c r="H41" s="622"/>
      <c r="I41" s="621"/>
      <c r="J41" s="621"/>
      <c r="K41" s="623"/>
    </row>
    <row r="42" spans="2:11">
      <c r="B42" s="616"/>
      <c r="C42" s="617"/>
      <c r="D42" s="34"/>
      <c r="E42" s="24"/>
      <c r="F42" s="618"/>
      <c r="G42" s="618"/>
      <c r="H42" s="618"/>
      <c r="I42" s="617"/>
      <c r="J42" s="617"/>
      <c r="K42" s="619"/>
    </row>
  </sheetData>
  <mergeCells count="47">
    <mergeCell ref="B31:C31"/>
    <mergeCell ref="F31:H31"/>
    <mergeCell ref="I31:K31"/>
    <mergeCell ref="B3:K4"/>
    <mergeCell ref="D5:E5"/>
    <mergeCell ref="D6:E6"/>
    <mergeCell ref="D7:E7"/>
    <mergeCell ref="D8:E8"/>
    <mergeCell ref="D9:E9"/>
    <mergeCell ref="D10:E10"/>
    <mergeCell ref="D11:E11"/>
    <mergeCell ref="B13:K14"/>
    <mergeCell ref="B28:K29"/>
    <mergeCell ref="I30:K30"/>
    <mergeCell ref="B32:C32"/>
    <mergeCell ref="F32:H32"/>
    <mergeCell ref="I32:K32"/>
    <mergeCell ref="B33:C33"/>
    <mergeCell ref="F33:H33"/>
    <mergeCell ref="I33:K33"/>
    <mergeCell ref="B34:C34"/>
    <mergeCell ref="F34:H34"/>
    <mergeCell ref="I34:K34"/>
    <mergeCell ref="B35:C35"/>
    <mergeCell ref="F35:H35"/>
    <mergeCell ref="I35:K35"/>
    <mergeCell ref="B36:C36"/>
    <mergeCell ref="F36:H36"/>
    <mergeCell ref="I36:K36"/>
    <mergeCell ref="B37:C37"/>
    <mergeCell ref="F37:H37"/>
    <mergeCell ref="I37:K37"/>
    <mergeCell ref="B38:C38"/>
    <mergeCell ref="F38:H38"/>
    <mergeCell ref="I38:K38"/>
    <mergeCell ref="B39:C39"/>
    <mergeCell ref="F39:H39"/>
    <mergeCell ref="I39:K39"/>
    <mergeCell ref="B42:C42"/>
    <mergeCell ref="F42:H42"/>
    <mergeCell ref="I42:K42"/>
    <mergeCell ref="B40:C40"/>
    <mergeCell ref="F40:H40"/>
    <mergeCell ref="I40:K40"/>
    <mergeCell ref="B41:C41"/>
    <mergeCell ref="F41:H41"/>
    <mergeCell ref="I41:K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0"/>
    <pageSetUpPr fitToPage="1"/>
  </sheetPr>
  <dimension ref="A1:R41"/>
  <sheetViews>
    <sheetView zoomScaleNormal="100" zoomScaleSheetLayoutView="100" workbookViewId="0">
      <pane ySplit="10" topLeftCell="A11" activePane="bottomLeft" state="frozen"/>
      <selection pane="bottomLeft" activeCell="L19" sqref="L19"/>
      <selection activeCell="D34" sqref="D34"/>
    </sheetView>
  </sheetViews>
  <sheetFormatPr defaultColWidth="9.42578125" defaultRowHeight="15.4"/>
  <cols>
    <col min="1" max="1" width="43.42578125" style="89" customWidth="1"/>
    <col min="2" max="2" width="9.42578125" style="89" bestFit="1" customWidth="1"/>
    <col min="3" max="3" width="11.42578125" style="89" customWidth="1"/>
    <col min="4" max="5" width="11.42578125" style="89" bestFit="1" customWidth="1"/>
    <col min="6" max="6" width="12" style="89" bestFit="1" customWidth="1"/>
    <col min="7" max="16" width="11.42578125" style="89" bestFit="1" customWidth="1"/>
    <col min="17" max="17" width="15.42578125" style="89" customWidth="1"/>
    <col min="18" max="18" width="57.42578125" style="89" bestFit="1" customWidth="1"/>
    <col min="19" max="16384" width="9.42578125" style="89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46269</v>
      </c>
      <c r="R1" s="2">
        <f>Summary!W4</f>
        <v>0</v>
      </c>
    </row>
    <row r="2" spans="1:18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</row>
    <row r="3" spans="1:18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</row>
    <row r="4" spans="1:18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</row>
    <row r="5" spans="1:18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</row>
    <row r="6" spans="1:18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</row>
    <row r="7" spans="1:18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</row>
    <row r="9" spans="1:18">
      <c r="A9" s="44" t="s">
        <v>15</v>
      </c>
      <c r="B9" s="44" t="s">
        <v>316</v>
      </c>
      <c r="C9" s="44" t="s">
        <v>165</v>
      </c>
      <c r="D9" s="44" t="s">
        <v>317</v>
      </c>
      <c r="E9" s="44" t="s">
        <v>129</v>
      </c>
      <c r="F9" s="44" t="s">
        <v>130</v>
      </c>
      <c r="G9" s="44" t="s">
        <v>131</v>
      </c>
      <c r="H9" s="44" t="s">
        <v>132</v>
      </c>
      <c r="I9" s="44" t="s">
        <v>133</v>
      </c>
      <c r="J9" s="44" t="s">
        <v>134</v>
      </c>
      <c r="K9" s="44" t="s">
        <v>135</v>
      </c>
      <c r="L9" s="44" t="s">
        <v>136</v>
      </c>
      <c r="M9" s="44" t="s">
        <v>137</v>
      </c>
      <c r="N9" s="44" t="s">
        <v>138</v>
      </c>
      <c r="O9" s="44" t="s">
        <v>139</v>
      </c>
      <c r="P9" s="44" t="s">
        <v>140</v>
      </c>
      <c r="Q9" s="44" t="s">
        <v>169</v>
      </c>
      <c r="R9" s="44" t="s">
        <v>290</v>
      </c>
    </row>
    <row r="10" spans="1:18">
      <c r="A10" s="45"/>
      <c r="B10" s="46" t="s">
        <v>318</v>
      </c>
      <c r="C10" s="46" t="s">
        <v>319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</row>
    <row r="11" spans="1:18">
      <c r="A11" s="51"/>
      <c r="B11" s="2"/>
      <c r="C11" s="116"/>
      <c r="D11" s="326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2"/>
    </row>
    <row r="12" spans="1:18">
      <c r="A12" s="253" t="s">
        <v>320</v>
      </c>
      <c r="B12" s="2"/>
      <c r="C12" s="116"/>
      <c r="D12" s="326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2"/>
    </row>
    <row r="13" spans="1:18">
      <c r="A13" s="253"/>
      <c r="B13" s="2"/>
      <c r="C13" s="116"/>
      <c r="D13" s="326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2"/>
    </row>
    <row r="14" spans="1:18">
      <c r="A14" s="51" t="s">
        <v>113</v>
      </c>
      <c r="B14" s="60" t="s">
        <v>321</v>
      </c>
      <c r="C14" s="61">
        <v>35000</v>
      </c>
      <c r="D14" s="62">
        <f t="shared" ref="D14:D29" si="0">P14*12/C14</f>
        <v>18.150171428571429</v>
      </c>
      <c r="E14" s="255">
        <v>52938</v>
      </c>
      <c r="F14" s="255">
        <f>E14</f>
        <v>52938</v>
      </c>
      <c r="G14" s="255">
        <f t="shared" ref="G14:P14" si="1">F14</f>
        <v>52938</v>
      </c>
      <c r="H14" s="255">
        <f t="shared" si="1"/>
        <v>52938</v>
      </c>
      <c r="I14" s="255">
        <f t="shared" si="1"/>
        <v>52938</v>
      </c>
      <c r="J14" s="255">
        <f t="shared" si="1"/>
        <v>52938</v>
      </c>
      <c r="K14" s="255">
        <f t="shared" si="1"/>
        <v>52938</v>
      </c>
      <c r="L14" s="255">
        <f t="shared" si="1"/>
        <v>52938</v>
      </c>
      <c r="M14" s="255">
        <f t="shared" si="1"/>
        <v>52938</v>
      </c>
      <c r="N14" s="255">
        <f t="shared" si="1"/>
        <v>52938</v>
      </c>
      <c r="O14" s="255">
        <f t="shared" si="1"/>
        <v>52938</v>
      </c>
      <c r="P14" s="255">
        <f t="shared" si="1"/>
        <v>52938</v>
      </c>
      <c r="Q14" s="254">
        <f>SUM(E14:P14)</f>
        <v>635256</v>
      </c>
      <c r="R14" s="117" t="s">
        <v>322</v>
      </c>
    </row>
    <row r="15" spans="1:18">
      <c r="A15" s="51" t="s">
        <v>119</v>
      </c>
      <c r="B15" s="60" t="s">
        <v>323</v>
      </c>
      <c r="C15" s="61">
        <v>3000</v>
      </c>
      <c r="D15" s="62">
        <f>P15*12/C15</f>
        <v>25.50404</v>
      </c>
      <c r="E15" s="255">
        <v>6190.3</v>
      </c>
      <c r="F15" s="255">
        <f t="shared" ref="F15:P29" si="2">E15</f>
        <v>6190.3</v>
      </c>
      <c r="G15" s="255">
        <f t="shared" si="2"/>
        <v>6190.3</v>
      </c>
      <c r="H15" s="255">
        <f t="shared" si="2"/>
        <v>6190.3</v>
      </c>
      <c r="I15" s="255">
        <f t="shared" si="2"/>
        <v>6190.3</v>
      </c>
      <c r="J15" s="255">
        <f t="shared" si="2"/>
        <v>6190.3</v>
      </c>
      <c r="K15" s="255">
        <f t="shared" si="2"/>
        <v>6190.3</v>
      </c>
      <c r="L15" s="255">
        <f t="shared" si="2"/>
        <v>6190.3</v>
      </c>
      <c r="M15" s="255">
        <f t="shared" si="2"/>
        <v>6190.3</v>
      </c>
      <c r="N15" s="327">
        <v>6376.01</v>
      </c>
      <c r="O15" s="255">
        <f>N15</f>
        <v>6376.01</v>
      </c>
      <c r="P15" s="255">
        <f>O15</f>
        <v>6376.01</v>
      </c>
      <c r="Q15" s="255">
        <f>SUM(E15:P15)</f>
        <v>74840.73000000001</v>
      </c>
      <c r="R15" s="117" t="s">
        <v>324</v>
      </c>
    </row>
    <row r="16" spans="1:18">
      <c r="A16" s="51" t="s">
        <v>117</v>
      </c>
      <c r="B16" s="60" t="s">
        <v>325</v>
      </c>
      <c r="C16" s="61">
        <v>1625</v>
      </c>
      <c r="D16" s="62">
        <f>P16*12/C16</f>
        <v>18.74998153846154</v>
      </c>
      <c r="E16" s="255">
        <v>2539.06</v>
      </c>
      <c r="F16" s="255">
        <f t="shared" si="2"/>
        <v>2539.06</v>
      </c>
      <c r="G16" s="255">
        <f t="shared" si="2"/>
        <v>2539.06</v>
      </c>
      <c r="H16" s="255">
        <f t="shared" si="2"/>
        <v>2539.06</v>
      </c>
      <c r="I16" s="255">
        <f t="shared" si="2"/>
        <v>2539.06</v>
      </c>
      <c r="J16" s="255">
        <f t="shared" si="2"/>
        <v>2539.06</v>
      </c>
      <c r="K16" s="255">
        <f t="shared" si="2"/>
        <v>2539.06</v>
      </c>
      <c r="L16" s="255">
        <f t="shared" si="2"/>
        <v>2539.06</v>
      </c>
      <c r="M16" s="255">
        <f t="shared" si="2"/>
        <v>2539.06</v>
      </c>
      <c r="N16" s="255">
        <f t="shared" si="2"/>
        <v>2539.06</v>
      </c>
      <c r="O16" s="255">
        <f t="shared" si="2"/>
        <v>2539.06</v>
      </c>
      <c r="P16" s="255">
        <v>2539.06</v>
      </c>
      <c r="Q16" s="255">
        <f t="shared" ref="Q16:Q28" si="3">SUM(E16:P16)</f>
        <v>30468.720000000005</v>
      </c>
      <c r="R16" s="117" t="s">
        <v>326</v>
      </c>
    </row>
    <row r="17" spans="1:18">
      <c r="A17" s="51" t="s">
        <v>121</v>
      </c>
      <c r="B17" s="60" t="s">
        <v>327</v>
      </c>
      <c r="C17" s="61">
        <v>1400</v>
      </c>
      <c r="D17" s="62">
        <f t="shared" si="0"/>
        <v>21.854485714285712</v>
      </c>
      <c r="E17" s="255">
        <v>2475.4299999999998</v>
      </c>
      <c r="F17" s="255">
        <f t="shared" si="2"/>
        <v>2475.4299999999998</v>
      </c>
      <c r="G17" s="255">
        <f t="shared" ref="G17:H17" si="4">F17</f>
        <v>2475.4299999999998</v>
      </c>
      <c r="H17" s="255">
        <f t="shared" si="4"/>
        <v>2475.4299999999998</v>
      </c>
      <c r="I17" s="327">
        <v>2549.69</v>
      </c>
      <c r="J17" s="255">
        <f>I17</f>
        <v>2549.69</v>
      </c>
      <c r="K17" s="255">
        <f t="shared" ref="K17:P17" si="5">J17</f>
        <v>2549.69</v>
      </c>
      <c r="L17" s="255">
        <f t="shared" si="5"/>
        <v>2549.69</v>
      </c>
      <c r="M17" s="255">
        <f t="shared" si="5"/>
        <v>2549.69</v>
      </c>
      <c r="N17" s="255">
        <f t="shared" si="5"/>
        <v>2549.69</v>
      </c>
      <c r="O17" s="255">
        <f t="shared" si="5"/>
        <v>2549.69</v>
      </c>
      <c r="P17" s="255">
        <f t="shared" si="5"/>
        <v>2549.69</v>
      </c>
      <c r="Q17" s="255">
        <f t="shared" si="3"/>
        <v>30299.239999999994</v>
      </c>
      <c r="R17" s="117" t="s">
        <v>328</v>
      </c>
    </row>
    <row r="18" spans="1:18">
      <c r="A18" s="51" t="s">
        <v>114</v>
      </c>
      <c r="B18" s="60" t="s">
        <v>329</v>
      </c>
      <c r="C18" s="61">
        <v>1112</v>
      </c>
      <c r="D18" s="62">
        <f t="shared" si="0"/>
        <v>23.185683453237409</v>
      </c>
      <c r="E18" s="255">
        <v>2106.41</v>
      </c>
      <c r="F18" s="255">
        <f t="shared" si="2"/>
        <v>2106.41</v>
      </c>
      <c r="G18" s="255">
        <f t="shared" si="2"/>
        <v>2106.41</v>
      </c>
      <c r="H18" s="327">
        <v>2148.54</v>
      </c>
      <c r="I18" s="255">
        <f t="shared" si="2"/>
        <v>2148.54</v>
      </c>
      <c r="J18" s="255">
        <f t="shared" si="2"/>
        <v>2148.54</v>
      </c>
      <c r="K18" s="255">
        <f t="shared" si="2"/>
        <v>2148.54</v>
      </c>
      <c r="L18" s="255">
        <f t="shared" si="2"/>
        <v>2148.54</v>
      </c>
      <c r="M18" s="255">
        <f t="shared" si="2"/>
        <v>2148.54</v>
      </c>
      <c r="N18" s="255">
        <f t="shared" si="2"/>
        <v>2148.54</v>
      </c>
      <c r="O18" s="255">
        <f t="shared" si="2"/>
        <v>2148.54</v>
      </c>
      <c r="P18" s="255">
        <f t="shared" si="2"/>
        <v>2148.54</v>
      </c>
      <c r="Q18" s="255">
        <f t="shared" si="3"/>
        <v>25656.090000000007</v>
      </c>
      <c r="R18" s="117" t="s">
        <v>330</v>
      </c>
    </row>
    <row r="19" spans="1:18">
      <c r="A19" s="51" t="s">
        <v>108</v>
      </c>
      <c r="B19" s="60" t="s">
        <v>331</v>
      </c>
      <c r="C19" s="61">
        <v>2494</v>
      </c>
      <c r="D19" s="62">
        <f t="shared" si="0"/>
        <v>25.863993584603044</v>
      </c>
      <c r="E19" s="255">
        <v>5375.4</v>
      </c>
      <c r="F19" s="255">
        <f t="shared" si="2"/>
        <v>5375.4</v>
      </c>
      <c r="G19" s="255">
        <f t="shared" si="2"/>
        <v>5375.4</v>
      </c>
      <c r="H19" s="327">
        <f t="shared" si="2"/>
        <v>5375.4</v>
      </c>
      <c r="I19" s="255">
        <f t="shared" si="2"/>
        <v>5375.4</v>
      </c>
      <c r="J19" s="255">
        <f t="shared" si="2"/>
        <v>5375.4</v>
      </c>
      <c r="K19" s="255">
        <f t="shared" si="2"/>
        <v>5375.4</v>
      </c>
      <c r="L19" s="255">
        <f t="shared" si="2"/>
        <v>5375.4</v>
      </c>
      <c r="M19" s="255">
        <f t="shared" si="2"/>
        <v>5375.4</v>
      </c>
      <c r="N19" s="255">
        <f t="shared" si="2"/>
        <v>5375.4</v>
      </c>
      <c r="O19" s="255">
        <f t="shared" si="2"/>
        <v>5375.4</v>
      </c>
      <c r="P19" s="255">
        <f t="shared" si="2"/>
        <v>5375.4</v>
      </c>
      <c r="Q19" s="255">
        <f t="shared" si="3"/>
        <v>64504.80000000001</v>
      </c>
      <c r="R19" s="117" t="s">
        <v>332</v>
      </c>
    </row>
    <row r="20" spans="1:18">
      <c r="A20" s="51" t="s">
        <v>112</v>
      </c>
      <c r="B20" s="60" t="s">
        <v>333</v>
      </c>
      <c r="C20" s="61">
        <v>1500</v>
      </c>
      <c r="D20" s="62">
        <f t="shared" si="0"/>
        <v>19.873439999999999</v>
      </c>
      <c r="E20" s="255">
        <v>2435.4699999999998</v>
      </c>
      <c r="F20" s="255">
        <f t="shared" si="2"/>
        <v>2435.4699999999998</v>
      </c>
      <c r="G20" s="255">
        <f>F20</f>
        <v>2435.4699999999998</v>
      </c>
      <c r="H20" s="327">
        <v>2484.1799999999998</v>
      </c>
      <c r="I20" s="255">
        <f>H20</f>
        <v>2484.1799999999998</v>
      </c>
      <c r="J20" s="255">
        <f t="shared" ref="J20:P20" si="6">I20</f>
        <v>2484.1799999999998</v>
      </c>
      <c r="K20" s="255">
        <f t="shared" si="6"/>
        <v>2484.1799999999998</v>
      </c>
      <c r="L20" s="255">
        <f t="shared" si="6"/>
        <v>2484.1799999999998</v>
      </c>
      <c r="M20" s="255">
        <f t="shared" si="6"/>
        <v>2484.1799999999998</v>
      </c>
      <c r="N20" s="255">
        <f t="shared" si="6"/>
        <v>2484.1799999999998</v>
      </c>
      <c r="O20" s="255">
        <f t="shared" si="6"/>
        <v>2484.1799999999998</v>
      </c>
      <c r="P20" s="255">
        <f t="shared" si="6"/>
        <v>2484.1799999999998</v>
      </c>
      <c r="Q20" s="255">
        <f t="shared" si="3"/>
        <v>29664.030000000002</v>
      </c>
      <c r="R20" s="117" t="s">
        <v>334</v>
      </c>
    </row>
    <row r="21" spans="1:18">
      <c r="A21" s="75" t="s">
        <v>107</v>
      </c>
      <c r="B21" s="60" t="s">
        <v>335</v>
      </c>
      <c r="C21" s="61">
        <v>1734</v>
      </c>
      <c r="D21" s="62">
        <f>P21*12/C21</f>
        <v>25.599999999999998</v>
      </c>
      <c r="E21" s="255">
        <v>3699.2</v>
      </c>
      <c r="F21" s="255">
        <f t="shared" si="2"/>
        <v>3699.2</v>
      </c>
      <c r="G21" s="255">
        <f t="shared" si="2"/>
        <v>3699.2</v>
      </c>
      <c r="H21" s="255">
        <f t="shared" si="2"/>
        <v>3699.2</v>
      </c>
      <c r="I21" s="255">
        <f t="shared" si="2"/>
        <v>3699.2</v>
      </c>
      <c r="J21" s="255">
        <f t="shared" si="2"/>
        <v>3699.2</v>
      </c>
      <c r="K21" s="255">
        <f t="shared" si="2"/>
        <v>3699.2</v>
      </c>
      <c r="L21" s="255">
        <v>3699.2</v>
      </c>
      <c r="M21" s="255">
        <f t="shared" si="2"/>
        <v>3699.2</v>
      </c>
      <c r="N21" s="255">
        <f t="shared" si="2"/>
        <v>3699.2</v>
      </c>
      <c r="O21" s="255">
        <f t="shared" si="2"/>
        <v>3699.2</v>
      </c>
      <c r="P21" s="255">
        <f t="shared" si="2"/>
        <v>3699.2</v>
      </c>
      <c r="Q21" s="255">
        <f t="shared" si="3"/>
        <v>44390.399999999994</v>
      </c>
      <c r="R21" s="328" t="s">
        <v>336</v>
      </c>
    </row>
    <row r="22" spans="1:18">
      <c r="A22" s="51" t="s">
        <v>118</v>
      </c>
      <c r="B22" s="60" t="s">
        <v>337</v>
      </c>
      <c r="C22" s="61">
        <v>3900</v>
      </c>
      <c r="D22" s="62">
        <f t="shared" si="0"/>
        <v>18.548399999999997</v>
      </c>
      <c r="E22" s="255">
        <v>5852.65</v>
      </c>
      <c r="F22" s="255">
        <f t="shared" si="2"/>
        <v>5852.65</v>
      </c>
      <c r="G22" s="255">
        <f t="shared" si="2"/>
        <v>5852.65</v>
      </c>
      <c r="H22" s="255">
        <f t="shared" si="2"/>
        <v>5852.65</v>
      </c>
      <c r="I22" s="255">
        <f t="shared" si="2"/>
        <v>5852.65</v>
      </c>
      <c r="J22" s="255">
        <f t="shared" si="2"/>
        <v>5852.65</v>
      </c>
      <c r="K22" s="255">
        <f t="shared" si="2"/>
        <v>5852.65</v>
      </c>
      <c r="L22" s="255">
        <f t="shared" si="2"/>
        <v>5852.65</v>
      </c>
      <c r="M22" s="255">
        <f t="shared" si="2"/>
        <v>5852.65</v>
      </c>
      <c r="N22" s="255">
        <f t="shared" si="2"/>
        <v>5852.65</v>
      </c>
      <c r="O22" s="327">
        <v>6028.23</v>
      </c>
      <c r="P22" s="255">
        <f t="shared" si="2"/>
        <v>6028.23</v>
      </c>
      <c r="Q22" s="255">
        <f t="shared" si="3"/>
        <v>70582.960000000006</v>
      </c>
      <c r="R22" s="117" t="s">
        <v>338</v>
      </c>
    </row>
    <row r="23" spans="1:18">
      <c r="A23" s="51" t="s">
        <v>115</v>
      </c>
      <c r="B23" s="60">
        <v>101</v>
      </c>
      <c r="C23" s="61">
        <v>1287</v>
      </c>
      <c r="D23" s="62">
        <f t="shared" si="0"/>
        <v>22.820046620046618</v>
      </c>
      <c r="E23" s="255">
        <v>2399.0300000000002</v>
      </c>
      <c r="F23" s="255">
        <f t="shared" si="2"/>
        <v>2399.0300000000002</v>
      </c>
      <c r="G23" s="255">
        <f t="shared" si="2"/>
        <v>2399.0300000000002</v>
      </c>
      <c r="H23" s="255">
        <f t="shared" si="2"/>
        <v>2399.0300000000002</v>
      </c>
      <c r="I23" s="255">
        <f t="shared" si="2"/>
        <v>2399.0300000000002</v>
      </c>
      <c r="J23" s="255">
        <f t="shared" si="2"/>
        <v>2399.0300000000002</v>
      </c>
      <c r="K23" s="327">
        <v>2447.4499999999998</v>
      </c>
      <c r="L23" s="255">
        <f t="shared" si="2"/>
        <v>2447.4499999999998</v>
      </c>
      <c r="M23" s="255">
        <f t="shared" si="2"/>
        <v>2447.4499999999998</v>
      </c>
      <c r="N23" s="255">
        <f t="shared" si="2"/>
        <v>2447.4499999999998</v>
      </c>
      <c r="O23" s="255">
        <f t="shared" si="2"/>
        <v>2447.4499999999998</v>
      </c>
      <c r="P23" s="255">
        <f t="shared" si="2"/>
        <v>2447.4499999999998</v>
      </c>
      <c r="Q23" s="255">
        <f t="shared" si="3"/>
        <v>29078.880000000005</v>
      </c>
      <c r="R23" s="117" t="s">
        <v>339</v>
      </c>
    </row>
    <row r="24" spans="1:18">
      <c r="A24" s="51" t="s">
        <v>122</v>
      </c>
      <c r="B24" s="60">
        <v>102</v>
      </c>
      <c r="C24" s="61">
        <v>1639</v>
      </c>
      <c r="D24" s="62">
        <f t="shared" si="0"/>
        <v>20.866967663209273</v>
      </c>
      <c r="E24" s="255">
        <v>2767.06</v>
      </c>
      <c r="F24" s="255">
        <f t="shared" si="2"/>
        <v>2767.06</v>
      </c>
      <c r="G24" s="255">
        <f t="shared" si="2"/>
        <v>2767.06</v>
      </c>
      <c r="H24" s="327">
        <v>2850.08</v>
      </c>
      <c r="I24" s="255">
        <f>H24</f>
        <v>2850.08</v>
      </c>
      <c r="J24" s="255">
        <f t="shared" ref="J24:P24" si="7">I24</f>
        <v>2850.08</v>
      </c>
      <c r="K24" s="255">
        <f t="shared" si="7"/>
        <v>2850.08</v>
      </c>
      <c r="L24" s="255">
        <f t="shared" si="7"/>
        <v>2850.08</v>
      </c>
      <c r="M24" s="255">
        <f t="shared" si="7"/>
        <v>2850.08</v>
      </c>
      <c r="N24" s="255">
        <f t="shared" si="7"/>
        <v>2850.08</v>
      </c>
      <c r="O24" s="255">
        <f t="shared" si="7"/>
        <v>2850.08</v>
      </c>
      <c r="P24" s="255">
        <f t="shared" si="7"/>
        <v>2850.08</v>
      </c>
      <c r="Q24" s="255">
        <f t="shared" si="3"/>
        <v>33951.900000000009</v>
      </c>
      <c r="R24" s="117" t="s">
        <v>340</v>
      </c>
    </row>
    <row r="25" spans="1:18" ht="12" customHeight="1">
      <c r="A25" s="51" t="s">
        <v>109</v>
      </c>
      <c r="B25" s="60">
        <v>103</v>
      </c>
      <c r="C25" s="61">
        <v>3600</v>
      </c>
      <c r="D25" s="62">
        <f>P25*12/C25</f>
        <v>24</v>
      </c>
      <c r="E25" s="255">
        <v>7200</v>
      </c>
      <c r="F25" s="255">
        <f t="shared" si="2"/>
        <v>7200</v>
      </c>
      <c r="G25" s="255">
        <f t="shared" si="2"/>
        <v>7200</v>
      </c>
      <c r="H25" s="255">
        <f t="shared" si="2"/>
        <v>7200</v>
      </c>
      <c r="I25" s="255">
        <f t="shared" si="2"/>
        <v>7200</v>
      </c>
      <c r="J25" s="255">
        <f t="shared" si="2"/>
        <v>7200</v>
      </c>
      <c r="K25" s="255">
        <f t="shared" si="2"/>
        <v>7200</v>
      </c>
      <c r="L25" s="255">
        <f t="shared" si="2"/>
        <v>7200</v>
      </c>
      <c r="M25" s="255">
        <f t="shared" si="2"/>
        <v>7200</v>
      </c>
      <c r="N25" s="255">
        <f t="shared" si="2"/>
        <v>7200</v>
      </c>
      <c r="O25" s="255">
        <f t="shared" si="2"/>
        <v>7200</v>
      </c>
      <c r="P25" s="255">
        <f t="shared" si="2"/>
        <v>7200</v>
      </c>
      <c r="Q25" s="255">
        <f t="shared" si="3"/>
        <v>86400</v>
      </c>
      <c r="R25" s="117" t="s">
        <v>341</v>
      </c>
    </row>
    <row r="26" spans="1:18">
      <c r="A26" s="51" t="s">
        <v>110</v>
      </c>
      <c r="B26" s="60">
        <v>106</v>
      </c>
      <c r="C26" s="61">
        <v>1587</v>
      </c>
      <c r="D26" s="62">
        <f>P26*12/C26</f>
        <v>24.199999999999996</v>
      </c>
      <c r="E26" s="255">
        <v>2909.5</v>
      </c>
      <c r="F26" s="255">
        <f t="shared" si="2"/>
        <v>2909.5</v>
      </c>
      <c r="G26" s="255">
        <f t="shared" si="2"/>
        <v>2909.5</v>
      </c>
      <c r="H26" s="255">
        <f t="shared" si="2"/>
        <v>2909.5</v>
      </c>
      <c r="I26" s="255">
        <f t="shared" si="2"/>
        <v>2909.5</v>
      </c>
      <c r="J26" s="255">
        <f t="shared" si="2"/>
        <v>2909.5</v>
      </c>
      <c r="K26" s="255">
        <f t="shared" si="2"/>
        <v>2909.5</v>
      </c>
      <c r="L26" s="255">
        <f t="shared" si="2"/>
        <v>2909.5</v>
      </c>
      <c r="M26" s="255">
        <f t="shared" si="2"/>
        <v>2909.5</v>
      </c>
      <c r="N26" s="327">
        <v>3200.45</v>
      </c>
      <c r="O26" s="255">
        <f t="shared" si="2"/>
        <v>3200.45</v>
      </c>
      <c r="P26" s="255">
        <f t="shared" si="2"/>
        <v>3200.45</v>
      </c>
      <c r="Q26" s="255">
        <f t="shared" si="3"/>
        <v>35786.85</v>
      </c>
      <c r="R26" s="117" t="s">
        <v>342</v>
      </c>
    </row>
    <row r="27" spans="1:18">
      <c r="A27" s="51" t="s">
        <v>116</v>
      </c>
      <c r="B27" s="60">
        <v>107</v>
      </c>
      <c r="C27" s="61">
        <v>1300</v>
      </c>
      <c r="D27" s="62">
        <f t="shared" si="0"/>
        <v>18.548400000000001</v>
      </c>
      <c r="E27" s="255">
        <v>1950.88</v>
      </c>
      <c r="F27" s="255">
        <f t="shared" si="2"/>
        <v>1950.88</v>
      </c>
      <c r="G27" s="255">
        <f t="shared" si="2"/>
        <v>1950.88</v>
      </c>
      <c r="H27" s="327">
        <v>2009.41</v>
      </c>
      <c r="I27" s="255">
        <f>H27</f>
        <v>2009.41</v>
      </c>
      <c r="J27" s="255">
        <f t="shared" ref="J27:P27" si="8">I27</f>
        <v>2009.41</v>
      </c>
      <c r="K27" s="255">
        <f t="shared" si="8"/>
        <v>2009.41</v>
      </c>
      <c r="L27" s="255">
        <f t="shared" si="8"/>
        <v>2009.41</v>
      </c>
      <c r="M27" s="255">
        <f t="shared" si="8"/>
        <v>2009.41</v>
      </c>
      <c r="N27" s="255">
        <f t="shared" si="8"/>
        <v>2009.41</v>
      </c>
      <c r="O27" s="255">
        <f t="shared" si="8"/>
        <v>2009.41</v>
      </c>
      <c r="P27" s="255">
        <f t="shared" si="8"/>
        <v>2009.41</v>
      </c>
      <c r="Q27" s="255">
        <f t="shared" si="3"/>
        <v>23937.33</v>
      </c>
      <c r="R27" s="117" t="s">
        <v>343</v>
      </c>
    </row>
    <row r="28" spans="1:18" s="102" customFormat="1">
      <c r="A28" s="203" t="s">
        <v>111</v>
      </c>
      <c r="B28" s="101">
        <v>108</v>
      </c>
      <c r="C28" s="113">
        <v>3524</v>
      </c>
      <c r="D28" s="204">
        <f t="shared" si="0"/>
        <v>15.799988649262204</v>
      </c>
      <c r="E28" s="202">
        <v>4639.93</v>
      </c>
      <c r="F28" s="202">
        <f t="shared" si="2"/>
        <v>4639.93</v>
      </c>
      <c r="G28" s="202">
        <f t="shared" si="2"/>
        <v>4639.93</v>
      </c>
      <c r="H28" s="202">
        <f t="shared" si="2"/>
        <v>4639.93</v>
      </c>
      <c r="I28" s="202">
        <f t="shared" si="2"/>
        <v>4639.93</v>
      </c>
      <c r="J28" s="202">
        <f t="shared" si="2"/>
        <v>4639.93</v>
      </c>
      <c r="K28" s="202">
        <f t="shared" si="2"/>
        <v>4639.93</v>
      </c>
      <c r="L28" s="202">
        <f t="shared" si="2"/>
        <v>4639.93</v>
      </c>
      <c r="M28" s="202">
        <f t="shared" si="2"/>
        <v>4639.93</v>
      </c>
      <c r="N28" s="202">
        <f t="shared" si="2"/>
        <v>4639.93</v>
      </c>
      <c r="O28" s="202">
        <f t="shared" si="2"/>
        <v>4639.93</v>
      </c>
      <c r="P28" s="202">
        <f t="shared" si="2"/>
        <v>4639.93</v>
      </c>
      <c r="Q28" s="202">
        <f t="shared" si="3"/>
        <v>55679.16</v>
      </c>
      <c r="R28" s="205" t="s">
        <v>344</v>
      </c>
    </row>
    <row r="29" spans="1:18" ht="12" customHeight="1">
      <c r="A29" s="206" t="s">
        <v>120</v>
      </c>
      <c r="B29" s="329">
        <v>111</v>
      </c>
      <c r="C29" s="330">
        <v>3007</v>
      </c>
      <c r="D29" s="331">
        <f t="shared" si="0"/>
        <v>24.703558363817759</v>
      </c>
      <c r="E29" s="332"/>
      <c r="F29" s="332"/>
      <c r="G29" s="332"/>
      <c r="H29" s="332"/>
      <c r="I29" s="332"/>
      <c r="J29" s="332"/>
      <c r="K29" s="333">
        <v>6190.3</v>
      </c>
      <c r="L29" s="333">
        <f>K29</f>
        <v>6190.3</v>
      </c>
      <c r="M29" s="333">
        <f t="shared" si="2"/>
        <v>6190.3</v>
      </c>
      <c r="N29" s="333">
        <f t="shared" si="2"/>
        <v>6190.3</v>
      </c>
      <c r="O29" s="333">
        <f t="shared" si="2"/>
        <v>6190.3</v>
      </c>
      <c r="P29" s="333">
        <f t="shared" si="2"/>
        <v>6190.3</v>
      </c>
      <c r="Q29" s="332">
        <f>SUM(E29:P29)</f>
        <v>37141.800000000003</v>
      </c>
      <c r="R29" s="118" t="s">
        <v>345</v>
      </c>
    </row>
    <row r="30" spans="1:18">
      <c r="A30" s="88"/>
      <c r="B30" s="2"/>
      <c r="C30" s="61"/>
      <c r="D30" s="69"/>
      <c r="E30" s="62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255">
        <f t="shared" ref="Q30" si="9">SUM(E30:P30)</f>
        <v>0</v>
      </c>
      <c r="R30" s="2"/>
    </row>
    <row r="31" spans="1:18">
      <c r="A31" s="88"/>
      <c r="B31" s="2"/>
      <c r="C31" s="61"/>
      <c r="D31" s="69"/>
      <c r="E31" s="62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2"/>
    </row>
    <row r="32" spans="1:18">
      <c r="A32" s="2"/>
      <c r="B32" s="2"/>
      <c r="C32" s="61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2"/>
    </row>
    <row r="33" spans="1:17">
      <c r="A33" s="334"/>
      <c r="B33" s="335"/>
      <c r="C33" s="336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8"/>
    </row>
    <row r="34" spans="1:17">
      <c r="A34" s="339" t="s">
        <v>169</v>
      </c>
      <c r="B34" s="340"/>
      <c r="C34" s="341">
        <f>SUM(C14:C33)</f>
        <v>67709</v>
      </c>
      <c r="D34" s="342"/>
      <c r="E34" s="342">
        <f>SUM(E14:E33)</f>
        <v>105478.31999999998</v>
      </c>
      <c r="F34" s="342">
        <f t="shared" ref="F34:P34" si="10">SUM(F14:F33)</f>
        <v>105478.31999999998</v>
      </c>
      <c r="G34" s="342">
        <f t="shared" si="10"/>
        <v>105478.31999999998</v>
      </c>
      <c r="H34" s="342">
        <f t="shared" si="10"/>
        <v>105710.70999999999</v>
      </c>
      <c r="I34" s="342">
        <f t="shared" si="10"/>
        <v>105784.96999999997</v>
      </c>
      <c r="J34" s="342">
        <f t="shared" si="10"/>
        <v>105784.96999999997</v>
      </c>
      <c r="K34" s="342">
        <f t="shared" si="10"/>
        <v>112023.68999999999</v>
      </c>
      <c r="L34" s="342">
        <f t="shared" si="10"/>
        <v>112023.68999999999</v>
      </c>
      <c r="M34" s="342">
        <f t="shared" si="10"/>
        <v>112023.68999999999</v>
      </c>
      <c r="N34" s="342">
        <f t="shared" si="10"/>
        <v>112500.34999999999</v>
      </c>
      <c r="O34" s="342">
        <f t="shared" si="10"/>
        <v>112675.92999999998</v>
      </c>
      <c r="P34" s="342">
        <f t="shared" si="10"/>
        <v>112675.92999999998</v>
      </c>
      <c r="Q34" s="343">
        <f>SUM(Q14:Q29)</f>
        <v>1307638.8900000001</v>
      </c>
    </row>
    <row r="35" spans="1:17">
      <c r="A35" s="344"/>
      <c r="B35" s="345"/>
      <c r="C35" s="345"/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6"/>
      <c r="Q35" s="347"/>
    </row>
    <row r="36" spans="1:17">
      <c r="A36" s="2"/>
      <c r="B36" s="2"/>
      <c r="C36" s="116"/>
      <c r="D36" s="326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</row>
    <row r="37" spans="1:17">
      <c r="A37" s="2"/>
      <c r="B37" s="2"/>
      <c r="C37" s="116"/>
      <c r="D37" s="326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</row>
    <row r="38" spans="1:17">
      <c r="A38" s="2" t="s">
        <v>346</v>
      </c>
      <c r="B38" s="2"/>
      <c r="C38" s="229">
        <f>C34-C14</f>
        <v>32709</v>
      </c>
      <c r="D38" s="2"/>
      <c r="E38" s="250">
        <f t="shared" ref="E38:P38" si="11">E34-E14</f>
        <v>52540.319999999978</v>
      </c>
      <c r="F38" s="250">
        <f t="shared" si="11"/>
        <v>52540.319999999978</v>
      </c>
      <c r="G38" s="250">
        <f t="shared" si="11"/>
        <v>52540.319999999978</v>
      </c>
      <c r="H38" s="250">
        <f t="shared" si="11"/>
        <v>52772.709999999992</v>
      </c>
      <c r="I38" s="250">
        <f t="shared" si="11"/>
        <v>52846.969999999972</v>
      </c>
      <c r="J38" s="250">
        <f t="shared" si="11"/>
        <v>52846.969999999972</v>
      </c>
      <c r="K38" s="250">
        <f t="shared" si="11"/>
        <v>59085.689999999988</v>
      </c>
      <c r="L38" s="250">
        <f t="shared" si="11"/>
        <v>59085.689999999988</v>
      </c>
      <c r="M38" s="250">
        <f t="shared" si="11"/>
        <v>59085.689999999988</v>
      </c>
      <c r="N38" s="250">
        <f t="shared" si="11"/>
        <v>59562.349999999991</v>
      </c>
      <c r="O38" s="250">
        <f t="shared" si="11"/>
        <v>59737.929999999978</v>
      </c>
      <c r="P38" s="250">
        <f t="shared" si="11"/>
        <v>59737.929999999978</v>
      </c>
      <c r="Q38" s="250"/>
    </row>
    <row r="41" spans="1:17">
      <c r="A41" s="2"/>
      <c r="B41" s="2"/>
      <c r="C41" s="2"/>
      <c r="D41" s="348" t="s">
        <v>347</v>
      </c>
      <c r="E41" s="349">
        <f>E34-Summary!C13</f>
        <v>0</v>
      </c>
      <c r="F41" s="349">
        <f>F34-Summary!D13</f>
        <v>0</v>
      </c>
      <c r="G41" s="349">
        <f>G34-Summary!E13</f>
        <v>0</v>
      </c>
      <c r="H41" s="349">
        <f>H34-Summary!F13</f>
        <v>0</v>
      </c>
      <c r="I41" s="349">
        <f>I34-Summary!G13</f>
        <v>0</v>
      </c>
      <c r="J41" s="349">
        <f>J34-Summary!H13</f>
        <v>0</v>
      </c>
      <c r="K41" s="349">
        <f>K34-Summary!I13</f>
        <v>0</v>
      </c>
      <c r="L41" s="349">
        <f>L34-Summary!J13</f>
        <v>0</v>
      </c>
      <c r="M41" s="349">
        <f>M34-Summary!K13</f>
        <v>0</v>
      </c>
      <c r="N41" s="349">
        <f>N34-Summary!L13</f>
        <v>0</v>
      </c>
      <c r="O41" s="349">
        <f>O34-Summary!M13</f>
        <v>0</v>
      </c>
      <c r="P41" s="350">
        <f>P34-Summary!N13</f>
        <v>0</v>
      </c>
      <c r="Q41" s="2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2" firstPageNumber="5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2" type="noConversion"/>
  <printOptions horizontalCentered="1"/>
  <pageMargins left="0" right="0" top="0.5" bottom="0.7" header="0.5" footer="0.5"/>
  <pageSetup paperSize="3" scale="94" fitToHeight="0" orientation="landscape" useFirstPageNumber="1" r:id="rId2"/>
  <headerFooter alignWithMargins="0">
    <oddFooter>Page &amp;P</oddFooter>
  </headerFooter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0"/>
    <pageSetUpPr fitToPage="1"/>
  </sheetPr>
  <dimension ref="A1:S1048559"/>
  <sheetViews>
    <sheetView topLeftCell="F1" zoomScaleNormal="100" workbookViewId="0">
      <selection activeCell="V2" sqref="V2"/>
    </sheetView>
  </sheetViews>
  <sheetFormatPr defaultColWidth="9.42578125" defaultRowHeight="15.4"/>
  <cols>
    <col min="1" max="1" width="34" style="89" customWidth="1"/>
    <col min="2" max="2" width="10.42578125" style="89" customWidth="1"/>
    <col min="3" max="3" width="11.42578125" style="89" customWidth="1"/>
    <col min="4" max="6" width="10.42578125" style="89" bestFit="1" customWidth="1"/>
    <col min="7" max="15" width="9.42578125" style="89" bestFit="1" customWidth="1"/>
    <col min="16" max="16" width="11.42578125" style="89" bestFit="1" customWidth="1"/>
    <col min="17" max="17" width="9.42578125" style="89"/>
    <col min="18" max="19" width="11.42578125" style="89" bestFit="1" customWidth="1"/>
    <col min="20" max="16384" width="9.42578125" style="89"/>
  </cols>
  <sheetData>
    <row r="1" spans="1:1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9" t="str">
        <f>Summary!T4</f>
        <v>Date Revised:</v>
      </c>
      <c r="P1" s="40">
        <f ca="1">Summary!U4</f>
        <v>46269</v>
      </c>
      <c r="Q1" s="351">
        <f>Summary!W4</f>
        <v>0</v>
      </c>
      <c r="R1" s="2"/>
      <c r="S1" s="2"/>
    </row>
    <row r="2" spans="1:19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2"/>
      <c r="R2" s="2"/>
      <c r="S2" s="2"/>
    </row>
    <row r="3" spans="1:19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2"/>
      <c r="R3" s="2"/>
      <c r="S3" s="2"/>
    </row>
    <row r="4" spans="1:19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2"/>
      <c r="R4" s="2"/>
      <c r="S4" s="2"/>
    </row>
    <row r="5" spans="1:19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2"/>
      <c r="R5" s="2"/>
      <c r="S5" s="2"/>
    </row>
    <row r="6" spans="1:19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2"/>
      <c r="R6" s="2"/>
      <c r="S6" s="2"/>
    </row>
    <row r="7" spans="1:19">
      <c r="A7" s="2"/>
      <c r="B7" s="2"/>
      <c r="C7" s="2"/>
      <c r="D7" s="2"/>
      <c r="E7" s="2"/>
      <c r="F7" s="2"/>
      <c r="G7" s="4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2"/>
      <c r="R8" s="2"/>
      <c r="S8" s="2"/>
    </row>
    <row r="9" spans="1:19">
      <c r="A9" s="44" t="s">
        <v>15</v>
      </c>
      <c r="B9" s="44" t="s">
        <v>316</v>
      </c>
      <c r="C9" s="44" t="s">
        <v>165</v>
      </c>
      <c r="D9" s="44" t="s">
        <v>129</v>
      </c>
      <c r="E9" s="44" t="s">
        <v>130</v>
      </c>
      <c r="F9" s="44" t="s">
        <v>131</v>
      </c>
      <c r="G9" s="44" t="s">
        <v>132</v>
      </c>
      <c r="H9" s="44" t="s">
        <v>133</v>
      </c>
      <c r="I9" s="44" t="s">
        <v>134</v>
      </c>
      <c r="J9" s="44" t="s">
        <v>135</v>
      </c>
      <c r="K9" s="44" t="s">
        <v>136</v>
      </c>
      <c r="L9" s="44" t="s">
        <v>137</v>
      </c>
      <c r="M9" s="44" t="s">
        <v>138</v>
      </c>
      <c r="N9" s="44" t="s">
        <v>139</v>
      </c>
      <c r="O9" s="44" t="s">
        <v>140</v>
      </c>
      <c r="P9" s="44" t="s">
        <v>169</v>
      </c>
      <c r="Q9" s="2"/>
      <c r="R9" s="2"/>
      <c r="S9" s="2"/>
    </row>
    <row r="10" spans="1:19">
      <c r="A10" s="45"/>
      <c r="B10" s="46" t="s">
        <v>318</v>
      </c>
      <c r="C10" s="46" t="s">
        <v>319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2"/>
      <c r="R10" s="2"/>
      <c r="S10" s="2"/>
    </row>
    <row r="11" spans="1:19">
      <c r="A11" s="51"/>
      <c r="B11" s="2"/>
      <c r="C11" s="116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2"/>
      <c r="R11" s="2"/>
      <c r="S11" s="2"/>
    </row>
    <row r="12" spans="1:19" ht="15.95" customHeight="1">
      <c r="A12" s="352" t="s">
        <v>348</v>
      </c>
      <c r="B12" s="2"/>
      <c r="C12" s="116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2"/>
      <c r="R12" s="2"/>
      <c r="S12" s="2"/>
    </row>
    <row r="13" spans="1:19">
      <c r="A13" s="2"/>
      <c r="B13" s="2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2"/>
      <c r="R13" s="2"/>
      <c r="S13" s="2"/>
    </row>
    <row r="14" spans="1:19" s="95" customFormat="1">
      <c r="A14" s="2" t="s">
        <v>349</v>
      </c>
      <c r="B14" s="60"/>
      <c r="C14" s="61"/>
      <c r="D14" s="161">
        <v>0</v>
      </c>
      <c r="E14" s="161">
        <v>0</v>
      </c>
      <c r="F14" s="161">
        <v>0</v>
      </c>
      <c r="G14" s="161">
        <v>0</v>
      </c>
      <c r="H14" s="161">
        <v>0</v>
      </c>
      <c r="I14" s="161">
        <v>0</v>
      </c>
      <c r="J14" s="161">
        <v>0</v>
      </c>
      <c r="K14" s="161">
        <v>0</v>
      </c>
      <c r="L14" s="161">
        <v>0</v>
      </c>
      <c r="M14" s="161">
        <v>0</v>
      </c>
      <c r="N14" s="161">
        <v>0</v>
      </c>
      <c r="O14" s="161">
        <v>0</v>
      </c>
      <c r="P14" s="161">
        <f>SUM(D14:O14)</f>
        <v>0</v>
      </c>
      <c r="Q14" s="249"/>
      <c r="R14" s="161"/>
      <c r="S14" s="148"/>
    </row>
    <row r="15" spans="1:19">
      <c r="A15" s="2"/>
      <c r="B15" s="60"/>
      <c r="C15" s="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2"/>
      <c r="R15" s="2"/>
      <c r="S15" s="2"/>
    </row>
    <row r="16" spans="1:19">
      <c r="A16" s="2"/>
      <c r="B16" s="60"/>
      <c r="C16" s="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2"/>
      <c r="R16" s="2"/>
      <c r="S16" s="2"/>
    </row>
    <row r="17" spans="1:19">
      <c r="A17" s="2"/>
      <c r="B17" s="2"/>
      <c r="C17" s="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2"/>
      <c r="R17" s="2"/>
      <c r="S17" s="2"/>
    </row>
    <row r="18" spans="1:19">
      <c r="A18" s="334"/>
      <c r="B18" s="335"/>
      <c r="C18" s="336"/>
      <c r="D18" s="353"/>
      <c r="E18" s="353"/>
      <c r="F18" s="353"/>
      <c r="G18" s="353"/>
      <c r="H18" s="353"/>
      <c r="I18" s="353"/>
      <c r="J18" s="353"/>
      <c r="K18" s="353"/>
      <c r="L18" s="353"/>
      <c r="M18" s="353"/>
      <c r="N18" s="353"/>
      <c r="O18" s="353"/>
      <c r="P18" s="354"/>
      <c r="Q18" s="2"/>
      <c r="R18" s="2"/>
      <c r="S18" s="2"/>
    </row>
    <row r="19" spans="1:19">
      <c r="A19" s="339" t="s">
        <v>169</v>
      </c>
      <c r="B19" s="340"/>
      <c r="C19" s="341">
        <f t="shared" ref="C19:P19" si="0">SUM(C14:C14)</f>
        <v>0</v>
      </c>
      <c r="D19" s="355">
        <f t="shared" si="0"/>
        <v>0</v>
      </c>
      <c r="E19" s="355">
        <f t="shared" si="0"/>
        <v>0</v>
      </c>
      <c r="F19" s="355">
        <f t="shared" si="0"/>
        <v>0</v>
      </c>
      <c r="G19" s="355">
        <f t="shared" si="0"/>
        <v>0</v>
      </c>
      <c r="H19" s="355">
        <f t="shared" si="0"/>
        <v>0</v>
      </c>
      <c r="I19" s="355">
        <f t="shared" si="0"/>
        <v>0</v>
      </c>
      <c r="J19" s="355">
        <f t="shared" si="0"/>
        <v>0</v>
      </c>
      <c r="K19" s="355">
        <f t="shared" si="0"/>
        <v>0</v>
      </c>
      <c r="L19" s="355">
        <f t="shared" si="0"/>
        <v>0</v>
      </c>
      <c r="M19" s="355">
        <f t="shared" si="0"/>
        <v>0</v>
      </c>
      <c r="N19" s="355">
        <f t="shared" si="0"/>
        <v>0</v>
      </c>
      <c r="O19" s="355">
        <f t="shared" si="0"/>
        <v>0</v>
      </c>
      <c r="P19" s="356">
        <f t="shared" si="0"/>
        <v>0</v>
      </c>
      <c r="Q19" s="2"/>
      <c r="R19" s="2"/>
      <c r="S19" s="2"/>
    </row>
    <row r="20" spans="1:19">
      <c r="A20" s="344"/>
      <c r="B20" s="345"/>
      <c r="C20" s="346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357"/>
      <c r="O20" s="357"/>
      <c r="P20" s="358"/>
      <c r="Q20" s="2"/>
      <c r="R20" s="2"/>
      <c r="S20" s="2"/>
    </row>
    <row r="21" spans="1:19">
      <c r="A21" s="2"/>
      <c r="B21" s="2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2"/>
      <c r="R21" s="2"/>
      <c r="S21" s="2"/>
    </row>
    <row r="24" spans="1:19">
      <c r="A24" s="42"/>
      <c r="B24" s="42"/>
      <c r="C24" s="43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2"/>
      <c r="R24" s="2"/>
      <c r="S24" s="2"/>
    </row>
    <row r="25" spans="1:19">
      <c r="A25" s="44" t="s">
        <v>15</v>
      </c>
      <c r="B25" s="44" t="s">
        <v>316</v>
      </c>
      <c r="C25" s="44" t="s">
        <v>165</v>
      </c>
      <c r="D25" s="44" t="s">
        <v>129</v>
      </c>
      <c r="E25" s="44" t="s">
        <v>130</v>
      </c>
      <c r="F25" s="44" t="s">
        <v>131</v>
      </c>
      <c r="G25" s="44" t="s">
        <v>132</v>
      </c>
      <c r="H25" s="44" t="s">
        <v>133</v>
      </c>
      <c r="I25" s="44" t="s">
        <v>134</v>
      </c>
      <c r="J25" s="44" t="s">
        <v>135</v>
      </c>
      <c r="K25" s="44" t="s">
        <v>136</v>
      </c>
      <c r="L25" s="44" t="s">
        <v>137</v>
      </c>
      <c r="M25" s="44" t="s">
        <v>138</v>
      </c>
      <c r="N25" s="44" t="s">
        <v>139</v>
      </c>
      <c r="O25" s="44" t="s">
        <v>140</v>
      </c>
      <c r="P25" s="44" t="s">
        <v>169</v>
      </c>
      <c r="Q25" s="2"/>
      <c r="R25" s="2"/>
      <c r="S25" s="2"/>
    </row>
    <row r="26" spans="1:19">
      <c r="A26" s="45"/>
      <c r="B26" s="46" t="s">
        <v>318</v>
      </c>
      <c r="C26" s="46" t="s">
        <v>319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2"/>
      <c r="R26" s="2"/>
      <c r="S26" s="2"/>
    </row>
    <row r="27" spans="1:19">
      <c r="A27" s="51"/>
      <c r="B27" s="2"/>
      <c r="C27" s="116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2"/>
      <c r="R27" s="2"/>
      <c r="S27" s="2"/>
    </row>
    <row r="28" spans="1:19" ht="15.95" customHeight="1">
      <c r="A28" s="359" t="s">
        <v>350</v>
      </c>
      <c r="B28" s="2"/>
      <c r="C28" s="116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2"/>
      <c r="R28" s="2"/>
      <c r="S28" s="2"/>
    </row>
    <row r="29" spans="1:19">
      <c r="A29" s="2"/>
      <c r="B29" s="2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2"/>
      <c r="R29" s="2"/>
      <c r="S29" s="2"/>
    </row>
    <row r="30" spans="1:19" s="95" customFormat="1">
      <c r="A30" s="2" t="s">
        <v>349</v>
      </c>
      <c r="B30" s="2"/>
      <c r="C30" s="2"/>
      <c r="D30" s="161">
        <v>0</v>
      </c>
      <c r="E30" s="161">
        <v>0</v>
      </c>
      <c r="F30" s="161">
        <v>0</v>
      </c>
      <c r="G30" s="161">
        <v>0</v>
      </c>
      <c r="H30" s="161">
        <v>0</v>
      </c>
      <c r="I30" s="161">
        <v>0</v>
      </c>
      <c r="J30" s="161">
        <v>0</v>
      </c>
      <c r="K30" s="161">
        <v>0</v>
      </c>
      <c r="L30" s="161">
        <v>0</v>
      </c>
      <c r="M30" s="161">
        <v>0</v>
      </c>
      <c r="N30" s="161">
        <v>0</v>
      </c>
      <c r="O30" s="161">
        <v>0</v>
      </c>
      <c r="P30" s="161">
        <f>SUM(D30:O30)</f>
        <v>0</v>
      </c>
      <c r="Q30" s="249"/>
      <c r="R30" s="161"/>
      <c r="S30" s="148"/>
    </row>
    <row r="31" spans="1:19">
      <c r="A31" s="2"/>
      <c r="B31" s="60"/>
      <c r="C31" s="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2"/>
      <c r="R31" s="2"/>
      <c r="S31" s="2"/>
    </row>
    <row r="32" spans="1:19">
      <c r="A32" s="2"/>
      <c r="B32" s="60"/>
      <c r="C32" s="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2"/>
      <c r="R32" s="2"/>
      <c r="S32" s="2"/>
    </row>
    <row r="33" spans="1:16">
      <c r="A33" s="2"/>
      <c r="B33" s="2"/>
      <c r="C33" s="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</row>
    <row r="34" spans="1:16">
      <c r="A34" s="334"/>
      <c r="B34" s="335"/>
      <c r="C34" s="336"/>
      <c r="D34" s="353"/>
      <c r="E34" s="353"/>
      <c r="F34" s="353"/>
      <c r="G34" s="353"/>
      <c r="H34" s="353"/>
      <c r="I34" s="353"/>
      <c r="J34" s="353"/>
      <c r="K34" s="353"/>
      <c r="L34" s="353"/>
      <c r="M34" s="353"/>
      <c r="N34" s="353"/>
      <c r="O34" s="353"/>
      <c r="P34" s="354"/>
    </row>
    <row r="35" spans="1:16">
      <c r="A35" s="339" t="s">
        <v>169</v>
      </c>
      <c r="B35" s="340"/>
      <c r="C35" s="341">
        <f t="shared" ref="C35:P35" si="1">SUM(C30:C30)</f>
        <v>0</v>
      </c>
      <c r="D35" s="355">
        <f t="shared" si="1"/>
        <v>0</v>
      </c>
      <c r="E35" s="355">
        <f t="shared" si="1"/>
        <v>0</v>
      </c>
      <c r="F35" s="355">
        <f t="shared" si="1"/>
        <v>0</v>
      </c>
      <c r="G35" s="355">
        <f t="shared" si="1"/>
        <v>0</v>
      </c>
      <c r="H35" s="355">
        <f t="shared" si="1"/>
        <v>0</v>
      </c>
      <c r="I35" s="355">
        <f t="shared" si="1"/>
        <v>0</v>
      </c>
      <c r="J35" s="355">
        <f t="shared" si="1"/>
        <v>0</v>
      </c>
      <c r="K35" s="355">
        <f t="shared" si="1"/>
        <v>0</v>
      </c>
      <c r="L35" s="355">
        <f t="shared" si="1"/>
        <v>0</v>
      </c>
      <c r="M35" s="355">
        <f t="shared" si="1"/>
        <v>0</v>
      </c>
      <c r="N35" s="355">
        <f t="shared" si="1"/>
        <v>0</v>
      </c>
      <c r="O35" s="355">
        <f t="shared" si="1"/>
        <v>0</v>
      </c>
      <c r="P35" s="356">
        <f t="shared" si="1"/>
        <v>0</v>
      </c>
    </row>
    <row r="36" spans="1:16">
      <c r="A36" s="344"/>
      <c r="B36" s="345"/>
      <c r="C36" s="346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357"/>
      <c r="O36" s="357"/>
      <c r="P36" s="358"/>
    </row>
    <row r="1048559" spans="18:18">
      <c r="R1048559" s="161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3" firstPageNumber="6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P6"/>
    <mergeCell ref="A2:P2"/>
    <mergeCell ref="A3:P3"/>
    <mergeCell ref="A4:P4"/>
    <mergeCell ref="A5:P5"/>
  </mergeCells>
  <phoneticPr fontId="2" type="noConversion"/>
  <printOptions horizontalCentered="1"/>
  <pageMargins left="0.5" right="0.5" top="0.5" bottom="0.75" header="0.5" footer="0.5"/>
  <pageSetup scale="64" firstPageNumber="4" orientation="landscape" useFirstPageNumber="1" r:id="rId2"/>
  <headerFooter alignWithMargins="0">
    <oddFooter>Page &amp;P</oddFooter>
  </headerFooter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V42"/>
  <sheetViews>
    <sheetView topLeftCell="A10" zoomScaleNormal="100" zoomScaleSheetLayoutView="120" workbookViewId="0">
      <selection activeCell="E14" sqref="E14:P29"/>
    </sheetView>
  </sheetViews>
  <sheetFormatPr defaultColWidth="9.42578125" defaultRowHeight="15.4"/>
  <cols>
    <col min="1" max="1" width="37" style="89" customWidth="1"/>
    <col min="2" max="2" width="9.42578125" style="89" bestFit="1" customWidth="1"/>
    <col min="3" max="3" width="11" style="89" customWidth="1"/>
    <col min="4" max="4" width="12.42578125" style="89" customWidth="1"/>
    <col min="5" max="5" width="13.42578125" style="89" customWidth="1"/>
    <col min="6" max="7" width="10.42578125" style="89" bestFit="1" customWidth="1"/>
    <col min="8" max="8" width="10.42578125" style="89" customWidth="1"/>
    <col min="9" max="10" width="10.42578125" style="89" bestFit="1" customWidth="1"/>
    <col min="11" max="11" width="13.42578125" style="89" customWidth="1"/>
    <col min="12" max="13" width="10.42578125" style="89" bestFit="1" customWidth="1"/>
    <col min="14" max="14" width="13" style="89" customWidth="1"/>
    <col min="15" max="16" width="10.42578125" style="89" bestFit="1" customWidth="1"/>
    <col min="17" max="17" width="12.42578125" style="89" bestFit="1" customWidth="1"/>
    <col min="18" max="19" width="6.42578125" style="89" customWidth="1"/>
    <col min="20" max="20" width="4.42578125" style="89" customWidth="1"/>
    <col min="21" max="21" width="8.42578125" style="93" customWidth="1"/>
    <col min="22" max="16384" width="9.42578125" style="89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46269</v>
      </c>
      <c r="R1" s="40"/>
      <c r="S1" s="40"/>
      <c r="T1" s="2"/>
      <c r="V1" s="2">
        <f>Summary!W4</f>
        <v>0</v>
      </c>
    </row>
    <row r="2" spans="1:22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88"/>
      <c r="S2" s="88"/>
      <c r="T2" s="2"/>
      <c r="V2" s="2"/>
    </row>
    <row r="3" spans="1:22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88"/>
      <c r="S3" s="88"/>
      <c r="T3" s="2"/>
      <c r="V3" s="2"/>
    </row>
    <row r="4" spans="1:22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88"/>
      <c r="S4" s="88"/>
      <c r="T4" s="2"/>
      <c r="V4" s="2"/>
    </row>
    <row r="5" spans="1:22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88"/>
      <c r="S5" s="88"/>
      <c r="T5" s="2"/>
      <c r="V5" s="2"/>
    </row>
    <row r="6" spans="1:22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88"/>
      <c r="S6" s="88"/>
      <c r="T6" s="2"/>
      <c r="V6" s="2"/>
    </row>
    <row r="7" spans="1:22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V7" s="2"/>
    </row>
    <row r="8" spans="1:22">
      <c r="A8" s="42"/>
      <c r="B8" s="42"/>
      <c r="C8" s="360"/>
      <c r="D8" s="213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V8" s="2"/>
    </row>
    <row r="9" spans="1:22" ht="61.35">
      <c r="A9" s="44" t="s">
        <v>15</v>
      </c>
      <c r="B9" s="44" t="s">
        <v>316</v>
      </c>
      <c r="C9" s="339" t="s">
        <v>165</v>
      </c>
      <c r="D9" s="339" t="s">
        <v>351</v>
      </c>
      <c r="E9" s="44" t="s">
        <v>129</v>
      </c>
      <c r="F9" s="44" t="s">
        <v>130</v>
      </c>
      <c r="G9" s="44" t="s">
        <v>131</v>
      </c>
      <c r="H9" s="44" t="s">
        <v>132</v>
      </c>
      <c r="I9" s="44" t="s">
        <v>133</v>
      </c>
      <c r="J9" s="44" t="s">
        <v>134</v>
      </c>
      <c r="K9" s="44" t="s">
        <v>135</v>
      </c>
      <c r="L9" s="44" t="s">
        <v>136</v>
      </c>
      <c r="M9" s="44" t="s">
        <v>137</v>
      </c>
      <c r="N9" s="44" t="s">
        <v>138</v>
      </c>
      <c r="O9" s="44" t="s">
        <v>139</v>
      </c>
      <c r="P9" s="44" t="s">
        <v>140</v>
      </c>
      <c r="Q9" s="44" t="s">
        <v>169</v>
      </c>
      <c r="R9" s="44">
        <v>2015</v>
      </c>
      <c r="S9" s="218" t="s">
        <v>352</v>
      </c>
      <c r="T9" s="218">
        <v>2014</v>
      </c>
      <c r="U9" s="93" t="s">
        <v>353</v>
      </c>
      <c r="V9" s="2" t="s">
        <v>13</v>
      </c>
    </row>
    <row r="10" spans="1:22">
      <c r="A10" s="45"/>
      <c r="B10" s="46" t="s">
        <v>318</v>
      </c>
      <c r="C10" s="361" t="s">
        <v>319</v>
      </c>
      <c r="D10" s="46" t="s">
        <v>354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V10" s="2"/>
    </row>
    <row r="12" spans="1:22">
      <c r="A12" s="253" t="s">
        <v>355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V12" s="2"/>
    </row>
    <row r="13" spans="1:22">
      <c r="A13" s="51"/>
      <c r="B13" s="2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"/>
      <c r="V13" s="2"/>
    </row>
    <row r="14" spans="1:22">
      <c r="A14" s="2" t="str">
        <f>Rent!A14</f>
        <v>EOS Fitness</v>
      </c>
      <c r="B14" s="60" t="str">
        <f>Rent!B14</f>
        <v>Major A</v>
      </c>
      <c r="C14" s="61">
        <f>Rent!C14</f>
        <v>35000</v>
      </c>
      <c r="D14" s="362">
        <f>C14/($C$35)</f>
        <v>0.51691798726904847</v>
      </c>
      <c r="E14" s="250">
        <f>IF(Rent!E14=0,0,('Tenant Charges'!$F10))</f>
        <v>4021.8169162499994</v>
      </c>
      <c r="F14" s="250">
        <f>IF(Rent!F14=0,0,('Tenant Charges'!$F10))</f>
        <v>4021.8169162499994</v>
      </c>
      <c r="G14" s="250">
        <f>IF(Rent!G14=0,0,('Tenant Charges'!$F10))</f>
        <v>4021.8169162499994</v>
      </c>
      <c r="H14" s="250">
        <f>IF(Rent!H14=0,0,('Tenant Charges'!$F10))</f>
        <v>4021.8169162499994</v>
      </c>
      <c r="I14" s="250">
        <f>IF(Rent!I14=0,0,('Tenant Charges'!$F10))</f>
        <v>4021.8169162499994</v>
      </c>
      <c r="J14" s="250">
        <f>IF(Rent!J14=0,0,('Tenant Charges'!$F10))</f>
        <v>4021.8169162499994</v>
      </c>
      <c r="K14" s="250">
        <f>IF(Rent!K14=0,0,('Tenant Charges'!$F10))</f>
        <v>4021.8169162499994</v>
      </c>
      <c r="L14" s="250">
        <f>IF(Rent!L14=0,0,('Tenant Charges'!$F10))</f>
        <v>4021.8169162499994</v>
      </c>
      <c r="M14" s="250">
        <f>IF(Rent!M14=0,0,('Tenant Charges'!$F10))</f>
        <v>4021.8169162499994</v>
      </c>
      <c r="N14" s="250">
        <f>IF(Rent!N14=0,0,('Tenant Charges'!$F10))</f>
        <v>4021.8169162499994</v>
      </c>
      <c r="O14" s="250">
        <f>IF(Rent!O14=0,0,('Tenant Charges'!$F10))</f>
        <v>4021.8169162499994</v>
      </c>
      <c r="P14" s="250">
        <f>IF(Rent!P14=0,0,('Tenant Charges'!$F10))</f>
        <v>4021.8169162499994</v>
      </c>
      <c r="Q14" s="69">
        <f>SUM(E14:P14)</f>
        <v>48261.802994999984</v>
      </c>
      <c r="R14" s="363"/>
      <c r="S14" s="69">
        <f>SUM(F14:Q14)</f>
        <v>92501.789073749969</v>
      </c>
      <c r="T14" s="148"/>
      <c r="U14" s="93">
        <v>3669.63</v>
      </c>
      <c r="V14" s="250">
        <f>U14-P14</f>
        <v>-352.18691624999929</v>
      </c>
    </row>
    <row r="15" spans="1:22">
      <c r="A15" s="2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f t="shared" ref="D15:D29" si="0">C15/$C$35</f>
        <v>4.4307256051632722E-2</v>
      </c>
      <c r="E15" s="250">
        <f>IF(Rent!E15=0,0,('Tenant Charges'!$F11))</f>
        <v>583.52591605251894</v>
      </c>
      <c r="F15" s="250">
        <f>IF(Rent!F15=0,0,('Tenant Charges'!$F11))</f>
        <v>583.52591605251894</v>
      </c>
      <c r="G15" s="250">
        <f>IF(Rent!G15=0,0,('Tenant Charges'!$F11))</f>
        <v>583.52591605251894</v>
      </c>
      <c r="H15" s="250">
        <f>IF(Rent!H15=0,0,('Tenant Charges'!$F11))</f>
        <v>583.52591605251894</v>
      </c>
      <c r="I15" s="250">
        <f>IF(Rent!I15=0,0,('Tenant Charges'!$F11))</f>
        <v>583.52591605251894</v>
      </c>
      <c r="J15" s="250">
        <f>IF(Rent!J15=0,0,('Tenant Charges'!$F11))</f>
        <v>583.52591605251894</v>
      </c>
      <c r="K15" s="250">
        <f>IF(Rent!K15=0,0,('Tenant Charges'!$F11))</f>
        <v>583.52591605251894</v>
      </c>
      <c r="L15" s="250">
        <f>IF(Rent!L15=0,0,('Tenant Charges'!$F11))</f>
        <v>583.52591605251894</v>
      </c>
      <c r="M15" s="250">
        <f>IF(Rent!M15=0,0,('Tenant Charges'!$F11))</f>
        <v>583.52591605251894</v>
      </c>
      <c r="N15" s="250">
        <f>IF(Rent!N15=0,0,('Tenant Charges'!$F11))</f>
        <v>583.52591605251894</v>
      </c>
      <c r="O15" s="250">
        <f>IF(Rent!O15=0,0,('Tenant Charges'!$F11))</f>
        <v>583.52591605251894</v>
      </c>
      <c r="P15" s="250">
        <f>IF(Rent!P15=0,0,('Tenant Charges'!$F11))</f>
        <v>583.52591605251894</v>
      </c>
      <c r="Q15" s="69">
        <f>SUM(E15:P15)</f>
        <v>7002.3109926302286</v>
      </c>
      <c r="R15" s="148">
        <f t="shared" ref="R15:R27" si="1">Q15/C15</f>
        <v>2.3341036642100761</v>
      </c>
      <c r="S15" s="69">
        <f>262.76*12</f>
        <v>3153.12</v>
      </c>
      <c r="T15" s="148">
        <f t="shared" ref="T15:T28" si="2">S15/C15</f>
        <v>1.05104</v>
      </c>
      <c r="U15" s="93">
        <v>478.87</v>
      </c>
      <c r="V15" s="250">
        <f t="shared" ref="V15:V29" si="3">U15-P15</f>
        <v>-104.65591605251893</v>
      </c>
    </row>
    <row r="16" spans="1:22">
      <c r="A16" s="2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f t="shared" si="0"/>
        <v>2.3999763694634392E-2</v>
      </c>
      <c r="E16" s="250">
        <f>IF(Rent!E16=0,0,('Tenant Charges'!$F12))</f>
        <v>338.83978105488274</v>
      </c>
      <c r="F16" s="250">
        <f>IF(Rent!F16=0,0,('Tenant Charges'!$F12))</f>
        <v>338.83978105488274</v>
      </c>
      <c r="G16" s="250">
        <f>IF(Rent!G16=0,0,('Tenant Charges'!$F12))</f>
        <v>338.83978105488274</v>
      </c>
      <c r="H16" s="250">
        <f>IF(Rent!H16=0,0,('Tenant Charges'!$F12))</f>
        <v>338.83978105488274</v>
      </c>
      <c r="I16" s="250">
        <f>IF(Rent!I16=0,0,('Tenant Charges'!$F12))</f>
        <v>338.83978105488274</v>
      </c>
      <c r="J16" s="250">
        <f>IF(Rent!J16=0,0,('Tenant Charges'!$F12))</f>
        <v>338.83978105488274</v>
      </c>
      <c r="K16" s="250">
        <f>IF(Rent!K16=0,0,('Tenant Charges'!$F12))</f>
        <v>338.83978105488274</v>
      </c>
      <c r="L16" s="250">
        <f>IF(Rent!L16=0,0,('Tenant Charges'!$F12))</f>
        <v>338.83978105488274</v>
      </c>
      <c r="M16" s="250">
        <f>IF(Rent!M16=0,0,('Tenant Charges'!$F12))</f>
        <v>338.83978105488274</v>
      </c>
      <c r="N16" s="250">
        <f>IF(Rent!N16=0,0,('Tenant Charges'!$F12))</f>
        <v>338.83978105488274</v>
      </c>
      <c r="O16" s="250">
        <f>IF(Rent!O16=0,0,('Tenant Charges'!$F12))</f>
        <v>338.83978105488274</v>
      </c>
      <c r="P16" s="250">
        <f>IF(Rent!P16=0,0,('Tenant Charges'!$F12))</f>
        <v>338.83978105488274</v>
      </c>
      <c r="Q16" s="69">
        <f t="shared" ref="Q16:Q29" si="4">SUM(E16:P16)</f>
        <v>4066.0773726585926</v>
      </c>
      <c r="R16" s="148">
        <f t="shared" si="1"/>
        <v>2.5022014600975955</v>
      </c>
      <c r="S16" s="69">
        <v>0</v>
      </c>
      <c r="T16" s="148">
        <f t="shared" si="2"/>
        <v>0</v>
      </c>
      <c r="U16" s="93">
        <v>259.39</v>
      </c>
      <c r="V16" s="250">
        <f t="shared" si="3"/>
        <v>-79.449781054882749</v>
      </c>
    </row>
    <row r="17" spans="1:22">
      <c r="A17" s="2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f t="shared" si="0"/>
        <v>2.0676719490761938E-2</v>
      </c>
      <c r="E17" s="250">
        <f>IF(Rent!E17=0,0,('Tenant Charges'!$F13))</f>
        <v>272.31209415784218</v>
      </c>
      <c r="F17" s="250">
        <f>IF(Rent!F17=0,0,('Tenant Charges'!$F13))</f>
        <v>272.31209415784218</v>
      </c>
      <c r="G17" s="250">
        <f>IF(Rent!G17=0,0,('Tenant Charges'!$F13))</f>
        <v>272.31209415784218</v>
      </c>
      <c r="H17" s="250">
        <f>IF(Rent!H17=0,0,('Tenant Charges'!$F13))</f>
        <v>272.31209415784218</v>
      </c>
      <c r="I17" s="250">
        <f>IF(Rent!I17=0,0,('Tenant Charges'!$F13))</f>
        <v>272.31209415784218</v>
      </c>
      <c r="J17" s="250">
        <f>IF(Rent!J17=0,0,('Tenant Charges'!$F13))</f>
        <v>272.31209415784218</v>
      </c>
      <c r="K17" s="250">
        <f>IF(Rent!K17=0,0,('Tenant Charges'!$F13))</f>
        <v>272.31209415784218</v>
      </c>
      <c r="L17" s="250">
        <f>IF(Rent!L17=0,0,('Tenant Charges'!$F13))</f>
        <v>272.31209415784218</v>
      </c>
      <c r="M17" s="250">
        <f>IF(Rent!M17=0,0,('Tenant Charges'!$F13))</f>
        <v>272.31209415784218</v>
      </c>
      <c r="N17" s="250">
        <f>IF(Rent!N17=0,0,('Tenant Charges'!$F13))</f>
        <v>272.31209415784218</v>
      </c>
      <c r="O17" s="250">
        <f>IF(Rent!O17=0,0,('Tenant Charges'!$F13))</f>
        <v>272.31209415784218</v>
      </c>
      <c r="P17" s="250">
        <f>IF(Rent!P17=0,0,('Tenant Charges'!$F13))</f>
        <v>272.31209415784218</v>
      </c>
      <c r="Q17" s="69">
        <f t="shared" si="4"/>
        <v>3267.7451298941064</v>
      </c>
      <c r="R17" s="148"/>
      <c r="S17" s="69"/>
      <c r="T17" s="148"/>
      <c r="U17" s="93">
        <v>223.47</v>
      </c>
      <c r="V17" s="250">
        <f t="shared" si="3"/>
        <v>-48.842094157842183</v>
      </c>
    </row>
    <row r="18" spans="1:22">
      <c r="A18" s="2" t="str">
        <f>Rent!A18</f>
        <v>Green Spa, LLC</v>
      </c>
      <c r="B18" s="60" t="str">
        <f>Rent!B18</f>
        <v>B105</v>
      </c>
      <c r="C18" s="61">
        <f>Rent!C18</f>
        <v>1112</v>
      </c>
      <c r="D18" s="362">
        <f t="shared" si="0"/>
        <v>1.6423222909805194E-2</v>
      </c>
      <c r="E18" s="250">
        <f>IF(Rent!E18=0,0,('Tenant Charges'!$F14))</f>
        <v>216.2936062168003</v>
      </c>
      <c r="F18" s="250">
        <f>IF(Rent!F18=0,0,('Tenant Charges'!$F14))</f>
        <v>216.2936062168003</v>
      </c>
      <c r="G18" s="250">
        <f>IF(Rent!G18=0,0,('Tenant Charges'!$F14))</f>
        <v>216.2936062168003</v>
      </c>
      <c r="H18" s="250">
        <f>IF(Rent!H18=0,0,('Tenant Charges'!$F14))</f>
        <v>216.2936062168003</v>
      </c>
      <c r="I18" s="250">
        <f>IF(Rent!I18=0,0,('Tenant Charges'!$F14))</f>
        <v>216.2936062168003</v>
      </c>
      <c r="J18" s="250">
        <f>IF(Rent!J18=0,0,('Tenant Charges'!$F14))</f>
        <v>216.2936062168003</v>
      </c>
      <c r="K18" s="250">
        <f>IF(Rent!K18=0,0,('Tenant Charges'!$F14))</f>
        <v>216.2936062168003</v>
      </c>
      <c r="L18" s="250">
        <f>IF(Rent!L18=0,0,('Tenant Charges'!$F14))</f>
        <v>216.2936062168003</v>
      </c>
      <c r="M18" s="250">
        <f>IF(Rent!M18=0,0,('Tenant Charges'!$F14))</f>
        <v>216.2936062168003</v>
      </c>
      <c r="N18" s="250">
        <f>IF(Rent!N18=0,0,('Tenant Charges'!$F14))</f>
        <v>216.2936062168003</v>
      </c>
      <c r="O18" s="250">
        <f>IF(Rent!O18=0,0,('Tenant Charges'!$F14))</f>
        <v>216.2936062168003</v>
      </c>
      <c r="P18" s="250">
        <f>IF(Rent!P18=0,0,('Tenant Charges'!$F14))</f>
        <v>216.2936062168003</v>
      </c>
      <c r="Q18" s="69">
        <f t="shared" si="4"/>
        <v>2595.5232746016036</v>
      </c>
      <c r="R18" s="148">
        <f t="shared" si="1"/>
        <v>2.3341036642100752</v>
      </c>
      <c r="S18" s="69">
        <f>191.06*12</f>
        <v>2292.7200000000003</v>
      </c>
      <c r="T18" s="148">
        <f t="shared" si="2"/>
        <v>2.0617985611510794</v>
      </c>
      <c r="U18" s="93">
        <v>177.5</v>
      </c>
      <c r="V18" s="250">
        <f t="shared" si="3"/>
        <v>-38.793606216800299</v>
      </c>
    </row>
    <row r="19" spans="1:22">
      <c r="A19" s="2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f t="shared" si="0"/>
        <v>3.6834098864257335E-2</v>
      </c>
      <c r="E19" s="250">
        <f>IF(Rent!E19=0,0,('Tenant Charges'!$F15))</f>
        <v>450.2633236668633</v>
      </c>
      <c r="F19" s="250">
        <f>IF(Rent!F19=0,0,('Tenant Charges'!$F15))</f>
        <v>450.2633236668633</v>
      </c>
      <c r="G19" s="250">
        <f>IF(Rent!G19=0,0,('Tenant Charges'!$F15))</f>
        <v>450.2633236668633</v>
      </c>
      <c r="H19" s="250">
        <f>IF(Rent!H19=0,0,('Tenant Charges'!$F15))</f>
        <v>450.2633236668633</v>
      </c>
      <c r="I19" s="250">
        <f>IF(Rent!I19=0,0,('Tenant Charges'!$F15))</f>
        <v>450.2633236668633</v>
      </c>
      <c r="J19" s="250">
        <f>IF(Rent!J19=0,0,('Tenant Charges'!$F15))</f>
        <v>450.2633236668633</v>
      </c>
      <c r="K19" s="250">
        <f>IF(Rent!K19=0,0,('Tenant Charges'!$F15))</f>
        <v>450.2633236668633</v>
      </c>
      <c r="L19" s="250">
        <f>IF(Rent!L19=0,0,('Tenant Charges'!$F15))</f>
        <v>450.2633236668633</v>
      </c>
      <c r="M19" s="250">
        <f>IF(Rent!M19=0,0,('Tenant Charges'!$F15))</f>
        <v>450.2633236668633</v>
      </c>
      <c r="N19" s="250">
        <f>IF(Rent!N19=0,0,('Tenant Charges'!$F15))</f>
        <v>450.2633236668633</v>
      </c>
      <c r="O19" s="250">
        <f>IF(Rent!O19=0,0,('Tenant Charges'!$F15))</f>
        <v>450.2633236668633</v>
      </c>
      <c r="P19" s="250">
        <f>IF(Rent!P19=0,0,('Tenant Charges'!$F15))</f>
        <v>450.2633236668633</v>
      </c>
      <c r="Q19" s="69">
        <f t="shared" si="4"/>
        <v>5403.1598840023607</v>
      </c>
      <c r="R19" s="148">
        <f t="shared" si="1"/>
        <v>2.1664634659191502</v>
      </c>
      <c r="S19" s="69">
        <v>0</v>
      </c>
      <c r="T19" s="148">
        <f t="shared" si="2"/>
        <v>0</v>
      </c>
      <c r="U19" s="93">
        <v>398.1</v>
      </c>
      <c r="V19" s="250">
        <f t="shared" si="3"/>
        <v>-52.163323666863278</v>
      </c>
    </row>
    <row r="20" spans="1:22">
      <c r="A20" s="2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f t="shared" si="0"/>
        <v>2.2153628025816361E-2</v>
      </c>
      <c r="E20" s="250">
        <f>IF(Rent!E20=0,0,('Tenant Charges'!$F16))</f>
        <v>291.76295802625947</v>
      </c>
      <c r="F20" s="250">
        <f>IF(Rent!F20=0,0,('Tenant Charges'!$F16))</f>
        <v>291.76295802625947</v>
      </c>
      <c r="G20" s="250">
        <f>IF(Rent!G20=0,0,('Tenant Charges'!$F16))</f>
        <v>291.76295802625947</v>
      </c>
      <c r="H20" s="250">
        <f>IF(Rent!H20=0,0,('Tenant Charges'!$F16))</f>
        <v>291.76295802625947</v>
      </c>
      <c r="I20" s="250">
        <f>IF(Rent!I20=0,0,('Tenant Charges'!$F16))</f>
        <v>291.76295802625947</v>
      </c>
      <c r="J20" s="250">
        <f>IF(Rent!J20=0,0,('Tenant Charges'!$F16))</f>
        <v>291.76295802625947</v>
      </c>
      <c r="K20" s="250">
        <f>IF(Rent!K20=0,0,('Tenant Charges'!$F16))</f>
        <v>291.76295802625947</v>
      </c>
      <c r="L20" s="250">
        <f>IF(Rent!L20=0,0,('Tenant Charges'!$F16))</f>
        <v>291.76295802625947</v>
      </c>
      <c r="M20" s="250">
        <f>IF(Rent!M20=0,0,('Tenant Charges'!$F16))</f>
        <v>291.76295802625947</v>
      </c>
      <c r="N20" s="250">
        <f>IF(Rent!N20=0,0,('Tenant Charges'!$F16))</f>
        <v>291.76295802625947</v>
      </c>
      <c r="O20" s="250">
        <f>IF(Rent!O20=0,0,('Tenant Charges'!$F16))</f>
        <v>291.76295802625947</v>
      </c>
      <c r="P20" s="250">
        <f>IF(Rent!P20=0,0,('Tenant Charges'!$F16))</f>
        <v>291.76295802625947</v>
      </c>
      <c r="Q20" s="69">
        <f t="shared" si="4"/>
        <v>3501.1554963151143</v>
      </c>
      <c r="R20" s="148">
        <f t="shared" si="1"/>
        <v>2.3341036642100761</v>
      </c>
      <c r="S20" s="69">
        <v>0</v>
      </c>
      <c r="T20" s="148">
        <f t="shared" si="2"/>
        <v>0</v>
      </c>
      <c r="U20" s="93">
        <v>239.43</v>
      </c>
      <c r="V20" s="250">
        <f t="shared" si="3"/>
        <v>-52.332958026259462</v>
      </c>
    </row>
    <row r="21" spans="1:22">
      <c r="A21" s="2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f t="shared" si="0"/>
        <v>2.5609593997843714E-2</v>
      </c>
      <c r="E21" s="250">
        <f>IF(Rent!E21=0,0,('Tenant Charges'!$F17))</f>
        <v>105.51137267613569</v>
      </c>
      <c r="F21" s="250">
        <f>IF(Rent!F21=0,0,('Tenant Charges'!$F17))</f>
        <v>105.51137267613569</v>
      </c>
      <c r="G21" s="250">
        <f>IF(Rent!G21=0,0,('Tenant Charges'!$F17))</f>
        <v>105.51137267613569</v>
      </c>
      <c r="H21" s="250">
        <f>IF(Rent!H21=0,0,('Tenant Charges'!$F17))</f>
        <v>105.51137267613569</v>
      </c>
      <c r="I21" s="250">
        <f>IF(Rent!I21=0,0,('Tenant Charges'!$F17))</f>
        <v>105.51137267613569</v>
      </c>
      <c r="J21" s="250">
        <f>IF(Rent!J21=0,0,('Tenant Charges'!$F17))</f>
        <v>105.51137267613569</v>
      </c>
      <c r="K21" s="250">
        <f>IF(Rent!K21=0,0,('Tenant Charges'!$F17))</f>
        <v>105.51137267613569</v>
      </c>
      <c r="L21" s="250">
        <f>IF(Rent!L21=0,0,('Tenant Charges'!$F17))</f>
        <v>105.51137267613569</v>
      </c>
      <c r="M21" s="250">
        <f>IF(Rent!M21=0,0,('Tenant Charges'!$F17))</f>
        <v>105.51137267613569</v>
      </c>
      <c r="N21" s="250">
        <f>IF(Rent!N21=0,0,('Tenant Charges'!$F17))</f>
        <v>105.51137267613569</v>
      </c>
      <c r="O21" s="250">
        <f>IF(Rent!O21=0,0,('Tenant Charges'!$F17))</f>
        <v>105.51137267613569</v>
      </c>
      <c r="P21" s="250">
        <f>IF(Rent!P21=0,0,('Tenant Charges'!$F17))</f>
        <v>105.51137267613569</v>
      </c>
      <c r="Q21" s="69">
        <f t="shared" si="4"/>
        <v>1266.1364721136283</v>
      </c>
      <c r="R21" s="148">
        <f t="shared" si="1"/>
        <v>0.73018250986945121</v>
      </c>
      <c r="S21" s="69">
        <f>206.7*12</f>
        <v>2480.3999999999996</v>
      </c>
      <c r="T21" s="148">
        <f t="shared" si="2"/>
        <v>1.4304498269896191</v>
      </c>
      <c r="U21" s="93">
        <v>276.79000000000002</v>
      </c>
      <c r="V21" s="250">
        <f t="shared" si="3"/>
        <v>171.27862732386433</v>
      </c>
    </row>
    <row r="22" spans="1:22">
      <c r="A22" s="2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f t="shared" si="0"/>
        <v>5.7599432867122539E-2</v>
      </c>
      <c r="E22" s="250">
        <f>IF(Rent!E22=0,0,('Tenant Charges'!$F18))</f>
        <v>758.58369086827452</v>
      </c>
      <c r="F22" s="250">
        <f>IF(Rent!F22=0,0,('Tenant Charges'!$F18))</f>
        <v>758.58369086827452</v>
      </c>
      <c r="G22" s="250">
        <f>IF(Rent!G22=0,0,('Tenant Charges'!$F18))</f>
        <v>758.58369086827452</v>
      </c>
      <c r="H22" s="250">
        <f>IF(Rent!H22=0,0,('Tenant Charges'!$F18))</f>
        <v>758.58369086827452</v>
      </c>
      <c r="I22" s="250">
        <f>IF(Rent!I22=0,0,('Tenant Charges'!$F18))</f>
        <v>758.58369086827452</v>
      </c>
      <c r="J22" s="250">
        <f>IF(Rent!J22=0,0,('Tenant Charges'!$F18))</f>
        <v>758.58369086827452</v>
      </c>
      <c r="K22" s="250">
        <f>IF(Rent!K22=0,0,('Tenant Charges'!$F18))</f>
        <v>758.58369086827452</v>
      </c>
      <c r="L22" s="250">
        <f>IF(Rent!L22=0,0,('Tenant Charges'!$F18))</f>
        <v>758.58369086827452</v>
      </c>
      <c r="M22" s="250">
        <f>IF(Rent!M22=0,0,('Tenant Charges'!$F18))</f>
        <v>758.58369086827452</v>
      </c>
      <c r="N22" s="250">
        <f>IF(Rent!N22=0,0,('Tenant Charges'!$F18))</f>
        <v>758.58369086827452</v>
      </c>
      <c r="O22" s="250">
        <f>IF(Rent!O22=0,0,('Tenant Charges'!$F18))</f>
        <v>758.58369086827452</v>
      </c>
      <c r="P22" s="250">
        <f>IF(Rent!P22=0,0,('Tenant Charges'!$F18))</f>
        <v>758.58369086827452</v>
      </c>
      <c r="Q22" s="69">
        <f t="shared" si="4"/>
        <v>9103.0042904192924</v>
      </c>
      <c r="R22" s="148">
        <f t="shared" si="1"/>
        <v>2.3341036642100748</v>
      </c>
      <c r="S22" s="69">
        <f>206.7*12</f>
        <v>2480.3999999999996</v>
      </c>
      <c r="T22" s="148">
        <f t="shared" si="2"/>
        <v>0.6359999999999999</v>
      </c>
      <c r="U22" s="93">
        <v>622.53</v>
      </c>
      <c r="V22" s="250">
        <f t="shared" si="3"/>
        <v>-136.05369086827454</v>
      </c>
    </row>
    <row r="23" spans="1:22">
      <c r="A23" s="2" t="str">
        <f>Rent!A23</f>
        <v>Kachina Stained Glass</v>
      </c>
      <c r="B23" s="60">
        <f>Rent!B23</f>
        <v>101</v>
      </c>
      <c r="C23" s="61">
        <f>Rent!C23</f>
        <v>1287</v>
      </c>
      <c r="D23" s="362">
        <f t="shared" si="0"/>
        <v>1.9007812846150437E-2</v>
      </c>
      <c r="E23" s="250">
        <f>IF(Rent!E23=0,0,('Tenant Charges'!$F19))</f>
        <v>250.33261798653061</v>
      </c>
      <c r="F23" s="250">
        <f>IF(Rent!F23=0,0,('Tenant Charges'!$F19))</f>
        <v>250.33261798653061</v>
      </c>
      <c r="G23" s="250">
        <f>IF(Rent!G23=0,0,('Tenant Charges'!$F19))</f>
        <v>250.33261798653061</v>
      </c>
      <c r="H23" s="250">
        <f>IF(Rent!H23=0,0,('Tenant Charges'!$F19))</f>
        <v>250.33261798653061</v>
      </c>
      <c r="I23" s="250">
        <f>IF(Rent!I23=0,0,('Tenant Charges'!$F19))</f>
        <v>250.33261798653061</v>
      </c>
      <c r="J23" s="250">
        <f>IF(Rent!J23=0,0,('Tenant Charges'!$F19))</f>
        <v>250.33261798653061</v>
      </c>
      <c r="K23" s="250">
        <f>IF(Rent!K23=0,0,('Tenant Charges'!$F19))</f>
        <v>250.33261798653061</v>
      </c>
      <c r="L23" s="250">
        <f>IF(Rent!L23=0,0,('Tenant Charges'!$F19))</f>
        <v>250.33261798653061</v>
      </c>
      <c r="M23" s="250">
        <f>IF(Rent!M23=0,0,('Tenant Charges'!$F19))</f>
        <v>250.33261798653061</v>
      </c>
      <c r="N23" s="250">
        <f>IF(Rent!N23=0,0,('Tenant Charges'!$F19))</f>
        <v>250.33261798653061</v>
      </c>
      <c r="O23" s="250">
        <f>IF(Rent!O23=0,0,('Tenant Charges'!$F19))</f>
        <v>250.33261798653061</v>
      </c>
      <c r="P23" s="250">
        <f>IF(Rent!P23=0,0,('Tenant Charges'!$F19))</f>
        <v>250.33261798653061</v>
      </c>
      <c r="Q23" s="69">
        <f t="shared" si="4"/>
        <v>3003.9914158383676</v>
      </c>
      <c r="R23" s="148">
        <f t="shared" si="1"/>
        <v>2.3341036642100756</v>
      </c>
      <c r="S23" s="69">
        <v>0</v>
      </c>
      <c r="T23" s="148">
        <f t="shared" si="2"/>
        <v>0</v>
      </c>
      <c r="U23" s="93">
        <v>205.43</v>
      </c>
      <c r="V23" s="250">
        <f t="shared" si="3"/>
        <v>-44.902617986530601</v>
      </c>
    </row>
    <row r="24" spans="1:22">
      <c r="A24" s="2" t="str">
        <f>Rent!A24</f>
        <v>Zanders Creations</v>
      </c>
      <c r="B24" s="60">
        <f>Rent!B24</f>
        <v>102</v>
      </c>
      <c r="C24" s="61">
        <f>Rent!C24</f>
        <v>1639</v>
      </c>
      <c r="D24" s="362">
        <f t="shared" si="0"/>
        <v>2.420653088954201E-2</v>
      </c>
      <c r="E24" s="250">
        <f>IF(Rent!E24=0,0,('Tenant Charges'!$F20))</f>
        <v>318.79965880335936</v>
      </c>
      <c r="F24" s="250">
        <f>IF(Rent!F24=0,0,('Tenant Charges'!$F20))</f>
        <v>318.79965880335936</v>
      </c>
      <c r="G24" s="250">
        <f>IF(Rent!G24=0,0,('Tenant Charges'!$F20))</f>
        <v>318.79965880335936</v>
      </c>
      <c r="H24" s="250">
        <f>IF(Rent!H24=0,0,('Tenant Charges'!$F20))</f>
        <v>318.79965880335936</v>
      </c>
      <c r="I24" s="250">
        <f>IF(Rent!I24=0,0,('Tenant Charges'!$F20))</f>
        <v>318.79965880335936</v>
      </c>
      <c r="J24" s="250">
        <f>IF(Rent!J24=0,0,('Tenant Charges'!$F20))</f>
        <v>318.79965880335936</v>
      </c>
      <c r="K24" s="250">
        <f>IF(Rent!K24=0,0,('Tenant Charges'!$F20))</f>
        <v>318.79965880335936</v>
      </c>
      <c r="L24" s="250">
        <f>IF(Rent!L24=0,0,('Tenant Charges'!$F20))</f>
        <v>318.79965880335936</v>
      </c>
      <c r="M24" s="250">
        <f>IF(Rent!M24=0,0,('Tenant Charges'!$F20))</f>
        <v>318.79965880335936</v>
      </c>
      <c r="N24" s="250">
        <f>IF(Rent!N24=0,0,('Tenant Charges'!$F20))</f>
        <v>318.79965880335936</v>
      </c>
      <c r="O24" s="250">
        <f>IF(Rent!O24=0,0,('Tenant Charges'!$F20))</f>
        <v>318.79965880335936</v>
      </c>
      <c r="P24" s="250">
        <f>IF(Rent!P24=0,0,('Tenant Charges'!$F20))</f>
        <v>318.79965880335936</v>
      </c>
      <c r="Q24" s="69">
        <f t="shared" si="4"/>
        <v>3825.5959056403121</v>
      </c>
      <c r="R24" s="148"/>
      <c r="S24" s="69"/>
      <c r="T24" s="148"/>
      <c r="U24" s="93">
        <v>261.62</v>
      </c>
      <c r="V24" s="250">
        <f t="shared" si="3"/>
        <v>-57.179658803359359</v>
      </c>
    </row>
    <row r="25" spans="1:22">
      <c r="A25" s="2" t="str">
        <f>Rent!A25</f>
        <v>Brightnow Dental</v>
      </c>
      <c r="B25" s="60">
        <f>Rent!B25</f>
        <v>103</v>
      </c>
      <c r="C25" s="61">
        <f>Rent!C25</f>
        <v>3600</v>
      </c>
      <c r="D25" s="362">
        <f t="shared" si="0"/>
        <v>5.3168707261959269E-2</v>
      </c>
      <c r="E25" s="250">
        <f>IF(Rent!E25=0,0,('Tenant Charges'!$F21))</f>
        <v>797.79439633683899</v>
      </c>
      <c r="F25" s="250">
        <f>IF(Rent!F25=0,0,('Tenant Charges'!$F21))</f>
        <v>797.79439633683899</v>
      </c>
      <c r="G25" s="250">
        <f>IF(Rent!G25=0,0,('Tenant Charges'!$F21))</f>
        <v>797.79439633683899</v>
      </c>
      <c r="H25" s="250">
        <f>IF(Rent!H25=0,0,('Tenant Charges'!$F21))</f>
        <v>797.79439633683899</v>
      </c>
      <c r="I25" s="250">
        <f>IF(Rent!I25=0,0,('Tenant Charges'!$F21))</f>
        <v>797.79439633683899</v>
      </c>
      <c r="J25" s="250">
        <f>IF(Rent!J25=0,0,('Tenant Charges'!$F21))</f>
        <v>797.79439633683899</v>
      </c>
      <c r="K25" s="250">
        <f>IF(Rent!K25=0,0,('Tenant Charges'!$F21))</f>
        <v>797.79439633683899</v>
      </c>
      <c r="L25" s="250">
        <f>IF(Rent!L25=0,0,('Tenant Charges'!$F21))</f>
        <v>797.79439633683899</v>
      </c>
      <c r="M25" s="250">
        <f>IF(Rent!M25=0,0,('Tenant Charges'!$F21))</f>
        <v>797.79439633683899</v>
      </c>
      <c r="N25" s="250">
        <f>IF(Rent!N25=0,0,('Tenant Charges'!$F21))</f>
        <v>797.79439633683899</v>
      </c>
      <c r="O25" s="250">
        <f>IF(Rent!O25=0,0,('Tenant Charges'!$F21))</f>
        <v>797.79439633683899</v>
      </c>
      <c r="P25" s="250">
        <f>IF(Rent!P25=0,0,('Tenant Charges'!$F21))</f>
        <v>797.79439633683899</v>
      </c>
      <c r="Q25" s="69">
        <f t="shared" si="4"/>
        <v>9573.5327560420683</v>
      </c>
      <c r="R25" s="148">
        <f t="shared" si="1"/>
        <v>2.6593146544561299</v>
      </c>
      <c r="S25" s="69">
        <f>218.99*12</f>
        <v>2627.88</v>
      </c>
      <c r="T25" s="148">
        <f t="shared" si="2"/>
        <v>0.72996666666666665</v>
      </c>
      <c r="U25" s="93">
        <v>574.64</v>
      </c>
      <c r="V25" s="250">
        <f t="shared" si="3"/>
        <v>-223.154396336839</v>
      </c>
    </row>
    <row r="26" spans="1:22">
      <c r="A26" s="2" t="str">
        <f>Rent!A26</f>
        <v>Carr Animal Care</v>
      </c>
      <c r="B26" s="60">
        <f>Rent!B26</f>
        <v>106</v>
      </c>
      <c r="C26" s="61">
        <f>Rent!C26</f>
        <v>1587</v>
      </c>
      <c r="D26" s="362">
        <f t="shared" si="0"/>
        <v>2.343853845131371E-2</v>
      </c>
      <c r="E26" s="250">
        <f>IF(Rent!E26=0,0,('Tenant Charges'!$F22))</f>
        <v>200.31339443458941</v>
      </c>
      <c r="F26" s="250">
        <f>IF(Rent!F26=0,0,('Tenant Charges'!$F22))</f>
        <v>200.31339443458941</v>
      </c>
      <c r="G26" s="250">
        <f>IF(Rent!G26=0,0,('Tenant Charges'!$F22))</f>
        <v>200.31339443458941</v>
      </c>
      <c r="H26" s="250">
        <f>IF(Rent!H26=0,0,('Tenant Charges'!$F22))</f>
        <v>200.31339443458941</v>
      </c>
      <c r="I26" s="250">
        <f>IF(Rent!I26=0,0,('Tenant Charges'!$F22))</f>
        <v>200.31339443458941</v>
      </c>
      <c r="J26" s="250">
        <f>IF(Rent!J26=0,0,('Tenant Charges'!$F22))</f>
        <v>200.31339443458941</v>
      </c>
      <c r="K26" s="250">
        <f>IF(Rent!K26=0,0,('Tenant Charges'!$F22))</f>
        <v>200.31339443458941</v>
      </c>
      <c r="L26" s="250">
        <f>IF(Rent!L26=0,0,('Tenant Charges'!$F22))</f>
        <v>200.31339443458941</v>
      </c>
      <c r="M26" s="250">
        <f>IF(Rent!M26=0,0,('Tenant Charges'!$F22))</f>
        <v>200.31339443458941</v>
      </c>
      <c r="N26" s="250">
        <f>IF(Rent!N26=0,0,('Tenant Charges'!$F22))</f>
        <v>200.31339443458941</v>
      </c>
      <c r="O26" s="250">
        <f>IF(Rent!O26=0,0,('Tenant Charges'!$F22))</f>
        <v>200.31339443458941</v>
      </c>
      <c r="P26" s="250">
        <f>IF(Rent!P26=0,0,('Tenant Charges'!$F22))</f>
        <v>200.31339443458941</v>
      </c>
      <c r="Q26" s="69">
        <f t="shared" si="4"/>
        <v>2403.7607332150728</v>
      </c>
      <c r="R26" s="148">
        <f t="shared" si="1"/>
        <v>1.5146570467643812</v>
      </c>
      <c r="S26" s="69">
        <f>191.06*12</f>
        <v>2292.7200000000003</v>
      </c>
      <c r="T26" s="148">
        <f t="shared" si="2"/>
        <v>1.4446880907372401</v>
      </c>
      <c r="U26" s="93">
        <v>253.32</v>
      </c>
      <c r="V26" s="250">
        <f t="shared" si="3"/>
        <v>53.006605565410581</v>
      </c>
    </row>
    <row r="27" spans="1:22">
      <c r="A27" s="2" t="str">
        <f>Rent!A27</f>
        <v>Razors Barber Shop</v>
      </c>
      <c r="B27" s="60">
        <f>Rent!B27</f>
        <v>107</v>
      </c>
      <c r="C27" s="61">
        <f>Rent!C27</f>
        <v>1300</v>
      </c>
      <c r="D27" s="362">
        <f t="shared" si="0"/>
        <v>1.9199810955707514E-2</v>
      </c>
      <c r="E27" s="250">
        <f>IF(Rent!E27=0,0,('Tenant Charges'!$F23))</f>
        <v>424.03701307173156</v>
      </c>
      <c r="F27" s="250">
        <f>IF(Rent!F27=0,0,('Tenant Charges'!$F23))</f>
        <v>424.03701307173156</v>
      </c>
      <c r="G27" s="250">
        <f>IF(Rent!G27=0,0,('Tenant Charges'!$F23))</f>
        <v>424.03701307173156</v>
      </c>
      <c r="H27" s="250">
        <f>IF(Rent!H27=0,0,('Tenant Charges'!$F23))</f>
        <v>424.03701307173156</v>
      </c>
      <c r="I27" s="250">
        <f>IF(Rent!I27=0,0,('Tenant Charges'!$F23))</f>
        <v>424.03701307173156</v>
      </c>
      <c r="J27" s="250">
        <f>IF(Rent!J27=0,0,('Tenant Charges'!$F23))</f>
        <v>424.03701307173156</v>
      </c>
      <c r="K27" s="250">
        <f>IF(Rent!K27=0,0,('Tenant Charges'!$F23))</f>
        <v>424.03701307173156</v>
      </c>
      <c r="L27" s="250">
        <f>IF(Rent!L27=0,0,('Tenant Charges'!$F23))</f>
        <v>424.03701307173156</v>
      </c>
      <c r="M27" s="250">
        <f>IF(Rent!M27=0,0,('Tenant Charges'!$F23))</f>
        <v>424.03701307173156</v>
      </c>
      <c r="N27" s="250">
        <f>IF(Rent!N27=0,0,('Tenant Charges'!$F23))</f>
        <v>424.03701307173156</v>
      </c>
      <c r="O27" s="250">
        <f>IF(Rent!O27=0,0,('Tenant Charges'!$F23))</f>
        <v>424.03701307173156</v>
      </c>
      <c r="P27" s="250">
        <f>IF(Rent!P27=0,0,('Tenant Charges'!$F23))</f>
        <v>424.03701307173156</v>
      </c>
      <c r="Q27" s="69">
        <f t="shared" si="4"/>
        <v>5088.4441568607799</v>
      </c>
      <c r="R27" s="148">
        <f t="shared" si="1"/>
        <v>3.9141878129698306</v>
      </c>
      <c r="S27" s="69">
        <f>191.06*12</f>
        <v>2292.7200000000003</v>
      </c>
      <c r="T27" s="148">
        <f t="shared" si="2"/>
        <v>1.7636307692307693</v>
      </c>
      <c r="U27" s="93">
        <v>207.51</v>
      </c>
      <c r="V27" s="250">
        <f t="shared" si="3"/>
        <v>-216.52701307173157</v>
      </c>
    </row>
    <row r="28" spans="1:22" ht="12.95" customHeight="1">
      <c r="A28" s="2" t="str">
        <f>Rent!A28</f>
        <v>CrossFit New Strength</v>
      </c>
      <c r="B28" s="60">
        <f>Rent!B28</f>
        <v>108</v>
      </c>
      <c r="C28" s="61">
        <f>Rent!C28</f>
        <v>3524</v>
      </c>
      <c r="D28" s="362">
        <f t="shared" si="0"/>
        <v>5.2046256775317906E-2</v>
      </c>
      <c r="E28" s="250">
        <f>IF(Rent!E28=0,0,('Tenant Charges'!$F24))</f>
        <v>685.44844272302544</v>
      </c>
      <c r="F28" s="250">
        <f>IF(Rent!F28=0,0,('Tenant Charges'!$F24))</f>
        <v>685.44844272302544</v>
      </c>
      <c r="G28" s="250">
        <f>IF(Rent!G28=0,0,('Tenant Charges'!$F24))</f>
        <v>685.44844272302544</v>
      </c>
      <c r="H28" s="250">
        <f>IF(Rent!H28=0,0,('Tenant Charges'!$F24))</f>
        <v>685.44844272302544</v>
      </c>
      <c r="I28" s="250">
        <f>IF(Rent!I28=0,0,('Tenant Charges'!$F24))</f>
        <v>685.44844272302544</v>
      </c>
      <c r="J28" s="250">
        <f>IF(Rent!J28=0,0,('Tenant Charges'!$F24))</f>
        <v>685.44844272302544</v>
      </c>
      <c r="K28" s="250">
        <f>IF(Rent!K28=0,0,('Tenant Charges'!$F24))</f>
        <v>685.44844272302544</v>
      </c>
      <c r="L28" s="250">
        <f>IF(Rent!L28=0,0,('Tenant Charges'!$F24))</f>
        <v>685.44844272302544</v>
      </c>
      <c r="M28" s="250">
        <f>IF(Rent!M28=0,0,('Tenant Charges'!$F24))</f>
        <v>685.44844272302544</v>
      </c>
      <c r="N28" s="250">
        <f>IF(Rent!N28=0,0,('Tenant Charges'!$F24))</f>
        <v>685.44844272302544</v>
      </c>
      <c r="O28" s="250">
        <f>IF(Rent!O28=0,0,('Tenant Charges'!$F24))</f>
        <v>685.44844272302544</v>
      </c>
      <c r="P28" s="250">
        <f>IF(Rent!P28=0,0,('Tenant Charges'!$F24))</f>
        <v>685.44844272302544</v>
      </c>
      <c r="Q28" s="69">
        <f t="shared" si="4"/>
        <v>8225.3813126763052</v>
      </c>
      <c r="R28" s="69"/>
      <c r="S28" s="69">
        <v>0</v>
      </c>
      <c r="T28" s="148">
        <f t="shared" si="2"/>
        <v>0</v>
      </c>
      <c r="V28" s="250">
        <f t="shared" si="3"/>
        <v>-685.44844272302544</v>
      </c>
    </row>
    <row r="29" spans="1:22" ht="12.95" customHeight="1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f t="shared" si="0"/>
        <v>4.4410639649086529E-2</v>
      </c>
      <c r="E29" s="250">
        <f>IF(Rent!E29=0,0,('Tenant Charges'!$F25))</f>
        <v>0</v>
      </c>
      <c r="F29" s="250">
        <f>IF(Rent!F29=0,0,('Tenant Charges'!$F25))</f>
        <v>0</v>
      </c>
      <c r="G29" s="250">
        <f>IF(Rent!G29=0,0,('Tenant Charges'!$F25))</f>
        <v>0</v>
      </c>
      <c r="H29" s="250">
        <f>IF(Rent!H29=0,0,('Tenant Charges'!$F25))</f>
        <v>0</v>
      </c>
      <c r="I29" s="250">
        <f>IF(Rent!I29=0,0,('Tenant Charges'!$F25))</f>
        <v>0</v>
      </c>
      <c r="J29" s="250">
        <f>IF(Rent!J29=0,0,('Tenant Charges'!$F25))</f>
        <v>0</v>
      </c>
      <c r="K29" s="250">
        <f>IF(Rent!K29=0,0,('Tenant Charges'!$F25))</f>
        <v>394.81363971185505</v>
      </c>
      <c r="L29" s="250">
        <f>IF(Rent!L29=0,0,('Tenant Charges'!$F25))</f>
        <v>394.81363971185505</v>
      </c>
      <c r="M29" s="250">
        <f>IF(Rent!M29=0,0,('Tenant Charges'!$F25))</f>
        <v>394.81363971185505</v>
      </c>
      <c r="N29" s="250">
        <f>IF(Rent!N29=0,0,('Tenant Charges'!$F25))</f>
        <v>394.81363971185505</v>
      </c>
      <c r="O29" s="250">
        <f>IF(Rent!O29=0,0,('Tenant Charges'!$F25))</f>
        <v>394.81363971185505</v>
      </c>
      <c r="P29" s="250">
        <f>IF(Rent!P29=0,0,('Tenant Charges'!$F25))</f>
        <v>394.81363971185505</v>
      </c>
      <c r="Q29" s="69">
        <f t="shared" si="4"/>
        <v>2368.8818382711302</v>
      </c>
      <c r="R29" s="69"/>
      <c r="S29" s="69">
        <v>0</v>
      </c>
      <c r="T29" s="148"/>
      <c r="V29" s="250">
        <f t="shared" si="3"/>
        <v>-394.81363971185505</v>
      </c>
    </row>
    <row r="30" spans="1:22" ht="12.95" customHeight="1">
      <c r="A30" s="2"/>
      <c r="B30" s="60"/>
      <c r="C30" s="61"/>
      <c r="D30" s="362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69"/>
      <c r="R30" s="69"/>
      <c r="S30" s="69"/>
      <c r="T30" s="148"/>
      <c r="V30" s="2"/>
    </row>
    <row r="31" spans="1:22" ht="12.95" customHeight="1">
      <c r="A31" s="2"/>
      <c r="B31" s="60"/>
      <c r="C31" s="61"/>
      <c r="D31" s="362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69"/>
      <c r="R31" s="69"/>
      <c r="S31" s="69"/>
      <c r="T31" s="148"/>
      <c r="V31" s="2"/>
    </row>
    <row r="32" spans="1:22" ht="12.95" customHeight="1">
      <c r="A32" s="2"/>
      <c r="B32" s="60"/>
      <c r="C32" s="61"/>
      <c r="D32" s="362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69"/>
      <c r="R32" s="69"/>
      <c r="S32" s="69"/>
      <c r="T32" s="148"/>
      <c r="V32" s="2"/>
    </row>
    <row r="33" spans="1:22">
      <c r="A33" s="2" t="s">
        <v>47</v>
      </c>
      <c r="B33" s="2"/>
      <c r="C33" s="61" t="s">
        <v>47</v>
      </c>
      <c r="D33" s="362" t="s">
        <v>47</v>
      </c>
      <c r="E33" s="69" t="s">
        <v>47</v>
      </c>
      <c r="F33" s="69" t="s">
        <v>47</v>
      </c>
      <c r="G33" s="69" t="s">
        <v>47</v>
      </c>
      <c r="H33" s="69" t="s">
        <v>47</v>
      </c>
      <c r="I33" s="69" t="s">
        <v>47</v>
      </c>
      <c r="J33" s="69" t="s">
        <v>47</v>
      </c>
      <c r="K33" s="69" t="s">
        <v>47</v>
      </c>
      <c r="L33" s="69" t="s">
        <v>47</v>
      </c>
      <c r="M33" s="69" t="s">
        <v>47</v>
      </c>
      <c r="N33" s="69" t="s">
        <v>47</v>
      </c>
      <c r="O33" s="69" t="s">
        <v>47</v>
      </c>
      <c r="P33" s="69" t="s">
        <v>47</v>
      </c>
      <c r="Q33" s="69" t="s">
        <v>47</v>
      </c>
      <c r="R33" s="69"/>
      <c r="S33" s="69"/>
      <c r="T33" s="2"/>
      <c r="V33" s="2"/>
    </row>
    <row r="34" spans="1:22">
      <c r="A34" s="360"/>
      <c r="B34" s="364"/>
      <c r="C34" s="365"/>
      <c r="D34" s="365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7"/>
      <c r="R34" s="227"/>
      <c r="S34" s="227"/>
      <c r="T34" s="2"/>
      <c r="V34" s="2"/>
    </row>
    <row r="35" spans="1:22">
      <c r="A35" s="339" t="s">
        <v>169</v>
      </c>
      <c r="B35" s="368"/>
      <c r="C35" s="341">
        <f>SUM(C14:C34)</f>
        <v>67709</v>
      </c>
      <c r="D35" s="369">
        <f>SUM(D14:D34)</f>
        <v>1</v>
      </c>
      <c r="E35" s="342">
        <f>SUM(E14:E29)</f>
        <v>9715.6351823256518</v>
      </c>
      <c r="F35" s="342">
        <f t="shared" ref="F35:P35" si="5">SUM(F14:F29)</f>
        <v>9715.6351823256518</v>
      </c>
      <c r="G35" s="342">
        <f t="shared" si="5"/>
        <v>9715.6351823256518</v>
      </c>
      <c r="H35" s="342">
        <f t="shared" si="5"/>
        <v>9715.6351823256518</v>
      </c>
      <c r="I35" s="342">
        <f t="shared" si="5"/>
        <v>9715.6351823256518</v>
      </c>
      <c r="J35" s="342">
        <f t="shared" si="5"/>
        <v>9715.6351823256518</v>
      </c>
      <c r="K35" s="342">
        <f t="shared" si="5"/>
        <v>10110.448822037506</v>
      </c>
      <c r="L35" s="342">
        <f t="shared" si="5"/>
        <v>10110.448822037506</v>
      </c>
      <c r="M35" s="342">
        <f t="shared" si="5"/>
        <v>10110.448822037506</v>
      </c>
      <c r="N35" s="342">
        <f t="shared" si="5"/>
        <v>10110.448822037506</v>
      </c>
      <c r="O35" s="342">
        <f t="shared" si="5"/>
        <v>10110.448822037506</v>
      </c>
      <c r="P35" s="342">
        <f t="shared" si="5"/>
        <v>10110.448822037506</v>
      </c>
      <c r="Q35" s="343">
        <f>SUM(Q14:Q29)</f>
        <v>118956.50402617894</v>
      </c>
      <c r="R35" s="227"/>
      <c r="S35" s="227"/>
      <c r="T35" s="2"/>
      <c r="V35" s="2"/>
    </row>
    <row r="36" spans="1:22">
      <c r="A36" s="370"/>
      <c r="B36" s="371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3"/>
      <c r="R36" s="150"/>
      <c r="S36" s="150"/>
      <c r="T36" s="2"/>
      <c r="V36" s="2"/>
    </row>
    <row r="37" spans="1:22">
      <c r="A37" s="2"/>
      <c r="B37" s="2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74" t="s">
        <v>356</v>
      </c>
      <c r="P37" s="364"/>
      <c r="Q37" s="375">
        <f>Summary!O55</f>
        <v>158039.82500000001</v>
      </c>
      <c r="R37" s="324"/>
      <c r="S37" s="324"/>
      <c r="T37" s="2"/>
      <c r="V37" s="2"/>
    </row>
    <row r="38" spans="1:22">
      <c r="A38" s="2"/>
      <c r="B38" s="2"/>
      <c r="C38" s="39"/>
      <c r="D38" s="39"/>
      <c r="E38" s="39"/>
      <c r="F38" s="39"/>
      <c r="G38" s="39"/>
      <c r="H38" s="39"/>
      <c r="I38" s="39"/>
      <c r="J38" s="39"/>
      <c r="K38" s="324"/>
      <c r="L38" s="39"/>
      <c r="M38" s="39"/>
      <c r="N38" s="39"/>
      <c r="O38" s="376" t="s">
        <v>357</v>
      </c>
      <c r="P38" s="371"/>
      <c r="Q38" s="377">
        <f>Q35/Q37</f>
        <v>0.75269954282839113</v>
      </c>
      <c r="R38" s="378"/>
      <c r="S38" s="378"/>
      <c r="T38" s="2"/>
      <c r="V38" s="93" t="s">
        <v>358</v>
      </c>
    </row>
    <row r="39" spans="1:22">
      <c r="A39" s="2"/>
      <c r="B39" s="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79"/>
      <c r="R39" s="379"/>
      <c r="S39" s="379"/>
      <c r="T39" s="2"/>
      <c r="V39" s="2"/>
    </row>
    <row r="40" spans="1:2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61"/>
      <c r="Q40" s="61"/>
      <c r="R40" s="61"/>
      <c r="S40" s="61"/>
      <c r="T40" s="2"/>
      <c r="V40" s="2"/>
    </row>
    <row r="41" spans="1:22">
      <c r="A41" s="2"/>
      <c r="B41" s="2"/>
      <c r="C41" s="2"/>
      <c r="D41" s="348" t="s">
        <v>347</v>
      </c>
      <c r="E41" s="380">
        <f>E35-Summary!C14</f>
        <v>0</v>
      </c>
      <c r="F41" s="349">
        <f>F35-Summary!D14</f>
        <v>0</v>
      </c>
      <c r="G41" s="349">
        <f>G35-Summary!E14</f>
        <v>0</v>
      </c>
      <c r="H41" s="349">
        <f>H35-Summary!F14</f>
        <v>0</v>
      </c>
      <c r="I41" s="349">
        <f>I35-Summary!G14</f>
        <v>0</v>
      </c>
      <c r="J41" s="349">
        <f>J35-Summary!H14</f>
        <v>0</v>
      </c>
      <c r="K41" s="349">
        <f>K35-Summary!I14</f>
        <v>0</v>
      </c>
      <c r="L41" s="349">
        <f>L35-Summary!J14</f>
        <v>0</v>
      </c>
      <c r="M41" s="349">
        <f>M35-Summary!K14</f>
        <v>0</v>
      </c>
      <c r="N41" s="349">
        <f>N35-Summary!L14</f>
        <v>0</v>
      </c>
      <c r="O41" s="349">
        <f>O35-Summary!M14</f>
        <v>0</v>
      </c>
      <c r="P41" s="350">
        <f>P35-Summary!N14</f>
        <v>0</v>
      </c>
      <c r="Q41" s="61"/>
      <c r="R41" s="61"/>
      <c r="S41" s="61"/>
      <c r="T41" s="2"/>
      <c r="V41" s="2"/>
    </row>
    <row r="42" spans="1:22">
      <c r="A42" s="2"/>
      <c r="B42" s="2"/>
      <c r="C42" s="2"/>
      <c r="D42" s="2"/>
      <c r="E42" s="232"/>
      <c r="F42" s="2"/>
      <c r="G42" s="2"/>
      <c r="H42" s="2"/>
      <c r="I42" s="2"/>
      <c r="J42" s="2"/>
      <c r="K42" s="2"/>
      <c r="L42" s="2"/>
      <c r="M42" s="2"/>
      <c r="N42" s="2"/>
      <c r="O42" s="2"/>
      <c r="P42" s="61"/>
      <c r="Q42" s="61"/>
      <c r="R42" s="61"/>
      <c r="S42" s="61"/>
      <c r="T42" s="2"/>
      <c r="V42" s="2"/>
    </row>
  </sheetData>
  <customSheetViews>
    <customSheetView guid="{7691FA39-7EA9-407C-9567-49BEFD6339F8}" scale="75" showPageBreaks="1" printArea="1" showRuler="0" topLeftCell="A58">
      <selection activeCell="G102" sqref="G102"/>
      <rowBreaks count="1" manualBreakCount="1">
        <brk id="61" max="16" man="1"/>
      </rowBreaks>
      <pageMargins left="0" right="0" top="0" bottom="0" header="0" footer="0"/>
      <printOptions horizontalCentered="1"/>
      <pageSetup scale="65" firstPageNumber="11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2" type="noConversion"/>
  <printOptions horizontalCentered="1"/>
  <pageMargins left="0.18" right="0.16" top="0.5" bottom="0.75" header="0.5" footer="0.5"/>
  <pageSetup paperSize="5" scale="77" firstPageNumber="5" orientation="landscape" useFirstPageNumber="1" r:id="rId2"/>
  <headerFooter alignWithMargins="0">
    <oddFooter>&amp;C&amp;8Page &amp;P</oddFooter>
  </headerFooter>
  <rowBreaks count="1" manualBreakCount="1">
    <brk id="40" max="18" man="1"/>
  </rowBrea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S43"/>
  <sheetViews>
    <sheetView topLeftCell="B17" zoomScaleNormal="100" zoomScaleSheetLayoutView="130" workbookViewId="0">
      <selection activeCell="E14" sqref="E14:P29"/>
    </sheetView>
  </sheetViews>
  <sheetFormatPr defaultColWidth="9.42578125" defaultRowHeight="15.4"/>
  <cols>
    <col min="1" max="1" width="28" style="89" customWidth="1"/>
    <col min="2" max="2" width="9.42578125" style="89"/>
    <col min="3" max="3" width="11" style="89" customWidth="1"/>
    <col min="4" max="4" width="11.42578125" style="89" bestFit="1" customWidth="1"/>
    <col min="5" max="16" width="9.42578125" style="89" bestFit="1" customWidth="1"/>
    <col min="17" max="17" width="12.42578125" style="89" bestFit="1" customWidth="1"/>
    <col min="18" max="18" width="9.42578125" style="89"/>
    <col min="19" max="19" width="9.42578125" style="93"/>
    <col min="20" max="16384" width="9.42578125" style="89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46269</v>
      </c>
      <c r="R1" s="2">
        <f>Summary!W4</f>
        <v>0</v>
      </c>
    </row>
    <row r="2" spans="1:18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</row>
    <row r="3" spans="1:18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</row>
    <row r="4" spans="1:18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</row>
    <row r="5" spans="1:18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</row>
    <row r="6" spans="1:18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</row>
    <row r="7" spans="1:18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2"/>
      <c r="B8" s="42"/>
      <c r="C8" s="360"/>
      <c r="D8" s="213" t="s">
        <v>359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2"/>
    </row>
    <row r="9" spans="1:18">
      <c r="A9" s="44" t="s">
        <v>15</v>
      </c>
      <c r="B9" s="44" t="s">
        <v>316</v>
      </c>
      <c r="C9" s="339" t="s">
        <v>165</v>
      </c>
      <c r="D9" s="339" t="s">
        <v>351</v>
      </c>
      <c r="E9" s="44" t="s">
        <v>129</v>
      </c>
      <c r="F9" s="44" t="s">
        <v>130</v>
      </c>
      <c r="G9" s="44" t="s">
        <v>131</v>
      </c>
      <c r="H9" s="44" t="s">
        <v>132</v>
      </c>
      <c r="I9" s="44" t="s">
        <v>133</v>
      </c>
      <c r="J9" s="44" t="s">
        <v>134</v>
      </c>
      <c r="K9" s="44" t="s">
        <v>135</v>
      </c>
      <c r="L9" s="44" t="s">
        <v>136</v>
      </c>
      <c r="M9" s="44" t="s">
        <v>137</v>
      </c>
      <c r="N9" s="44" t="s">
        <v>138</v>
      </c>
      <c r="O9" s="44" t="s">
        <v>139</v>
      </c>
      <c r="P9" s="44" t="s">
        <v>140</v>
      </c>
      <c r="Q9" s="44" t="s">
        <v>169</v>
      </c>
      <c r="R9" s="2"/>
    </row>
    <row r="10" spans="1:18">
      <c r="A10" s="45"/>
      <c r="B10" s="46" t="s">
        <v>318</v>
      </c>
      <c r="C10" s="361" t="s">
        <v>319</v>
      </c>
      <c r="D10" s="46" t="s">
        <v>354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2"/>
    </row>
    <row r="12" spans="1:18">
      <c r="A12" s="253" t="s">
        <v>360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51"/>
      <c r="B13" s="2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"/>
    </row>
    <row r="14" spans="1:18">
      <c r="A14" s="2" t="str">
        <f>Rent!A14</f>
        <v>EOS Fitness</v>
      </c>
      <c r="B14" s="60" t="str">
        <f>Rent!B14</f>
        <v>Major A</v>
      </c>
      <c r="C14" s="61">
        <f>Rent!C14</f>
        <v>35000</v>
      </c>
      <c r="D14" s="362">
        <f>C14/($C$35)</f>
        <v>0.51691798726904847</v>
      </c>
      <c r="E14" s="250">
        <f>IF(Rent!E14=0,0,('Tenant Charges'!$G10))</f>
        <v>0</v>
      </c>
      <c r="F14" s="250">
        <f>IF(Rent!F14=0,0,('Tenant Charges'!$G10))</f>
        <v>0</v>
      </c>
      <c r="G14" s="250">
        <f>IF(Rent!G14=0,0,('Tenant Charges'!$G10))</f>
        <v>0</v>
      </c>
      <c r="H14" s="250">
        <f>IF(Rent!H14=0,0,('Tenant Charges'!$G10))</f>
        <v>0</v>
      </c>
      <c r="I14" s="250">
        <f>IF(Rent!I14=0,0,('Tenant Charges'!$G10))</f>
        <v>0</v>
      </c>
      <c r="J14" s="250">
        <f>IF(Rent!J14=0,0,('Tenant Charges'!$G10))</f>
        <v>0</v>
      </c>
      <c r="K14" s="250">
        <f>IF(Rent!K14=0,0,('Tenant Charges'!$G10))</f>
        <v>0</v>
      </c>
      <c r="L14" s="250">
        <f>IF(Rent!L14=0,0,('Tenant Charges'!$G10))</f>
        <v>0</v>
      </c>
      <c r="M14" s="250">
        <f>IF(Rent!M14=0,0,('Tenant Charges'!$G10))</f>
        <v>0</v>
      </c>
      <c r="N14" s="250">
        <f>IF(Rent!N14=0,0,('Tenant Charges'!$G10))</f>
        <v>0</v>
      </c>
      <c r="O14" s="250">
        <f>IF(Rent!O14=0,0,('Tenant Charges'!$G10))</f>
        <v>0</v>
      </c>
      <c r="P14" s="250">
        <f>IF(Rent!P14=0,0,('Tenant Charges'!$G10))</f>
        <v>0</v>
      </c>
      <c r="Q14" s="69">
        <f>SUM(E14:P14)</f>
        <v>0</v>
      </c>
      <c r="R14" s="148">
        <f>Q14/C14</f>
        <v>0</v>
      </c>
    </row>
    <row r="15" spans="1:18">
      <c r="A15" s="2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f t="shared" ref="D15:D29" si="0">C15/$C$35</f>
        <v>4.4307256051632722E-2</v>
      </c>
      <c r="E15" s="250">
        <f>IF(Rent!E15=0,0,('Tenant Charges'!$G11))</f>
        <v>491.64603014460857</v>
      </c>
      <c r="F15" s="250">
        <f>IF(Rent!F15=0,0,('Tenant Charges'!$G11))</f>
        <v>491.64603014460857</v>
      </c>
      <c r="G15" s="250">
        <f>IF(Rent!G15=0,0,('Tenant Charges'!$G11))</f>
        <v>491.64603014460857</v>
      </c>
      <c r="H15" s="250">
        <f>IF(Rent!H15=0,0,('Tenant Charges'!$G11))</f>
        <v>491.64603014460857</v>
      </c>
      <c r="I15" s="250">
        <f>IF(Rent!I15=0,0,('Tenant Charges'!$G11))</f>
        <v>491.64603014460857</v>
      </c>
      <c r="J15" s="250">
        <f>IF(Rent!J15=0,0,('Tenant Charges'!$G11))</f>
        <v>491.64603014460857</v>
      </c>
      <c r="K15" s="250">
        <f>IF(Rent!K15=0,0,('Tenant Charges'!$G11))</f>
        <v>491.64603014460857</v>
      </c>
      <c r="L15" s="250">
        <f>IF(Rent!L15=0,0,('Tenant Charges'!$G11))</f>
        <v>491.64603014460857</v>
      </c>
      <c r="M15" s="250">
        <f>IF(Rent!M15=0,0,('Tenant Charges'!$G11))</f>
        <v>491.64603014460857</v>
      </c>
      <c r="N15" s="250">
        <f>IF(Rent!N15=0,0,('Tenant Charges'!$G11))</f>
        <v>491.64603014460857</v>
      </c>
      <c r="O15" s="250">
        <f>IF(Rent!O15=0,0,('Tenant Charges'!$G11))</f>
        <v>491.64603014460857</v>
      </c>
      <c r="P15" s="250">
        <f>IF(Rent!P15=0,0,('Tenant Charges'!$G11))</f>
        <v>491.64603014460857</v>
      </c>
      <c r="Q15" s="69">
        <f>SUM(E15:P15)</f>
        <v>5899.7523617353027</v>
      </c>
      <c r="R15" s="148">
        <f t="shared" ref="R15:R29" si="1">Q15/C15</f>
        <v>1.9665841205784342</v>
      </c>
    </row>
    <row r="16" spans="1:18">
      <c r="A16" s="2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f t="shared" si="0"/>
        <v>2.3999763694634392E-2</v>
      </c>
      <c r="E16" s="250">
        <f>IF(Rent!E16=0,0,('Tenant Charges'!$G12))</f>
        <v>0</v>
      </c>
      <c r="F16" s="250">
        <f>IF(Rent!F16=0,0,('Tenant Charges'!$G12))</f>
        <v>0</v>
      </c>
      <c r="G16" s="250">
        <f>IF(Rent!G16=0,0,('Tenant Charges'!$G12))</f>
        <v>0</v>
      </c>
      <c r="H16" s="250">
        <f>IF(Rent!H16=0,0,('Tenant Charges'!$G12))</f>
        <v>0</v>
      </c>
      <c r="I16" s="250">
        <f>IF(Rent!I16=0,0,('Tenant Charges'!$G12))</f>
        <v>0</v>
      </c>
      <c r="J16" s="250">
        <f>IF(Rent!J16=0,0,('Tenant Charges'!$G12))</f>
        <v>0</v>
      </c>
      <c r="K16" s="250">
        <f>IF(Rent!K16=0,0,('Tenant Charges'!$G12))</f>
        <v>0</v>
      </c>
      <c r="L16" s="250">
        <f>IF(Rent!L16=0,0,('Tenant Charges'!$G12))</f>
        <v>0</v>
      </c>
      <c r="M16" s="250">
        <f>IF(Rent!M16=0,0,('Tenant Charges'!$G12))</f>
        <v>0</v>
      </c>
      <c r="N16" s="250">
        <f>IF(Rent!N16=0,0,('Tenant Charges'!$G12))</f>
        <v>0</v>
      </c>
      <c r="O16" s="250">
        <f>IF(Rent!O16=0,0,('Tenant Charges'!$G12))</f>
        <v>0</v>
      </c>
      <c r="P16" s="250">
        <f>IF(Rent!P16=0,0,('Tenant Charges'!$G12))</f>
        <v>0</v>
      </c>
      <c r="Q16" s="69">
        <f t="shared" ref="Q16:Q29" si="2">SUM(E16:P16)</f>
        <v>0</v>
      </c>
      <c r="R16" s="148">
        <f t="shared" si="1"/>
        <v>0</v>
      </c>
    </row>
    <row r="17" spans="1:18">
      <c r="A17" s="2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f t="shared" si="0"/>
        <v>2.0676719490761938E-2</v>
      </c>
      <c r="E17" s="250">
        <f>IF(Rent!E17=0,0,('Tenant Charges'!$G13))</f>
        <v>229.43481406748393</v>
      </c>
      <c r="F17" s="250">
        <f>IF(Rent!F17=0,0,('Tenant Charges'!$G13))</f>
        <v>229.43481406748393</v>
      </c>
      <c r="G17" s="250">
        <f>IF(Rent!G17=0,0,('Tenant Charges'!$G13))</f>
        <v>229.43481406748393</v>
      </c>
      <c r="H17" s="250">
        <f>IF(Rent!H17=0,0,('Tenant Charges'!$G13))</f>
        <v>229.43481406748393</v>
      </c>
      <c r="I17" s="250">
        <f>IF(Rent!I17=0,0,('Tenant Charges'!$G13))</f>
        <v>229.43481406748393</v>
      </c>
      <c r="J17" s="250">
        <f>IF(Rent!J17=0,0,('Tenant Charges'!$G13))</f>
        <v>229.43481406748393</v>
      </c>
      <c r="K17" s="250">
        <f>IF(Rent!K17=0,0,('Tenant Charges'!$G13))</f>
        <v>229.43481406748393</v>
      </c>
      <c r="L17" s="250">
        <f>IF(Rent!L17=0,0,('Tenant Charges'!$G13))</f>
        <v>229.43481406748393</v>
      </c>
      <c r="M17" s="250">
        <f>IF(Rent!M17=0,0,('Tenant Charges'!$G13))</f>
        <v>229.43481406748393</v>
      </c>
      <c r="N17" s="250">
        <f>IF(Rent!N17=0,0,('Tenant Charges'!$G13))</f>
        <v>229.43481406748393</v>
      </c>
      <c r="O17" s="250">
        <f>IF(Rent!O17=0,0,('Tenant Charges'!$G13))</f>
        <v>229.43481406748393</v>
      </c>
      <c r="P17" s="250">
        <f>IF(Rent!P17=0,0,('Tenant Charges'!$G13))</f>
        <v>229.43481406748393</v>
      </c>
      <c r="Q17" s="69">
        <f t="shared" si="2"/>
        <v>2753.2177688098068</v>
      </c>
      <c r="R17" s="148">
        <f t="shared" si="1"/>
        <v>1.9665841205784333</v>
      </c>
    </row>
    <row r="18" spans="1:18">
      <c r="A18" s="2" t="str">
        <f>Rent!A18</f>
        <v>Green Spa, LLC</v>
      </c>
      <c r="B18" s="60" t="str">
        <f>Rent!B18</f>
        <v>B105</v>
      </c>
      <c r="C18" s="61">
        <f>Rent!C18</f>
        <v>1112</v>
      </c>
      <c r="D18" s="362">
        <f t="shared" si="0"/>
        <v>1.6423222909805194E-2</v>
      </c>
      <c r="E18" s="250">
        <f>IF(Rent!E18=0,0,('Tenant Charges'!$G14))</f>
        <v>182.23679517360156</v>
      </c>
      <c r="F18" s="250">
        <f>IF(Rent!F18=0,0,('Tenant Charges'!$G14))</f>
        <v>182.23679517360156</v>
      </c>
      <c r="G18" s="250">
        <f>IF(Rent!G18=0,0,('Tenant Charges'!$G14))</f>
        <v>182.23679517360156</v>
      </c>
      <c r="H18" s="250">
        <f>IF(Rent!H18=0,0,('Tenant Charges'!$G14))</f>
        <v>182.23679517360156</v>
      </c>
      <c r="I18" s="250">
        <f>IF(Rent!I18=0,0,('Tenant Charges'!$G14))</f>
        <v>182.23679517360156</v>
      </c>
      <c r="J18" s="250">
        <f>IF(Rent!J18=0,0,('Tenant Charges'!$G14))</f>
        <v>182.23679517360156</v>
      </c>
      <c r="K18" s="250">
        <f>IF(Rent!K18=0,0,('Tenant Charges'!$G14))</f>
        <v>182.23679517360156</v>
      </c>
      <c r="L18" s="250">
        <f>IF(Rent!L18=0,0,('Tenant Charges'!$G14))</f>
        <v>182.23679517360156</v>
      </c>
      <c r="M18" s="250">
        <f>IF(Rent!M18=0,0,('Tenant Charges'!$G14))</f>
        <v>182.23679517360156</v>
      </c>
      <c r="N18" s="250">
        <f>IF(Rent!N18=0,0,('Tenant Charges'!$G14))</f>
        <v>182.23679517360156</v>
      </c>
      <c r="O18" s="250">
        <f>IF(Rent!O18=0,0,('Tenant Charges'!$G14))</f>
        <v>182.23679517360156</v>
      </c>
      <c r="P18" s="250">
        <f>IF(Rent!P18=0,0,('Tenant Charges'!$G14))</f>
        <v>182.23679517360156</v>
      </c>
      <c r="Q18" s="69">
        <f t="shared" si="2"/>
        <v>2186.8415420832193</v>
      </c>
      <c r="R18" s="148">
        <f t="shared" si="1"/>
        <v>1.9665841205784347</v>
      </c>
    </row>
    <row r="19" spans="1:18">
      <c r="A19" s="2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f t="shared" si="0"/>
        <v>3.6834098864257335E-2</v>
      </c>
      <c r="E19" s="250">
        <f>IF(Rent!E19=0,0,('Tenant Charges'!$G15))</f>
        <v>0</v>
      </c>
      <c r="F19" s="250">
        <f>IF(Rent!F19=0,0,('Tenant Charges'!$G15))</f>
        <v>0</v>
      </c>
      <c r="G19" s="250">
        <f>IF(Rent!G19=0,0,('Tenant Charges'!$G15))</f>
        <v>0</v>
      </c>
      <c r="H19" s="250">
        <f>IF(Rent!H19=0,0,('Tenant Charges'!$G15))</f>
        <v>0</v>
      </c>
      <c r="I19" s="250">
        <f>IF(Rent!I19=0,0,('Tenant Charges'!$G15))</f>
        <v>0</v>
      </c>
      <c r="J19" s="250">
        <f>IF(Rent!J19=0,0,('Tenant Charges'!$G15))</f>
        <v>0</v>
      </c>
      <c r="K19" s="250">
        <f>IF(Rent!K19=0,0,('Tenant Charges'!$G15))</f>
        <v>0</v>
      </c>
      <c r="L19" s="250">
        <f>IF(Rent!L19=0,0,('Tenant Charges'!$G15))</f>
        <v>0</v>
      </c>
      <c r="M19" s="250">
        <f>IF(Rent!M19=0,0,('Tenant Charges'!$G15))</f>
        <v>0</v>
      </c>
      <c r="N19" s="250">
        <f>IF(Rent!N19=0,0,('Tenant Charges'!$G15))</f>
        <v>0</v>
      </c>
      <c r="O19" s="250">
        <f>IF(Rent!O19=0,0,('Tenant Charges'!$G15))</f>
        <v>0</v>
      </c>
      <c r="P19" s="250">
        <f>IF(Rent!P19=0,0,('Tenant Charges'!$G15))</f>
        <v>0</v>
      </c>
      <c r="Q19" s="69">
        <f t="shared" si="2"/>
        <v>0</v>
      </c>
      <c r="R19" s="148">
        <f t="shared" si="1"/>
        <v>0</v>
      </c>
    </row>
    <row r="20" spans="1:18">
      <c r="A20" s="2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f t="shared" si="0"/>
        <v>2.2153628025816361E-2</v>
      </c>
      <c r="E20" s="250">
        <f>IF(Rent!E20=0,0,('Tenant Charges'!$G16))</f>
        <v>245.82301507230429</v>
      </c>
      <c r="F20" s="250">
        <f>IF(Rent!F20=0,0,('Tenant Charges'!$G16))</f>
        <v>245.82301507230429</v>
      </c>
      <c r="G20" s="250">
        <f>IF(Rent!G20=0,0,('Tenant Charges'!$G16))</f>
        <v>245.82301507230429</v>
      </c>
      <c r="H20" s="250">
        <f>IF(Rent!H20=0,0,('Tenant Charges'!$G16))</f>
        <v>245.82301507230429</v>
      </c>
      <c r="I20" s="250">
        <f>IF(Rent!I20=0,0,('Tenant Charges'!$G16))</f>
        <v>245.82301507230429</v>
      </c>
      <c r="J20" s="250">
        <f>IF(Rent!J20=0,0,('Tenant Charges'!$G16))</f>
        <v>245.82301507230429</v>
      </c>
      <c r="K20" s="250">
        <f>IF(Rent!K20=0,0,('Tenant Charges'!$G16))</f>
        <v>245.82301507230429</v>
      </c>
      <c r="L20" s="250">
        <f>IF(Rent!L20=0,0,('Tenant Charges'!$G16))</f>
        <v>245.82301507230429</v>
      </c>
      <c r="M20" s="250">
        <f>IF(Rent!M20=0,0,('Tenant Charges'!$G16))</f>
        <v>245.82301507230429</v>
      </c>
      <c r="N20" s="250">
        <f>IF(Rent!N20=0,0,('Tenant Charges'!$G16))</f>
        <v>245.82301507230429</v>
      </c>
      <c r="O20" s="250">
        <f>IF(Rent!O20=0,0,('Tenant Charges'!$G16))</f>
        <v>245.82301507230429</v>
      </c>
      <c r="P20" s="250">
        <f>IF(Rent!P20=0,0,('Tenant Charges'!$G16))</f>
        <v>245.82301507230429</v>
      </c>
      <c r="Q20" s="69">
        <f t="shared" si="2"/>
        <v>2949.8761808676513</v>
      </c>
      <c r="R20" s="148">
        <f t="shared" si="1"/>
        <v>1.9665841205784342</v>
      </c>
    </row>
    <row r="21" spans="1:18">
      <c r="A21" s="2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f t="shared" si="0"/>
        <v>2.5609593997843714E-2</v>
      </c>
      <c r="E21" s="250">
        <f>IF(Rent!E21=0,0,('Tenant Charges'!$G17))</f>
        <v>0</v>
      </c>
      <c r="F21" s="250">
        <f>IF(Rent!F21=0,0,('Tenant Charges'!$G17))</f>
        <v>0</v>
      </c>
      <c r="G21" s="250">
        <f>IF(Rent!G21=0,0,('Tenant Charges'!$G17))</f>
        <v>0</v>
      </c>
      <c r="H21" s="250">
        <f>IF(Rent!H21=0,0,('Tenant Charges'!$G17))</f>
        <v>0</v>
      </c>
      <c r="I21" s="250">
        <f>IF(Rent!I21=0,0,('Tenant Charges'!$G17))</f>
        <v>0</v>
      </c>
      <c r="J21" s="250">
        <f>IF(Rent!J21=0,0,('Tenant Charges'!$G17))</f>
        <v>0</v>
      </c>
      <c r="K21" s="250">
        <f>IF(Rent!K21=0,0,('Tenant Charges'!$G17))</f>
        <v>0</v>
      </c>
      <c r="L21" s="250">
        <f>IF(Rent!L21=0,0,('Tenant Charges'!$G17))</f>
        <v>0</v>
      </c>
      <c r="M21" s="250">
        <f>IF(Rent!M21=0,0,('Tenant Charges'!$G17))</f>
        <v>0</v>
      </c>
      <c r="N21" s="250">
        <f>IF(Rent!N21=0,0,('Tenant Charges'!$G17))</f>
        <v>0</v>
      </c>
      <c r="O21" s="250">
        <f>IF(Rent!O21=0,0,('Tenant Charges'!$G17))</f>
        <v>0</v>
      </c>
      <c r="P21" s="250">
        <f>IF(Rent!P21=0,0,('Tenant Charges'!$G17))</f>
        <v>0</v>
      </c>
      <c r="Q21" s="69">
        <f t="shared" si="2"/>
        <v>0</v>
      </c>
      <c r="R21" s="148">
        <f t="shared" si="1"/>
        <v>0</v>
      </c>
    </row>
    <row r="22" spans="1:18">
      <c r="A22" s="2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f t="shared" si="0"/>
        <v>5.7599432867122539E-2</v>
      </c>
      <c r="E22" s="250">
        <f>IF(Rent!E22=0,0,('Tenant Charges'!$G18))</f>
        <v>639.13983918799113</v>
      </c>
      <c r="F22" s="250">
        <f>IF(Rent!F22=0,0,('Tenant Charges'!$G18))</f>
        <v>639.13983918799113</v>
      </c>
      <c r="G22" s="250">
        <f>IF(Rent!G22=0,0,('Tenant Charges'!$G18))</f>
        <v>639.13983918799113</v>
      </c>
      <c r="H22" s="250">
        <f>IF(Rent!H22=0,0,('Tenant Charges'!$G18))</f>
        <v>639.13983918799113</v>
      </c>
      <c r="I22" s="250">
        <f>IF(Rent!I22=0,0,('Tenant Charges'!$G18))</f>
        <v>639.13983918799113</v>
      </c>
      <c r="J22" s="250">
        <f>IF(Rent!J22=0,0,('Tenant Charges'!$G18))</f>
        <v>639.13983918799113</v>
      </c>
      <c r="K22" s="250">
        <f>IF(Rent!K22=0,0,('Tenant Charges'!$G18))</f>
        <v>639.13983918799113</v>
      </c>
      <c r="L22" s="250">
        <f>IF(Rent!L22=0,0,('Tenant Charges'!$G18))</f>
        <v>639.13983918799113</v>
      </c>
      <c r="M22" s="250">
        <f>IF(Rent!M22=0,0,('Tenant Charges'!$G18))</f>
        <v>639.13983918799113</v>
      </c>
      <c r="N22" s="250">
        <f>IF(Rent!N22=0,0,('Tenant Charges'!$G18))</f>
        <v>639.13983918799113</v>
      </c>
      <c r="O22" s="250">
        <f>IF(Rent!O22=0,0,('Tenant Charges'!$G18))</f>
        <v>639.13983918799113</v>
      </c>
      <c r="P22" s="250">
        <f>IF(Rent!P22=0,0,('Tenant Charges'!$G18))</f>
        <v>639.13983918799113</v>
      </c>
      <c r="Q22" s="69">
        <f t="shared" si="2"/>
        <v>7669.6780702558935</v>
      </c>
      <c r="R22" s="148">
        <f t="shared" si="1"/>
        <v>1.9665841205784342</v>
      </c>
    </row>
    <row r="23" spans="1:18">
      <c r="A23" s="2" t="str">
        <f>Rent!A23</f>
        <v>Kachina Stained Glass</v>
      </c>
      <c r="B23" s="60">
        <f>Rent!B23</f>
        <v>101</v>
      </c>
      <c r="C23" s="61">
        <f>Rent!C23</f>
        <v>1287</v>
      </c>
      <c r="D23" s="362">
        <f t="shared" si="0"/>
        <v>1.9007812846150437E-2</v>
      </c>
      <c r="E23" s="250">
        <f>IF(Rent!E23=0,0,('Tenant Charges'!$G19))</f>
        <v>210.91614693203701</v>
      </c>
      <c r="F23" s="250">
        <f>IF(Rent!F23=0,0,('Tenant Charges'!$G19))</f>
        <v>210.91614693203701</v>
      </c>
      <c r="G23" s="250">
        <f>IF(Rent!G23=0,0,('Tenant Charges'!$G19))</f>
        <v>210.91614693203701</v>
      </c>
      <c r="H23" s="250">
        <f>IF(Rent!H23=0,0,('Tenant Charges'!$G19))</f>
        <v>210.91614693203701</v>
      </c>
      <c r="I23" s="250">
        <f>IF(Rent!I23=0,0,('Tenant Charges'!$G19))</f>
        <v>210.91614693203701</v>
      </c>
      <c r="J23" s="250">
        <f>IF(Rent!J23=0,0,('Tenant Charges'!$G19))</f>
        <v>210.91614693203701</v>
      </c>
      <c r="K23" s="250">
        <f>IF(Rent!K23=0,0,('Tenant Charges'!$G19))</f>
        <v>210.91614693203701</v>
      </c>
      <c r="L23" s="250">
        <f>IF(Rent!L23=0,0,('Tenant Charges'!$G19))</f>
        <v>210.91614693203701</v>
      </c>
      <c r="M23" s="250">
        <f>IF(Rent!M23=0,0,('Tenant Charges'!$G19))</f>
        <v>210.91614693203701</v>
      </c>
      <c r="N23" s="250">
        <f>IF(Rent!N23=0,0,('Tenant Charges'!$G19))</f>
        <v>210.91614693203701</v>
      </c>
      <c r="O23" s="250">
        <f>IF(Rent!O23=0,0,('Tenant Charges'!$G19))</f>
        <v>210.91614693203701</v>
      </c>
      <c r="P23" s="250">
        <f>IF(Rent!P23=0,0,('Tenant Charges'!$G19))</f>
        <v>210.91614693203701</v>
      </c>
      <c r="Q23" s="69">
        <f t="shared" si="2"/>
        <v>2530.9937631844441</v>
      </c>
      <c r="R23" s="148">
        <f t="shared" si="1"/>
        <v>1.9665841205784336</v>
      </c>
    </row>
    <row r="24" spans="1:18">
      <c r="A24" s="2" t="str">
        <f>Rent!A24</f>
        <v>Zanders Creations</v>
      </c>
      <c r="B24" s="60">
        <f>Rent!B24</f>
        <v>102</v>
      </c>
      <c r="C24" s="61">
        <f>Rent!C24</f>
        <v>1639</v>
      </c>
      <c r="D24" s="362">
        <f t="shared" si="0"/>
        <v>2.420653088954201E-2</v>
      </c>
      <c r="E24" s="250">
        <f>IF(Rent!E24=0,0,('Tenant Charges'!$G20))</f>
        <v>268.60261446900449</v>
      </c>
      <c r="F24" s="250">
        <f>IF(Rent!F24=0,0,('Tenant Charges'!$G20))</f>
        <v>268.60261446900449</v>
      </c>
      <c r="G24" s="250">
        <f>IF(Rent!G24=0,0,('Tenant Charges'!$G20))</f>
        <v>268.60261446900449</v>
      </c>
      <c r="H24" s="250">
        <f>IF(Rent!H24=0,0,('Tenant Charges'!$G20))</f>
        <v>268.60261446900449</v>
      </c>
      <c r="I24" s="250">
        <f>IF(Rent!I24=0,0,('Tenant Charges'!$G20))</f>
        <v>268.60261446900449</v>
      </c>
      <c r="J24" s="250">
        <f>IF(Rent!J24=0,0,('Tenant Charges'!$G20))</f>
        <v>268.60261446900449</v>
      </c>
      <c r="K24" s="250">
        <f>IF(Rent!K24=0,0,('Tenant Charges'!$G20))</f>
        <v>268.60261446900449</v>
      </c>
      <c r="L24" s="250">
        <f>IF(Rent!L24=0,0,('Tenant Charges'!$G20))</f>
        <v>268.60261446900449</v>
      </c>
      <c r="M24" s="250">
        <f>IF(Rent!M24=0,0,('Tenant Charges'!$G20))</f>
        <v>268.60261446900449</v>
      </c>
      <c r="N24" s="250">
        <f>IF(Rent!N24=0,0,('Tenant Charges'!$G20))</f>
        <v>268.60261446900449</v>
      </c>
      <c r="O24" s="250">
        <f>IF(Rent!O24=0,0,('Tenant Charges'!$G20))</f>
        <v>268.60261446900449</v>
      </c>
      <c r="P24" s="250">
        <f>IF(Rent!P24=0,0,('Tenant Charges'!$G20))</f>
        <v>268.60261446900449</v>
      </c>
      <c r="Q24" s="69">
        <f t="shared" si="2"/>
        <v>3223.2313736280539</v>
      </c>
      <c r="R24" s="148">
        <f t="shared" si="1"/>
        <v>1.9665841205784345</v>
      </c>
    </row>
    <row r="25" spans="1:18">
      <c r="A25" s="2" t="str">
        <f>Rent!A25</f>
        <v>Brightnow Dental</v>
      </c>
      <c r="B25" s="60">
        <f>Rent!B25</f>
        <v>103</v>
      </c>
      <c r="C25" s="61">
        <f>Rent!C25</f>
        <v>3600</v>
      </c>
      <c r="D25" s="362">
        <f t="shared" si="0"/>
        <v>5.3168707261959269E-2</v>
      </c>
      <c r="E25" s="250">
        <f>IF(Rent!E25=0,0,('Tenant Charges'!$G21))</f>
        <v>0</v>
      </c>
      <c r="F25" s="250">
        <f>IF(Rent!F25=0,0,('Tenant Charges'!$G21))</f>
        <v>0</v>
      </c>
      <c r="G25" s="250">
        <f>IF(Rent!G25=0,0,('Tenant Charges'!$G21))</f>
        <v>0</v>
      </c>
      <c r="H25" s="250">
        <f>IF(Rent!H25=0,0,('Tenant Charges'!$G21))</f>
        <v>0</v>
      </c>
      <c r="I25" s="250">
        <f>IF(Rent!I25=0,0,('Tenant Charges'!$G21))</f>
        <v>0</v>
      </c>
      <c r="J25" s="250">
        <f>IF(Rent!J25=0,0,('Tenant Charges'!$G21))</f>
        <v>0</v>
      </c>
      <c r="K25" s="250">
        <f>IF(Rent!K25=0,0,('Tenant Charges'!$G21))</f>
        <v>0</v>
      </c>
      <c r="L25" s="250">
        <f>IF(Rent!L25=0,0,('Tenant Charges'!$G21))</f>
        <v>0</v>
      </c>
      <c r="M25" s="250">
        <f>IF(Rent!M25=0,0,('Tenant Charges'!$G21))</f>
        <v>0</v>
      </c>
      <c r="N25" s="250">
        <f>IF(Rent!N25=0,0,('Tenant Charges'!$G21))</f>
        <v>0</v>
      </c>
      <c r="O25" s="250">
        <f>IF(Rent!O25=0,0,('Tenant Charges'!$G21))</f>
        <v>0</v>
      </c>
      <c r="P25" s="250">
        <f>IF(Rent!P25=0,0,('Tenant Charges'!$G21))</f>
        <v>0</v>
      </c>
      <c r="Q25" s="69">
        <f t="shared" si="2"/>
        <v>0</v>
      </c>
      <c r="R25" s="148">
        <f t="shared" si="1"/>
        <v>0</v>
      </c>
    </row>
    <row r="26" spans="1:18">
      <c r="A26" s="2" t="str">
        <f>Rent!A26</f>
        <v>Carr Animal Care</v>
      </c>
      <c r="B26" s="60">
        <f>Rent!B26</f>
        <v>106</v>
      </c>
      <c r="C26" s="61">
        <f>Rent!C26</f>
        <v>1587</v>
      </c>
      <c r="D26" s="362">
        <f t="shared" si="0"/>
        <v>2.343853845131371E-2</v>
      </c>
      <c r="E26" s="250">
        <f>IF(Rent!E26=0,0,('Tenant Charges'!$G22))</f>
        <v>0</v>
      </c>
      <c r="F26" s="250">
        <f>IF(Rent!F26=0,0,('Tenant Charges'!$G22))</f>
        <v>0</v>
      </c>
      <c r="G26" s="250">
        <f>IF(Rent!G26=0,0,('Tenant Charges'!$G22))</f>
        <v>0</v>
      </c>
      <c r="H26" s="250">
        <f>IF(Rent!H26=0,0,('Tenant Charges'!$G22))</f>
        <v>0</v>
      </c>
      <c r="I26" s="250">
        <f>IF(Rent!I26=0,0,('Tenant Charges'!$G22))</f>
        <v>0</v>
      </c>
      <c r="J26" s="250">
        <f>IF(Rent!J26=0,0,('Tenant Charges'!$G22))</f>
        <v>0</v>
      </c>
      <c r="K26" s="250">
        <f>IF(Rent!K26=0,0,('Tenant Charges'!$G22))</f>
        <v>0</v>
      </c>
      <c r="L26" s="250">
        <f>IF(Rent!L26=0,0,('Tenant Charges'!$G22))</f>
        <v>0</v>
      </c>
      <c r="M26" s="250">
        <f>IF(Rent!M26=0,0,('Tenant Charges'!$G22))</f>
        <v>0</v>
      </c>
      <c r="N26" s="250">
        <f>IF(Rent!N26=0,0,('Tenant Charges'!$G22))</f>
        <v>0</v>
      </c>
      <c r="O26" s="250">
        <f>IF(Rent!O26=0,0,('Tenant Charges'!$G22))</f>
        <v>0</v>
      </c>
      <c r="P26" s="250">
        <f>IF(Rent!P26=0,0,('Tenant Charges'!$G22))</f>
        <v>0</v>
      </c>
      <c r="Q26" s="69">
        <f t="shared" si="2"/>
        <v>0</v>
      </c>
      <c r="R26" s="148">
        <f t="shared" si="1"/>
        <v>0</v>
      </c>
    </row>
    <row r="27" spans="1:18">
      <c r="A27" s="2" t="str">
        <f>Rent!A27</f>
        <v>Razors Barber Shop</v>
      </c>
      <c r="B27" s="60">
        <f>Rent!B27</f>
        <v>107</v>
      </c>
      <c r="C27" s="61">
        <f>Rent!C27</f>
        <v>1300</v>
      </c>
      <c r="D27" s="362">
        <f t="shared" si="0"/>
        <v>1.9199810955707514E-2</v>
      </c>
      <c r="E27" s="250">
        <f>IF(Rent!E27=0,0,('Tenant Charges'!$G23))</f>
        <v>0</v>
      </c>
      <c r="F27" s="250">
        <f>IF(Rent!F27=0,0,('Tenant Charges'!$G23))</f>
        <v>0</v>
      </c>
      <c r="G27" s="250">
        <f>IF(Rent!G27=0,0,('Tenant Charges'!$G23))</f>
        <v>0</v>
      </c>
      <c r="H27" s="250">
        <f>IF(Rent!H27=0,0,('Tenant Charges'!$G23))</f>
        <v>0</v>
      </c>
      <c r="I27" s="250">
        <f>IF(Rent!I27=0,0,('Tenant Charges'!$G23))</f>
        <v>0</v>
      </c>
      <c r="J27" s="250">
        <f>IF(Rent!J27=0,0,('Tenant Charges'!$G23))</f>
        <v>0</v>
      </c>
      <c r="K27" s="250">
        <f>IF(Rent!K27=0,0,('Tenant Charges'!$G23))</f>
        <v>0</v>
      </c>
      <c r="L27" s="250">
        <f>IF(Rent!L27=0,0,('Tenant Charges'!$G23))</f>
        <v>0</v>
      </c>
      <c r="M27" s="250">
        <f>IF(Rent!M27=0,0,('Tenant Charges'!$G23))</f>
        <v>0</v>
      </c>
      <c r="N27" s="250">
        <f>IF(Rent!N27=0,0,('Tenant Charges'!$G23))</f>
        <v>0</v>
      </c>
      <c r="O27" s="250">
        <f>IF(Rent!O27=0,0,('Tenant Charges'!$G23))</f>
        <v>0</v>
      </c>
      <c r="P27" s="250">
        <f>IF(Rent!P27=0,0,('Tenant Charges'!$G23))</f>
        <v>0</v>
      </c>
      <c r="Q27" s="69">
        <f t="shared" si="2"/>
        <v>0</v>
      </c>
      <c r="R27" s="148">
        <f t="shared" si="1"/>
        <v>0</v>
      </c>
    </row>
    <row r="28" spans="1:18" ht="12.95" customHeight="1">
      <c r="A28" s="2" t="str">
        <f>Rent!A28</f>
        <v>CrossFit New Strength</v>
      </c>
      <c r="B28" s="60">
        <f>Rent!B28</f>
        <v>108</v>
      </c>
      <c r="C28" s="61">
        <f>Rent!C28</f>
        <v>3524</v>
      </c>
      <c r="D28" s="362">
        <f t="shared" si="0"/>
        <v>5.2046256775317906E-2</v>
      </c>
      <c r="E28" s="250">
        <f>IF(Rent!E28=0,0,('Tenant Charges'!$G24))</f>
        <v>577.52020340986678</v>
      </c>
      <c r="F28" s="250">
        <f>IF(Rent!F28=0,0,('Tenant Charges'!$G24))</f>
        <v>577.52020340986678</v>
      </c>
      <c r="G28" s="250">
        <f>IF(Rent!G28=0,0,('Tenant Charges'!$G24))</f>
        <v>577.52020340986678</v>
      </c>
      <c r="H28" s="250">
        <f>IF(Rent!H28=0,0,('Tenant Charges'!$G24))</f>
        <v>577.52020340986678</v>
      </c>
      <c r="I28" s="250">
        <f>IF(Rent!I28=0,0,('Tenant Charges'!$G24))</f>
        <v>577.52020340986678</v>
      </c>
      <c r="J28" s="250">
        <f>IF(Rent!J28=0,0,('Tenant Charges'!$G24))</f>
        <v>577.52020340986678</v>
      </c>
      <c r="K28" s="250">
        <f>IF(Rent!K28=0,0,('Tenant Charges'!$G24))</f>
        <v>577.52020340986678</v>
      </c>
      <c r="L28" s="250">
        <f>IF(Rent!L28=0,0,('Tenant Charges'!$G24))</f>
        <v>577.52020340986678</v>
      </c>
      <c r="M28" s="250">
        <f>IF(Rent!M28=0,0,('Tenant Charges'!$G24))</f>
        <v>577.52020340986678</v>
      </c>
      <c r="N28" s="250">
        <f>IF(Rent!N28=0,0,('Tenant Charges'!$G24))</f>
        <v>577.52020340986678</v>
      </c>
      <c r="O28" s="250">
        <f>IF(Rent!O28=0,0,('Tenant Charges'!$G24))</f>
        <v>577.52020340986678</v>
      </c>
      <c r="P28" s="250">
        <f>IF(Rent!P28=0,0,('Tenant Charges'!$G24))</f>
        <v>577.52020340986678</v>
      </c>
      <c r="Q28" s="69">
        <f t="shared" si="2"/>
        <v>6930.2424409183996</v>
      </c>
      <c r="R28" s="148">
        <f t="shared" si="1"/>
        <v>1.9665841205784336</v>
      </c>
    </row>
    <row r="29" spans="1:18" ht="12.95" customHeight="1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f t="shared" si="0"/>
        <v>4.4410639649086529E-2</v>
      </c>
      <c r="E29" s="250">
        <f>IF(Rent!E29=0,0,('Tenant Charges'!$G25))</f>
        <v>0</v>
      </c>
      <c r="F29" s="250">
        <f>IF(Rent!F29=0,0,('Tenant Charges'!$G25))</f>
        <v>0</v>
      </c>
      <c r="G29" s="250">
        <f>IF(Rent!G29=0,0,('Tenant Charges'!$G25))</f>
        <v>0</v>
      </c>
      <c r="H29" s="250">
        <f>IF(Rent!H29=0,0,('Tenant Charges'!$G25))</f>
        <v>0</v>
      </c>
      <c r="I29" s="250">
        <f>IF(Rent!I29=0,0,('Tenant Charges'!$G25))</f>
        <v>0</v>
      </c>
      <c r="J29" s="250">
        <f>IF(Rent!J29=0,0,('Tenant Charges'!$G25))</f>
        <v>0</v>
      </c>
      <c r="K29" s="250">
        <f>IF(Rent!K29=0,0,('Tenant Charges'!$G25))</f>
        <v>492.79320421494594</v>
      </c>
      <c r="L29" s="250">
        <f>IF(Rent!L29=0,0,('Tenant Charges'!$G25))</f>
        <v>492.79320421494594</v>
      </c>
      <c r="M29" s="250">
        <f>IF(Rent!M29=0,0,('Tenant Charges'!$G25))</f>
        <v>492.79320421494594</v>
      </c>
      <c r="N29" s="250">
        <f>IF(Rent!N29=0,0,('Tenant Charges'!$G25))</f>
        <v>492.79320421494594</v>
      </c>
      <c r="O29" s="250">
        <f>IF(Rent!O29=0,0,('Tenant Charges'!$G25))</f>
        <v>492.79320421494594</v>
      </c>
      <c r="P29" s="250">
        <f>IF(Rent!P29=0,0,('Tenant Charges'!$G25))</f>
        <v>492.79320421494594</v>
      </c>
      <c r="Q29" s="69">
        <f t="shared" si="2"/>
        <v>2956.7592252896757</v>
      </c>
      <c r="R29" s="148">
        <f t="shared" si="1"/>
        <v>0.98329206028921701</v>
      </c>
    </row>
    <row r="30" spans="1:18">
      <c r="A30" s="2"/>
      <c r="B30" s="2"/>
      <c r="C30" s="324"/>
      <c r="D30" s="362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2"/>
    </row>
    <row r="31" spans="1:18">
      <c r="A31" s="2"/>
      <c r="B31" s="2"/>
      <c r="C31" s="324"/>
      <c r="D31" s="362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2"/>
    </row>
    <row r="32" spans="1:18">
      <c r="A32" s="2"/>
      <c r="B32" s="2"/>
      <c r="C32" s="324"/>
      <c r="D32" s="362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2"/>
    </row>
    <row r="33" spans="1:18">
      <c r="A33" s="2" t="s">
        <v>47</v>
      </c>
      <c r="B33" s="2"/>
      <c r="C33" s="61" t="s">
        <v>47</v>
      </c>
      <c r="D33" s="362" t="s">
        <v>47</v>
      </c>
      <c r="E33" s="69" t="s">
        <v>47</v>
      </c>
      <c r="F33" s="69" t="s">
        <v>47</v>
      </c>
      <c r="G33" s="69" t="s">
        <v>47</v>
      </c>
      <c r="H33" s="69" t="s">
        <v>47</v>
      </c>
      <c r="I33" s="69" t="s">
        <v>47</v>
      </c>
      <c r="J33" s="69" t="s">
        <v>47</v>
      </c>
      <c r="K33" s="69" t="s">
        <v>47</v>
      </c>
      <c r="L33" s="69" t="s">
        <v>47</v>
      </c>
      <c r="M33" s="69" t="s">
        <v>47</v>
      </c>
      <c r="N33" s="69" t="s">
        <v>47</v>
      </c>
      <c r="O33" s="69" t="s">
        <v>47</v>
      </c>
      <c r="P33" s="69" t="s">
        <v>47</v>
      </c>
      <c r="Q33" s="69" t="s">
        <v>47</v>
      </c>
      <c r="R33" s="2"/>
    </row>
    <row r="34" spans="1:18">
      <c r="A34" s="360"/>
      <c r="B34" s="364"/>
      <c r="C34" s="365"/>
      <c r="D34" s="365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7"/>
      <c r="R34" s="2"/>
    </row>
    <row r="35" spans="1:18">
      <c r="A35" s="339" t="s">
        <v>169</v>
      </c>
      <c r="B35" s="368"/>
      <c r="C35" s="341">
        <f>SUM(C14:C34)</f>
        <v>67709</v>
      </c>
      <c r="D35" s="369">
        <f>SUM(D14:D34)</f>
        <v>1</v>
      </c>
      <c r="E35" s="342">
        <f>SUM(E14:E29)</f>
        <v>2845.3194584568973</v>
      </c>
      <c r="F35" s="342">
        <f t="shared" ref="F35:O35" si="3">SUM(F14:F29)</f>
        <v>2845.3194584568973</v>
      </c>
      <c r="G35" s="342">
        <f t="shared" si="3"/>
        <v>2845.3194584568973</v>
      </c>
      <c r="H35" s="342">
        <f t="shared" si="3"/>
        <v>2845.3194584568973</v>
      </c>
      <c r="I35" s="342">
        <f t="shared" si="3"/>
        <v>2845.3194584568973</v>
      </c>
      <c r="J35" s="342">
        <f t="shared" si="3"/>
        <v>2845.3194584568973</v>
      </c>
      <c r="K35" s="342">
        <f t="shared" si="3"/>
        <v>3338.1126626718433</v>
      </c>
      <c r="L35" s="342">
        <f t="shared" si="3"/>
        <v>3338.1126626718433</v>
      </c>
      <c r="M35" s="342">
        <f t="shared" si="3"/>
        <v>3338.1126626718433</v>
      </c>
      <c r="N35" s="342">
        <f t="shared" si="3"/>
        <v>3338.1126626718433</v>
      </c>
      <c r="O35" s="342">
        <f t="shared" si="3"/>
        <v>3338.1126626718433</v>
      </c>
      <c r="P35" s="342">
        <f>SUM(P14:P29)</f>
        <v>3338.1126626718433</v>
      </c>
      <c r="Q35" s="342">
        <f>SUM(Q14:Q29)</f>
        <v>37100.592726772447</v>
      </c>
      <c r="R35" s="2"/>
    </row>
    <row r="36" spans="1:18">
      <c r="A36" s="370"/>
      <c r="B36" s="371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3"/>
      <c r="R36" s="2"/>
    </row>
    <row r="37" spans="1:18">
      <c r="A37" s="2"/>
      <c r="B37" s="2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74" t="s">
        <v>361</v>
      </c>
      <c r="P37" s="364"/>
      <c r="Q37" s="375">
        <f>Summary!O67</f>
        <v>64325</v>
      </c>
      <c r="R37" s="2"/>
    </row>
    <row r="38" spans="1:18">
      <c r="A38" s="2"/>
      <c r="B38" s="2"/>
      <c r="C38" s="39"/>
      <c r="D38" s="2"/>
      <c r="E38" s="2"/>
      <c r="F38" s="2"/>
      <c r="G38" s="39"/>
      <c r="H38" s="39"/>
      <c r="I38" s="39"/>
      <c r="J38" s="39"/>
      <c r="K38" s="324"/>
      <c r="L38" s="39"/>
      <c r="M38" s="39"/>
      <c r="N38" s="39"/>
      <c r="O38" s="376" t="s">
        <v>357</v>
      </c>
      <c r="P38" s="371"/>
      <c r="Q38" s="377">
        <f>Q35/Q37</f>
        <v>0.57676786205631481</v>
      </c>
      <c r="R38" s="93"/>
    </row>
    <row r="39" spans="1:18">
      <c r="A39" s="2"/>
      <c r="B39" s="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267" t="s">
        <v>362</v>
      </c>
      <c r="P39" s="39"/>
      <c r="Q39" s="362"/>
      <c r="R39" s="2"/>
    </row>
    <row r="40" spans="1:1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 t="s">
        <v>363</v>
      </c>
      <c r="P40" s="61"/>
      <c r="Q40" s="61"/>
      <c r="R40" s="2"/>
    </row>
    <row r="41" spans="1:18">
      <c r="A41" s="635" t="s">
        <v>364</v>
      </c>
      <c r="B41" s="635"/>
      <c r="C41" s="2"/>
      <c r="D41" s="381">
        <f>'Occup,'!D38</f>
        <v>0.95558936035091346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61"/>
      <c r="Q41" s="61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61"/>
      <c r="Q42" s="61"/>
      <c r="R42" s="2"/>
    </row>
    <row r="43" spans="1:18">
      <c r="A43" s="2"/>
      <c r="B43" s="2"/>
      <c r="C43" s="2"/>
      <c r="D43" s="382" t="s">
        <v>347</v>
      </c>
      <c r="E43" s="380">
        <f>E35-Summary!C17</f>
        <v>0</v>
      </c>
      <c r="F43" s="349">
        <f>F35-Summary!D17</f>
        <v>0</v>
      </c>
      <c r="G43" s="349">
        <f>G35-Summary!E17</f>
        <v>0</v>
      </c>
      <c r="H43" s="349">
        <f>H35-Summary!F17</f>
        <v>0</v>
      </c>
      <c r="I43" s="349">
        <f>I35-Summary!G17</f>
        <v>0</v>
      </c>
      <c r="J43" s="349">
        <f>J35-Summary!H17</f>
        <v>0</v>
      </c>
      <c r="K43" s="349">
        <f>K35-Summary!I17</f>
        <v>0</v>
      </c>
      <c r="L43" s="349">
        <f>L35-Summary!J17</f>
        <v>0</v>
      </c>
      <c r="M43" s="349">
        <f>M35-Summary!K17</f>
        <v>0</v>
      </c>
      <c r="N43" s="349">
        <f>N35-Summary!L17</f>
        <v>0</v>
      </c>
      <c r="O43" s="349">
        <f>O35-Summary!M17</f>
        <v>0</v>
      </c>
      <c r="P43" s="350">
        <f>P35-Summary!N17</f>
        <v>0</v>
      </c>
      <c r="Q43" s="2"/>
      <c r="R43" s="2"/>
    </row>
  </sheetData>
  <mergeCells count="6">
    <mergeCell ref="A41:B41"/>
    <mergeCell ref="A6:Q6"/>
    <mergeCell ref="A2:Q2"/>
    <mergeCell ref="A3:Q3"/>
    <mergeCell ref="A4:Q4"/>
    <mergeCell ref="A5:Q5"/>
  </mergeCells>
  <phoneticPr fontId="8" type="noConversion"/>
  <printOptions horizontalCentered="1"/>
  <pageMargins left="0.7" right="0.7" top="0.75" bottom="0.75" header="0.3" footer="0.3"/>
  <pageSetup paperSize="5" scale="86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S41"/>
  <sheetViews>
    <sheetView topLeftCell="A5" zoomScale="85" zoomScaleNormal="85" zoomScaleSheetLayoutView="130" workbookViewId="0">
      <selection activeCell="E14" sqref="E14:P29"/>
    </sheetView>
  </sheetViews>
  <sheetFormatPr defaultColWidth="9.42578125" defaultRowHeight="15.4"/>
  <cols>
    <col min="1" max="1" width="32.42578125" style="89" customWidth="1"/>
    <col min="2" max="2" width="9.42578125" style="89" bestFit="1" customWidth="1"/>
    <col min="3" max="3" width="13.42578125" style="89" customWidth="1"/>
    <col min="4" max="4" width="11.42578125" style="89" bestFit="1" customWidth="1"/>
    <col min="5" max="5" width="11.42578125" style="89" customWidth="1"/>
    <col min="6" max="6" width="10.42578125" style="89" customWidth="1"/>
    <col min="7" max="7" width="9.42578125" style="89" bestFit="1" customWidth="1"/>
    <col min="8" max="8" width="10.42578125" style="89" customWidth="1"/>
    <col min="9" max="10" width="9.42578125" style="89" bestFit="1" customWidth="1"/>
    <col min="11" max="11" width="10.42578125" style="89" customWidth="1"/>
    <col min="12" max="13" width="9.42578125" style="89" bestFit="1" customWidth="1"/>
    <col min="14" max="14" width="10.42578125" style="89" customWidth="1"/>
    <col min="15" max="16" width="9.42578125" style="89" bestFit="1" customWidth="1"/>
    <col min="17" max="17" width="11.42578125" style="89" bestFit="1" customWidth="1"/>
    <col min="18" max="18" width="9.42578125" style="89" bestFit="1" customWidth="1"/>
    <col min="19" max="16384" width="9.42578125" style="89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46269</v>
      </c>
      <c r="R1" s="2">
        <f>Summary!W4</f>
        <v>0</v>
      </c>
    </row>
    <row r="2" spans="1:18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</row>
    <row r="3" spans="1:18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</row>
    <row r="4" spans="1:18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</row>
    <row r="5" spans="1:18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</row>
    <row r="6" spans="1:18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</row>
    <row r="7" spans="1:18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2"/>
    </row>
    <row r="9" spans="1:18">
      <c r="A9" s="44" t="s">
        <v>15</v>
      </c>
      <c r="B9" s="44" t="s">
        <v>316</v>
      </c>
      <c r="C9" s="44" t="s">
        <v>165</v>
      </c>
      <c r="D9" s="44" t="s">
        <v>365</v>
      </c>
      <c r="E9" s="44" t="s">
        <v>129</v>
      </c>
      <c r="F9" s="44" t="s">
        <v>130</v>
      </c>
      <c r="G9" s="44" t="s">
        <v>131</v>
      </c>
      <c r="H9" s="44" t="s">
        <v>132</v>
      </c>
      <c r="I9" s="44" t="s">
        <v>133</v>
      </c>
      <c r="J9" s="44" t="s">
        <v>134</v>
      </c>
      <c r="K9" s="44" t="s">
        <v>135</v>
      </c>
      <c r="L9" s="44" t="s">
        <v>136</v>
      </c>
      <c r="M9" s="44" t="s">
        <v>137</v>
      </c>
      <c r="N9" s="44" t="s">
        <v>138</v>
      </c>
      <c r="O9" s="44" t="s">
        <v>139</v>
      </c>
      <c r="P9" s="44" t="s">
        <v>140</v>
      </c>
      <c r="Q9" s="44" t="s">
        <v>169</v>
      </c>
      <c r="R9" s="2"/>
    </row>
    <row r="10" spans="1:18">
      <c r="A10" s="45"/>
      <c r="B10" s="46" t="s">
        <v>318</v>
      </c>
      <c r="C10" s="46" t="s">
        <v>319</v>
      </c>
      <c r="D10" s="46" t="s">
        <v>366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2"/>
    </row>
    <row r="12" spans="1:18">
      <c r="A12" s="253" t="s">
        <v>225</v>
      </c>
      <c r="B12" s="2"/>
      <c r="C12" s="116"/>
      <c r="D12" s="383"/>
      <c r="E12" s="119"/>
      <c r="F12" s="119"/>
      <c r="G12" s="119"/>
      <c r="H12" s="119"/>
      <c r="I12" s="119"/>
      <c r="J12" s="229"/>
      <c r="K12" s="119"/>
      <c r="L12" s="119"/>
      <c r="M12" s="119"/>
      <c r="N12" s="119"/>
      <c r="O12" s="119"/>
      <c r="P12" s="119"/>
      <c r="Q12" s="119"/>
      <c r="R12" s="2"/>
    </row>
    <row r="13" spans="1:18">
      <c r="A13" s="51"/>
      <c r="B13" s="2"/>
      <c r="C13" s="61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"/>
    </row>
    <row r="14" spans="1:18">
      <c r="A14" s="2" t="str">
        <f>Rent!A14</f>
        <v>EOS Fitness</v>
      </c>
      <c r="B14" s="60" t="str">
        <f>Rent!B14</f>
        <v>Major A</v>
      </c>
      <c r="C14" s="61">
        <f>Rent!C14</f>
        <v>35000</v>
      </c>
      <c r="D14" s="362">
        <f>C14/$C$35</f>
        <v>0.51691798726904847</v>
      </c>
      <c r="E14" s="250">
        <f>IF(Rent!E14=0,0,('Tenant Charges'!$J10))</f>
        <v>1376.7464443427018</v>
      </c>
      <c r="F14" s="250">
        <f>IF(Rent!F14=0,0,('Tenant Charges'!$J10))</f>
        <v>1376.7464443427018</v>
      </c>
      <c r="G14" s="250">
        <f>IF(Rent!G14=0,0,('Tenant Charges'!$J10))</f>
        <v>1376.7464443427018</v>
      </c>
      <c r="H14" s="250">
        <f>IF(Rent!H14=0,0,('Tenant Charges'!$J10))</f>
        <v>1376.7464443427018</v>
      </c>
      <c r="I14" s="250">
        <f>IF(Rent!I14=0,0,('Tenant Charges'!$J10))</f>
        <v>1376.7464443427018</v>
      </c>
      <c r="J14" s="250">
        <f>IF(Rent!J14=0,0,('Tenant Charges'!$J10))</f>
        <v>1376.7464443427018</v>
      </c>
      <c r="K14" s="250">
        <f>IF(Rent!K14=0,0,('Tenant Charges'!$J10))</f>
        <v>1376.7464443427018</v>
      </c>
      <c r="L14" s="250">
        <f>IF(Rent!L14=0,0,('Tenant Charges'!$J10))</f>
        <v>1376.7464443427018</v>
      </c>
      <c r="M14" s="250">
        <f>IF(Rent!M14=0,0,('Tenant Charges'!$J10))</f>
        <v>1376.7464443427018</v>
      </c>
      <c r="N14" s="250">
        <f>IF(Rent!N14=0,0,('Tenant Charges'!$J10))</f>
        <v>1376.7464443427018</v>
      </c>
      <c r="O14" s="250">
        <f>IF(Rent!O14=0,0,('Tenant Charges'!$J10))</f>
        <v>1376.7464443427018</v>
      </c>
      <c r="P14" s="250">
        <f>IF(Rent!P14=0,0,('Tenant Charges'!$J10))</f>
        <v>1376.7464443427018</v>
      </c>
      <c r="Q14" s="69">
        <f>SUM(E14:P14)</f>
        <v>16520.957332112423</v>
      </c>
      <c r="R14" s="148"/>
    </row>
    <row r="15" spans="1:18">
      <c r="A15" s="2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f>C15/$C$35</f>
        <v>4.4307256051632722E-2</v>
      </c>
      <c r="E15" s="250">
        <f>IF(Rent!E15=0,0,('Tenant Charges'!$J11))</f>
        <v>118.00683808651731</v>
      </c>
      <c r="F15" s="250">
        <f>IF(Rent!F15=0,0,('Tenant Charges'!$J11))</f>
        <v>118.00683808651731</v>
      </c>
      <c r="G15" s="250">
        <f>IF(Rent!G15=0,0,('Tenant Charges'!$J11))</f>
        <v>118.00683808651731</v>
      </c>
      <c r="H15" s="250">
        <f>IF(Rent!H15=0,0,('Tenant Charges'!$J11))</f>
        <v>118.00683808651731</v>
      </c>
      <c r="I15" s="250">
        <f>IF(Rent!I15=0,0,('Tenant Charges'!$J11))</f>
        <v>118.00683808651731</v>
      </c>
      <c r="J15" s="250">
        <f>IF(Rent!J15=0,0,('Tenant Charges'!$J11))</f>
        <v>118.00683808651731</v>
      </c>
      <c r="K15" s="250">
        <f>IF(Rent!K15=0,0,('Tenant Charges'!$J11))</f>
        <v>118.00683808651731</v>
      </c>
      <c r="L15" s="250">
        <f>IF(Rent!L15=0,0,('Tenant Charges'!$J11))</f>
        <v>118.00683808651731</v>
      </c>
      <c r="M15" s="250">
        <f>IF(Rent!M15=0,0,('Tenant Charges'!$J11))</f>
        <v>118.00683808651731</v>
      </c>
      <c r="N15" s="250">
        <f>IF(Rent!N15=0,0,('Tenant Charges'!$J11))</f>
        <v>118.00683808651731</v>
      </c>
      <c r="O15" s="250">
        <f>IF(Rent!O15=0,0,('Tenant Charges'!$J11))</f>
        <v>118.00683808651731</v>
      </c>
      <c r="P15" s="250">
        <f>IF(Rent!P15=0,0,('Tenant Charges'!$J11))</f>
        <v>118.00683808651731</v>
      </c>
      <c r="Q15" s="69">
        <f>SUM(E15:P15)</f>
        <v>1416.0820570382077</v>
      </c>
      <c r="R15" s="148">
        <f t="shared" ref="R15:R27" si="0">Q15/C15</f>
        <v>0.47202735234606924</v>
      </c>
    </row>
    <row r="16" spans="1:18">
      <c r="A16" s="2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f t="shared" ref="D16:D29" si="1">C16/$C$35</f>
        <v>2.3999763694634392E-2</v>
      </c>
      <c r="E16" s="250">
        <f>IF(Rent!E16=0,0,('Tenant Charges'!$J12))</f>
        <v>63.920370630196878</v>
      </c>
      <c r="F16" s="250">
        <f>IF(Rent!F16=0,0,('Tenant Charges'!$J12))</f>
        <v>63.920370630196878</v>
      </c>
      <c r="G16" s="250">
        <f>IF(Rent!G16=0,0,('Tenant Charges'!$J12))</f>
        <v>63.920370630196878</v>
      </c>
      <c r="H16" s="250">
        <f>IF(Rent!H16=0,0,('Tenant Charges'!$J12))</f>
        <v>63.920370630196878</v>
      </c>
      <c r="I16" s="250">
        <f>IF(Rent!I16=0,0,('Tenant Charges'!$J12))</f>
        <v>63.920370630196878</v>
      </c>
      <c r="J16" s="250">
        <f>IF(Rent!J16=0,0,('Tenant Charges'!$J12))</f>
        <v>63.920370630196878</v>
      </c>
      <c r="K16" s="250">
        <f>IF(Rent!K16=0,0,('Tenant Charges'!$J12))</f>
        <v>63.920370630196878</v>
      </c>
      <c r="L16" s="250">
        <f>IF(Rent!L16=0,0,('Tenant Charges'!$J12))</f>
        <v>63.920370630196878</v>
      </c>
      <c r="M16" s="250">
        <f>IF(Rent!M16=0,0,('Tenant Charges'!$J12))</f>
        <v>63.920370630196878</v>
      </c>
      <c r="N16" s="250">
        <f>IF(Rent!N16=0,0,('Tenant Charges'!$J12))</f>
        <v>63.920370630196878</v>
      </c>
      <c r="O16" s="250">
        <f>IF(Rent!O16=0,0,('Tenant Charges'!$J12))</f>
        <v>63.920370630196878</v>
      </c>
      <c r="P16" s="250">
        <f>IF(Rent!P16=0,0,('Tenant Charges'!$J12))</f>
        <v>63.920370630196878</v>
      </c>
      <c r="Q16" s="69">
        <f t="shared" ref="Q16:Q29" si="2">SUM(E16:P16)</f>
        <v>767.04444756236251</v>
      </c>
      <c r="R16" s="148">
        <f t="shared" si="0"/>
        <v>0.47202735234606924</v>
      </c>
    </row>
    <row r="17" spans="1:19">
      <c r="A17" s="2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f t="shared" si="1"/>
        <v>2.0676719490761938E-2</v>
      </c>
      <c r="E17" s="250">
        <f>IF(Rent!E17=0,0,('Tenant Charges'!$J13))</f>
        <v>55.069857773708073</v>
      </c>
      <c r="F17" s="250">
        <f>IF(Rent!F17=0,0,('Tenant Charges'!$J13))</f>
        <v>55.069857773708073</v>
      </c>
      <c r="G17" s="250">
        <f>IF(Rent!G17=0,0,('Tenant Charges'!$J13))</f>
        <v>55.069857773708073</v>
      </c>
      <c r="H17" s="250">
        <f>IF(Rent!H17=0,0,('Tenant Charges'!$J13))</f>
        <v>55.069857773708073</v>
      </c>
      <c r="I17" s="250">
        <f>IF(Rent!I17=0,0,('Tenant Charges'!$J13))</f>
        <v>55.069857773708073</v>
      </c>
      <c r="J17" s="250">
        <f>IF(Rent!J17=0,0,('Tenant Charges'!$J13))</f>
        <v>55.069857773708073</v>
      </c>
      <c r="K17" s="250">
        <f>IF(Rent!K17=0,0,('Tenant Charges'!$J13))</f>
        <v>55.069857773708073</v>
      </c>
      <c r="L17" s="250">
        <f>IF(Rent!L17=0,0,('Tenant Charges'!$J13))</f>
        <v>55.069857773708073</v>
      </c>
      <c r="M17" s="250">
        <f>IF(Rent!M17=0,0,('Tenant Charges'!$J13))</f>
        <v>55.069857773708073</v>
      </c>
      <c r="N17" s="250">
        <f>IF(Rent!N17=0,0,('Tenant Charges'!$J13))</f>
        <v>55.069857773708073</v>
      </c>
      <c r="O17" s="250">
        <f>IF(Rent!O17=0,0,('Tenant Charges'!$J13))</f>
        <v>55.069857773708073</v>
      </c>
      <c r="P17" s="250">
        <f>IF(Rent!P17=0,0,('Tenant Charges'!$J13))</f>
        <v>55.069857773708073</v>
      </c>
      <c r="Q17" s="69">
        <f t="shared" si="2"/>
        <v>660.83829328449701</v>
      </c>
      <c r="R17" s="148">
        <f t="shared" si="0"/>
        <v>0.4720273523460693</v>
      </c>
      <c r="S17" s="2"/>
    </row>
    <row r="18" spans="1:19">
      <c r="A18" s="2" t="str">
        <f>Rent!A18</f>
        <v>Green Spa, LLC</v>
      </c>
      <c r="B18" s="60" t="str">
        <f>Rent!B18</f>
        <v>B105</v>
      </c>
      <c r="C18" s="61">
        <f>Rent!C18</f>
        <v>1112</v>
      </c>
      <c r="D18" s="362">
        <f t="shared" si="1"/>
        <v>1.6423222909805194E-2</v>
      </c>
      <c r="E18" s="250">
        <f>IF(Rent!E18=0,0,('Tenant Charges'!$J14))</f>
        <v>43.741201317402414</v>
      </c>
      <c r="F18" s="250">
        <f>IF(Rent!F18=0,0,('Tenant Charges'!$J14))</f>
        <v>43.741201317402414</v>
      </c>
      <c r="G18" s="250">
        <f>IF(Rent!G18=0,0,('Tenant Charges'!$J14))</f>
        <v>43.741201317402414</v>
      </c>
      <c r="H18" s="250">
        <f>IF(Rent!H18=0,0,('Tenant Charges'!$J14))</f>
        <v>43.741201317402414</v>
      </c>
      <c r="I18" s="250">
        <f>IF(Rent!I18=0,0,('Tenant Charges'!$J14))</f>
        <v>43.741201317402414</v>
      </c>
      <c r="J18" s="250">
        <f>IF(Rent!J18=0,0,('Tenant Charges'!$J14))</f>
        <v>43.741201317402414</v>
      </c>
      <c r="K18" s="250">
        <f>IF(Rent!K18=0,0,('Tenant Charges'!$J14))</f>
        <v>43.741201317402414</v>
      </c>
      <c r="L18" s="250">
        <f>IF(Rent!L18=0,0,('Tenant Charges'!$J14))</f>
        <v>43.741201317402414</v>
      </c>
      <c r="M18" s="250">
        <f>IF(Rent!M18=0,0,('Tenant Charges'!$J14))</f>
        <v>43.741201317402414</v>
      </c>
      <c r="N18" s="250">
        <f>IF(Rent!N18=0,0,('Tenant Charges'!$J14))</f>
        <v>43.741201317402414</v>
      </c>
      <c r="O18" s="250">
        <f>IF(Rent!O18=0,0,('Tenant Charges'!$J14))</f>
        <v>43.741201317402414</v>
      </c>
      <c r="P18" s="250">
        <f>IF(Rent!P18=0,0,('Tenant Charges'!$J14))</f>
        <v>43.741201317402414</v>
      </c>
      <c r="Q18" s="69">
        <f t="shared" si="2"/>
        <v>524.89441580882908</v>
      </c>
      <c r="R18" s="148">
        <f t="shared" si="0"/>
        <v>0.4720273523460693</v>
      </c>
      <c r="S18" s="2"/>
    </row>
    <row r="19" spans="1:19">
      <c r="A19" s="2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f t="shared" si="1"/>
        <v>3.6834098864257335E-2</v>
      </c>
      <c r="E19" s="250">
        <f>IF(Rent!E19=0,0,('Tenant Charges'!$J15))</f>
        <v>98.103018062591374</v>
      </c>
      <c r="F19" s="250">
        <f>IF(Rent!F19=0,0,('Tenant Charges'!$J15))</f>
        <v>98.103018062591374</v>
      </c>
      <c r="G19" s="250">
        <f>IF(Rent!G19=0,0,('Tenant Charges'!$J15))</f>
        <v>98.103018062591374</v>
      </c>
      <c r="H19" s="250">
        <f>IF(Rent!H19=0,0,('Tenant Charges'!$J15))</f>
        <v>98.103018062591374</v>
      </c>
      <c r="I19" s="250">
        <f>IF(Rent!I19=0,0,('Tenant Charges'!$J15))</f>
        <v>98.103018062591374</v>
      </c>
      <c r="J19" s="250">
        <f>IF(Rent!J19=0,0,('Tenant Charges'!$J15))</f>
        <v>98.103018062591374</v>
      </c>
      <c r="K19" s="250">
        <f>IF(Rent!K19=0,0,('Tenant Charges'!$J15))</f>
        <v>98.103018062591374</v>
      </c>
      <c r="L19" s="250">
        <f>IF(Rent!L19=0,0,('Tenant Charges'!$J15))</f>
        <v>98.103018062591374</v>
      </c>
      <c r="M19" s="250">
        <f>IF(Rent!M19=0,0,('Tenant Charges'!$J15))</f>
        <v>98.103018062591374</v>
      </c>
      <c r="N19" s="250">
        <f>IF(Rent!N19=0,0,('Tenant Charges'!$J15))</f>
        <v>98.103018062591374</v>
      </c>
      <c r="O19" s="250">
        <f>IF(Rent!O19=0,0,('Tenant Charges'!$J15))</f>
        <v>98.103018062591374</v>
      </c>
      <c r="P19" s="250">
        <f>IF(Rent!P19=0,0,('Tenant Charges'!$J15))</f>
        <v>98.103018062591374</v>
      </c>
      <c r="Q19" s="69">
        <f t="shared" si="2"/>
        <v>1177.2362167510964</v>
      </c>
      <c r="R19" s="148">
        <f t="shared" si="0"/>
        <v>0.47202735234606913</v>
      </c>
      <c r="S19" s="2"/>
    </row>
    <row r="20" spans="1:19">
      <c r="A20" s="2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f t="shared" si="1"/>
        <v>2.2153628025816361E-2</v>
      </c>
      <c r="E20" s="250">
        <f>IF(Rent!E20=0,0,('Tenant Charges'!$J16))</f>
        <v>59.003419043258653</v>
      </c>
      <c r="F20" s="250">
        <f>IF(Rent!F20=0,0,('Tenant Charges'!$J16))</f>
        <v>59.003419043258653</v>
      </c>
      <c r="G20" s="250">
        <f>IF(Rent!G20=0,0,('Tenant Charges'!$J16))</f>
        <v>59.003419043258653</v>
      </c>
      <c r="H20" s="250">
        <f>IF(Rent!H20=0,0,('Tenant Charges'!$J16))</f>
        <v>59.003419043258653</v>
      </c>
      <c r="I20" s="250">
        <f>IF(Rent!I20=0,0,('Tenant Charges'!$J16))</f>
        <v>59.003419043258653</v>
      </c>
      <c r="J20" s="250">
        <f>IF(Rent!J20=0,0,('Tenant Charges'!$J16))</f>
        <v>59.003419043258653</v>
      </c>
      <c r="K20" s="250">
        <f>IF(Rent!K20=0,0,('Tenant Charges'!$J16))</f>
        <v>59.003419043258653</v>
      </c>
      <c r="L20" s="250">
        <f>IF(Rent!L20=0,0,('Tenant Charges'!$J16))</f>
        <v>59.003419043258653</v>
      </c>
      <c r="M20" s="250">
        <f>IF(Rent!M20=0,0,('Tenant Charges'!$J16))</f>
        <v>59.003419043258653</v>
      </c>
      <c r="N20" s="250">
        <f>IF(Rent!N20=0,0,('Tenant Charges'!$J16))</f>
        <v>59.003419043258653</v>
      </c>
      <c r="O20" s="250">
        <f>IF(Rent!O20=0,0,('Tenant Charges'!$J16))</f>
        <v>59.003419043258653</v>
      </c>
      <c r="P20" s="250">
        <f>IF(Rent!P20=0,0,('Tenant Charges'!$J16))</f>
        <v>59.003419043258653</v>
      </c>
      <c r="Q20" s="69">
        <f t="shared" si="2"/>
        <v>708.04102851910386</v>
      </c>
      <c r="R20" s="148">
        <f t="shared" si="0"/>
        <v>0.47202735234606924</v>
      </c>
      <c r="S20" s="2"/>
    </row>
    <row r="21" spans="1:19">
      <c r="A21" s="2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f t="shared" si="1"/>
        <v>2.5609593997843714E-2</v>
      </c>
      <c r="E21" s="250">
        <f>IF(Rent!E21=0,0,('Tenant Charges'!$J17))</f>
        <v>68.207952414007011</v>
      </c>
      <c r="F21" s="250">
        <f>IF(Rent!F21=0,0,('Tenant Charges'!$J17))</f>
        <v>68.207952414007011</v>
      </c>
      <c r="G21" s="250">
        <f>IF(Rent!G21=0,0,('Tenant Charges'!$J17))</f>
        <v>68.207952414007011</v>
      </c>
      <c r="H21" s="250">
        <f>IF(Rent!H21=0,0,('Tenant Charges'!$J17))</f>
        <v>68.207952414007011</v>
      </c>
      <c r="I21" s="250">
        <f>IF(Rent!I21=0,0,('Tenant Charges'!$J17))</f>
        <v>68.207952414007011</v>
      </c>
      <c r="J21" s="250">
        <f>IF(Rent!J21=0,0,('Tenant Charges'!$J17))</f>
        <v>68.207952414007011</v>
      </c>
      <c r="K21" s="250">
        <f>IF(Rent!K21=0,0,('Tenant Charges'!$J17))</f>
        <v>68.207952414007011</v>
      </c>
      <c r="L21" s="250">
        <f>IF(Rent!L21=0,0,('Tenant Charges'!$J17))</f>
        <v>68.207952414007011</v>
      </c>
      <c r="M21" s="250">
        <f>IF(Rent!M21=0,0,('Tenant Charges'!$J17))</f>
        <v>68.207952414007011</v>
      </c>
      <c r="N21" s="250">
        <f>IF(Rent!N21=0,0,('Tenant Charges'!$J17))</f>
        <v>68.207952414007011</v>
      </c>
      <c r="O21" s="250">
        <f>IF(Rent!O21=0,0,('Tenant Charges'!$J17))</f>
        <v>68.207952414007011</v>
      </c>
      <c r="P21" s="250">
        <f>IF(Rent!P21=0,0,('Tenant Charges'!$J17))</f>
        <v>68.207952414007011</v>
      </c>
      <c r="Q21" s="69">
        <f t="shared" si="2"/>
        <v>818.49542896808396</v>
      </c>
      <c r="R21" s="148">
        <f t="shared" si="0"/>
        <v>0.47202735234606918</v>
      </c>
      <c r="S21" s="2"/>
    </row>
    <row r="22" spans="1:19">
      <c r="A22" s="2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f t="shared" si="1"/>
        <v>5.7599432867122539E-2</v>
      </c>
      <c r="E22" s="250">
        <f>IF(Rent!E22=0,0,('Tenant Charges'!$J18))</f>
        <v>153.40888951247248</v>
      </c>
      <c r="F22" s="250">
        <f>IF(Rent!F22=0,0,('Tenant Charges'!$J18))</f>
        <v>153.40888951247248</v>
      </c>
      <c r="G22" s="250">
        <f>IF(Rent!G22=0,0,('Tenant Charges'!$J18))</f>
        <v>153.40888951247248</v>
      </c>
      <c r="H22" s="250">
        <f>IF(Rent!H22=0,0,('Tenant Charges'!$J18))</f>
        <v>153.40888951247248</v>
      </c>
      <c r="I22" s="250">
        <f>IF(Rent!I22=0,0,('Tenant Charges'!$J18))</f>
        <v>153.40888951247248</v>
      </c>
      <c r="J22" s="250">
        <f>IF(Rent!J22=0,0,('Tenant Charges'!$J18))</f>
        <v>153.40888951247248</v>
      </c>
      <c r="K22" s="250">
        <f>IF(Rent!K22=0,0,('Tenant Charges'!$J18))</f>
        <v>153.40888951247248</v>
      </c>
      <c r="L22" s="250">
        <f>IF(Rent!L22=0,0,('Tenant Charges'!$J18))</f>
        <v>153.40888951247248</v>
      </c>
      <c r="M22" s="250">
        <f>IF(Rent!M22=0,0,('Tenant Charges'!$J18))</f>
        <v>153.40888951247248</v>
      </c>
      <c r="N22" s="250">
        <f>IF(Rent!N22=0,0,('Tenant Charges'!$J18))</f>
        <v>153.40888951247248</v>
      </c>
      <c r="O22" s="250">
        <f>IF(Rent!O22=0,0,('Tenant Charges'!$J18))</f>
        <v>153.40888951247248</v>
      </c>
      <c r="P22" s="250">
        <f>IF(Rent!P22=0,0,('Tenant Charges'!$J18))</f>
        <v>153.40888951247248</v>
      </c>
      <c r="Q22" s="69">
        <f t="shared" si="2"/>
        <v>1840.9066741496702</v>
      </c>
      <c r="R22" s="148">
        <f t="shared" si="0"/>
        <v>0.4720273523460693</v>
      </c>
      <c r="S22" s="2"/>
    </row>
    <row r="23" spans="1:19">
      <c r="A23" s="2" t="str">
        <f>Rent!A23</f>
        <v>Kachina Stained Glass</v>
      </c>
      <c r="B23" s="60">
        <f>Rent!B23</f>
        <v>101</v>
      </c>
      <c r="C23" s="61">
        <f>Rent!C23</f>
        <v>1287</v>
      </c>
      <c r="D23" s="362">
        <f t="shared" si="1"/>
        <v>1.9007812846150437E-2</v>
      </c>
      <c r="E23" s="250">
        <f>IF(Rent!E23=0,0,('Tenant Charges'!$J19))</f>
        <v>50.624933539115915</v>
      </c>
      <c r="F23" s="250">
        <f>IF(Rent!F23=0,0,('Tenant Charges'!$J19))</f>
        <v>50.624933539115915</v>
      </c>
      <c r="G23" s="250">
        <f>IF(Rent!G23=0,0,('Tenant Charges'!$J19))</f>
        <v>50.624933539115915</v>
      </c>
      <c r="H23" s="250">
        <f>IF(Rent!H23=0,0,('Tenant Charges'!$J19))</f>
        <v>50.624933539115915</v>
      </c>
      <c r="I23" s="250">
        <f>IF(Rent!I23=0,0,('Tenant Charges'!$J19))</f>
        <v>50.624933539115915</v>
      </c>
      <c r="J23" s="250">
        <f>IF(Rent!J23=0,0,('Tenant Charges'!$J19))</f>
        <v>50.624933539115915</v>
      </c>
      <c r="K23" s="250">
        <f>IF(Rent!K23=0,0,('Tenant Charges'!$J19))</f>
        <v>50.624933539115915</v>
      </c>
      <c r="L23" s="250">
        <f>IF(Rent!L23=0,0,('Tenant Charges'!$J19))</f>
        <v>50.624933539115915</v>
      </c>
      <c r="M23" s="250">
        <f>IF(Rent!M23=0,0,('Tenant Charges'!$J19))</f>
        <v>50.624933539115915</v>
      </c>
      <c r="N23" s="250">
        <f>IF(Rent!N23=0,0,('Tenant Charges'!$J19))</f>
        <v>50.624933539115915</v>
      </c>
      <c r="O23" s="250">
        <f>IF(Rent!O23=0,0,('Tenant Charges'!$J19))</f>
        <v>50.624933539115915</v>
      </c>
      <c r="P23" s="250">
        <f>IF(Rent!P23=0,0,('Tenant Charges'!$J19))</f>
        <v>50.624933539115915</v>
      </c>
      <c r="Q23" s="69">
        <f t="shared" si="2"/>
        <v>607.49920246939087</v>
      </c>
      <c r="R23" s="148">
        <f t="shared" si="0"/>
        <v>0.47202735234606907</v>
      </c>
      <c r="S23" s="2"/>
    </row>
    <row r="24" spans="1:19">
      <c r="A24" s="2" t="str">
        <f>Rent!A24</f>
        <v>Zanders Creations</v>
      </c>
      <c r="B24" s="60">
        <f>Rent!B24</f>
        <v>102</v>
      </c>
      <c r="C24" s="61">
        <f>Rent!C24</f>
        <v>1639</v>
      </c>
      <c r="D24" s="362">
        <f t="shared" si="1"/>
        <v>2.420653088954201E-2</v>
      </c>
      <c r="E24" s="250">
        <f>IF(Rent!E24=0,0,('Tenant Charges'!$J20))</f>
        <v>64.471069207933951</v>
      </c>
      <c r="F24" s="250">
        <f>IF(Rent!F24=0,0,('Tenant Charges'!$J20))</f>
        <v>64.471069207933951</v>
      </c>
      <c r="G24" s="250">
        <f>IF(Rent!G24=0,0,('Tenant Charges'!$J20))</f>
        <v>64.471069207933951</v>
      </c>
      <c r="H24" s="250">
        <f>IF(Rent!H24=0,0,('Tenant Charges'!$J20))</f>
        <v>64.471069207933951</v>
      </c>
      <c r="I24" s="250">
        <f>IF(Rent!I24=0,0,('Tenant Charges'!$J20))</f>
        <v>64.471069207933951</v>
      </c>
      <c r="J24" s="250">
        <f>IF(Rent!J24=0,0,('Tenant Charges'!$J20))</f>
        <v>64.471069207933951</v>
      </c>
      <c r="K24" s="250">
        <f>IF(Rent!K24=0,0,('Tenant Charges'!$J20))</f>
        <v>64.471069207933951</v>
      </c>
      <c r="L24" s="250">
        <f>IF(Rent!L24=0,0,('Tenant Charges'!$J20))</f>
        <v>64.471069207933951</v>
      </c>
      <c r="M24" s="250">
        <f>IF(Rent!M24=0,0,('Tenant Charges'!$J20))</f>
        <v>64.471069207933951</v>
      </c>
      <c r="N24" s="250">
        <f>IF(Rent!N24=0,0,('Tenant Charges'!$J20))</f>
        <v>64.471069207933951</v>
      </c>
      <c r="O24" s="250">
        <f>IF(Rent!O24=0,0,('Tenant Charges'!$J20))</f>
        <v>64.471069207933951</v>
      </c>
      <c r="P24" s="250">
        <f>IF(Rent!P24=0,0,('Tenant Charges'!$J20))</f>
        <v>64.471069207933951</v>
      </c>
      <c r="Q24" s="69">
        <f t="shared" si="2"/>
        <v>773.65283049520747</v>
      </c>
      <c r="R24" s="148">
        <f t="shared" si="0"/>
        <v>0.47202735234606924</v>
      </c>
      <c r="S24" s="51"/>
    </row>
    <row r="25" spans="1:19">
      <c r="A25" s="2" t="str">
        <f>Rent!A25</f>
        <v>Brightnow Dental</v>
      </c>
      <c r="B25" s="60">
        <f>Rent!B25</f>
        <v>103</v>
      </c>
      <c r="C25" s="61">
        <f>Rent!C25</f>
        <v>3600</v>
      </c>
      <c r="D25" s="362">
        <f t="shared" si="1"/>
        <v>5.3168707261959269E-2</v>
      </c>
      <c r="E25" s="250">
        <f>IF(Rent!E25=0,0,('Tenant Charges'!$J21))</f>
        <v>141.60820570382077</v>
      </c>
      <c r="F25" s="250">
        <f>IF(Rent!F25=0,0,('Tenant Charges'!$J21))</f>
        <v>141.60820570382077</v>
      </c>
      <c r="G25" s="250">
        <f>IF(Rent!G25=0,0,('Tenant Charges'!$J21))</f>
        <v>141.60820570382077</v>
      </c>
      <c r="H25" s="250">
        <f>IF(Rent!H25=0,0,('Tenant Charges'!$J21))</f>
        <v>141.60820570382077</v>
      </c>
      <c r="I25" s="250">
        <f>IF(Rent!I25=0,0,('Tenant Charges'!$J21))</f>
        <v>141.60820570382077</v>
      </c>
      <c r="J25" s="250">
        <f>IF(Rent!J25=0,0,('Tenant Charges'!$J21))</f>
        <v>141.60820570382077</v>
      </c>
      <c r="K25" s="250">
        <f>IF(Rent!K25=0,0,('Tenant Charges'!$J21))</f>
        <v>141.60820570382077</v>
      </c>
      <c r="L25" s="250">
        <f>IF(Rent!L25=0,0,('Tenant Charges'!$J21))</f>
        <v>141.60820570382077</v>
      </c>
      <c r="M25" s="250">
        <f>IF(Rent!M25=0,0,('Tenant Charges'!$J21))</f>
        <v>141.60820570382077</v>
      </c>
      <c r="N25" s="250">
        <f>IF(Rent!N25=0,0,('Tenant Charges'!$J21))</f>
        <v>141.60820570382077</v>
      </c>
      <c r="O25" s="250">
        <f>IF(Rent!O25=0,0,('Tenant Charges'!$J21))</f>
        <v>141.60820570382077</v>
      </c>
      <c r="P25" s="250">
        <f>IF(Rent!P25=0,0,('Tenant Charges'!$J21))</f>
        <v>141.60820570382077</v>
      </c>
      <c r="Q25" s="69">
        <f t="shared" si="2"/>
        <v>1699.2984684458488</v>
      </c>
      <c r="R25" s="148">
        <f t="shared" si="0"/>
        <v>0.47202735234606913</v>
      </c>
      <c r="S25" s="2"/>
    </row>
    <row r="26" spans="1:19">
      <c r="A26" s="2" t="str">
        <f>Rent!A26</f>
        <v>Carr Animal Care</v>
      </c>
      <c r="B26" s="60">
        <f>Rent!B26</f>
        <v>106</v>
      </c>
      <c r="C26" s="61">
        <f>Rent!C26</f>
        <v>1587</v>
      </c>
      <c r="D26" s="362">
        <f t="shared" si="1"/>
        <v>2.343853845131371E-2</v>
      </c>
      <c r="E26" s="250">
        <f>IF(Rent!E26=0,0,('Tenant Charges'!$J22))</f>
        <v>62.425617347767655</v>
      </c>
      <c r="F26" s="250">
        <f>IF(Rent!F26=0,0,('Tenant Charges'!$J22))</f>
        <v>62.425617347767655</v>
      </c>
      <c r="G26" s="250">
        <f>IF(Rent!G26=0,0,('Tenant Charges'!$J22))</f>
        <v>62.425617347767655</v>
      </c>
      <c r="H26" s="250">
        <f>IF(Rent!H26=0,0,('Tenant Charges'!$J22))</f>
        <v>62.425617347767655</v>
      </c>
      <c r="I26" s="250">
        <f>IF(Rent!I26=0,0,('Tenant Charges'!$J22))</f>
        <v>62.425617347767655</v>
      </c>
      <c r="J26" s="250">
        <f>IF(Rent!J26=0,0,('Tenant Charges'!$J22))</f>
        <v>62.425617347767655</v>
      </c>
      <c r="K26" s="250">
        <f>IF(Rent!K26=0,0,('Tenant Charges'!$J22))</f>
        <v>62.425617347767655</v>
      </c>
      <c r="L26" s="250">
        <f>IF(Rent!L26=0,0,('Tenant Charges'!$J22))</f>
        <v>62.425617347767655</v>
      </c>
      <c r="M26" s="250">
        <f>IF(Rent!M26=0,0,('Tenant Charges'!$J22))</f>
        <v>62.425617347767655</v>
      </c>
      <c r="N26" s="250">
        <f>IF(Rent!N26=0,0,('Tenant Charges'!$J22))</f>
        <v>62.425617347767655</v>
      </c>
      <c r="O26" s="250">
        <f>IF(Rent!O26=0,0,('Tenant Charges'!$J22))</f>
        <v>62.425617347767655</v>
      </c>
      <c r="P26" s="250">
        <f>IF(Rent!P26=0,0,('Tenant Charges'!$J22))</f>
        <v>62.425617347767655</v>
      </c>
      <c r="Q26" s="69">
        <f t="shared" si="2"/>
        <v>749.10740817321209</v>
      </c>
      <c r="R26" s="148">
        <f t="shared" si="0"/>
        <v>0.47202735234606935</v>
      </c>
      <c r="S26" s="2"/>
    </row>
    <row r="27" spans="1:19">
      <c r="A27" s="2" t="str">
        <f>Rent!A27</f>
        <v>Razors Barber Shop</v>
      </c>
      <c r="B27" s="60">
        <f>Rent!B27</f>
        <v>107</v>
      </c>
      <c r="C27" s="61">
        <f>Rent!C27</f>
        <v>1300</v>
      </c>
      <c r="D27" s="362">
        <f t="shared" si="1"/>
        <v>1.9199810955707514E-2</v>
      </c>
      <c r="E27" s="250">
        <f>IF(Rent!E27=0,0,('Tenant Charges'!$J23))</f>
        <v>51.136296504157507</v>
      </c>
      <c r="F27" s="250">
        <f>IF(Rent!F27=0,0,('Tenant Charges'!$J23))</f>
        <v>51.136296504157507</v>
      </c>
      <c r="G27" s="250">
        <f>IF(Rent!G27=0,0,('Tenant Charges'!$J23))</f>
        <v>51.136296504157507</v>
      </c>
      <c r="H27" s="250">
        <f>IF(Rent!H27=0,0,('Tenant Charges'!$J23))</f>
        <v>51.136296504157507</v>
      </c>
      <c r="I27" s="250">
        <f>IF(Rent!I27=0,0,('Tenant Charges'!$J23))</f>
        <v>51.136296504157507</v>
      </c>
      <c r="J27" s="250">
        <f>IF(Rent!J27=0,0,('Tenant Charges'!$J23))</f>
        <v>51.136296504157507</v>
      </c>
      <c r="K27" s="250">
        <f>IF(Rent!K27=0,0,('Tenant Charges'!$J23))</f>
        <v>51.136296504157507</v>
      </c>
      <c r="L27" s="250">
        <f>IF(Rent!L27=0,0,('Tenant Charges'!$J23))</f>
        <v>51.136296504157507</v>
      </c>
      <c r="M27" s="250">
        <f>IF(Rent!M27=0,0,('Tenant Charges'!$J23))</f>
        <v>51.136296504157507</v>
      </c>
      <c r="N27" s="250">
        <f>IF(Rent!N27=0,0,('Tenant Charges'!$J23))</f>
        <v>51.136296504157507</v>
      </c>
      <c r="O27" s="250">
        <f>IF(Rent!O27=0,0,('Tenant Charges'!$J23))</f>
        <v>51.136296504157507</v>
      </c>
      <c r="P27" s="250">
        <f>IF(Rent!P27=0,0,('Tenant Charges'!$J23))</f>
        <v>51.136296504157507</v>
      </c>
      <c r="Q27" s="69">
        <f t="shared" si="2"/>
        <v>613.63555804988994</v>
      </c>
      <c r="R27" s="148">
        <f t="shared" si="0"/>
        <v>0.47202735234606918</v>
      </c>
      <c r="S27" s="2"/>
    </row>
    <row r="28" spans="1:19">
      <c r="A28" s="2" t="str">
        <f>Rent!A28</f>
        <v>CrossFit New Strength</v>
      </c>
      <c r="B28" s="60">
        <f>Rent!B28</f>
        <v>108</v>
      </c>
      <c r="C28" s="61">
        <f>Rent!C28</f>
        <v>3524</v>
      </c>
      <c r="D28" s="362">
        <f t="shared" si="1"/>
        <v>5.2046256775317906E-2</v>
      </c>
      <c r="E28" s="250">
        <f>IF(Rent!E28=0,0,('Tenant Charges'!$J24))</f>
        <v>138.61869913896234</v>
      </c>
      <c r="F28" s="250">
        <f>IF(Rent!F28=0,0,('Tenant Charges'!$J24))</f>
        <v>138.61869913896234</v>
      </c>
      <c r="G28" s="250">
        <f>IF(Rent!G28=0,0,('Tenant Charges'!$J24))</f>
        <v>138.61869913896234</v>
      </c>
      <c r="H28" s="250">
        <f>IF(Rent!H28=0,0,('Tenant Charges'!$J24))</f>
        <v>138.61869913896234</v>
      </c>
      <c r="I28" s="250">
        <f>IF(Rent!I28=0,0,('Tenant Charges'!$J24))</f>
        <v>138.61869913896234</v>
      </c>
      <c r="J28" s="250">
        <f>IF(Rent!J28=0,0,('Tenant Charges'!$J24))</f>
        <v>138.61869913896234</v>
      </c>
      <c r="K28" s="250">
        <f>IF(Rent!K28=0,0,('Tenant Charges'!$J24))</f>
        <v>138.61869913896234</v>
      </c>
      <c r="L28" s="250">
        <f>IF(Rent!L28=0,0,('Tenant Charges'!$J24))</f>
        <v>138.61869913896234</v>
      </c>
      <c r="M28" s="250">
        <f>IF(Rent!M28=0,0,('Tenant Charges'!$J24))</f>
        <v>138.61869913896234</v>
      </c>
      <c r="N28" s="250">
        <f>IF(Rent!N28=0,0,('Tenant Charges'!$J24))</f>
        <v>138.61869913896234</v>
      </c>
      <c r="O28" s="250">
        <f>IF(Rent!O28=0,0,('Tenant Charges'!$J24))</f>
        <v>138.61869913896234</v>
      </c>
      <c r="P28" s="250">
        <f>IF(Rent!P28=0,0,('Tenant Charges'!$J24))</f>
        <v>138.61869913896234</v>
      </c>
      <c r="Q28" s="69">
        <f t="shared" si="2"/>
        <v>1663.4243896675478</v>
      </c>
      <c r="R28" s="148"/>
      <c r="S28" s="2"/>
    </row>
    <row r="29" spans="1:19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f t="shared" si="1"/>
        <v>4.4410639649086529E-2</v>
      </c>
      <c r="E29" s="250">
        <f>IF(Rent!E29=0,0,('Tenant Charges'!$J25))</f>
        <v>0</v>
      </c>
      <c r="F29" s="250">
        <f>IF(Rent!F29=0,0,('Tenant Charges'!$J25))</f>
        <v>0</v>
      </c>
      <c r="G29" s="250">
        <f>IF(Rent!G29=0,0,('Tenant Charges'!$J25))</f>
        <v>0</v>
      </c>
      <c r="H29" s="250">
        <f>IF(Rent!H29=0,0,('Tenant Charges'!$J25))</f>
        <v>0</v>
      </c>
      <c r="I29" s="250">
        <f>IF(Rent!I29=0,0,('Tenant Charges'!$J25))</f>
        <v>0</v>
      </c>
      <c r="J29" s="250">
        <f>IF(Rent!J29=0,0,('Tenant Charges'!$J25))</f>
        <v>0</v>
      </c>
      <c r="K29" s="250">
        <f>IF(Rent!K29=0,0,('Tenant Charges'!$J25))</f>
        <v>118.28218737538583</v>
      </c>
      <c r="L29" s="250">
        <f>IF(Rent!L29=0,0,('Tenant Charges'!$J25))</f>
        <v>118.28218737538583</v>
      </c>
      <c r="M29" s="250">
        <f>IF(Rent!M29=0,0,('Tenant Charges'!$J25))</f>
        <v>118.28218737538583</v>
      </c>
      <c r="N29" s="250">
        <f>IF(Rent!N29=0,0,('Tenant Charges'!$J25))</f>
        <v>118.28218737538583</v>
      </c>
      <c r="O29" s="250">
        <f>IF(Rent!O29=0,0,('Tenant Charges'!$J25))</f>
        <v>118.28218737538583</v>
      </c>
      <c r="P29" s="250">
        <f>IF(Rent!P29=0,0,('Tenant Charges'!$J25))</f>
        <v>118.28218737538583</v>
      </c>
      <c r="Q29" s="69">
        <f t="shared" si="2"/>
        <v>709.69312425231487</v>
      </c>
      <c r="R29" s="148"/>
      <c r="S29" s="2"/>
    </row>
    <row r="30" spans="1:19">
      <c r="A30" s="2"/>
      <c r="B30" s="2"/>
      <c r="C30" s="61"/>
      <c r="D30" s="362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2"/>
      <c r="S30" s="2"/>
    </row>
    <row r="31" spans="1:19">
      <c r="A31" s="2"/>
      <c r="B31" s="2"/>
      <c r="C31" s="61"/>
      <c r="D31" s="362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2"/>
      <c r="S31" s="2"/>
    </row>
    <row r="32" spans="1:19">
      <c r="A32" s="2"/>
      <c r="B32" s="2"/>
      <c r="C32" s="61"/>
      <c r="D32" s="362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2"/>
      <c r="S32" s="2"/>
    </row>
    <row r="33" spans="1:19">
      <c r="A33" s="2" t="s">
        <v>47</v>
      </c>
      <c r="B33" s="2"/>
      <c r="C33" s="61" t="s">
        <v>47</v>
      </c>
      <c r="D33" s="362" t="s">
        <v>47</v>
      </c>
      <c r="E33" s="69" t="s">
        <v>47</v>
      </c>
      <c r="F33" s="69" t="s">
        <v>47</v>
      </c>
      <c r="G33" s="69" t="s">
        <v>47</v>
      </c>
      <c r="H33" s="69" t="s">
        <v>47</v>
      </c>
      <c r="I33" s="69" t="s">
        <v>47</v>
      </c>
      <c r="J33" s="69" t="s">
        <v>47</v>
      </c>
      <c r="K33" s="69" t="s">
        <v>47</v>
      </c>
      <c r="L33" s="69" t="s">
        <v>47</v>
      </c>
      <c r="M33" s="69" t="s">
        <v>47</v>
      </c>
      <c r="N33" s="69" t="s">
        <v>47</v>
      </c>
      <c r="O33" s="69" t="s">
        <v>47</v>
      </c>
      <c r="P33" s="69" t="s">
        <v>47</v>
      </c>
      <c r="Q33" s="69" t="s">
        <v>47</v>
      </c>
      <c r="R33" s="2"/>
      <c r="S33" s="2"/>
    </row>
    <row r="34" spans="1:19">
      <c r="A34" s="360"/>
      <c r="B34" s="364"/>
      <c r="C34" s="365"/>
      <c r="D34" s="365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7"/>
      <c r="R34" s="2"/>
      <c r="S34" s="2"/>
    </row>
    <row r="35" spans="1:19">
      <c r="A35" s="339" t="s">
        <v>169</v>
      </c>
      <c r="B35" s="368"/>
      <c r="C35" s="341">
        <f>SUM(C14:C34)</f>
        <v>67709</v>
      </c>
      <c r="D35" s="369">
        <f>SUM(D14:D34)</f>
        <v>1</v>
      </c>
      <c r="E35" s="342">
        <f>SUM(E14:E29)</f>
        <v>2545.0928126246135</v>
      </c>
      <c r="F35" s="342">
        <f t="shared" ref="F35:P35" si="3">SUM(F14:F29)</f>
        <v>2545.0928126246135</v>
      </c>
      <c r="G35" s="342">
        <f t="shared" si="3"/>
        <v>2545.0928126246135</v>
      </c>
      <c r="H35" s="342">
        <f t="shared" si="3"/>
        <v>2545.0928126246135</v>
      </c>
      <c r="I35" s="342">
        <f t="shared" si="3"/>
        <v>2545.0928126246135</v>
      </c>
      <c r="J35" s="342">
        <f t="shared" si="3"/>
        <v>2545.0928126246135</v>
      </c>
      <c r="K35" s="342">
        <f t="shared" si="3"/>
        <v>2663.3749999999995</v>
      </c>
      <c r="L35" s="342">
        <f t="shared" si="3"/>
        <v>2663.3749999999995</v>
      </c>
      <c r="M35" s="342">
        <f t="shared" si="3"/>
        <v>2663.3749999999995</v>
      </c>
      <c r="N35" s="342">
        <f t="shared" si="3"/>
        <v>2663.3749999999995</v>
      </c>
      <c r="O35" s="342">
        <f t="shared" si="3"/>
        <v>2663.3749999999995</v>
      </c>
      <c r="P35" s="342">
        <f t="shared" si="3"/>
        <v>2663.3749999999995</v>
      </c>
      <c r="Q35" s="342">
        <f>SUM(Q14:Q29)</f>
        <v>31250.806875747683</v>
      </c>
      <c r="R35" s="2"/>
      <c r="S35" s="2"/>
    </row>
    <row r="36" spans="1:19">
      <c r="A36" s="370"/>
      <c r="B36" s="371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3"/>
      <c r="R36" s="2"/>
      <c r="S36" s="2"/>
    </row>
    <row r="37" spans="1:19">
      <c r="A37" s="2"/>
      <c r="B37" s="2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74" t="s">
        <v>367</v>
      </c>
      <c r="P37" s="364"/>
      <c r="Q37" s="375">
        <f>Summary!O75</f>
        <v>31960.5</v>
      </c>
      <c r="R37" s="2"/>
      <c r="S37" s="2"/>
    </row>
    <row r="38" spans="1:19">
      <c r="A38" s="2"/>
      <c r="B38" s="2"/>
      <c r="C38" s="39"/>
      <c r="D38" s="362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76" t="s">
        <v>357</v>
      </c>
      <c r="P38" s="371"/>
      <c r="Q38" s="377">
        <f>Q35/Q37</f>
        <v>0.97779468017545668</v>
      </c>
      <c r="R38" s="2"/>
      <c r="S38" s="249" t="s">
        <v>368</v>
      </c>
    </row>
    <row r="39" spans="1:19">
      <c r="A39" s="2"/>
      <c r="B39" s="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79"/>
      <c r="R39" s="2"/>
      <c r="S39" s="2"/>
    </row>
    <row r="40" spans="1:19">
      <c r="A40" s="2"/>
      <c r="B40" s="2"/>
      <c r="C40" s="2"/>
      <c r="D40" s="24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/>
      <c r="B41" s="2"/>
      <c r="C41" s="2"/>
      <c r="D41" s="382" t="s">
        <v>347</v>
      </c>
      <c r="E41" s="380">
        <f>E35-Summary!C18</f>
        <v>0</v>
      </c>
      <c r="F41" s="349">
        <f>F35-Summary!D18</f>
        <v>0</v>
      </c>
      <c r="G41" s="349">
        <f>G35-Summary!E18</f>
        <v>0</v>
      </c>
      <c r="H41" s="349">
        <f>H35-Summary!F18</f>
        <v>0</v>
      </c>
      <c r="I41" s="349">
        <f>I35-Summary!G18</f>
        <v>0</v>
      </c>
      <c r="J41" s="349">
        <f>J35-Summary!H18</f>
        <v>0</v>
      </c>
      <c r="K41" s="349">
        <f>K35-Summary!I18</f>
        <v>0</v>
      </c>
      <c r="L41" s="349">
        <f>L35-Summary!J18</f>
        <v>0</v>
      </c>
      <c r="M41" s="349">
        <f>M35-Summary!K18</f>
        <v>0</v>
      </c>
      <c r="N41" s="349">
        <f>N35-Summary!L18</f>
        <v>0</v>
      </c>
      <c r="O41" s="349">
        <f>O35-Summary!M18</f>
        <v>0</v>
      </c>
      <c r="P41" s="350">
        <f>P35-Summary!N18</f>
        <v>0</v>
      </c>
      <c r="Q41" s="2"/>
      <c r="R41" s="2"/>
      <c r="S41" s="2"/>
    </row>
  </sheetData>
  <customSheetViews>
    <customSheetView guid="{7691FA39-7EA9-407C-9567-49BEFD6339F8}" scale="75" showPageBreaks="1" fitToPage="1" showRuler="0" topLeftCell="A8">
      <selection activeCell="A8" sqref="A1:IV65536"/>
      <pageMargins left="0" right="0" top="0" bottom="0" header="0" footer="0"/>
      <printOptions horizontalCentered="1"/>
      <pageSetup scale="71" firstPageNumber="9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2" type="noConversion"/>
  <printOptions horizontalCentered="1"/>
  <pageMargins left="0.5" right="0.5" top="0.5" bottom="0.75" header="0.5" footer="0.5"/>
  <pageSetup paperSize="5" scale="85" firstPageNumber="6" orientation="landscape" useFirstPageNumber="1" r:id="rId2"/>
  <headerFooter alignWithMargins="0">
    <oddFooter>&amp;C&amp;8Page &amp;P</oddFooter>
  </headerFooter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A1:S45"/>
  <sheetViews>
    <sheetView topLeftCell="A7" zoomScale="90" zoomScaleNormal="90" zoomScaleSheetLayoutView="130" workbookViewId="0">
      <selection activeCell="E14" sqref="E14:P29"/>
    </sheetView>
  </sheetViews>
  <sheetFormatPr defaultColWidth="9.42578125" defaultRowHeight="15.4"/>
  <cols>
    <col min="1" max="1" width="34.42578125" style="89" customWidth="1"/>
    <col min="2" max="3" width="11.42578125" style="89" customWidth="1"/>
    <col min="4" max="4" width="11.42578125" style="89" bestFit="1" customWidth="1"/>
    <col min="5" max="5" width="9.42578125" style="89" bestFit="1" customWidth="1"/>
    <col min="6" max="16" width="9.42578125" style="89"/>
    <col min="17" max="17" width="10.42578125" style="89" customWidth="1"/>
    <col min="18" max="16384" width="9.42578125" style="89"/>
  </cols>
  <sheetData>
    <row r="1" spans="1:1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46269</v>
      </c>
      <c r="R1" s="2">
        <f>Summary!W4</f>
        <v>0</v>
      </c>
      <c r="S1" s="2"/>
    </row>
    <row r="2" spans="1:19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  <c r="S2" s="2"/>
    </row>
    <row r="3" spans="1:19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  <c r="S3" s="2"/>
    </row>
    <row r="4" spans="1:19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  <c r="S4" s="2"/>
    </row>
    <row r="5" spans="1:19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  <c r="S5" s="2"/>
    </row>
    <row r="6" spans="1:19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  <c r="S6" s="2"/>
    </row>
    <row r="7" spans="1:19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2"/>
      <c r="S8" s="2"/>
    </row>
    <row r="9" spans="1:19">
      <c r="A9" s="44" t="s">
        <v>15</v>
      </c>
      <c r="B9" s="44" t="s">
        <v>316</v>
      </c>
      <c r="C9" s="44" t="s">
        <v>165</v>
      </c>
      <c r="D9" s="44" t="s">
        <v>317</v>
      </c>
      <c r="E9" s="44" t="s">
        <v>129</v>
      </c>
      <c r="F9" s="44" t="s">
        <v>130</v>
      </c>
      <c r="G9" s="44" t="s">
        <v>131</v>
      </c>
      <c r="H9" s="44" t="s">
        <v>132</v>
      </c>
      <c r="I9" s="44" t="s">
        <v>133</v>
      </c>
      <c r="J9" s="44" t="s">
        <v>134</v>
      </c>
      <c r="K9" s="44" t="s">
        <v>135</v>
      </c>
      <c r="L9" s="44" t="s">
        <v>136</v>
      </c>
      <c r="M9" s="44" t="s">
        <v>137</v>
      </c>
      <c r="N9" s="44" t="s">
        <v>138</v>
      </c>
      <c r="O9" s="44" t="s">
        <v>139</v>
      </c>
      <c r="P9" s="44" t="s">
        <v>140</v>
      </c>
      <c r="Q9" s="44" t="s">
        <v>169</v>
      </c>
      <c r="R9" s="2"/>
      <c r="S9" s="2"/>
    </row>
    <row r="10" spans="1:19">
      <c r="A10" s="45"/>
      <c r="B10" s="46" t="s">
        <v>318</v>
      </c>
      <c r="C10" s="46" t="s">
        <v>319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2"/>
      <c r="S10" s="2"/>
    </row>
    <row r="11" spans="1:19">
      <c r="A11" s="51"/>
      <c r="B11" s="2"/>
      <c r="C11" s="116"/>
      <c r="D11" s="326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2"/>
      <c r="S11" s="2"/>
    </row>
    <row r="12" spans="1:19">
      <c r="A12" s="253" t="s">
        <v>369</v>
      </c>
      <c r="B12" s="2"/>
      <c r="C12" s="116"/>
      <c r="D12" s="326"/>
      <c r="E12" s="119"/>
      <c r="F12" s="119"/>
      <c r="G12" s="229"/>
      <c r="H12" s="119"/>
      <c r="I12" s="119"/>
      <c r="J12" s="119"/>
      <c r="K12" s="119"/>
      <c r="L12" s="119"/>
      <c r="M12" s="119"/>
      <c r="N12" s="61"/>
      <c r="O12" s="384"/>
      <c r="P12" s="119"/>
      <c r="Q12" s="119"/>
      <c r="R12" s="2"/>
      <c r="S12" s="2"/>
    </row>
    <row r="13" spans="1:19">
      <c r="A13" s="51"/>
      <c r="B13" s="2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"/>
      <c r="S13" s="2"/>
    </row>
    <row r="14" spans="1:19">
      <c r="A14" s="51" t="str">
        <f>Rent!A14</f>
        <v>EOS Fitness</v>
      </c>
      <c r="B14" s="60" t="str">
        <f>Rent!B14</f>
        <v>Major A</v>
      </c>
      <c r="C14" s="229">
        <f>Rent!C14</f>
        <v>35000</v>
      </c>
      <c r="D14" s="362">
        <v>0.15</v>
      </c>
      <c r="E14" s="250">
        <f>IF(Rent!E14=0,0,('Tenant Charges'!$H10))</f>
        <v>0</v>
      </c>
      <c r="F14" s="250">
        <f>IF(Rent!F14=0,0,('Tenant Charges'!$H10))</f>
        <v>0</v>
      </c>
      <c r="G14" s="250">
        <f>IF(Rent!G14=0,0,('Tenant Charges'!$H10))</f>
        <v>0</v>
      </c>
      <c r="H14" s="250">
        <f>IF(Rent!H14=0,0,('Tenant Charges'!$H10))</f>
        <v>0</v>
      </c>
      <c r="I14" s="250">
        <f>IF(Rent!I14=0,0,('Tenant Charges'!$H10))</f>
        <v>0</v>
      </c>
      <c r="J14" s="250">
        <f>IF(Rent!J14=0,0,('Tenant Charges'!$H10))</f>
        <v>0</v>
      </c>
      <c r="K14" s="250">
        <f>IF(Rent!K14=0,0,('Tenant Charges'!$H10))</f>
        <v>0</v>
      </c>
      <c r="L14" s="250">
        <f>IF(Rent!L14=0,0,('Tenant Charges'!$H10))</f>
        <v>0</v>
      </c>
      <c r="M14" s="250">
        <f>IF(Rent!M14=0,0,('Tenant Charges'!$H10))</f>
        <v>0</v>
      </c>
      <c r="N14" s="250">
        <f>IF(Rent!N14=0,0,('Tenant Charges'!$H10))</f>
        <v>0</v>
      </c>
      <c r="O14" s="250">
        <f>IF(Rent!O14=0,0,('Tenant Charges'!$H10))</f>
        <v>0</v>
      </c>
      <c r="P14" s="250">
        <f>IF(Rent!P14=0,0,('Tenant Charges'!$H10))</f>
        <v>0</v>
      </c>
      <c r="Q14" s="69">
        <f>SUM(E14:P14)</f>
        <v>0</v>
      </c>
      <c r="R14" s="148">
        <f>Q14/C14</f>
        <v>0</v>
      </c>
      <c r="S14" s="2" t="s">
        <v>370</v>
      </c>
    </row>
    <row r="15" spans="1:19">
      <c r="A15" s="385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v>0.1</v>
      </c>
      <c r="E15" s="250">
        <f>IF(Rent!E15=0,0,'Tenant Charges'!$H11)</f>
        <v>107.51719461971273</v>
      </c>
      <c r="F15" s="250">
        <f>IF(Rent!F15=0,0,'Tenant Charges'!$H11)</f>
        <v>107.51719461971273</v>
      </c>
      <c r="G15" s="250">
        <f>IF(Rent!G15=0,0,'Tenant Charges'!$H11)</f>
        <v>107.51719461971273</v>
      </c>
      <c r="H15" s="250">
        <f>IF(Rent!H15=0,0,'Tenant Charges'!$H11)</f>
        <v>107.51719461971273</v>
      </c>
      <c r="I15" s="250">
        <f>IF(Rent!I15=0,0,'Tenant Charges'!$H11)</f>
        <v>107.51719461971273</v>
      </c>
      <c r="J15" s="250">
        <f>IF(Rent!J15=0,0,'Tenant Charges'!$H11)</f>
        <v>107.51719461971273</v>
      </c>
      <c r="K15" s="250">
        <f>IF(Rent!K15=0,0,'Tenant Charges'!$H11)</f>
        <v>107.51719461971273</v>
      </c>
      <c r="L15" s="250">
        <f>IF(Rent!L15=0,0,'Tenant Charges'!$H11)</f>
        <v>107.51719461971273</v>
      </c>
      <c r="M15" s="250">
        <f>IF(Rent!M15=0,0,'Tenant Charges'!$H11)</f>
        <v>107.51719461971273</v>
      </c>
      <c r="N15" s="250">
        <f>IF(Rent!N15=0,0,'Tenant Charges'!$H11)</f>
        <v>107.51719461971273</v>
      </c>
      <c r="O15" s="250">
        <f>IF(Rent!O15=0,0,'Tenant Charges'!$H11)</f>
        <v>107.51719461971273</v>
      </c>
      <c r="P15" s="250">
        <f>IF(Rent!P15=0,0,'Tenant Charges'!$H11)</f>
        <v>107.51719461971273</v>
      </c>
      <c r="Q15" s="69">
        <f>SUM(E15:P15)</f>
        <v>1290.2063354365528</v>
      </c>
      <c r="R15" s="148">
        <f t="shared" ref="R15:R29" si="0">Q15/C15</f>
        <v>0.43006877847885094</v>
      </c>
      <c r="S15" s="2"/>
    </row>
    <row r="16" spans="1:19">
      <c r="A16" s="51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v>0.04</v>
      </c>
      <c r="E16" s="250">
        <f>IF(Rent!E16=0,0,'Tenant Charges'!$H12)</f>
        <v>0</v>
      </c>
      <c r="F16" s="250">
        <f>IF(Rent!F16=0,0,'Tenant Charges'!$H12)</f>
        <v>0</v>
      </c>
      <c r="G16" s="250">
        <f>IF(Rent!G16=0,0,'Tenant Charges'!$H12)</f>
        <v>0</v>
      </c>
      <c r="H16" s="250">
        <f>IF(Rent!H16=0,0,'Tenant Charges'!$H12)</f>
        <v>0</v>
      </c>
      <c r="I16" s="250">
        <f>IF(Rent!I16=0,0,'Tenant Charges'!$H12)</f>
        <v>0</v>
      </c>
      <c r="J16" s="250">
        <f>IF(Rent!J16=0,0,'Tenant Charges'!$H12)</f>
        <v>0</v>
      </c>
      <c r="K16" s="250">
        <f>IF(Rent!K16=0,0,'Tenant Charges'!$H12)</f>
        <v>0</v>
      </c>
      <c r="L16" s="250">
        <f>IF(Rent!L16=0,0,'Tenant Charges'!$H12)</f>
        <v>0</v>
      </c>
      <c r="M16" s="250">
        <f>IF(Rent!M16=0,0,'Tenant Charges'!$H12)</f>
        <v>0</v>
      </c>
      <c r="N16" s="250">
        <f>IF(Rent!N16=0,0,'Tenant Charges'!$H12)</f>
        <v>0</v>
      </c>
      <c r="O16" s="250">
        <f>IF(Rent!O16=0,0,'Tenant Charges'!$H12)</f>
        <v>0</v>
      </c>
      <c r="P16" s="250">
        <f>IF(Rent!P16=0,0,'Tenant Charges'!$H12)</f>
        <v>0</v>
      </c>
      <c r="Q16" s="69">
        <f t="shared" ref="Q16:Q29" si="1">SUM(E16:P16)</f>
        <v>0</v>
      </c>
      <c r="R16" s="148"/>
      <c r="S16" s="2"/>
    </row>
    <row r="17" spans="1:19">
      <c r="A17" s="51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v>0</v>
      </c>
      <c r="E17" s="250">
        <f>IF(Rent!E17=0,0,'Tenant Charges'!$H13)</f>
        <v>0</v>
      </c>
      <c r="F17" s="250">
        <f>IF(Rent!F17=0,0,'Tenant Charges'!$H13)</f>
        <v>0</v>
      </c>
      <c r="G17" s="250">
        <f>IF(Rent!G17=0,0,'Tenant Charges'!$H13)</f>
        <v>0</v>
      </c>
      <c r="H17" s="250">
        <f>IF(Rent!H17=0,0,'Tenant Charges'!$H13)</f>
        <v>0</v>
      </c>
      <c r="I17" s="250">
        <f>IF(Rent!I17=0,0,'Tenant Charges'!$H13)</f>
        <v>0</v>
      </c>
      <c r="J17" s="250">
        <f>IF(Rent!J17=0,0,'Tenant Charges'!$H13)</f>
        <v>0</v>
      </c>
      <c r="K17" s="250">
        <f>IF(Rent!K17=0,0,'Tenant Charges'!$H13)</f>
        <v>0</v>
      </c>
      <c r="L17" s="250">
        <f>IF(Rent!L17=0,0,'Tenant Charges'!$H13)</f>
        <v>0</v>
      </c>
      <c r="M17" s="250">
        <f>IF(Rent!M17=0,0,'Tenant Charges'!$H13)</f>
        <v>0</v>
      </c>
      <c r="N17" s="250">
        <f>IF(Rent!N17=0,0,'Tenant Charges'!$H13)</f>
        <v>0</v>
      </c>
      <c r="O17" s="250">
        <f>IF(Rent!O17=0,0,'Tenant Charges'!$H13)</f>
        <v>0</v>
      </c>
      <c r="P17" s="250">
        <f>IF(Rent!P17=0,0,'Tenant Charges'!$H13)</f>
        <v>0</v>
      </c>
      <c r="Q17" s="69">
        <f t="shared" si="1"/>
        <v>0</v>
      </c>
      <c r="R17" s="148">
        <f t="shared" si="0"/>
        <v>0</v>
      </c>
      <c r="S17" s="2"/>
    </row>
    <row r="18" spans="1:19">
      <c r="A18" s="51" t="str">
        <f>Rent!A18</f>
        <v>Green Spa, LLC</v>
      </c>
      <c r="B18" s="60" t="str">
        <f>Rent!B18</f>
        <v>B105</v>
      </c>
      <c r="C18" s="61">
        <f>Rent!C18</f>
        <v>1112</v>
      </c>
      <c r="D18" s="362">
        <v>0</v>
      </c>
      <c r="E18" s="250">
        <f>IF(Rent!E18=0,0,'Tenant Charges'!$H14)</f>
        <v>0</v>
      </c>
      <c r="F18" s="250">
        <f>IF(Rent!F18=0,0,'Tenant Charges'!$H14)</f>
        <v>0</v>
      </c>
      <c r="G18" s="250">
        <f>IF(Rent!G18=0,0,'Tenant Charges'!$H14)</f>
        <v>0</v>
      </c>
      <c r="H18" s="250">
        <f>IF(Rent!H18=0,0,'Tenant Charges'!$H14)</f>
        <v>0</v>
      </c>
      <c r="I18" s="250">
        <f>IF(Rent!I18=0,0,'Tenant Charges'!$H14)</f>
        <v>0</v>
      </c>
      <c r="J18" s="250">
        <f>IF(Rent!J18=0,0,'Tenant Charges'!$H14)</f>
        <v>0</v>
      </c>
      <c r="K18" s="250">
        <f>IF(Rent!K18=0,0,'Tenant Charges'!$H14)</f>
        <v>0</v>
      </c>
      <c r="L18" s="250">
        <f>IF(Rent!L18=0,0,'Tenant Charges'!$H14)</f>
        <v>0</v>
      </c>
      <c r="M18" s="250">
        <f>IF(Rent!M18=0,0,'Tenant Charges'!$H14)</f>
        <v>0</v>
      </c>
      <c r="N18" s="250">
        <f>IF(Rent!N18=0,0,'Tenant Charges'!$H14)</f>
        <v>0</v>
      </c>
      <c r="O18" s="250">
        <f>IF(Rent!O18=0,0,'Tenant Charges'!$H14)</f>
        <v>0</v>
      </c>
      <c r="P18" s="250">
        <f>IF(Rent!P18=0,0,'Tenant Charges'!$H14)</f>
        <v>0</v>
      </c>
      <c r="Q18" s="69">
        <f t="shared" si="1"/>
        <v>0</v>
      </c>
      <c r="R18" s="148">
        <f t="shared" si="0"/>
        <v>0</v>
      </c>
      <c r="S18" s="2"/>
    </row>
    <row r="19" spans="1:19">
      <c r="A19" s="51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v>0.03</v>
      </c>
      <c r="E19" s="250">
        <f>IF(Rent!E19=0,0,'Tenant Charges'!$H15)</f>
        <v>0</v>
      </c>
      <c r="F19" s="250">
        <f>IF(Rent!F19=0,0,'Tenant Charges'!$H15)</f>
        <v>0</v>
      </c>
      <c r="G19" s="250">
        <f>IF(Rent!G19=0,0,'Tenant Charges'!$H15)</f>
        <v>0</v>
      </c>
      <c r="H19" s="250">
        <f>IF(Rent!H19=0,0,'Tenant Charges'!$H15)</f>
        <v>0</v>
      </c>
      <c r="I19" s="250">
        <f>IF(Rent!I19=0,0,'Tenant Charges'!$H15)</f>
        <v>0</v>
      </c>
      <c r="J19" s="250">
        <f>IF(Rent!J19=0,0,'Tenant Charges'!$H15)</f>
        <v>0</v>
      </c>
      <c r="K19" s="250">
        <f>IF(Rent!K19=0,0,'Tenant Charges'!$H15)</f>
        <v>0</v>
      </c>
      <c r="L19" s="250">
        <f>IF(Rent!L19=0,0,'Tenant Charges'!$H15)</f>
        <v>0</v>
      </c>
      <c r="M19" s="250">
        <f>IF(Rent!M19=0,0,'Tenant Charges'!$H15)</f>
        <v>0</v>
      </c>
      <c r="N19" s="250">
        <f>IF(Rent!N19=0,0,'Tenant Charges'!$H15)</f>
        <v>0</v>
      </c>
      <c r="O19" s="250">
        <f>IF(Rent!O19=0,0,'Tenant Charges'!$H15)</f>
        <v>0</v>
      </c>
      <c r="P19" s="250">
        <f>IF(Rent!P19=0,0,'Tenant Charges'!$H15)</f>
        <v>0</v>
      </c>
      <c r="Q19" s="69">
        <f t="shared" si="1"/>
        <v>0</v>
      </c>
      <c r="R19" s="148">
        <f t="shared" si="0"/>
        <v>0</v>
      </c>
      <c r="S19" s="2" t="s">
        <v>371</v>
      </c>
    </row>
    <row r="20" spans="1:19">
      <c r="A20" s="51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v>0</v>
      </c>
      <c r="E20" s="250">
        <f>IF(Rent!E20=0,0,'Tenant Charges'!$H16)</f>
        <v>0</v>
      </c>
      <c r="F20" s="250">
        <f>IF(Rent!F20=0,0,'Tenant Charges'!$H16)</f>
        <v>0</v>
      </c>
      <c r="G20" s="250">
        <f>IF(Rent!G20=0,0,'Tenant Charges'!$H16)</f>
        <v>0</v>
      </c>
      <c r="H20" s="250">
        <f>IF(Rent!H20=0,0,'Tenant Charges'!$H16)</f>
        <v>0</v>
      </c>
      <c r="I20" s="250">
        <f>IF(Rent!I20=0,0,'Tenant Charges'!$H16)</f>
        <v>0</v>
      </c>
      <c r="J20" s="250">
        <f>IF(Rent!J20=0,0,'Tenant Charges'!$H16)</f>
        <v>0</v>
      </c>
      <c r="K20" s="250">
        <f>IF(Rent!K20=0,0,'Tenant Charges'!$H16)</f>
        <v>0</v>
      </c>
      <c r="L20" s="250">
        <f>IF(Rent!L20=0,0,'Tenant Charges'!$H16)</f>
        <v>0</v>
      </c>
      <c r="M20" s="250">
        <f>IF(Rent!M20=0,0,'Tenant Charges'!$H16)</f>
        <v>0</v>
      </c>
      <c r="N20" s="250">
        <f>IF(Rent!N20=0,0,'Tenant Charges'!$H16)</f>
        <v>0</v>
      </c>
      <c r="O20" s="250">
        <f>IF(Rent!O20=0,0,'Tenant Charges'!$H16)</f>
        <v>0</v>
      </c>
      <c r="P20" s="250">
        <f>IF(Rent!P20=0,0,'Tenant Charges'!$H16)</f>
        <v>0</v>
      </c>
      <c r="Q20" s="69">
        <f t="shared" si="1"/>
        <v>0</v>
      </c>
      <c r="R20" s="148">
        <f t="shared" si="0"/>
        <v>0</v>
      </c>
      <c r="S20" s="2"/>
    </row>
    <row r="21" spans="1:19">
      <c r="A21" s="51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v>0.05</v>
      </c>
      <c r="E21" s="250">
        <f>IF(Rent!E21=0,0,'Tenant Charges'!$H17)</f>
        <v>0</v>
      </c>
      <c r="F21" s="250">
        <f>IF(Rent!F21=0,0,'Tenant Charges'!$H17)</f>
        <v>0</v>
      </c>
      <c r="G21" s="250">
        <f>IF(Rent!G21=0,0,'Tenant Charges'!$H17)</f>
        <v>0</v>
      </c>
      <c r="H21" s="250">
        <f>IF(Rent!H21=0,0,'Tenant Charges'!$H17)</f>
        <v>0</v>
      </c>
      <c r="I21" s="250">
        <f>IF(Rent!I21=0,0,'Tenant Charges'!$H17)</f>
        <v>0</v>
      </c>
      <c r="J21" s="250">
        <f>IF(Rent!J21=0,0,'Tenant Charges'!$H17)</f>
        <v>0</v>
      </c>
      <c r="K21" s="250">
        <f>IF(Rent!K21=0,0,'Tenant Charges'!$H17)</f>
        <v>0</v>
      </c>
      <c r="L21" s="250">
        <f>IF(Rent!L21=0,0,'Tenant Charges'!$H17)</f>
        <v>0</v>
      </c>
      <c r="M21" s="250">
        <f>IF(Rent!M21=0,0,'Tenant Charges'!$H17)</f>
        <v>0</v>
      </c>
      <c r="N21" s="250">
        <f>IF(Rent!N21=0,0,'Tenant Charges'!$H17)</f>
        <v>0</v>
      </c>
      <c r="O21" s="250">
        <f>IF(Rent!O21=0,0,'Tenant Charges'!$H17)</f>
        <v>0</v>
      </c>
      <c r="P21" s="250">
        <f>IF(Rent!P21=0,0,'Tenant Charges'!$H17)</f>
        <v>0</v>
      </c>
      <c r="Q21" s="69">
        <f t="shared" si="1"/>
        <v>0</v>
      </c>
      <c r="R21" s="148">
        <f t="shared" si="0"/>
        <v>0</v>
      </c>
      <c r="S21" s="2"/>
    </row>
    <row r="22" spans="1:19">
      <c r="A22" s="386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v>0</v>
      </c>
      <c r="E22" s="250">
        <f>IF(Rent!E22=0,0,'Tenant Charges'!$H18)</f>
        <v>0</v>
      </c>
      <c r="F22" s="250">
        <f>IF(Rent!F22=0,0,'Tenant Charges'!$H18)</f>
        <v>0</v>
      </c>
      <c r="G22" s="250">
        <f>IF(Rent!G22=0,0,'Tenant Charges'!$H18)</f>
        <v>0</v>
      </c>
      <c r="H22" s="250">
        <f>IF(Rent!H22=0,0,'Tenant Charges'!$H18)</f>
        <v>0</v>
      </c>
      <c r="I22" s="250">
        <f>IF(Rent!I22=0,0,'Tenant Charges'!$H18)</f>
        <v>0</v>
      </c>
      <c r="J22" s="250">
        <f>IF(Rent!J22=0,0,'Tenant Charges'!$H18)</f>
        <v>0</v>
      </c>
      <c r="K22" s="250">
        <f>IF(Rent!K22=0,0,'Tenant Charges'!$H18)</f>
        <v>0</v>
      </c>
      <c r="L22" s="250">
        <f>IF(Rent!L22=0,0,'Tenant Charges'!$H18)</f>
        <v>0</v>
      </c>
      <c r="M22" s="250">
        <f>IF(Rent!M22=0,0,'Tenant Charges'!$H18)</f>
        <v>0</v>
      </c>
      <c r="N22" s="250">
        <f>IF(Rent!N22=0,0,'Tenant Charges'!$H18)</f>
        <v>0</v>
      </c>
      <c r="O22" s="250">
        <f>IF(Rent!O22=0,0,'Tenant Charges'!$H18)</f>
        <v>0</v>
      </c>
      <c r="P22" s="250">
        <f>IF(Rent!P22=0,0,'Tenant Charges'!$H18)</f>
        <v>0</v>
      </c>
      <c r="Q22" s="69">
        <f t="shared" si="1"/>
        <v>0</v>
      </c>
      <c r="R22" s="148">
        <f t="shared" si="0"/>
        <v>0</v>
      </c>
      <c r="S22" s="2"/>
    </row>
    <row r="23" spans="1:19">
      <c r="A23" s="51" t="str">
        <f>Rent!A23</f>
        <v>Kachina Stained Glass</v>
      </c>
      <c r="B23" s="60">
        <f>Rent!B23</f>
        <v>101</v>
      </c>
      <c r="C23" s="61">
        <f>Rent!C23</f>
        <v>1287</v>
      </c>
      <c r="D23" s="362">
        <v>0</v>
      </c>
      <c r="E23" s="250">
        <f>IF(Rent!E23=0,0,'Tenant Charges'!$H19)</f>
        <v>8.3333333333333329E-2</v>
      </c>
      <c r="F23" s="250">
        <f>IF(Rent!F23=0,0,'Tenant Charges'!$H19)</f>
        <v>8.3333333333333329E-2</v>
      </c>
      <c r="G23" s="250">
        <f>IF(Rent!G23=0,0,'Tenant Charges'!$H19)</f>
        <v>8.3333333333333329E-2</v>
      </c>
      <c r="H23" s="250">
        <f>IF(Rent!H23=0,0,'Tenant Charges'!$H19)</f>
        <v>8.3333333333333329E-2</v>
      </c>
      <c r="I23" s="250">
        <f>IF(Rent!I23=0,0,'Tenant Charges'!$H19)</f>
        <v>8.3333333333333329E-2</v>
      </c>
      <c r="J23" s="250">
        <f>IF(Rent!J23=0,0,'Tenant Charges'!$H19)</f>
        <v>8.3333333333333329E-2</v>
      </c>
      <c r="K23" s="250">
        <f>IF(Rent!K23=0,0,'Tenant Charges'!$H19)</f>
        <v>8.3333333333333329E-2</v>
      </c>
      <c r="L23" s="250">
        <f>IF(Rent!L23=0,0,'Tenant Charges'!$H19)</f>
        <v>8.3333333333333329E-2</v>
      </c>
      <c r="M23" s="250">
        <f>IF(Rent!M23=0,0,'Tenant Charges'!$H19)</f>
        <v>8.3333333333333329E-2</v>
      </c>
      <c r="N23" s="250">
        <f>IF(Rent!N23=0,0,'Tenant Charges'!$H19)</f>
        <v>8.3333333333333329E-2</v>
      </c>
      <c r="O23" s="250">
        <f>IF(Rent!O23=0,0,'Tenant Charges'!$H19)</f>
        <v>8.3333333333333329E-2</v>
      </c>
      <c r="P23" s="250">
        <f>IF(Rent!P23=0,0,'Tenant Charges'!$H19)</f>
        <v>8.3333333333333329E-2</v>
      </c>
      <c r="Q23" s="69">
        <f t="shared" si="1"/>
        <v>1</v>
      </c>
      <c r="R23" s="148">
        <f t="shared" si="0"/>
        <v>7.77000777000777E-4</v>
      </c>
      <c r="S23" s="2"/>
    </row>
    <row r="24" spans="1:19">
      <c r="A24" s="51" t="str">
        <f>Rent!A24</f>
        <v>Zanders Creations</v>
      </c>
      <c r="B24" s="60">
        <f>Rent!B24</f>
        <v>102</v>
      </c>
      <c r="C24" s="61">
        <f>Rent!C24</f>
        <v>1639</v>
      </c>
      <c r="D24" s="362">
        <v>0</v>
      </c>
      <c r="E24" s="250">
        <f>IF(Rent!E24=0,0,'Tenant Charges'!$H20)</f>
        <v>8.3333333333333329E-2</v>
      </c>
      <c r="F24" s="250">
        <f>IF(Rent!F24=0,0,'Tenant Charges'!$H20)</f>
        <v>8.3333333333333329E-2</v>
      </c>
      <c r="G24" s="250">
        <f>IF(Rent!G24=0,0,'Tenant Charges'!$H20)</f>
        <v>8.3333333333333329E-2</v>
      </c>
      <c r="H24" s="250">
        <f>IF(Rent!H24=0,0,'Tenant Charges'!$H20)</f>
        <v>8.3333333333333329E-2</v>
      </c>
      <c r="I24" s="250">
        <f>IF(Rent!I24=0,0,'Tenant Charges'!$H20)</f>
        <v>8.3333333333333329E-2</v>
      </c>
      <c r="J24" s="250">
        <f>IF(Rent!J24=0,0,'Tenant Charges'!$H20)</f>
        <v>8.3333333333333329E-2</v>
      </c>
      <c r="K24" s="250">
        <f>IF(Rent!K24=0,0,'Tenant Charges'!$H20)</f>
        <v>8.3333333333333329E-2</v>
      </c>
      <c r="L24" s="250">
        <f>IF(Rent!L24=0,0,'Tenant Charges'!$H20)</f>
        <v>8.3333333333333329E-2</v>
      </c>
      <c r="M24" s="250">
        <f>IF(Rent!M24=0,0,'Tenant Charges'!$H20)</f>
        <v>8.3333333333333329E-2</v>
      </c>
      <c r="N24" s="250">
        <f>IF(Rent!N24=0,0,'Tenant Charges'!$H20)</f>
        <v>8.3333333333333329E-2</v>
      </c>
      <c r="O24" s="250">
        <f>IF(Rent!O24=0,0,'Tenant Charges'!$H20)</f>
        <v>8.3333333333333329E-2</v>
      </c>
      <c r="P24" s="250">
        <f>IF(Rent!P24=0,0,'Tenant Charges'!$H20)</f>
        <v>8.3333333333333329E-2</v>
      </c>
      <c r="Q24" s="69">
        <f t="shared" si="1"/>
        <v>1</v>
      </c>
      <c r="R24" s="148">
        <f t="shared" si="0"/>
        <v>6.1012812690665037E-4</v>
      </c>
      <c r="S24" s="2"/>
    </row>
    <row r="25" spans="1:19">
      <c r="A25" s="51" t="str">
        <f>Rent!A25</f>
        <v>Brightnow Dental</v>
      </c>
      <c r="B25" s="60">
        <f>Rent!B25</f>
        <v>103</v>
      </c>
      <c r="C25" s="61">
        <f>Rent!C25</f>
        <v>3600</v>
      </c>
      <c r="D25" s="362">
        <v>0.04</v>
      </c>
      <c r="E25" s="250">
        <f>IF(Rent!E25=0,0,'Tenant Charges'!$H21)</f>
        <v>0</v>
      </c>
      <c r="F25" s="250">
        <f>IF(Rent!F25=0,0,'Tenant Charges'!$H21)</f>
        <v>0</v>
      </c>
      <c r="G25" s="250">
        <f>IF(Rent!G25=0,0,'Tenant Charges'!$H21)</f>
        <v>0</v>
      </c>
      <c r="H25" s="250">
        <f>IF(Rent!H25=0,0,'Tenant Charges'!$H21)</f>
        <v>0</v>
      </c>
      <c r="I25" s="250">
        <f>IF(Rent!I25=0,0,'Tenant Charges'!$H21)</f>
        <v>0</v>
      </c>
      <c r="J25" s="250">
        <f>IF(Rent!J25=0,0,'Tenant Charges'!$H21)</f>
        <v>0</v>
      </c>
      <c r="K25" s="250">
        <f>IF(Rent!K25=0,0,'Tenant Charges'!$H21)</f>
        <v>0</v>
      </c>
      <c r="L25" s="250">
        <f>IF(Rent!L25=0,0,'Tenant Charges'!$H21)</f>
        <v>0</v>
      </c>
      <c r="M25" s="250">
        <f>IF(Rent!M25=0,0,'Tenant Charges'!$H21)</f>
        <v>0</v>
      </c>
      <c r="N25" s="250">
        <f>IF(Rent!N25=0,0,'Tenant Charges'!$H21)</f>
        <v>0</v>
      </c>
      <c r="O25" s="250">
        <f>IF(Rent!O25=0,0,'Tenant Charges'!$H21)</f>
        <v>0</v>
      </c>
      <c r="P25" s="250">
        <f>IF(Rent!P25=0,0,'Tenant Charges'!$H21)</f>
        <v>0</v>
      </c>
      <c r="Q25" s="69">
        <f t="shared" si="1"/>
        <v>0</v>
      </c>
      <c r="R25" s="148">
        <f t="shared" si="0"/>
        <v>0</v>
      </c>
      <c r="S25" s="2" t="s">
        <v>371</v>
      </c>
    </row>
    <row r="26" spans="1:19">
      <c r="A26" s="51" t="str">
        <f>Rent!A26</f>
        <v>Carr Animal Care</v>
      </c>
      <c r="B26" s="60">
        <f>Rent!B26</f>
        <v>106</v>
      </c>
      <c r="C26" s="61">
        <f>Rent!C26</f>
        <v>1587</v>
      </c>
      <c r="D26" s="362">
        <v>0.1</v>
      </c>
      <c r="E26" s="250">
        <f>IF(Rent!E26=0,0,'Tenant Charges'!$H22)</f>
        <v>0</v>
      </c>
      <c r="F26" s="250">
        <f>IF(Rent!F26=0,0,'Tenant Charges'!$H22)</f>
        <v>0</v>
      </c>
      <c r="G26" s="250">
        <f>IF(Rent!G26=0,0,'Tenant Charges'!$H22)</f>
        <v>0</v>
      </c>
      <c r="H26" s="250">
        <f>IF(Rent!H26=0,0,'Tenant Charges'!$H22)</f>
        <v>0</v>
      </c>
      <c r="I26" s="250">
        <f>IF(Rent!I26=0,0,'Tenant Charges'!$H22)</f>
        <v>0</v>
      </c>
      <c r="J26" s="250">
        <f>IF(Rent!J26=0,0,'Tenant Charges'!$H22)</f>
        <v>0</v>
      </c>
      <c r="K26" s="250">
        <f>IF(Rent!K26=0,0,'Tenant Charges'!$H22)</f>
        <v>0</v>
      </c>
      <c r="L26" s="250">
        <f>IF(Rent!L26=0,0,'Tenant Charges'!$H22)</f>
        <v>0</v>
      </c>
      <c r="M26" s="250">
        <f>IF(Rent!M26=0,0,'Tenant Charges'!$H22)</f>
        <v>0</v>
      </c>
      <c r="N26" s="250">
        <f>IF(Rent!N26=0,0,'Tenant Charges'!$H22)</f>
        <v>0</v>
      </c>
      <c r="O26" s="250">
        <f>IF(Rent!O26=0,0,'Tenant Charges'!$H22)</f>
        <v>0</v>
      </c>
      <c r="P26" s="250">
        <f>IF(Rent!P26=0,0,'Tenant Charges'!$H22)</f>
        <v>0</v>
      </c>
      <c r="Q26" s="69">
        <f t="shared" si="1"/>
        <v>0</v>
      </c>
      <c r="R26" s="148">
        <f t="shared" si="0"/>
        <v>0</v>
      </c>
      <c r="S26" s="2"/>
    </row>
    <row r="27" spans="1:19">
      <c r="A27" s="386" t="str">
        <f>Rent!A27</f>
        <v>Razors Barber Shop</v>
      </c>
      <c r="B27" s="60">
        <f>Rent!B27</f>
        <v>107</v>
      </c>
      <c r="C27" s="61">
        <f>Rent!C27</f>
        <v>1300</v>
      </c>
      <c r="D27" s="362">
        <v>0.15</v>
      </c>
      <c r="E27" s="250">
        <f>IF(Rent!E27=0,0,'Tenant Charges'!$H23)</f>
        <v>0</v>
      </c>
      <c r="F27" s="250">
        <f>IF(Rent!F27=0,0,'Tenant Charges'!$H23)</f>
        <v>0</v>
      </c>
      <c r="G27" s="250">
        <f>IF(Rent!G27=0,0,'Tenant Charges'!$H23)</f>
        <v>0</v>
      </c>
      <c r="H27" s="250">
        <f>IF(Rent!H27=0,0,'Tenant Charges'!$H23)</f>
        <v>0</v>
      </c>
      <c r="I27" s="250">
        <f>IF(Rent!I27=0,0,'Tenant Charges'!$H23)</f>
        <v>0</v>
      </c>
      <c r="J27" s="250">
        <f>IF(Rent!J27=0,0,'Tenant Charges'!$H23)</f>
        <v>0</v>
      </c>
      <c r="K27" s="250">
        <f>IF(Rent!K27=0,0,'Tenant Charges'!$H23)</f>
        <v>0</v>
      </c>
      <c r="L27" s="250">
        <f>IF(Rent!L27=0,0,'Tenant Charges'!$H23)</f>
        <v>0</v>
      </c>
      <c r="M27" s="250">
        <f>IF(Rent!M27=0,0,'Tenant Charges'!$H23)</f>
        <v>0</v>
      </c>
      <c r="N27" s="250">
        <f>IF(Rent!N27=0,0,'Tenant Charges'!$H23)</f>
        <v>0</v>
      </c>
      <c r="O27" s="250">
        <f>IF(Rent!O27=0,0,'Tenant Charges'!$H23)</f>
        <v>0</v>
      </c>
      <c r="P27" s="250">
        <f>IF(Rent!P27=0,0,'Tenant Charges'!$H23)</f>
        <v>0</v>
      </c>
      <c r="Q27" s="69">
        <f t="shared" si="1"/>
        <v>0</v>
      </c>
      <c r="R27" s="148">
        <f t="shared" si="0"/>
        <v>0</v>
      </c>
      <c r="S27" s="2"/>
    </row>
    <row r="28" spans="1:19">
      <c r="A28" s="165" t="str">
        <f>Rent!A28</f>
        <v>CrossFit New Strength</v>
      </c>
      <c r="B28" s="60">
        <f>Rent!B28</f>
        <v>108</v>
      </c>
      <c r="C28" s="61">
        <f>Rent!C28</f>
        <v>3524</v>
      </c>
      <c r="D28" s="362">
        <v>0.05</v>
      </c>
      <c r="E28" s="250">
        <f>IF(Rent!E28=0,0,'Tenant Charges'!$H24)</f>
        <v>63.148432306644615</v>
      </c>
      <c r="F28" s="250">
        <f>IF(Rent!F28=0,0,'Tenant Charges'!$H24)</f>
        <v>63.148432306644615</v>
      </c>
      <c r="G28" s="250">
        <f>IF(Rent!G28=0,0,'Tenant Charges'!$H24)</f>
        <v>63.148432306644615</v>
      </c>
      <c r="H28" s="250">
        <f>IF(Rent!H28=0,0,'Tenant Charges'!$H24)</f>
        <v>63.148432306644615</v>
      </c>
      <c r="I28" s="250">
        <f>IF(Rent!I28=0,0,'Tenant Charges'!$H24)</f>
        <v>63.148432306644615</v>
      </c>
      <c r="J28" s="250">
        <f>IF(Rent!J28=0,0,'Tenant Charges'!$H24)</f>
        <v>63.148432306644615</v>
      </c>
      <c r="K28" s="250">
        <f>IF(Rent!K28=0,0,'Tenant Charges'!$H24)</f>
        <v>63.148432306644615</v>
      </c>
      <c r="L28" s="250">
        <f>IF(Rent!L28=0,0,'Tenant Charges'!$H24)</f>
        <v>63.148432306644615</v>
      </c>
      <c r="M28" s="250">
        <f>IF(Rent!M28=0,0,'Tenant Charges'!$H24)</f>
        <v>63.148432306644615</v>
      </c>
      <c r="N28" s="250">
        <f>IF(Rent!N28=0,0,'Tenant Charges'!$H24)</f>
        <v>63.148432306644615</v>
      </c>
      <c r="O28" s="250">
        <f>IF(Rent!O28=0,0,'Tenant Charges'!$H24)</f>
        <v>63.148432306644615</v>
      </c>
      <c r="P28" s="250">
        <f>IF(Rent!P28=0,0,'Tenant Charges'!$H24)</f>
        <v>63.148432306644615</v>
      </c>
      <c r="Q28" s="69">
        <f t="shared" si="1"/>
        <v>757.78118767973535</v>
      </c>
      <c r="R28" s="148">
        <f t="shared" si="0"/>
        <v>0.21503438923942547</v>
      </c>
      <c r="S28" s="2"/>
    </row>
    <row r="29" spans="1:19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v>0.03</v>
      </c>
      <c r="E29" s="250">
        <f>IF(Rent!E29=0,0,'Tenant Charges'!$H25)</f>
        <v>0</v>
      </c>
      <c r="F29" s="250">
        <f>IF(Rent!F29=0,0,'Tenant Charges'!$H25)</f>
        <v>0</v>
      </c>
      <c r="G29" s="250">
        <f>IF(Rent!G29=0,0,'Tenant Charges'!$H25)</f>
        <v>0</v>
      </c>
      <c r="H29" s="250">
        <f>IF(Rent!H29=0,0,'Tenant Charges'!$H25)</f>
        <v>0</v>
      </c>
      <c r="I29" s="250">
        <f>IF(Rent!I29=0,0,'Tenant Charges'!$H25)</f>
        <v>0</v>
      </c>
      <c r="J29" s="250">
        <f>IF(Rent!J29=0,0,'Tenant Charges'!$H25)</f>
        <v>0</v>
      </c>
      <c r="K29" s="250">
        <f>IF(Rent!K29=0,0,'Tenant Charges'!$H25)</f>
        <v>44.380342196340052</v>
      </c>
      <c r="L29" s="250">
        <f>IF(Rent!L29=0,0,'Tenant Charges'!$H25)</f>
        <v>44.380342196340052</v>
      </c>
      <c r="M29" s="250">
        <f>IF(Rent!M29=0,0,'Tenant Charges'!$H25)</f>
        <v>44.380342196340052</v>
      </c>
      <c r="N29" s="250">
        <f>IF(Rent!N29=0,0,'Tenant Charges'!$H25)</f>
        <v>44.380342196340052</v>
      </c>
      <c r="O29" s="250">
        <f>IF(Rent!O29=0,0,'Tenant Charges'!$H25)</f>
        <v>44.380342196340052</v>
      </c>
      <c r="P29" s="250">
        <f>IF(Rent!P29=0,0,'Tenant Charges'!$H25)</f>
        <v>44.380342196340052</v>
      </c>
      <c r="Q29" s="69">
        <f t="shared" si="1"/>
        <v>266.28205317804031</v>
      </c>
      <c r="R29" s="148">
        <f t="shared" si="0"/>
        <v>8.8554058256747697E-2</v>
      </c>
      <c r="S29" s="2"/>
    </row>
    <row r="30" spans="1:19">
      <c r="A30" s="2"/>
      <c r="B30" s="2"/>
      <c r="C30" s="61"/>
      <c r="D30" s="362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2"/>
      <c r="S30" s="2"/>
    </row>
    <row r="31" spans="1:19">
      <c r="A31" s="2"/>
      <c r="B31" s="2"/>
      <c r="C31" s="61"/>
      <c r="D31" s="362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2"/>
      <c r="S31" s="2"/>
    </row>
    <row r="32" spans="1:19">
      <c r="A32" s="2" t="s">
        <v>47</v>
      </c>
      <c r="B32" s="2"/>
      <c r="C32" s="61" t="s">
        <v>47</v>
      </c>
      <c r="D32" s="362" t="s">
        <v>47</v>
      </c>
      <c r="E32" s="69" t="s">
        <v>47</v>
      </c>
      <c r="F32" s="69" t="s">
        <v>47</v>
      </c>
      <c r="G32" s="69" t="s">
        <v>47</v>
      </c>
      <c r="H32" s="69" t="s">
        <v>47</v>
      </c>
      <c r="I32" s="69" t="s">
        <v>47</v>
      </c>
      <c r="J32" s="69" t="s">
        <v>47</v>
      </c>
      <c r="K32" s="69" t="s">
        <v>47</v>
      </c>
      <c r="L32" s="69" t="s">
        <v>47</v>
      </c>
      <c r="M32" s="69" t="s">
        <v>47</v>
      </c>
      <c r="N32" s="69" t="s">
        <v>47</v>
      </c>
      <c r="O32" s="69" t="s">
        <v>47</v>
      </c>
      <c r="P32" s="69" t="s">
        <v>47</v>
      </c>
      <c r="Q32" s="69" t="s">
        <v>47</v>
      </c>
      <c r="R32" s="2"/>
      <c r="S32" s="2"/>
    </row>
    <row r="33" spans="1:17">
      <c r="A33" s="360"/>
      <c r="B33" s="364"/>
      <c r="C33" s="365"/>
      <c r="D33" s="365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6"/>
      <c r="Q33" s="367"/>
    </row>
    <row r="34" spans="1:17">
      <c r="A34" s="339" t="s">
        <v>169</v>
      </c>
      <c r="B34" s="368"/>
      <c r="C34" s="341">
        <f>SUM(C14:C33)</f>
        <v>67709</v>
      </c>
      <c r="D34" s="369"/>
      <c r="E34" s="342">
        <f>SUM(E14:E33)</f>
        <v>170.83229359302399</v>
      </c>
      <c r="F34" s="342">
        <f t="shared" ref="F34:P34" si="2">SUM(F14:F33)</f>
        <v>170.83229359302399</v>
      </c>
      <c r="G34" s="342">
        <f t="shared" si="2"/>
        <v>170.83229359302399</v>
      </c>
      <c r="H34" s="342">
        <f t="shared" si="2"/>
        <v>170.83229359302399</v>
      </c>
      <c r="I34" s="342">
        <f t="shared" si="2"/>
        <v>170.83229359302399</v>
      </c>
      <c r="J34" s="342">
        <f t="shared" si="2"/>
        <v>170.83229359302399</v>
      </c>
      <c r="K34" s="342">
        <f t="shared" si="2"/>
        <v>215.21263578936404</v>
      </c>
      <c r="L34" s="342">
        <f t="shared" si="2"/>
        <v>215.21263578936404</v>
      </c>
      <c r="M34" s="342">
        <f t="shared" si="2"/>
        <v>215.21263578936404</v>
      </c>
      <c r="N34" s="342">
        <f t="shared" si="2"/>
        <v>215.21263578936404</v>
      </c>
      <c r="O34" s="342">
        <f t="shared" si="2"/>
        <v>215.21263578936404</v>
      </c>
      <c r="P34" s="342">
        <f t="shared" si="2"/>
        <v>215.21263578936404</v>
      </c>
      <c r="Q34" s="342">
        <f>SUM(Q14:Q29)</f>
        <v>2316.2695762943285</v>
      </c>
    </row>
    <row r="35" spans="1:17">
      <c r="A35" s="370"/>
      <c r="B35" s="371"/>
      <c r="C35" s="372"/>
      <c r="D35" s="372"/>
      <c r="E35" s="372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3"/>
    </row>
    <row r="36" spans="1:17">
      <c r="A36" s="2"/>
      <c r="B36" s="2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74" t="s">
        <v>372</v>
      </c>
      <c r="P36" s="364"/>
      <c r="Q36" s="375">
        <f>Summary!O21</f>
        <v>2316.2695762943276</v>
      </c>
    </row>
    <row r="37" spans="1:17">
      <c r="A37" s="2"/>
      <c r="B37" s="2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76" t="s">
        <v>357</v>
      </c>
      <c r="P37" s="371"/>
      <c r="Q37" s="377">
        <f>Q34/Q36</f>
        <v>1.0000000000000004</v>
      </c>
    </row>
    <row r="38" spans="1:17">
      <c r="A38" s="2"/>
      <c r="B38" s="2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79"/>
    </row>
    <row r="39" spans="1:17">
      <c r="A39" s="2"/>
      <c r="B39" s="2"/>
      <c r="C39" s="2"/>
      <c r="D39" s="382" t="s">
        <v>347</v>
      </c>
      <c r="E39" s="387">
        <f>E34-Summary!C21</f>
        <v>0</v>
      </c>
      <c r="F39" s="85">
        <f>F34-Summary!D21</f>
        <v>0</v>
      </c>
      <c r="G39" s="85">
        <f>G34-Summary!E21</f>
        <v>0</v>
      </c>
      <c r="H39" s="85">
        <f>H34-Summary!F21</f>
        <v>0</v>
      </c>
      <c r="I39" s="85">
        <f>I34-Summary!G21</f>
        <v>0</v>
      </c>
      <c r="J39" s="85">
        <f>J34-Summary!H21</f>
        <v>0</v>
      </c>
      <c r="K39" s="85">
        <f>K34-Summary!I21</f>
        <v>0</v>
      </c>
      <c r="L39" s="85">
        <f>L34-Summary!J21</f>
        <v>0</v>
      </c>
      <c r="M39" s="85">
        <f>M34-Summary!K21</f>
        <v>0</v>
      </c>
      <c r="N39" s="85">
        <f>N34-Summary!L21</f>
        <v>0</v>
      </c>
      <c r="O39" s="85">
        <f>O34-Summary!M21</f>
        <v>0</v>
      </c>
      <c r="P39" s="86">
        <f>P34-Summary!N21</f>
        <v>0</v>
      </c>
      <c r="Q39" s="148"/>
    </row>
    <row r="40" spans="1:17">
      <c r="A40" s="2"/>
      <c r="B40" s="2"/>
      <c r="C40" s="2"/>
      <c r="D40" s="2"/>
      <c r="E40" s="161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</row>
    <row r="41" spans="1:17">
      <c r="A41" s="2"/>
      <c r="B41" s="2"/>
      <c r="C41" s="2"/>
      <c r="D41" s="2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</row>
    <row r="42" spans="1:17">
      <c r="A42" s="2"/>
      <c r="B42" s="2"/>
      <c r="C42" s="2"/>
      <c r="D42" s="2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</row>
    <row r="43" spans="1:17">
      <c r="A43" s="2"/>
      <c r="B43" s="2"/>
      <c r="C43" s="2"/>
      <c r="D43" s="2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</row>
    <row r="44" spans="1:17">
      <c r="A44" s="2"/>
      <c r="B44" s="2"/>
      <c r="C44" s="2"/>
      <c r="D44" s="2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</row>
    <row r="45" spans="1:17">
      <c r="A45" s="2"/>
      <c r="B45" s="2"/>
      <c r="C45" s="2"/>
      <c r="D45" s="2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</row>
  </sheetData>
  <customSheetViews>
    <customSheetView guid="{7691FA39-7EA9-407C-9567-49BEFD6339F8}" scale="75" showPageBreaks="1" fitToPage="1" showRuler="0">
      <selection sqref="A1:IV65536"/>
      <pageMargins left="0" right="0" top="0" bottom="0" header="0" footer="0"/>
      <printOptions horizontalCentered="1"/>
      <pageSetup scale="73" firstPageNumber="7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Q6"/>
    <mergeCell ref="A2:Q2"/>
    <mergeCell ref="A3:Q3"/>
    <mergeCell ref="A4:Q4"/>
    <mergeCell ref="A5:Q5"/>
  </mergeCells>
  <phoneticPr fontId="2" type="noConversion"/>
  <printOptions horizontalCentered="1"/>
  <pageMargins left="0.5" right="0.5" top="0.75" bottom="0.5" header="0.5" footer="0.5"/>
  <pageSetup paperSize="5" scale="89" firstPageNumber="8" orientation="landscape" useFirstPageNumber="1" r:id="rId2"/>
  <headerFooter alignWithMargins="0">
    <oddFooter>Page &amp;P</oddFooter>
  </headerFooter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CCAC-E4BA-4765-9925-934B5DACAED6}">
  <sheetPr codeName="Sheet9">
    <pageSetUpPr fitToPage="1"/>
  </sheetPr>
  <dimension ref="A1:S44"/>
  <sheetViews>
    <sheetView topLeftCell="A7" zoomScale="85" zoomScaleNormal="85" zoomScaleSheetLayoutView="140" workbookViewId="0">
      <selection activeCell="E14" sqref="E14:P29"/>
    </sheetView>
  </sheetViews>
  <sheetFormatPr defaultColWidth="9.42578125" defaultRowHeight="15.4"/>
  <cols>
    <col min="1" max="1" width="32.42578125" style="89" customWidth="1"/>
    <col min="2" max="2" width="9.42578125" style="89" bestFit="1" customWidth="1"/>
    <col min="3" max="3" width="13.42578125" style="89" customWidth="1"/>
    <col min="4" max="4" width="11.42578125" style="89" bestFit="1" customWidth="1"/>
    <col min="5" max="5" width="11.42578125" style="89" customWidth="1"/>
    <col min="6" max="6" width="10.42578125" style="89" customWidth="1"/>
    <col min="7" max="7" width="9.42578125" style="89" bestFit="1" customWidth="1"/>
    <col min="8" max="8" width="10.42578125" style="89" customWidth="1"/>
    <col min="9" max="10" width="9.42578125" style="89" bestFit="1" customWidth="1"/>
    <col min="11" max="11" width="10.42578125" style="89" customWidth="1"/>
    <col min="12" max="13" width="9.42578125" style="89" bestFit="1" customWidth="1"/>
    <col min="14" max="14" width="10.42578125" style="89" customWidth="1"/>
    <col min="15" max="16" width="9.42578125" style="89" bestFit="1" customWidth="1"/>
    <col min="17" max="17" width="11.42578125" style="89" bestFit="1" customWidth="1"/>
    <col min="18" max="18" width="9.42578125" style="89" bestFit="1" customWidth="1"/>
    <col min="19" max="16384" width="9.42578125" style="89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46269</v>
      </c>
      <c r="R1" s="2">
        <f>Summary!W4</f>
        <v>0</v>
      </c>
    </row>
    <row r="2" spans="1:18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</row>
    <row r="3" spans="1:18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</row>
    <row r="4" spans="1:18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</row>
    <row r="5" spans="1:18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</row>
    <row r="6" spans="1:18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</row>
    <row r="7" spans="1:18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2"/>
    </row>
    <row r="9" spans="1:18">
      <c r="A9" s="44" t="s">
        <v>15</v>
      </c>
      <c r="B9" s="44" t="s">
        <v>316</v>
      </c>
      <c r="C9" s="44" t="s">
        <v>165</v>
      </c>
      <c r="D9" s="44" t="s">
        <v>365</v>
      </c>
      <c r="E9" s="44" t="s">
        <v>129</v>
      </c>
      <c r="F9" s="44" t="s">
        <v>130</v>
      </c>
      <c r="G9" s="44" t="s">
        <v>131</v>
      </c>
      <c r="H9" s="44" t="s">
        <v>132</v>
      </c>
      <c r="I9" s="44" t="s">
        <v>133</v>
      </c>
      <c r="J9" s="44" t="s">
        <v>134</v>
      </c>
      <c r="K9" s="44" t="s">
        <v>135</v>
      </c>
      <c r="L9" s="44" t="s">
        <v>136</v>
      </c>
      <c r="M9" s="44" t="s">
        <v>137</v>
      </c>
      <c r="N9" s="44" t="s">
        <v>138</v>
      </c>
      <c r="O9" s="44" t="s">
        <v>139</v>
      </c>
      <c r="P9" s="44" t="s">
        <v>140</v>
      </c>
      <c r="Q9" s="44" t="s">
        <v>169</v>
      </c>
      <c r="R9" s="2"/>
    </row>
    <row r="10" spans="1:18">
      <c r="A10" s="45"/>
      <c r="B10" s="46" t="s">
        <v>318</v>
      </c>
      <c r="C10" s="46" t="s">
        <v>319</v>
      </c>
      <c r="D10" s="46" t="s">
        <v>366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2"/>
    </row>
    <row r="12" spans="1:18">
      <c r="A12" s="253" t="s">
        <v>373</v>
      </c>
      <c r="B12" s="2"/>
      <c r="C12" s="116"/>
      <c r="D12" s="383"/>
      <c r="E12" s="119"/>
      <c r="F12" s="119"/>
      <c r="G12" s="119"/>
      <c r="H12" s="119"/>
      <c r="I12" s="119"/>
      <c r="J12" s="229"/>
      <c r="K12" s="119"/>
      <c r="L12" s="119"/>
      <c r="M12" s="119"/>
      <c r="N12" s="119"/>
      <c r="O12" s="119"/>
      <c r="P12" s="119"/>
      <c r="Q12" s="119"/>
      <c r="R12" s="2"/>
    </row>
    <row r="13" spans="1:18">
      <c r="A13" s="51"/>
      <c r="B13" s="2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"/>
    </row>
    <row r="14" spans="1:18">
      <c r="A14" s="2" t="str">
        <f>Rent!A14</f>
        <v>EOS Fitness</v>
      </c>
      <c r="B14" s="60" t="str">
        <f>Rent!B14</f>
        <v>Major A</v>
      </c>
      <c r="C14" s="61">
        <f>Rent!C14</f>
        <v>35000</v>
      </c>
      <c r="D14" s="362">
        <f>C14/$C$37</f>
        <v>0.51691798726904847</v>
      </c>
      <c r="E14" s="250">
        <f>IF(Rent!E14=0,0,('Tenant Charges'!$I10))</f>
        <v>6224.2422831529047</v>
      </c>
      <c r="F14" s="250">
        <f>IF(Rent!F14=0,0,('Tenant Charges'!$I10))</f>
        <v>6224.2422831529047</v>
      </c>
      <c r="G14" s="250">
        <f>IF(Rent!G14=0,0,('Tenant Charges'!$I10))</f>
        <v>6224.2422831529047</v>
      </c>
      <c r="H14" s="250">
        <f>IF(Rent!H14=0,0,('Tenant Charges'!$I10))</f>
        <v>6224.2422831529047</v>
      </c>
      <c r="I14" s="250">
        <f>IF(Rent!I14=0,0,('Tenant Charges'!$I10))</f>
        <v>6224.2422831529047</v>
      </c>
      <c r="J14" s="250">
        <f>IF(Rent!J14=0,0,('Tenant Charges'!$I10))</f>
        <v>6224.2422831529047</v>
      </c>
      <c r="K14" s="250">
        <f>IF(Rent!K14=0,0,('Tenant Charges'!$I10))</f>
        <v>6224.2422831529047</v>
      </c>
      <c r="L14" s="250">
        <f>IF(Rent!L14=0,0,('Tenant Charges'!$I10))</f>
        <v>6224.2422831529047</v>
      </c>
      <c r="M14" s="250">
        <f>IF(Rent!M14=0,0,('Tenant Charges'!$I10))</f>
        <v>6224.2422831529047</v>
      </c>
      <c r="N14" s="250">
        <f>IF(Rent!N14=0,0,('Tenant Charges'!$I10))</f>
        <v>6224.2422831529047</v>
      </c>
      <c r="O14" s="250">
        <f>IF(Rent!O14=0,0,('Tenant Charges'!$I10))</f>
        <v>6224.2422831529047</v>
      </c>
      <c r="P14" s="250">
        <f>IF(Rent!P14=0,0,('Tenant Charges'!$I10))</f>
        <v>6224.2422831529047</v>
      </c>
      <c r="Q14" s="69">
        <f>SUM(E14:P14)</f>
        <v>74690.907397834861</v>
      </c>
      <c r="R14" s="148"/>
    </row>
    <row r="15" spans="1:18">
      <c r="A15" s="2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f>C15/$C$37</f>
        <v>4.4307256051632722E-2</v>
      </c>
      <c r="E15" s="250">
        <f>IF(Rent!E15=0,0,('Tenant Charges'!$I11))</f>
        <v>533.50648141310614</v>
      </c>
      <c r="F15" s="250">
        <f>IF(Rent!F15=0,0,('Tenant Charges'!$I11))</f>
        <v>533.50648141310614</v>
      </c>
      <c r="G15" s="250">
        <f>IF(Rent!G15=0,0,('Tenant Charges'!$I11))</f>
        <v>533.50648141310614</v>
      </c>
      <c r="H15" s="250">
        <f>IF(Rent!H15=0,0,('Tenant Charges'!$I11))</f>
        <v>533.50648141310614</v>
      </c>
      <c r="I15" s="250">
        <f>IF(Rent!I15=0,0,('Tenant Charges'!$I11))</f>
        <v>533.50648141310614</v>
      </c>
      <c r="J15" s="250">
        <f>IF(Rent!J15=0,0,('Tenant Charges'!$I11))</f>
        <v>533.50648141310614</v>
      </c>
      <c r="K15" s="250">
        <f>IF(Rent!K15=0,0,('Tenant Charges'!$I11))</f>
        <v>533.50648141310614</v>
      </c>
      <c r="L15" s="250">
        <f>IF(Rent!L15=0,0,('Tenant Charges'!$I11))</f>
        <v>533.50648141310614</v>
      </c>
      <c r="M15" s="250">
        <f>IF(Rent!M15=0,0,('Tenant Charges'!$I11))</f>
        <v>533.50648141310614</v>
      </c>
      <c r="N15" s="250">
        <f>IF(Rent!N15=0,0,('Tenant Charges'!$I11))</f>
        <v>533.50648141310614</v>
      </c>
      <c r="O15" s="250">
        <f>IF(Rent!O15=0,0,('Tenant Charges'!$I11))</f>
        <v>533.50648141310614</v>
      </c>
      <c r="P15" s="250">
        <f>IF(Rent!P15=0,0,('Tenant Charges'!$I11))</f>
        <v>533.50648141310614</v>
      </c>
      <c r="Q15" s="69">
        <f t="shared" ref="Q15:Q29" si="0">SUM(E15:P15)</f>
        <v>6402.0777769572751</v>
      </c>
      <c r="R15" s="148">
        <f t="shared" ref="R15:R28" si="1">Q15/C15</f>
        <v>2.1340259256524252</v>
      </c>
    </row>
    <row r="16" spans="1:18">
      <c r="A16" s="2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f t="shared" ref="D16:D29" si="2">C16/$C$37</f>
        <v>2.3999763694634392E-2</v>
      </c>
      <c r="E16" s="250">
        <f>IF(Rent!E16=0,0,('Tenant Charges'!$I12))</f>
        <v>288.98267743209914</v>
      </c>
      <c r="F16" s="250">
        <f>IF(Rent!F16=0,0,('Tenant Charges'!$I12))</f>
        <v>288.98267743209914</v>
      </c>
      <c r="G16" s="250">
        <f>IF(Rent!G16=0,0,('Tenant Charges'!$I12))</f>
        <v>288.98267743209914</v>
      </c>
      <c r="H16" s="250">
        <f>IF(Rent!H16=0,0,('Tenant Charges'!$I12))</f>
        <v>288.98267743209914</v>
      </c>
      <c r="I16" s="250">
        <f>IF(Rent!I16=0,0,('Tenant Charges'!$I12))</f>
        <v>288.98267743209914</v>
      </c>
      <c r="J16" s="250">
        <f>IF(Rent!J16=0,0,('Tenant Charges'!$I12))</f>
        <v>288.98267743209914</v>
      </c>
      <c r="K16" s="250">
        <f>IF(Rent!K16=0,0,('Tenant Charges'!$I12))</f>
        <v>288.98267743209914</v>
      </c>
      <c r="L16" s="250">
        <f>IF(Rent!L16=0,0,('Tenant Charges'!$I12))</f>
        <v>288.98267743209914</v>
      </c>
      <c r="M16" s="250">
        <f>IF(Rent!M16=0,0,('Tenant Charges'!$I12))</f>
        <v>288.98267743209914</v>
      </c>
      <c r="N16" s="250">
        <f>IF(Rent!N16=0,0,('Tenant Charges'!$I12))</f>
        <v>288.98267743209914</v>
      </c>
      <c r="O16" s="250">
        <f>IF(Rent!O16=0,0,('Tenant Charges'!$I12))</f>
        <v>288.98267743209914</v>
      </c>
      <c r="P16" s="250">
        <f>IF(Rent!P16=0,0,('Tenant Charges'!$I12))</f>
        <v>288.98267743209914</v>
      </c>
      <c r="Q16" s="69">
        <f t="shared" si="0"/>
        <v>3467.7921291851894</v>
      </c>
      <c r="R16" s="148"/>
    </row>
    <row r="17" spans="1:19">
      <c r="A17" s="2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f t="shared" si="2"/>
        <v>2.0676719490761938E-2</v>
      </c>
      <c r="E17" s="250">
        <f>IF(Rent!E17=0,0,('Tenant Charges'!$I13))</f>
        <v>248.96969132611619</v>
      </c>
      <c r="F17" s="250">
        <f>IF(Rent!F17=0,0,('Tenant Charges'!$I13))</f>
        <v>248.96969132611619</v>
      </c>
      <c r="G17" s="250">
        <f>IF(Rent!G17=0,0,('Tenant Charges'!$I13))</f>
        <v>248.96969132611619</v>
      </c>
      <c r="H17" s="250">
        <f>IF(Rent!H17=0,0,('Tenant Charges'!$I13))</f>
        <v>248.96969132611619</v>
      </c>
      <c r="I17" s="250">
        <f>IF(Rent!I17=0,0,('Tenant Charges'!$I13))</f>
        <v>248.96969132611619</v>
      </c>
      <c r="J17" s="250">
        <f>IF(Rent!J17=0,0,('Tenant Charges'!$I13))</f>
        <v>248.96969132611619</v>
      </c>
      <c r="K17" s="250">
        <f>IF(Rent!K17=0,0,('Tenant Charges'!$I13))</f>
        <v>248.96969132611619</v>
      </c>
      <c r="L17" s="250">
        <f>IF(Rent!L17=0,0,('Tenant Charges'!$I13))</f>
        <v>248.96969132611619</v>
      </c>
      <c r="M17" s="250">
        <f>IF(Rent!M17=0,0,('Tenant Charges'!$I13))</f>
        <v>248.96969132611619</v>
      </c>
      <c r="N17" s="250">
        <f>IF(Rent!N17=0,0,('Tenant Charges'!$I13))</f>
        <v>248.96969132611619</v>
      </c>
      <c r="O17" s="250">
        <f>IF(Rent!O17=0,0,('Tenant Charges'!$I13))</f>
        <v>248.96969132611619</v>
      </c>
      <c r="P17" s="250">
        <f>IF(Rent!P17=0,0,('Tenant Charges'!$I13))</f>
        <v>248.96969132611619</v>
      </c>
      <c r="Q17" s="69">
        <f t="shared" si="0"/>
        <v>2987.6362959133949</v>
      </c>
      <c r="R17" s="148">
        <f t="shared" si="1"/>
        <v>2.1340259256524248</v>
      </c>
      <c r="S17" s="2"/>
    </row>
    <row r="18" spans="1:19">
      <c r="A18" s="2" t="str">
        <f>Rent!A18</f>
        <v>Green Spa, LLC</v>
      </c>
      <c r="B18" s="60" t="str">
        <f>Rent!B18</f>
        <v>B105</v>
      </c>
      <c r="C18" s="61">
        <f>Rent!C18</f>
        <v>1112</v>
      </c>
      <c r="D18" s="362">
        <f t="shared" si="2"/>
        <v>1.6423222909805194E-2</v>
      </c>
      <c r="E18" s="250">
        <f>IF(Rent!E18=0,0,('Tenant Charges'!$I14))</f>
        <v>197.753069110458</v>
      </c>
      <c r="F18" s="250">
        <f>IF(Rent!F18=0,0,('Tenant Charges'!$I14))</f>
        <v>197.753069110458</v>
      </c>
      <c r="G18" s="250">
        <f>IF(Rent!G18=0,0,('Tenant Charges'!$I14))</f>
        <v>197.753069110458</v>
      </c>
      <c r="H18" s="250">
        <f>IF(Rent!H18=0,0,('Tenant Charges'!$I14))</f>
        <v>197.753069110458</v>
      </c>
      <c r="I18" s="250">
        <f>IF(Rent!I18=0,0,('Tenant Charges'!$I14))</f>
        <v>197.753069110458</v>
      </c>
      <c r="J18" s="250">
        <f>IF(Rent!J18=0,0,('Tenant Charges'!$I14))</f>
        <v>197.753069110458</v>
      </c>
      <c r="K18" s="250">
        <f>IF(Rent!K18=0,0,('Tenant Charges'!$I14))</f>
        <v>197.753069110458</v>
      </c>
      <c r="L18" s="250">
        <f>IF(Rent!L18=0,0,('Tenant Charges'!$I14))</f>
        <v>197.753069110458</v>
      </c>
      <c r="M18" s="250">
        <f>IF(Rent!M18=0,0,('Tenant Charges'!$I14))</f>
        <v>197.753069110458</v>
      </c>
      <c r="N18" s="250">
        <f>IF(Rent!N18=0,0,('Tenant Charges'!$I14))</f>
        <v>197.753069110458</v>
      </c>
      <c r="O18" s="250">
        <f>IF(Rent!O18=0,0,('Tenant Charges'!$I14))</f>
        <v>197.753069110458</v>
      </c>
      <c r="P18" s="250">
        <f>IF(Rent!P18=0,0,('Tenant Charges'!$I14))</f>
        <v>197.753069110458</v>
      </c>
      <c r="Q18" s="69">
        <f t="shared" si="0"/>
        <v>2373.036829325496</v>
      </c>
      <c r="R18" s="148">
        <f t="shared" si="1"/>
        <v>2.1340259256524243</v>
      </c>
      <c r="S18" s="2"/>
    </row>
    <row r="19" spans="1:19">
      <c r="A19" s="2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f t="shared" si="2"/>
        <v>3.6834098864257335E-2</v>
      </c>
      <c r="E19" s="250">
        <f>IF(Rent!E19=0,0,('Tenant Charges'!$I15))</f>
        <v>443.52172154809551</v>
      </c>
      <c r="F19" s="250">
        <f>IF(Rent!F19=0,0,('Tenant Charges'!$I15))</f>
        <v>443.52172154809551</v>
      </c>
      <c r="G19" s="250">
        <f>IF(Rent!G19=0,0,('Tenant Charges'!$I15))</f>
        <v>443.52172154809551</v>
      </c>
      <c r="H19" s="250">
        <f>IF(Rent!H19=0,0,('Tenant Charges'!$I15))</f>
        <v>443.52172154809551</v>
      </c>
      <c r="I19" s="250">
        <f>IF(Rent!I19=0,0,('Tenant Charges'!$I15))</f>
        <v>443.52172154809551</v>
      </c>
      <c r="J19" s="250">
        <f>IF(Rent!J19=0,0,('Tenant Charges'!$I15))</f>
        <v>443.52172154809551</v>
      </c>
      <c r="K19" s="250">
        <f>IF(Rent!K19=0,0,('Tenant Charges'!$I15))</f>
        <v>443.52172154809551</v>
      </c>
      <c r="L19" s="250">
        <f>IF(Rent!L19=0,0,('Tenant Charges'!$I15))</f>
        <v>443.52172154809551</v>
      </c>
      <c r="M19" s="250">
        <f>IF(Rent!M19=0,0,('Tenant Charges'!$I15))</f>
        <v>443.52172154809551</v>
      </c>
      <c r="N19" s="250">
        <f>IF(Rent!N19=0,0,('Tenant Charges'!$I15))</f>
        <v>443.52172154809551</v>
      </c>
      <c r="O19" s="250">
        <f>IF(Rent!O19=0,0,('Tenant Charges'!$I15))</f>
        <v>443.52172154809551</v>
      </c>
      <c r="P19" s="250">
        <f>IF(Rent!P19=0,0,('Tenant Charges'!$I15))</f>
        <v>443.52172154809551</v>
      </c>
      <c r="Q19" s="69">
        <f t="shared" si="0"/>
        <v>5322.2606585771464</v>
      </c>
      <c r="R19" s="148">
        <f t="shared" si="1"/>
        <v>2.1340259256524243</v>
      </c>
      <c r="S19" s="2"/>
    </row>
    <row r="20" spans="1:19">
      <c r="A20" s="2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f t="shared" si="2"/>
        <v>2.2153628025816361E-2</v>
      </c>
      <c r="E20" s="250">
        <f>IF(Rent!E20=0,0,('Tenant Charges'!$I16))</f>
        <v>266.75324070655307</v>
      </c>
      <c r="F20" s="250">
        <f>IF(Rent!F20=0,0,('Tenant Charges'!$I16))</f>
        <v>266.75324070655307</v>
      </c>
      <c r="G20" s="250">
        <f>IF(Rent!G20=0,0,('Tenant Charges'!$I16))</f>
        <v>266.75324070655307</v>
      </c>
      <c r="H20" s="250">
        <f>IF(Rent!H20=0,0,('Tenant Charges'!$I16))</f>
        <v>266.75324070655307</v>
      </c>
      <c r="I20" s="250">
        <f>IF(Rent!I20=0,0,('Tenant Charges'!$I16))</f>
        <v>266.75324070655307</v>
      </c>
      <c r="J20" s="250">
        <f>IF(Rent!J20=0,0,('Tenant Charges'!$I16))</f>
        <v>266.75324070655307</v>
      </c>
      <c r="K20" s="250">
        <f>IF(Rent!K20=0,0,('Tenant Charges'!$I16))</f>
        <v>266.75324070655307</v>
      </c>
      <c r="L20" s="250">
        <f>IF(Rent!L20=0,0,('Tenant Charges'!$I16))</f>
        <v>266.75324070655307</v>
      </c>
      <c r="M20" s="250">
        <f>IF(Rent!M20=0,0,('Tenant Charges'!$I16))</f>
        <v>266.75324070655307</v>
      </c>
      <c r="N20" s="250">
        <f>IF(Rent!N20=0,0,('Tenant Charges'!$I16))</f>
        <v>266.75324070655307</v>
      </c>
      <c r="O20" s="250">
        <f>IF(Rent!O20=0,0,('Tenant Charges'!$I16))</f>
        <v>266.75324070655307</v>
      </c>
      <c r="P20" s="250">
        <f>IF(Rent!P20=0,0,('Tenant Charges'!$I16))</f>
        <v>266.75324070655307</v>
      </c>
      <c r="Q20" s="69">
        <f t="shared" si="0"/>
        <v>3201.0388884786375</v>
      </c>
      <c r="R20" s="148">
        <f t="shared" si="1"/>
        <v>2.1340259256524252</v>
      </c>
      <c r="S20" s="2"/>
    </row>
    <row r="21" spans="1:19">
      <c r="A21" s="2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f t="shared" si="2"/>
        <v>2.5609593997843714E-2</v>
      </c>
      <c r="E21" s="250">
        <f>IF(Rent!E21=0,0,('Tenant Charges'!$I17))</f>
        <v>308.36674625677534</v>
      </c>
      <c r="F21" s="250">
        <f>IF(Rent!F21=0,0,('Tenant Charges'!$I17))</f>
        <v>308.36674625677534</v>
      </c>
      <c r="G21" s="250">
        <f>IF(Rent!G21=0,0,('Tenant Charges'!$I17))</f>
        <v>308.36674625677534</v>
      </c>
      <c r="H21" s="250">
        <f>IF(Rent!H21=0,0,('Tenant Charges'!$I17))</f>
        <v>308.36674625677534</v>
      </c>
      <c r="I21" s="250">
        <f>IF(Rent!I21=0,0,('Tenant Charges'!$I17))</f>
        <v>308.36674625677534</v>
      </c>
      <c r="J21" s="250">
        <f>IF(Rent!J21=0,0,('Tenant Charges'!$I17))</f>
        <v>308.36674625677534</v>
      </c>
      <c r="K21" s="250">
        <f>IF(Rent!K21=0,0,('Tenant Charges'!$I17))</f>
        <v>308.36674625677534</v>
      </c>
      <c r="L21" s="250">
        <f>IF(Rent!L21=0,0,('Tenant Charges'!$I17))</f>
        <v>308.36674625677534</v>
      </c>
      <c r="M21" s="250">
        <f>IF(Rent!M21=0,0,('Tenant Charges'!$I17))</f>
        <v>308.36674625677534</v>
      </c>
      <c r="N21" s="250">
        <f>IF(Rent!N21=0,0,('Tenant Charges'!$I17))</f>
        <v>308.36674625677534</v>
      </c>
      <c r="O21" s="250">
        <f>IF(Rent!O21=0,0,('Tenant Charges'!$I17))</f>
        <v>308.36674625677534</v>
      </c>
      <c r="P21" s="250">
        <f>IF(Rent!P21=0,0,('Tenant Charges'!$I17))</f>
        <v>308.36674625677534</v>
      </c>
      <c r="Q21" s="69">
        <f t="shared" si="0"/>
        <v>3700.4009550813048</v>
      </c>
      <c r="R21" s="148">
        <f t="shared" si="1"/>
        <v>2.1340259256524248</v>
      </c>
      <c r="S21" s="2"/>
    </row>
    <row r="22" spans="1:19">
      <c r="A22" s="2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f t="shared" si="2"/>
        <v>5.7599432867122539E-2</v>
      </c>
      <c r="E22" s="250">
        <f>IF(Rent!E22=0,0,('Tenant Charges'!$I18))</f>
        <v>693.55842583703804</v>
      </c>
      <c r="F22" s="250">
        <f>IF(Rent!F22=0,0,('Tenant Charges'!$I18))</f>
        <v>693.55842583703804</v>
      </c>
      <c r="G22" s="250">
        <f>IF(Rent!G22=0,0,('Tenant Charges'!$I18))</f>
        <v>693.55842583703804</v>
      </c>
      <c r="H22" s="250">
        <f>IF(Rent!H22=0,0,('Tenant Charges'!$I18))</f>
        <v>693.55842583703804</v>
      </c>
      <c r="I22" s="250">
        <f>IF(Rent!I22=0,0,('Tenant Charges'!$I18))</f>
        <v>693.55842583703804</v>
      </c>
      <c r="J22" s="250">
        <f>IF(Rent!J22=0,0,('Tenant Charges'!$I18))</f>
        <v>693.55842583703804</v>
      </c>
      <c r="K22" s="250">
        <f>IF(Rent!K22=0,0,('Tenant Charges'!$I18))</f>
        <v>693.55842583703804</v>
      </c>
      <c r="L22" s="250">
        <f>IF(Rent!L22=0,0,('Tenant Charges'!$I18))</f>
        <v>693.55842583703804</v>
      </c>
      <c r="M22" s="250">
        <f>IF(Rent!M22=0,0,('Tenant Charges'!$I18))</f>
        <v>693.55842583703804</v>
      </c>
      <c r="N22" s="250">
        <f>IF(Rent!N22=0,0,('Tenant Charges'!$I18))</f>
        <v>693.55842583703804</v>
      </c>
      <c r="O22" s="250">
        <f>IF(Rent!O22=0,0,('Tenant Charges'!$I18))</f>
        <v>693.55842583703804</v>
      </c>
      <c r="P22" s="250">
        <f>IF(Rent!P22=0,0,('Tenant Charges'!$I18))</f>
        <v>693.55842583703804</v>
      </c>
      <c r="Q22" s="69">
        <f t="shared" si="0"/>
        <v>8322.7011100444561</v>
      </c>
      <c r="R22" s="148">
        <f t="shared" si="1"/>
        <v>2.1340259256524248</v>
      </c>
      <c r="S22" s="2"/>
    </row>
    <row r="23" spans="1:19">
      <c r="A23" s="2" t="str">
        <f>Rent!A23</f>
        <v>Kachina Stained Glass</v>
      </c>
      <c r="B23" s="60">
        <f>Rent!B23</f>
        <v>101</v>
      </c>
      <c r="C23" s="61">
        <f>Rent!C23</f>
        <v>1287</v>
      </c>
      <c r="D23" s="362">
        <f t="shared" si="2"/>
        <v>1.9007812846150437E-2</v>
      </c>
      <c r="E23" s="250">
        <f>IF(Rent!E23=0,0,('Tenant Charges'!$I19))</f>
        <v>228.87428052622252</v>
      </c>
      <c r="F23" s="250">
        <f>IF(Rent!F23=0,0,('Tenant Charges'!$I19))</f>
        <v>228.87428052622252</v>
      </c>
      <c r="G23" s="250">
        <f>IF(Rent!G23=0,0,('Tenant Charges'!$I19))</f>
        <v>228.87428052622252</v>
      </c>
      <c r="H23" s="250">
        <f>IF(Rent!H23=0,0,('Tenant Charges'!$I19))</f>
        <v>228.87428052622252</v>
      </c>
      <c r="I23" s="250">
        <f>IF(Rent!I23=0,0,('Tenant Charges'!$I19))</f>
        <v>228.87428052622252</v>
      </c>
      <c r="J23" s="250">
        <f>IF(Rent!J23=0,0,('Tenant Charges'!$I19))</f>
        <v>228.87428052622252</v>
      </c>
      <c r="K23" s="250">
        <f>IF(Rent!K23=0,0,('Tenant Charges'!$I19))</f>
        <v>228.87428052622252</v>
      </c>
      <c r="L23" s="250">
        <f>IF(Rent!L23=0,0,('Tenant Charges'!$I19))</f>
        <v>228.87428052622252</v>
      </c>
      <c r="M23" s="250">
        <f>IF(Rent!M23=0,0,('Tenant Charges'!$I19))</f>
        <v>228.87428052622252</v>
      </c>
      <c r="N23" s="250">
        <f>IF(Rent!N23=0,0,('Tenant Charges'!$I19))</f>
        <v>228.87428052622252</v>
      </c>
      <c r="O23" s="250">
        <f>IF(Rent!O23=0,0,('Tenant Charges'!$I19))</f>
        <v>228.87428052622252</v>
      </c>
      <c r="P23" s="250">
        <f>IF(Rent!P23=0,0,('Tenant Charges'!$I19))</f>
        <v>228.87428052622252</v>
      </c>
      <c r="Q23" s="69">
        <f t="shared" si="0"/>
        <v>2746.4913663146708</v>
      </c>
      <c r="R23" s="148"/>
      <c r="S23" s="2"/>
    </row>
    <row r="24" spans="1:19">
      <c r="A24" s="2" t="str">
        <f>Rent!A24</f>
        <v>Zanders Creations</v>
      </c>
      <c r="B24" s="60">
        <f>Rent!B24</f>
        <v>102</v>
      </c>
      <c r="C24" s="61">
        <f>Rent!C24</f>
        <v>1639</v>
      </c>
      <c r="D24" s="362">
        <f t="shared" si="2"/>
        <v>2.420653088954201E-2</v>
      </c>
      <c r="E24" s="250">
        <f>IF(Rent!E24=0,0,('Tenant Charges'!$I20))</f>
        <v>291.47237434536032</v>
      </c>
      <c r="F24" s="250">
        <f>IF(Rent!F24=0,0,('Tenant Charges'!$I20))</f>
        <v>291.47237434536032</v>
      </c>
      <c r="G24" s="250">
        <f>IF(Rent!G24=0,0,('Tenant Charges'!$I20))</f>
        <v>291.47237434536032</v>
      </c>
      <c r="H24" s="250">
        <f>IF(Rent!H24=0,0,('Tenant Charges'!$I20))</f>
        <v>291.47237434536032</v>
      </c>
      <c r="I24" s="250">
        <f>IF(Rent!I24=0,0,('Tenant Charges'!$I20))</f>
        <v>291.47237434536032</v>
      </c>
      <c r="J24" s="250">
        <f>IF(Rent!J24=0,0,('Tenant Charges'!$I20))</f>
        <v>291.47237434536032</v>
      </c>
      <c r="K24" s="250">
        <f>IF(Rent!K24=0,0,('Tenant Charges'!$I20))</f>
        <v>291.47237434536032</v>
      </c>
      <c r="L24" s="250">
        <f>IF(Rent!L24=0,0,('Tenant Charges'!$I20))</f>
        <v>291.47237434536032</v>
      </c>
      <c r="M24" s="250">
        <f>IF(Rent!M24=0,0,('Tenant Charges'!$I20))</f>
        <v>291.47237434536032</v>
      </c>
      <c r="N24" s="250">
        <f>IF(Rent!N24=0,0,('Tenant Charges'!$I20))</f>
        <v>291.47237434536032</v>
      </c>
      <c r="O24" s="250">
        <f>IF(Rent!O24=0,0,('Tenant Charges'!$I20))</f>
        <v>291.47237434536032</v>
      </c>
      <c r="P24" s="250">
        <f>IF(Rent!P24=0,0,('Tenant Charges'!$I20))</f>
        <v>291.47237434536032</v>
      </c>
      <c r="Q24" s="69">
        <f t="shared" si="0"/>
        <v>3497.6684921443248</v>
      </c>
      <c r="R24" s="148">
        <f t="shared" si="1"/>
        <v>2.1340259256524252</v>
      </c>
      <c r="S24" s="2"/>
    </row>
    <row r="25" spans="1:19">
      <c r="A25" s="2" t="str">
        <f>Rent!A25</f>
        <v>Brightnow Dental</v>
      </c>
      <c r="B25" s="60">
        <f>Rent!B25</f>
        <v>103</v>
      </c>
      <c r="C25" s="61">
        <f>Rent!C25</f>
        <v>3600</v>
      </c>
      <c r="D25" s="362">
        <f t="shared" si="2"/>
        <v>5.3168707261959269E-2</v>
      </c>
      <c r="E25" s="250">
        <f>IF(Rent!E25=0,0,('Tenant Charges'!$I21))</f>
        <v>640.20777769572749</v>
      </c>
      <c r="F25" s="250">
        <f>IF(Rent!F25=0,0,('Tenant Charges'!$I21))</f>
        <v>640.20777769572749</v>
      </c>
      <c r="G25" s="250">
        <f>IF(Rent!G25=0,0,('Tenant Charges'!$I21))</f>
        <v>640.20777769572749</v>
      </c>
      <c r="H25" s="250">
        <f>IF(Rent!H25=0,0,('Tenant Charges'!$I21))</f>
        <v>640.20777769572749</v>
      </c>
      <c r="I25" s="250">
        <f>IF(Rent!I25=0,0,('Tenant Charges'!$I21))</f>
        <v>640.20777769572749</v>
      </c>
      <c r="J25" s="250">
        <f>IF(Rent!J25=0,0,('Tenant Charges'!$I21))</f>
        <v>640.20777769572749</v>
      </c>
      <c r="K25" s="250">
        <f>IF(Rent!K25=0,0,('Tenant Charges'!$I21))</f>
        <v>640.20777769572749</v>
      </c>
      <c r="L25" s="250">
        <f>IF(Rent!L25=0,0,('Tenant Charges'!$I21))</f>
        <v>640.20777769572749</v>
      </c>
      <c r="M25" s="250">
        <f>IF(Rent!M25=0,0,('Tenant Charges'!$I21))</f>
        <v>640.20777769572749</v>
      </c>
      <c r="N25" s="250">
        <f>IF(Rent!N25=0,0,('Tenant Charges'!$I21))</f>
        <v>640.20777769572749</v>
      </c>
      <c r="O25" s="250">
        <f>IF(Rent!O25=0,0,('Tenant Charges'!$I21))</f>
        <v>640.20777769572749</v>
      </c>
      <c r="P25" s="250">
        <f>IF(Rent!P25=0,0,('Tenant Charges'!$I21))</f>
        <v>640.20777769572749</v>
      </c>
      <c r="Q25" s="69">
        <f t="shared" si="0"/>
        <v>7682.4933323487303</v>
      </c>
      <c r="R25" s="148">
        <f t="shared" si="1"/>
        <v>2.1340259256524252</v>
      </c>
      <c r="S25" s="51"/>
    </row>
    <row r="26" spans="1:19">
      <c r="A26" s="2" t="str">
        <f>Rent!A26</f>
        <v>Carr Animal Care</v>
      </c>
      <c r="B26" s="60">
        <f>Rent!B26</f>
        <v>106</v>
      </c>
      <c r="C26" s="61">
        <f>Rent!C26</f>
        <v>1587</v>
      </c>
      <c r="D26" s="362">
        <f t="shared" si="2"/>
        <v>2.343853845131371E-2</v>
      </c>
      <c r="E26" s="250">
        <f>IF(Rent!E26=0,0,('Tenant Charges'!$I22))</f>
        <v>282.22492866753316</v>
      </c>
      <c r="F26" s="250">
        <f>IF(Rent!F26=0,0,('Tenant Charges'!$I22))</f>
        <v>282.22492866753316</v>
      </c>
      <c r="G26" s="250">
        <f>IF(Rent!G26=0,0,('Tenant Charges'!$I22))</f>
        <v>282.22492866753316</v>
      </c>
      <c r="H26" s="250">
        <f>IF(Rent!H26=0,0,('Tenant Charges'!$I22))</f>
        <v>282.22492866753316</v>
      </c>
      <c r="I26" s="250">
        <f>IF(Rent!I26=0,0,('Tenant Charges'!$I22))</f>
        <v>282.22492866753316</v>
      </c>
      <c r="J26" s="250">
        <f>IF(Rent!J26=0,0,('Tenant Charges'!$I22))</f>
        <v>282.22492866753316</v>
      </c>
      <c r="K26" s="250">
        <f>IF(Rent!K26=0,0,('Tenant Charges'!$I22))</f>
        <v>282.22492866753316</v>
      </c>
      <c r="L26" s="250">
        <f>IF(Rent!L26=0,0,('Tenant Charges'!$I22))</f>
        <v>282.22492866753316</v>
      </c>
      <c r="M26" s="250">
        <f>IF(Rent!M26=0,0,('Tenant Charges'!$I22))</f>
        <v>282.22492866753316</v>
      </c>
      <c r="N26" s="250">
        <f>IF(Rent!N26=0,0,('Tenant Charges'!$I22))</f>
        <v>282.22492866753316</v>
      </c>
      <c r="O26" s="250">
        <f>IF(Rent!O26=0,0,('Tenant Charges'!$I22))</f>
        <v>282.22492866753316</v>
      </c>
      <c r="P26" s="250">
        <f>IF(Rent!P26=0,0,('Tenant Charges'!$I22))</f>
        <v>282.22492866753316</v>
      </c>
      <c r="Q26" s="69">
        <f t="shared" si="0"/>
        <v>3386.6991440103989</v>
      </c>
      <c r="R26" s="148">
        <f t="shared" si="1"/>
        <v>2.1340259256524252</v>
      </c>
      <c r="S26" s="2"/>
    </row>
    <row r="27" spans="1:19">
      <c r="A27" s="2" t="str">
        <f>Rent!A27</f>
        <v>Razors Barber Shop</v>
      </c>
      <c r="B27" s="60">
        <f>Rent!B27</f>
        <v>107</v>
      </c>
      <c r="C27" s="61">
        <f>Rent!C27</f>
        <v>1300</v>
      </c>
      <c r="D27" s="362">
        <f t="shared" si="2"/>
        <v>1.9199810955707514E-2</v>
      </c>
      <c r="E27" s="250">
        <f>IF(Rent!E27=0,0,('Tenant Charges'!$I23))</f>
        <v>231.18614194567934</v>
      </c>
      <c r="F27" s="250">
        <f>IF(Rent!F27=0,0,('Tenant Charges'!$I23))</f>
        <v>231.18614194567934</v>
      </c>
      <c r="G27" s="250">
        <f>IF(Rent!G27=0,0,('Tenant Charges'!$I23))</f>
        <v>231.18614194567934</v>
      </c>
      <c r="H27" s="250">
        <f>IF(Rent!H27=0,0,('Tenant Charges'!$I23))</f>
        <v>231.18614194567934</v>
      </c>
      <c r="I27" s="250">
        <f>IF(Rent!I27=0,0,('Tenant Charges'!$I23))</f>
        <v>231.18614194567934</v>
      </c>
      <c r="J27" s="250">
        <f>IF(Rent!J27=0,0,('Tenant Charges'!$I23))</f>
        <v>231.18614194567934</v>
      </c>
      <c r="K27" s="250">
        <f>IF(Rent!K27=0,0,('Tenant Charges'!$I23))</f>
        <v>231.18614194567934</v>
      </c>
      <c r="L27" s="250">
        <f>IF(Rent!L27=0,0,('Tenant Charges'!$I23))</f>
        <v>231.18614194567934</v>
      </c>
      <c r="M27" s="250">
        <f>IF(Rent!M27=0,0,('Tenant Charges'!$I23))</f>
        <v>231.18614194567934</v>
      </c>
      <c r="N27" s="250">
        <f>IF(Rent!N27=0,0,('Tenant Charges'!$I23))</f>
        <v>231.18614194567934</v>
      </c>
      <c r="O27" s="250">
        <f>IF(Rent!O27=0,0,('Tenant Charges'!$I23))</f>
        <v>231.18614194567934</v>
      </c>
      <c r="P27" s="250">
        <f>IF(Rent!P27=0,0,('Tenant Charges'!$I23))</f>
        <v>231.18614194567934</v>
      </c>
      <c r="Q27" s="69">
        <f t="shared" si="0"/>
        <v>2774.2337033481526</v>
      </c>
      <c r="R27" s="148">
        <f t="shared" si="1"/>
        <v>2.1340259256524252</v>
      </c>
      <c r="S27" s="2"/>
    </row>
    <row r="28" spans="1:19">
      <c r="A28" s="2" t="str">
        <f>Rent!A28</f>
        <v>CrossFit New Strength</v>
      </c>
      <c r="B28" s="60">
        <f>Rent!B28</f>
        <v>108</v>
      </c>
      <c r="C28" s="61">
        <f>Rent!C28</f>
        <v>3524</v>
      </c>
      <c r="D28" s="362">
        <f t="shared" si="2"/>
        <v>5.2046256775317906E-2</v>
      </c>
      <c r="E28" s="250">
        <f>IF(Rent!E28=0,0,('Tenant Charges'!$I24))</f>
        <v>626.69228016659542</v>
      </c>
      <c r="F28" s="250">
        <f>IF(Rent!F28=0,0,('Tenant Charges'!$I24))</f>
        <v>626.69228016659542</v>
      </c>
      <c r="G28" s="250">
        <f>IF(Rent!G28=0,0,('Tenant Charges'!$I24))</f>
        <v>626.69228016659542</v>
      </c>
      <c r="H28" s="250">
        <f>IF(Rent!H28=0,0,('Tenant Charges'!$I24))</f>
        <v>626.69228016659542</v>
      </c>
      <c r="I28" s="250">
        <f>IF(Rent!I28=0,0,('Tenant Charges'!$I24))</f>
        <v>626.69228016659542</v>
      </c>
      <c r="J28" s="250">
        <f>IF(Rent!J28=0,0,('Tenant Charges'!$I24))</f>
        <v>626.69228016659542</v>
      </c>
      <c r="K28" s="250">
        <f>IF(Rent!K28=0,0,('Tenant Charges'!$I24))</f>
        <v>626.69228016659542</v>
      </c>
      <c r="L28" s="250">
        <f>IF(Rent!L28=0,0,('Tenant Charges'!$I24))</f>
        <v>626.69228016659542</v>
      </c>
      <c r="M28" s="250">
        <f>IF(Rent!M28=0,0,('Tenant Charges'!$I24))</f>
        <v>626.69228016659542</v>
      </c>
      <c r="N28" s="250">
        <f>IF(Rent!N28=0,0,('Tenant Charges'!$I24))</f>
        <v>626.69228016659542</v>
      </c>
      <c r="O28" s="250">
        <f>IF(Rent!O28=0,0,('Tenant Charges'!$I24))</f>
        <v>626.69228016659542</v>
      </c>
      <c r="P28" s="250">
        <f>IF(Rent!P28=0,0,('Tenant Charges'!$I24))</f>
        <v>626.69228016659542</v>
      </c>
      <c r="Q28" s="69">
        <f t="shared" si="0"/>
        <v>7520.3073619991437</v>
      </c>
      <c r="R28" s="148">
        <f t="shared" si="1"/>
        <v>2.1340259256524243</v>
      </c>
      <c r="S28" s="2"/>
    </row>
    <row r="29" spans="1:19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f t="shared" si="2"/>
        <v>4.4410639649086529E-2</v>
      </c>
      <c r="E29" s="250">
        <f>IF(Rent!E29=0,0,('Tenant Charges'!$I25))</f>
        <v>0</v>
      </c>
      <c r="F29" s="250">
        <f>IF(Rent!F29=0,0,('Tenant Charges'!$I25))</f>
        <v>0</v>
      </c>
      <c r="G29" s="250">
        <f>IF(Rent!G29=0,0,('Tenant Charges'!$I25))</f>
        <v>0</v>
      </c>
      <c r="H29" s="250">
        <f>IF(Rent!H29=0,0,('Tenant Charges'!$I25))</f>
        <v>0</v>
      </c>
      <c r="I29" s="250">
        <f>IF(Rent!I29=0,0,('Tenant Charges'!$I25))</f>
        <v>0</v>
      </c>
      <c r="J29" s="250">
        <f>IF(Rent!J29=0,0,('Tenant Charges'!$I25))</f>
        <v>0</v>
      </c>
      <c r="K29" s="250">
        <f>IF(Rent!K29=0,0,('Tenant Charges'!$I25))</f>
        <v>534.75132986973665</v>
      </c>
      <c r="L29" s="250">
        <f>IF(Rent!L29=0,0,('Tenant Charges'!$I25))</f>
        <v>534.75132986973665</v>
      </c>
      <c r="M29" s="250">
        <f>IF(Rent!M29=0,0,('Tenant Charges'!$I25))</f>
        <v>534.75132986973665</v>
      </c>
      <c r="N29" s="250">
        <f>IF(Rent!N29=0,0,('Tenant Charges'!$I25))</f>
        <v>534.75132986973665</v>
      </c>
      <c r="O29" s="250">
        <f>IF(Rent!O29=0,0,('Tenant Charges'!$I25))</f>
        <v>534.75132986973665</v>
      </c>
      <c r="P29" s="250">
        <f>IF(Rent!P29=0,0,('Tenant Charges'!$I25))</f>
        <v>534.75132986973665</v>
      </c>
      <c r="Q29" s="69">
        <f t="shared" si="0"/>
        <v>3208.5079792184201</v>
      </c>
      <c r="R29" s="148"/>
      <c r="S29" s="2"/>
    </row>
    <row r="30" spans="1:19">
      <c r="A30" s="2"/>
      <c r="B30" s="60"/>
      <c r="C30" s="61"/>
      <c r="D30" s="362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69"/>
      <c r="R30" s="148"/>
      <c r="S30" s="2"/>
    </row>
    <row r="31" spans="1:19">
      <c r="A31" s="2"/>
      <c r="B31" s="60"/>
      <c r="C31" s="61"/>
      <c r="D31" s="362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69"/>
      <c r="R31" s="148"/>
      <c r="S31" s="2"/>
    </row>
    <row r="32" spans="1:19">
      <c r="A32" s="2"/>
      <c r="B32" s="60"/>
      <c r="C32" s="61"/>
      <c r="D32" s="362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69"/>
      <c r="R32" s="148"/>
      <c r="S32" s="2"/>
    </row>
    <row r="33" spans="1:19">
      <c r="A33" s="2"/>
      <c r="B33" s="60"/>
      <c r="C33" s="61"/>
      <c r="D33" s="362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69"/>
      <c r="R33" s="148"/>
      <c r="S33" s="2"/>
    </row>
    <row r="34" spans="1:19">
      <c r="A34" s="2"/>
      <c r="B34" s="2"/>
      <c r="C34" s="61"/>
      <c r="D34" s="362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2"/>
      <c r="S34" s="2"/>
    </row>
    <row r="35" spans="1:19">
      <c r="A35" s="2" t="s">
        <v>47</v>
      </c>
      <c r="B35" s="2"/>
      <c r="C35" s="61" t="s">
        <v>47</v>
      </c>
      <c r="D35" s="362" t="s">
        <v>47</v>
      </c>
      <c r="E35" s="69" t="s">
        <v>47</v>
      </c>
      <c r="F35" s="69" t="s">
        <v>47</v>
      </c>
      <c r="G35" s="69" t="s">
        <v>47</v>
      </c>
      <c r="H35" s="69" t="s">
        <v>47</v>
      </c>
      <c r="I35" s="69" t="s">
        <v>47</v>
      </c>
      <c r="J35" s="69" t="s">
        <v>47</v>
      </c>
      <c r="K35" s="69" t="s">
        <v>47</v>
      </c>
      <c r="L35" s="69" t="s">
        <v>47</v>
      </c>
      <c r="M35" s="69" t="s">
        <v>47</v>
      </c>
      <c r="N35" s="69" t="s">
        <v>47</v>
      </c>
      <c r="O35" s="69" t="s">
        <v>47</v>
      </c>
      <c r="P35" s="69" t="s">
        <v>47</v>
      </c>
      <c r="Q35" s="69" t="s">
        <v>47</v>
      </c>
      <c r="R35" s="2"/>
      <c r="S35" s="2"/>
    </row>
    <row r="36" spans="1:19">
      <c r="A36" s="360"/>
      <c r="B36" s="364"/>
      <c r="C36" s="365"/>
      <c r="D36" s="365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6"/>
      <c r="Q36" s="367"/>
      <c r="R36" s="2"/>
      <c r="S36" s="2"/>
    </row>
    <row r="37" spans="1:19">
      <c r="A37" s="339" t="s">
        <v>169</v>
      </c>
      <c r="B37" s="368"/>
      <c r="C37" s="341">
        <f>SUM(C14:C36)</f>
        <v>67709</v>
      </c>
      <c r="D37" s="369">
        <f>SUM(D14:D36)</f>
        <v>1</v>
      </c>
      <c r="E37" s="342">
        <f>SUM(E14:E29)</f>
        <v>11506.312120130264</v>
      </c>
      <c r="F37" s="342">
        <f t="shared" ref="F37:P37" si="3">SUM(F14:F29)</f>
        <v>11506.312120130264</v>
      </c>
      <c r="G37" s="342">
        <f t="shared" si="3"/>
        <v>11506.312120130264</v>
      </c>
      <c r="H37" s="342">
        <f t="shared" si="3"/>
        <v>11506.312120130264</v>
      </c>
      <c r="I37" s="342">
        <f t="shared" si="3"/>
        <v>11506.312120130264</v>
      </c>
      <c r="J37" s="342">
        <f t="shared" si="3"/>
        <v>11506.312120130264</v>
      </c>
      <c r="K37" s="342">
        <f t="shared" si="3"/>
        <v>12041.06345</v>
      </c>
      <c r="L37" s="342">
        <f t="shared" si="3"/>
        <v>12041.06345</v>
      </c>
      <c r="M37" s="342">
        <f t="shared" si="3"/>
        <v>12041.06345</v>
      </c>
      <c r="N37" s="342">
        <f t="shared" si="3"/>
        <v>12041.06345</v>
      </c>
      <c r="O37" s="342">
        <f t="shared" si="3"/>
        <v>12041.06345</v>
      </c>
      <c r="P37" s="342">
        <f t="shared" si="3"/>
        <v>12041.06345</v>
      </c>
      <c r="Q37" s="342">
        <f>SUM(Q14:Q29)</f>
        <v>141284.25342078161</v>
      </c>
      <c r="R37" s="2"/>
      <c r="S37" s="2"/>
    </row>
    <row r="38" spans="1:19">
      <c r="A38" s="370"/>
      <c r="B38" s="371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3"/>
      <c r="R38" s="2"/>
      <c r="S38" s="2"/>
    </row>
    <row r="39" spans="1:19">
      <c r="A39" s="2"/>
      <c r="B39" s="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74" t="s">
        <v>374</v>
      </c>
      <c r="P39" s="364"/>
      <c r="Q39" s="375">
        <f>Summary!O80</f>
        <v>144492.76140000002</v>
      </c>
      <c r="R39" s="2"/>
      <c r="S39" s="2"/>
    </row>
    <row r="40" spans="1:19">
      <c r="A40" s="2"/>
      <c r="B40" s="2"/>
      <c r="C40" s="39"/>
      <c r="D40" s="362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76" t="s">
        <v>357</v>
      </c>
      <c r="P40" s="371"/>
      <c r="Q40" s="377">
        <f>Q37/Q39</f>
        <v>0.97779468017545679</v>
      </c>
      <c r="R40" s="2"/>
      <c r="S40" s="249" t="s">
        <v>375</v>
      </c>
    </row>
    <row r="41" spans="1:19">
      <c r="A41" s="2"/>
      <c r="B41" s="2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79"/>
      <c r="R41" s="2"/>
      <c r="S41" s="2"/>
    </row>
    <row r="42" spans="1:19">
      <c r="A42" s="2"/>
      <c r="B42" s="2"/>
      <c r="C42" s="2"/>
      <c r="D42" s="24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4" spans="1:19">
      <c r="A44" s="2"/>
      <c r="B44" s="2"/>
      <c r="C44" s="2"/>
      <c r="D44" s="382" t="s">
        <v>347</v>
      </c>
      <c r="E44" s="380">
        <f>E37-Summary!C19</f>
        <v>0</v>
      </c>
      <c r="F44" s="349">
        <f>F37-Summary!D19</f>
        <v>0</v>
      </c>
      <c r="G44" s="349">
        <f>G37-Summary!E19</f>
        <v>0</v>
      </c>
      <c r="H44" s="349">
        <f>H37-Summary!F19</f>
        <v>0</v>
      </c>
      <c r="I44" s="349">
        <f>I37-Summary!G19</f>
        <v>0</v>
      </c>
      <c r="J44" s="349">
        <f>J37-Summary!H19</f>
        <v>0</v>
      </c>
      <c r="K44" s="349">
        <f>K37-Summary!I19</f>
        <v>0</v>
      </c>
      <c r="L44" s="349">
        <f>L37-Summary!J19</f>
        <v>0</v>
      </c>
      <c r="M44" s="349">
        <f>M37-Summary!K19</f>
        <v>0</v>
      </c>
      <c r="N44" s="349">
        <f>N37-Summary!L19</f>
        <v>0</v>
      </c>
      <c r="O44" s="349">
        <f>O37-Summary!M19</f>
        <v>0</v>
      </c>
      <c r="P44" s="350">
        <f>P37-Summary!N19</f>
        <v>0</v>
      </c>
      <c r="Q44" s="2"/>
      <c r="R44" s="2"/>
      <c r="S44" s="2"/>
    </row>
  </sheetData>
  <mergeCells count="5"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5" scale="85" firstPageNumber="6" orientation="landscape" useFirstPageNumber="1" r:id="rId1"/>
  <headerFooter alignWithMargins="0">
    <oddFooter>&amp;C&amp;8Page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AAFD-4F13-4779-97D4-C21D8C977C38}">
  <sheetPr codeName="Sheet10">
    <pageSetUpPr fitToPage="1"/>
  </sheetPr>
  <dimension ref="A1:S45"/>
  <sheetViews>
    <sheetView topLeftCell="A11" zoomScale="85" zoomScaleNormal="85" zoomScaleSheetLayoutView="140" workbookViewId="0">
      <selection activeCell="D28" sqref="D28"/>
    </sheetView>
  </sheetViews>
  <sheetFormatPr defaultColWidth="9.42578125" defaultRowHeight="15.4"/>
  <cols>
    <col min="1" max="1" width="32.42578125" style="89" customWidth="1"/>
    <col min="2" max="2" width="9.42578125" style="89" bestFit="1" customWidth="1"/>
    <col min="3" max="3" width="13.42578125" style="89" customWidth="1"/>
    <col min="4" max="4" width="12" style="89" customWidth="1"/>
    <col min="5" max="5" width="11.42578125" style="89" customWidth="1"/>
    <col min="6" max="6" width="10.42578125" style="89" customWidth="1"/>
    <col min="7" max="7" width="9.42578125" style="89" bestFit="1" customWidth="1"/>
    <col min="8" max="8" width="10.42578125" style="89" customWidth="1"/>
    <col min="9" max="10" width="9.42578125" style="89" bestFit="1" customWidth="1"/>
    <col min="11" max="11" width="10.42578125" style="89" customWidth="1"/>
    <col min="12" max="13" width="9.42578125" style="89" bestFit="1" customWidth="1"/>
    <col min="14" max="14" width="10.42578125" style="89" customWidth="1"/>
    <col min="15" max="16" width="9.42578125" style="89" bestFit="1" customWidth="1"/>
    <col min="17" max="17" width="11.42578125" style="89" bestFit="1" customWidth="1"/>
    <col min="18" max="18" width="9.42578125" style="89" bestFit="1" customWidth="1"/>
    <col min="19" max="16384" width="9.42578125" style="89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 t="str">
        <f>Summary!T4</f>
        <v>Date Revised:</v>
      </c>
      <c r="Q1" s="40">
        <f ca="1">Summary!U4</f>
        <v>46269</v>
      </c>
      <c r="R1" s="2">
        <f>Summary!W4</f>
        <v>0</v>
      </c>
    </row>
    <row r="2" spans="1:18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</row>
    <row r="3" spans="1:18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</row>
    <row r="4" spans="1:18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</row>
    <row r="5" spans="1:18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</row>
    <row r="6" spans="1:18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</row>
    <row r="7" spans="1:18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2"/>
    </row>
    <row r="9" spans="1:18">
      <c r="A9" s="44" t="s">
        <v>15</v>
      </c>
      <c r="B9" s="44" t="s">
        <v>316</v>
      </c>
      <c r="C9" s="44" t="s">
        <v>165</v>
      </c>
      <c r="D9" s="44" t="s">
        <v>365</v>
      </c>
      <c r="E9" s="44" t="s">
        <v>129</v>
      </c>
      <c r="F9" s="44" t="s">
        <v>130</v>
      </c>
      <c r="G9" s="44" t="s">
        <v>131</v>
      </c>
      <c r="H9" s="44" t="s">
        <v>132</v>
      </c>
      <c r="I9" s="44" t="s">
        <v>133</v>
      </c>
      <c r="J9" s="44" t="s">
        <v>134</v>
      </c>
      <c r="K9" s="44" t="s">
        <v>135</v>
      </c>
      <c r="L9" s="44" t="s">
        <v>136</v>
      </c>
      <c r="M9" s="44" t="s">
        <v>137</v>
      </c>
      <c r="N9" s="44" t="s">
        <v>138</v>
      </c>
      <c r="O9" s="44" t="s">
        <v>139</v>
      </c>
      <c r="P9" s="44" t="s">
        <v>140</v>
      </c>
      <c r="Q9" s="44" t="s">
        <v>169</v>
      </c>
      <c r="R9" s="2"/>
    </row>
    <row r="10" spans="1:18">
      <c r="A10" s="45"/>
      <c r="B10" s="46" t="s">
        <v>318</v>
      </c>
      <c r="C10" s="46" t="s">
        <v>319</v>
      </c>
      <c r="D10" s="46" t="s">
        <v>366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2"/>
    </row>
    <row r="12" spans="1:18">
      <c r="A12" s="253" t="s">
        <v>373</v>
      </c>
      <c r="B12" s="2"/>
      <c r="C12" s="116"/>
      <c r="D12" s="383"/>
      <c r="E12" s="119"/>
      <c r="F12" s="119"/>
      <c r="G12" s="119"/>
      <c r="H12" s="119"/>
      <c r="I12" s="119"/>
      <c r="J12" s="229"/>
      <c r="K12" s="119"/>
      <c r="L12" s="119"/>
      <c r="M12" s="119"/>
      <c r="N12" s="119"/>
      <c r="O12" s="119"/>
      <c r="P12" s="119"/>
      <c r="Q12" s="119"/>
      <c r="R12" s="2"/>
    </row>
    <row r="13" spans="1:18">
      <c r="A13" s="51"/>
      <c r="B13" s="2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"/>
    </row>
    <row r="14" spans="1:18">
      <c r="A14" s="51" t="str">
        <f>Rent!A14</f>
        <v>EOS Fitness</v>
      </c>
      <c r="B14" s="60" t="str">
        <f>Rent!B14</f>
        <v>Major A</v>
      </c>
      <c r="C14" s="61">
        <f>Rent!C14</f>
        <v>35000</v>
      </c>
      <c r="D14" s="362">
        <f>C14/$C$37</f>
        <v>0.51691798726904847</v>
      </c>
      <c r="E14" s="250">
        <v>0</v>
      </c>
      <c r="F14" s="250">
        <f>E14</f>
        <v>0</v>
      </c>
      <c r="G14" s="250">
        <f t="shared" ref="G14:P14" si="0">F14</f>
        <v>0</v>
      </c>
      <c r="H14" s="250">
        <f t="shared" si="0"/>
        <v>0</v>
      </c>
      <c r="I14" s="250">
        <f t="shared" si="0"/>
        <v>0</v>
      </c>
      <c r="J14" s="250">
        <f t="shared" si="0"/>
        <v>0</v>
      </c>
      <c r="K14" s="250">
        <f t="shared" si="0"/>
        <v>0</v>
      </c>
      <c r="L14" s="250">
        <f t="shared" si="0"/>
        <v>0</v>
      </c>
      <c r="M14" s="250">
        <f t="shared" si="0"/>
        <v>0</v>
      </c>
      <c r="N14" s="250">
        <f t="shared" si="0"/>
        <v>0</v>
      </c>
      <c r="O14" s="250">
        <f t="shared" si="0"/>
        <v>0</v>
      </c>
      <c r="P14" s="250">
        <f t="shared" si="0"/>
        <v>0</v>
      </c>
      <c r="Q14" s="69">
        <f>SUM(E14:P14)</f>
        <v>0</v>
      </c>
      <c r="R14" s="148"/>
    </row>
    <row r="15" spans="1:18">
      <c r="A15" s="2" t="str">
        <f>Rent!A15</f>
        <v>Third Pasrty MVS</v>
      </c>
      <c r="B15" s="60" t="str">
        <f>Rent!B15</f>
        <v>B101</v>
      </c>
      <c r="C15" s="61">
        <f>Rent!C15</f>
        <v>3000</v>
      </c>
      <c r="D15" s="362">
        <f>C15/$C$37</f>
        <v>4.4307256051632722E-2</v>
      </c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69">
        <f t="shared" ref="Q15:Q33" si="1">SUM(E15:P15)</f>
        <v>0</v>
      </c>
      <c r="R15" s="148">
        <f t="shared" ref="R15:R28" si="2">Q15/C15</f>
        <v>0</v>
      </c>
    </row>
    <row r="16" spans="1:18">
      <c r="A16" s="2" t="str">
        <f>Rent!A16</f>
        <v xml:space="preserve">Sally Beauty Supply </v>
      </c>
      <c r="B16" s="60" t="str">
        <f>Rent!B16</f>
        <v>B103</v>
      </c>
      <c r="C16" s="61">
        <f>Rent!C16</f>
        <v>1625</v>
      </c>
      <c r="D16" s="362">
        <f t="shared" ref="D16:D29" si="3">C16/$C$37</f>
        <v>2.3999763694634392E-2</v>
      </c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69">
        <f t="shared" si="1"/>
        <v>0</v>
      </c>
      <c r="R16" s="148"/>
    </row>
    <row r="17" spans="1:19">
      <c r="A17" s="2" t="str">
        <f>Rent!A17</f>
        <v>Wild Side Smoke Shop</v>
      </c>
      <c r="B17" s="60" t="str">
        <f>Rent!B17</f>
        <v>B104</v>
      </c>
      <c r="C17" s="61">
        <f>Rent!C17</f>
        <v>1400</v>
      </c>
      <c r="D17" s="362">
        <f t="shared" si="3"/>
        <v>2.0676719490761938E-2</v>
      </c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69">
        <f t="shared" si="1"/>
        <v>0</v>
      </c>
      <c r="R17" s="148">
        <f t="shared" si="2"/>
        <v>0</v>
      </c>
      <c r="S17" s="2"/>
    </row>
    <row r="18" spans="1:19">
      <c r="A18" s="2" t="str">
        <f>Rent!A18</f>
        <v>Green Spa, LLC</v>
      </c>
      <c r="B18" s="60" t="str">
        <f>Rent!B18</f>
        <v>B105</v>
      </c>
      <c r="C18" s="61">
        <f>Rent!C18</f>
        <v>1112</v>
      </c>
      <c r="D18" s="362">
        <f t="shared" si="3"/>
        <v>1.6423222909805194E-2</v>
      </c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69">
        <f t="shared" si="1"/>
        <v>0</v>
      </c>
      <c r="R18" s="148">
        <f t="shared" si="2"/>
        <v>0</v>
      </c>
      <c r="S18" s="2"/>
    </row>
    <row r="19" spans="1:19">
      <c r="A19" s="2" t="str">
        <f>Rent!A19</f>
        <v>AT&amp;T Mobility</v>
      </c>
      <c r="B19" s="60" t="str">
        <f>Rent!B19</f>
        <v>B106</v>
      </c>
      <c r="C19" s="61">
        <f>Rent!C19</f>
        <v>2494</v>
      </c>
      <c r="D19" s="362">
        <f t="shared" si="3"/>
        <v>3.6834098864257335E-2</v>
      </c>
      <c r="E19" s="250">
        <v>500</v>
      </c>
      <c r="F19" s="250">
        <f>E19</f>
        <v>500</v>
      </c>
      <c r="G19" s="250">
        <f t="shared" ref="G19:P19" si="4">F19</f>
        <v>500</v>
      </c>
      <c r="H19" s="250">
        <f t="shared" si="4"/>
        <v>500</v>
      </c>
      <c r="I19" s="250">
        <f t="shared" si="4"/>
        <v>500</v>
      </c>
      <c r="J19" s="250">
        <f t="shared" si="4"/>
        <v>500</v>
      </c>
      <c r="K19" s="250">
        <f t="shared" si="4"/>
        <v>500</v>
      </c>
      <c r="L19" s="250">
        <f t="shared" si="4"/>
        <v>500</v>
      </c>
      <c r="M19" s="250">
        <f t="shared" si="4"/>
        <v>500</v>
      </c>
      <c r="N19" s="250">
        <f t="shared" si="4"/>
        <v>500</v>
      </c>
      <c r="O19" s="250">
        <f t="shared" si="4"/>
        <v>500</v>
      </c>
      <c r="P19" s="250">
        <f t="shared" si="4"/>
        <v>500</v>
      </c>
      <c r="Q19" s="69">
        <f t="shared" si="1"/>
        <v>6000</v>
      </c>
      <c r="R19" s="148">
        <f t="shared" si="2"/>
        <v>2.4057738572574179</v>
      </c>
      <c r="S19" s="2"/>
    </row>
    <row r="20" spans="1:19">
      <c r="A20" s="2" t="str">
        <f>Rent!A20</f>
        <v>Discount Nutrition</v>
      </c>
      <c r="B20" s="60" t="str">
        <f>Rent!B20</f>
        <v>B108</v>
      </c>
      <c r="C20" s="61">
        <f>Rent!C20</f>
        <v>1500</v>
      </c>
      <c r="D20" s="362">
        <f t="shared" si="3"/>
        <v>2.2153628025816361E-2</v>
      </c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69">
        <f t="shared" si="1"/>
        <v>0</v>
      </c>
      <c r="R20" s="148">
        <f t="shared" si="2"/>
        <v>0</v>
      </c>
      <c r="S20" s="2"/>
    </row>
    <row r="21" spans="1:19">
      <c r="A21" s="2" t="str">
        <f>Rent!A21</f>
        <v>Adapt Chiropractic</v>
      </c>
      <c r="B21" s="60" t="str">
        <f>Rent!B21</f>
        <v>B109</v>
      </c>
      <c r="C21" s="61">
        <f>Rent!C21</f>
        <v>1734</v>
      </c>
      <c r="D21" s="362">
        <f t="shared" si="3"/>
        <v>2.5609593997843714E-2</v>
      </c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69">
        <f t="shared" si="1"/>
        <v>0</v>
      </c>
      <c r="R21" s="148">
        <f t="shared" si="2"/>
        <v>0</v>
      </c>
      <c r="S21" s="2"/>
    </row>
    <row r="22" spans="1:19">
      <c r="A22" s="2" t="str">
        <f>Rent!A22</f>
        <v>Speakeasy Suites</v>
      </c>
      <c r="B22" s="60" t="str">
        <f>Rent!B22</f>
        <v>B111</v>
      </c>
      <c r="C22" s="61">
        <f>Rent!C22</f>
        <v>3900</v>
      </c>
      <c r="D22" s="362">
        <f t="shared" si="3"/>
        <v>5.7599432867122539E-2</v>
      </c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69">
        <f t="shared" si="1"/>
        <v>0</v>
      </c>
      <c r="R22" s="148">
        <f t="shared" si="2"/>
        <v>0</v>
      </c>
      <c r="S22" s="2"/>
    </row>
    <row r="23" spans="1:19">
      <c r="A23" s="2" t="str">
        <f>Rent!A23</f>
        <v>Kachina Stained Glass</v>
      </c>
      <c r="B23" s="60">
        <f>Rent!B23</f>
        <v>101</v>
      </c>
      <c r="C23" s="61">
        <f>Rent!C23</f>
        <v>1287</v>
      </c>
      <c r="D23" s="362">
        <f t="shared" si="3"/>
        <v>1.9007812846150437E-2</v>
      </c>
      <c r="E23" s="250">
        <v>70.83</v>
      </c>
      <c r="F23" s="250">
        <f>E23</f>
        <v>70.83</v>
      </c>
      <c r="G23" s="250">
        <f t="shared" ref="G23:P23" si="5">F23</f>
        <v>70.83</v>
      </c>
      <c r="H23" s="250">
        <f t="shared" si="5"/>
        <v>70.83</v>
      </c>
      <c r="I23" s="250">
        <f t="shared" si="5"/>
        <v>70.83</v>
      </c>
      <c r="J23" s="250">
        <f t="shared" si="5"/>
        <v>70.83</v>
      </c>
      <c r="K23" s="250">
        <f t="shared" si="5"/>
        <v>70.83</v>
      </c>
      <c r="L23" s="250">
        <f t="shared" si="5"/>
        <v>70.83</v>
      </c>
      <c r="M23" s="250">
        <f t="shared" si="5"/>
        <v>70.83</v>
      </c>
      <c r="N23" s="250">
        <f t="shared" si="5"/>
        <v>70.83</v>
      </c>
      <c r="O23" s="250">
        <f t="shared" si="5"/>
        <v>70.83</v>
      </c>
      <c r="P23" s="250">
        <f t="shared" si="5"/>
        <v>70.83</v>
      </c>
      <c r="Q23" s="69">
        <f t="shared" si="1"/>
        <v>849.96000000000015</v>
      </c>
      <c r="R23" s="148"/>
      <c r="S23" s="2"/>
    </row>
    <row r="24" spans="1:19">
      <c r="A24" s="2" t="str">
        <f>Rent!A24</f>
        <v>Zanders Creations</v>
      </c>
      <c r="B24" s="60">
        <f>Rent!B24</f>
        <v>102</v>
      </c>
      <c r="C24" s="61">
        <f>Rent!C24</f>
        <v>1639</v>
      </c>
      <c r="D24" s="362">
        <f t="shared" si="3"/>
        <v>2.420653088954201E-2</v>
      </c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69">
        <f t="shared" si="1"/>
        <v>0</v>
      </c>
      <c r="R24" s="148">
        <f t="shared" si="2"/>
        <v>0</v>
      </c>
      <c r="S24" s="2"/>
    </row>
    <row r="25" spans="1:19">
      <c r="A25" s="51" t="str">
        <f>Rent!A25</f>
        <v>Brightnow Dental</v>
      </c>
      <c r="B25" s="60">
        <f>Rent!B25</f>
        <v>103</v>
      </c>
      <c r="C25" s="61">
        <f>Rent!C25</f>
        <v>3600</v>
      </c>
      <c r="D25" s="362">
        <f t="shared" si="3"/>
        <v>5.3168707261959269E-2</v>
      </c>
      <c r="E25" s="250">
        <v>500</v>
      </c>
      <c r="F25" s="250">
        <f>E25</f>
        <v>500</v>
      </c>
      <c r="G25" s="250">
        <f t="shared" ref="G25:P25" si="6">F25</f>
        <v>500</v>
      </c>
      <c r="H25" s="250">
        <f t="shared" si="6"/>
        <v>500</v>
      </c>
      <c r="I25" s="250">
        <f t="shared" si="6"/>
        <v>500</v>
      </c>
      <c r="J25" s="250">
        <f t="shared" si="6"/>
        <v>500</v>
      </c>
      <c r="K25" s="250">
        <f t="shared" si="6"/>
        <v>500</v>
      </c>
      <c r="L25" s="250">
        <f t="shared" si="6"/>
        <v>500</v>
      </c>
      <c r="M25" s="250">
        <f t="shared" si="6"/>
        <v>500</v>
      </c>
      <c r="N25" s="250">
        <f t="shared" si="6"/>
        <v>500</v>
      </c>
      <c r="O25" s="250">
        <f t="shared" si="6"/>
        <v>500</v>
      </c>
      <c r="P25" s="250">
        <f t="shared" si="6"/>
        <v>500</v>
      </c>
      <c r="Q25" s="69">
        <f t="shared" si="1"/>
        <v>6000</v>
      </c>
      <c r="R25" s="148">
        <f t="shared" si="2"/>
        <v>1.6666666666666667</v>
      </c>
      <c r="S25" s="51"/>
    </row>
    <row r="26" spans="1:19">
      <c r="A26" s="2" t="str">
        <f>Rent!A26</f>
        <v>Carr Animal Care</v>
      </c>
      <c r="B26" s="60">
        <f>Rent!B26</f>
        <v>106</v>
      </c>
      <c r="C26" s="61">
        <f>Rent!C26</f>
        <v>1587</v>
      </c>
      <c r="D26" s="362">
        <f t="shared" si="3"/>
        <v>2.343853845131371E-2</v>
      </c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69">
        <f t="shared" si="1"/>
        <v>0</v>
      </c>
      <c r="R26" s="148">
        <f t="shared" si="2"/>
        <v>0</v>
      </c>
      <c r="S26" s="2"/>
    </row>
    <row r="27" spans="1:19">
      <c r="A27" s="2" t="str">
        <f>Rent!A27</f>
        <v>Razors Barber Shop</v>
      </c>
      <c r="B27" s="60">
        <f>Rent!B27</f>
        <v>107</v>
      </c>
      <c r="C27" s="61">
        <f>Rent!C27</f>
        <v>1300</v>
      </c>
      <c r="D27" s="362">
        <f t="shared" si="3"/>
        <v>1.9199810955707514E-2</v>
      </c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69">
        <f t="shared" si="1"/>
        <v>0</v>
      </c>
      <c r="R27" s="148">
        <f t="shared" si="2"/>
        <v>0</v>
      </c>
      <c r="S27" s="2"/>
    </row>
    <row r="28" spans="1:19">
      <c r="A28" s="2" t="str">
        <f>Rent!A28</f>
        <v>CrossFit New Strength</v>
      </c>
      <c r="B28" s="60">
        <f>Rent!B28</f>
        <v>108</v>
      </c>
      <c r="C28" s="61">
        <f>Rent!C28</f>
        <v>3524</v>
      </c>
      <c r="D28" s="362">
        <f t="shared" si="3"/>
        <v>5.2046256775317906E-2</v>
      </c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69">
        <f t="shared" si="1"/>
        <v>0</v>
      </c>
      <c r="R28" s="148">
        <f t="shared" si="2"/>
        <v>0</v>
      </c>
      <c r="S28" s="2"/>
    </row>
    <row r="29" spans="1:19">
      <c r="A29" s="2" t="str">
        <f>Rent!A29</f>
        <v>Vacant (Time Out Bar)</v>
      </c>
      <c r="B29" s="60">
        <f>Rent!B29</f>
        <v>111</v>
      </c>
      <c r="C29" s="61">
        <f>Rent!C29</f>
        <v>3007</v>
      </c>
      <c r="D29" s="362">
        <f t="shared" si="3"/>
        <v>4.4410639649086529E-2</v>
      </c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69">
        <f t="shared" si="1"/>
        <v>0</v>
      </c>
      <c r="R29" s="148"/>
      <c r="S29" s="2"/>
    </row>
    <row r="30" spans="1:19">
      <c r="A30" s="2"/>
      <c r="B30" s="60"/>
      <c r="C30" s="61"/>
      <c r="D30" s="362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69">
        <f t="shared" si="1"/>
        <v>0</v>
      </c>
      <c r="R30" s="148"/>
      <c r="S30" s="2"/>
    </row>
    <row r="31" spans="1:19">
      <c r="A31" s="2" t="s">
        <v>87</v>
      </c>
      <c r="B31" s="60"/>
      <c r="C31" s="61" t="s">
        <v>376</v>
      </c>
      <c r="D31" s="362"/>
      <c r="E31" s="250">
        <v>2000</v>
      </c>
      <c r="F31" s="250">
        <f>E31</f>
        <v>2000</v>
      </c>
      <c r="G31" s="250">
        <f t="shared" ref="G31:P31" si="7">F31</f>
        <v>2000</v>
      </c>
      <c r="H31" s="250">
        <f t="shared" si="7"/>
        <v>2000</v>
      </c>
      <c r="I31" s="250">
        <f t="shared" si="7"/>
        <v>2000</v>
      </c>
      <c r="J31" s="250">
        <f t="shared" si="7"/>
        <v>2000</v>
      </c>
      <c r="K31" s="250">
        <f t="shared" si="7"/>
        <v>2000</v>
      </c>
      <c r="L31" s="250">
        <f t="shared" si="7"/>
        <v>2000</v>
      </c>
      <c r="M31" s="250">
        <f t="shared" si="7"/>
        <v>2000</v>
      </c>
      <c r="N31" s="250">
        <f t="shared" si="7"/>
        <v>2000</v>
      </c>
      <c r="O31" s="250">
        <f t="shared" si="7"/>
        <v>2000</v>
      </c>
      <c r="P31" s="250">
        <f t="shared" si="7"/>
        <v>2000</v>
      </c>
      <c r="Q31" s="69">
        <f t="shared" si="1"/>
        <v>24000</v>
      </c>
      <c r="R31" s="148"/>
      <c r="S31" s="2"/>
    </row>
    <row r="32" spans="1:19">
      <c r="A32" s="2" t="s">
        <v>60</v>
      </c>
      <c r="B32" s="60"/>
      <c r="C32" s="61" t="s">
        <v>376</v>
      </c>
      <c r="D32" s="362"/>
      <c r="E32" s="250">
        <v>1500</v>
      </c>
      <c r="F32" s="250">
        <f>E32</f>
        <v>1500</v>
      </c>
      <c r="G32" s="250">
        <f t="shared" ref="G32:P33" si="8">F32</f>
        <v>1500</v>
      </c>
      <c r="H32" s="250">
        <f t="shared" si="8"/>
        <v>1500</v>
      </c>
      <c r="I32" s="250">
        <f t="shared" si="8"/>
        <v>1500</v>
      </c>
      <c r="J32" s="250">
        <f t="shared" si="8"/>
        <v>1500</v>
      </c>
      <c r="K32" s="250">
        <f t="shared" si="8"/>
        <v>1500</v>
      </c>
      <c r="L32" s="250">
        <f t="shared" si="8"/>
        <v>1500</v>
      </c>
      <c r="M32" s="250">
        <f t="shared" si="8"/>
        <v>1500</v>
      </c>
      <c r="N32" s="250">
        <f t="shared" si="8"/>
        <v>1500</v>
      </c>
      <c r="O32" s="250">
        <f t="shared" si="8"/>
        <v>1500</v>
      </c>
      <c r="P32" s="250">
        <f t="shared" si="8"/>
        <v>1500</v>
      </c>
      <c r="Q32" s="69">
        <f t="shared" si="1"/>
        <v>18000</v>
      </c>
      <c r="R32" s="148"/>
      <c r="S32" s="2"/>
    </row>
    <row r="33" spans="1:18">
      <c r="A33" s="2" t="s">
        <v>35</v>
      </c>
      <c r="B33" s="60"/>
      <c r="C33" s="61" t="s">
        <v>376</v>
      </c>
      <c r="D33" s="362"/>
      <c r="E33" s="250">
        <v>15</v>
      </c>
      <c r="F33" s="250">
        <f>E33</f>
        <v>15</v>
      </c>
      <c r="G33" s="250">
        <f t="shared" si="8"/>
        <v>15</v>
      </c>
      <c r="H33" s="250">
        <f t="shared" si="8"/>
        <v>15</v>
      </c>
      <c r="I33" s="250">
        <f t="shared" si="8"/>
        <v>15</v>
      </c>
      <c r="J33" s="250">
        <f t="shared" si="8"/>
        <v>15</v>
      </c>
      <c r="K33" s="250">
        <f t="shared" si="8"/>
        <v>15</v>
      </c>
      <c r="L33" s="250">
        <f t="shared" si="8"/>
        <v>15</v>
      </c>
      <c r="M33" s="250">
        <f t="shared" si="8"/>
        <v>15</v>
      </c>
      <c r="N33" s="250">
        <f t="shared" si="8"/>
        <v>15</v>
      </c>
      <c r="O33" s="250">
        <f t="shared" si="8"/>
        <v>15</v>
      </c>
      <c r="P33" s="250">
        <f t="shared" si="8"/>
        <v>15</v>
      </c>
      <c r="Q33" s="69">
        <f t="shared" si="1"/>
        <v>180</v>
      </c>
      <c r="R33" s="148"/>
    </row>
    <row r="34" spans="1:18">
      <c r="A34" s="2"/>
      <c r="B34" s="2"/>
      <c r="C34" s="61"/>
      <c r="D34" s="362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2"/>
    </row>
    <row r="35" spans="1:18">
      <c r="A35" s="2" t="s">
        <v>47</v>
      </c>
      <c r="B35" s="2"/>
      <c r="C35" s="61" t="s">
        <v>47</v>
      </c>
      <c r="D35" s="362" t="s">
        <v>47</v>
      </c>
      <c r="E35" s="69" t="s">
        <v>47</v>
      </c>
      <c r="F35" s="69" t="s">
        <v>47</v>
      </c>
      <c r="G35" s="69" t="s">
        <v>47</v>
      </c>
      <c r="H35" s="69" t="s">
        <v>47</v>
      </c>
      <c r="I35" s="69" t="s">
        <v>47</v>
      </c>
      <c r="J35" s="69" t="s">
        <v>47</v>
      </c>
      <c r="K35" s="69" t="s">
        <v>47</v>
      </c>
      <c r="L35" s="69" t="s">
        <v>47</v>
      </c>
      <c r="M35" s="69" t="s">
        <v>47</v>
      </c>
      <c r="N35" s="69" t="s">
        <v>47</v>
      </c>
      <c r="O35" s="69" t="s">
        <v>47</v>
      </c>
      <c r="P35" s="69" t="s">
        <v>47</v>
      </c>
      <c r="Q35" s="69" t="s">
        <v>47</v>
      </c>
      <c r="R35" s="2"/>
    </row>
    <row r="36" spans="1:18">
      <c r="A36" s="360"/>
      <c r="B36" s="364"/>
      <c r="C36" s="365"/>
      <c r="D36" s="365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6"/>
      <c r="Q36" s="367"/>
      <c r="R36" s="2"/>
    </row>
    <row r="37" spans="1:18">
      <c r="A37" s="339" t="s">
        <v>169</v>
      </c>
      <c r="B37" s="368"/>
      <c r="C37" s="341">
        <f>SUM(C14:C36)</f>
        <v>67709</v>
      </c>
      <c r="D37" s="369">
        <f>SUM(D14:D36)</f>
        <v>1</v>
      </c>
      <c r="E37" s="342">
        <f>SUM(E14:E34)</f>
        <v>4585.83</v>
      </c>
      <c r="F37" s="342">
        <f t="shared" ref="F37:P37" si="9">SUM(F14:F34)</f>
        <v>4585.83</v>
      </c>
      <c r="G37" s="342">
        <f t="shared" si="9"/>
        <v>4585.83</v>
      </c>
      <c r="H37" s="342">
        <f t="shared" si="9"/>
        <v>4585.83</v>
      </c>
      <c r="I37" s="342">
        <f t="shared" si="9"/>
        <v>4585.83</v>
      </c>
      <c r="J37" s="342">
        <f t="shared" si="9"/>
        <v>4585.83</v>
      </c>
      <c r="K37" s="342">
        <f t="shared" si="9"/>
        <v>4585.83</v>
      </c>
      <c r="L37" s="342">
        <f t="shared" si="9"/>
        <v>4585.83</v>
      </c>
      <c r="M37" s="342">
        <f t="shared" si="9"/>
        <v>4585.83</v>
      </c>
      <c r="N37" s="342">
        <f t="shared" si="9"/>
        <v>4585.83</v>
      </c>
      <c r="O37" s="342">
        <f t="shared" si="9"/>
        <v>4585.83</v>
      </c>
      <c r="P37" s="342">
        <f t="shared" si="9"/>
        <v>4585.83</v>
      </c>
      <c r="Q37" s="342">
        <f>SUM(Q14:Q34)</f>
        <v>55029.96</v>
      </c>
      <c r="R37" s="2"/>
    </row>
    <row r="38" spans="1:18">
      <c r="A38" s="370"/>
      <c r="B38" s="371"/>
      <c r="C38" s="372"/>
      <c r="D38" s="372"/>
      <c r="E38" s="372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3"/>
      <c r="R38" s="2"/>
    </row>
    <row r="39" spans="1:18">
      <c r="A39" s="2"/>
      <c r="B39" s="2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74" t="s">
        <v>377</v>
      </c>
      <c r="P39" s="364"/>
      <c r="Q39" s="375">
        <f>Summary!O80</f>
        <v>144492.76140000002</v>
      </c>
      <c r="R39" s="2"/>
    </row>
    <row r="40" spans="1:18">
      <c r="A40" s="2"/>
      <c r="B40" s="2"/>
      <c r="C40" s="39"/>
      <c r="D40" s="362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76" t="s">
        <v>357</v>
      </c>
      <c r="P40" s="371"/>
      <c r="Q40" s="377">
        <f>Q37/Q39</f>
        <v>0.38084925131758185</v>
      </c>
      <c r="R40" s="2"/>
    </row>
    <row r="41" spans="1:18">
      <c r="A41" s="2"/>
      <c r="B41" s="2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79"/>
      <c r="R41" s="2"/>
    </row>
    <row r="42" spans="1:18">
      <c r="A42" s="2"/>
      <c r="B42" s="2"/>
      <c r="C42" s="2"/>
      <c r="D42" s="24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5" spans="1:18">
      <c r="A45" s="2"/>
      <c r="B45" s="2"/>
      <c r="C45" s="2"/>
      <c r="D45" s="382" t="s">
        <v>347</v>
      </c>
      <c r="E45" s="380">
        <f>E37-Summary!C22</f>
        <v>0</v>
      </c>
      <c r="F45" s="349">
        <f>F37-Summary!D22</f>
        <v>0</v>
      </c>
      <c r="G45" s="349">
        <f>G37-Summary!E22</f>
        <v>0</v>
      </c>
      <c r="H45" s="349">
        <f>H37-Summary!F22</f>
        <v>0</v>
      </c>
      <c r="I45" s="349">
        <f>I37-Summary!G22</f>
        <v>0</v>
      </c>
      <c r="J45" s="349">
        <f>J37-Summary!H22</f>
        <v>0</v>
      </c>
      <c r="K45" s="349">
        <f>K37-Summary!I22</f>
        <v>0</v>
      </c>
      <c r="L45" s="349">
        <f>L37-Summary!J22</f>
        <v>0</v>
      </c>
      <c r="M45" s="349">
        <f>M37-Summary!K22</f>
        <v>0</v>
      </c>
      <c r="N45" s="349">
        <f>N37-Summary!L22</f>
        <v>0</v>
      </c>
      <c r="O45" s="349">
        <f>O37-Summary!M22</f>
        <v>0</v>
      </c>
      <c r="P45" s="350">
        <f>P37-Summary!N22</f>
        <v>0</v>
      </c>
      <c r="Q45" s="2"/>
      <c r="R45" s="2"/>
    </row>
  </sheetData>
  <mergeCells count="5"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5" scale="85" firstPageNumber="6" orientation="landscape" useFirstPageNumber="1" r:id="rId1"/>
  <headerFooter alignWithMargins="0">
    <oddFooter>&amp;C&amp;8Page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CE7A-D1F7-4AAA-B798-3DADB3298469}">
  <dimension ref="A1:T115"/>
  <sheetViews>
    <sheetView topLeftCell="A2" workbookViewId="0">
      <selection activeCell="G19" sqref="G19"/>
    </sheetView>
  </sheetViews>
  <sheetFormatPr defaultRowHeight="12.75"/>
  <cols>
    <col min="1" max="1" width="37" bestFit="1" customWidth="1"/>
  </cols>
  <sheetData>
    <row r="1" spans="1:20" ht="15.4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566"/>
      <c r="Q1" s="19"/>
      <c r="R1" s="13"/>
      <c r="S1" s="13"/>
      <c r="T1" s="13"/>
    </row>
    <row r="2" spans="1:20" ht="15.4">
      <c r="A2" s="639" t="s">
        <v>149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13"/>
      <c r="S2" s="13"/>
      <c r="T2" s="13"/>
    </row>
    <row r="3" spans="1:20" ht="15.4">
      <c r="A3" s="639" t="s">
        <v>150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13"/>
      <c r="S3" s="13"/>
      <c r="T3" s="13"/>
    </row>
    <row r="4" spans="1:20" ht="15.4">
      <c r="A4" s="639" t="s">
        <v>151</v>
      </c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639"/>
      <c r="O4" s="639"/>
      <c r="P4" s="639"/>
      <c r="Q4" s="639"/>
      <c r="R4" s="13"/>
      <c r="S4" s="13"/>
      <c r="T4" s="13"/>
    </row>
    <row r="5" spans="1:20" ht="15.4">
      <c r="A5" s="639" t="s">
        <v>153</v>
      </c>
      <c r="B5" s="639"/>
      <c r="C5" s="639"/>
      <c r="D5" s="639"/>
      <c r="E5" s="639"/>
      <c r="F5" s="639"/>
      <c r="G5" s="639"/>
      <c r="H5" s="639"/>
      <c r="I5" s="639"/>
      <c r="J5" s="639"/>
      <c r="K5" s="639"/>
      <c r="L5" s="639"/>
      <c r="M5" s="639"/>
      <c r="N5" s="639"/>
      <c r="O5" s="639"/>
      <c r="P5" s="639"/>
      <c r="Q5" s="639"/>
      <c r="R5" s="13"/>
      <c r="S5" s="13"/>
      <c r="T5" s="13"/>
    </row>
    <row r="6" spans="1:20" ht="15.4">
      <c r="A6" s="639" t="s">
        <v>154</v>
      </c>
      <c r="B6" s="639"/>
      <c r="C6" s="639"/>
      <c r="D6" s="639"/>
      <c r="E6" s="639"/>
      <c r="F6" s="639"/>
      <c r="G6" s="639"/>
      <c r="H6" s="639"/>
      <c r="I6" s="639"/>
      <c r="J6" s="639"/>
      <c r="K6" s="639"/>
      <c r="L6" s="639"/>
      <c r="M6" s="639"/>
      <c r="N6" s="639"/>
      <c r="O6" s="639"/>
      <c r="P6" s="639"/>
      <c r="Q6" s="639"/>
      <c r="R6" s="13"/>
      <c r="S6" s="13"/>
      <c r="T6" s="13"/>
    </row>
    <row r="7" spans="1:20" ht="15.4">
      <c r="A7" s="13"/>
      <c r="B7" s="13"/>
      <c r="C7" s="13"/>
      <c r="D7" s="13"/>
      <c r="E7" s="13"/>
      <c r="F7" s="13"/>
      <c r="G7" s="13"/>
      <c r="H7" s="567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5.4">
      <c r="A8" s="569"/>
      <c r="B8" s="569"/>
      <c r="C8" s="570"/>
      <c r="D8" s="569"/>
      <c r="E8" s="569"/>
      <c r="F8" s="569"/>
      <c r="G8" s="569"/>
      <c r="H8" s="569"/>
      <c r="I8" s="569"/>
      <c r="J8" s="569"/>
      <c r="K8" s="569"/>
      <c r="L8" s="569"/>
      <c r="M8" s="569"/>
      <c r="N8" s="569"/>
      <c r="O8" s="569"/>
      <c r="P8" s="569"/>
      <c r="Q8" s="636" t="s">
        <v>378</v>
      </c>
      <c r="R8" s="13"/>
      <c r="S8" s="13"/>
      <c r="T8" s="13"/>
    </row>
    <row r="9" spans="1:20" ht="15.4">
      <c r="A9" s="571" t="s">
        <v>15</v>
      </c>
      <c r="B9" s="571" t="s">
        <v>316</v>
      </c>
      <c r="C9" s="571" t="s">
        <v>165</v>
      </c>
      <c r="D9" s="571" t="s">
        <v>317</v>
      </c>
      <c r="E9" s="571" t="s">
        <v>129</v>
      </c>
      <c r="F9" s="571" t="s">
        <v>130</v>
      </c>
      <c r="G9" s="571" t="s">
        <v>131</v>
      </c>
      <c r="H9" s="571" t="s">
        <v>132</v>
      </c>
      <c r="I9" s="571" t="s">
        <v>133</v>
      </c>
      <c r="J9" s="571" t="s">
        <v>134</v>
      </c>
      <c r="K9" s="571" t="s">
        <v>135</v>
      </c>
      <c r="L9" s="571" t="s">
        <v>136</v>
      </c>
      <c r="M9" s="571" t="s">
        <v>137</v>
      </c>
      <c r="N9" s="571" t="s">
        <v>138</v>
      </c>
      <c r="O9" s="571" t="s">
        <v>139</v>
      </c>
      <c r="P9" s="571" t="s">
        <v>140</v>
      </c>
      <c r="Q9" s="637"/>
      <c r="R9" s="13"/>
      <c r="S9" s="13"/>
      <c r="T9" s="13"/>
    </row>
    <row r="10" spans="1:20" ht="15.4">
      <c r="A10" s="572"/>
      <c r="B10" s="573" t="s">
        <v>318</v>
      </c>
      <c r="C10" s="573" t="s">
        <v>319</v>
      </c>
      <c r="D10" s="572"/>
      <c r="E10" s="572"/>
      <c r="F10" s="572"/>
      <c r="G10" s="572"/>
      <c r="H10" s="572"/>
      <c r="I10" s="572"/>
      <c r="J10" s="572"/>
      <c r="K10" s="572"/>
      <c r="L10" s="572"/>
      <c r="M10" s="572"/>
      <c r="N10" s="572"/>
      <c r="O10" s="572"/>
      <c r="P10" s="572"/>
      <c r="Q10" s="638"/>
      <c r="R10" s="13"/>
      <c r="S10" s="13"/>
      <c r="T10" s="13"/>
    </row>
    <row r="11" spans="1:20" ht="15.4">
      <c r="A11" s="574" t="s">
        <v>379</v>
      </c>
      <c r="B11" s="575"/>
      <c r="C11" s="575"/>
      <c r="D11" s="576">
        <v>2.5000000000000001E-2</v>
      </c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77"/>
      <c r="P11" s="577"/>
      <c r="Q11" s="578"/>
      <c r="R11" s="568"/>
      <c r="S11" s="13"/>
      <c r="T11" s="13"/>
    </row>
    <row r="12" spans="1:20" ht="15.4">
      <c r="A12" s="1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21"/>
      <c r="R12" s="568"/>
      <c r="S12" s="13"/>
      <c r="T12" s="13"/>
    </row>
    <row r="13" spans="1:20" ht="15.4">
      <c r="A13" s="579" t="s">
        <v>113</v>
      </c>
      <c r="B13" s="577" t="s">
        <v>321</v>
      </c>
      <c r="C13" s="580">
        <v>28159</v>
      </c>
      <c r="D13" s="581"/>
      <c r="E13" s="581"/>
      <c r="F13" s="581"/>
      <c r="G13" s="581"/>
      <c r="H13" s="581"/>
      <c r="I13" s="581"/>
      <c r="J13" s="581"/>
      <c r="K13" s="581"/>
      <c r="L13" s="581"/>
      <c r="M13" s="581"/>
      <c r="N13" s="581"/>
      <c r="O13" s="581"/>
      <c r="P13" s="581"/>
      <c r="Q13" s="582" t="s">
        <v>380</v>
      </c>
      <c r="R13" s="568"/>
      <c r="S13" s="13"/>
      <c r="T13" s="13"/>
    </row>
    <row r="14" spans="1:20" ht="15.4">
      <c r="A14" s="583"/>
      <c r="B14" s="19" t="s">
        <v>381</v>
      </c>
      <c r="C14" s="566"/>
      <c r="D14" s="566"/>
      <c r="E14" s="584">
        <v>64560.81</v>
      </c>
      <c r="F14" s="584">
        <v>64560.81</v>
      </c>
      <c r="G14" s="584">
        <v>64560.81</v>
      </c>
      <c r="H14" s="584">
        <v>64560.81</v>
      </c>
      <c r="I14" s="584">
        <v>64560.81</v>
      </c>
      <c r="J14" s="584">
        <v>64560.81</v>
      </c>
      <c r="K14" s="584">
        <v>64560.81</v>
      </c>
      <c r="L14" s="584">
        <v>64560.81</v>
      </c>
      <c r="M14" s="584">
        <v>64560.81</v>
      </c>
      <c r="N14" s="584">
        <v>64560.81</v>
      </c>
      <c r="O14" s="584">
        <v>64560.81</v>
      </c>
      <c r="P14" s="584">
        <v>64560.81</v>
      </c>
      <c r="Q14" s="585">
        <v>774730</v>
      </c>
      <c r="R14" s="568"/>
      <c r="S14" s="13"/>
      <c r="T14" s="13"/>
    </row>
    <row r="15" spans="1:20" ht="15.4">
      <c r="A15" s="583"/>
      <c r="B15" s="19"/>
      <c r="C15" s="566"/>
      <c r="D15" s="586">
        <v>2.5000000000000001E-2</v>
      </c>
      <c r="E15" s="584">
        <v>1614.02</v>
      </c>
      <c r="F15" s="584">
        <v>1614.02</v>
      </c>
      <c r="G15" s="584">
        <v>1614.02</v>
      </c>
      <c r="H15" s="584">
        <v>1614.02</v>
      </c>
      <c r="I15" s="584">
        <v>1614.02</v>
      </c>
      <c r="J15" s="584">
        <v>1614.02</v>
      </c>
      <c r="K15" s="584">
        <v>1614.02</v>
      </c>
      <c r="L15" s="584">
        <v>1614.02</v>
      </c>
      <c r="M15" s="584">
        <v>1614.02</v>
      </c>
      <c r="N15" s="584">
        <v>1614.02</v>
      </c>
      <c r="O15" s="584">
        <v>1614.02</v>
      </c>
      <c r="P15" s="584">
        <v>1614.02</v>
      </c>
      <c r="Q15" s="585">
        <v>19368</v>
      </c>
      <c r="R15" s="568"/>
      <c r="S15" s="13"/>
      <c r="T15" s="13"/>
    </row>
    <row r="16" spans="1:20" ht="15.4">
      <c r="A16" s="587"/>
      <c r="B16" s="23"/>
      <c r="C16" s="588" t="s">
        <v>382</v>
      </c>
      <c r="D16" s="589"/>
      <c r="E16" s="590">
        <v>1614.02</v>
      </c>
      <c r="F16" s="590">
        <v>1614.02</v>
      </c>
      <c r="G16" s="590">
        <v>1614.02</v>
      </c>
      <c r="H16" s="590">
        <v>1614.02</v>
      </c>
      <c r="I16" s="590">
        <v>1614.02</v>
      </c>
      <c r="J16" s="590">
        <v>1614.02</v>
      </c>
      <c r="K16" s="590">
        <v>1614.02</v>
      </c>
      <c r="L16" s="590">
        <v>1614.02</v>
      </c>
      <c r="M16" s="590">
        <v>1614.02</v>
      </c>
      <c r="N16" s="590">
        <v>1614.02</v>
      </c>
      <c r="O16" s="590">
        <v>1614.02</v>
      </c>
      <c r="P16" s="590">
        <v>1614.02</v>
      </c>
      <c r="Q16" s="590">
        <v>19368.240000000002</v>
      </c>
      <c r="R16" s="568"/>
      <c r="S16" s="13"/>
      <c r="T16" s="13"/>
    </row>
    <row r="17" spans="1:20" ht="15.4">
      <c r="A17" s="568"/>
      <c r="B17" s="19"/>
      <c r="C17" s="566"/>
      <c r="D17" s="566"/>
      <c r="E17" s="566"/>
      <c r="F17" s="566"/>
      <c r="G17" s="566"/>
      <c r="H17" s="566"/>
      <c r="I17" s="566"/>
      <c r="J17" s="566"/>
      <c r="K17" s="566"/>
      <c r="L17" s="566"/>
      <c r="M17" s="566"/>
      <c r="N17" s="566"/>
      <c r="O17" s="566"/>
      <c r="P17" s="566"/>
      <c r="Q17" s="566"/>
      <c r="R17" s="568"/>
      <c r="S17" s="13"/>
      <c r="T17" s="13"/>
    </row>
    <row r="18" spans="1:20" ht="15.4">
      <c r="A18" s="591" t="s">
        <v>119</v>
      </c>
      <c r="B18" s="577" t="s">
        <v>323</v>
      </c>
      <c r="C18" s="577">
        <v>3000</v>
      </c>
      <c r="D18" s="581"/>
      <c r="E18" s="581"/>
      <c r="F18" s="581"/>
      <c r="G18" s="581"/>
      <c r="H18" s="581"/>
      <c r="I18" s="581"/>
      <c r="J18" s="581"/>
      <c r="K18" s="581"/>
      <c r="L18" s="581"/>
      <c r="M18" s="581"/>
      <c r="N18" s="581"/>
      <c r="O18" s="581"/>
      <c r="P18" s="581"/>
      <c r="Q18" s="582" t="s">
        <v>380</v>
      </c>
      <c r="R18" s="568"/>
      <c r="S18" s="13"/>
      <c r="T18" s="13"/>
    </row>
    <row r="19" spans="1:20" ht="15.4">
      <c r="A19" s="592"/>
      <c r="B19" s="19" t="s">
        <v>381</v>
      </c>
      <c r="C19" s="19"/>
      <c r="D19" s="566"/>
      <c r="E19" s="584">
        <v>8024.5</v>
      </c>
      <c r="F19" s="584">
        <v>8024.5</v>
      </c>
      <c r="G19" s="584">
        <v>8024.5</v>
      </c>
      <c r="H19" s="584">
        <v>8024.5</v>
      </c>
      <c r="I19" s="584">
        <v>8024.5</v>
      </c>
      <c r="J19" s="584">
        <v>8024.5</v>
      </c>
      <c r="K19" s="584">
        <v>8024.5</v>
      </c>
      <c r="L19" s="584">
        <v>8024.5</v>
      </c>
      <c r="M19" s="584">
        <v>8024.5</v>
      </c>
      <c r="N19" s="584">
        <v>8210.2099999999991</v>
      </c>
      <c r="O19" s="584">
        <v>8210.2099999999991</v>
      </c>
      <c r="P19" s="584">
        <v>8210.2099999999991</v>
      </c>
      <c r="Q19" s="585">
        <v>96851</v>
      </c>
      <c r="R19" s="568"/>
      <c r="S19" s="13"/>
      <c r="T19" s="13"/>
    </row>
    <row r="20" spans="1:20" ht="15.4">
      <c r="A20" s="18"/>
      <c r="B20" s="19" t="s">
        <v>383</v>
      </c>
      <c r="C20" s="566"/>
      <c r="D20" s="586">
        <v>2.5000000000000001E-2</v>
      </c>
      <c r="E20" s="566">
        <v>200.61</v>
      </c>
      <c r="F20" s="566">
        <v>200.61</v>
      </c>
      <c r="G20" s="566">
        <v>200.61</v>
      </c>
      <c r="H20" s="566">
        <v>200.61</v>
      </c>
      <c r="I20" s="566">
        <v>200.61</v>
      </c>
      <c r="J20" s="566">
        <v>200.61</v>
      </c>
      <c r="K20" s="566">
        <v>200.61</v>
      </c>
      <c r="L20" s="566">
        <v>200.61</v>
      </c>
      <c r="M20" s="566">
        <v>200.61</v>
      </c>
      <c r="N20" s="566">
        <v>205.26</v>
      </c>
      <c r="O20" s="566">
        <v>205.26</v>
      </c>
      <c r="P20" s="566">
        <v>205.26</v>
      </c>
      <c r="Q20" s="585">
        <v>2421</v>
      </c>
      <c r="R20" s="568"/>
      <c r="S20" s="13"/>
      <c r="T20" s="13"/>
    </row>
    <row r="21" spans="1:20" ht="15.4">
      <c r="A21" s="22"/>
      <c r="B21" s="23"/>
      <c r="C21" s="588" t="s">
        <v>384</v>
      </c>
      <c r="D21" s="589"/>
      <c r="E21" s="589">
        <v>200.61</v>
      </c>
      <c r="F21" s="589">
        <v>200.61</v>
      </c>
      <c r="G21" s="589">
        <v>200.61</v>
      </c>
      <c r="H21" s="589">
        <v>200.61</v>
      </c>
      <c r="I21" s="589">
        <v>200.61</v>
      </c>
      <c r="J21" s="589">
        <v>200.61</v>
      </c>
      <c r="K21" s="589">
        <v>200.61</v>
      </c>
      <c r="L21" s="589">
        <v>200.61</v>
      </c>
      <c r="M21" s="589">
        <v>200.61</v>
      </c>
      <c r="N21" s="589">
        <v>205.26</v>
      </c>
      <c r="O21" s="589">
        <v>205.26</v>
      </c>
      <c r="P21" s="589">
        <v>205.26</v>
      </c>
      <c r="Q21" s="590">
        <v>2421.2800000000002</v>
      </c>
      <c r="R21" s="568"/>
      <c r="S21" s="13"/>
      <c r="T21" s="13"/>
    </row>
    <row r="22" spans="1:20" ht="15.4">
      <c r="A22" s="13"/>
      <c r="B22" s="19"/>
      <c r="C22" s="566"/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6"/>
      <c r="O22" s="566"/>
      <c r="P22" s="566"/>
      <c r="Q22" s="566"/>
      <c r="R22" s="568"/>
      <c r="S22" s="13"/>
      <c r="T22" s="13"/>
    </row>
    <row r="23" spans="1:20" ht="15.4">
      <c r="A23" s="579" t="s">
        <v>117</v>
      </c>
      <c r="B23" s="577" t="s">
        <v>325</v>
      </c>
      <c r="C23" s="577">
        <v>1625</v>
      </c>
      <c r="D23" s="581"/>
      <c r="E23" s="581"/>
      <c r="F23" s="581"/>
      <c r="G23" s="581"/>
      <c r="H23" s="581"/>
      <c r="I23" s="581"/>
      <c r="J23" s="581"/>
      <c r="K23" s="581"/>
      <c r="L23" s="581"/>
      <c r="M23" s="581"/>
      <c r="N23" s="581"/>
      <c r="O23" s="581"/>
      <c r="P23" s="581"/>
      <c r="Q23" s="582" t="s">
        <v>380</v>
      </c>
      <c r="R23" s="568"/>
      <c r="S23" s="13"/>
      <c r="T23" s="13"/>
    </row>
    <row r="24" spans="1:20" ht="15.4">
      <c r="A24" s="18"/>
      <c r="B24" s="19" t="s">
        <v>381</v>
      </c>
      <c r="C24" s="566"/>
      <c r="D24" s="566"/>
      <c r="E24" s="584">
        <v>3230.8</v>
      </c>
      <c r="F24" s="584">
        <v>3230.8</v>
      </c>
      <c r="G24" s="584">
        <v>3230.8</v>
      </c>
      <c r="H24" s="584">
        <v>3230.8</v>
      </c>
      <c r="I24" s="584">
        <v>3230.8</v>
      </c>
      <c r="J24" s="584">
        <v>3230.8</v>
      </c>
      <c r="K24" s="584">
        <v>3230.8</v>
      </c>
      <c r="L24" s="584">
        <v>3230.8</v>
      </c>
      <c r="M24" s="584">
        <v>3230.8</v>
      </c>
      <c r="N24" s="584">
        <v>3230.8</v>
      </c>
      <c r="O24" s="584">
        <v>3230.8</v>
      </c>
      <c r="P24" s="584">
        <v>3230.8</v>
      </c>
      <c r="Q24" s="585">
        <v>38770</v>
      </c>
      <c r="R24" s="568"/>
      <c r="S24" s="13"/>
      <c r="T24" s="13"/>
    </row>
    <row r="25" spans="1:20" ht="15.4">
      <c r="A25" s="18"/>
      <c r="B25" s="19" t="s">
        <v>385</v>
      </c>
      <c r="C25" s="566"/>
      <c r="D25" s="586">
        <v>2.5000000000000001E-2</v>
      </c>
      <c r="E25" s="566">
        <v>80.77</v>
      </c>
      <c r="F25" s="566">
        <v>80.77</v>
      </c>
      <c r="G25" s="566">
        <v>80.77</v>
      </c>
      <c r="H25" s="566">
        <v>80.77</v>
      </c>
      <c r="I25" s="566">
        <v>80.77</v>
      </c>
      <c r="J25" s="566">
        <v>80.77</v>
      </c>
      <c r="K25" s="566">
        <v>80.77</v>
      </c>
      <c r="L25" s="566">
        <v>80.77</v>
      </c>
      <c r="M25" s="566">
        <v>80.77</v>
      </c>
      <c r="N25" s="566">
        <v>80.77</v>
      </c>
      <c r="O25" s="566">
        <v>80.77</v>
      </c>
      <c r="P25" s="566">
        <v>80.77</v>
      </c>
      <c r="Q25" s="593">
        <v>969</v>
      </c>
      <c r="R25" s="568"/>
      <c r="S25" s="13"/>
      <c r="T25" s="13"/>
    </row>
    <row r="26" spans="1:20" ht="15.4">
      <c r="A26" s="22"/>
      <c r="B26" s="23"/>
      <c r="C26" s="588" t="s">
        <v>384</v>
      </c>
      <c r="D26" s="589"/>
      <c r="E26" s="589">
        <v>80.77</v>
      </c>
      <c r="F26" s="589">
        <v>80.77</v>
      </c>
      <c r="G26" s="589">
        <v>80.77</v>
      </c>
      <c r="H26" s="589">
        <v>80.77</v>
      </c>
      <c r="I26" s="589">
        <v>80.77</v>
      </c>
      <c r="J26" s="589">
        <v>80.77</v>
      </c>
      <c r="K26" s="589">
        <v>80.77</v>
      </c>
      <c r="L26" s="589">
        <v>80.77</v>
      </c>
      <c r="M26" s="589">
        <v>80.77</v>
      </c>
      <c r="N26" s="589">
        <v>80.77</v>
      </c>
      <c r="O26" s="589">
        <v>80.77</v>
      </c>
      <c r="P26" s="589">
        <v>80.77</v>
      </c>
      <c r="Q26" s="594">
        <v>969</v>
      </c>
      <c r="R26" s="568"/>
      <c r="S26" s="13"/>
      <c r="T26" s="13"/>
    </row>
    <row r="27" spans="1:20" ht="15.4">
      <c r="A27" s="18"/>
      <c r="B27" s="19"/>
      <c r="C27" s="566"/>
      <c r="D27" s="56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21"/>
      <c r="R27" s="595"/>
      <c r="S27" s="596"/>
      <c r="T27" s="596"/>
    </row>
    <row r="28" spans="1:20" ht="15.4">
      <c r="A28" s="579" t="s">
        <v>121</v>
      </c>
      <c r="B28" s="577" t="s">
        <v>327</v>
      </c>
      <c r="C28" s="597">
        <v>1400</v>
      </c>
      <c r="D28" s="581"/>
      <c r="E28" s="581"/>
      <c r="F28" s="581"/>
      <c r="G28" s="581"/>
      <c r="H28" s="581"/>
      <c r="I28" s="581"/>
      <c r="J28" s="581"/>
      <c r="K28" s="581"/>
      <c r="L28" s="581"/>
      <c r="M28" s="581"/>
      <c r="N28" s="581"/>
      <c r="O28" s="581"/>
      <c r="P28" s="581"/>
      <c r="Q28" s="582" t="s">
        <v>380</v>
      </c>
      <c r="R28" s="568"/>
      <c r="S28" s="13"/>
      <c r="T28" s="13"/>
    </row>
    <row r="29" spans="1:20" ht="15.4">
      <c r="A29" s="18"/>
      <c r="B29" s="19" t="s">
        <v>381</v>
      </c>
      <c r="C29" s="566"/>
      <c r="D29" s="566"/>
      <c r="E29" s="584">
        <v>3281.22</v>
      </c>
      <c r="F29" s="584">
        <v>3281.22</v>
      </c>
      <c r="G29" s="584">
        <v>3281.22</v>
      </c>
      <c r="H29" s="584">
        <v>3281.22</v>
      </c>
      <c r="I29" s="584">
        <v>3355.48</v>
      </c>
      <c r="J29" s="584">
        <v>3355.48</v>
      </c>
      <c r="K29" s="584">
        <v>3355.48</v>
      </c>
      <c r="L29" s="584">
        <v>3355.48</v>
      </c>
      <c r="M29" s="584">
        <v>3355.48</v>
      </c>
      <c r="N29" s="584">
        <v>3355.48</v>
      </c>
      <c r="O29" s="584">
        <v>3355.48</v>
      </c>
      <c r="P29" s="584">
        <v>3355.48</v>
      </c>
      <c r="Q29" s="585">
        <v>39969</v>
      </c>
      <c r="R29" s="568"/>
      <c r="S29" s="13"/>
      <c r="T29" s="13"/>
    </row>
    <row r="30" spans="1:20" ht="15.4">
      <c r="A30" s="18"/>
      <c r="B30" s="19" t="s">
        <v>385</v>
      </c>
      <c r="C30" s="566"/>
      <c r="D30" s="586">
        <v>2.5000000000000001E-2</v>
      </c>
      <c r="E30" s="566">
        <v>82.03</v>
      </c>
      <c r="F30" s="566">
        <v>82.03</v>
      </c>
      <c r="G30" s="566">
        <v>82.03</v>
      </c>
      <c r="H30" s="566">
        <v>82.03</v>
      </c>
      <c r="I30" s="566">
        <v>83.89</v>
      </c>
      <c r="J30" s="566">
        <v>83.89</v>
      </c>
      <c r="K30" s="566">
        <v>83.89</v>
      </c>
      <c r="L30" s="566">
        <v>83.89</v>
      </c>
      <c r="M30" s="566">
        <v>83.89</v>
      </c>
      <c r="N30" s="566">
        <v>83.89</v>
      </c>
      <c r="O30" s="566">
        <v>83.89</v>
      </c>
      <c r="P30" s="566">
        <v>83.89</v>
      </c>
      <c r="Q30" s="593">
        <v>999</v>
      </c>
      <c r="R30" s="568"/>
      <c r="S30" s="13"/>
      <c r="T30" s="13"/>
    </row>
    <row r="31" spans="1:20" ht="15.4">
      <c r="A31" s="22"/>
      <c r="B31" s="23"/>
      <c r="C31" s="588" t="s">
        <v>384</v>
      </c>
      <c r="D31" s="589"/>
      <c r="E31" s="589">
        <v>82.03</v>
      </c>
      <c r="F31" s="589">
        <v>82.03</v>
      </c>
      <c r="G31" s="589">
        <v>82.03</v>
      </c>
      <c r="H31" s="589">
        <v>82.03</v>
      </c>
      <c r="I31" s="589">
        <v>83.89</v>
      </c>
      <c r="J31" s="589">
        <v>83.89</v>
      </c>
      <c r="K31" s="589">
        <v>83.89</v>
      </c>
      <c r="L31" s="589">
        <v>83.89</v>
      </c>
      <c r="M31" s="589">
        <v>83.89</v>
      </c>
      <c r="N31" s="589">
        <v>83.89</v>
      </c>
      <c r="O31" s="589">
        <v>83.89</v>
      </c>
      <c r="P31" s="589">
        <v>83.89</v>
      </c>
      <c r="Q31" s="594">
        <v>999</v>
      </c>
      <c r="R31" s="568"/>
      <c r="S31" s="13"/>
      <c r="T31" s="13"/>
    </row>
    <row r="32" spans="1:20" ht="15.4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598"/>
      <c r="S32" s="13"/>
      <c r="T32" s="13"/>
    </row>
    <row r="33" spans="1:20" ht="15.4">
      <c r="A33" s="579" t="s">
        <v>114</v>
      </c>
      <c r="B33" s="577" t="s">
        <v>329</v>
      </c>
      <c r="C33" s="597">
        <v>1112</v>
      </c>
      <c r="D33" s="581"/>
      <c r="E33" s="581"/>
      <c r="F33" s="581"/>
      <c r="G33" s="581"/>
      <c r="H33" s="581"/>
      <c r="I33" s="581"/>
      <c r="J33" s="581"/>
      <c r="K33" s="581"/>
      <c r="L33" s="581"/>
      <c r="M33" s="581"/>
      <c r="N33" s="581"/>
      <c r="O33" s="581"/>
      <c r="P33" s="581"/>
      <c r="Q33" s="582" t="s">
        <v>380</v>
      </c>
      <c r="R33" s="568"/>
      <c r="S33" s="13"/>
      <c r="T33" s="13"/>
    </row>
    <row r="34" spans="1:20" ht="15.4">
      <c r="A34" s="18"/>
      <c r="B34" s="19" t="s">
        <v>381</v>
      </c>
      <c r="C34" s="566"/>
      <c r="D34" s="566"/>
      <c r="E34" s="584">
        <v>2746.43</v>
      </c>
      <c r="F34" s="584">
        <v>2746.43</v>
      </c>
      <c r="G34" s="584">
        <v>2746.43</v>
      </c>
      <c r="H34" s="584">
        <v>2788.56</v>
      </c>
      <c r="I34" s="584">
        <v>2788.56</v>
      </c>
      <c r="J34" s="584">
        <v>2788.56</v>
      </c>
      <c r="K34" s="584">
        <v>2788.56</v>
      </c>
      <c r="L34" s="584">
        <v>2788.56</v>
      </c>
      <c r="M34" s="584">
        <v>2788.56</v>
      </c>
      <c r="N34" s="584">
        <v>2788.56</v>
      </c>
      <c r="O34" s="584">
        <v>2788.56</v>
      </c>
      <c r="P34" s="584">
        <v>2788.56</v>
      </c>
      <c r="Q34" s="585">
        <v>33336</v>
      </c>
      <c r="R34" s="568"/>
      <c r="S34" s="13"/>
      <c r="T34" s="13"/>
    </row>
    <row r="35" spans="1:20" ht="15.4">
      <c r="A35" s="18"/>
      <c r="B35" s="19" t="s">
        <v>385</v>
      </c>
      <c r="C35" s="566"/>
      <c r="D35" s="586">
        <v>2.5000000000000001E-2</v>
      </c>
      <c r="E35" s="566">
        <v>68.66</v>
      </c>
      <c r="F35" s="566">
        <v>68.66</v>
      </c>
      <c r="G35" s="566">
        <v>68.66</v>
      </c>
      <c r="H35" s="566">
        <v>69.709999999999994</v>
      </c>
      <c r="I35" s="566">
        <v>69.709999999999994</v>
      </c>
      <c r="J35" s="566">
        <v>69.709999999999994</v>
      </c>
      <c r="K35" s="566">
        <v>69.709999999999994</v>
      </c>
      <c r="L35" s="566">
        <v>69.709999999999994</v>
      </c>
      <c r="M35" s="566">
        <v>69.709999999999994</v>
      </c>
      <c r="N35" s="566">
        <v>69.709999999999994</v>
      </c>
      <c r="O35" s="566">
        <v>69.709999999999994</v>
      </c>
      <c r="P35" s="566">
        <v>69.709999999999994</v>
      </c>
      <c r="Q35" s="593">
        <v>833</v>
      </c>
      <c r="R35" s="568"/>
      <c r="S35" s="13"/>
      <c r="T35" s="13"/>
    </row>
    <row r="36" spans="1:20" ht="15.4">
      <c r="A36" s="22"/>
      <c r="B36" s="23"/>
      <c r="C36" s="588" t="s">
        <v>384</v>
      </c>
      <c r="D36" s="589"/>
      <c r="E36" s="589">
        <v>68.66</v>
      </c>
      <c r="F36" s="589">
        <v>68.66</v>
      </c>
      <c r="G36" s="589">
        <v>68.66</v>
      </c>
      <c r="H36" s="589">
        <v>69.709999999999994</v>
      </c>
      <c r="I36" s="589">
        <v>69.709999999999994</v>
      </c>
      <c r="J36" s="589">
        <v>69.709999999999994</v>
      </c>
      <c r="K36" s="589">
        <v>69.709999999999994</v>
      </c>
      <c r="L36" s="589">
        <v>69.709999999999994</v>
      </c>
      <c r="M36" s="589">
        <v>69.709999999999994</v>
      </c>
      <c r="N36" s="589">
        <v>69.709999999999994</v>
      </c>
      <c r="O36" s="589">
        <v>69.709999999999994</v>
      </c>
      <c r="P36" s="589">
        <v>69.709999999999994</v>
      </c>
      <c r="Q36" s="594">
        <v>833</v>
      </c>
      <c r="R36" s="568"/>
      <c r="S36" s="13"/>
      <c r="T36" s="13"/>
    </row>
    <row r="37" spans="1:20" ht="15.4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598"/>
      <c r="S37" s="13"/>
      <c r="T37" s="13"/>
    </row>
    <row r="38" spans="1:20" ht="15.4">
      <c r="A38" s="579" t="s">
        <v>108</v>
      </c>
      <c r="B38" s="577" t="s">
        <v>331</v>
      </c>
      <c r="C38" s="597">
        <v>2494</v>
      </c>
      <c r="D38" s="581"/>
      <c r="E38" s="581"/>
      <c r="F38" s="581"/>
      <c r="G38" s="581"/>
      <c r="H38" s="581"/>
      <c r="I38" s="581"/>
      <c r="J38" s="581"/>
      <c r="K38" s="581"/>
      <c r="L38" s="581"/>
      <c r="M38" s="581"/>
      <c r="N38" s="581"/>
      <c r="O38" s="581"/>
      <c r="P38" s="581"/>
      <c r="Q38" s="582" t="s">
        <v>380</v>
      </c>
      <c r="R38" s="568"/>
      <c r="S38" s="13"/>
      <c r="T38" s="13"/>
    </row>
    <row r="39" spans="1:20" ht="15.4">
      <c r="A39" s="18"/>
      <c r="B39" s="19" t="s">
        <v>381</v>
      </c>
      <c r="C39" s="566"/>
      <c r="D39" s="566"/>
      <c r="E39" s="584">
        <v>6867.29</v>
      </c>
      <c r="F39" s="584">
        <v>6867.29</v>
      </c>
      <c r="G39" s="584">
        <v>6867.29</v>
      </c>
      <c r="H39" s="584">
        <v>6867.29</v>
      </c>
      <c r="I39" s="584">
        <v>6867.29</v>
      </c>
      <c r="J39" s="584">
        <v>6867.29</v>
      </c>
      <c r="K39" s="584">
        <v>6867.29</v>
      </c>
      <c r="L39" s="584">
        <v>6867.29</v>
      </c>
      <c r="M39" s="584">
        <v>6867.29</v>
      </c>
      <c r="N39" s="584">
        <v>6867.29</v>
      </c>
      <c r="O39" s="584">
        <v>6867.29</v>
      </c>
      <c r="P39" s="584">
        <v>6867.29</v>
      </c>
      <c r="Q39" s="585">
        <v>82407</v>
      </c>
      <c r="R39" s="568"/>
      <c r="S39" s="13"/>
      <c r="T39" s="13"/>
    </row>
    <row r="40" spans="1:20" ht="15.4">
      <c r="A40" s="18"/>
      <c r="B40" s="19" t="s">
        <v>385</v>
      </c>
      <c r="C40" s="566"/>
      <c r="D40" s="586">
        <v>2.5000000000000001E-2</v>
      </c>
      <c r="E40" s="566">
        <v>171.68</v>
      </c>
      <c r="F40" s="566">
        <v>171.68</v>
      </c>
      <c r="G40" s="566">
        <v>171.68</v>
      </c>
      <c r="H40" s="566">
        <v>171.68</v>
      </c>
      <c r="I40" s="566">
        <v>171.68</v>
      </c>
      <c r="J40" s="566">
        <v>171.68</v>
      </c>
      <c r="K40" s="566">
        <v>171.68</v>
      </c>
      <c r="L40" s="566">
        <v>171.68</v>
      </c>
      <c r="M40" s="566">
        <v>171.68</v>
      </c>
      <c r="N40" s="566">
        <v>171.68</v>
      </c>
      <c r="O40" s="566">
        <v>171.68</v>
      </c>
      <c r="P40" s="566">
        <v>171.68</v>
      </c>
      <c r="Q40" s="585">
        <v>2060</v>
      </c>
      <c r="R40" s="568"/>
      <c r="S40" s="13"/>
      <c r="T40" s="13"/>
    </row>
    <row r="41" spans="1:20" ht="15.4">
      <c r="A41" s="22"/>
      <c r="B41" s="23"/>
      <c r="C41" s="588" t="s">
        <v>384</v>
      </c>
      <c r="D41" s="589"/>
      <c r="E41" s="589">
        <v>171.68</v>
      </c>
      <c r="F41" s="589">
        <v>171.68</v>
      </c>
      <c r="G41" s="589">
        <v>171.68</v>
      </c>
      <c r="H41" s="589">
        <v>171.68</v>
      </c>
      <c r="I41" s="589">
        <v>171.68</v>
      </c>
      <c r="J41" s="589">
        <v>171.68</v>
      </c>
      <c r="K41" s="589">
        <v>171.68</v>
      </c>
      <c r="L41" s="589">
        <v>171.68</v>
      </c>
      <c r="M41" s="589">
        <v>171.68</v>
      </c>
      <c r="N41" s="589">
        <v>171.68</v>
      </c>
      <c r="O41" s="589">
        <v>171.68</v>
      </c>
      <c r="P41" s="589">
        <v>171.68</v>
      </c>
      <c r="Q41" s="599">
        <v>2060</v>
      </c>
      <c r="R41" s="568"/>
      <c r="S41" s="13"/>
      <c r="T41" s="13"/>
    </row>
    <row r="42" spans="1:20" ht="15.4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598"/>
      <c r="S42" s="13"/>
      <c r="T42" s="13"/>
    </row>
    <row r="43" spans="1:20" ht="15.4">
      <c r="A43" s="579" t="s">
        <v>112</v>
      </c>
      <c r="B43" s="577" t="s">
        <v>333</v>
      </c>
      <c r="C43" s="597">
        <v>1500</v>
      </c>
      <c r="D43" s="581"/>
      <c r="E43" s="581"/>
      <c r="F43" s="581"/>
      <c r="G43" s="581"/>
      <c r="H43" s="581"/>
      <c r="I43" s="581"/>
      <c r="J43" s="581"/>
      <c r="K43" s="581"/>
      <c r="L43" s="581"/>
      <c r="M43" s="581"/>
      <c r="N43" s="581"/>
      <c r="O43" s="581"/>
      <c r="P43" s="581"/>
      <c r="Q43" s="582" t="s">
        <v>380</v>
      </c>
      <c r="R43" s="568"/>
      <c r="S43" s="13"/>
      <c r="T43" s="13"/>
    </row>
    <row r="44" spans="1:20" ht="15.4">
      <c r="A44" s="18"/>
      <c r="B44" s="19" t="s">
        <v>381</v>
      </c>
      <c r="C44" s="566"/>
      <c r="D44" s="566"/>
      <c r="E44" s="584">
        <v>3298.81</v>
      </c>
      <c r="F44" s="584">
        <v>3298.81</v>
      </c>
      <c r="G44" s="584">
        <v>3298.81</v>
      </c>
      <c r="H44" s="584">
        <v>3347.52</v>
      </c>
      <c r="I44" s="584">
        <v>3347.52</v>
      </c>
      <c r="J44" s="584">
        <v>3347.52</v>
      </c>
      <c r="K44" s="584">
        <v>3347.52</v>
      </c>
      <c r="L44" s="584">
        <v>3347.52</v>
      </c>
      <c r="M44" s="584">
        <v>3347.52</v>
      </c>
      <c r="N44" s="584">
        <v>3347.52</v>
      </c>
      <c r="O44" s="584">
        <v>3347.52</v>
      </c>
      <c r="P44" s="584">
        <v>3347.52</v>
      </c>
      <c r="Q44" s="585">
        <v>40024</v>
      </c>
      <c r="R44" s="568"/>
      <c r="S44" s="13"/>
      <c r="T44" s="13"/>
    </row>
    <row r="45" spans="1:20" ht="15.4">
      <c r="A45" s="18"/>
      <c r="B45" s="19" t="s">
        <v>385</v>
      </c>
      <c r="C45" s="566"/>
      <c r="D45" s="586">
        <v>2.5000000000000001E-2</v>
      </c>
      <c r="E45" s="566">
        <v>82.47</v>
      </c>
      <c r="F45" s="566">
        <v>82.47</v>
      </c>
      <c r="G45" s="566">
        <v>82.47</v>
      </c>
      <c r="H45" s="566">
        <v>83.69</v>
      </c>
      <c r="I45" s="566">
        <v>83.69</v>
      </c>
      <c r="J45" s="566">
        <v>83.69</v>
      </c>
      <c r="K45" s="566">
        <v>83.69</v>
      </c>
      <c r="L45" s="566">
        <v>83.69</v>
      </c>
      <c r="M45" s="566">
        <v>83.69</v>
      </c>
      <c r="N45" s="566">
        <v>83.69</v>
      </c>
      <c r="O45" s="566">
        <v>83.69</v>
      </c>
      <c r="P45" s="566">
        <v>83.69</v>
      </c>
      <c r="Q45" s="585">
        <v>1001</v>
      </c>
      <c r="R45" s="568"/>
      <c r="S45" s="13"/>
      <c r="T45" s="13"/>
    </row>
    <row r="46" spans="1:20" ht="15.4">
      <c r="A46" s="22"/>
      <c r="B46" s="23"/>
      <c r="C46" s="588" t="s">
        <v>384</v>
      </c>
      <c r="D46" s="589"/>
      <c r="E46" s="589">
        <v>82.47</v>
      </c>
      <c r="F46" s="589">
        <v>82.47</v>
      </c>
      <c r="G46" s="589">
        <v>82.47</v>
      </c>
      <c r="H46" s="589">
        <v>83.69</v>
      </c>
      <c r="I46" s="589">
        <v>83.69</v>
      </c>
      <c r="J46" s="589">
        <v>83.69</v>
      </c>
      <c r="K46" s="589">
        <v>83.69</v>
      </c>
      <c r="L46" s="589">
        <v>83.69</v>
      </c>
      <c r="M46" s="589">
        <v>83.69</v>
      </c>
      <c r="N46" s="589">
        <v>83.69</v>
      </c>
      <c r="O46" s="589">
        <v>83.69</v>
      </c>
      <c r="P46" s="589">
        <v>83.69</v>
      </c>
      <c r="Q46" s="599">
        <v>1001</v>
      </c>
      <c r="R46" s="568"/>
      <c r="S46" s="13"/>
      <c r="T46" s="13"/>
    </row>
    <row r="47" spans="1:20" ht="15.4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598"/>
      <c r="S47" s="13"/>
      <c r="T47" s="13"/>
    </row>
    <row r="48" spans="1:20" ht="15.4">
      <c r="A48" s="579" t="s">
        <v>107</v>
      </c>
      <c r="B48" s="577" t="s">
        <v>335</v>
      </c>
      <c r="C48" s="597">
        <v>1734</v>
      </c>
      <c r="D48" s="581"/>
      <c r="E48" s="581"/>
      <c r="F48" s="581"/>
      <c r="G48" s="581"/>
      <c r="H48" s="581"/>
      <c r="I48" s="581"/>
      <c r="J48" s="581"/>
      <c r="K48" s="581"/>
      <c r="L48" s="581"/>
      <c r="M48" s="581"/>
      <c r="N48" s="581"/>
      <c r="O48" s="581"/>
      <c r="P48" s="581"/>
      <c r="Q48" s="582" t="s">
        <v>380</v>
      </c>
      <c r="R48" s="568"/>
      <c r="S48" s="13"/>
      <c r="T48" s="13"/>
    </row>
    <row r="49" spans="1:20" ht="15.4">
      <c r="A49" s="18"/>
      <c r="B49" s="19" t="s">
        <v>381</v>
      </c>
      <c r="C49" s="566"/>
      <c r="D49" s="566"/>
      <c r="E49" s="584">
        <v>4181.29</v>
      </c>
      <c r="F49" s="584">
        <v>4181.29</v>
      </c>
      <c r="G49" s="584">
        <v>4181.29</v>
      </c>
      <c r="H49" s="584">
        <v>4181.29</v>
      </c>
      <c r="I49" s="584">
        <v>4181.29</v>
      </c>
      <c r="J49" s="584">
        <v>4181.29</v>
      </c>
      <c r="K49" s="584">
        <v>4181.29</v>
      </c>
      <c r="L49" s="584">
        <v>4181.29</v>
      </c>
      <c r="M49" s="584">
        <v>4181.29</v>
      </c>
      <c r="N49" s="584">
        <v>4181.29</v>
      </c>
      <c r="O49" s="584">
        <v>4181.29</v>
      </c>
      <c r="P49" s="584">
        <v>4181.29</v>
      </c>
      <c r="Q49" s="585">
        <v>50175</v>
      </c>
      <c r="R49" s="568"/>
      <c r="S49" s="13"/>
      <c r="T49" s="13"/>
    </row>
    <row r="50" spans="1:20" ht="15.4">
      <c r="A50" s="18"/>
      <c r="B50" s="19" t="s">
        <v>385</v>
      </c>
      <c r="C50" s="566"/>
      <c r="D50" s="586">
        <v>2.5000000000000001E-2</v>
      </c>
      <c r="E50" s="566">
        <v>104.53</v>
      </c>
      <c r="F50" s="566">
        <v>104.53</v>
      </c>
      <c r="G50" s="566">
        <v>104.53</v>
      </c>
      <c r="H50" s="566">
        <v>104.53</v>
      </c>
      <c r="I50" s="566">
        <v>104.53</v>
      </c>
      <c r="J50" s="566">
        <v>104.53</v>
      </c>
      <c r="K50" s="566">
        <v>104.53</v>
      </c>
      <c r="L50" s="566">
        <v>104.53</v>
      </c>
      <c r="M50" s="566">
        <v>104.53</v>
      </c>
      <c r="N50" s="566">
        <v>104.53</v>
      </c>
      <c r="O50" s="566">
        <v>104.53</v>
      </c>
      <c r="P50" s="566">
        <v>104.53</v>
      </c>
      <c r="Q50" s="585">
        <v>1254</v>
      </c>
      <c r="R50" s="568"/>
      <c r="S50" s="13"/>
      <c r="T50" s="13"/>
    </row>
    <row r="51" spans="1:20" ht="15.4">
      <c r="A51" s="22"/>
      <c r="B51" s="23"/>
      <c r="C51" s="588" t="s">
        <v>384</v>
      </c>
      <c r="D51" s="589"/>
      <c r="E51" s="589">
        <v>104.53</v>
      </c>
      <c r="F51" s="589">
        <v>104.53</v>
      </c>
      <c r="G51" s="589">
        <v>104.53</v>
      </c>
      <c r="H51" s="589">
        <v>104.53</v>
      </c>
      <c r="I51" s="589">
        <v>104.53</v>
      </c>
      <c r="J51" s="589">
        <v>104.53</v>
      </c>
      <c r="K51" s="589">
        <v>104.53</v>
      </c>
      <c r="L51" s="589">
        <v>104.53</v>
      </c>
      <c r="M51" s="589">
        <v>104.53</v>
      </c>
      <c r="N51" s="589">
        <v>104.53</v>
      </c>
      <c r="O51" s="589">
        <v>104.53</v>
      </c>
      <c r="P51" s="589">
        <v>104.53</v>
      </c>
      <c r="Q51" s="599">
        <v>1254</v>
      </c>
      <c r="R51" s="568"/>
      <c r="S51" s="13"/>
      <c r="T51" s="13"/>
    </row>
    <row r="52" spans="1:20" ht="15.4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598"/>
      <c r="S52" s="13"/>
      <c r="T52" s="13"/>
    </row>
    <row r="53" spans="1:20" ht="15.4">
      <c r="A53" s="579" t="s">
        <v>118</v>
      </c>
      <c r="B53" s="577" t="s">
        <v>337</v>
      </c>
      <c r="C53" s="597">
        <v>3900</v>
      </c>
      <c r="D53" s="581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581"/>
      <c r="P53" s="581"/>
      <c r="Q53" s="582" t="s">
        <v>380</v>
      </c>
      <c r="R53" s="568"/>
      <c r="S53" s="13"/>
      <c r="T53" s="13"/>
    </row>
    <row r="54" spans="1:20" ht="15.4">
      <c r="A54" s="18"/>
      <c r="B54" s="19" t="s">
        <v>381</v>
      </c>
      <c r="C54" s="566"/>
      <c r="D54" s="566"/>
      <c r="E54" s="584">
        <v>8097.34</v>
      </c>
      <c r="F54" s="584">
        <v>8097.34</v>
      </c>
      <c r="G54" s="584">
        <v>8097.34</v>
      </c>
      <c r="H54" s="584">
        <v>8097.34</v>
      </c>
      <c r="I54" s="584">
        <v>8097.34</v>
      </c>
      <c r="J54" s="584">
        <v>8097.34</v>
      </c>
      <c r="K54" s="584">
        <v>8097.34</v>
      </c>
      <c r="L54" s="584">
        <v>8097.34</v>
      </c>
      <c r="M54" s="584">
        <v>8097.34</v>
      </c>
      <c r="N54" s="584">
        <v>8097.34</v>
      </c>
      <c r="O54" s="584">
        <v>8272.92</v>
      </c>
      <c r="P54" s="584">
        <v>8272.92</v>
      </c>
      <c r="Q54" s="585">
        <v>97519</v>
      </c>
      <c r="R54" s="568"/>
      <c r="S54" s="13"/>
      <c r="T54" s="13"/>
    </row>
    <row r="55" spans="1:20" ht="15.4">
      <c r="A55" s="18"/>
      <c r="B55" s="19" t="s">
        <v>385</v>
      </c>
      <c r="C55" s="566"/>
      <c r="D55" s="586">
        <v>2.5000000000000001E-2</v>
      </c>
      <c r="E55" s="566">
        <v>202.43</v>
      </c>
      <c r="F55" s="566">
        <v>202.43</v>
      </c>
      <c r="G55" s="566">
        <v>202.43</v>
      </c>
      <c r="H55" s="566">
        <v>202.43</v>
      </c>
      <c r="I55" s="566">
        <v>202.43</v>
      </c>
      <c r="J55" s="566">
        <v>202.43</v>
      </c>
      <c r="K55" s="566">
        <v>202.43</v>
      </c>
      <c r="L55" s="566">
        <v>202.43</v>
      </c>
      <c r="M55" s="566">
        <v>202.43</v>
      </c>
      <c r="N55" s="566">
        <v>202.43</v>
      </c>
      <c r="O55" s="566">
        <v>206.82</v>
      </c>
      <c r="P55" s="566">
        <v>206.82</v>
      </c>
      <c r="Q55" s="585">
        <v>2438</v>
      </c>
      <c r="R55" s="568"/>
      <c r="S55" s="13"/>
      <c r="T55" s="13"/>
    </row>
    <row r="56" spans="1:20" ht="15.4">
      <c r="A56" s="22"/>
      <c r="B56" s="23"/>
      <c r="C56" s="588" t="s">
        <v>384</v>
      </c>
      <c r="D56" s="589"/>
      <c r="E56" s="589">
        <v>202.43</v>
      </c>
      <c r="F56" s="589">
        <v>202.43</v>
      </c>
      <c r="G56" s="589">
        <v>202.43</v>
      </c>
      <c r="H56" s="589">
        <v>202.43</v>
      </c>
      <c r="I56" s="589">
        <v>202.43</v>
      </c>
      <c r="J56" s="589">
        <v>202.43</v>
      </c>
      <c r="K56" s="589">
        <v>202.43</v>
      </c>
      <c r="L56" s="589">
        <v>202.43</v>
      </c>
      <c r="M56" s="589">
        <v>202.43</v>
      </c>
      <c r="N56" s="589">
        <v>202.43</v>
      </c>
      <c r="O56" s="589">
        <v>206.82</v>
      </c>
      <c r="P56" s="589">
        <v>206.82</v>
      </c>
      <c r="Q56" s="599">
        <v>2438</v>
      </c>
      <c r="R56" s="568"/>
      <c r="S56" s="13"/>
      <c r="T56" s="13"/>
    </row>
    <row r="57" spans="1:20" ht="15.4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598"/>
      <c r="S57" s="13"/>
      <c r="T57" s="13"/>
    </row>
    <row r="58" spans="1:20" ht="15.4">
      <c r="A58" s="579" t="s">
        <v>115</v>
      </c>
      <c r="B58" s="577">
        <v>101</v>
      </c>
      <c r="C58" s="597">
        <v>1287</v>
      </c>
      <c r="D58" s="581"/>
      <c r="E58" s="581"/>
      <c r="F58" s="581"/>
      <c r="G58" s="581"/>
      <c r="H58" s="581"/>
      <c r="I58" s="581"/>
      <c r="J58" s="581"/>
      <c r="K58" s="581"/>
      <c r="L58" s="581"/>
      <c r="M58" s="581"/>
      <c r="N58" s="581"/>
      <c r="O58" s="581"/>
      <c r="P58" s="581"/>
      <c r="Q58" s="582" t="s">
        <v>380</v>
      </c>
      <c r="R58" s="568"/>
      <c r="S58" s="13"/>
      <c r="T58" s="13"/>
    </row>
    <row r="59" spans="1:20" ht="15.4">
      <c r="A59" s="18"/>
      <c r="B59" s="19" t="s">
        <v>381</v>
      </c>
      <c r="C59" s="566"/>
      <c r="D59" s="566"/>
      <c r="E59" s="584">
        <v>3210.69</v>
      </c>
      <c r="F59" s="584">
        <v>3210.69</v>
      </c>
      <c r="G59" s="584">
        <v>3210.69</v>
      </c>
      <c r="H59" s="584">
        <v>3210.69</v>
      </c>
      <c r="I59" s="584">
        <v>3210.69</v>
      </c>
      <c r="J59" s="584">
        <v>3210.69</v>
      </c>
      <c r="K59" s="584">
        <v>3259.11</v>
      </c>
      <c r="L59" s="584">
        <v>3259.11</v>
      </c>
      <c r="M59" s="584">
        <v>3259.11</v>
      </c>
      <c r="N59" s="584">
        <v>3259.11</v>
      </c>
      <c r="O59" s="584">
        <v>3259.11</v>
      </c>
      <c r="P59" s="584">
        <v>3259.11</v>
      </c>
      <c r="Q59" s="585">
        <v>38819</v>
      </c>
      <c r="R59" s="568"/>
      <c r="S59" s="13"/>
      <c r="T59" s="13"/>
    </row>
    <row r="60" spans="1:20" ht="15.4">
      <c r="A60" s="18"/>
      <c r="B60" s="19" t="s">
        <v>385</v>
      </c>
      <c r="C60" s="566"/>
      <c r="D60" s="586">
        <v>2.5000000000000001E-2</v>
      </c>
      <c r="E60" s="566">
        <v>80.27</v>
      </c>
      <c r="F60" s="566">
        <v>80.27</v>
      </c>
      <c r="G60" s="566">
        <v>80.27</v>
      </c>
      <c r="H60" s="566">
        <v>80.27</v>
      </c>
      <c r="I60" s="566">
        <v>80.27</v>
      </c>
      <c r="J60" s="566">
        <v>80.27</v>
      </c>
      <c r="K60" s="566">
        <v>81.48</v>
      </c>
      <c r="L60" s="566">
        <v>81.48</v>
      </c>
      <c r="M60" s="566">
        <v>81.48</v>
      </c>
      <c r="N60" s="566">
        <v>81.48</v>
      </c>
      <c r="O60" s="566">
        <v>81.48</v>
      </c>
      <c r="P60" s="566">
        <v>81.48</v>
      </c>
      <c r="Q60" s="593">
        <v>970</v>
      </c>
      <c r="R60" s="568"/>
      <c r="S60" s="13"/>
      <c r="T60" s="13"/>
    </row>
    <row r="61" spans="1:20" ht="15.4">
      <c r="A61" s="22"/>
      <c r="B61" s="23"/>
      <c r="C61" s="588" t="s">
        <v>384</v>
      </c>
      <c r="D61" s="589"/>
      <c r="E61" s="589">
        <v>80.27</v>
      </c>
      <c r="F61" s="589">
        <v>80.27</v>
      </c>
      <c r="G61" s="589">
        <v>80.27</v>
      </c>
      <c r="H61" s="589">
        <v>80.27</v>
      </c>
      <c r="I61" s="589">
        <v>80.27</v>
      </c>
      <c r="J61" s="589">
        <v>80.27</v>
      </c>
      <c r="K61" s="589">
        <v>81.48</v>
      </c>
      <c r="L61" s="589">
        <v>81.48</v>
      </c>
      <c r="M61" s="589">
        <v>81.48</v>
      </c>
      <c r="N61" s="589">
        <v>81.48</v>
      </c>
      <c r="O61" s="589">
        <v>81.48</v>
      </c>
      <c r="P61" s="589">
        <v>81.48</v>
      </c>
      <c r="Q61" s="594">
        <v>970</v>
      </c>
      <c r="R61" s="568"/>
      <c r="S61" s="13"/>
      <c r="T61" s="13"/>
    </row>
    <row r="62" spans="1:20" ht="15.4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598"/>
      <c r="S62" s="13"/>
      <c r="T62" s="13"/>
    </row>
    <row r="63" spans="1:20" ht="15.4">
      <c r="A63" s="579" t="s">
        <v>122</v>
      </c>
      <c r="B63" s="577">
        <v>102</v>
      </c>
      <c r="C63" s="597">
        <v>1639</v>
      </c>
      <c r="D63" s="581"/>
      <c r="E63" s="581"/>
      <c r="F63" s="581"/>
      <c r="G63" s="581"/>
      <c r="H63" s="581"/>
      <c r="I63" s="581"/>
      <c r="J63" s="581"/>
      <c r="K63" s="581"/>
      <c r="L63" s="581"/>
      <c r="M63" s="581"/>
      <c r="N63" s="581"/>
      <c r="O63" s="581"/>
      <c r="P63" s="581"/>
      <c r="Q63" s="582" t="s">
        <v>380</v>
      </c>
      <c r="R63" s="568"/>
      <c r="S63" s="13"/>
      <c r="T63" s="13"/>
    </row>
    <row r="64" spans="1:20" ht="15.4">
      <c r="A64" s="18"/>
      <c r="B64" s="19" t="s">
        <v>381</v>
      </c>
      <c r="C64" s="566"/>
      <c r="D64" s="566"/>
      <c r="E64" s="584">
        <v>3710.49</v>
      </c>
      <c r="F64" s="584">
        <v>3710.49</v>
      </c>
      <c r="G64" s="584">
        <v>3710.49</v>
      </c>
      <c r="H64" s="584">
        <v>3710.49</v>
      </c>
      <c r="I64" s="584">
        <v>3710.49</v>
      </c>
      <c r="J64" s="584">
        <v>3710.49</v>
      </c>
      <c r="K64" s="584">
        <v>3710.49</v>
      </c>
      <c r="L64" s="584">
        <v>3710.49</v>
      </c>
      <c r="M64" s="584">
        <v>3710.49</v>
      </c>
      <c r="N64" s="584">
        <v>3710.49</v>
      </c>
      <c r="O64" s="584">
        <v>3710.49</v>
      </c>
      <c r="P64" s="584">
        <v>3710.49</v>
      </c>
      <c r="Q64" s="585">
        <v>44526</v>
      </c>
      <c r="R64" s="568"/>
      <c r="S64" s="13"/>
      <c r="T64" s="13"/>
    </row>
    <row r="65" spans="1:20" ht="15.4">
      <c r="A65" s="18"/>
      <c r="B65" s="19" t="s">
        <v>385</v>
      </c>
      <c r="C65" s="566"/>
      <c r="D65" s="586">
        <v>2.5000000000000001E-2</v>
      </c>
      <c r="E65" s="566">
        <v>92.76</v>
      </c>
      <c r="F65" s="566">
        <v>92.76</v>
      </c>
      <c r="G65" s="566">
        <v>92.76</v>
      </c>
      <c r="H65" s="566">
        <v>92.76</v>
      </c>
      <c r="I65" s="566">
        <v>92.76</v>
      </c>
      <c r="J65" s="566">
        <v>92.76</v>
      </c>
      <c r="K65" s="566">
        <v>92.76</v>
      </c>
      <c r="L65" s="566">
        <v>92.76</v>
      </c>
      <c r="M65" s="566">
        <v>92.76</v>
      </c>
      <c r="N65" s="566">
        <v>92.76</v>
      </c>
      <c r="O65" s="566">
        <v>92.76</v>
      </c>
      <c r="P65" s="566">
        <v>92.76</v>
      </c>
      <c r="Q65" s="585">
        <v>1113</v>
      </c>
      <c r="R65" s="568"/>
      <c r="S65" s="13"/>
      <c r="T65" s="13"/>
    </row>
    <row r="66" spans="1:20" ht="15.4">
      <c r="A66" s="22"/>
      <c r="B66" s="23"/>
      <c r="C66" s="588" t="s">
        <v>384</v>
      </c>
      <c r="D66" s="589"/>
      <c r="E66" s="589">
        <v>92.76</v>
      </c>
      <c r="F66" s="589">
        <v>92.76</v>
      </c>
      <c r="G66" s="589">
        <v>92.76</v>
      </c>
      <c r="H66" s="589">
        <v>92.76</v>
      </c>
      <c r="I66" s="589">
        <v>92.76</v>
      </c>
      <c r="J66" s="589">
        <v>92.76</v>
      </c>
      <c r="K66" s="589">
        <v>92.76</v>
      </c>
      <c r="L66" s="589">
        <v>92.76</v>
      </c>
      <c r="M66" s="589">
        <v>92.76</v>
      </c>
      <c r="N66" s="589">
        <v>92.76</v>
      </c>
      <c r="O66" s="589">
        <v>92.76</v>
      </c>
      <c r="P66" s="589">
        <v>92.76</v>
      </c>
      <c r="Q66" s="599">
        <v>1113</v>
      </c>
      <c r="R66" s="568"/>
      <c r="S66" s="13"/>
      <c r="T66" s="13"/>
    </row>
    <row r="67" spans="1:20" ht="15.4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598"/>
      <c r="S67" s="13"/>
      <c r="T67" s="13"/>
    </row>
    <row r="68" spans="1:20" ht="15.4">
      <c r="A68" s="579" t="s">
        <v>109</v>
      </c>
      <c r="B68" s="577">
        <v>103</v>
      </c>
      <c r="C68" s="597">
        <v>3600</v>
      </c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1"/>
      <c r="Q68" s="582" t="s">
        <v>380</v>
      </c>
      <c r="R68" s="568"/>
      <c r="S68" s="13"/>
      <c r="T68" s="13"/>
    </row>
    <row r="69" spans="1:20" ht="15.4">
      <c r="A69" s="18"/>
      <c r="B69" s="19" t="s">
        <v>381</v>
      </c>
      <c r="C69" s="566"/>
      <c r="D69" s="566"/>
      <c r="E69" s="584">
        <v>9279.61</v>
      </c>
      <c r="F69" s="584">
        <v>9279.61</v>
      </c>
      <c r="G69" s="584">
        <v>9279.61</v>
      </c>
      <c r="H69" s="584">
        <v>9279.61</v>
      </c>
      <c r="I69" s="584">
        <v>9279.61</v>
      </c>
      <c r="J69" s="584">
        <v>9279.61</v>
      </c>
      <c r="K69" s="584">
        <v>9279.61</v>
      </c>
      <c r="L69" s="584">
        <v>9279.61</v>
      </c>
      <c r="M69" s="584">
        <v>9279.61</v>
      </c>
      <c r="N69" s="584">
        <v>9279.61</v>
      </c>
      <c r="O69" s="584">
        <v>9279.61</v>
      </c>
      <c r="P69" s="584">
        <v>9279.61</v>
      </c>
      <c r="Q69" s="585">
        <v>111355</v>
      </c>
      <c r="R69" s="568"/>
      <c r="S69" s="13"/>
      <c r="T69" s="13"/>
    </row>
    <row r="70" spans="1:20" ht="15.4">
      <c r="A70" s="18"/>
      <c r="B70" s="19" t="s">
        <v>385</v>
      </c>
      <c r="C70" s="566"/>
      <c r="D70" s="586">
        <v>2.5000000000000001E-2</v>
      </c>
      <c r="E70" s="566">
        <v>231.99</v>
      </c>
      <c r="F70" s="566">
        <v>231.99</v>
      </c>
      <c r="G70" s="566">
        <v>231.99</v>
      </c>
      <c r="H70" s="566">
        <v>231.99</v>
      </c>
      <c r="I70" s="566">
        <v>231.99</v>
      </c>
      <c r="J70" s="566">
        <v>231.99</v>
      </c>
      <c r="K70" s="566">
        <v>231.99</v>
      </c>
      <c r="L70" s="566">
        <v>231.99</v>
      </c>
      <c r="M70" s="566">
        <v>231.99</v>
      </c>
      <c r="N70" s="566">
        <v>231.99</v>
      </c>
      <c r="O70" s="566">
        <v>231.99</v>
      </c>
      <c r="P70" s="566">
        <v>231.99</v>
      </c>
      <c r="Q70" s="585">
        <v>2784</v>
      </c>
      <c r="R70" s="568"/>
      <c r="S70" s="13"/>
      <c r="T70" s="13"/>
    </row>
    <row r="71" spans="1:20" ht="15.4">
      <c r="A71" s="22"/>
      <c r="B71" s="23"/>
      <c r="C71" s="588" t="s">
        <v>384</v>
      </c>
      <c r="D71" s="589"/>
      <c r="E71" s="589">
        <v>231.99</v>
      </c>
      <c r="F71" s="589">
        <v>231.99</v>
      </c>
      <c r="G71" s="589">
        <v>231.99</v>
      </c>
      <c r="H71" s="589">
        <v>231.99</v>
      </c>
      <c r="I71" s="589">
        <v>231.99</v>
      </c>
      <c r="J71" s="589">
        <v>231.99</v>
      </c>
      <c r="K71" s="589">
        <v>231.99</v>
      </c>
      <c r="L71" s="589">
        <v>231.99</v>
      </c>
      <c r="M71" s="589">
        <v>231.99</v>
      </c>
      <c r="N71" s="589">
        <v>231.99</v>
      </c>
      <c r="O71" s="589">
        <v>231.99</v>
      </c>
      <c r="P71" s="589">
        <v>231.99</v>
      </c>
      <c r="Q71" s="599">
        <v>2784</v>
      </c>
      <c r="R71" s="568"/>
      <c r="S71" s="13"/>
      <c r="T71" s="13"/>
    </row>
    <row r="72" spans="1:20" ht="15.4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598"/>
      <c r="S72" s="13"/>
      <c r="T72" s="13"/>
    </row>
    <row r="73" spans="1:20" ht="15.4">
      <c r="A73" s="579" t="s">
        <v>110</v>
      </c>
      <c r="B73" s="577">
        <v>106</v>
      </c>
      <c r="C73" s="597">
        <v>1587</v>
      </c>
      <c r="D73" s="581"/>
      <c r="E73" s="581"/>
      <c r="F73" s="581"/>
      <c r="G73" s="581"/>
      <c r="H73" s="581"/>
      <c r="I73" s="581"/>
      <c r="J73" s="581"/>
      <c r="K73" s="581"/>
      <c r="L73" s="581"/>
      <c r="M73" s="581"/>
      <c r="N73" s="581"/>
      <c r="O73" s="581"/>
      <c r="P73" s="581"/>
      <c r="Q73" s="582" t="s">
        <v>380</v>
      </c>
      <c r="R73" s="568"/>
      <c r="S73" s="13"/>
      <c r="T73" s="13"/>
    </row>
    <row r="74" spans="1:20" ht="15.4">
      <c r="A74" s="18"/>
      <c r="B74" s="19" t="s">
        <v>381</v>
      </c>
      <c r="C74" s="566"/>
      <c r="D74" s="566"/>
      <c r="E74" s="584">
        <v>3454.46</v>
      </c>
      <c r="F74" s="584">
        <v>3454.46</v>
      </c>
      <c r="G74" s="584">
        <v>3454.46</v>
      </c>
      <c r="H74" s="584">
        <v>3454.46</v>
      </c>
      <c r="I74" s="584">
        <v>3454.46</v>
      </c>
      <c r="J74" s="584">
        <v>3454.46</v>
      </c>
      <c r="K74" s="584">
        <v>3454.46</v>
      </c>
      <c r="L74" s="584">
        <v>3454.46</v>
      </c>
      <c r="M74" s="584">
        <v>3454.46</v>
      </c>
      <c r="N74" s="584">
        <v>3745.41</v>
      </c>
      <c r="O74" s="584">
        <v>3745.41</v>
      </c>
      <c r="P74" s="584">
        <v>3745.41</v>
      </c>
      <c r="Q74" s="585">
        <v>42326</v>
      </c>
      <c r="R74" s="568"/>
      <c r="S74" s="13"/>
      <c r="T74" s="13"/>
    </row>
    <row r="75" spans="1:20" ht="15.4">
      <c r="A75" s="18"/>
      <c r="B75" s="19" t="s">
        <v>385</v>
      </c>
      <c r="C75" s="566"/>
      <c r="D75" s="586">
        <v>2.5000000000000001E-2</v>
      </c>
      <c r="E75" s="566">
        <v>86.36</v>
      </c>
      <c r="F75" s="566">
        <v>86.36</v>
      </c>
      <c r="G75" s="566">
        <v>86.36</v>
      </c>
      <c r="H75" s="566">
        <v>86.36</v>
      </c>
      <c r="I75" s="566">
        <v>86.36</v>
      </c>
      <c r="J75" s="566">
        <v>86.36</v>
      </c>
      <c r="K75" s="566">
        <v>86.36</v>
      </c>
      <c r="L75" s="566">
        <v>86.36</v>
      </c>
      <c r="M75" s="566">
        <v>86.36</v>
      </c>
      <c r="N75" s="566">
        <v>93.64</v>
      </c>
      <c r="O75" s="566">
        <v>93.64</v>
      </c>
      <c r="P75" s="566">
        <v>93.64</v>
      </c>
      <c r="Q75" s="585">
        <v>1058</v>
      </c>
      <c r="R75" s="568"/>
      <c r="S75" s="13"/>
      <c r="T75" s="13"/>
    </row>
    <row r="76" spans="1:20" ht="15.4">
      <c r="A76" s="22"/>
      <c r="B76" s="23"/>
      <c r="C76" s="588" t="s">
        <v>384</v>
      </c>
      <c r="D76" s="589"/>
      <c r="E76" s="589">
        <v>86.36</v>
      </c>
      <c r="F76" s="589">
        <v>86.36</v>
      </c>
      <c r="G76" s="589">
        <v>86.36</v>
      </c>
      <c r="H76" s="589">
        <v>86.36</v>
      </c>
      <c r="I76" s="589">
        <v>86.36</v>
      </c>
      <c r="J76" s="589">
        <v>86.36</v>
      </c>
      <c r="K76" s="589">
        <v>86.36</v>
      </c>
      <c r="L76" s="589">
        <v>86.36</v>
      </c>
      <c r="M76" s="589">
        <v>86.36</v>
      </c>
      <c r="N76" s="589">
        <v>93.64</v>
      </c>
      <c r="O76" s="589">
        <v>93.64</v>
      </c>
      <c r="P76" s="589">
        <v>93.64</v>
      </c>
      <c r="Q76" s="599">
        <v>1058</v>
      </c>
      <c r="R76" s="568"/>
      <c r="S76" s="13"/>
      <c r="T76" s="13"/>
    </row>
    <row r="77" spans="1:20" ht="15.4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598"/>
      <c r="S77" s="13"/>
      <c r="T77" s="13"/>
    </row>
    <row r="78" spans="1:20" ht="15.4">
      <c r="A78" s="579" t="s">
        <v>116</v>
      </c>
      <c r="B78" s="577">
        <v>107</v>
      </c>
      <c r="C78" s="597">
        <v>1300</v>
      </c>
      <c r="D78" s="581"/>
      <c r="E78" s="581"/>
      <c r="F78" s="581"/>
      <c r="G78" s="581"/>
      <c r="H78" s="581"/>
      <c r="I78" s="581"/>
      <c r="J78" s="581"/>
      <c r="K78" s="581"/>
      <c r="L78" s="581"/>
      <c r="M78" s="581"/>
      <c r="N78" s="581"/>
      <c r="O78" s="581"/>
      <c r="P78" s="581"/>
      <c r="Q78" s="582" t="s">
        <v>380</v>
      </c>
      <c r="R78" s="568"/>
      <c r="S78" s="13"/>
      <c r="T78" s="13"/>
    </row>
    <row r="79" spans="1:20" ht="15.4">
      <c r="A79" s="18"/>
      <c r="B79" s="19" t="s">
        <v>381</v>
      </c>
      <c r="C79" s="566"/>
      <c r="D79" s="566"/>
      <c r="E79" s="584">
        <v>2657.24</v>
      </c>
      <c r="F79" s="584">
        <v>2657.24</v>
      </c>
      <c r="G79" s="584">
        <v>2657.24</v>
      </c>
      <c r="H79" s="584">
        <v>2715.77</v>
      </c>
      <c r="I79" s="584">
        <v>2715.77</v>
      </c>
      <c r="J79" s="584">
        <v>2715.77</v>
      </c>
      <c r="K79" s="584">
        <v>2715.77</v>
      </c>
      <c r="L79" s="584">
        <v>2715.77</v>
      </c>
      <c r="M79" s="584">
        <v>2715.77</v>
      </c>
      <c r="N79" s="584">
        <v>2715.77</v>
      </c>
      <c r="O79" s="584">
        <v>2715.77</v>
      </c>
      <c r="P79" s="584">
        <v>2715.77</v>
      </c>
      <c r="Q79" s="585">
        <v>32414</v>
      </c>
      <c r="R79" s="568"/>
      <c r="S79" s="13"/>
      <c r="T79" s="13"/>
    </row>
    <row r="80" spans="1:20" ht="15.4">
      <c r="A80" s="18"/>
      <c r="B80" s="19" t="s">
        <v>385</v>
      </c>
      <c r="C80" s="566"/>
      <c r="D80" s="586">
        <v>2.5000000000000001E-2</v>
      </c>
      <c r="E80" s="566">
        <v>66.430000000000007</v>
      </c>
      <c r="F80" s="566">
        <v>66.430000000000007</v>
      </c>
      <c r="G80" s="566">
        <v>66.430000000000007</v>
      </c>
      <c r="H80" s="566">
        <v>67.89</v>
      </c>
      <c r="I80" s="566">
        <v>67.89</v>
      </c>
      <c r="J80" s="566">
        <v>67.89</v>
      </c>
      <c r="K80" s="566">
        <v>67.89</v>
      </c>
      <c r="L80" s="566">
        <v>67.89</v>
      </c>
      <c r="M80" s="566">
        <v>67.89</v>
      </c>
      <c r="N80" s="566">
        <v>67.89</v>
      </c>
      <c r="O80" s="566">
        <v>67.89</v>
      </c>
      <c r="P80" s="566">
        <v>67.89</v>
      </c>
      <c r="Q80" s="593">
        <v>810</v>
      </c>
      <c r="R80" s="568"/>
      <c r="S80" s="13"/>
      <c r="T80" s="13"/>
    </row>
    <row r="81" spans="1:20" ht="15.4">
      <c r="A81" s="22"/>
      <c r="B81" s="23"/>
      <c r="C81" s="588" t="s">
        <v>384</v>
      </c>
      <c r="D81" s="589"/>
      <c r="E81" s="589">
        <v>66.430000000000007</v>
      </c>
      <c r="F81" s="589">
        <v>66.430000000000007</v>
      </c>
      <c r="G81" s="589">
        <v>66.430000000000007</v>
      </c>
      <c r="H81" s="589">
        <v>67.89</v>
      </c>
      <c r="I81" s="589">
        <v>67.89</v>
      </c>
      <c r="J81" s="589">
        <v>67.89</v>
      </c>
      <c r="K81" s="589">
        <v>67.89</v>
      </c>
      <c r="L81" s="589">
        <v>67.89</v>
      </c>
      <c r="M81" s="589">
        <v>67.89</v>
      </c>
      <c r="N81" s="589">
        <v>67.89</v>
      </c>
      <c r="O81" s="589">
        <v>67.89</v>
      </c>
      <c r="P81" s="589">
        <v>67.89</v>
      </c>
      <c r="Q81" s="594">
        <v>810</v>
      </c>
      <c r="R81" s="568"/>
      <c r="S81" s="13"/>
      <c r="T81" s="13"/>
    </row>
    <row r="82" spans="1:20" ht="15.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598"/>
      <c r="S82" s="13"/>
      <c r="T82" s="13"/>
    </row>
    <row r="83" spans="1:20" ht="15.4">
      <c r="A83" s="579" t="s">
        <v>111</v>
      </c>
      <c r="B83" s="577">
        <v>108</v>
      </c>
      <c r="C83" s="597">
        <v>3524</v>
      </c>
      <c r="D83" s="581"/>
      <c r="E83" s="581"/>
      <c r="F83" s="581"/>
      <c r="G83" s="581"/>
      <c r="H83" s="581"/>
      <c r="I83" s="581"/>
      <c r="J83" s="581"/>
      <c r="K83" s="581"/>
      <c r="L83" s="581"/>
      <c r="M83" s="581"/>
      <c r="N83" s="581"/>
      <c r="O83" s="581"/>
      <c r="P83" s="581"/>
      <c r="Q83" s="582" t="s">
        <v>380</v>
      </c>
      <c r="R83" s="568"/>
      <c r="S83" s="13"/>
      <c r="T83" s="13"/>
    </row>
    <row r="84" spans="1:20" ht="15.4">
      <c r="A84" s="18"/>
      <c r="B84" s="19" t="s">
        <v>381</v>
      </c>
      <c r="C84" s="566"/>
      <c r="D84" s="566"/>
      <c r="E84" s="584">
        <v>6731.36</v>
      </c>
      <c r="F84" s="584">
        <v>6731.36</v>
      </c>
      <c r="G84" s="584">
        <v>6731.36</v>
      </c>
      <c r="H84" s="584">
        <v>6731.36</v>
      </c>
      <c r="I84" s="584">
        <v>6731.36</v>
      </c>
      <c r="J84" s="584">
        <v>6731.36</v>
      </c>
      <c r="K84" s="584">
        <v>6731.36</v>
      </c>
      <c r="L84" s="584">
        <v>6731.36</v>
      </c>
      <c r="M84" s="584">
        <v>6731.36</v>
      </c>
      <c r="N84" s="584">
        <v>6731.36</v>
      </c>
      <c r="O84" s="584">
        <v>6731.36</v>
      </c>
      <c r="P84" s="584">
        <v>6731.36</v>
      </c>
      <c r="Q84" s="585">
        <v>80776</v>
      </c>
      <c r="R84" s="568"/>
      <c r="S84" s="13"/>
      <c r="T84" s="13"/>
    </row>
    <row r="85" spans="1:20" ht="15.4">
      <c r="A85" s="18"/>
      <c r="B85" s="19" t="s">
        <v>385</v>
      </c>
      <c r="C85" s="566"/>
      <c r="D85" s="586">
        <v>2.5000000000000001E-2</v>
      </c>
      <c r="E85" s="566">
        <v>168.28</v>
      </c>
      <c r="F85" s="566">
        <v>168.28</v>
      </c>
      <c r="G85" s="566">
        <v>168.28</v>
      </c>
      <c r="H85" s="566">
        <v>168.28</v>
      </c>
      <c r="I85" s="566">
        <v>168.28</v>
      </c>
      <c r="J85" s="566">
        <v>168.28</v>
      </c>
      <c r="K85" s="566">
        <v>168.28</v>
      </c>
      <c r="L85" s="566">
        <v>168.28</v>
      </c>
      <c r="M85" s="566">
        <v>168.28</v>
      </c>
      <c r="N85" s="566">
        <v>168.28</v>
      </c>
      <c r="O85" s="566">
        <v>168.28</v>
      </c>
      <c r="P85" s="566">
        <v>168.28</v>
      </c>
      <c r="Q85" s="585">
        <v>2019</v>
      </c>
      <c r="R85" s="568"/>
      <c r="S85" s="13"/>
      <c r="T85" s="13"/>
    </row>
    <row r="86" spans="1:20" ht="15.4">
      <c r="A86" s="22"/>
      <c r="B86" s="23"/>
      <c r="C86" s="588" t="s">
        <v>384</v>
      </c>
      <c r="D86" s="589"/>
      <c r="E86" s="589">
        <v>168.28</v>
      </c>
      <c r="F86" s="589">
        <v>168.28</v>
      </c>
      <c r="G86" s="589">
        <v>168.28</v>
      </c>
      <c r="H86" s="589">
        <v>168.28</v>
      </c>
      <c r="I86" s="589">
        <v>168.28</v>
      </c>
      <c r="J86" s="589">
        <v>168.28</v>
      </c>
      <c r="K86" s="589">
        <v>168.28</v>
      </c>
      <c r="L86" s="589">
        <v>168.28</v>
      </c>
      <c r="M86" s="589">
        <v>168.28</v>
      </c>
      <c r="N86" s="589">
        <v>168.28</v>
      </c>
      <c r="O86" s="589">
        <v>168.28</v>
      </c>
      <c r="P86" s="589">
        <v>168.28</v>
      </c>
      <c r="Q86" s="599">
        <v>2019</v>
      </c>
      <c r="R86" s="568"/>
      <c r="S86" s="13"/>
      <c r="T86" s="13"/>
    </row>
    <row r="87" spans="1:20" ht="15.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598"/>
      <c r="S87" s="13"/>
      <c r="T87" s="13"/>
    </row>
    <row r="88" spans="1:20" ht="15.4">
      <c r="A88" s="579" t="s">
        <v>120</v>
      </c>
      <c r="B88" s="577">
        <v>111</v>
      </c>
      <c r="C88" s="597">
        <v>3007</v>
      </c>
      <c r="D88" s="581"/>
      <c r="E88" s="581"/>
      <c r="F88" s="581"/>
      <c r="G88" s="581"/>
      <c r="H88" s="581"/>
      <c r="I88" s="581"/>
      <c r="J88" s="581"/>
      <c r="K88" s="581"/>
      <c r="L88" s="581"/>
      <c r="M88" s="581"/>
      <c r="N88" s="581"/>
      <c r="O88" s="581"/>
      <c r="P88" s="581"/>
      <c r="Q88" s="582" t="s">
        <v>380</v>
      </c>
      <c r="R88" s="568"/>
      <c r="S88" s="13"/>
      <c r="T88" s="13"/>
    </row>
    <row r="89" spans="1:20" ht="15.4">
      <c r="A89" s="18"/>
      <c r="B89" s="19" t="s">
        <v>381</v>
      </c>
      <c r="C89" s="566"/>
      <c r="D89" s="566"/>
      <c r="E89" s="566" t="s">
        <v>380</v>
      </c>
      <c r="F89" s="566" t="s">
        <v>386</v>
      </c>
      <c r="G89" s="566" t="s">
        <v>386</v>
      </c>
      <c r="H89" s="566" t="s">
        <v>386</v>
      </c>
      <c r="I89" s="566" t="s">
        <v>386</v>
      </c>
      <c r="J89" s="566" t="s">
        <v>386</v>
      </c>
      <c r="K89" s="584">
        <v>7775.32</v>
      </c>
      <c r="L89" s="584">
        <v>7775.32</v>
      </c>
      <c r="M89" s="584">
        <v>7775.32</v>
      </c>
      <c r="N89" s="584">
        <v>7775.32</v>
      </c>
      <c r="O89" s="584">
        <v>7775.32</v>
      </c>
      <c r="P89" s="584">
        <v>7775.32</v>
      </c>
      <c r="Q89" s="585">
        <v>46652</v>
      </c>
      <c r="R89" s="568"/>
      <c r="S89" s="13"/>
      <c r="T89" s="13"/>
    </row>
    <row r="90" spans="1:20" ht="15.4">
      <c r="A90" s="18"/>
      <c r="B90" s="19" t="s">
        <v>385</v>
      </c>
      <c r="C90" s="566"/>
      <c r="D90" s="586">
        <v>2.5000000000000001E-2</v>
      </c>
      <c r="E90" s="566" t="s">
        <v>380</v>
      </c>
      <c r="F90" s="566" t="s">
        <v>386</v>
      </c>
      <c r="G90" s="566" t="s">
        <v>386</v>
      </c>
      <c r="H90" s="566" t="s">
        <v>386</v>
      </c>
      <c r="I90" s="566" t="s">
        <v>386</v>
      </c>
      <c r="J90" s="566" t="s">
        <v>386</v>
      </c>
      <c r="K90" s="566">
        <v>194.38</v>
      </c>
      <c r="L90" s="566">
        <v>194.38</v>
      </c>
      <c r="M90" s="566">
        <v>194.38</v>
      </c>
      <c r="N90" s="566">
        <v>194.38</v>
      </c>
      <c r="O90" s="566">
        <v>194.38</v>
      </c>
      <c r="P90" s="566">
        <v>194.38</v>
      </c>
      <c r="Q90" s="585">
        <v>1166</v>
      </c>
      <c r="R90" s="568"/>
      <c r="S90" s="13"/>
      <c r="T90" s="13"/>
    </row>
    <row r="91" spans="1:20" ht="15.4">
      <c r="A91" s="22"/>
      <c r="B91" s="23"/>
      <c r="C91" s="588" t="s">
        <v>384</v>
      </c>
      <c r="D91" s="589"/>
      <c r="E91" s="589" t="s">
        <v>380</v>
      </c>
      <c r="F91" s="589" t="s">
        <v>386</v>
      </c>
      <c r="G91" s="589" t="s">
        <v>386</v>
      </c>
      <c r="H91" s="589" t="s">
        <v>386</v>
      </c>
      <c r="I91" s="589" t="s">
        <v>386</v>
      </c>
      <c r="J91" s="589" t="s">
        <v>386</v>
      </c>
      <c r="K91" s="589">
        <v>194.38</v>
      </c>
      <c r="L91" s="589">
        <v>194.38</v>
      </c>
      <c r="M91" s="589">
        <v>194.38</v>
      </c>
      <c r="N91" s="589">
        <v>194.38</v>
      </c>
      <c r="O91" s="589">
        <v>194.38</v>
      </c>
      <c r="P91" s="589">
        <v>194.38</v>
      </c>
      <c r="Q91" s="599">
        <v>1166</v>
      </c>
      <c r="R91" s="568"/>
      <c r="S91" s="13"/>
      <c r="T91" s="13"/>
    </row>
    <row r="92" spans="1:20" ht="15.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598"/>
      <c r="S92" s="13"/>
      <c r="T92" s="13"/>
    </row>
    <row r="93" spans="1:20" ht="15.4">
      <c r="A93" s="579" t="s">
        <v>87</v>
      </c>
      <c r="B93" s="577">
        <v>0</v>
      </c>
      <c r="C93" s="577" t="s">
        <v>376</v>
      </c>
      <c r="D93" s="581"/>
      <c r="E93" s="581"/>
      <c r="F93" s="581"/>
      <c r="G93" s="581"/>
      <c r="H93" s="581"/>
      <c r="I93" s="581"/>
      <c r="J93" s="581"/>
      <c r="K93" s="581"/>
      <c r="L93" s="581"/>
      <c r="M93" s="581"/>
      <c r="N93" s="581"/>
      <c r="O93" s="581"/>
      <c r="P93" s="581"/>
      <c r="Q93" s="582" t="s">
        <v>380</v>
      </c>
      <c r="R93" s="568"/>
      <c r="S93" s="13"/>
      <c r="T93" s="13"/>
    </row>
    <row r="94" spans="1:20" ht="15.4">
      <c r="A94" s="18" t="s">
        <v>387</v>
      </c>
      <c r="B94" s="19" t="s">
        <v>381</v>
      </c>
      <c r="C94" s="566"/>
      <c r="D94" s="566"/>
      <c r="E94" s="584">
        <v>2000</v>
      </c>
      <c r="F94" s="584">
        <v>2000</v>
      </c>
      <c r="G94" s="584">
        <v>2000</v>
      </c>
      <c r="H94" s="584">
        <v>2000</v>
      </c>
      <c r="I94" s="584">
        <v>2000</v>
      </c>
      <c r="J94" s="584">
        <v>2000</v>
      </c>
      <c r="K94" s="584">
        <v>2000</v>
      </c>
      <c r="L94" s="584">
        <v>2000</v>
      </c>
      <c r="M94" s="584">
        <v>2000</v>
      </c>
      <c r="N94" s="584">
        <v>2000</v>
      </c>
      <c r="O94" s="584">
        <v>2000</v>
      </c>
      <c r="P94" s="584">
        <v>2000</v>
      </c>
      <c r="Q94" s="585">
        <v>24000</v>
      </c>
      <c r="R94" s="568"/>
      <c r="S94" s="13"/>
      <c r="T94" s="13"/>
    </row>
    <row r="95" spans="1:20" ht="15.4">
      <c r="A95" s="18"/>
      <c r="B95" s="19" t="s">
        <v>385</v>
      </c>
      <c r="C95" s="566"/>
      <c r="D95" s="586">
        <v>2.5000000000000001E-2</v>
      </c>
      <c r="E95" s="566">
        <v>50</v>
      </c>
      <c r="F95" s="566">
        <v>50</v>
      </c>
      <c r="G95" s="566">
        <v>50</v>
      </c>
      <c r="H95" s="566">
        <v>50</v>
      </c>
      <c r="I95" s="566">
        <v>50</v>
      </c>
      <c r="J95" s="566">
        <v>50</v>
      </c>
      <c r="K95" s="566">
        <v>50</v>
      </c>
      <c r="L95" s="566">
        <v>50</v>
      </c>
      <c r="M95" s="566">
        <v>50</v>
      </c>
      <c r="N95" s="566">
        <v>50</v>
      </c>
      <c r="O95" s="566">
        <v>50</v>
      </c>
      <c r="P95" s="566">
        <v>50</v>
      </c>
      <c r="Q95" s="593">
        <v>600</v>
      </c>
      <c r="R95" s="568"/>
      <c r="S95" s="13"/>
      <c r="T95" s="13"/>
    </row>
    <row r="96" spans="1:20" ht="15.4">
      <c r="A96" s="22"/>
      <c r="B96" s="23"/>
      <c r="C96" s="588" t="s">
        <v>384</v>
      </c>
      <c r="D96" s="589"/>
      <c r="E96" s="589">
        <v>50</v>
      </c>
      <c r="F96" s="589">
        <v>50</v>
      </c>
      <c r="G96" s="589">
        <v>50</v>
      </c>
      <c r="H96" s="589">
        <v>50</v>
      </c>
      <c r="I96" s="589">
        <v>50</v>
      </c>
      <c r="J96" s="589">
        <v>50</v>
      </c>
      <c r="K96" s="589">
        <v>50</v>
      </c>
      <c r="L96" s="589">
        <v>50</v>
      </c>
      <c r="M96" s="589">
        <v>50</v>
      </c>
      <c r="N96" s="589">
        <v>50</v>
      </c>
      <c r="O96" s="589">
        <v>50</v>
      </c>
      <c r="P96" s="589">
        <v>50</v>
      </c>
      <c r="Q96" s="594">
        <v>600</v>
      </c>
      <c r="R96" s="568"/>
      <c r="S96" s="13"/>
      <c r="T96" s="13"/>
    </row>
    <row r="97" spans="1:20" ht="15.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598"/>
      <c r="S97" s="13"/>
      <c r="T97" s="13"/>
    </row>
    <row r="98" spans="1:20" ht="15.4">
      <c r="A98" s="579" t="s">
        <v>60</v>
      </c>
      <c r="B98" s="577">
        <v>0</v>
      </c>
      <c r="C98" s="577" t="s">
        <v>376</v>
      </c>
      <c r="D98" s="581"/>
      <c r="E98" s="581"/>
      <c r="F98" s="581"/>
      <c r="G98" s="581"/>
      <c r="H98" s="581"/>
      <c r="I98" s="581"/>
      <c r="J98" s="581"/>
      <c r="K98" s="581"/>
      <c r="L98" s="581"/>
      <c r="M98" s="581"/>
      <c r="N98" s="581"/>
      <c r="O98" s="581"/>
      <c r="P98" s="581"/>
      <c r="Q98" s="582" t="s">
        <v>380</v>
      </c>
      <c r="R98" s="568"/>
      <c r="S98" s="13"/>
      <c r="T98" s="13"/>
    </row>
    <row r="99" spans="1:20" ht="15.4">
      <c r="A99" s="18" t="s">
        <v>387</v>
      </c>
      <c r="B99" s="19" t="s">
        <v>381</v>
      </c>
      <c r="C99" s="566"/>
      <c r="D99" s="566"/>
      <c r="E99" s="584">
        <v>1500</v>
      </c>
      <c r="F99" s="584">
        <v>1500</v>
      </c>
      <c r="G99" s="584">
        <v>1500</v>
      </c>
      <c r="H99" s="584">
        <v>1500</v>
      </c>
      <c r="I99" s="584">
        <v>1500</v>
      </c>
      <c r="J99" s="584">
        <v>1500</v>
      </c>
      <c r="K99" s="584">
        <v>1500</v>
      </c>
      <c r="L99" s="584">
        <v>1500</v>
      </c>
      <c r="M99" s="584">
        <v>1500</v>
      </c>
      <c r="N99" s="584">
        <v>1500</v>
      </c>
      <c r="O99" s="584">
        <v>1500</v>
      </c>
      <c r="P99" s="584">
        <v>1500</v>
      </c>
      <c r="Q99" s="585">
        <v>18000</v>
      </c>
      <c r="R99" s="568"/>
      <c r="S99" s="13"/>
      <c r="T99" s="13"/>
    </row>
    <row r="100" spans="1:20" ht="15.4">
      <c r="A100" s="18"/>
      <c r="B100" s="19" t="s">
        <v>385</v>
      </c>
      <c r="C100" s="566"/>
      <c r="D100" s="586">
        <v>2.5000000000000001E-2</v>
      </c>
      <c r="E100" s="566">
        <v>37.5</v>
      </c>
      <c r="F100" s="566">
        <v>37.5</v>
      </c>
      <c r="G100" s="566">
        <v>37.5</v>
      </c>
      <c r="H100" s="566">
        <v>37.5</v>
      </c>
      <c r="I100" s="566">
        <v>37.5</v>
      </c>
      <c r="J100" s="566">
        <v>37.5</v>
      </c>
      <c r="K100" s="566">
        <v>37.5</v>
      </c>
      <c r="L100" s="566">
        <v>37.5</v>
      </c>
      <c r="M100" s="566">
        <v>37.5</v>
      </c>
      <c r="N100" s="566">
        <v>37.5</v>
      </c>
      <c r="O100" s="566">
        <v>37.5</v>
      </c>
      <c r="P100" s="566">
        <v>37.5</v>
      </c>
      <c r="Q100" s="593">
        <v>450</v>
      </c>
      <c r="R100" s="568"/>
      <c r="S100" s="13"/>
      <c r="T100" s="13"/>
    </row>
    <row r="101" spans="1:20" ht="15.4">
      <c r="A101" s="22"/>
      <c r="B101" s="23"/>
      <c r="C101" s="588" t="s">
        <v>384</v>
      </c>
      <c r="D101" s="589"/>
      <c r="E101" s="589">
        <v>37.5</v>
      </c>
      <c r="F101" s="589">
        <v>37.5</v>
      </c>
      <c r="G101" s="589">
        <v>37.5</v>
      </c>
      <c r="H101" s="589">
        <v>37.5</v>
      </c>
      <c r="I101" s="589">
        <v>37.5</v>
      </c>
      <c r="J101" s="589">
        <v>37.5</v>
      </c>
      <c r="K101" s="589">
        <v>37.5</v>
      </c>
      <c r="L101" s="589">
        <v>37.5</v>
      </c>
      <c r="M101" s="589">
        <v>37.5</v>
      </c>
      <c r="N101" s="589">
        <v>37.5</v>
      </c>
      <c r="O101" s="589">
        <v>37.5</v>
      </c>
      <c r="P101" s="589">
        <v>37.5</v>
      </c>
      <c r="Q101" s="594">
        <v>450</v>
      </c>
      <c r="R101" s="568"/>
      <c r="S101" s="13"/>
      <c r="T101" s="13"/>
    </row>
    <row r="102" spans="1:20" ht="15.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598"/>
      <c r="S102" s="13"/>
      <c r="T102" s="13"/>
    </row>
    <row r="103" spans="1:20" ht="15.4">
      <c r="A103" s="579" t="s">
        <v>35</v>
      </c>
      <c r="B103" s="577">
        <v>0</v>
      </c>
      <c r="C103" s="577" t="s">
        <v>376</v>
      </c>
      <c r="D103" s="581"/>
      <c r="E103" s="581"/>
      <c r="F103" s="581"/>
      <c r="G103" s="581"/>
      <c r="H103" s="581"/>
      <c r="I103" s="581"/>
      <c r="J103" s="581"/>
      <c r="K103" s="581"/>
      <c r="L103" s="581"/>
      <c r="M103" s="581"/>
      <c r="N103" s="581"/>
      <c r="O103" s="581"/>
      <c r="P103" s="581"/>
      <c r="Q103" s="582" t="s">
        <v>380</v>
      </c>
      <c r="R103" s="568"/>
      <c r="S103" s="13"/>
      <c r="T103" s="13"/>
    </row>
    <row r="104" spans="1:20" ht="15.4">
      <c r="A104" s="18" t="s">
        <v>387</v>
      </c>
      <c r="B104" s="19" t="s">
        <v>381</v>
      </c>
      <c r="C104" s="566"/>
      <c r="D104" s="566"/>
      <c r="E104" s="566">
        <v>15</v>
      </c>
      <c r="F104" s="566">
        <v>15</v>
      </c>
      <c r="G104" s="566">
        <v>15</v>
      </c>
      <c r="H104" s="566">
        <v>15</v>
      </c>
      <c r="I104" s="566">
        <v>15</v>
      </c>
      <c r="J104" s="566">
        <v>15</v>
      </c>
      <c r="K104" s="566">
        <v>15</v>
      </c>
      <c r="L104" s="566">
        <v>15</v>
      </c>
      <c r="M104" s="566">
        <v>15</v>
      </c>
      <c r="N104" s="566">
        <v>15</v>
      </c>
      <c r="O104" s="566">
        <v>15</v>
      </c>
      <c r="P104" s="584">
        <v>4585.83</v>
      </c>
      <c r="Q104" s="585">
        <v>4751</v>
      </c>
      <c r="R104" s="568"/>
      <c r="S104" s="13"/>
      <c r="T104" s="13"/>
    </row>
    <row r="105" spans="1:20" ht="15.4">
      <c r="A105" s="18"/>
      <c r="B105" s="19" t="s">
        <v>385</v>
      </c>
      <c r="C105" s="566"/>
      <c r="D105" s="586">
        <v>2.5000000000000001E-2</v>
      </c>
      <c r="E105" s="566">
        <v>0.38</v>
      </c>
      <c r="F105" s="566">
        <v>0.38</v>
      </c>
      <c r="G105" s="566">
        <v>0.38</v>
      </c>
      <c r="H105" s="566">
        <v>0.38</v>
      </c>
      <c r="I105" s="566">
        <v>0.38</v>
      </c>
      <c r="J105" s="566">
        <v>0.38</v>
      </c>
      <c r="K105" s="566">
        <v>0.38</v>
      </c>
      <c r="L105" s="566">
        <v>0.38</v>
      </c>
      <c r="M105" s="566">
        <v>0.38</v>
      </c>
      <c r="N105" s="566">
        <v>0.38</v>
      </c>
      <c r="O105" s="566">
        <v>0.38</v>
      </c>
      <c r="P105" s="566">
        <v>114.65</v>
      </c>
      <c r="Q105" s="593">
        <v>119</v>
      </c>
      <c r="R105" s="568"/>
      <c r="S105" s="13"/>
      <c r="T105" s="13"/>
    </row>
    <row r="106" spans="1:20" ht="15.4">
      <c r="A106" s="22"/>
      <c r="B106" s="23"/>
      <c r="C106" s="588" t="s">
        <v>384</v>
      </c>
      <c r="D106" s="589"/>
      <c r="E106" s="589">
        <v>0.38</v>
      </c>
      <c r="F106" s="589">
        <v>0.38</v>
      </c>
      <c r="G106" s="589">
        <v>0.38</v>
      </c>
      <c r="H106" s="589">
        <v>0.38</v>
      </c>
      <c r="I106" s="589">
        <v>0.38</v>
      </c>
      <c r="J106" s="589">
        <v>0.38</v>
      </c>
      <c r="K106" s="589">
        <v>0.38</v>
      </c>
      <c r="L106" s="589">
        <v>0.38</v>
      </c>
      <c r="M106" s="589">
        <v>0.38</v>
      </c>
      <c r="N106" s="589">
        <v>0.38</v>
      </c>
      <c r="O106" s="589">
        <v>0.38</v>
      </c>
      <c r="P106" s="589">
        <v>114.65</v>
      </c>
      <c r="Q106" s="594">
        <v>119</v>
      </c>
      <c r="R106" s="568"/>
      <c r="S106" s="13"/>
      <c r="T106" s="13"/>
    </row>
    <row r="107" spans="1:20" ht="15.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598"/>
      <c r="S107" s="13"/>
      <c r="T107" s="13"/>
    </row>
    <row r="108" spans="1:20" ht="15.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598"/>
      <c r="S108" s="13"/>
      <c r="T108" s="13"/>
    </row>
    <row r="109" spans="1:20" ht="15.4">
      <c r="A109" s="600" t="s">
        <v>388</v>
      </c>
      <c r="B109" s="601"/>
      <c r="C109" s="601"/>
      <c r="D109" s="601"/>
      <c r="E109" s="602">
        <v>3421.18</v>
      </c>
      <c r="F109" s="602">
        <v>3421.18</v>
      </c>
      <c r="G109" s="602">
        <v>3421.18</v>
      </c>
      <c r="H109" s="602">
        <v>3424.92</v>
      </c>
      <c r="I109" s="602">
        <v>3426.77</v>
      </c>
      <c r="J109" s="602">
        <v>3426.77</v>
      </c>
      <c r="K109" s="602">
        <v>3622.37</v>
      </c>
      <c r="L109" s="602">
        <v>3622.37</v>
      </c>
      <c r="M109" s="602">
        <v>3622.37</v>
      </c>
      <c r="N109" s="602">
        <v>3634.28</v>
      </c>
      <c r="O109" s="602">
        <v>3638.67</v>
      </c>
      <c r="P109" s="602">
        <v>3752.94</v>
      </c>
      <c r="Q109" s="603">
        <v>42435.02</v>
      </c>
      <c r="R109" s="598" t="s">
        <v>389</v>
      </c>
      <c r="S109" s="13"/>
      <c r="T109" s="13"/>
    </row>
    <row r="110" spans="1:20" ht="15.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5.4">
      <c r="A111" s="13"/>
      <c r="B111" s="83" t="s">
        <v>347</v>
      </c>
      <c r="C111" s="604"/>
      <c r="D111" s="605"/>
      <c r="E111" s="604" t="s">
        <v>390</v>
      </c>
      <c r="F111" s="604" t="s">
        <v>391</v>
      </c>
      <c r="G111" s="604" t="s">
        <v>391</v>
      </c>
      <c r="H111" s="604" t="s">
        <v>391</v>
      </c>
      <c r="I111" s="604" t="s">
        <v>391</v>
      </c>
      <c r="J111" s="604" t="s">
        <v>391</v>
      </c>
      <c r="K111" s="604" t="s">
        <v>391</v>
      </c>
      <c r="L111" s="604" t="s">
        <v>391</v>
      </c>
      <c r="M111" s="604" t="s">
        <v>391</v>
      </c>
      <c r="N111" s="604" t="s">
        <v>391</v>
      </c>
      <c r="O111" s="604" t="s">
        <v>391</v>
      </c>
      <c r="P111" s="606" t="s">
        <v>391</v>
      </c>
      <c r="Q111" s="13"/>
      <c r="R111" s="13"/>
      <c r="S111" s="13"/>
      <c r="T111" s="13"/>
    </row>
    <row r="112" spans="1:20" ht="15.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5.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5.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5.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</sheetData>
  <mergeCells count="6">
    <mergeCell ref="Q8:Q10"/>
    <mergeCell ref="A2:Q2"/>
    <mergeCell ref="A3:Q3"/>
    <mergeCell ref="A4:Q4"/>
    <mergeCell ref="A5:Q5"/>
    <mergeCell ref="A6:Q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0C94-74A6-4040-B324-45088DEF7EBC}">
  <sheetPr codeName="Sheet11">
    <tabColor rgb="FFFFFF00"/>
    <pageSetUpPr fitToPage="1"/>
  </sheetPr>
  <dimension ref="A1:V118"/>
  <sheetViews>
    <sheetView view="pageBreakPreview" topLeftCell="A83" zoomScale="80" zoomScaleNormal="85" zoomScaleSheetLayoutView="80" workbookViewId="0">
      <selection activeCell="E99" sqref="E99:E100"/>
    </sheetView>
  </sheetViews>
  <sheetFormatPr defaultRowHeight="12.75"/>
  <cols>
    <col min="1" max="1" width="51.42578125" style="1" customWidth="1"/>
    <col min="2" max="2" width="22.42578125" style="1" customWidth="1"/>
    <col min="3" max="3" width="11.42578125" style="1" customWidth="1"/>
    <col min="4" max="4" width="10.42578125" style="1" bestFit="1" customWidth="1"/>
    <col min="5" max="5" width="11.42578125" style="1" bestFit="1" customWidth="1"/>
    <col min="6" max="6" width="16.42578125" style="1" bestFit="1" customWidth="1"/>
    <col min="7" max="17" width="11.42578125" style="1" bestFit="1" customWidth="1"/>
    <col min="18" max="19" width="0" style="1" hidden="1" customWidth="1"/>
    <col min="20" max="20" width="55.42578125" style="1" customWidth="1"/>
    <col min="21" max="256" width="9.42578125" style="1"/>
    <col min="257" max="257" width="51.42578125" style="1" customWidth="1"/>
    <col min="258" max="258" width="11.42578125" style="1" bestFit="1" customWidth="1"/>
    <col min="259" max="259" width="11.42578125" style="1" customWidth="1"/>
    <col min="260" max="260" width="10.42578125" style="1" bestFit="1" customWidth="1"/>
    <col min="261" max="273" width="11.42578125" style="1" bestFit="1" customWidth="1"/>
    <col min="274" max="275" width="0" style="1" hidden="1" customWidth="1"/>
    <col min="276" max="276" width="55.42578125" style="1" customWidth="1"/>
    <col min="277" max="512" width="9.42578125" style="1"/>
    <col min="513" max="513" width="51.42578125" style="1" customWidth="1"/>
    <col min="514" max="514" width="11.42578125" style="1" bestFit="1" customWidth="1"/>
    <col min="515" max="515" width="11.42578125" style="1" customWidth="1"/>
    <col min="516" max="516" width="10.42578125" style="1" bestFit="1" customWidth="1"/>
    <col min="517" max="529" width="11.42578125" style="1" bestFit="1" customWidth="1"/>
    <col min="530" max="531" width="0" style="1" hidden="1" customWidth="1"/>
    <col min="532" max="532" width="55.42578125" style="1" customWidth="1"/>
    <col min="533" max="768" width="9.42578125" style="1"/>
    <col min="769" max="769" width="51.42578125" style="1" customWidth="1"/>
    <col min="770" max="770" width="11.42578125" style="1" bestFit="1" customWidth="1"/>
    <col min="771" max="771" width="11.42578125" style="1" customWidth="1"/>
    <col min="772" max="772" width="10.42578125" style="1" bestFit="1" customWidth="1"/>
    <col min="773" max="785" width="11.42578125" style="1" bestFit="1" customWidth="1"/>
    <col min="786" max="787" width="0" style="1" hidden="1" customWidth="1"/>
    <col min="788" max="788" width="55.42578125" style="1" customWidth="1"/>
    <col min="789" max="1024" width="9.42578125" style="1"/>
    <col min="1025" max="1025" width="51.42578125" style="1" customWidth="1"/>
    <col min="1026" max="1026" width="11.42578125" style="1" bestFit="1" customWidth="1"/>
    <col min="1027" max="1027" width="11.42578125" style="1" customWidth="1"/>
    <col min="1028" max="1028" width="10.42578125" style="1" bestFit="1" customWidth="1"/>
    <col min="1029" max="1041" width="11.42578125" style="1" bestFit="1" customWidth="1"/>
    <col min="1042" max="1043" width="0" style="1" hidden="1" customWidth="1"/>
    <col min="1044" max="1044" width="55.42578125" style="1" customWidth="1"/>
    <col min="1045" max="1280" width="9.42578125" style="1"/>
    <col min="1281" max="1281" width="51.42578125" style="1" customWidth="1"/>
    <col min="1282" max="1282" width="11.42578125" style="1" bestFit="1" customWidth="1"/>
    <col min="1283" max="1283" width="11.42578125" style="1" customWidth="1"/>
    <col min="1284" max="1284" width="10.42578125" style="1" bestFit="1" customWidth="1"/>
    <col min="1285" max="1297" width="11.42578125" style="1" bestFit="1" customWidth="1"/>
    <col min="1298" max="1299" width="0" style="1" hidden="1" customWidth="1"/>
    <col min="1300" max="1300" width="55.42578125" style="1" customWidth="1"/>
    <col min="1301" max="1536" width="9.42578125" style="1"/>
    <col min="1537" max="1537" width="51.42578125" style="1" customWidth="1"/>
    <col min="1538" max="1538" width="11.42578125" style="1" bestFit="1" customWidth="1"/>
    <col min="1539" max="1539" width="11.42578125" style="1" customWidth="1"/>
    <col min="1540" max="1540" width="10.42578125" style="1" bestFit="1" customWidth="1"/>
    <col min="1541" max="1553" width="11.42578125" style="1" bestFit="1" customWidth="1"/>
    <col min="1554" max="1555" width="0" style="1" hidden="1" customWidth="1"/>
    <col min="1556" max="1556" width="55.42578125" style="1" customWidth="1"/>
    <col min="1557" max="1792" width="9.42578125" style="1"/>
    <col min="1793" max="1793" width="51.42578125" style="1" customWidth="1"/>
    <col min="1794" max="1794" width="11.42578125" style="1" bestFit="1" customWidth="1"/>
    <col min="1795" max="1795" width="11.42578125" style="1" customWidth="1"/>
    <col min="1796" max="1796" width="10.42578125" style="1" bestFit="1" customWidth="1"/>
    <col min="1797" max="1809" width="11.42578125" style="1" bestFit="1" customWidth="1"/>
    <col min="1810" max="1811" width="0" style="1" hidden="1" customWidth="1"/>
    <col min="1812" max="1812" width="55.42578125" style="1" customWidth="1"/>
    <col min="1813" max="2048" width="9.42578125" style="1"/>
    <col min="2049" max="2049" width="51.42578125" style="1" customWidth="1"/>
    <col min="2050" max="2050" width="11.42578125" style="1" bestFit="1" customWidth="1"/>
    <col min="2051" max="2051" width="11.42578125" style="1" customWidth="1"/>
    <col min="2052" max="2052" width="10.42578125" style="1" bestFit="1" customWidth="1"/>
    <col min="2053" max="2065" width="11.42578125" style="1" bestFit="1" customWidth="1"/>
    <col min="2066" max="2067" width="0" style="1" hidden="1" customWidth="1"/>
    <col min="2068" max="2068" width="55.42578125" style="1" customWidth="1"/>
    <col min="2069" max="2304" width="9.42578125" style="1"/>
    <col min="2305" max="2305" width="51.42578125" style="1" customWidth="1"/>
    <col min="2306" max="2306" width="11.42578125" style="1" bestFit="1" customWidth="1"/>
    <col min="2307" max="2307" width="11.42578125" style="1" customWidth="1"/>
    <col min="2308" max="2308" width="10.42578125" style="1" bestFit="1" customWidth="1"/>
    <col min="2309" max="2321" width="11.42578125" style="1" bestFit="1" customWidth="1"/>
    <col min="2322" max="2323" width="0" style="1" hidden="1" customWidth="1"/>
    <col min="2324" max="2324" width="55.42578125" style="1" customWidth="1"/>
    <col min="2325" max="2560" width="9.42578125" style="1"/>
    <col min="2561" max="2561" width="51.42578125" style="1" customWidth="1"/>
    <col min="2562" max="2562" width="11.42578125" style="1" bestFit="1" customWidth="1"/>
    <col min="2563" max="2563" width="11.42578125" style="1" customWidth="1"/>
    <col min="2564" max="2564" width="10.42578125" style="1" bestFit="1" customWidth="1"/>
    <col min="2565" max="2577" width="11.42578125" style="1" bestFit="1" customWidth="1"/>
    <col min="2578" max="2579" width="0" style="1" hidden="1" customWidth="1"/>
    <col min="2580" max="2580" width="55.42578125" style="1" customWidth="1"/>
    <col min="2581" max="2816" width="9.42578125" style="1"/>
    <col min="2817" max="2817" width="51.42578125" style="1" customWidth="1"/>
    <col min="2818" max="2818" width="11.42578125" style="1" bestFit="1" customWidth="1"/>
    <col min="2819" max="2819" width="11.42578125" style="1" customWidth="1"/>
    <col min="2820" max="2820" width="10.42578125" style="1" bestFit="1" customWidth="1"/>
    <col min="2821" max="2833" width="11.42578125" style="1" bestFit="1" customWidth="1"/>
    <col min="2834" max="2835" width="0" style="1" hidden="1" customWidth="1"/>
    <col min="2836" max="2836" width="55.42578125" style="1" customWidth="1"/>
    <col min="2837" max="3072" width="9.42578125" style="1"/>
    <col min="3073" max="3073" width="51.42578125" style="1" customWidth="1"/>
    <col min="3074" max="3074" width="11.42578125" style="1" bestFit="1" customWidth="1"/>
    <col min="3075" max="3075" width="11.42578125" style="1" customWidth="1"/>
    <col min="3076" max="3076" width="10.42578125" style="1" bestFit="1" customWidth="1"/>
    <col min="3077" max="3089" width="11.42578125" style="1" bestFit="1" customWidth="1"/>
    <col min="3090" max="3091" width="0" style="1" hidden="1" customWidth="1"/>
    <col min="3092" max="3092" width="55.42578125" style="1" customWidth="1"/>
    <col min="3093" max="3328" width="9.42578125" style="1"/>
    <col min="3329" max="3329" width="51.42578125" style="1" customWidth="1"/>
    <col min="3330" max="3330" width="11.42578125" style="1" bestFit="1" customWidth="1"/>
    <col min="3331" max="3331" width="11.42578125" style="1" customWidth="1"/>
    <col min="3332" max="3332" width="10.42578125" style="1" bestFit="1" customWidth="1"/>
    <col min="3333" max="3345" width="11.42578125" style="1" bestFit="1" customWidth="1"/>
    <col min="3346" max="3347" width="0" style="1" hidden="1" customWidth="1"/>
    <col min="3348" max="3348" width="55.42578125" style="1" customWidth="1"/>
    <col min="3349" max="3584" width="9.42578125" style="1"/>
    <col min="3585" max="3585" width="51.42578125" style="1" customWidth="1"/>
    <col min="3586" max="3586" width="11.42578125" style="1" bestFit="1" customWidth="1"/>
    <col min="3587" max="3587" width="11.42578125" style="1" customWidth="1"/>
    <col min="3588" max="3588" width="10.42578125" style="1" bestFit="1" customWidth="1"/>
    <col min="3589" max="3601" width="11.42578125" style="1" bestFit="1" customWidth="1"/>
    <col min="3602" max="3603" width="0" style="1" hidden="1" customWidth="1"/>
    <col min="3604" max="3604" width="55.42578125" style="1" customWidth="1"/>
    <col min="3605" max="3840" width="9.42578125" style="1"/>
    <col min="3841" max="3841" width="51.42578125" style="1" customWidth="1"/>
    <col min="3842" max="3842" width="11.42578125" style="1" bestFit="1" customWidth="1"/>
    <col min="3843" max="3843" width="11.42578125" style="1" customWidth="1"/>
    <col min="3844" max="3844" width="10.42578125" style="1" bestFit="1" customWidth="1"/>
    <col min="3845" max="3857" width="11.42578125" style="1" bestFit="1" customWidth="1"/>
    <col min="3858" max="3859" width="0" style="1" hidden="1" customWidth="1"/>
    <col min="3860" max="3860" width="55.42578125" style="1" customWidth="1"/>
    <col min="3861" max="4096" width="9.42578125" style="1"/>
    <col min="4097" max="4097" width="51.42578125" style="1" customWidth="1"/>
    <col min="4098" max="4098" width="11.42578125" style="1" bestFit="1" customWidth="1"/>
    <col min="4099" max="4099" width="11.42578125" style="1" customWidth="1"/>
    <col min="4100" max="4100" width="10.42578125" style="1" bestFit="1" customWidth="1"/>
    <col min="4101" max="4113" width="11.42578125" style="1" bestFit="1" customWidth="1"/>
    <col min="4114" max="4115" width="0" style="1" hidden="1" customWidth="1"/>
    <col min="4116" max="4116" width="55.42578125" style="1" customWidth="1"/>
    <col min="4117" max="4352" width="9.42578125" style="1"/>
    <col min="4353" max="4353" width="51.42578125" style="1" customWidth="1"/>
    <col min="4354" max="4354" width="11.42578125" style="1" bestFit="1" customWidth="1"/>
    <col min="4355" max="4355" width="11.42578125" style="1" customWidth="1"/>
    <col min="4356" max="4356" width="10.42578125" style="1" bestFit="1" customWidth="1"/>
    <col min="4357" max="4369" width="11.42578125" style="1" bestFit="1" customWidth="1"/>
    <col min="4370" max="4371" width="0" style="1" hidden="1" customWidth="1"/>
    <col min="4372" max="4372" width="55.42578125" style="1" customWidth="1"/>
    <col min="4373" max="4608" width="9.42578125" style="1"/>
    <col min="4609" max="4609" width="51.42578125" style="1" customWidth="1"/>
    <col min="4610" max="4610" width="11.42578125" style="1" bestFit="1" customWidth="1"/>
    <col min="4611" max="4611" width="11.42578125" style="1" customWidth="1"/>
    <col min="4612" max="4612" width="10.42578125" style="1" bestFit="1" customWidth="1"/>
    <col min="4613" max="4625" width="11.42578125" style="1" bestFit="1" customWidth="1"/>
    <col min="4626" max="4627" width="0" style="1" hidden="1" customWidth="1"/>
    <col min="4628" max="4628" width="55.42578125" style="1" customWidth="1"/>
    <col min="4629" max="4864" width="9.42578125" style="1"/>
    <col min="4865" max="4865" width="51.42578125" style="1" customWidth="1"/>
    <col min="4866" max="4866" width="11.42578125" style="1" bestFit="1" customWidth="1"/>
    <col min="4867" max="4867" width="11.42578125" style="1" customWidth="1"/>
    <col min="4868" max="4868" width="10.42578125" style="1" bestFit="1" customWidth="1"/>
    <col min="4869" max="4881" width="11.42578125" style="1" bestFit="1" customWidth="1"/>
    <col min="4882" max="4883" width="0" style="1" hidden="1" customWidth="1"/>
    <col min="4884" max="4884" width="55.42578125" style="1" customWidth="1"/>
    <col min="4885" max="5120" width="9.42578125" style="1"/>
    <col min="5121" max="5121" width="51.42578125" style="1" customWidth="1"/>
    <col min="5122" max="5122" width="11.42578125" style="1" bestFit="1" customWidth="1"/>
    <col min="5123" max="5123" width="11.42578125" style="1" customWidth="1"/>
    <col min="5124" max="5124" width="10.42578125" style="1" bestFit="1" customWidth="1"/>
    <col min="5125" max="5137" width="11.42578125" style="1" bestFit="1" customWidth="1"/>
    <col min="5138" max="5139" width="0" style="1" hidden="1" customWidth="1"/>
    <col min="5140" max="5140" width="55.42578125" style="1" customWidth="1"/>
    <col min="5141" max="5376" width="9.42578125" style="1"/>
    <col min="5377" max="5377" width="51.42578125" style="1" customWidth="1"/>
    <col min="5378" max="5378" width="11.42578125" style="1" bestFit="1" customWidth="1"/>
    <col min="5379" max="5379" width="11.42578125" style="1" customWidth="1"/>
    <col min="5380" max="5380" width="10.42578125" style="1" bestFit="1" customWidth="1"/>
    <col min="5381" max="5393" width="11.42578125" style="1" bestFit="1" customWidth="1"/>
    <col min="5394" max="5395" width="0" style="1" hidden="1" customWidth="1"/>
    <col min="5396" max="5396" width="55.42578125" style="1" customWidth="1"/>
    <col min="5397" max="5632" width="9.42578125" style="1"/>
    <col min="5633" max="5633" width="51.42578125" style="1" customWidth="1"/>
    <col min="5634" max="5634" width="11.42578125" style="1" bestFit="1" customWidth="1"/>
    <col min="5635" max="5635" width="11.42578125" style="1" customWidth="1"/>
    <col min="5636" max="5636" width="10.42578125" style="1" bestFit="1" customWidth="1"/>
    <col min="5637" max="5649" width="11.42578125" style="1" bestFit="1" customWidth="1"/>
    <col min="5650" max="5651" width="0" style="1" hidden="1" customWidth="1"/>
    <col min="5652" max="5652" width="55.42578125" style="1" customWidth="1"/>
    <col min="5653" max="5888" width="9.42578125" style="1"/>
    <col min="5889" max="5889" width="51.42578125" style="1" customWidth="1"/>
    <col min="5890" max="5890" width="11.42578125" style="1" bestFit="1" customWidth="1"/>
    <col min="5891" max="5891" width="11.42578125" style="1" customWidth="1"/>
    <col min="5892" max="5892" width="10.42578125" style="1" bestFit="1" customWidth="1"/>
    <col min="5893" max="5905" width="11.42578125" style="1" bestFit="1" customWidth="1"/>
    <col min="5906" max="5907" width="0" style="1" hidden="1" customWidth="1"/>
    <col min="5908" max="5908" width="55.42578125" style="1" customWidth="1"/>
    <col min="5909" max="6144" width="9.42578125" style="1"/>
    <col min="6145" max="6145" width="51.42578125" style="1" customWidth="1"/>
    <col min="6146" max="6146" width="11.42578125" style="1" bestFit="1" customWidth="1"/>
    <col min="6147" max="6147" width="11.42578125" style="1" customWidth="1"/>
    <col min="6148" max="6148" width="10.42578125" style="1" bestFit="1" customWidth="1"/>
    <col min="6149" max="6161" width="11.42578125" style="1" bestFit="1" customWidth="1"/>
    <col min="6162" max="6163" width="0" style="1" hidden="1" customWidth="1"/>
    <col min="6164" max="6164" width="55.42578125" style="1" customWidth="1"/>
    <col min="6165" max="6400" width="9.42578125" style="1"/>
    <col min="6401" max="6401" width="51.42578125" style="1" customWidth="1"/>
    <col min="6402" max="6402" width="11.42578125" style="1" bestFit="1" customWidth="1"/>
    <col min="6403" max="6403" width="11.42578125" style="1" customWidth="1"/>
    <col min="6404" max="6404" width="10.42578125" style="1" bestFit="1" customWidth="1"/>
    <col min="6405" max="6417" width="11.42578125" style="1" bestFit="1" customWidth="1"/>
    <col min="6418" max="6419" width="0" style="1" hidden="1" customWidth="1"/>
    <col min="6420" max="6420" width="55.42578125" style="1" customWidth="1"/>
    <col min="6421" max="6656" width="9.42578125" style="1"/>
    <col min="6657" max="6657" width="51.42578125" style="1" customWidth="1"/>
    <col min="6658" max="6658" width="11.42578125" style="1" bestFit="1" customWidth="1"/>
    <col min="6659" max="6659" width="11.42578125" style="1" customWidth="1"/>
    <col min="6660" max="6660" width="10.42578125" style="1" bestFit="1" customWidth="1"/>
    <col min="6661" max="6673" width="11.42578125" style="1" bestFit="1" customWidth="1"/>
    <col min="6674" max="6675" width="0" style="1" hidden="1" customWidth="1"/>
    <col min="6676" max="6676" width="55.42578125" style="1" customWidth="1"/>
    <col min="6677" max="6912" width="9.42578125" style="1"/>
    <col min="6913" max="6913" width="51.42578125" style="1" customWidth="1"/>
    <col min="6914" max="6914" width="11.42578125" style="1" bestFit="1" customWidth="1"/>
    <col min="6915" max="6915" width="11.42578125" style="1" customWidth="1"/>
    <col min="6916" max="6916" width="10.42578125" style="1" bestFit="1" customWidth="1"/>
    <col min="6917" max="6929" width="11.42578125" style="1" bestFit="1" customWidth="1"/>
    <col min="6930" max="6931" width="0" style="1" hidden="1" customWidth="1"/>
    <col min="6932" max="6932" width="55.42578125" style="1" customWidth="1"/>
    <col min="6933" max="7168" width="9.42578125" style="1"/>
    <col min="7169" max="7169" width="51.42578125" style="1" customWidth="1"/>
    <col min="7170" max="7170" width="11.42578125" style="1" bestFit="1" customWidth="1"/>
    <col min="7171" max="7171" width="11.42578125" style="1" customWidth="1"/>
    <col min="7172" max="7172" width="10.42578125" style="1" bestFit="1" customWidth="1"/>
    <col min="7173" max="7185" width="11.42578125" style="1" bestFit="1" customWidth="1"/>
    <col min="7186" max="7187" width="0" style="1" hidden="1" customWidth="1"/>
    <col min="7188" max="7188" width="55.42578125" style="1" customWidth="1"/>
    <col min="7189" max="7424" width="9.42578125" style="1"/>
    <col min="7425" max="7425" width="51.42578125" style="1" customWidth="1"/>
    <col min="7426" max="7426" width="11.42578125" style="1" bestFit="1" customWidth="1"/>
    <col min="7427" max="7427" width="11.42578125" style="1" customWidth="1"/>
    <col min="7428" max="7428" width="10.42578125" style="1" bestFit="1" customWidth="1"/>
    <col min="7429" max="7441" width="11.42578125" style="1" bestFit="1" customWidth="1"/>
    <col min="7442" max="7443" width="0" style="1" hidden="1" customWidth="1"/>
    <col min="7444" max="7444" width="55.42578125" style="1" customWidth="1"/>
    <col min="7445" max="7680" width="9.42578125" style="1"/>
    <col min="7681" max="7681" width="51.42578125" style="1" customWidth="1"/>
    <col min="7682" max="7682" width="11.42578125" style="1" bestFit="1" customWidth="1"/>
    <col min="7683" max="7683" width="11.42578125" style="1" customWidth="1"/>
    <col min="7684" max="7684" width="10.42578125" style="1" bestFit="1" customWidth="1"/>
    <col min="7685" max="7697" width="11.42578125" style="1" bestFit="1" customWidth="1"/>
    <col min="7698" max="7699" width="0" style="1" hidden="1" customWidth="1"/>
    <col min="7700" max="7700" width="55.42578125" style="1" customWidth="1"/>
    <col min="7701" max="7936" width="9.42578125" style="1"/>
    <col min="7937" max="7937" width="51.42578125" style="1" customWidth="1"/>
    <col min="7938" max="7938" width="11.42578125" style="1" bestFit="1" customWidth="1"/>
    <col min="7939" max="7939" width="11.42578125" style="1" customWidth="1"/>
    <col min="7940" max="7940" width="10.42578125" style="1" bestFit="1" customWidth="1"/>
    <col min="7941" max="7953" width="11.42578125" style="1" bestFit="1" customWidth="1"/>
    <col min="7954" max="7955" width="0" style="1" hidden="1" customWidth="1"/>
    <col min="7956" max="7956" width="55.42578125" style="1" customWidth="1"/>
    <col min="7957" max="8192" width="9.42578125" style="1"/>
    <col min="8193" max="8193" width="51.42578125" style="1" customWidth="1"/>
    <col min="8194" max="8194" width="11.42578125" style="1" bestFit="1" customWidth="1"/>
    <col min="8195" max="8195" width="11.42578125" style="1" customWidth="1"/>
    <col min="8196" max="8196" width="10.42578125" style="1" bestFit="1" customWidth="1"/>
    <col min="8197" max="8209" width="11.42578125" style="1" bestFit="1" customWidth="1"/>
    <col min="8210" max="8211" width="0" style="1" hidden="1" customWidth="1"/>
    <col min="8212" max="8212" width="55.42578125" style="1" customWidth="1"/>
    <col min="8213" max="8448" width="9.42578125" style="1"/>
    <col min="8449" max="8449" width="51.42578125" style="1" customWidth="1"/>
    <col min="8450" max="8450" width="11.42578125" style="1" bestFit="1" customWidth="1"/>
    <col min="8451" max="8451" width="11.42578125" style="1" customWidth="1"/>
    <col min="8452" max="8452" width="10.42578125" style="1" bestFit="1" customWidth="1"/>
    <col min="8453" max="8465" width="11.42578125" style="1" bestFit="1" customWidth="1"/>
    <col min="8466" max="8467" width="0" style="1" hidden="1" customWidth="1"/>
    <col min="8468" max="8468" width="55.42578125" style="1" customWidth="1"/>
    <col min="8469" max="8704" width="9.42578125" style="1"/>
    <col min="8705" max="8705" width="51.42578125" style="1" customWidth="1"/>
    <col min="8706" max="8706" width="11.42578125" style="1" bestFit="1" customWidth="1"/>
    <col min="8707" max="8707" width="11.42578125" style="1" customWidth="1"/>
    <col min="8708" max="8708" width="10.42578125" style="1" bestFit="1" customWidth="1"/>
    <col min="8709" max="8721" width="11.42578125" style="1" bestFit="1" customWidth="1"/>
    <col min="8722" max="8723" width="0" style="1" hidden="1" customWidth="1"/>
    <col min="8724" max="8724" width="55.42578125" style="1" customWidth="1"/>
    <col min="8725" max="8960" width="9.42578125" style="1"/>
    <col min="8961" max="8961" width="51.42578125" style="1" customWidth="1"/>
    <col min="8962" max="8962" width="11.42578125" style="1" bestFit="1" customWidth="1"/>
    <col min="8963" max="8963" width="11.42578125" style="1" customWidth="1"/>
    <col min="8964" max="8964" width="10.42578125" style="1" bestFit="1" customWidth="1"/>
    <col min="8965" max="8977" width="11.42578125" style="1" bestFit="1" customWidth="1"/>
    <col min="8978" max="8979" width="0" style="1" hidden="1" customWidth="1"/>
    <col min="8980" max="8980" width="55.42578125" style="1" customWidth="1"/>
    <col min="8981" max="9216" width="9.42578125" style="1"/>
    <col min="9217" max="9217" width="51.42578125" style="1" customWidth="1"/>
    <col min="9218" max="9218" width="11.42578125" style="1" bestFit="1" customWidth="1"/>
    <col min="9219" max="9219" width="11.42578125" style="1" customWidth="1"/>
    <col min="9220" max="9220" width="10.42578125" style="1" bestFit="1" customWidth="1"/>
    <col min="9221" max="9233" width="11.42578125" style="1" bestFit="1" customWidth="1"/>
    <col min="9234" max="9235" width="0" style="1" hidden="1" customWidth="1"/>
    <col min="9236" max="9236" width="55.42578125" style="1" customWidth="1"/>
    <col min="9237" max="9472" width="9.42578125" style="1"/>
    <col min="9473" max="9473" width="51.42578125" style="1" customWidth="1"/>
    <col min="9474" max="9474" width="11.42578125" style="1" bestFit="1" customWidth="1"/>
    <col min="9475" max="9475" width="11.42578125" style="1" customWidth="1"/>
    <col min="9476" max="9476" width="10.42578125" style="1" bestFit="1" customWidth="1"/>
    <col min="9477" max="9489" width="11.42578125" style="1" bestFit="1" customWidth="1"/>
    <col min="9490" max="9491" width="0" style="1" hidden="1" customWidth="1"/>
    <col min="9492" max="9492" width="55.42578125" style="1" customWidth="1"/>
    <col min="9493" max="9728" width="9.42578125" style="1"/>
    <col min="9729" max="9729" width="51.42578125" style="1" customWidth="1"/>
    <col min="9730" max="9730" width="11.42578125" style="1" bestFit="1" customWidth="1"/>
    <col min="9731" max="9731" width="11.42578125" style="1" customWidth="1"/>
    <col min="9732" max="9732" width="10.42578125" style="1" bestFit="1" customWidth="1"/>
    <col min="9733" max="9745" width="11.42578125" style="1" bestFit="1" customWidth="1"/>
    <col min="9746" max="9747" width="0" style="1" hidden="1" customWidth="1"/>
    <col min="9748" max="9748" width="55.42578125" style="1" customWidth="1"/>
    <col min="9749" max="9984" width="9.42578125" style="1"/>
    <col min="9985" max="9985" width="51.42578125" style="1" customWidth="1"/>
    <col min="9986" max="9986" width="11.42578125" style="1" bestFit="1" customWidth="1"/>
    <col min="9987" max="9987" width="11.42578125" style="1" customWidth="1"/>
    <col min="9988" max="9988" width="10.42578125" style="1" bestFit="1" customWidth="1"/>
    <col min="9989" max="10001" width="11.42578125" style="1" bestFit="1" customWidth="1"/>
    <col min="10002" max="10003" width="0" style="1" hidden="1" customWidth="1"/>
    <col min="10004" max="10004" width="55.42578125" style="1" customWidth="1"/>
    <col min="10005" max="10240" width="9.42578125" style="1"/>
    <col min="10241" max="10241" width="51.42578125" style="1" customWidth="1"/>
    <col min="10242" max="10242" width="11.42578125" style="1" bestFit="1" customWidth="1"/>
    <col min="10243" max="10243" width="11.42578125" style="1" customWidth="1"/>
    <col min="10244" max="10244" width="10.42578125" style="1" bestFit="1" customWidth="1"/>
    <col min="10245" max="10257" width="11.42578125" style="1" bestFit="1" customWidth="1"/>
    <col min="10258" max="10259" width="0" style="1" hidden="1" customWidth="1"/>
    <col min="10260" max="10260" width="55.42578125" style="1" customWidth="1"/>
    <col min="10261" max="10496" width="9.42578125" style="1"/>
    <col min="10497" max="10497" width="51.42578125" style="1" customWidth="1"/>
    <col min="10498" max="10498" width="11.42578125" style="1" bestFit="1" customWidth="1"/>
    <col min="10499" max="10499" width="11.42578125" style="1" customWidth="1"/>
    <col min="10500" max="10500" width="10.42578125" style="1" bestFit="1" customWidth="1"/>
    <col min="10501" max="10513" width="11.42578125" style="1" bestFit="1" customWidth="1"/>
    <col min="10514" max="10515" width="0" style="1" hidden="1" customWidth="1"/>
    <col min="10516" max="10516" width="55.42578125" style="1" customWidth="1"/>
    <col min="10517" max="10752" width="9.42578125" style="1"/>
    <col min="10753" max="10753" width="51.42578125" style="1" customWidth="1"/>
    <col min="10754" max="10754" width="11.42578125" style="1" bestFit="1" customWidth="1"/>
    <col min="10755" max="10755" width="11.42578125" style="1" customWidth="1"/>
    <col min="10756" max="10756" width="10.42578125" style="1" bestFit="1" customWidth="1"/>
    <col min="10757" max="10769" width="11.42578125" style="1" bestFit="1" customWidth="1"/>
    <col min="10770" max="10771" width="0" style="1" hidden="1" customWidth="1"/>
    <col min="10772" max="10772" width="55.42578125" style="1" customWidth="1"/>
    <col min="10773" max="11008" width="9.42578125" style="1"/>
    <col min="11009" max="11009" width="51.42578125" style="1" customWidth="1"/>
    <col min="11010" max="11010" width="11.42578125" style="1" bestFit="1" customWidth="1"/>
    <col min="11011" max="11011" width="11.42578125" style="1" customWidth="1"/>
    <col min="11012" max="11012" width="10.42578125" style="1" bestFit="1" customWidth="1"/>
    <col min="11013" max="11025" width="11.42578125" style="1" bestFit="1" customWidth="1"/>
    <col min="11026" max="11027" width="0" style="1" hidden="1" customWidth="1"/>
    <col min="11028" max="11028" width="55.42578125" style="1" customWidth="1"/>
    <col min="11029" max="11264" width="9.42578125" style="1"/>
    <col min="11265" max="11265" width="51.42578125" style="1" customWidth="1"/>
    <col min="11266" max="11266" width="11.42578125" style="1" bestFit="1" customWidth="1"/>
    <col min="11267" max="11267" width="11.42578125" style="1" customWidth="1"/>
    <col min="11268" max="11268" width="10.42578125" style="1" bestFit="1" customWidth="1"/>
    <col min="11269" max="11281" width="11.42578125" style="1" bestFit="1" customWidth="1"/>
    <col min="11282" max="11283" width="0" style="1" hidden="1" customWidth="1"/>
    <col min="11284" max="11284" width="55.42578125" style="1" customWidth="1"/>
    <col min="11285" max="11520" width="9.42578125" style="1"/>
    <col min="11521" max="11521" width="51.42578125" style="1" customWidth="1"/>
    <col min="11522" max="11522" width="11.42578125" style="1" bestFit="1" customWidth="1"/>
    <col min="11523" max="11523" width="11.42578125" style="1" customWidth="1"/>
    <col min="11524" max="11524" width="10.42578125" style="1" bestFit="1" customWidth="1"/>
    <col min="11525" max="11537" width="11.42578125" style="1" bestFit="1" customWidth="1"/>
    <col min="11538" max="11539" width="0" style="1" hidden="1" customWidth="1"/>
    <col min="11540" max="11540" width="55.42578125" style="1" customWidth="1"/>
    <col min="11541" max="11776" width="9.42578125" style="1"/>
    <col min="11777" max="11777" width="51.42578125" style="1" customWidth="1"/>
    <col min="11778" max="11778" width="11.42578125" style="1" bestFit="1" customWidth="1"/>
    <col min="11779" max="11779" width="11.42578125" style="1" customWidth="1"/>
    <col min="11780" max="11780" width="10.42578125" style="1" bestFit="1" customWidth="1"/>
    <col min="11781" max="11793" width="11.42578125" style="1" bestFit="1" customWidth="1"/>
    <col min="11794" max="11795" width="0" style="1" hidden="1" customWidth="1"/>
    <col min="11796" max="11796" width="55.42578125" style="1" customWidth="1"/>
    <col min="11797" max="12032" width="9.42578125" style="1"/>
    <col min="12033" max="12033" width="51.42578125" style="1" customWidth="1"/>
    <col min="12034" max="12034" width="11.42578125" style="1" bestFit="1" customWidth="1"/>
    <col min="12035" max="12035" width="11.42578125" style="1" customWidth="1"/>
    <col min="12036" max="12036" width="10.42578125" style="1" bestFit="1" customWidth="1"/>
    <col min="12037" max="12049" width="11.42578125" style="1" bestFit="1" customWidth="1"/>
    <col min="12050" max="12051" width="0" style="1" hidden="1" customWidth="1"/>
    <col min="12052" max="12052" width="55.42578125" style="1" customWidth="1"/>
    <col min="12053" max="12288" width="9.42578125" style="1"/>
    <col min="12289" max="12289" width="51.42578125" style="1" customWidth="1"/>
    <col min="12290" max="12290" width="11.42578125" style="1" bestFit="1" customWidth="1"/>
    <col min="12291" max="12291" width="11.42578125" style="1" customWidth="1"/>
    <col min="12292" max="12292" width="10.42578125" style="1" bestFit="1" customWidth="1"/>
    <col min="12293" max="12305" width="11.42578125" style="1" bestFit="1" customWidth="1"/>
    <col min="12306" max="12307" width="0" style="1" hidden="1" customWidth="1"/>
    <col min="12308" max="12308" width="55.42578125" style="1" customWidth="1"/>
    <col min="12309" max="12544" width="9.42578125" style="1"/>
    <col min="12545" max="12545" width="51.42578125" style="1" customWidth="1"/>
    <col min="12546" max="12546" width="11.42578125" style="1" bestFit="1" customWidth="1"/>
    <col min="12547" max="12547" width="11.42578125" style="1" customWidth="1"/>
    <col min="12548" max="12548" width="10.42578125" style="1" bestFit="1" customWidth="1"/>
    <col min="12549" max="12561" width="11.42578125" style="1" bestFit="1" customWidth="1"/>
    <col min="12562" max="12563" width="0" style="1" hidden="1" customWidth="1"/>
    <col min="12564" max="12564" width="55.42578125" style="1" customWidth="1"/>
    <col min="12565" max="12800" width="9.42578125" style="1"/>
    <col min="12801" max="12801" width="51.42578125" style="1" customWidth="1"/>
    <col min="12802" max="12802" width="11.42578125" style="1" bestFit="1" customWidth="1"/>
    <col min="12803" max="12803" width="11.42578125" style="1" customWidth="1"/>
    <col min="12804" max="12804" width="10.42578125" style="1" bestFit="1" customWidth="1"/>
    <col min="12805" max="12817" width="11.42578125" style="1" bestFit="1" customWidth="1"/>
    <col min="12818" max="12819" width="0" style="1" hidden="1" customWidth="1"/>
    <col min="12820" max="12820" width="55.42578125" style="1" customWidth="1"/>
    <col min="12821" max="13056" width="9.42578125" style="1"/>
    <col min="13057" max="13057" width="51.42578125" style="1" customWidth="1"/>
    <col min="13058" max="13058" width="11.42578125" style="1" bestFit="1" customWidth="1"/>
    <col min="13059" max="13059" width="11.42578125" style="1" customWidth="1"/>
    <col min="13060" max="13060" width="10.42578125" style="1" bestFit="1" customWidth="1"/>
    <col min="13061" max="13073" width="11.42578125" style="1" bestFit="1" customWidth="1"/>
    <col min="13074" max="13075" width="0" style="1" hidden="1" customWidth="1"/>
    <col min="13076" max="13076" width="55.42578125" style="1" customWidth="1"/>
    <col min="13077" max="13312" width="9.42578125" style="1"/>
    <col min="13313" max="13313" width="51.42578125" style="1" customWidth="1"/>
    <col min="13314" max="13314" width="11.42578125" style="1" bestFit="1" customWidth="1"/>
    <col min="13315" max="13315" width="11.42578125" style="1" customWidth="1"/>
    <col min="13316" max="13316" width="10.42578125" style="1" bestFit="1" customWidth="1"/>
    <col min="13317" max="13329" width="11.42578125" style="1" bestFit="1" customWidth="1"/>
    <col min="13330" max="13331" width="0" style="1" hidden="1" customWidth="1"/>
    <col min="13332" max="13332" width="55.42578125" style="1" customWidth="1"/>
    <col min="13333" max="13568" width="9.42578125" style="1"/>
    <col min="13569" max="13569" width="51.42578125" style="1" customWidth="1"/>
    <col min="13570" max="13570" width="11.42578125" style="1" bestFit="1" customWidth="1"/>
    <col min="13571" max="13571" width="11.42578125" style="1" customWidth="1"/>
    <col min="13572" max="13572" width="10.42578125" style="1" bestFit="1" customWidth="1"/>
    <col min="13573" max="13585" width="11.42578125" style="1" bestFit="1" customWidth="1"/>
    <col min="13586" max="13587" width="0" style="1" hidden="1" customWidth="1"/>
    <col min="13588" max="13588" width="55.42578125" style="1" customWidth="1"/>
    <col min="13589" max="13824" width="9.42578125" style="1"/>
    <col min="13825" max="13825" width="51.42578125" style="1" customWidth="1"/>
    <col min="13826" max="13826" width="11.42578125" style="1" bestFit="1" customWidth="1"/>
    <col min="13827" max="13827" width="11.42578125" style="1" customWidth="1"/>
    <col min="13828" max="13828" width="10.42578125" style="1" bestFit="1" customWidth="1"/>
    <col min="13829" max="13841" width="11.42578125" style="1" bestFit="1" customWidth="1"/>
    <col min="13842" max="13843" width="0" style="1" hidden="1" customWidth="1"/>
    <col min="13844" max="13844" width="55.42578125" style="1" customWidth="1"/>
    <col min="13845" max="14080" width="9.42578125" style="1"/>
    <col min="14081" max="14081" width="51.42578125" style="1" customWidth="1"/>
    <col min="14082" max="14082" width="11.42578125" style="1" bestFit="1" customWidth="1"/>
    <col min="14083" max="14083" width="11.42578125" style="1" customWidth="1"/>
    <col min="14084" max="14084" width="10.42578125" style="1" bestFit="1" customWidth="1"/>
    <col min="14085" max="14097" width="11.42578125" style="1" bestFit="1" customWidth="1"/>
    <col min="14098" max="14099" width="0" style="1" hidden="1" customWidth="1"/>
    <col min="14100" max="14100" width="55.42578125" style="1" customWidth="1"/>
    <col min="14101" max="14336" width="9.42578125" style="1"/>
    <col min="14337" max="14337" width="51.42578125" style="1" customWidth="1"/>
    <col min="14338" max="14338" width="11.42578125" style="1" bestFit="1" customWidth="1"/>
    <col min="14339" max="14339" width="11.42578125" style="1" customWidth="1"/>
    <col min="14340" max="14340" width="10.42578125" style="1" bestFit="1" customWidth="1"/>
    <col min="14341" max="14353" width="11.42578125" style="1" bestFit="1" customWidth="1"/>
    <col min="14354" max="14355" width="0" style="1" hidden="1" customWidth="1"/>
    <col min="14356" max="14356" width="55.42578125" style="1" customWidth="1"/>
    <col min="14357" max="14592" width="9.42578125" style="1"/>
    <col min="14593" max="14593" width="51.42578125" style="1" customWidth="1"/>
    <col min="14594" max="14594" width="11.42578125" style="1" bestFit="1" customWidth="1"/>
    <col min="14595" max="14595" width="11.42578125" style="1" customWidth="1"/>
    <col min="14596" max="14596" width="10.42578125" style="1" bestFit="1" customWidth="1"/>
    <col min="14597" max="14609" width="11.42578125" style="1" bestFit="1" customWidth="1"/>
    <col min="14610" max="14611" width="0" style="1" hidden="1" customWidth="1"/>
    <col min="14612" max="14612" width="55.42578125" style="1" customWidth="1"/>
    <col min="14613" max="14848" width="9.42578125" style="1"/>
    <col min="14849" max="14849" width="51.42578125" style="1" customWidth="1"/>
    <col min="14850" max="14850" width="11.42578125" style="1" bestFit="1" customWidth="1"/>
    <col min="14851" max="14851" width="11.42578125" style="1" customWidth="1"/>
    <col min="14852" max="14852" width="10.42578125" style="1" bestFit="1" customWidth="1"/>
    <col min="14853" max="14865" width="11.42578125" style="1" bestFit="1" customWidth="1"/>
    <col min="14866" max="14867" width="0" style="1" hidden="1" customWidth="1"/>
    <col min="14868" max="14868" width="55.42578125" style="1" customWidth="1"/>
    <col min="14869" max="15104" width="9.42578125" style="1"/>
    <col min="15105" max="15105" width="51.42578125" style="1" customWidth="1"/>
    <col min="15106" max="15106" width="11.42578125" style="1" bestFit="1" customWidth="1"/>
    <col min="15107" max="15107" width="11.42578125" style="1" customWidth="1"/>
    <col min="15108" max="15108" width="10.42578125" style="1" bestFit="1" customWidth="1"/>
    <col min="15109" max="15121" width="11.42578125" style="1" bestFit="1" customWidth="1"/>
    <col min="15122" max="15123" width="0" style="1" hidden="1" customWidth="1"/>
    <col min="15124" max="15124" width="55.42578125" style="1" customWidth="1"/>
    <col min="15125" max="15360" width="9.42578125" style="1"/>
    <col min="15361" max="15361" width="51.42578125" style="1" customWidth="1"/>
    <col min="15362" max="15362" width="11.42578125" style="1" bestFit="1" customWidth="1"/>
    <col min="15363" max="15363" width="11.42578125" style="1" customWidth="1"/>
    <col min="15364" max="15364" width="10.42578125" style="1" bestFit="1" customWidth="1"/>
    <col min="15365" max="15377" width="11.42578125" style="1" bestFit="1" customWidth="1"/>
    <col min="15378" max="15379" width="0" style="1" hidden="1" customWidth="1"/>
    <col min="15380" max="15380" width="55.42578125" style="1" customWidth="1"/>
    <col min="15381" max="15616" width="9.42578125" style="1"/>
    <col min="15617" max="15617" width="51.42578125" style="1" customWidth="1"/>
    <col min="15618" max="15618" width="11.42578125" style="1" bestFit="1" customWidth="1"/>
    <col min="15619" max="15619" width="11.42578125" style="1" customWidth="1"/>
    <col min="15620" max="15620" width="10.42578125" style="1" bestFit="1" customWidth="1"/>
    <col min="15621" max="15633" width="11.42578125" style="1" bestFit="1" customWidth="1"/>
    <col min="15634" max="15635" width="0" style="1" hidden="1" customWidth="1"/>
    <col min="15636" max="15636" width="55.42578125" style="1" customWidth="1"/>
    <col min="15637" max="15872" width="9.42578125" style="1"/>
    <col min="15873" max="15873" width="51.42578125" style="1" customWidth="1"/>
    <col min="15874" max="15874" width="11.42578125" style="1" bestFit="1" customWidth="1"/>
    <col min="15875" max="15875" width="11.42578125" style="1" customWidth="1"/>
    <col min="15876" max="15876" width="10.42578125" style="1" bestFit="1" customWidth="1"/>
    <col min="15877" max="15889" width="11.42578125" style="1" bestFit="1" customWidth="1"/>
    <col min="15890" max="15891" width="0" style="1" hidden="1" customWidth="1"/>
    <col min="15892" max="15892" width="55.42578125" style="1" customWidth="1"/>
    <col min="15893" max="16128" width="9.42578125" style="1"/>
    <col min="16129" max="16129" width="51.42578125" style="1" customWidth="1"/>
    <col min="16130" max="16130" width="11.42578125" style="1" bestFit="1" customWidth="1"/>
    <col min="16131" max="16131" width="11.42578125" style="1" customWidth="1"/>
    <col min="16132" max="16132" width="10.42578125" style="1" bestFit="1" customWidth="1"/>
    <col min="16133" max="16145" width="11.42578125" style="1" bestFit="1" customWidth="1"/>
    <col min="16146" max="16147" width="0" style="1" hidden="1" customWidth="1"/>
    <col min="16148" max="16148" width="55.42578125" style="1" customWidth="1"/>
    <col min="16149" max="16384" width="9.42578125" style="1"/>
  </cols>
  <sheetData>
    <row r="1" spans="1:22" ht="15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9"/>
      <c r="Q1" s="40"/>
      <c r="R1" s="2"/>
      <c r="S1" s="2"/>
      <c r="T1" s="2"/>
      <c r="U1" s="2"/>
      <c r="V1" s="2"/>
    </row>
    <row r="2" spans="1:22" ht="15.4">
      <c r="A2" s="614" t="s">
        <v>149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2"/>
      <c r="S2" s="2"/>
      <c r="T2" s="2"/>
      <c r="U2" s="2"/>
      <c r="V2" s="2"/>
    </row>
    <row r="3" spans="1:22" ht="15.4">
      <c r="A3" s="614" t="str">
        <f>Summary!A3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2"/>
      <c r="S3" s="2"/>
      <c r="T3" s="2"/>
      <c r="U3" s="2"/>
      <c r="V3" s="2"/>
    </row>
    <row r="4" spans="1:22" ht="15.4">
      <c r="A4" s="614" t="str">
        <f>Summary!A4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2"/>
      <c r="S4" s="2"/>
      <c r="T4" s="2"/>
      <c r="U4" s="2"/>
      <c r="V4" s="2"/>
    </row>
    <row r="5" spans="1:22" ht="15.4">
      <c r="A5" s="614" t="str">
        <f>Summary!A5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2"/>
      <c r="S5" s="2"/>
      <c r="T5" s="2"/>
      <c r="U5" s="2"/>
      <c r="V5" s="2"/>
    </row>
    <row r="6" spans="1:22" ht="15.4">
      <c r="A6" s="614" t="str">
        <f>Rent!A6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2"/>
      <c r="S6" s="2"/>
      <c r="T6" s="2"/>
      <c r="U6" s="2"/>
      <c r="V6" s="2"/>
    </row>
    <row r="7" spans="1:22" ht="15.4">
      <c r="A7" s="2"/>
      <c r="B7" s="2"/>
      <c r="C7" s="2"/>
      <c r="D7" s="2"/>
      <c r="E7" s="2"/>
      <c r="F7" s="2"/>
      <c r="G7" s="2"/>
      <c r="H7" s="4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4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640" t="s">
        <v>378</v>
      </c>
      <c r="R8" s="2"/>
      <c r="S8" s="2"/>
      <c r="T8" s="2"/>
      <c r="U8" s="2"/>
      <c r="V8" s="2"/>
    </row>
    <row r="9" spans="1:22" ht="15.4">
      <c r="A9" s="44" t="s">
        <v>15</v>
      </c>
      <c r="B9" s="44" t="s">
        <v>316</v>
      </c>
      <c r="C9" s="44" t="s">
        <v>165</v>
      </c>
      <c r="D9" s="44" t="s">
        <v>317</v>
      </c>
      <c r="E9" s="44" t="s">
        <v>129</v>
      </c>
      <c r="F9" s="44" t="s">
        <v>130</v>
      </c>
      <c r="G9" s="44" t="s">
        <v>131</v>
      </c>
      <c r="H9" s="44" t="s">
        <v>132</v>
      </c>
      <c r="I9" s="44" t="s">
        <v>133</v>
      </c>
      <c r="J9" s="44" t="s">
        <v>134</v>
      </c>
      <c r="K9" s="44" t="s">
        <v>135</v>
      </c>
      <c r="L9" s="44" t="s">
        <v>136</v>
      </c>
      <c r="M9" s="44" t="s">
        <v>137</v>
      </c>
      <c r="N9" s="44" t="s">
        <v>138</v>
      </c>
      <c r="O9" s="44" t="s">
        <v>139</v>
      </c>
      <c r="P9" s="44" t="s">
        <v>140</v>
      </c>
      <c r="Q9" s="641"/>
      <c r="R9" s="44" t="s">
        <v>392</v>
      </c>
      <c r="S9" s="44" t="s">
        <v>393</v>
      </c>
      <c r="T9" s="2"/>
      <c r="U9" s="2"/>
      <c r="V9" s="2"/>
    </row>
    <row r="10" spans="1:22" ht="15.4">
      <c r="A10" s="45"/>
      <c r="B10" s="46" t="s">
        <v>318</v>
      </c>
      <c r="C10" s="46" t="s">
        <v>319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642"/>
      <c r="R10" s="2"/>
      <c r="S10" s="2"/>
      <c r="T10" s="2"/>
      <c r="U10" s="2"/>
      <c r="V10" s="2"/>
    </row>
    <row r="11" spans="1:22" ht="15.4">
      <c r="A11" s="47" t="s">
        <v>379</v>
      </c>
      <c r="B11" s="48"/>
      <c r="C11" s="48"/>
      <c r="D11" s="517">
        <v>2.5000000000000001E-2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50"/>
      <c r="R11" s="2"/>
      <c r="S11" s="2"/>
      <c r="T11" s="51"/>
      <c r="U11" s="2"/>
      <c r="V11" s="2"/>
    </row>
    <row r="12" spans="1:22" ht="15.4">
      <c r="A12" s="52"/>
      <c r="B12" s="2"/>
      <c r="C12" s="2"/>
      <c r="D12" s="5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53"/>
      <c r="R12" s="2"/>
      <c r="S12" s="2"/>
      <c r="T12" s="51"/>
      <c r="U12" s="2"/>
      <c r="V12" s="2"/>
    </row>
    <row r="13" spans="1:22" ht="15.4">
      <c r="A13" s="54" t="str">
        <f>Rent!A14</f>
        <v>EOS Fitness</v>
      </c>
      <c r="B13" s="55" t="str">
        <f>Rent!B14</f>
        <v>Major A</v>
      </c>
      <c r="C13" s="56">
        <v>28159</v>
      </c>
      <c r="D13" s="519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8">
        <f>SUM(E13:P13)</f>
        <v>0</v>
      </c>
      <c r="R13" s="2"/>
      <c r="S13" s="2"/>
      <c r="T13" s="51"/>
      <c r="U13" s="2"/>
      <c r="V13" s="2"/>
    </row>
    <row r="14" spans="1:22" ht="15.4">
      <c r="A14" s="59"/>
      <c r="B14" s="60" t="s">
        <v>381</v>
      </c>
      <c r="C14" s="61"/>
      <c r="D14" s="520"/>
      <c r="E14" s="62">
        <f>IF(Rent!E14=0,0,(Rent!E14+(SUM('Tenant Charges'!$F10:$K10))))</f>
        <v>64560.805643745603</v>
      </c>
      <c r="F14" s="62">
        <f>IF(Rent!F14=0,0,(Rent!F14+(SUM('Tenant Charges'!$F10:$K10))))</f>
        <v>64560.805643745603</v>
      </c>
      <c r="G14" s="62">
        <f>IF(Rent!G14=0,0,(Rent!G14+(SUM('Tenant Charges'!$F10:$K10))))</f>
        <v>64560.805643745603</v>
      </c>
      <c r="H14" s="62">
        <f>IF(Rent!H14=0,0,(Rent!H14+(SUM('Tenant Charges'!$F10:$K10))))</f>
        <v>64560.805643745603</v>
      </c>
      <c r="I14" s="62">
        <f>IF(Rent!I14=0,0,(Rent!I14+(SUM('Tenant Charges'!$F10:$K10))))</f>
        <v>64560.805643745603</v>
      </c>
      <c r="J14" s="62">
        <f>IF(Rent!J14=0,0,(Rent!J14+(SUM('Tenant Charges'!$F10:$K10))))</f>
        <v>64560.805643745603</v>
      </c>
      <c r="K14" s="62">
        <f>IF(Rent!K14=0,0,(Rent!K14+(SUM('Tenant Charges'!$F10:$K10))))</f>
        <v>64560.805643745603</v>
      </c>
      <c r="L14" s="62">
        <f>IF(Rent!L14=0,0,(Rent!L14+(SUM('Tenant Charges'!$F10:$K10))))</f>
        <v>64560.805643745603</v>
      </c>
      <c r="M14" s="62">
        <f>IF(Rent!M14=0,0,(Rent!M14+(SUM('Tenant Charges'!$F10:$K10))))</f>
        <v>64560.805643745603</v>
      </c>
      <c r="N14" s="62">
        <f>IF(Rent!N14=0,0,(Rent!N14+(SUM('Tenant Charges'!$F10:$K10))))</f>
        <v>64560.805643745603</v>
      </c>
      <c r="O14" s="62">
        <f>IF(Rent!O14=0,0,(Rent!O14+(SUM('Tenant Charges'!$F10:$K10))))</f>
        <v>64560.805643745603</v>
      </c>
      <c r="P14" s="62">
        <f>IF(Rent!P14=0,0,(Rent!P14+(SUM('Tenant Charges'!$F10:$K10))))</f>
        <v>64560.805643745603</v>
      </c>
      <c r="Q14" s="63">
        <f>SUM(E14:P14)</f>
        <v>774729.6677249471</v>
      </c>
      <c r="R14" s="2"/>
      <c r="S14" s="2"/>
      <c r="T14" s="51"/>
      <c r="U14" s="2"/>
      <c r="V14" s="2"/>
    </row>
    <row r="15" spans="1:22" ht="15.4">
      <c r="A15" s="59"/>
      <c r="B15" s="60"/>
      <c r="C15" s="61"/>
      <c r="D15" s="520">
        <f>$D$11</f>
        <v>2.5000000000000001E-2</v>
      </c>
      <c r="E15" s="62">
        <f>E14*$D$15</f>
        <v>1614.0201410936402</v>
      </c>
      <c r="F15" s="62">
        <f t="shared" ref="F15:P15" si="0">F14*$D$15</f>
        <v>1614.0201410936402</v>
      </c>
      <c r="G15" s="62">
        <f t="shared" si="0"/>
        <v>1614.0201410936402</v>
      </c>
      <c r="H15" s="62">
        <f t="shared" si="0"/>
        <v>1614.0201410936402</v>
      </c>
      <c r="I15" s="62">
        <f t="shared" si="0"/>
        <v>1614.0201410936402</v>
      </c>
      <c r="J15" s="62">
        <f t="shared" si="0"/>
        <v>1614.0201410936402</v>
      </c>
      <c r="K15" s="62">
        <f t="shared" si="0"/>
        <v>1614.0201410936402</v>
      </c>
      <c r="L15" s="62">
        <f t="shared" si="0"/>
        <v>1614.0201410936402</v>
      </c>
      <c r="M15" s="62">
        <f t="shared" si="0"/>
        <v>1614.0201410936402</v>
      </c>
      <c r="N15" s="62">
        <f t="shared" si="0"/>
        <v>1614.0201410936402</v>
      </c>
      <c r="O15" s="62">
        <f t="shared" si="0"/>
        <v>1614.0201410936402</v>
      </c>
      <c r="P15" s="62">
        <f t="shared" si="0"/>
        <v>1614.0201410936402</v>
      </c>
      <c r="Q15" s="63">
        <f>SUM(E15:P15)</f>
        <v>19368.241693123684</v>
      </c>
      <c r="R15" s="2"/>
      <c r="S15" s="2"/>
      <c r="T15" s="51"/>
      <c r="U15" s="2"/>
      <c r="V15" s="2"/>
    </row>
    <row r="16" spans="1:22" ht="15.4">
      <c r="A16" s="64"/>
      <c r="B16" s="65"/>
      <c r="C16" s="66" t="s">
        <v>382</v>
      </c>
      <c r="D16" s="521"/>
      <c r="E16" s="67">
        <f>E15</f>
        <v>1614.0201410936402</v>
      </c>
      <c r="F16" s="67">
        <f>F15</f>
        <v>1614.0201410936402</v>
      </c>
      <c r="G16" s="67">
        <f t="shared" ref="G16:P16" si="1">G15</f>
        <v>1614.0201410936402</v>
      </c>
      <c r="H16" s="67">
        <f t="shared" si="1"/>
        <v>1614.0201410936402</v>
      </c>
      <c r="I16" s="67">
        <f t="shared" si="1"/>
        <v>1614.0201410936402</v>
      </c>
      <c r="J16" s="67">
        <f t="shared" si="1"/>
        <v>1614.0201410936402</v>
      </c>
      <c r="K16" s="67">
        <f t="shared" si="1"/>
        <v>1614.0201410936402</v>
      </c>
      <c r="L16" s="67">
        <f t="shared" si="1"/>
        <v>1614.0201410936402</v>
      </c>
      <c r="M16" s="67">
        <f t="shared" si="1"/>
        <v>1614.0201410936402</v>
      </c>
      <c r="N16" s="67">
        <f t="shared" si="1"/>
        <v>1614.0201410936402</v>
      </c>
      <c r="O16" s="67">
        <f t="shared" si="1"/>
        <v>1614.0201410936402</v>
      </c>
      <c r="P16" s="67">
        <f t="shared" si="1"/>
        <v>1614.0201410936402</v>
      </c>
      <c r="Q16" s="67">
        <f>Q15</f>
        <v>19368.241693123684</v>
      </c>
      <c r="R16" s="2"/>
      <c r="S16" s="2"/>
      <c r="T16" s="51"/>
      <c r="U16" s="2"/>
      <c r="V16" s="2"/>
    </row>
    <row r="17" spans="1:22" ht="15.4">
      <c r="A17" s="51"/>
      <c r="B17" s="60"/>
      <c r="C17" s="61"/>
      <c r="D17" s="52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9"/>
      <c r="R17" s="2"/>
      <c r="S17" s="2"/>
      <c r="T17" s="51"/>
      <c r="U17" s="2"/>
      <c r="V17" s="2"/>
    </row>
    <row r="18" spans="1:22" ht="15.4">
      <c r="A18" s="81" t="str">
        <f>Rent!A15</f>
        <v>Third Pasrty MVS</v>
      </c>
      <c r="B18" s="55" t="str">
        <f>Rent!B15</f>
        <v>B101</v>
      </c>
      <c r="C18" s="55">
        <f>Rent!C15</f>
        <v>3000</v>
      </c>
      <c r="D18" s="519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8">
        <f t="shared" ref="Q18" si="2">SUM(E18:P18)</f>
        <v>0</v>
      </c>
      <c r="R18" s="2"/>
      <c r="S18" s="2"/>
      <c r="T18" s="51"/>
      <c r="U18" s="2"/>
      <c r="V18" s="2"/>
    </row>
    <row r="19" spans="1:22" ht="15.4">
      <c r="A19" s="82"/>
      <c r="B19" s="60" t="s">
        <v>381</v>
      </c>
      <c r="C19" s="60"/>
      <c r="D19" s="522"/>
      <c r="E19" s="62">
        <f>IF(Rent!E15=0,0,(Rent!E15+(SUM('Tenant Charges'!$F11:$K11))))</f>
        <v>8024.5024603164638</v>
      </c>
      <c r="F19" s="62">
        <f>IF(Rent!F15=0,0,(Rent!F15+(SUM('Tenant Charges'!$F11:$K11))))</f>
        <v>8024.5024603164638</v>
      </c>
      <c r="G19" s="62">
        <f>IF(Rent!G15=0,0,(Rent!G15+(SUM('Tenant Charges'!$F11:$K11))))</f>
        <v>8024.5024603164638</v>
      </c>
      <c r="H19" s="62">
        <f>IF(Rent!H15=0,0,(Rent!H15+(SUM('Tenant Charges'!$F11:$K11))))</f>
        <v>8024.5024603164638</v>
      </c>
      <c r="I19" s="62">
        <f>IF(Rent!I15=0,0,(Rent!I15+(SUM('Tenant Charges'!$F11:$K11))))</f>
        <v>8024.5024603164638</v>
      </c>
      <c r="J19" s="62">
        <f>IF(Rent!J15=0,0,(Rent!J15+(SUM('Tenant Charges'!$F11:$K11))))</f>
        <v>8024.5024603164638</v>
      </c>
      <c r="K19" s="62">
        <f>IF(Rent!K15=0,0,(Rent!K15+(SUM('Tenant Charges'!$F11:$K11))))</f>
        <v>8024.5024603164638</v>
      </c>
      <c r="L19" s="62">
        <f>IF(Rent!L15=0,0,(Rent!L15+(SUM('Tenant Charges'!$F11:$K11))))</f>
        <v>8024.5024603164638</v>
      </c>
      <c r="M19" s="62">
        <f>IF(Rent!M15=0,0,(Rent!M15+(SUM('Tenant Charges'!$F11:$K11))))</f>
        <v>8024.5024603164638</v>
      </c>
      <c r="N19" s="62">
        <f>IF(Rent!N15=0,0,(Rent!N15+(SUM('Tenant Charges'!$F11:$K11))))</f>
        <v>8210.212460316463</v>
      </c>
      <c r="O19" s="62">
        <f>IF(Rent!O15=0,0,(Rent!O15+(SUM('Tenant Charges'!$F11:$K11))))</f>
        <v>8210.212460316463</v>
      </c>
      <c r="P19" s="62">
        <f>IF(Rent!P15=0,0,(Rent!P15+(SUM('Tenant Charges'!$F11:$K11))))</f>
        <v>8210.212460316463</v>
      </c>
      <c r="Q19" s="63">
        <f>SUM(E19:P19)</f>
        <v>96851.159523797542</v>
      </c>
      <c r="R19" s="2"/>
      <c r="S19" s="2"/>
      <c r="T19" s="51"/>
      <c r="U19" s="2"/>
      <c r="V19" s="2"/>
    </row>
    <row r="20" spans="1:22" ht="15.4">
      <c r="A20" s="52"/>
      <c r="B20" s="60" t="s">
        <v>383</v>
      </c>
      <c r="C20" s="61"/>
      <c r="D20" s="520">
        <f>$D$11</f>
        <v>2.5000000000000001E-2</v>
      </c>
      <c r="E20" s="62">
        <f>E19*$D$20</f>
        <v>200.61256150791161</v>
      </c>
      <c r="F20" s="62">
        <f t="shared" ref="F20:P20" si="3">F19*$D$20</f>
        <v>200.61256150791161</v>
      </c>
      <c r="G20" s="62">
        <f t="shared" si="3"/>
        <v>200.61256150791161</v>
      </c>
      <c r="H20" s="62">
        <f t="shared" si="3"/>
        <v>200.61256150791161</v>
      </c>
      <c r="I20" s="62">
        <f t="shared" si="3"/>
        <v>200.61256150791161</v>
      </c>
      <c r="J20" s="62">
        <f t="shared" si="3"/>
        <v>200.61256150791161</v>
      </c>
      <c r="K20" s="62">
        <f t="shared" si="3"/>
        <v>200.61256150791161</v>
      </c>
      <c r="L20" s="62">
        <f t="shared" si="3"/>
        <v>200.61256150791161</v>
      </c>
      <c r="M20" s="62">
        <f t="shared" si="3"/>
        <v>200.61256150791161</v>
      </c>
      <c r="N20" s="62">
        <f t="shared" si="3"/>
        <v>205.25531150791159</v>
      </c>
      <c r="O20" s="62">
        <f t="shared" si="3"/>
        <v>205.25531150791159</v>
      </c>
      <c r="P20" s="62">
        <f t="shared" si="3"/>
        <v>205.25531150791159</v>
      </c>
      <c r="Q20" s="63">
        <f>SUM(E20:P20)</f>
        <v>2421.278988094939</v>
      </c>
      <c r="R20" s="2"/>
      <c r="S20" s="2"/>
      <c r="T20" s="51"/>
      <c r="U20" s="2"/>
      <c r="V20" s="2"/>
    </row>
    <row r="21" spans="1:22" ht="15.4">
      <c r="A21" s="70"/>
      <c r="B21" s="65"/>
      <c r="C21" s="66" t="s">
        <v>384</v>
      </c>
      <c r="D21" s="521"/>
      <c r="E21" s="67">
        <f t="shared" ref="E21:P21" si="4">SUM(E20:E20)</f>
        <v>200.61256150791161</v>
      </c>
      <c r="F21" s="67">
        <f t="shared" si="4"/>
        <v>200.61256150791161</v>
      </c>
      <c r="G21" s="67">
        <f t="shared" si="4"/>
        <v>200.61256150791161</v>
      </c>
      <c r="H21" s="67">
        <f t="shared" si="4"/>
        <v>200.61256150791161</v>
      </c>
      <c r="I21" s="67">
        <f t="shared" si="4"/>
        <v>200.61256150791161</v>
      </c>
      <c r="J21" s="67">
        <f t="shared" si="4"/>
        <v>200.61256150791161</v>
      </c>
      <c r="K21" s="67">
        <f t="shared" si="4"/>
        <v>200.61256150791161</v>
      </c>
      <c r="L21" s="67">
        <f t="shared" si="4"/>
        <v>200.61256150791161</v>
      </c>
      <c r="M21" s="67">
        <f t="shared" si="4"/>
        <v>200.61256150791161</v>
      </c>
      <c r="N21" s="67">
        <f t="shared" si="4"/>
        <v>205.25531150791159</v>
      </c>
      <c r="O21" s="67">
        <f t="shared" si="4"/>
        <v>205.25531150791159</v>
      </c>
      <c r="P21" s="67">
        <f t="shared" si="4"/>
        <v>205.25531150791159</v>
      </c>
      <c r="Q21" s="67">
        <f>Q20</f>
        <v>2421.278988094939</v>
      </c>
      <c r="R21" s="2"/>
      <c r="S21" s="2"/>
      <c r="T21" s="51"/>
      <c r="U21" s="2"/>
      <c r="V21" s="2"/>
    </row>
    <row r="22" spans="1:22" ht="15.4">
      <c r="A22" s="2"/>
      <c r="B22" s="60"/>
      <c r="C22" s="61"/>
      <c r="D22" s="52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2"/>
      <c r="S22" s="2"/>
      <c r="T22" s="51"/>
      <c r="U22" s="2"/>
      <c r="V22" s="2"/>
    </row>
    <row r="23" spans="1:22" ht="15.4">
      <c r="A23" s="54" t="str">
        <f>Rent!A16</f>
        <v xml:space="preserve">Sally Beauty Supply </v>
      </c>
      <c r="B23" s="55" t="str">
        <f>Rent!B16</f>
        <v>B103</v>
      </c>
      <c r="C23" s="55">
        <f>Rent!C16</f>
        <v>1625</v>
      </c>
      <c r="D23" s="519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8">
        <f t="shared" ref="Q23:Q26" si="5">SUM(E23:P23)</f>
        <v>0</v>
      </c>
      <c r="R23" s="2"/>
      <c r="S23" s="2"/>
      <c r="T23" s="51"/>
      <c r="U23" s="2"/>
      <c r="V23" s="2"/>
    </row>
    <row r="24" spans="1:22" ht="15.4">
      <c r="A24" s="52"/>
      <c r="B24" s="60" t="s">
        <v>381</v>
      </c>
      <c r="C24" s="61"/>
      <c r="D24" s="520"/>
      <c r="E24" s="62">
        <f>IF(Rent!E16=0,0,(Rent!E16+(SUM('Tenant Charges'!$F12:$K12))))</f>
        <v>3230.8028291171786</v>
      </c>
      <c r="F24" s="62">
        <f>IF(Rent!F16=0,0,(Rent!F16+(SUM('Tenant Charges'!$F12:$K12))))</f>
        <v>3230.8028291171786</v>
      </c>
      <c r="G24" s="62">
        <f>IF(Rent!G16=0,0,(Rent!G16+(SUM('Tenant Charges'!$F12:$K12))))</f>
        <v>3230.8028291171786</v>
      </c>
      <c r="H24" s="62">
        <f>IF(Rent!H16=0,0,(Rent!H16+(SUM('Tenant Charges'!$F12:$K12))))</f>
        <v>3230.8028291171786</v>
      </c>
      <c r="I24" s="62">
        <f>IF(Rent!I16=0,0,(Rent!I16+(SUM('Tenant Charges'!$F12:$K12))))</f>
        <v>3230.8028291171786</v>
      </c>
      <c r="J24" s="62">
        <f>IF(Rent!J16=0,0,(Rent!J16+(SUM('Tenant Charges'!$F12:$K12))))</f>
        <v>3230.8028291171786</v>
      </c>
      <c r="K24" s="62">
        <f>IF(Rent!K16=0,0,(Rent!K16+(SUM('Tenant Charges'!$F12:$K12))))</f>
        <v>3230.8028291171786</v>
      </c>
      <c r="L24" s="62">
        <f>IF(Rent!L16=0,0,(Rent!L16+(SUM('Tenant Charges'!$F12:$K12))))</f>
        <v>3230.8028291171786</v>
      </c>
      <c r="M24" s="62">
        <f>IF(Rent!M16=0,0,(Rent!M16+(SUM('Tenant Charges'!$F12:$K12))))</f>
        <v>3230.8028291171786</v>
      </c>
      <c r="N24" s="62">
        <f>IF(Rent!N16=0,0,(Rent!N16+(SUM('Tenant Charges'!$F12:$K12))))</f>
        <v>3230.8028291171786</v>
      </c>
      <c r="O24" s="62">
        <f>IF(Rent!O16=0,0,(Rent!O16+(SUM('Tenant Charges'!$F12:$K12))))</f>
        <v>3230.8028291171786</v>
      </c>
      <c r="P24" s="62">
        <f>IF(Rent!P16=0,0,(Rent!P16+(SUM('Tenant Charges'!$F12:$K12))))</f>
        <v>3230.8028291171786</v>
      </c>
      <c r="Q24" s="63">
        <f t="shared" si="5"/>
        <v>38769.633949406147</v>
      </c>
      <c r="R24" s="2"/>
      <c r="S24" s="2"/>
      <c r="T24" s="51"/>
      <c r="U24" s="2"/>
      <c r="V24" s="2"/>
    </row>
    <row r="25" spans="1:22" ht="15.4">
      <c r="A25" s="52"/>
      <c r="B25" s="60" t="s">
        <v>385</v>
      </c>
      <c r="C25" s="61"/>
      <c r="D25" s="520">
        <f>$D$11</f>
        <v>2.5000000000000001E-2</v>
      </c>
      <c r="E25" s="62">
        <f>E24*$D$25</f>
        <v>80.770070727929465</v>
      </c>
      <c r="F25" s="62">
        <f t="shared" ref="F25:P25" si="6">F24*$D$25</f>
        <v>80.770070727929465</v>
      </c>
      <c r="G25" s="62">
        <f t="shared" si="6"/>
        <v>80.770070727929465</v>
      </c>
      <c r="H25" s="62">
        <f t="shared" si="6"/>
        <v>80.770070727929465</v>
      </c>
      <c r="I25" s="62">
        <f t="shared" si="6"/>
        <v>80.770070727929465</v>
      </c>
      <c r="J25" s="62">
        <f t="shared" si="6"/>
        <v>80.770070727929465</v>
      </c>
      <c r="K25" s="62">
        <f t="shared" si="6"/>
        <v>80.770070727929465</v>
      </c>
      <c r="L25" s="62">
        <f t="shared" si="6"/>
        <v>80.770070727929465</v>
      </c>
      <c r="M25" s="62">
        <f t="shared" si="6"/>
        <v>80.770070727929465</v>
      </c>
      <c r="N25" s="62">
        <f t="shared" si="6"/>
        <v>80.770070727929465</v>
      </c>
      <c r="O25" s="62">
        <f t="shared" si="6"/>
        <v>80.770070727929465</v>
      </c>
      <c r="P25" s="62">
        <f t="shared" si="6"/>
        <v>80.770070727929465</v>
      </c>
      <c r="Q25" s="63">
        <f t="shared" si="5"/>
        <v>969.24084873515358</v>
      </c>
      <c r="R25" s="2"/>
      <c r="S25" s="2"/>
      <c r="T25" s="51"/>
      <c r="U25" s="2"/>
      <c r="V25" s="2"/>
    </row>
    <row r="26" spans="1:22" ht="15.4">
      <c r="A26" s="70"/>
      <c r="B26" s="65"/>
      <c r="C26" s="66" t="s">
        <v>384</v>
      </c>
      <c r="D26" s="523"/>
      <c r="E26" s="67">
        <f>E25</f>
        <v>80.770070727929465</v>
      </c>
      <c r="F26" s="67">
        <f t="shared" ref="F26:P26" si="7">F25</f>
        <v>80.770070727929465</v>
      </c>
      <c r="G26" s="67">
        <f t="shared" si="7"/>
        <v>80.770070727929465</v>
      </c>
      <c r="H26" s="67">
        <f t="shared" si="7"/>
        <v>80.770070727929465</v>
      </c>
      <c r="I26" s="67">
        <f t="shared" si="7"/>
        <v>80.770070727929465</v>
      </c>
      <c r="J26" s="67">
        <f t="shared" si="7"/>
        <v>80.770070727929465</v>
      </c>
      <c r="K26" s="67">
        <f t="shared" si="7"/>
        <v>80.770070727929465</v>
      </c>
      <c r="L26" s="67">
        <f t="shared" si="7"/>
        <v>80.770070727929465</v>
      </c>
      <c r="M26" s="67">
        <f t="shared" si="7"/>
        <v>80.770070727929465</v>
      </c>
      <c r="N26" s="67">
        <f t="shared" si="7"/>
        <v>80.770070727929465</v>
      </c>
      <c r="O26" s="67">
        <f t="shared" si="7"/>
        <v>80.770070727929465</v>
      </c>
      <c r="P26" s="67">
        <f t="shared" si="7"/>
        <v>80.770070727929465</v>
      </c>
      <c r="Q26" s="68">
        <f t="shared" si="5"/>
        <v>969.24084873515358</v>
      </c>
      <c r="R26" s="2"/>
      <c r="S26" s="2"/>
      <c r="T26" s="51"/>
      <c r="U26" s="2"/>
      <c r="V26" s="2"/>
    </row>
    <row r="27" spans="1:22" s="74" customFormat="1" ht="15.4">
      <c r="A27" s="52"/>
      <c r="B27" s="60"/>
      <c r="C27" s="61"/>
      <c r="D27" s="52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53"/>
      <c r="R27" s="72"/>
      <c r="S27" s="72"/>
      <c r="T27" s="73"/>
      <c r="U27" s="72"/>
      <c r="V27" s="72"/>
    </row>
    <row r="28" spans="1:22" ht="15.4">
      <c r="A28" s="54" t="str">
        <f>Rent!A17</f>
        <v>Wild Side Smoke Shop</v>
      </c>
      <c r="B28" s="55" t="str">
        <f>Rent!B17</f>
        <v>B104</v>
      </c>
      <c r="C28" s="49">
        <f>Rent!C17</f>
        <v>1400</v>
      </c>
      <c r="D28" s="519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8">
        <f t="shared" ref="Q28:Q31" si="8">SUM(E28:P28)</f>
        <v>0</v>
      </c>
      <c r="R28" s="2"/>
      <c r="S28" s="2"/>
      <c r="T28" s="51"/>
      <c r="U28" s="2"/>
      <c r="V28" s="2"/>
    </row>
    <row r="29" spans="1:22" ht="15.4">
      <c r="A29" s="52"/>
      <c r="B29" s="60" t="s">
        <v>381</v>
      </c>
      <c r="C29" s="61"/>
      <c r="D29" s="520"/>
      <c r="E29" s="62">
        <f>IF(Rent!E17=0,0,(Rent!E17+(SUM('Tenant Charges'!$F13:$K13))))</f>
        <v>3281.2164573251503</v>
      </c>
      <c r="F29" s="62">
        <f>IF(Rent!F17=0,0,(Rent!F17+(SUM('Tenant Charges'!$F13:$K13))))</f>
        <v>3281.2164573251503</v>
      </c>
      <c r="G29" s="62">
        <f>IF(Rent!G17=0,0,(Rent!G17+(SUM('Tenant Charges'!$F13:$K13))))</f>
        <v>3281.2164573251503</v>
      </c>
      <c r="H29" s="62">
        <f>IF(Rent!H17=0,0,(Rent!H17+(SUM('Tenant Charges'!$F13:$K13))))</f>
        <v>3281.2164573251503</v>
      </c>
      <c r="I29" s="62">
        <f>IF(Rent!I17=0,0,(Rent!I17+(SUM('Tenant Charges'!$F13:$K13))))</f>
        <v>3355.4764573251505</v>
      </c>
      <c r="J29" s="62">
        <f>IF(Rent!J17=0,0,(Rent!J17+(SUM('Tenant Charges'!$F13:$K13))))</f>
        <v>3355.4764573251505</v>
      </c>
      <c r="K29" s="62">
        <f>IF(Rent!K17=0,0,(Rent!K17+(SUM('Tenant Charges'!$F13:$K13))))</f>
        <v>3355.4764573251505</v>
      </c>
      <c r="L29" s="62">
        <f>IF(Rent!L17=0,0,(Rent!L17+(SUM('Tenant Charges'!$F13:$K13))))</f>
        <v>3355.4764573251505</v>
      </c>
      <c r="M29" s="62">
        <f>IF(Rent!M17=0,0,(Rent!M17+(SUM('Tenant Charges'!$F13:$K13))))</f>
        <v>3355.4764573251505</v>
      </c>
      <c r="N29" s="62">
        <f>IF(Rent!N17=0,0,(Rent!N17+(SUM('Tenant Charges'!$F13:$K13))))</f>
        <v>3355.4764573251505</v>
      </c>
      <c r="O29" s="62">
        <f>IF(Rent!O17=0,0,(Rent!O17+(SUM('Tenant Charges'!$F13:$K13))))</f>
        <v>3355.4764573251505</v>
      </c>
      <c r="P29" s="62">
        <f>IF(Rent!P17=0,0,(Rent!P17+(SUM('Tenant Charges'!$F13:$K13))))</f>
        <v>3355.4764573251505</v>
      </c>
      <c r="Q29" s="63">
        <f t="shared" si="8"/>
        <v>39968.677487901819</v>
      </c>
      <c r="R29" s="2"/>
      <c r="S29" s="2"/>
      <c r="T29" s="51"/>
      <c r="U29" s="2"/>
      <c r="V29" s="2"/>
    </row>
    <row r="30" spans="1:22" ht="15.4">
      <c r="A30" s="52"/>
      <c r="B30" s="60" t="s">
        <v>385</v>
      </c>
      <c r="C30" s="61"/>
      <c r="D30" s="520">
        <f>$D$11</f>
        <v>2.5000000000000001E-2</v>
      </c>
      <c r="E30" s="62">
        <f>E29*$D$30</f>
        <v>82.030411433128762</v>
      </c>
      <c r="F30" s="62">
        <f t="shared" ref="F30:P30" si="9">F29*$D$30</f>
        <v>82.030411433128762</v>
      </c>
      <c r="G30" s="62">
        <f t="shared" si="9"/>
        <v>82.030411433128762</v>
      </c>
      <c r="H30" s="62">
        <f t="shared" si="9"/>
        <v>82.030411433128762</v>
      </c>
      <c r="I30" s="62">
        <f t="shared" si="9"/>
        <v>83.886911433128773</v>
      </c>
      <c r="J30" s="62">
        <f t="shared" si="9"/>
        <v>83.886911433128773</v>
      </c>
      <c r="K30" s="62">
        <f t="shared" si="9"/>
        <v>83.886911433128773</v>
      </c>
      <c r="L30" s="62">
        <f t="shared" si="9"/>
        <v>83.886911433128773</v>
      </c>
      <c r="M30" s="62">
        <f t="shared" si="9"/>
        <v>83.886911433128773</v>
      </c>
      <c r="N30" s="62">
        <f t="shared" si="9"/>
        <v>83.886911433128773</v>
      </c>
      <c r="O30" s="62">
        <f t="shared" si="9"/>
        <v>83.886911433128773</v>
      </c>
      <c r="P30" s="62">
        <f t="shared" si="9"/>
        <v>83.886911433128773</v>
      </c>
      <c r="Q30" s="63">
        <f t="shared" si="8"/>
        <v>999.21693719754489</v>
      </c>
      <c r="R30" s="2"/>
      <c r="S30" s="2"/>
      <c r="T30" s="51"/>
      <c r="U30" s="2"/>
      <c r="V30" s="2"/>
    </row>
    <row r="31" spans="1:22" ht="15.4">
      <c r="A31" s="70"/>
      <c r="B31" s="65"/>
      <c r="C31" s="66" t="s">
        <v>384</v>
      </c>
      <c r="D31" s="523"/>
      <c r="E31" s="67">
        <f>E30</f>
        <v>82.030411433128762</v>
      </c>
      <c r="F31" s="67">
        <f t="shared" ref="F31" si="10">F30</f>
        <v>82.030411433128762</v>
      </c>
      <c r="G31" s="67">
        <f t="shared" ref="G31" si="11">G30</f>
        <v>82.030411433128762</v>
      </c>
      <c r="H31" s="67">
        <f t="shared" ref="H31" si="12">H30</f>
        <v>82.030411433128762</v>
      </c>
      <c r="I31" s="67">
        <f t="shared" ref="I31" si="13">I30</f>
        <v>83.886911433128773</v>
      </c>
      <c r="J31" s="67">
        <f t="shared" ref="J31" si="14">J30</f>
        <v>83.886911433128773</v>
      </c>
      <c r="K31" s="67">
        <f t="shared" ref="K31" si="15">K30</f>
        <v>83.886911433128773</v>
      </c>
      <c r="L31" s="67">
        <f t="shared" ref="L31" si="16">L30</f>
        <v>83.886911433128773</v>
      </c>
      <c r="M31" s="67">
        <f t="shared" ref="M31" si="17">M30</f>
        <v>83.886911433128773</v>
      </c>
      <c r="N31" s="67">
        <f t="shared" ref="N31" si="18">N30</f>
        <v>83.886911433128773</v>
      </c>
      <c r="O31" s="67">
        <f t="shared" ref="O31" si="19">O30</f>
        <v>83.886911433128773</v>
      </c>
      <c r="P31" s="67">
        <f t="shared" ref="P31" si="20">P30</f>
        <v>83.886911433128773</v>
      </c>
      <c r="Q31" s="68">
        <f t="shared" si="8"/>
        <v>999.21693719754489</v>
      </c>
      <c r="R31" s="2"/>
      <c r="S31" s="2"/>
      <c r="T31" s="51"/>
      <c r="U31" s="2"/>
      <c r="V31" s="2"/>
    </row>
    <row r="32" spans="1:22" ht="15.4">
      <c r="A32" s="2"/>
      <c r="B32" s="2"/>
      <c r="C32" s="2"/>
      <c r="D32" s="518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75"/>
      <c r="U32" s="2"/>
      <c r="V32" s="2"/>
    </row>
    <row r="33" spans="1:22" ht="15.4">
      <c r="A33" s="54" t="str">
        <f>Rent!A18</f>
        <v>Green Spa, LLC</v>
      </c>
      <c r="B33" s="55" t="str">
        <f>Rent!B18</f>
        <v>B105</v>
      </c>
      <c r="C33" s="49">
        <f>Rent!C18</f>
        <v>1112</v>
      </c>
      <c r="D33" s="519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8">
        <f t="shared" ref="Q33:Q36" si="21">SUM(E33:P33)</f>
        <v>0</v>
      </c>
      <c r="R33" s="2"/>
      <c r="S33" s="2"/>
      <c r="T33" s="51"/>
      <c r="U33" s="2"/>
      <c r="V33" s="2"/>
    </row>
    <row r="34" spans="1:22" ht="15.4">
      <c r="A34" s="52"/>
      <c r="B34" s="60" t="s">
        <v>381</v>
      </c>
      <c r="C34" s="61"/>
      <c r="D34" s="520"/>
      <c r="E34" s="62">
        <f>IF(Rent!E18=0,0,(Rent!E18+(SUM('Tenant Charges'!$F14:$K14))))</f>
        <v>2746.4346718182624</v>
      </c>
      <c r="F34" s="62">
        <f>IF(Rent!F18=0,0,(Rent!F18+(SUM('Tenant Charges'!$F14:$K14))))</f>
        <v>2746.4346718182624</v>
      </c>
      <c r="G34" s="62">
        <f>IF(Rent!G18=0,0,(Rent!G18+(SUM('Tenant Charges'!$F14:$K14))))</f>
        <v>2746.4346718182624</v>
      </c>
      <c r="H34" s="62">
        <f>IF(Rent!H18=0,0,(Rent!H18+(SUM('Tenant Charges'!$F14:$K14))))</f>
        <v>2788.5646718182625</v>
      </c>
      <c r="I34" s="62">
        <f>IF(Rent!I18=0,0,(Rent!I18+(SUM('Tenant Charges'!$F14:$K14))))</f>
        <v>2788.5646718182625</v>
      </c>
      <c r="J34" s="62">
        <f>IF(Rent!J18=0,0,(Rent!J18+(SUM('Tenant Charges'!$F14:$K14))))</f>
        <v>2788.5646718182625</v>
      </c>
      <c r="K34" s="62">
        <f>IF(Rent!K18=0,0,(Rent!K18+(SUM('Tenant Charges'!$F14:$K14))))</f>
        <v>2788.5646718182625</v>
      </c>
      <c r="L34" s="62">
        <f>IF(Rent!L18=0,0,(Rent!L18+(SUM('Tenant Charges'!$F14:$K14))))</f>
        <v>2788.5646718182625</v>
      </c>
      <c r="M34" s="62">
        <f>IF(Rent!M18=0,0,(Rent!M18+(SUM('Tenant Charges'!$F14:$K14))))</f>
        <v>2788.5646718182625</v>
      </c>
      <c r="N34" s="62">
        <f>IF(Rent!N18=0,0,(Rent!N18+(SUM('Tenant Charges'!$F14:$K14))))</f>
        <v>2788.5646718182625</v>
      </c>
      <c r="O34" s="62">
        <f>IF(Rent!O18=0,0,(Rent!O18+(SUM('Tenant Charges'!$F14:$K14))))</f>
        <v>2788.5646718182625</v>
      </c>
      <c r="P34" s="62">
        <f>IF(Rent!P18=0,0,(Rent!P18+(SUM('Tenant Charges'!$F14:$K14))))</f>
        <v>2788.5646718182625</v>
      </c>
      <c r="Q34" s="63">
        <f t="shared" si="21"/>
        <v>33336.386061819147</v>
      </c>
      <c r="R34" s="2"/>
      <c r="S34" s="2"/>
      <c r="T34" s="51"/>
      <c r="U34" s="2"/>
      <c r="V34" s="2"/>
    </row>
    <row r="35" spans="1:22" ht="15.4">
      <c r="A35" s="52"/>
      <c r="B35" s="60" t="s">
        <v>385</v>
      </c>
      <c r="C35" s="61"/>
      <c r="D35" s="520">
        <f>$D$11</f>
        <v>2.5000000000000001E-2</v>
      </c>
      <c r="E35" s="62">
        <f>E34*$D$35</f>
        <v>68.660866795456556</v>
      </c>
      <c r="F35" s="62">
        <f t="shared" ref="F35:P35" si="22">F34*$D$35</f>
        <v>68.660866795456556</v>
      </c>
      <c r="G35" s="62">
        <f t="shared" si="22"/>
        <v>68.660866795456556</v>
      </c>
      <c r="H35" s="62">
        <f t="shared" si="22"/>
        <v>69.714116795456562</v>
      </c>
      <c r="I35" s="62">
        <f t="shared" si="22"/>
        <v>69.714116795456562</v>
      </c>
      <c r="J35" s="62">
        <f t="shared" si="22"/>
        <v>69.714116795456562</v>
      </c>
      <c r="K35" s="62">
        <f t="shared" si="22"/>
        <v>69.714116795456562</v>
      </c>
      <c r="L35" s="62">
        <f t="shared" si="22"/>
        <v>69.714116795456562</v>
      </c>
      <c r="M35" s="62">
        <f t="shared" si="22"/>
        <v>69.714116795456562</v>
      </c>
      <c r="N35" s="62">
        <f t="shared" si="22"/>
        <v>69.714116795456562</v>
      </c>
      <c r="O35" s="62">
        <f t="shared" si="22"/>
        <v>69.714116795456562</v>
      </c>
      <c r="P35" s="62">
        <f t="shared" si="22"/>
        <v>69.714116795456562</v>
      </c>
      <c r="Q35" s="63">
        <f t="shared" si="21"/>
        <v>833.40965154547871</v>
      </c>
      <c r="R35" s="2"/>
      <c r="S35" s="2"/>
      <c r="T35" s="51"/>
      <c r="U35" s="2"/>
      <c r="V35" s="2"/>
    </row>
    <row r="36" spans="1:22" ht="15.4">
      <c r="A36" s="70"/>
      <c r="B36" s="65"/>
      <c r="C36" s="66" t="s">
        <v>384</v>
      </c>
      <c r="D36" s="523"/>
      <c r="E36" s="67">
        <f>E35</f>
        <v>68.660866795456556</v>
      </c>
      <c r="F36" s="67">
        <f t="shared" ref="F36" si="23">F35</f>
        <v>68.660866795456556</v>
      </c>
      <c r="G36" s="67">
        <f t="shared" ref="G36" si="24">G35</f>
        <v>68.660866795456556</v>
      </c>
      <c r="H36" s="67">
        <f t="shared" ref="H36" si="25">H35</f>
        <v>69.714116795456562</v>
      </c>
      <c r="I36" s="67">
        <f t="shared" ref="I36" si="26">I35</f>
        <v>69.714116795456562</v>
      </c>
      <c r="J36" s="67">
        <f t="shared" ref="J36" si="27">J35</f>
        <v>69.714116795456562</v>
      </c>
      <c r="K36" s="67">
        <f t="shared" ref="K36" si="28">K35</f>
        <v>69.714116795456562</v>
      </c>
      <c r="L36" s="67">
        <f t="shared" ref="L36" si="29">L35</f>
        <v>69.714116795456562</v>
      </c>
      <c r="M36" s="67">
        <f t="shared" ref="M36" si="30">M35</f>
        <v>69.714116795456562</v>
      </c>
      <c r="N36" s="67">
        <f t="shared" ref="N36" si="31">N35</f>
        <v>69.714116795456562</v>
      </c>
      <c r="O36" s="67">
        <f t="shared" ref="O36" si="32">O35</f>
        <v>69.714116795456562</v>
      </c>
      <c r="P36" s="67">
        <f t="shared" ref="P36" si="33">P35</f>
        <v>69.714116795456562</v>
      </c>
      <c r="Q36" s="68">
        <f t="shared" si="21"/>
        <v>833.40965154547871</v>
      </c>
      <c r="R36" s="2"/>
      <c r="S36" s="2"/>
      <c r="T36" s="51"/>
      <c r="U36" s="2"/>
      <c r="V36" s="2"/>
    </row>
    <row r="37" spans="1:22" ht="15.4">
      <c r="A37" s="2"/>
      <c r="B37" s="2"/>
      <c r="C37" s="2"/>
      <c r="D37" s="518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75"/>
      <c r="U37" s="2"/>
      <c r="V37" s="2"/>
    </row>
    <row r="38" spans="1:22" ht="15.4">
      <c r="A38" s="54" t="str">
        <f>Rent!A19</f>
        <v>AT&amp;T Mobility</v>
      </c>
      <c r="B38" s="55" t="str">
        <f>Rent!B19</f>
        <v>B106</v>
      </c>
      <c r="C38" s="49">
        <f>Rent!C19</f>
        <v>2494</v>
      </c>
      <c r="D38" s="519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8">
        <f t="shared" ref="Q38:Q41" si="34">SUM(E38:P38)</f>
        <v>0</v>
      </c>
      <c r="R38" s="2"/>
      <c r="S38" s="2"/>
      <c r="T38" s="51"/>
      <c r="U38" s="2"/>
      <c r="V38" s="2"/>
    </row>
    <row r="39" spans="1:22" ht="15.4">
      <c r="A39" s="52"/>
      <c r="B39" s="60" t="s">
        <v>381</v>
      </c>
      <c r="C39" s="61"/>
      <c r="D39" s="520"/>
      <c r="E39" s="62">
        <f>IF(Rent!E19=0,0,(Rent!E19+(SUM('Tenant Charges'!$F15:$K15))))</f>
        <v>6867.2880632775496</v>
      </c>
      <c r="F39" s="62">
        <f>IF(Rent!F19=0,0,(Rent!F19+(SUM('Tenant Charges'!$F15:$K15))))</f>
        <v>6867.2880632775496</v>
      </c>
      <c r="G39" s="62">
        <f>IF(Rent!G19=0,0,(Rent!G19+(SUM('Tenant Charges'!$F15:$K15))))</f>
        <v>6867.2880632775496</v>
      </c>
      <c r="H39" s="62">
        <f>IF(Rent!H19=0,0,(Rent!H19+(SUM('Tenant Charges'!$F15:$K15))))</f>
        <v>6867.2880632775496</v>
      </c>
      <c r="I39" s="62">
        <f>IF(Rent!I19=0,0,(Rent!I19+(SUM('Tenant Charges'!$F15:$K15))))</f>
        <v>6867.2880632775496</v>
      </c>
      <c r="J39" s="62">
        <f>IF(Rent!J19=0,0,(Rent!J19+(SUM('Tenant Charges'!$F15:$K15))))</f>
        <v>6867.2880632775496</v>
      </c>
      <c r="K39" s="62">
        <f>IF(Rent!K19=0,0,(Rent!K19+(SUM('Tenant Charges'!$F15:$K15))))</f>
        <v>6867.2880632775496</v>
      </c>
      <c r="L39" s="62">
        <f>IF(Rent!L19=0,0,(Rent!L19+(SUM('Tenant Charges'!$F15:$K15))))</f>
        <v>6867.2880632775496</v>
      </c>
      <c r="M39" s="62">
        <f>IF(Rent!M19=0,0,(Rent!M19+(SUM('Tenant Charges'!$F15:$K15))))</f>
        <v>6867.2880632775496</v>
      </c>
      <c r="N39" s="62">
        <f>IF(Rent!N19=0,0,(Rent!N19+(SUM('Tenant Charges'!$F15:$K15))))</f>
        <v>6867.2880632775496</v>
      </c>
      <c r="O39" s="62">
        <f>IF(Rent!O19=0,0,(Rent!O19+(SUM('Tenant Charges'!$F15:$K15))))</f>
        <v>6867.2880632775496</v>
      </c>
      <c r="P39" s="62">
        <f>IF(Rent!P19=0,0,(Rent!P19+(SUM('Tenant Charges'!$F15:$K15))))</f>
        <v>6867.2880632775496</v>
      </c>
      <c r="Q39" s="63">
        <f t="shared" si="34"/>
        <v>82407.456759330598</v>
      </c>
      <c r="R39" s="2"/>
      <c r="S39" s="2"/>
      <c r="T39" s="51"/>
      <c r="U39" s="2"/>
      <c r="V39" s="2"/>
    </row>
    <row r="40" spans="1:22" ht="15.4">
      <c r="A40" s="52"/>
      <c r="B40" s="60" t="s">
        <v>385</v>
      </c>
      <c r="C40" s="61"/>
      <c r="D40" s="520">
        <f>$D$11</f>
        <v>2.5000000000000001E-2</v>
      </c>
      <c r="E40" s="62">
        <f>E39*$D$40</f>
        <v>171.68220158193876</v>
      </c>
      <c r="F40" s="62">
        <f t="shared" ref="F40:P40" si="35">F39*$D$40</f>
        <v>171.68220158193876</v>
      </c>
      <c r="G40" s="62">
        <f t="shared" si="35"/>
        <v>171.68220158193876</v>
      </c>
      <c r="H40" s="62">
        <f t="shared" si="35"/>
        <v>171.68220158193876</v>
      </c>
      <c r="I40" s="62">
        <f t="shared" si="35"/>
        <v>171.68220158193876</v>
      </c>
      <c r="J40" s="62">
        <f t="shared" si="35"/>
        <v>171.68220158193876</v>
      </c>
      <c r="K40" s="62">
        <f t="shared" si="35"/>
        <v>171.68220158193876</v>
      </c>
      <c r="L40" s="62">
        <f t="shared" si="35"/>
        <v>171.68220158193876</v>
      </c>
      <c r="M40" s="62">
        <f t="shared" si="35"/>
        <v>171.68220158193876</v>
      </c>
      <c r="N40" s="62">
        <f t="shared" si="35"/>
        <v>171.68220158193876</v>
      </c>
      <c r="O40" s="62">
        <f t="shared" si="35"/>
        <v>171.68220158193876</v>
      </c>
      <c r="P40" s="62">
        <f t="shared" si="35"/>
        <v>171.68220158193876</v>
      </c>
      <c r="Q40" s="63">
        <f t="shared" si="34"/>
        <v>2060.1864189832645</v>
      </c>
      <c r="R40" s="2"/>
      <c r="S40" s="2"/>
      <c r="T40" s="51"/>
      <c r="U40" s="2"/>
      <c r="V40" s="2"/>
    </row>
    <row r="41" spans="1:22" ht="15.4">
      <c r="A41" s="70"/>
      <c r="B41" s="65"/>
      <c r="C41" s="66" t="s">
        <v>384</v>
      </c>
      <c r="D41" s="523"/>
      <c r="E41" s="67">
        <f>E40</f>
        <v>171.68220158193876</v>
      </c>
      <c r="F41" s="67">
        <f t="shared" ref="F41" si="36">F40</f>
        <v>171.68220158193876</v>
      </c>
      <c r="G41" s="67">
        <f t="shared" ref="G41" si="37">G40</f>
        <v>171.68220158193876</v>
      </c>
      <c r="H41" s="67">
        <f t="shared" ref="H41" si="38">H40</f>
        <v>171.68220158193876</v>
      </c>
      <c r="I41" s="67">
        <f t="shared" ref="I41" si="39">I40</f>
        <v>171.68220158193876</v>
      </c>
      <c r="J41" s="67">
        <f t="shared" ref="J41" si="40">J40</f>
        <v>171.68220158193876</v>
      </c>
      <c r="K41" s="67">
        <f t="shared" ref="K41" si="41">K40</f>
        <v>171.68220158193876</v>
      </c>
      <c r="L41" s="67">
        <f t="shared" ref="L41" si="42">L40</f>
        <v>171.68220158193876</v>
      </c>
      <c r="M41" s="67">
        <f t="shared" ref="M41" si="43">M40</f>
        <v>171.68220158193876</v>
      </c>
      <c r="N41" s="67">
        <f t="shared" ref="N41" si="44">N40</f>
        <v>171.68220158193876</v>
      </c>
      <c r="O41" s="67">
        <f t="shared" ref="O41" si="45">O40</f>
        <v>171.68220158193876</v>
      </c>
      <c r="P41" s="67">
        <f t="shared" ref="P41" si="46">P40</f>
        <v>171.68220158193876</v>
      </c>
      <c r="Q41" s="68">
        <f t="shared" si="34"/>
        <v>2060.1864189832645</v>
      </c>
      <c r="R41" s="2"/>
      <c r="S41" s="2"/>
      <c r="T41" s="51"/>
      <c r="U41" s="2"/>
      <c r="V41" s="2"/>
    </row>
    <row r="42" spans="1:22" ht="15.4">
      <c r="A42" s="2"/>
      <c r="B42" s="2"/>
      <c r="C42" s="2"/>
      <c r="D42" s="51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75"/>
      <c r="U42" s="2"/>
      <c r="V42" s="2"/>
    </row>
    <row r="43" spans="1:22" ht="15.4">
      <c r="A43" s="54" t="str">
        <f>Rent!A20</f>
        <v>Discount Nutrition</v>
      </c>
      <c r="B43" s="55" t="str">
        <f>Rent!B20</f>
        <v>B108</v>
      </c>
      <c r="C43" s="49">
        <f>Rent!C20</f>
        <v>1500</v>
      </c>
      <c r="D43" s="519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8">
        <f t="shared" ref="Q43:Q46" si="47">SUM(E43:P43)</f>
        <v>0</v>
      </c>
      <c r="R43" s="2"/>
      <c r="S43" s="2"/>
      <c r="T43" s="51"/>
      <c r="U43" s="2"/>
      <c r="V43" s="2"/>
    </row>
    <row r="44" spans="1:22" ht="15.4">
      <c r="A44" s="52"/>
      <c r="B44" s="60" t="s">
        <v>381</v>
      </c>
      <c r="C44" s="61"/>
      <c r="D44" s="520"/>
      <c r="E44" s="62">
        <f>IF(Rent!E20=0,0,(Rent!E20+(SUM('Tenant Charges'!$F16:$K16))))</f>
        <v>3298.812632848375</v>
      </c>
      <c r="F44" s="62">
        <f>IF(Rent!F20=0,0,(Rent!F20+(SUM('Tenant Charges'!$F16:$K16))))</f>
        <v>3298.812632848375</v>
      </c>
      <c r="G44" s="62">
        <f>IF(Rent!G20=0,0,(Rent!G20+(SUM('Tenant Charges'!$F16:$K16))))</f>
        <v>3298.812632848375</v>
      </c>
      <c r="H44" s="62">
        <f>IF(Rent!H20=0,0,(Rent!H20+(SUM('Tenant Charges'!$F16:$K16))))</f>
        <v>3347.522632848375</v>
      </c>
      <c r="I44" s="62">
        <f>IF(Rent!I20=0,0,(Rent!I20+(SUM('Tenant Charges'!$F16:$K16))))</f>
        <v>3347.522632848375</v>
      </c>
      <c r="J44" s="62">
        <f>IF(Rent!J20=0,0,(Rent!J20+(SUM('Tenant Charges'!$F16:$K16))))</f>
        <v>3347.522632848375</v>
      </c>
      <c r="K44" s="62">
        <f>IF(Rent!K20=0,0,(Rent!K20+(SUM('Tenant Charges'!$F16:$K16))))</f>
        <v>3347.522632848375</v>
      </c>
      <c r="L44" s="62">
        <f>IF(Rent!L20=0,0,(Rent!L20+(SUM('Tenant Charges'!$F16:$K16))))</f>
        <v>3347.522632848375</v>
      </c>
      <c r="M44" s="62">
        <f>IF(Rent!M20=0,0,(Rent!M20+(SUM('Tenant Charges'!$F16:$K16))))</f>
        <v>3347.522632848375</v>
      </c>
      <c r="N44" s="62">
        <f>IF(Rent!N20=0,0,(Rent!N20+(SUM('Tenant Charges'!$F16:$K16))))</f>
        <v>3347.522632848375</v>
      </c>
      <c r="O44" s="62">
        <f>IF(Rent!O20=0,0,(Rent!O20+(SUM('Tenant Charges'!$F16:$K16))))</f>
        <v>3347.522632848375</v>
      </c>
      <c r="P44" s="62">
        <f>IF(Rent!P20=0,0,(Rent!P20+(SUM('Tenant Charges'!$F16:$K16))))</f>
        <v>3347.522632848375</v>
      </c>
      <c r="Q44" s="63">
        <f t="shared" si="47"/>
        <v>40024.14159418051</v>
      </c>
      <c r="R44" s="2"/>
      <c r="S44" s="2"/>
      <c r="T44" s="51"/>
      <c r="U44" s="2"/>
      <c r="V44" s="2"/>
    </row>
    <row r="45" spans="1:22" ht="15.4">
      <c r="A45" s="52"/>
      <c r="B45" s="60" t="s">
        <v>385</v>
      </c>
      <c r="C45" s="61"/>
      <c r="D45" s="520">
        <f>$D$11</f>
        <v>2.5000000000000001E-2</v>
      </c>
      <c r="E45" s="62">
        <f>E44*$D$45</f>
        <v>82.470315821209383</v>
      </c>
      <c r="F45" s="62">
        <f t="shared" ref="F45:P45" si="48">F44*$D$45</f>
        <v>82.470315821209383</v>
      </c>
      <c r="G45" s="62">
        <f t="shared" si="48"/>
        <v>82.470315821209383</v>
      </c>
      <c r="H45" s="62">
        <f t="shared" si="48"/>
        <v>83.688065821209378</v>
      </c>
      <c r="I45" s="62">
        <f t="shared" si="48"/>
        <v>83.688065821209378</v>
      </c>
      <c r="J45" s="62">
        <f t="shared" si="48"/>
        <v>83.688065821209378</v>
      </c>
      <c r="K45" s="62">
        <f t="shared" si="48"/>
        <v>83.688065821209378</v>
      </c>
      <c r="L45" s="62">
        <f t="shared" si="48"/>
        <v>83.688065821209378</v>
      </c>
      <c r="M45" s="62">
        <f t="shared" si="48"/>
        <v>83.688065821209378</v>
      </c>
      <c r="N45" s="62">
        <f t="shared" si="48"/>
        <v>83.688065821209378</v>
      </c>
      <c r="O45" s="62">
        <f t="shared" si="48"/>
        <v>83.688065821209378</v>
      </c>
      <c r="P45" s="62">
        <f t="shared" si="48"/>
        <v>83.688065821209378</v>
      </c>
      <c r="Q45" s="63">
        <f t="shared" si="47"/>
        <v>1000.6035398545127</v>
      </c>
      <c r="R45" s="2"/>
      <c r="S45" s="2"/>
      <c r="T45" s="51"/>
      <c r="U45" s="2"/>
      <c r="V45" s="2"/>
    </row>
    <row r="46" spans="1:22" ht="15.4">
      <c r="A46" s="70"/>
      <c r="B46" s="65"/>
      <c r="C46" s="66" t="s">
        <v>384</v>
      </c>
      <c r="D46" s="523"/>
      <c r="E46" s="67">
        <f>E45</f>
        <v>82.470315821209383</v>
      </c>
      <c r="F46" s="67">
        <f t="shared" ref="F46:P46" si="49">F45</f>
        <v>82.470315821209383</v>
      </c>
      <c r="G46" s="67">
        <f t="shared" si="49"/>
        <v>82.470315821209383</v>
      </c>
      <c r="H46" s="67">
        <f t="shared" si="49"/>
        <v>83.688065821209378</v>
      </c>
      <c r="I46" s="67">
        <f t="shared" si="49"/>
        <v>83.688065821209378</v>
      </c>
      <c r="J46" s="67">
        <f t="shared" si="49"/>
        <v>83.688065821209378</v>
      </c>
      <c r="K46" s="67">
        <f t="shared" si="49"/>
        <v>83.688065821209378</v>
      </c>
      <c r="L46" s="67">
        <f t="shared" si="49"/>
        <v>83.688065821209378</v>
      </c>
      <c r="M46" s="67">
        <f t="shared" si="49"/>
        <v>83.688065821209378</v>
      </c>
      <c r="N46" s="67">
        <f t="shared" si="49"/>
        <v>83.688065821209378</v>
      </c>
      <c r="O46" s="67">
        <f t="shared" si="49"/>
        <v>83.688065821209378</v>
      </c>
      <c r="P46" s="67">
        <f t="shared" si="49"/>
        <v>83.688065821209378</v>
      </c>
      <c r="Q46" s="68">
        <f t="shared" si="47"/>
        <v>1000.6035398545127</v>
      </c>
      <c r="R46" s="2"/>
      <c r="S46" s="2"/>
      <c r="T46" s="51"/>
      <c r="U46" s="2"/>
      <c r="V46" s="2"/>
    </row>
    <row r="47" spans="1:22" ht="15.4">
      <c r="A47" s="2"/>
      <c r="B47" s="2"/>
      <c r="C47" s="2"/>
      <c r="D47" s="51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75"/>
      <c r="U47" s="2"/>
      <c r="V47" s="2"/>
    </row>
    <row r="48" spans="1:22" ht="15.4">
      <c r="A48" s="54" t="str">
        <f>Rent!A21</f>
        <v>Adapt Chiropractic</v>
      </c>
      <c r="B48" s="55" t="str">
        <f>Rent!B21</f>
        <v>B109</v>
      </c>
      <c r="C48" s="49">
        <f>Rent!C21</f>
        <v>1734</v>
      </c>
      <c r="D48" s="519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8">
        <f t="shared" ref="Q48:Q51" si="50">SUM(E48:P48)</f>
        <v>0</v>
      </c>
      <c r="R48" s="2"/>
      <c r="S48" s="2"/>
      <c r="T48" s="51"/>
      <c r="U48" s="2"/>
      <c r="V48" s="2"/>
    </row>
    <row r="49" spans="1:22" ht="15.4">
      <c r="A49" s="52"/>
      <c r="B49" s="60" t="s">
        <v>381</v>
      </c>
      <c r="C49" s="61"/>
      <c r="D49" s="520"/>
      <c r="E49" s="62">
        <f>IF(Rent!E21=0,0,(Rent!E21+(SUM('Tenant Charges'!$F17:$K17))))</f>
        <v>4181.2860713469181</v>
      </c>
      <c r="F49" s="62">
        <f>IF(Rent!F21=0,0,(Rent!F21+(SUM('Tenant Charges'!$F17:$K17))))</f>
        <v>4181.2860713469181</v>
      </c>
      <c r="G49" s="62">
        <f>IF(Rent!G21=0,0,(Rent!G21+(SUM('Tenant Charges'!$F17:$K17))))</f>
        <v>4181.2860713469181</v>
      </c>
      <c r="H49" s="62">
        <f>IF(Rent!H21=0,0,(Rent!H21+(SUM('Tenant Charges'!$F17:$K17))))</f>
        <v>4181.2860713469181</v>
      </c>
      <c r="I49" s="62">
        <f>IF(Rent!I21=0,0,(Rent!I21+(SUM('Tenant Charges'!$F17:$K17))))</f>
        <v>4181.2860713469181</v>
      </c>
      <c r="J49" s="62">
        <f>IF(Rent!J21=0,0,(Rent!J21+(SUM('Tenant Charges'!$F17:$K17))))</f>
        <v>4181.2860713469181</v>
      </c>
      <c r="K49" s="62">
        <f>IF(Rent!K21=0,0,(Rent!K21+(SUM('Tenant Charges'!$F17:$K17))))</f>
        <v>4181.2860713469181</v>
      </c>
      <c r="L49" s="62">
        <f>IF(Rent!L21=0,0,(Rent!L21+(SUM('Tenant Charges'!$F17:$K17))))</f>
        <v>4181.2860713469181</v>
      </c>
      <c r="M49" s="62">
        <f>IF(Rent!M21=0,0,(Rent!M21+(SUM('Tenant Charges'!$F17:$K17))))</f>
        <v>4181.2860713469181</v>
      </c>
      <c r="N49" s="62">
        <f>IF(Rent!N21=0,0,(Rent!N21+(SUM('Tenant Charges'!$F17:$K17))))</f>
        <v>4181.2860713469181</v>
      </c>
      <c r="O49" s="62">
        <f>IF(Rent!O21=0,0,(Rent!O21+(SUM('Tenant Charges'!$F17:$K17))))</f>
        <v>4181.2860713469181</v>
      </c>
      <c r="P49" s="62">
        <f>IF(Rent!P21=0,0,(Rent!P21+(SUM('Tenant Charges'!$F17:$K17))))</f>
        <v>4181.2860713469181</v>
      </c>
      <c r="Q49" s="63">
        <f t="shared" si="50"/>
        <v>50175.432856163032</v>
      </c>
      <c r="R49" s="2"/>
      <c r="S49" s="2"/>
      <c r="T49" s="51"/>
      <c r="U49" s="2"/>
      <c r="V49" s="2"/>
    </row>
    <row r="50" spans="1:22" ht="15.4">
      <c r="A50" s="52"/>
      <c r="B50" s="60" t="s">
        <v>385</v>
      </c>
      <c r="C50" s="61"/>
      <c r="D50" s="520">
        <f>$D$11</f>
        <v>2.5000000000000001E-2</v>
      </c>
      <c r="E50" s="62">
        <f>E49*$D$50</f>
        <v>104.53215178367296</v>
      </c>
      <c r="F50" s="62">
        <f t="shared" ref="F50:P50" si="51">F49*$D$50</f>
        <v>104.53215178367296</v>
      </c>
      <c r="G50" s="62">
        <f t="shared" si="51"/>
        <v>104.53215178367296</v>
      </c>
      <c r="H50" s="62">
        <f t="shared" si="51"/>
        <v>104.53215178367296</v>
      </c>
      <c r="I50" s="62">
        <f t="shared" si="51"/>
        <v>104.53215178367296</v>
      </c>
      <c r="J50" s="62">
        <f t="shared" si="51"/>
        <v>104.53215178367296</v>
      </c>
      <c r="K50" s="62">
        <f t="shared" si="51"/>
        <v>104.53215178367296</v>
      </c>
      <c r="L50" s="62">
        <f t="shared" si="51"/>
        <v>104.53215178367296</v>
      </c>
      <c r="M50" s="62">
        <f t="shared" si="51"/>
        <v>104.53215178367296</v>
      </c>
      <c r="N50" s="62">
        <f t="shared" si="51"/>
        <v>104.53215178367296</v>
      </c>
      <c r="O50" s="62">
        <f t="shared" si="51"/>
        <v>104.53215178367296</v>
      </c>
      <c r="P50" s="62">
        <f t="shared" si="51"/>
        <v>104.53215178367296</v>
      </c>
      <c r="Q50" s="63">
        <f t="shared" si="50"/>
        <v>1254.3858214040756</v>
      </c>
      <c r="R50" s="2"/>
      <c r="S50" s="2"/>
      <c r="T50" s="51"/>
      <c r="U50" s="2"/>
      <c r="V50" s="2"/>
    </row>
    <row r="51" spans="1:22" ht="15.4">
      <c r="A51" s="70"/>
      <c r="B51" s="65"/>
      <c r="C51" s="66" t="s">
        <v>384</v>
      </c>
      <c r="D51" s="523"/>
      <c r="E51" s="67">
        <f>E50</f>
        <v>104.53215178367296</v>
      </c>
      <c r="F51" s="67">
        <f t="shared" ref="F51:P51" si="52">F50</f>
        <v>104.53215178367296</v>
      </c>
      <c r="G51" s="67">
        <f t="shared" si="52"/>
        <v>104.53215178367296</v>
      </c>
      <c r="H51" s="67">
        <f t="shared" si="52"/>
        <v>104.53215178367296</v>
      </c>
      <c r="I51" s="67">
        <f t="shared" si="52"/>
        <v>104.53215178367296</v>
      </c>
      <c r="J51" s="67">
        <f t="shared" si="52"/>
        <v>104.53215178367296</v>
      </c>
      <c r="K51" s="67">
        <f t="shared" si="52"/>
        <v>104.53215178367296</v>
      </c>
      <c r="L51" s="67">
        <f t="shared" si="52"/>
        <v>104.53215178367296</v>
      </c>
      <c r="M51" s="67">
        <f t="shared" si="52"/>
        <v>104.53215178367296</v>
      </c>
      <c r="N51" s="67">
        <f t="shared" si="52"/>
        <v>104.53215178367296</v>
      </c>
      <c r="O51" s="67">
        <f t="shared" si="52"/>
        <v>104.53215178367296</v>
      </c>
      <c r="P51" s="67">
        <f t="shared" si="52"/>
        <v>104.53215178367296</v>
      </c>
      <c r="Q51" s="68">
        <f t="shared" si="50"/>
        <v>1254.3858214040756</v>
      </c>
      <c r="R51" s="2"/>
      <c r="S51" s="2"/>
      <c r="T51" s="51"/>
      <c r="U51" s="2"/>
      <c r="V51" s="2"/>
    </row>
    <row r="52" spans="1:22" ht="15.4">
      <c r="A52" s="2"/>
      <c r="B52" s="2"/>
      <c r="C52" s="2"/>
      <c r="D52" s="518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75"/>
      <c r="U52" s="2"/>
      <c r="V52" s="2"/>
    </row>
    <row r="53" spans="1:22" ht="15.4">
      <c r="A53" s="54" t="str">
        <f>Rent!A22</f>
        <v>Speakeasy Suites</v>
      </c>
      <c r="B53" s="55" t="str">
        <f>Rent!B22</f>
        <v>B111</v>
      </c>
      <c r="C53" s="49">
        <f>Rent!C22</f>
        <v>3900</v>
      </c>
      <c r="D53" s="519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8">
        <f t="shared" ref="Q53:Q56" si="53">SUM(E53:P53)</f>
        <v>0</v>
      </c>
      <c r="R53" s="2"/>
      <c r="S53" s="2"/>
      <c r="T53" s="51"/>
      <c r="U53" s="2"/>
      <c r="V53" s="2"/>
    </row>
    <row r="54" spans="1:22" ht="15.4">
      <c r="A54" s="52"/>
      <c r="B54" s="60" t="s">
        <v>381</v>
      </c>
      <c r="C54" s="61"/>
      <c r="D54" s="520"/>
      <c r="E54" s="62">
        <f>IF(Rent!E22=0,0,(Rent!E22+(SUM('Tenant Charges'!$F18:$K18))))</f>
        <v>8097.3408454057753</v>
      </c>
      <c r="F54" s="62">
        <f>IF(Rent!F22=0,0,(Rent!F22+(SUM('Tenant Charges'!$F18:$K18))))</f>
        <v>8097.3408454057753</v>
      </c>
      <c r="G54" s="62">
        <f>IF(Rent!G22=0,0,(Rent!G22+(SUM('Tenant Charges'!$F18:$K18))))</f>
        <v>8097.3408454057753</v>
      </c>
      <c r="H54" s="62">
        <f>IF(Rent!H22=0,0,(Rent!H22+(SUM('Tenant Charges'!$F18:$K18))))</f>
        <v>8097.3408454057753</v>
      </c>
      <c r="I54" s="62">
        <f>IF(Rent!I22=0,0,(Rent!I22+(SUM('Tenant Charges'!$F18:$K18))))</f>
        <v>8097.3408454057753</v>
      </c>
      <c r="J54" s="62">
        <f>IF(Rent!J22=0,0,(Rent!J22+(SUM('Tenant Charges'!$F18:$K18))))</f>
        <v>8097.3408454057753</v>
      </c>
      <c r="K54" s="62">
        <f>IF(Rent!K22=0,0,(Rent!K22+(SUM('Tenant Charges'!$F18:$K18))))</f>
        <v>8097.3408454057753</v>
      </c>
      <c r="L54" s="62">
        <f>IF(Rent!L22=0,0,(Rent!L22+(SUM('Tenant Charges'!$F18:$K18))))</f>
        <v>8097.3408454057753</v>
      </c>
      <c r="M54" s="62">
        <f>IF(Rent!M22=0,0,(Rent!M22+(SUM('Tenant Charges'!$F18:$K18))))</f>
        <v>8097.3408454057753</v>
      </c>
      <c r="N54" s="62">
        <f>IF(Rent!N22=0,0,(Rent!N22+(SUM('Tenant Charges'!$F18:$K18))))</f>
        <v>8097.3408454057753</v>
      </c>
      <c r="O54" s="62">
        <f>IF(Rent!O22=0,0,(Rent!O22+(SUM('Tenant Charges'!$F18:$K18))))</f>
        <v>8272.9208454057753</v>
      </c>
      <c r="P54" s="62">
        <f>IF(Rent!P22=0,0,(Rent!P22+(SUM('Tenant Charges'!$F18:$K18))))</f>
        <v>8272.9208454057753</v>
      </c>
      <c r="Q54" s="63">
        <f t="shared" si="53"/>
        <v>97519.250144869337</v>
      </c>
      <c r="R54" s="2"/>
      <c r="S54" s="2"/>
      <c r="T54" s="51"/>
      <c r="U54" s="2"/>
      <c r="V54" s="2"/>
    </row>
    <row r="55" spans="1:22" ht="15.4">
      <c r="A55" s="52"/>
      <c r="B55" s="60" t="s">
        <v>385</v>
      </c>
      <c r="C55" s="61"/>
      <c r="D55" s="520">
        <f>$D$11</f>
        <v>2.5000000000000001E-2</v>
      </c>
      <c r="E55" s="62">
        <f>E54*$D$55</f>
        <v>202.43352113514439</v>
      </c>
      <c r="F55" s="62">
        <f t="shared" ref="F55:P55" si="54">F54*$D$55</f>
        <v>202.43352113514439</v>
      </c>
      <c r="G55" s="62">
        <f t="shared" si="54"/>
        <v>202.43352113514439</v>
      </c>
      <c r="H55" s="62">
        <f t="shared" si="54"/>
        <v>202.43352113514439</v>
      </c>
      <c r="I55" s="62">
        <f t="shared" si="54"/>
        <v>202.43352113514439</v>
      </c>
      <c r="J55" s="62">
        <f t="shared" si="54"/>
        <v>202.43352113514439</v>
      </c>
      <c r="K55" s="62">
        <f t="shared" si="54"/>
        <v>202.43352113514439</v>
      </c>
      <c r="L55" s="62">
        <f t="shared" si="54"/>
        <v>202.43352113514439</v>
      </c>
      <c r="M55" s="62">
        <f t="shared" si="54"/>
        <v>202.43352113514439</v>
      </c>
      <c r="N55" s="62">
        <f t="shared" si="54"/>
        <v>202.43352113514439</v>
      </c>
      <c r="O55" s="62">
        <f t="shared" si="54"/>
        <v>206.82302113514439</v>
      </c>
      <c r="P55" s="62">
        <f t="shared" si="54"/>
        <v>206.82302113514439</v>
      </c>
      <c r="Q55" s="63">
        <f t="shared" si="53"/>
        <v>2437.9812536217328</v>
      </c>
      <c r="R55" s="2"/>
      <c r="S55" s="2"/>
      <c r="T55" s="51"/>
      <c r="U55" s="2"/>
      <c r="V55" s="2"/>
    </row>
    <row r="56" spans="1:22" ht="15.4">
      <c r="A56" s="70"/>
      <c r="B56" s="65"/>
      <c r="C56" s="66" t="s">
        <v>384</v>
      </c>
      <c r="D56" s="523"/>
      <c r="E56" s="67">
        <f>E55</f>
        <v>202.43352113514439</v>
      </c>
      <c r="F56" s="67">
        <f t="shared" ref="F56:P56" si="55">F55</f>
        <v>202.43352113514439</v>
      </c>
      <c r="G56" s="67">
        <f t="shared" si="55"/>
        <v>202.43352113514439</v>
      </c>
      <c r="H56" s="67">
        <f t="shared" si="55"/>
        <v>202.43352113514439</v>
      </c>
      <c r="I56" s="67">
        <f t="shared" si="55"/>
        <v>202.43352113514439</v>
      </c>
      <c r="J56" s="67">
        <f t="shared" si="55"/>
        <v>202.43352113514439</v>
      </c>
      <c r="K56" s="67">
        <f t="shared" si="55"/>
        <v>202.43352113514439</v>
      </c>
      <c r="L56" s="67">
        <f t="shared" si="55"/>
        <v>202.43352113514439</v>
      </c>
      <c r="M56" s="67">
        <f t="shared" si="55"/>
        <v>202.43352113514439</v>
      </c>
      <c r="N56" s="67">
        <f t="shared" si="55"/>
        <v>202.43352113514439</v>
      </c>
      <c r="O56" s="67">
        <f t="shared" si="55"/>
        <v>206.82302113514439</v>
      </c>
      <c r="P56" s="67">
        <f t="shared" si="55"/>
        <v>206.82302113514439</v>
      </c>
      <c r="Q56" s="68">
        <f t="shared" si="53"/>
        <v>2437.9812536217328</v>
      </c>
      <c r="R56" s="2"/>
      <c r="S56" s="2"/>
      <c r="T56" s="51"/>
      <c r="U56" s="2"/>
      <c r="V56" s="2"/>
    </row>
    <row r="57" spans="1:22" ht="15.4">
      <c r="A57" s="2"/>
      <c r="B57" s="2"/>
      <c r="C57" s="2"/>
      <c r="D57" s="518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75"/>
      <c r="U57" s="2"/>
      <c r="V57" s="2"/>
    </row>
    <row r="58" spans="1:22" ht="15.4">
      <c r="A58" s="54" t="str">
        <f>Rent!A23</f>
        <v>Kachina Stained Glass</v>
      </c>
      <c r="B58" s="55">
        <f>Rent!B23</f>
        <v>101</v>
      </c>
      <c r="C58" s="49">
        <f>Rent!C23</f>
        <v>1287</v>
      </c>
      <c r="D58" s="519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8">
        <f t="shared" ref="Q58:Q61" si="56">SUM(E58:P58)</f>
        <v>0</v>
      </c>
      <c r="R58" s="2"/>
      <c r="S58" s="2"/>
      <c r="T58" s="51"/>
      <c r="U58" s="2"/>
      <c r="V58" s="2"/>
    </row>
    <row r="59" spans="1:22" ht="15.4">
      <c r="A59" s="52"/>
      <c r="B59" s="60" t="s">
        <v>381</v>
      </c>
      <c r="C59" s="61"/>
      <c r="D59" s="520"/>
      <c r="E59" s="62">
        <f>IF(Rent!E23=0,0,(Rent!E23+(SUM('Tenant Charges'!$F19:$K19))))</f>
        <v>3210.6913123172399</v>
      </c>
      <c r="F59" s="62">
        <f>IF(Rent!F23=0,0,(Rent!F23+(SUM('Tenant Charges'!$F19:$K19))))</f>
        <v>3210.6913123172399</v>
      </c>
      <c r="G59" s="62">
        <f>IF(Rent!G23=0,0,(Rent!G23+(SUM('Tenant Charges'!$F19:$K19))))</f>
        <v>3210.6913123172399</v>
      </c>
      <c r="H59" s="62">
        <f>IF(Rent!H23=0,0,(Rent!H23+(SUM('Tenant Charges'!$F19:$K19))))</f>
        <v>3210.6913123172399</v>
      </c>
      <c r="I59" s="62">
        <f>IF(Rent!I23=0,0,(Rent!I23+(SUM('Tenant Charges'!$F19:$K19))))</f>
        <v>3210.6913123172399</v>
      </c>
      <c r="J59" s="62">
        <f>IF(Rent!J23=0,0,(Rent!J23+(SUM('Tenant Charges'!$F19:$K19))))</f>
        <v>3210.6913123172399</v>
      </c>
      <c r="K59" s="62">
        <f>IF(Rent!K23=0,0,(Rent!K23+(SUM('Tenant Charges'!$F19:$K19))))</f>
        <v>3259.111312317239</v>
      </c>
      <c r="L59" s="62">
        <f>IF(Rent!L23=0,0,(Rent!L23+(SUM('Tenant Charges'!$F19:$K19))))</f>
        <v>3259.111312317239</v>
      </c>
      <c r="M59" s="62">
        <f>IF(Rent!M23=0,0,(Rent!M23+(SUM('Tenant Charges'!$F19:$K19))))</f>
        <v>3259.111312317239</v>
      </c>
      <c r="N59" s="62">
        <f>IF(Rent!N23=0,0,(Rent!N23+(SUM('Tenant Charges'!$F19:$K19))))</f>
        <v>3259.111312317239</v>
      </c>
      <c r="O59" s="62">
        <f>IF(Rent!O23=0,0,(Rent!O23+(SUM('Tenant Charges'!$F19:$K19))))</f>
        <v>3259.111312317239</v>
      </c>
      <c r="P59" s="62">
        <f>IF(Rent!P23=0,0,(Rent!P23+(SUM('Tenant Charges'!$F19:$K19))))</f>
        <v>3259.111312317239</v>
      </c>
      <c r="Q59" s="63">
        <f t="shared" si="56"/>
        <v>38818.815747806875</v>
      </c>
      <c r="R59" s="2"/>
      <c r="S59" s="2"/>
      <c r="T59" s="51"/>
      <c r="U59" s="2"/>
      <c r="V59" s="2"/>
    </row>
    <row r="60" spans="1:22" ht="15.4">
      <c r="A60" s="52"/>
      <c r="B60" s="60" t="s">
        <v>385</v>
      </c>
      <c r="C60" s="61"/>
      <c r="D60" s="520">
        <f>$D$11</f>
        <v>2.5000000000000001E-2</v>
      </c>
      <c r="E60" s="62">
        <f>E59*$D$60</f>
        <v>80.267282807930997</v>
      </c>
      <c r="F60" s="62">
        <f t="shared" ref="F60:P60" si="57">F59*$D$60</f>
        <v>80.267282807930997</v>
      </c>
      <c r="G60" s="62">
        <f t="shared" si="57"/>
        <v>80.267282807930997</v>
      </c>
      <c r="H60" s="62">
        <f t="shared" si="57"/>
        <v>80.267282807930997</v>
      </c>
      <c r="I60" s="62">
        <f t="shared" si="57"/>
        <v>80.267282807930997</v>
      </c>
      <c r="J60" s="62">
        <f t="shared" si="57"/>
        <v>80.267282807930997</v>
      </c>
      <c r="K60" s="62">
        <f t="shared" si="57"/>
        <v>81.477782807930978</v>
      </c>
      <c r="L60" s="62">
        <f t="shared" si="57"/>
        <v>81.477782807930978</v>
      </c>
      <c r="M60" s="62">
        <f t="shared" si="57"/>
        <v>81.477782807930978</v>
      </c>
      <c r="N60" s="62">
        <f t="shared" si="57"/>
        <v>81.477782807930978</v>
      </c>
      <c r="O60" s="62">
        <f t="shared" si="57"/>
        <v>81.477782807930978</v>
      </c>
      <c r="P60" s="62">
        <f t="shared" si="57"/>
        <v>81.477782807930978</v>
      </c>
      <c r="Q60" s="63">
        <f t="shared" si="56"/>
        <v>970.47039369517211</v>
      </c>
      <c r="R60" s="2"/>
      <c r="S60" s="2"/>
      <c r="T60" s="51"/>
      <c r="U60" s="2"/>
      <c r="V60" s="2"/>
    </row>
    <row r="61" spans="1:22" ht="15.4">
      <c r="A61" s="70"/>
      <c r="B61" s="65"/>
      <c r="C61" s="66" t="s">
        <v>384</v>
      </c>
      <c r="D61" s="523"/>
      <c r="E61" s="67">
        <f>E60</f>
        <v>80.267282807930997</v>
      </c>
      <c r="F61" s="67">
        <f t="shared" ref="F61:P61" si="58">F60</f>
        <v>80.267282807930997</v>
      </c>
      <c r="G61" s="67">
        <f t="shared" si="58"/>
        <v>80.267282807930997</v>
      </c>
      <c r="H61" s="67">
        <f t="shared" si="58"/>
        <v>80.267282807930997</v>
      </c>
      <c r="I61" s="67">
        <f t="shared" si="58"/>
        <v>80.267282807930997</v>
      </c>
      <c r="J61" s="67">
        <f t="shared" si="58"/>
        <v>80.267282807930997</v>
      </c>
      <c r="K61" s="67">
        <f t="shared" si="58"/>
        <v>81.477782807930978</v>
      </c>
      <c r="L61" s="67">
        <f t="shared" si="58"/>
        <v>81.477782807930978</v>
      </c>
      <c r="M61" s="67">
        <f t="shared" si="58"/>
        <v>81.477782807930978</v>
      </c>
      <c r="N61" s="67">
        <f t="shared" si="58"/>
        <v>81.477782807930978</v>
      </c>
      <c r="O61" s="67">
        <f t="shared" si="58"/>
        <v>81.477782807930978</v>
      </c>
      <c r="P61" s="67">
        <f t="shared" si="58"/>
        <v>81.477782807930978</v>
      </c>
      <c r="Q61" s="68">
        <f t="shared" si="56"/>
        <v>970.47039369517211</v>
      </c>
      <c r="R61" s="2"/>
      <c r="S61" s="2"/>
      <c r="T61" s="51"/>
      <c r="U61" s="2"/>
      <c r="V61" s="2"/>
    </row>
    <row r="62" spans="1:22" ht="15.4">
      <c r="A62" s="2"/>
      <c r="B62" s="2"/>
      <c r="C62" s="2"/>
      <c r="D62" s="51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75"/>
      <c r="U62" s="2"/>
      <c r="V62" s="2"/>
    </row>
    <row r="63" spans="1:22" ht="15.4">
      <c r="A63" s="54" t="str">
        <f>Rent!A24</f>
        <v>Zanders Creations</v>
      </c>
      <c r="B63" s="55">
        <f>Rent!B24</f>
        <v>102</v>
      </c>
      <c r="C63" s="49">
        <f>Rent!C24</f>
        <v>1639</v>
      </c>
      <c r="D63" s="519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8">
        <f t="shared" ref="Q63:Q66" si="59">SUM(E63:P63)</f>
        <v>0</v>
      </c>
      <c r="R63" s="2"/>
      <c r="S63" s="2"/>
      <c r="T63" s="51"/>
      <c r="U63" s="2"/>
      <c r="V63" s="2"/>
    </row>
    <row r="64" spans="1:22" ht="15.4">
      <c r="A64" s="52"/>
      <c r="B64" s="60" t="s">
        <v>381</v>
      </c>
      <c r="C64" s="61"/>
      <c r="D64" s="520"/>
      <c r="E64" s="62">
        <f>IF(Rent!E24=0,0,(Rent!E24+(SUM('Tenant Charges'!$F20:$K20))))</f>
        <v>3710.4890501589916</v>
      </c>
      <c r="F64" s="62">
        <f>IF(Rent!F23=0,0,(SUM('Tenant Charges'!$E20:$K20)))</f>
        <v>3710.4890501589912</v>
      </c>
      <c r="G64" s="62">
        <f>IF(Rent!G23=0,0,(SUM('Tenant Charges'!$E20:$K20)))</f>
        <v>3710.4890501589912</v>
      </c>
      <c r="H64" s="62">
        <f>IF(Rent!H23=0,0,(SUM('Tenant Charges'!$E20:$K20)))</f>
        <v>3710.4890501589912</v>
      </c>
      <c r="I64" s="62">
        <f>IF(Rent!I23=0,0,(SUM('Tenant Charges'!$E20:$K20)))</f>
        <v>3710.4890501589912</v>
      </c>
      <c r="J64" s="62">
        <f>IF(Rent!J23=0,0,(SUM('Tenant Charges'!$E20:$K20)))</f>
        <v>3710.4890501589912</v>
      </c>
      <c r="K64" s="62">
        <f>IF(Rent!K23=0,0,(SUM('Tenant Charges'!$E20:$K20)))</f>
        <v>3710.4890501589912</v>
      </c>
      <c r="L64" s="62">
        <f>IF(Rent!L23=0,0,(SUM('Tenant Charges'!$E20:$K20)))</f>
        <v>3710.4890501589912</v>
      </c>
      <c r="M64" s="62">
        <f>IF(Rent!M23=0,0,(SUM('Tenant Charges'!$E20:$K20)))</f>
        <v>3710.4890501589912</v>
      </c>
      <c r="N64" s="62">
        <f>IF(Rent!N23=0,0,(SUM('Tenant Charges'!$E20:$K20)))</f>
        <v>3710.4890501589912</v>
      </c>
      <c r="O64" s="62">
        <f>IF(Rent!O23=0,0,(SUM('Tenant Charges'!$E20:$K20)))</f>
        <v>3710.4890501589912</v>
      </c>
      <c r="P64" s="62">
        <f>IF(Rent!P23=0,0,(SUM('Tenant Charges'!$E20:$K20)))</f>
        <v>3710.4890501589912</v>
      </c>
      <c r="Q64" s="63">
        <f t="shared" si="59"/>
        <v>44525.868601907896</v>
      </c>
      <c r="R64" s="2"/>
      <c r="S64" s="2"/>
      <c r="T64" s="51"/>
      <c r="U64" s="2"/>
      <c r="V64" s="2"/>
    </row>
    <row r="65" spans="1:22" ht="15.4">
      <c r="A65" s="52"/>
      <c r="B65" s="60" t="s">
        <v>385</v>
      </c>
      <c r="C65" s="61"/>
      <c r="D65" s="520">
        <f>$D$11</f>
        <v>2.5000000000000001E-2</v>
      </c>
      <c r="E65" s="62">
        <f>E64*$D$65</f>
        <v>92.762226253974802</v>
      </c>
      <c r="F65" s="62">
        <f t="shared" ref="F65:P65" si="60">F64*$D$65</f>
        <v>92.762226253974788</v>
      </c>
      <c r="G65" s="62">
        <f t="shared" si="60"/>
        <v>92.762226253974788</v>
      </c>
      <c r="H65" s="62">
        <f t="shared" si="60"/>
        <v>92.762226253974788</v>
      </c>
      <c r="I65" s="62">
        <f t="shared" si="60"/>
        <v>92.762226253974788</v>
      </c>
      <c r="J65" s="62">
        <f t="shared" si="60"/>
        <v>92.762226253974788</v>
      </c>
      <c r="K65" s="62">
        <f t="shared" si="60"/>
        <v>92.762226253974788</v>
      </c>
      <c r="L65" s="62">
        <f t="shared" si="60"/>
        <v>92.762226253974788</v>
      </c>
      <c r="M65" s="62">
        <f t="shared" si="60"/>
        <v>92.762226253974788</v>
      </c>
      <c r="N65" s="62">
        <f t="shared" si="60"/>
        <v>92.762226253974788</v>
      </c>
      <c r="O65" s="62">
        <f t="shared" si="60"/>
        <v>92.762226253974788</v>
      </c>
      <c r="P65" s="62">
        <f t="shared" si="60"/>
        <v>92.762226253974788</v>
      </c>
      <c r="Q65" s="63">
        <f t="shared" si="59"/>
        <v>1113.1467150476974</v>
      </c>
      <c r="R65" s="2"/>
      <c r="S65" s="2"/>
      <c r="T65" s="51"/>
      <c r="U65" s="2"/>
      <c r="V65" s="2"/>
    </row>
    <row r="66" spans="1:22" ht="15.4">
      <c r="A66" s="70"/>
      <c r="B66" s="65"/>
      <c r="C66" s="66" t="s">
        <v>384</v>
      </c>
      <c r="D66" s="523"/>
      <c r="E66" s="67">
        <f>E65</f>
        <v>92.762226253974802</v>
      </c>
      <c r="F66" s="67">
        <f t="shared" ref="F66:P66" si="61">F65</f>
        <v>92.762226253974788</v>
      </c>
      <c r="G66" s="67">
        <f t="shared" si="61"/>
        <v>92.762226253974788</v>
      </c>
      <c r="H66" s="67">
        <f t="shared" si="61"/>
        <v>92.762226253974788</v>
      </c>
      <c r="I66" s="67">
        <f t="shared" si="61"/>
        <v>92.762226253974788</v>
      </c>
      <c r="J66" s="67">
        <f t="shared" si="61"/>
        <v>92.762226253974788</v>
      </c>
      <c r="K66" s="67">
        <f t="shared" si="61"/>
        <v>92.762226253974788</v>
      </c>
      <c r="L66" s="67">
        <f t="shared" si="61"/>
        <v>92.762226253974788</v>
      </c>
      <c r="M66" s="67">
        <f t="shared" si="61"/>
        <v>92.762226253974788</v>
      </c>
      <c r="N66" s="67">
        <f t="shared" si="61"/>
        <v>92.762226253974788</v>
      </c>
      <c r="O66" s="67">
        <f t="shared" si="61"/>
        <v>92.762226253974788</v>
      </c>
      <c r="P66" s="67">
        <f t="shared" si="61"/>
        <v>92.762226253974788</v>
      </c>
      <c r="Q66" s="68">
        <f t="shared" si="59"/>
        <v>1113.1467150476974</v>
      </c>
      <c r="R66" s="2"/>
      <c r="S66" s="2"/>
      <c r="T66" s="51"/>
      <c r="U66" s="2"/>
      <c r="V66" s="2"/>
    </row>
    <row r="67" spans="1:22" ht="15.4">
      <c r="A67" s="2"/>
      <c r="B67" s="2"/>
      <c r="C67" s="2"/>
      <c r="D67" s="51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75"/>
      <c r="U67" s="2"/>
      <c r="V67" s="2"/>
    </row>
    <row r="68" spans="1:22" ht="15.4">
      <c r="A68" s="54" t="str">
        <f>Rent!A25</f>
        <v>Brightnow Dental</v>
      </c>
      <c r="B68" s="55">
        <f>Rent!B25</f>
        <v>103</v>
      </c>
      <c r="C68" s="49">
        <f>Rent!C25</f>
        <v>3600</v>
      </c>
      <c r="D68" s="519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8">
        <f t="shared" ref="Q68:Q71" si="62">SUM(E68:P68)</f>
        <v>0</v>
      </c>
      <c r="R68" s="2"/>
      <c r="S68" s="2"/>
      <c r="T68" s="51"/>
      <c r="U68" s="2"/>
      <c r="V68" s="2"/>
    </row>
    <row r="69" spans="1:22" ht="15.4">
      <c r="A69" s="52"/>
      <c r="B69" s="60" t="s">
        <v>381</v>
      </c>
      <c r="C69" s="61"/>
      <c r="D69" s="520"/>
      <c r="E69" s="62">
        <f>IF(Rent!E25=0,0,(Rent!E25+(SUM('Tenant Charges'!$F21:$K21))))</f>
        <v>9279.6103797363867</v>
      </c>
      <c r="F69" s="62">
        <f>IF(Rent!F25=0,0,(Rent!F25+(SUM('Tenant Charges'!$F21:$K21))))</f>
        <v>9279.6103797363867</v>
      </c>
      <c r="G69" s="62">
        <f>IF(Rent!G25=0,0,(Rent!G25+(SUM('Tenant Charges'!$F21:$K21))))</f>
        <v>9279.6103797363867</v>
      </c>
      <c r="H69" s="62">
        <f>IF(Rent!H25=0,0,(Rent!H25+(SUM('Tenant Charges'!$F21:$K21))))</f>
        <v>9279.6103797363867</v>
      </c>
      <c r="I69" s="62">
        <f>IF(Rent!I25=0,0,(Rent!I25+(SUM('Tenant Charges'!$F21:$K21))))</f>
        <v>9279.6103797363867</v>
      </c>
      <c r="J69" s="62">
        <f>IF(Rent!J25=0,0,(Rent!J25+(SUM('Tenant Charges'!$F21:$K21))))</f>
        <v>9279.6103797363867</v>
      </c>
      <c r="K69" s="62">
        <f>IF(Rent!K25=0,0,(Rent!K25+(SUM('Tenant Charges'!$F21:$K21))))</f>
        <v>9279.6103797363867</v>
      </c>
      <c r="L69" s="62">
        <f>IF(Rent!L25=0,0,(Rent!L25+(SUM('Tenant Charges'!$F21:$K21))))</f>
        <v>9279.6103797363867</v>
      </c>
      <c r="M69" s="62">
        <f>IF(Rent!M25=0,0,(Rent!M25+(SUM('Tenant Charges'!$F21:$K21))))</f>
        <v>9279.6103797363867</v>
      </c>
      <c r="N69" s="62">
        <f>IF(Rent!N25=0,0,(Rent!N25+(SUM('Tenant Charges'!$F21:$K21))))</f>
        <v>9279.6103797363867</v>
      </c>
      <c r="O69" s="62">
        <f>IF(Rent!O25=0,0,(Rent!O25+(SUM('Tenant Charges'!$F21:$K21))))</f>
        <v>9279.6103797363867</v>
      </c>
      <c r="P69" s="62">
        <f>IF(Rent!P25=0,0,(Rent!P25+(SUM('Tenant Charges'!$F21:$K21))))</f>
        <v>9279.6103797363867</v>
      </c>
      <c r="Q69" s="63">
        <f t="shared" si="62"/>
        <v>111355.32455683667</v>
      </c>
      <c r="R69" s="2"/>
      <c r="S69" s="2"/>
      <c r="T69" s="51"/>
      <c r="U69" s="2"/>
      <c r="V69" s="2"/>
    </row>
    <row r="70" spans="1:22" ht="15.4">
      <c r="A70" s="52"/>
      <c r="B70" s="60" t="s">
        <v>385</v>
      </c>
      <c r="C70" s="61"/>
      <c r="D70" s="520">
        <f>$D$11</f>
        <v>2.5000000000000001E-2</v>
      </c>
      <c r="E70" s="62">
        <f>E69*$D$70</f>
        <v>231.99025949340967</v>
      </c>
      <c r="F70" s="62">
        <f t="shared" ref="F70:P70" si="63">F69*$D$70</f>
        <v>231.99025949340967</v>
      </c>
      <c r="G70" s="62">
        <f t="shared" si="63"/>
        <v>231.99025949340967</v>
      </c>
      <c r="H70" s="62">
        <f t="shared" si="63"/>
        <v>231.99025949340967</v>
      </c>
      <c r="I70" s="62">
        <f t="shared" si="63"/>
        <v>231.99025949340967</v>
      </c>
      <c r="J70" s="62">
        <f t="shared" si="63"/>
        <v>231.99025949340967</v>
      </c>
      <c r="K70" s="62">
        <f t="shared" si="63"/>
        <v>231.99025949340967</v>
      </c>
      <c r="L70" s="62">
        <f t="shared" si="63"/>
        <v>231.99025949340967</v>
      </c>
      <c r="M70" s="62">
        <f t="shared" si="63"/>
        <v>231.99025949340967</v>
      </c>
      <c r="N70" s="62">
        <f t="shared" si="63"/>
        <v>231.99025949340967</v>
      </c>
      <c r="O70" s="62">
        <f t="shared" si="63"/>
        <v>231.99025949340967</v>
      </c>
      <c r="P70" s="62">
        <f t="shared" si="63"/>
        <v>231.99025949340967</v>
      </c>
      <c r="Q70" s="63">
        <f t="shared" si="62"/>
        <v>2783.883113920916</v>
      </c>
      <c r="R70" s="2"/>
      <c r="S70" s="2"/>
      <c r="T70" s="51"/>
      <c r="U70" s="2"/>
      <c r="V70" s="2"/>
    </row>
    <row r="71" spans="1:22" ht="15.4">
      <c r="A71" s="70"/>
      <c r="B71" s="65"/>
      <c r="C71" s="66" t="s">
        <v>384</v>
      </c>
      <c r="D71" s="523"/>
      <c r="E71" s="67">
        <f>E70</f>
        <v>231.99025949340967</v>
      </c>
      <c r="F71" s="67">
        <f t="shared" ref="F71:P71" si="64">F70</f>
        <v>231.99025949340967</v>
      </c>
      <c r="G71" s="67">
        <f t="shared" si="64"/>
        <v>231.99025949340967</v>
      </c>
      <c r="H71" s="67">
        <f t="shared" si="64"/>
        <v>231.99025949340967</v>
      </c>
      <c r="I71" s="67">
        <f t="shared" si="64"/>
        <v>231.99025949340967</v>
      </c>
      <c r="J71" s="67">
        <f t="shared" si="64"/>
        <v>231.99025949340967</v>
      </c>
      <c r="K71" s="67">
        <f t="shared" si="64"/>
        <v>231.99025949340967</v>
      </c>
      <c r="L71" s="67">
        <f t="shared" si="64"/>
        <v>231.99025949340967</v>
      </c>
      <c r="M71" s="67">
        <f t="shared" si="64"/>
        <v>231.99025949340967</v>
      </c>
      <c r="N71" s="67">
        <f t="shared" si="64"/>
        <v>231.99025949340967</v>
      </c>
      <c r="O71" s="67">
        <f t="shared" si="64"/>
        <v>231.99025949340967</v>
      </c>
      <c r="P71" s="67">
        <f t="shared" si="64"/>
        <v>231.99025949340967</v>
      </c>
      <c r="Q71" s="68">
        <f t="shared" si="62"/>
        <v>2783.883113920916</v>
      </c>
      <c r="R71" s="2"/>
      <c r="S71" s="2"/>
      <c r="T71" s="51"/>
      <c r="U71" s="2"/>
      <c r="V71" s="2"/>
    </row>
    <row r="72" spans="1:22" ht="15.4">
      <c r="A72" s="2"/>
      <c r="B72" s="2"/>
      <c r="C72" s="2"/>
      <c r="D72" s="51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75"/>
      <c r="U72" s="2"/>
      <c r="V72" s="2"/>
    </row>
    <row r="73" spans="1:22" ht="15.4">
      <c r="A73" s="54" t="str">
        <f>Rent!A26</f>
        <v>Carr Animal Care</v>
      </c>
      <c r="B73" s="55">
        <f>Rent!B26</f>
        <v>106</v>
      </c>
      <c r="C73" s="49">
        <f>Rent!C26</f>
        <v>1587</v>
      </c>
      <c r="D73" s="519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8">
        <f t="shared" ref="Q73:Q76" si="65">SUM(E73:P73)</f>
        <v>0</v>
      </c>
      <c r="R73" s="2"/>
      <c r="S73" s="2"/>
      <c r="T73" s="51"/>
      <c r="U73" s="2"/>
      <c r="V73" s="2"/>
    </row>
    <row r="74" spans="1:22" ht="15.4">
      <c r="A74" s="52"/>
      <c r="B74" s="60" t="s">
        <v>381</v>
      </c>
      <c r="C74" s="61"/>
      <c r="D74" s="520"/>
      <c r="E74" s="62">
        <f>IF(Rent!E26=0,0,(Rent!E26+(SUM('Tenant Charges'!$F22:$K22))))</f>
        <v>3454.4639404498903</v>
      </c>
      <c r="F74" s="62">
        <f>IF(Rent!F26=0,0,(Rent!F26+(SUM('Tenant Charges'!$F22:$K22))))</f>
        <v>3454.4639404498903</v>
      </c>
      <c r="G74" s="62">
        <f>IF(Rent!G26=0,0,(Rent!G26+(SUM('Tenant Charges'!$F22:$K22))))</f>
        <v>3454.4639404498903</v>
      </c>
      <c r="H74" s="62">
        <f>IF(Rent!H26=0,0,(Rent!H26+(SUM('Tenant Charges'!$F22:$K22))))</f>
        <v>3454.4639404498903</v>
      </c>
      <c r="I74" s="62">
        <f>IF(Rent!I26=0,0,(Rent!I26+(SUM('Tenant Charges'!$F22:$K22))))</f>
        <v>3454.4639404498903</v>
      </c>
      <c r="J74" s="62">
        <f>IF(Rent!J26=0,0,(Rent!J26+(SUM('Tenant Charges'!$F22:$K22))))</f>
        <v>3454.4639404498903</v>
      </c>
      <c r="K74" s="62">
        <f>IF(Rent!K26=0,0,(Rent!K26+(SUM('Tenant Charges'!$F22:$K22))))</f>
        <v>3454.4639404498903</v>
      </c>
      <c r="L74" s="62">
        <f>IF(Rent!L26=0,0,(Rent!L26+(SUM('Tenant Charges'!$F22:$K22))))</f>
        <v>3454.4639404498903</v>
      </c>
      <c r="M74" s="62">
        <f>IF(Rent!M26=0,0,(Rent!M26+(SUM('Tenant Charges'!$F22:$K22))))</f>
        <v>3454.4639404498903</v>
      </c>
      <c r="N74" s="62">
        <f>IF(Rent!N26=0,0,(Rent!N26+(SUM('Tenant Charges'!$F22:$K22))))</f>
        <v>3745.4139404498901</v>
      </c>
      <c r="O74" s="62">
        <f>IF(Rent!O26=0,0,(Rent!O26+(SUM('Tenant Charges'!$F22:$K22))))</f>
        <v>3745.4139404498901</v>
      </c>
      <c r="P74" s="62">
        <f>IF(Rent!P26=0,0,(Rent!P26+(SUM('Tenant Charges'!$F22:$K22))))</f>
        <v>3745.4139404498901</v>
      </c>
      <c r="Q74" s="63">
        <f t="shared" si="65"/>
        <v>42326.417285398682</v>
      </c>
      <c r="R74" s="2"/>
      <c r="S74" s="2"/>
      <c r="T74" s="51"/>
      <c r="U74" s="2"/>
      <c r="V74" s="2"/>
    </row>
    <row r="75" spans="1:22" ht="15.4">
      <c r="A75" s="52"/>
      <c r="B75" s="60" t="s">
        <v>385</v>
      </c>
      <c r="C75" s="61"/>
      <c r="D75" s="520">
        <f>$D$11</f>
        <v>2.5000000000000001E-2</v>
      </c>
      <c r="E75" s="62">
        <f>E74*$D$75</f>
        <v>86.361598511247266</v>
      </c>
      <c r="F75" s="62">
        <f t="shared" ref="F75:P75" si="66">F74*$D$75</f>
        <v>86.361598511247266</v>
      </c>
      <c r="G75" s="62">
        <f t="shared" si="66"/>
        <v>86.361598511247266</v>
      </c>
      <c r="H75" s="62">
        <f t="shared" si="66"/>
        <v>86.361598511247266</v>
      </c>
      <c r="I75" s="62">
        <f t="shared" si="66"/>
        <v>86.361598511247266</v>
      </c>
      <c r="J75" s="62">
        <f t="shared" si="66"/>
        <v>86.361598511247266</v>
      </c>
      <c r="K75" s="62">
        <f t="shared" si="66"/>
        <v>86.361598511247266</v>
      </c>
      <c r="L75" s="62">
        <f t="shared" si="66"/>
        <v>86.361598511247266</v>
      </c>
      <c r="M75" s="62">
        <f t="shared" si="66"/>
        <v>86.361598511247266</v>
      </c>
      <c r="N75" s="62">
        <f t="shared" si="66"/>
        <v>93.635348511247258</v>
      </c>
      <c r="O75" s="62">
        <f t="shared" si="66"/>
        <v>93.635348511247258</v>
      </c>
      <c r="P75" s="62">
        <f t="shared" si="66"/>
        <v>93.635348511247258</v>
      </c>
      <c r="Q75" s="63">
        <f t="shared" si="65"/>
        <v>1058.1604321349671</v>
      </c>
      <c r="R75" s="2"/>
      <c r="S75" s="2"/>
      <c r="T75" s="51"/>
      <c r="U75" s="2"/>
      <c r="V75" s="2"/>
    </row>
    <row r="76" spans="1:22" ht="15.4">
      <c r="A76" s="70"/>
      <c r="B76" s="65"/>
      <c r="C76" s="66" t="s">
        <v>384</v>
      </c>
      <c r="D76" s="523"/>
      <c r="E76" s="67">
        <f>E75</f>
        <v>86.361598511247266</v>
      </c>
      <c r="F76" s="67">
        <f t="shared" ref="F76:P76" si="67">F75</f>
        <v>86.361598511247266</v>
      </c>
      <c r="G76" s="67">
        <f t="shared" si="67"/>
        <v>86.361598511247266</v>
      </c>
      <c r="H76" s="67">
        <f t="shared" si="67"/>
        <v>86.361598511247266</v>
      </c>
      <c r="I76" s="67">
        <f t="shared" si="67"/>
        <v>86.361598511247266</v>
      </c>
      <c r="J76" s="67">
        <f t="shared" si="67"/>
        <v>86.361598511247266</v>
      </c>
      <c r="K76" s="67">
        <f t="shared" si="67"/>
        <v>86.361598511247266</v>
      </c>
      <c r="L76" s="67">
        <f t="shared" si="67"/>
        <v>86.361598511247266</v>
      </c>
      <c r="M76" s="67">
        <f t="shared" si="67"/>
        <v>86.361598511247266</v>
      </c>
      <c r="N76" s="67">
        <f t="shared" si="67"/>
        <v>93.635348511247258</v>
      </c>
      <c r="O76" s="67">
        <f t="shared" si="67"/>
        <v>93.635348511247258</v>
      </c>
      <c r="P76" s="67">
        <f t="shared" si="67"/>
        <v>93.635348511247258</v>
      </c>
      <c r="Q76" s="68">
        <f t="shared" si="65"/>
        <v>1058.1604321349671</v>
      </c>
      <c r="R76" s="2"/>
      <c r="S76" s="2"/>
      <c r="T76" s="51"/>
      <c r="U76" s="2"/>
      <c r="V76" s="2"/>
    </row>
    <row r="77" spans="1:22" ht="15.4">
      <c r="A77" s="2"/>
      <c r="B77" s="2"/>
      <c r="C77" s="2"/>
      <c r="D77" s="51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75"/>
      <c r="U77" s="2"/>
      <c r="V77" s="2"/>
    </row>
    <row r="78" spans="1:22" ht="15.4">
      <c r="A78" s="54" t="str">
        <f>Rent!A27</f>
        <v>Razors Barber Shop</v>
      </c>
      <c r="B78" s="55">
        <f>Rent!B27</f>
        <v>107</v>
      </c>
      <c r="C78" s="49">
        <f>Rent!C27</f>
        <v>1300</v>
      </c>
      <c r="D78" s="519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8">
        <f t="shared" ref="Q78:Q81" si="68">SUM(E78:P78)</f>
        <v>0</v>
      </c>
      <c r="R78" s="2"/>
      <c r="S78" s="2"/>
      <c r="T78" s="51"/>
      <c r="U78" s="2"/>
      <c r="V78" s="2"/>
    </row>
    <row r="79" spans="1:22" ht="15.4">
      <c r="A79" s="52"/>
      <c r="B79" s="60" t="s">
        <v>381</v>
      </c>
      <c r="C79" s="61"/>
      <c r="D79" s="520"/>
      <c r="E79" s="62">
        <f>IF(Rent!E27=0,0,(Rent!E27+(SUM('Tenant Charges'!$F23:$K23))))</f>
        <v>2657.2394515215683</v>
      </c>
      <c r="F79" s="62">
        <f>IF(Rent!F27=0,0,(Rent!F27+(SUM('Tenant Charges'!$F23:$K23))))</f>
        <v>2657.2394515215683</v>
      </c>
      <c r="G79" s="62">
        <f>IF(Rent!G27=0,0,(Rent!G27+(SUM('Tenant Charges'!$F23:$K23))))</f>
        <v>2657.2394515215683</v>
      </c>
      <c r="H79" s="62">
        <f>IF(Rent!H27=0,0,(Rent!H27+(SUM('Tenant Charges'!$F23:$K23))))</f>
        <v>2715.7694515215685</v>
      </c>
      <c r="I79" s="62">
        <f>IF(Rent!I27=0,0,(Rent!I27+(SUM('Tenant Charges'!$F23:$K23))))</f>
        <v>2715.7694515215685</v>
      </c>
      <c r="J79" s="62">
        <f>IF(Rent!J27=0,0,(Rent!J27+(SUM('Tenant Charges'!$F23:$K23))))</f>
        <v>2715.7694515215685</v>
      </c>
      <c r="K79" s="62">
        <f>IF(Rent!K27=0,0,(Rent!K27+(SUM('Tenant Charges'!$F23:$K23))))</f>
        <v>2715.7694515215685</v>
      </c>
      <c r="L79" s="62">
        <f>IF(Rent!L27=0,0,(Rent!L27+(SUM('Tenant Charges'!$F23:$K23))))</f>
        <v>2715.7694515215685</v>
      </c>
      <c r="M79" s="62">
        <f>IF(Rent!M27=0,0,(Rent!M27+(SUM('Tenant Charges'!$F23:$K23))))</f>
        <v>2715.7694515215685</v>
      </c>
      <c r="N79" s="62">
        <f>IF(Rent!N27=0,0,(Rent!N27+(SUM('Tenant Charges'!$F23:$K23))))</f>
        <v>2715.7694515215685</v>
      </c>
      <c r="O79" s="62">
        <f>IF(Rent!O27=0,0,(Rent!O27+(SUM('Tenant Charges'!$F23:$K23))))</f>
        <v>2715.7694515215685</v>
      </c>
      <c r="P79" s="62">
        <f>IF(Rent!P27=0,0,(Rent!P27+(SUM('Tenant Charges'!$F23:$K23))))</f>
        <v>2715.7694515215685</v>
      </c>
      <c r="Q79" s="63">
        <f t="shared" si="68"/>
        <v>32413.643418258827</v>
      </c>
      <c r="R79" s="2"/>
      <c r="S79" s="2"/>
      <c r="T79" s="51"/>
      <c r="U79" s="2"/>
      <c r="V79" s="2"/>
    </row>
    <row r="80" spans="1:22" ht="15.4">
      <c r="A80" s="52"/>
      <c r="B80" s="60" t="s">
        <v>385</v>
      </c>
      <c r="C80" s="61"/>
      <c r="D80" s="520">
        <f>$D$11</f>
        <v>2.5000000000000001E-2</v>
      </c>
      <c r="E80" s="62">
        <f>E79*$D$80</f>
        <v>66.430986288039207</v>
      </c>
      <c r="F80" s="62">
        <f t="shared" ref="F80:P80" si="69">F79*$D$80</f>
        <v>66.430986288039207</v>
      </c>
      <c r="G80" s="62">
        <f t="shared" si="69"/>
        <v>66.430986288039207</v>
      </c>
      <c r="H80" s="62">
        <f t="shared" si="69"/>
        <v>67.89423628803921</v>
      </c>
      <c r="I80" s="62">
        <f t="shared" si="69"/>
        <v>67.89423628803921</v>
      </c>
      <c r="J80" s="62">
        <f t="shared" si="69"/>
        <v>67.89423628803921</v>
      </c>
      <c r="K80" s="62">
        <f t="shared" si="69"/>
        <v>67.89423628803921</v>
      </c>
      <c r="L80" s="62">
        <f t="shared" si="69"/>
        <v>67.89423628803921</v>
      </c>
      <c r="M80" s="62">
        <f t="shared" si="69"/>
        <v>67.89423628803921</v>
      </c>
      <c r="N80" s="62">
        <f t="shared" si="69"/>
        <v>67.89423628803921</v>
      </c>
      <c r="O80" s="62">
        <f t="shared" si="69"/>
        <v>67.89423628803921</v>
      </c>
      <c r="P80" s="62">
        <f t="shared" si="69"/>
        <v>67.89423628803921</v>
      </c>
      <c r="Q80" s="63">
        <f t="shared" si="68"/>
        <v>810.34108545647064</v>
      </c>
      <c r="R80" s="2"/>
      <c r="S80" s="2"/>
      <c r="T80" s="51"/>
      <c r="U80" s="2"/>
      <c r="V80" s="2"/>
    </row>
    <row r="81" spans="1:22" ht="15.4">
      <c r="A81" s="70"/>
      <c r="B81" s="65"/>
      <c r="C81" s="66" t="s">
        <v>384</v>
      </c>
      <c r="D81" s="523"/>
      <c r="E81" s="67">
        <f>E80</f>
        <v>66.430986288039207</v>
      </c>
      <c r="F81" s="67">
        <f t="shared" ref="F81:P81" si="70">F80</f>
        <v>66.430986288039207</v>
      </c>
      <c r="G81" s="67">
        <f t="shared" si="70"/>
        <v>66.430986288039207</v>
      </c>
      <c r="H81" s="67">
        <f t="shared" si="70"/>
        <v>67.89423628803921</v>
      </c>
      <c r="I81" s="67">
        <f t="shared" si="70"/>
        <v>67.89423628803921</v>
      </c>
      <c r="J81" s="67">
        <f t="shared" si="70"/>
        <v>67.89423628803921</v>
      </c>
      <c r="K81" s="67">
        <f t="shared" si="70"/>
        <v>67.89423628803921</v>
      </c>
      <c r="L81" s="67">
        <f t="shared" si="70"/>
        <v>67.89423628803921</v>
      </c>
      <c r="M81" s="67">
        <f t="shared" si="70"/>
        <v>67.89423628803921</v>
      </c>
      <c r="N81" s="67">
        <f t="shared" si="70"/>
        <v>67.89423628803921</v>
      </c>
      <c r="O81" s="67">
        <f t="shared" si="70"/>
        <v>67.89423628803921</v>
      </c>
      <c r="P81" s="67">
        <f t="shared" si="70"/>
        <v>67.89423628803921</v>
      </c>
      <c r="Q81" s="68">
        <f t="shared" si="68"/>
        <v>810.34108545647064</v>
      </c>
      <c r="R81" s="2"/>
      <c r="S81" s="2"/>
      <c r="T81" s="51"/>
      <c r="U81" s="2"/>
      <c r="V81" s="2"/>
    </row>
    <row r="82" spans="1:22" ht="15.4">
      <c r="A82" s="2"/>
      <c r="B82" s="2"/>
      <c r="C82" s="2"/>
      <c r="D82" s="51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75"/>
      <c r="U82" s="2"/>
      <c r="V82" s="2"/>
    </row>
    <row r="83" spans="1:22" ht="15.4">
      <c r="A83" s="54" t="str">
        <f>Rent!A28</f>
        <v>CrossFit New Strength</v>
      </c>
      <c r="B83" s="55">
        <f>Rent!B28</f>
        <v>108</v>
      </c>
      <c r="C83" s="49">
        <f>Rent!C28</f>
        <v>3524</v>
      </c>
      <c r="D83" s="519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8">
        <f t="shared" ref="Q83:Q86" si="71">SUM(E83:P83)</f>
        <v>0</v>
      </c>
      <c r="R83" s="2"/>
      <c r="S83" s="2"/>
      <c r="T83" s="51"/>
      <c r="U83" s="2"/>
      <c r="V83" s="2"/>
    </row>
    <row r="84" spans="1:22" ht="15.4">
      <c r="A84" s="52"/>
      <c r="B84" s="60" t="s">
        <v>381</v>
      </c>
      <c r="C84" s="61"/>
      <c r="D84" s="520"/>
      <c r="E84" s="62">
        <f>IF(Rent!E28=0,0,(Rent!E28+(SUM('Tenant Charges'!$F24:$K24))))</f>
        <v>6731.3580577450948</v>
      </c>
      <c r="F84" s="62">
        <f>IF(Rent!F28=0,0,(Rent!F28+(SUM('Tenant Charges'!$F24:$K24))))</f>
        <v>6731.3580577450948</v>
      </c>
      <c r="G84" s="62">
        <f>IF(Rent!G28=0,0,(Rent!G28+(SUM('Tenant Charges'!$F24:$K24))))</f>
        <v>6731.3580577450948</v>
      </c>
      <c r="H84" s="62">
        <f>IF(Rent!H28=0,0,(Rent!H28+(SUM('Tenant Charges'!$F24:$K24))))</f>
        <v>6731.3580577450948</v>
      </c>
      <c r="I84" s="62">
        <f>IF(Rent!I28=0,0,(Rent!I28+(SUM('Tenant Charges'!$F24:$K24))))</f>
        <v>6731.3580577450948</v>
      </c>
      <c r="J84" s="62">
        <f>IF(Rent!J28=0,0,(Rent!J28+(SUM('Tenant Charges'!$F24:$K24))))</f>
        <v>6731.3580577450948</v>
      </c>
      <c r="K84" s="62">
        <f>IF(Rent!K28=0,0,(Rent!K28+(SUM('Tenant Charges'!$F24:$K24))))</f>
        <v>6731.3580577450948</v>
      </c>
      <c r="L84" s="62">
        <f>IF(Rent!L28=0,0,(Rent!L28+(SUM('Tenant Charges'!$F24:$K24))))</f>
        <v>6731.3580577450948</v>
      </c>
      <c r="M84" s="62">
        <f>IF(Rent!M28=0,0,(Rent!M28+(SUM('Tenant Charges'!$F24:$K24))))</f>
        <v>6731.3580577450948</v>
      </c>
      <c r="N84" s="62">
        <f>IF(Rent!N28=0,0,(Rent!N28+(SUM('Tenant Charges'!$F24:$K24))))</f>
        <v>6731.3580577450948</v>
      </c>
      <c r="O84" s="62">
        <f>IF(Rent!O28=0,0,(Rent!O28+(SUM('Tenant Charges'!$F24:$K24))))</f>
        <v>6731.3580577450948</v>
      </c>
      <c r="P84" s="62">
        <f>IF(Rent!P28=0,0,(Rent!P28+(SUM('Tenant Charges'!$F24:$K24))))</f>
        <v>6731.3580577450948</v>
      </c>
      <c r="Q84" s="63">
        <f t="shared" si="71"/>
        <v>80776.29669294112</v>
      </c>
      <c r="R84" s="2"/>
      <c r="S84" s="2"/>
      <c r="T84" s="51"/>
      <c r="U84" s="2"/>
      <c r="V84" s="2"/>
    </row>
    <row r="85" spans="1:22" ht="15.4">
      <c r="A85" s="52"/>
      <c r="B85" s="60" t="s">
        <v>385</v>
      </c>
      <c r="C85" s="61"/>
      <c r="D85" s="520">
        <f>$D$11</f>
        <v>2.5000000000000001E-2</v>
      </c>
      <c r="E85" s="62">
        <f>E84*$D$85</f>
        <v>168.28395144362739</v>
      </c>
      <c r="F85" s="62">
        <f t="shared" ref="F85:P85" si="72">F84*$D$85</f>
        <v>168.28395144362739</v>
      </c>
      <c r="G85" s="62">
        <f t="shared" si="72"/>
        <v>168.28395144362739</v>
      </c>
      <c r="H85" s="62">
        <f t="shared" si="72"/>
        <v>168.28395144362739</v>
      </c>
      <c r="I85" s="62">
        <f t="shared" si="72"/>
        <v>168.28395144362739</v>
      </c>
      <c r="J85" s="62">
        <f t="shared" si="72"/>
        <v>168.28395144362739</v>
      </c>
      <c r="K85" s="62">
        <f t="shared" si="72"/>
        <v>168.28395144362739</v>
      </c>
      <c r="L85" s="62">
        <f t="shared" si="72"/>
        <v>168.28395144362739</v>
      </c>
      <c r="M85" s="62">
        <f t="shared" si="72"/>
        <v>168.28395144362739</v>
      </c>
      <c r="N85" s="62">
        <f t="shared" si="72"/>
        <v>168.28395144362739</v>
      </c>
      <c r="O85" s="62">
        <f t="shared" si="72"/>
        <v>168.28395144362739</v>
      </c>
      <c r="P85" s="62">
        <f t="shared" si="72"/>
        <v>168.28395144362739</v>
      </c>
      <c r="Q85" s="63">
        <f t="shared" si="71"/>
        <v>2019.4074173235283</v>
      </c>
      <c r="R85" s="2"/>
      <c r="S85" s="2"/>
      <c r="T85" s="51"/>
      <c r="U85" s="2"/>
      <c r="V85" s="2"/>
    </row>
    <row r="86" spans="1:22" ht="15.4">
      <c r="A86" s="70"/>
      <c r="B86" s="65"/>
      <c r="C86" s="66" t="s">
        <v>384</v>
      </c>
      <c r="D86" s="523"/>
      <c r="E86" s="67">
        <f>E85</f>
        <v>168.28395144362739</v>
      </c>
      <c r="F86" s="67">
        <f t="shared" ref="F86:P86" si="73">F85</f>
        <v>168.28395144362739</v>
      </c>
      <c r="G86" s="67">
        <f t="shared" si="73"/>
        <v>168.28395144362739</v>
      </c>
      <c r="H86" s="67">
        <f t="shared" si="73"/>
        <v>168.28395144362739</v>
      </c>
      <c r="I86" s="67">
        <f t="shared" si="73"/>
        <v>168.28395144362739</v>
      </c>
      <c r="J86" s="67">
        <f t="shared" si="73"/>
        <v>168.28395144362739</v>
      </c>
      <c r="K86" s="67">
        <f t="shared" si="73"/>
        <v>168.28395144362739</v>
      </c>
      <c r="L86" s="67">
        <f t="shared" si="73"/>
        <v>168.28395144362739</v>
      </c>
      <c r="M86" s="67">
        <f t="shared" si="73"/>
        <v>168.28395144362739</v>
      </c>
      <c r="N86" s="67">
        <f t="shared" si="73"/>
        <v>168.28395144362739</v>
      </c>
      <c r="O86" s="67">
        <f t="shared" si="73"/>
        <v>168.28395144362739</v>
      </c>
      <c r="P86" s="67">
        <f t="shared" si="73"/>
        <v>168.28395144362739</v>
      </c>
      <c r="Q86" s="68">
        <f t="shared" si="71"/>
        <v>2019.4074173235283</v>
      </c>
      <c r="R86" s="2"/>
      <c r="S86" s="2"/>
      <c r="T86" s="51"/>
      <c r="U86" s="2"/>
      <c r="V86" s="2"/>
    </row>
    <row r="87" spans="1:22" ht="15.4">
      <c r="A87" s="2"/>
      <c r="B87" s="2"/>
      <c r="C87" s="2"/>
      <c r="D87" s="51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75"/>
      <c r="U87" s="2"/>
      <c r="V87" s="2"/>
    </row>
    <row r="88" spans="1:22" ht="15.4">
      <c r="A88" s="54" t="str">
        <f>Rent!A29</f>
        <v>Vacant (Time Out Bar)</v>
      </c>
      <c r="B88" s="55">
        <f>Rent!B29</f>
        <v>111</v>
      </c>
      <c r="C88" s="49">
        <f>Rent!C29</f>
        <v>3007</v>
      </c>
      <c r="D88" s="519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8">
        <f t="shared" ref="Q88:Q91" si="74">SUM(E88:P88)</f>
        <v>0</v>
      </c>
      <c r="R88" s="2"/>
      <c r="S88" s="2"/>
      <c r="T88" s="51"/>
      <c r="U88" s="2"/>
      <c r="V88" s="2"/>
    </row>
    <row r="89" spans="1:22" ht="15.4">
      <c r="A89" s="52"/>
      <c r="B89" s="60" t="s">
        <v>381</v>
      </c>
      <c r="C89" s="61"/>
      <c r="D89" s="520"/>
      <c r="E89" s="62">
        <f>IF(Rent!E29=0,0,(Rent!E29+(SUM('Tenant Charges'!$F25:$K25))))</f>
        <v>0</v>
      </c>
      <c r="F89" s="62">
        <f>IF(Rent!F29=0,0,(Rent!F29+(SUM('Tenant Charges'!$F25:$K25))))</f>
        <v>0</v>
      </c>
      <c r="G89" s="62">
        <f>IF(Rent!G29=0,0,(Rent!G29+(SUM('Tenant Charges'!$F25:$K25))))</f>
        <v>0</v>
      </c>
      <c r="H89" s="62">
        <f>IF(Rent!H29=0,0,(Rent!H29+(SUM('Tenant Charges'!$F25:$K25))))</f>
        <v>0</v>
      </c>
      <c r="I89" s="62">
        <f>IF(Rent!I29=0,0,(Rent!I29+(SUM('Tenant Charges'!$F25:$K25))))</f>
        <v>0</v>
      </c>
      <c r="J89" s="62">
        <f>IF(Rent!J29=0,0,(Rent!J29+(SUM('Tenant Charges'!$F25:$K25))))</f>
        <v>0</v>
      </c>
      <c r="K89" s="62">
        <f>IF(Rent!K29=0,0,(Rent!K29+(SUM('Tenant Charges'!$F25:$K25))))</f>
        <v>7775.3207033682638</v>
      </c>
      <c r="L89" s="62">
        <f>IF(Rent!L29=0,0,(Rent!L29+(SUM('Tenant Charges'!$F25:$K25))))</f>
        <v>7775.3207033682638</v>
      </c>
      <c r="M89" s="62">
        <f>IF(Rent!M29=0,0,(Rent!M29+(SUM('Tenant Charges'!$F25:$K25))))</f>
        <v>7775.3207033682638</v>
      </c>
      <c r="N89" s="62">
        <f>IF(Rent!N29=0,0,(Rent!N29+(SUM('Tenant Charges'!$F25:$K25))))</f>
        <v>7775.3207033682638</v>
      </c>
      <c r="O89" s="62">
        <f>IF(Rent!O29=0,0,(Rent!O29+(SUM('Tenant Charges'!$F25:$K25))))</f>
        <v>7775.3207033682638</v>
      </c>
      <c r="P89" s="62">
        <f>IF(Rent!P29=0,0,(Rent!P29+(SUM('Tenant Charges'!$F25:$K25))))</f>
        <v>7775.3207033682638</v>
      </c>
      <c r="Q89" s="63">
        <f t="shared" si="74"/>
        <v>46651.924220209585</v>
      </c>
      <c r="R89" s="2"/>
      <c r="S89" s="2"/>
      <c r="T89" s="51"/>
      <c r="U89" s="2"/>
      <c r="V89" s="2"/>
    </row>
    <row r="90" spans="1:22" ht="15.4">
      <c r="A90" s="52"/>
      <c r="B90" s="60" t="s">
        <v>385</v>
      </c>
      <c r="C90" s="61"/>
      <c r="D90" s="520">
        <f>$D$11</f>
        <v>2.5000000000000001E-2</v>
      </c>
      <c r="E90" s="62">
        <f>E89*$D$90</f>
        <v>0</v>
      </c>
      <c r="F90" s="62">
        <f t="shared" ref="F90:P90" si="75">F89*$D$90</f>
        <v>0</v>
      </c>
      <c r="G90" s="62">
        <f t="shared" si="75"/>
        <v>0</v>
      </c>
      <c r="H90" s="62">
        <f t="shared" si="75"/>
        <v>0</v>
      </c>
      <c r="I90" s="62">
        <f t="shared" si="75"/>
        <v>0</v>
      </c>
      <c r="J90" s="62">
        <f t="shared" si="75"/>
        <v>0</v>
      </c>
      <c r="K90" s="62">
        <f t="shared" si="75"/>
        <v>194.38301758420661</v>
      </c>
      <c r="L90" s="62">
        <f t="shared" si="75"/>
        <v>194.38301758420661</v>
      </c>
      <c r="M90" s="62">
        <f t="shared" si="75"/>
        <v>194.38301758420661</v>
      </c>
      <c r="N90" s="62">
        <f t="shared" si="75"/>
        <v>194.38301758420661</v>
      </c>
      <c r="O90" s="62">
        <f t="shared" si="75"/>
        <v>194.38301758420661</v>
      </c>
      <c r="P90" s="62">
        <f t="shared" si="75"/>
        <v>194.38301758420661</v>
      </c>
      <c r="Q90" s="63">
        <f t="shared" si="74"/>
        <v>1166.2981055052396</v>
      </c>
      <c r="R90" s="2"/>
      <c r="S90" s="2"/>
      <c r="T90" s="51"/>
      <c r="U90" s="2"/>
      <c r="V90" s="2"/>
    </row>
    <row r="91" spans="1:22" ht="15.4">
      <c r="A91" s="70"/>
      <c r="B91" s="65"/>
      <c r="C91" s="66" t="s">
        <v>384</v>
      </c>
      <c r="D91" s="523"/>
      <c r="E91" s="67">
        <f>E90</f>
        <v>0</v>
      </c>
      <c r="F91" s="67">
        <f t="shared" ref="F91:P91" si="76">F90</f>
        <v>0</v>
      </c>
      <c r="G91" s="67">
        <f t="shared" si="76"/>
        <v>0</v>
      </c>
      <c r="H91" s="67">
        <f t="shared" si="76"/>
        <v>0</v>
      </c>
      <c r="I91" s="67">
        <f t="shared" si="76"/>
        <v>0</v>
      </c>
      <c r="J91" s="67">
        <f t="shared" si="76"/>
        <v>0</v>
      </c>
      <c r="K91" s="67">
        <f t="shared" si="76"/>
        <v>194.38301758420661</v>
      </c>
      <c r="L91" s="67">
        <f t="shared" si="76"/>
        <v>194.38301758420661</v>
      </c>
      <c r="M91" s="67">
        <f t="shared" si="76"/>
        <v>194.38301758420661</v>
      </c>
      <c r="N91" s="67">
        <f t="shared" si="76"/>
        <v>194.38301758420661</v>
      </c>
      <c r="O91" s="67">
        <f t="shared" si="76"/>
        <v>194.38301758420661</v>
      </c>
      <c r="P91" s="67">
        <f t="shared" si="76"/>
        <v>194.38301758420661</v>
      </c>
      <c r="Q91" s="68">
        <f t="shared" si="74"/>
        <v>1166.2981055052396</v>
      </c>
      <c r="R91" s="2"/>
      <c r="S91" s="2"/>
      <c r="T91" s="51"/>
      <c r="U91" s="2"/>
      <c r="V91" s="2"/>
    </row>
    <row r="92" spans="1:22" ht="15.4">
      <c r="A92" s="2"/>
      <c r="B92" s="2"/>
      <c r="C92" s="2"/>
      <c r="D92" s="518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75"/>
      <c r="U92" s="2"/>
      <c r="V92" s="2"/>
    </row>
    <row r="93" spans="1:22" ht="15.4">
      <c r="A93" s="54" t="str">
        <f>Signage!A31</f>
        <v>Walmart</v>
      </c>
      <c r="B93" s="49">
        <f>Signage!B31</f>
        <v>0</v>
      </c>
      <c r="C93" s="49" t="str">
        <f>Signage!C31</f>
        <v>NAP</v>
      </c>
      <c r="D93" s="519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8">
        <f t="shared" ref="Q93:Q96" si="77">SUM(E93:P93)</f>
        <v>0</v>
      </c>
      <c r="R93" s="2"/>
      <c r="S93" s="2"/>
      <c r="T93" s="51"/>
      <c r="U93" s="2"/>
      <c r="V93" s="2"/>
    </row>
    <row r="94" spans="1:22" ht="15.4">
      <c r="A94" s="52" t="s">
        <v>387</v>
      </c>
      <c r="B94" s="60" t="s">
        <v>381</v>
      </c>
      <c r="C94" s="61"/>
      <c r="D94" s="520"/>
      <c r="E94" s="62">
        <f>Signage!E31</f>
        <v>2000</v>
      </c>
      <c r="F94" s="62">
        <f>Signage!F31</f>
        <v>2000</v>
      </c>
      <c r="G94" s="62">
        <f>Signage!G31</f>
        <v>2000</v>
      </c>
      <c r="H94" s="62">
        <f>Signage!H31</f>
        <v>2000</v>
      </c>
      <c r="I94" s="62">
        <f>Signage!I31</f>
        <v>2000</v>
      </c>
      <c r="J94" s="62">
        <f>Signage!J31</f>
        <v>2000</v>
      </c>
      <c r="K94" s="62">
        <f>Signage!K31</f>
        <v>2000</v>
      </c>
      <c r="L94" s="62">
        <f>Signage!L31</f>
        <v>2000</v>
      </c>
      <c r="M94" s="62">
        <f>Signage!M31</f>
        <v>2000</v>
      </c>
      <c r="N94" s="62">
        <f>Signage!N31</f>
        <v>2000</v>
      </c>
      <c r="O94" s="62">
        <f>Signage!O31</f>
        <v>2000</v>
      </c>
      <c r="P94" s="62">
        <f>Signage!P31</f>
        <v>2000</v>
      </c>
      <c r="Q94" s="63">
        <f t="shared" si="77"/>
        <v>24000</v>
      </c>
      <c r="R94" s="2"/>
      <c r="S94" s="2"/>
      <c r="T94" s="51"/>
      <c r="U94" s="2"/>
      <c r="V94" s="2"/>
    </row>
    <row r="95" spans="1:22" ht="15.4">
      <c r="A95" s="52"/>
      <c r="B95" s="60" t="s">
        <v>385</v>
      </c>
      <c r="C95" s="61"/>
      <c r="D95" s="520">
        <f>$D$11</f>
        <v>2.5000000000000001E-2</v>
      </c>
      <c r="E95" s="62">
        <f>E94*$D$90</f>
        <v>50</v>
      </c>
      <c r="F95" s="62">
        <f t="shared" ref="F95" si="78">F94*$D$90</f>
        <v>50</v>
      </c>
      <c r="G95" s="62">
        <f t="shared" ref="G95" si="79">G94*$D$90</f>
        <v>50</v>
      </c>
      <c r="H95" s="62">
        <f t="shared" ref="H95" si="80">H94*$D$90</f>
        <v>50</v>
      </c>
      <c r="I95" s="62">
        <f t="shared" ref="I95" si="81">I94*$D$90</f>
        <v>50</v>
      </c>
      <c r="J95" s="62">
        <f t="shared" ref="J95" si="82">J94*$D$90</f>
        <v>50</v>
      </c>
      <c r="K95" s="62">
        <f t="shared" ref="K95" si="83">K94*$D$90</f>
        <v>50</v>
      </c>
      <c r="L95" s="62">
        <f t="shared" ref="L95" si="84">L94*$D$90</f>
        <v>50</v>
      </c>
      <c r="M95" s="62">
        <f t="shared" ref="M95" si="85">M94*$D$90</f>
        <v>50</v>
      </c>
      <c r="N95" s="62">
        <f t="shared" ref="N95" si="86">N94*$D$90</f>
        <v>50</v>
      </c>
      <c r="O95" s="62">
        <f t="shared" ref="O95" si="87">O94*$D$90</f>
        <v>50</v>
      </c>
      <c r="P95" s="62">
        <f t="shared" ref="P95" si="88">P94*$D$90</f>
        <v>50</v>
      </c>
      <c r="Q95" s="63">
        <f t="shared" si="77"/>
        <v>600</v>
      </c>
      <c r="R95" s="2"/>
      <c r="S95" s="2"/>
      <c r="T95" s="51"/>
      <c r="U95" s="2"/>
      <c r="V95" s="2"/>
    </row>
    <row r="96" spans="1:22" ht="15.4">
      <c r="A96" s="70"/>
      <c r="B96" s="65"/>
      <c r="C96" s="66" t="s">
        <v>384</v>
      </c>
      <c r="D96" s="523"/>
      <c r="E96" s="67">
        <f>E95</f>
        <v>50</v>
      </c>
      <c r="F96" s="67">
        <f t="shared" ref="F96:P96" si="89">F95</f>
        <v>50</v>
      </c>
      <c r="G96" s="67">
        <f t="shared" si="89"/>
        <v>50</v>
      </c>
      <c r="H96" s="67">
        <f t="shared" si="89"/>
        <v>50</v>
      </c>
      <c r="I96" s="67">
        <f t="shared" si="89"/>
        <v>50</v>
      </c>
      <c r="J96" s="67">
        <f t="shared" si="89"/>
        <v>50</v>
      </c>
      <c r="K96" s="67">
        <f t="shared" si="89"/>
        <v>50</v>
      </c>
      <c r="L96" s="67">
        <f t="shared" si="89"/>
        <v>50</v>
      </c>
      <c r="M96" s="67">
        <f t="shared" si="89"/>
        <v>50</v>
      </c>
      <c r="N96" s="67">
        <f t="shared" si="89"/>
        <v>50</v>
      </c>
      <c r="O96" s="67">
        <f t="shared" si="89"/>
        <v>50</v>
      </c>
      <c r="P96" s="67">
        <f t="shared" si="89"/>
        <v>50</v>
      </c>
      <c r="Q96" s="68">
        <f t="shared" si="77"/>
        <v>600</v>
      </c>
      <c r="R96" s="2"/>
      <c r="S96" s="2"/>
      <c r="T96" s="51"/>
      <c r="U96" s="2"/>
      <c r="V96" s="2"/>
    </row>
    <row r="97" spans="1:22" ht="15.4">
      <c r="A97" s="2"/>
      <c r="B97" s="2"/>
      <c r="C97" s="2"/>
      <c r="D97" s="518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75"/>
      <c r="U97" s="2"/>
      <c r="V97" s="2"/>
    </row>
    <row r="98" spans="1:22" ht="15.4">
      <c r="A98" s="54" t="str">
        <f>Signage!A32</f>
        <v>Sportsman's Warehouse</v>
      </c>
      <c r="B98" s="55">
        <f>Signage!B32</f>
        <v>0</v>
      </c>
      <c r="C98" s="55" t="str">
        <f>Signage!C32</f>
        <v>NAP</v>
      </c>
      <c r="D98" s="519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8">
        <f t="shared" ref="Q98:Q101" si="90">SUM(E98:P98)</f>
        <v>0</v>
      </c>
      <c r="R98" s="2"/>
      <c r="S98" s="2"/>
      <c r="T98" s="51"/>
      <c r="U98" s="2"/>
      <c r="V98" s="2"/>
    </row>
    <row r="99" spans="1:22" ht="15.4">
      <c r="A99" s="52" t="s">
        <v>387</v>
      </c>
      <c r="B99" s="60" t="s">
        <v>381</v>
      </c>
      <c r="C99" s="61"/>
      <c r="D99" s="520"/>
      <c r="E99" s="62">
        <f>Signage!E32</f>
        <v>1500</v>
      </c>
      <c r="F99" s="62">
        <f>Signage!F32</f>
        <v>1500</v>
      </c>
      <c r="G99" s="62">
        <f>Signage!G32</f>
        <v>1500</v>
      </c>
      <c r="H99" s="62">
        <f>Signage!H32</f>
        <v>1500</v>
      </c>
      <c r="I99" s="62">
        <f>Signage!I32</f>
        <v>1500</v>
      </c>
      <c r="J99" s="62">
        <f>Signage!J32</f>
        <v>1500</v>
      </c>
      <c r="K99" s="62">
        <f>Signage!K32</f>
        <v>1500</v>
      </c>
      <c r="L99" s="62">
        <f>Signage!L32</f>
        <v>1500</v>
      </c>
      <c r="M99" s="62">
        <f>Signage!M32</f>
        <v>1500</v>
      </c>
      <c r="N99" s="62">
        <f>Signage!N32</f>
        <v>1500</v>
      </c>
      <c r="O99" s="62">
        <f>Signage!O32</f>
        <v>1500</v>
      </c>
      <c r="P99" s="62">
        <f>Signage!P32</f>
        <v>1500</v>
      </c>
      <c r="Q99" s="63">
        <f t="shared" si="90"/>
        <v>18000</v>
      </c>
      <c r="R99" s="2"/>
      <c r="S99" s="2"/>
      <c r="T99" s="51"/>
      <c r="U99" s="2"/>
      <c r="V99" s="2"/>
    </row>
    <row r="100" spans="1:22" ht="15.4">
      <c r="A100" s="52"/>
      <c r="B100" s="60" t="s">
        <v>385</v>
      </c>
      <c r="C100" s="61"/>
      <c r="D100" s="520">
        <f>$D$11</f>
        <v>2.5000000000000001E-2</v>
      </c>
      <c r="E100" s="62">
        <f>E99*$D$90</f>
        <v>37.5</v>
      </c>
      <c r="F100" s="62">
        <f t="shared" ref="F100" si="91">F99*$D$90</f>
        <v>37.5</v>
      </c>
      <c r="G100" s="62">
        <f t="shared" ref="G100" si="92">G99*$D$90</f>
        <v>37.5</v>
      </c>
      <c r="H100" s="62">
        <f t="shared" ref="H100" si="93">H99*$D$90</f>
        <v>37.5</v>
      </c>
      <c r="I100" s="62">
        <f t="shared" ref="I100" si="94">I99*$D$90</f>
        <v>37.5</v>
      </c>
      <c r="J100" s="62">
        <f t="shared" ref="J100" si="95">J99*$D$90</f>
        <v>37.5</v>
      </c>
      <c r="K100" s="62">
        <f t="shared" ref="K100" si="96">K99*$D$90</f>
        <v>37.5</v>
      </c>
      <c r="L100" s="62">
        <f t="shared" ref="L100" si="97">L99*$D$90</f>
        <v>37.5</v>
      </c>
      <c r="M100" s="62">
        <f t="shared" ref="M100" si="98">M99*$D$90</f>
        <v>37.5</v>
      </c>
      <c r="N100" s="62">
        <f t="shared" ref="N100" si="99">N99*$D$90</f>
        <v>37.5</v>
      </c>
      <c r="O100" s="62">
        <f t="shared" ref="O100" si="100">O99*$D$90</f>
        <v>37.5</v>
      </c>
      <c r="P100" s="62">
        <f t="shared" ref="P100" si="101">P99*$D$90</f>
        <v>37.5</v>
      </c>
      <c r="Q100" s="63">
        <f t="shared" si="90"/>
        <v>450</v>
      </c>
      <c r="R100" s="2"/>
      <c r="S100" s="2"/>
      <c r="T100" s="51"/>
      <c r="U100" s="2"/>
      <c r="V100" s="2"/>
    </row>
    <row r="101" spans="1:22" ht="15.4">
      <c r="A101" s="70"/>
      <c r="B101" s="65"/>
      <c r="C101" s="66" t="s">
        <v>384</v>
      </c>
      <c r="D101" s="523"/>
      <c r="E101" s="67">
        <f>E100</f>
        <v>37.5</v>
      </c>
      <c r="F101" s="67">
        <f t="shared" ref="F101:P101" si="102">F100</f>
        <v>37.5</v>
      </c>
      <c r="G101" s="67">
        <f t="shared" si="102"/>
        <v>37.5</v>
      </c>
      <c r="H101" s="67">
        <f t="shared" si="102"/>
        <v>37.5</v>
      </c>
      <c r="I101" s="67">
        <f t="shared" si="102"/>
        <v>37.5</v>
      </c>
      <c r="J101" s="67">
        <f t="shared" si="102"/>
        <v>37.5</v>
      </c>
      <c r="K101" s="67">
        <f t="shared" si="102"/>
        <v>37.5</v>
      </c>
      <c r="L101" s="67">
        <f t="shared" si="102"/>
        <v>37.5</v>
      </c>
      <c r="M101" s="67">
        <f t="shared" si="102"/>
        <v>37.5</v>
      </c>
      <c r="N101" s="67">
        <f t="shared" si="102"/>
        <v>37.5</v>
      </c>
      <c r="O101" s="67">
        <f t="shared" si="102"/>
        <v>37.5</v>
      </c>
      <c r="P101" s="67">
        <f t="shared" si="102"/>
        <v>37.5</v>
      </c>
      <c r="Q101" s="68">
        <f t="shared" si="90"/>
        <v>450</v>
      </c>
      <c r="R101" s="2"/>
      <c r="S101" s="2"/>
      <c r="T101" s="51"/>
      <c r="U101" s="2"/>
      <c r="V101" s="2"/>
    </row>
    <row r="102" spans="1:22" ht="15.4">
      <c r="A102" s="2"/>
      <c r="B102" s="2"/>
      <c r="C102" s="2"/>
      <c r="D102" s="518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75"/>
      <c r="U102" s="2"/>
      <c r="V102" s="2"/>
    </row>
    <row r="103" spans="1:22" ht="15.4">
      <c r="A103" s="54" t="str">
        <f>Signage!A33</f>
        <v>John F. Long Foundation</v>
      </c>
      <c r="B103" s="55">
        <f>Signage!B33</f>
        <v>0</v>
      </c>
      <c r="C103" s="55" t="str">
        <f>Signage!C33</f>
        <v>NAP</v>
      </c>
      <c r="D103" s="519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8">
        <f t="shared" ref="Q103:Q106" si="103">SUM(E103:P103)</f>
        <v>0</v>
      </c>
      <c r="R103" s="2"/>
      <c r="S103" s="2"/>
      <c r="T103" s="51"/>
      <c r="U103" s="2"/>
      <c r="V103" s="2"/>
    </row>
    <row r="104" spans="1:22" ht="15.4">
      <c r="A104" s="52" t="s">
        <v>387</v>
      </c>
      <c r="B104" s="60" t="s">
        <v>381</v>
      </c>
      <c r="C104" s="61"/>
      <c r="D104" s="520"/>
      <c r="E104" s="62">
        <f>Signage!E33</f>
        <v>15</v>
      </c>
      <c r="F104" s="62">
        <f>Signage!F33</f>
        <v>15</v>
      </c>
      <c r="G104" s="62">
        <f>Signage!G33</f>
        <v>15</v>
      </c>
      <c r="H104" s="62">
        <f>Signage!H33</f>
        <v>15</v>
      </c>
      <c r="I104" s="62">
        <f>Signage!I33</f>
        <v>15</v>
      </c>
      <c r="J104" s="62">
        <f>Signage!J33</f>
        <v>15</v>
      </c>
      <c r="K104" s="62">
        <f>Signage!K33</f>
        <v>15</v>
      </c>
      <c r="L104" s="62">
        <f>Signage!L33</f>
        <v>15</v>
      </c>
      <c r="M104" s="62">
        <f>Signage!M33</f>
        <v>15</v>
      </c>
      <c r="N104" s="62">
        <f>Signage!N33</f>
        <v>15</v>
      </c>
      <c r="O104" s="62">
        <f>Signage!O33</f>
        <v>15</v>
      </c>
      <c r="P104" s="62">
        <f>Signage!P37</f>
        <v>4585.83</v>
      </c>
      <c r="Q104" s="63">
        <f t="shared" si="103"/>
        <v>4750.83</v>
      </c>
      <c r="R104" s="2"/>
      <c r="S104" s="2"/>
      <c r="T104" s="51"/>
      <c r="U104" s="2"/>
      <c r="V104" s="2"/>
    </row>
    <row r="105" spans="1:22" ht="15.4">
      <c r="A105" s="52"/>
      <c r="B105" s="60" t="s">
        <v>385</v>
      </c>
      <c r="C105" s="61"/>
      <c r="D105" s="520">
        <f>$D$11</f>
        <v>2.5000000000000001E-2</v>
      </c>
      <c r="E105" s="62">
        <f>E104*$D$90</f>
        <v>0.375</v>
      </c>
      <c r="F105" s="62">
        <f t="shared" ref="F105" si="104">F104*$D$90</f>
        <v>0.375</v>
      </c>
      <c r="G105" s="62">
        <f t="shared" ref="G105" si="105">G104*$D$90</f>
        <v>0.375</v>
      </c>
      <c r="H105" s="62">
        <f t="shared" ref="H105" si="106">H104*$D$90</f>
        <v>0.375</v>
      </c>
      <c r="I105" s="62">
        <f t="shared" ref="I105" si="107">I104*$D$90</f>
        <v>0.375</v>
      </c>
      <c r="J105" s="62">
        <f t="shared" ref="J105" si="108">J104*$D$90</f>
        <v>0.375</v>
      </c>
      <c r="K105" s="62">
        <f t="shared" ref="K105" si="109">K104*$D$90</f>
        <v>0.375</v>
      </c>
      <c r="L105" s="62">
        <f t="shared" ref="L105" si="110">L104*$D$90</f>
        <v>0.375</v>
      </c>
      <c r="M105" s="62">
        <f t="shared" ref="M105" si="111">M104*$D$90</f>
        <v>0.375</v>
      </c>
      <c r="N105" s="62">
        <f t="shared" ref="N105" si="112">N104*$D$90</f>
        <v>0.375</v>
      </c>
      <c r="O105" s="62">
        <f t="shared" ref="O105" si="113">O104*$D$90</f>
        <v>0.375</v>
      </c>
      <c r="P105" s="62">
        <f t="shared" ref="P105" si="114">P104*$D$90</f>
        <v>114.64575000000001</v>
      </c>
      <c r="Q105" s="63">
        <f t="shared" si="103"/>
        <v>118.77075000000001</v>
      </c>
      <c r="R105" s="2"/>
      <c r="S105" s="2"/>
      <c r="T105" s="51"/>
      <c r="U105" s="2"/>
      <c r="V105" s="2"/>
    </row>
    <row r="106" spans="1:22" ht="15.4">
      <c r="A106" s="70"/>
      <c r="B106" s="65"/>
      <c r="C106" s="66" t="s">
        <v>384</v>
      </c>
      <c r="D106" s="71"/>
      <c r="E106" s="67">
        <f>E105</f>
        <v>0.375</v>
      </c>
      <c r="F106" s="67">
        <f t="shared" ref="F106:P106" si="115">F105</f>
        <v>0.375</v>
      </c>
      <c r="G106" s="67">
        <f t="shared" si="115"/>
        <v>0.375</v>
      </c>
      <c r="H106" s="67">
        <f t="shared" si="115"/>
        <v>0.375</v>
      </c>
      <c r="I106" s="67">
        <f t="shared" si="115"/>
        <v>0.375</v>
      </c>
      <c r="J106" s="67">
        <f t="shared" si="115"/>
        <v>0.375</v>
      </c>
      <c r="K106" s="67">
        <f t="shared" si="115"/>
        <v>0.375</v>
      </c>
      <c r="L106" s="67">
        <f t="shared" si="115"/>
        <v>0.375</v>
      </c>
      <c r="M106" s="67">
        <f t="shared" si="115"/>
        <v>0.375</v>
      </c>
      <c r="N106" s="67">
        <f t="shared" si="115"/>
        <v>0.375</v>
      </c>
      <c r="O106" s="67">
        <f t="shared" si="115"/>
        <v>0.375</v>
      </c>
      <c r="P106" s="67">
        <f t="shared" si="115"/>
        <v>114.64575000000001</v>
      </c>
      <c r="Q106" s="68">
        <f t="shared" si="103"/>
        <v>118.77075000000001</v>
      </c>
      <c r="R106" s="2"/>
      <c r="S106" s="2"/>
      <c r="T106" s="51"/>
      <c r="U106" s="2"/>
      <c r="V106" s="2"/>
    </row>
    <row r="107" spans="1:22" ht="15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75"/>
      <c r="U107" s="2"/>
      <c r="V107" s="2"/>
    </row>
    <row r="108" spans="1:22" ht="15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75"/>
      <c r="U108" s="2"/>
      <c r="V108" s="2"/>
    </row>
    <row r="109" spans="1:22" ht="15.4">
      <c r="A109" s="76" t="s">
        <v>388</v>
      </c>
      <c r="B109" s="77"/>
      <c r="C109" s="77"/>
      <c r="D109" s="77"/>
      <c r="E109" s="78">
        <f>E16+E21+E26+E31+E36+E41+E46+E51+E56+E61+E66+E71+E76+E81+E86+E91+E96+E101+E106</f>
        <v>3421.1835466782613</v>
      </c>
      <c r="F109" s="78">
        <f t="shared" ref="F109:P109" si="116">F16+F21+F26+F31+F36+F41+F46+F51+F56+F61+F66+F71+F76+F81+F86+F91+F96+F101+F106</f>
        <v>3421.1835466782613</v>
      </c>
      <c r="G109" s="78">
        <f t="shared" si="116"/>
        <v>3421.1835466782613</v>
      </c>
      <c r="H109" s="78">
        <f t="shared" si="116"/>
        <v>3424.9177966782613</v>
      </c>
      <c r="I109" s="78">
        <f t="shared" si="116"/>
        <v>3426.7742966782612</v>
      </c>
      <c r="J109" s="78">
        <f t="shared" si="116"/>
        <v>3426.7742966782612</v>
      </c>
      <c r="K109" s="78">
        <f t="shared" si="116"/>
        <v>3622.3678142624681</v>
      </c>
      <c r="L109" s="78">
        <f t="shared" si="116"/>
        <v>3622.3678142624681</v>
      </c>
      <c r="M109" s="78">
        <f t="shared" si="116"/>
        <v>3622.3678142624681</v>
      </c>
      <c r="N109" s="78">
        <f t="shared" si="116"/>
        <v>3634.2843142624679</v>
      </c>
      <c r="O109" s="78">
        <f t="shared" si="116"/>
        <v>3638.6738142624677</v>
      </c>
      <c r="P109" s="78">
        <f t="shared" si="116"/>
        <v>3752.9445642624678</v>
      </c>
      <c r="Q109" s="79">
        <f>SUM(E109:P109)</f>
        <v>42435.023165644372</v>
      </c>
      <c r="R109" s="2"/>
      <c r="S109" s="2"/>
      <c r="T109" s="75" t="s">
        <v>389</v>
      </c>
      <c r="U109" s="2"/>
      <c r="V109" s="2"/>
    </row>
    <row r="110" spans="1:22" ht="15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4">
      <c r="A111" s="2"/>
      <c r="B111" s="83" t="s">
        <v>347</v>
      </c>
      <c r="C111" s="87"/>
      <c r="D111" s="84"/>
      <c r="E111" s="85">
        <f>E109-Summary!C15</f>
        <v>0</v>
      </c>
      <c r="F111" s="85">
        <f>F109-Summary!D15</f>
        <v>0</v>
      </c>
      <c r="G111" s="85">
        <f>G109-Summary!E15</f>
        <v>0</v>
      </c>
      <c r="H111" s="85">
        <f>H109-Summary!F15</f>
        <v>0</v>
      </c>
      <c r="I111" s="85">
        <f>I109-Summary!G15</f>
        <v>0</v>
      </c>
      <c r="J111" s="85">
        <f>J109-Summary!H15</f>
        <v>0</v>
      </c>
      <c r="K111" s="85">
        <f>K109-Summary!I15</f>
        <v>0</v>
      </c>
      <c r="L111" s="85">
        <f>L109-Summary!J15</f>
        <v>0</v>
      </c>
      <c r="M111" s="85">
        <f>M109-Summary!K15</f>
        <v>0</v>
      </c>
      <c r="N111" s="85">
        <f>N109-Summary!L15</f>
        <v>0</v>
      </c>
      <c r="O111" s="85">
        <f>O109-Summary!M15</f>
        <v>0</v>
      </c>
      <c r="P111" s="86">
        <f>P109-Summary!N15</f>
        <v>0</v>
      </c>
      <c r="Q111" s="2"/>
      <c r="R111" s="2"/>
      <c r="S111" s="2"/>
      <c r="T111" s="2"/>
      <c r="U111" s="2"/>
      <c r="V111" s="2"/>
    </row>
    <row r="112" spans="1:22" ht="15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8" spans="1:22">
      <c r="E118"/>
    </row>
  </sheetData>
  <mergeCells count="6">
    <mergeCell ref="Q8:Q10"/>
    <mergeCell ref="A2:Q2"/>
    <mergeCell ref="A3:Q3"/>
    <mergeCell ref="A4:Q4"/>
    <mergeCell ref="A5:Q5"/>
    <mergeCell ref="A6:Q6"/>
  </mergeCells>
  <printOptions horizontalCentered="1"/>
  <pageMargins left="0.5" right="0.5" top="0.5" bottom="0.75" header="0.5" footer="0.5"/>
  <pageSetup paperSize="3" scale="42" firstPageNumber="3" orientation="landscape" useFirstPageNumber="1" r:id="rId1"/>
  <headerFooter alignWithMargins="0">
    <oddFooter>Page 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pageSetUpPr fitToPage="1"/>
  </sheetPr>
  <dimension ref="A1:Q64"/>
  <sheetViews>
    <sheetView topLeftCell="A16" zoomScaleNormal="100" zoomScaleSheetLayoutView="100" workbookViewId="0"/>
  </sheetViews>
  <sheetFormatPr defaultColWidth="9.42578125" defaultRowHeight="15.4"/>
  <cols>
    <col min="1" max="1" width="32" style="89" customWidth="1"/>
    <col min="2" max="2" width="9.42578125" style="89"/>
    <col min="3" max="15" width="11.42578125" style="89" bestFit="1" customWidth="1"/>
    <col min="16" max="16" width="12.42578125" style="89" bestFit="1" customWidth="1"/>
    <col min="17" max="17" width="10.42578125" style="89" customWidth="1"/>
    <col min="18" max="16384" width="9.42578125" style="89"/>
  </cols>
  <sheetData>
    <row r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9" t="str">
        <f>Summary!T4</f>
        <v>Date Revised:</v>
      </c>
      <c r="P1" s="388">
        <f ca="1">Summary!U4</f>
        <v>46269</v>
      </c>
      <c r="Q1" s="2">
        <f>Summary!W4</f>
        <v>0</v>
      </c>
    </row>
    <row r="2" spans="1:17">
      <c r="A2" s="614" t="str">
        <f>Summary!$A2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2"/>
    </row>
    <row r="3" spans="1:17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2"/>
    </row>
    <row r="4" spans="1:17">
      <c r="A4" s="614" t="str">
        <f>Summary!$A4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2"/>
    </row>
    <row r="5" spans="1:17">
      <c r="A5" s="614" t="str">
        <f>Summary!$A5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2"/>
    </row>
    <row r="6" spans="1:17">
      <c r="A6" s="614" t="str">
        <f>Summary!$A6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2"/>
    </row>
    <row r="7" spans="1:17">
      <c r="A7" s="2"/>
      <c r="B7" s="2"/>
      <c r="C7" s="2"/>
      <c r="D7" s="2"/>
      <c r="E7" s="2"/>
      <c r="F7" s="2"/>
      <c r="G7" s="2"/>
      <c r="H7" s="389"/>
      <c r="I7" s="2"/>
      <c r="J7" s="2"/>
      <c r="K7" s="2"/>
      <c r="L7" s="2"/>
      <c r="M7" s="2"/>
      <c r="N7" s="2"/>
      <c r="O7" s="2"/>
      <c r="P7" s="2"/>
      <c r="Q7" s="2"/>
    </row>
    <row r="8" spans="1:17">
      <c r="A8" s="42"/>
      <c r="B8" s="42"/>
      <c r="C8" s="43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2"/>
    </row>
    <row r="9" spans="1:17">
      <c r="A9" s="44" t="s">
        <v>15</v>
      </c>
      <c r="B9" s="44" t="s">
        <v>316</v>
      </c>
      <c r="C9" s="44" t="s">
        <v>165</v>
      </c>
      <c r="D9" s="44" t="s">
        <v>129</v>
      </c>
      <c r="E9" s="44" t="s">
        <v>130</v>
      </c>
      <c r="F9" s="44" t="s">
        <v>131</v>
      </c>
      <c r="G9" s="44" t="s">
        <v>132</v>
      </c>
      <c r="H9" s="44" t="s">
        <v>133</v>
      </c>
      <c r="I9" s="44" t="s">
        <v>134</v>
      </c>
      <c r="J9" s="44" t="s">
        <v>135</v>
      </c>
      <c r="K9" s="44" t="s">
        <v>136</v>
      </c>
      <c r="L9" s="44" t="s">
        <v>137</v>
      </c>
      <c r="M9" s="44" t="s">
        <v>138</v>
      </c>
      <c r="N9" s="44" t="s">
        <v>139</v>
      </c>
      <c r="O9" s="44" t="s">
        <v>140</v>
      </c>
      <c r="P9" s="44" t="s">
        <v>169</v>
      </c>
      <c r="Q9" s="2"/>
    </row>
    <row r="10" spans="1:17">
      <c r="A10" s="45"/>
      <c r="B10" s="46" t="s">
        <v>318</v>
      </c>
      <c r="C10" s="46" t="s">
        <v>319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2"/>
    </row>
    <row r="11" spans="1:17">
      <c r="A11" s="51"/>
      <c r="B11" s="2"/>
      <c r="C11" s="116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2"/>
    </row>
    <row r="12" spans="1:17">
      <c r="A12" s="253" t="s">
        <v>394</v>
      </c>
      <c r="B12" s="2"/>
      <c r="C12" s="116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2"/>
    </row>
    <row r="13" spans="1:17">
      <c r="A13" s="2"/>
      <c r="B13" s="2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2"/>
    </row>
    <row r="14" spans="1:17">
      <c r="A14" s="2" t="str">
        <f>Rent!A14</f>
        <v>EOS Fitness</v>
      </c>
      <c r="B14" s="60" t="str">
        <f>Rent!B14</f>
        <v>Major A</v>
      </c>
      <c r="C14" s="390">
        <f>Rent!C14</f>
        <v>35000</v>
      </c>
      <c r="D14" s="264">
        <f>IF(Rent!E14=0,0,($C14))</f>
        <v>35000</v>
      </c>
      <c r="E14" s="254">
        <f>IF(Rent!F14=0,0,($C14))</f>
        <v>35000</v>
      </c>
      <c r="F14" s="254">
        <f>IF(Rent!G14=0,0,($C14))</f>
        <v>35000</v>
      </c>
      <c r="G14" s="254">
        <f>IF(Rent!H14=0,0,($C14))</f>
        <v>35000</v>
      </c>
      <c r="H14" s="254">
        <f>IF(Rent!I14=0,0,($C14))</f>
        <v>35000</v>
      </c>
      <c r="I14" s="254">
        <f>IF(Rent!J14=0,0,($C14))</f>
        <v>35000</v>
      </c>
      <c r="J14" s="254">
        <f>IF(Rent!K14=0,0,($C14))</f>
        <v>35000</v>
      </c>
      <c r="K14" s="254">
        <f>IF(Rent!L14=0,0,($C14))</f>
        <v>35000</v>
      </c>
      <c r="L14" s="254">
        <f>IF(Rent!M14=0,0,($C14))</f>
        <v>35000</v>
      </c>
      <c r="M14" s="254">
        <f>IF(Rent!N14=0,0,($C14))</f>
        <v>35000</v>
      </c>
      <c r="N14" s="254">
        <f>IF(Rent!O14=0,0,($C14))</f>
        <v>35000</v>
      </c>
      <c r="O14" s="254">
        <f>IF(Rent!P14=0,0,($C14))</f>
        <v>35000</v>
      </c>
      <c r="P14" s="391">
        <f>(SUM(D14:O14)/12)/C14</f>
        <v>1</v>
      </c>
      <c r="Q14" s="2"/>
    </row>
    <row r="15" spans="1:17">
      <c r="A15" s="2" t="str">
        <f>Rent!A15</f>
        <v>Third Pasrty MVS</v>
      </c>
      <c r="B15" s="60" t="str">
        <f>Rent!B15</f>
        <v>B101</v>
      </c>
      <c r="C15" s="390">
        <f>Rent!C15</f>
        <v>3000</v>
      </c>
      <c r="D15" s="392">
        <f>IF(Rent!E15=0,0,($C15))</f>
        <v>3000</v>
      </c>
      <c r="E15" s="392">
        <f>IF(Rent!F15=0,0,($C15))</f>
        <v>3000</v>
      </c>
      <c r="F15" s="392">
        <f>IF(Rent!G15=0,0,($C15))</f>
        <v>3000</v>
      </c>
      <c r="G15" s="392">
        <f>IF(Rent!H15=0,0,($C15))</f>
        <v>3000</v>
      </c>
      <c r="H15" s="392">
        <f>IF(Rent!I15=0,0,($C15))</f>
        <v>3000</v>
      </c>
      <c r="I15" s="392">
        <f>IF(Rent!J15=0,0,($C15))</f>
        <v>3000</v>
      </c>
      <c r="J15" s="392">
        <f>IF(Rent!K15=0,0,($C15))</f>
        <v>3000</v>
      </c>
      <c r="K15" s="392">
        <f>IF(Rent!L15=0,0,($C15))</f>
        <v>3000</v>
      </c>
      <c r="L15" s="392">
        <f>IF(Rent!M15=0,0,($C15))</f>
        <v>3000</v>
      </c>
      <c r="M15" s="392">
        <f>IF(Rent!N15=0,0,($C15))</f>
        <v>3000</v>
      </c>
      <c r="N15" s="392">
        <f>IF(Rent!O15=0,0,($C15))</f>
        <v>3000</v>
      </c>
      <c r="O15" s="392">
        <f>IF(Rent!P15=0,0,($C15))</f>
        <v>3000</v>
      </c>
      <c r="P15" s="391">
        <f t="shared" ref="P15:P28" si="0">(SUM(D15:O15)/12)/C15</f>
        <v>1</v>
      </c>
      <c r="Q15" s="2"/>
    </row>
    <row r="16" spans="1:17">
      <c r="A16" s="2" t="str">
        <f>Rent!A16</f>
        <v xml:space="preserve">Sally Beauty Supply </v>
      </c>
      <c r="B16" s="60" t="str">
        <f>Rent!B16</f>
        <v>B103</v>
      </c>
      <c r="C16" s="390">
        <f>Rent!C16</f>
        <v>1625</v>
      </c>
      <c r="D16" s="392">
        <f>IF(Rent!E16=0,0,($C16))</f>
        <v>1625</v>
      </c>
      <c r="E16" s="392">
        <f>IF(Rent!F16=0,0,($C16))</f>
        <v>1625</v>
      </c>
      <c r="F16" s="392">
        <f>IF(Rent!G16=0,0,($C16))</f>
        <v>1625</v>
      </c>
      <c r="G16" s="392">
        <f>IF(Rent!H16=0,0,($C16))</f>
        <v>1625</v>
      </c>
      <c r="H16" s="392">
        <f>IF(Rent!I16=0,0,($C16))</f>
        <v>1625</v>
      </c>
      <c r="I16" s="392">
        <f>IF(Rent!J16=0,0,($C16))</f>
        <v>1625</v>
      </c>
      <c r="J16" s="392">
        <f>IF(Rent!K16=0,0,($C16))</f>
        <v>1625</v>
      </c>
      <c r="K16" s="392">
        <f>IF(Rent!L16=0,0,($C16))</f>
        <v>1625</v>
      </c>
      <c r="L16" s="392">
        <f>IF(Rent!M16=0,0,($C16))</f>
        <v>1625</v>
      </c>
      <c r="M16" s="392">
        <f>IF(Rent!N16=0,0,($C16))</f>
        <v>1625</v>
      </c>
      <c r="N16" s="392">
        <f>IF(Rent!O16=0,0,($C16))</f>
        <v>1625</v>
      </c>
      <c r="O16" s="392">
        <f>IF(Rent!P16=0,0,($C16))</f>
        <v>1625</v>
      </c>
      <c r="P16" s="391">
        <f t="shared" si="0"/>
        <v>1</v>
      </c>
      <c r="Q16" s="2"/>
    </row>
    <row r="17" spans="1:16">
      <c r="A17" s="2" t="str">
        <f>Rent!A17</f>
        <v>Wild Side Smoke Shop</v>
      </c>
      <c r="B17" s="60" t="str">
        <f>Rent!B17</f>
        <v>B104</v>
      </c>
      <c r="C17" s="390">
        <f>Rent!C17</f>
        <v>1400</v>
      </c>
      <c r="D17" s="392">
        <f>IF(Rent!E17=0,0,($C17))</f>
        <v>1400</v>
      </c>
      <c r="E17" s="392">
        <f>IF(Rent!F17=0,0,($C17))</f>
        <v>1400</v>
      </c>
      <c r="F17" s="392">
        <f>IF(Rent!G17=0,0,($C17))</f>
        <v>1400</v>
      </c>
      <c r="G17" s="392">
        <f>IF(Rent!H17=0,0,($C17))</f>
        <v>1400</v>
      </c>
      <c r="H17" s="392">
        <f>IF(Rent!I17=0,0,($C17))</f>
        <v>1400</v>
      </c>
      <c r="I17" s="392">
        <f>IF(Rent!J17=0,0,($C17))</f>
        <v>1400</v>
      </c>
      <c r="J17" s="392">
        <f>IF(Rent!K17=0,0,($C17))</f>
        <v>1400</v>
      </c>
      <c r="K17" s="392">
        <f>IF(Rent!L17=0,0,($C17))</f>
        <v>1400</v>
      </c>
      <c r="L17" s="392">
        <f>IF(Rent!M17=0,0,($C17))</f>
        <v>1400</v>
      </c>
      <c r="M17" s="392">
        <f>IF(Rent!N17=0,0,($C17))</f>
        <v>1400</v>
      </c>
      <c r="N17" s="392">
        <f>IF(Rent!O17=0,0,($C17))</f>
        <v>1400</v>
      </c>
      <c r="O17" s="392">
        <f>IF(Rent!P17=0,0,($C17))</f>
        <v>1400</v>
      </c>
      <c r="P17" s="391">
        <f t="shared" si="0"/>
        <v>1</v>
      </c>
    </row>
    <row r="18" spans="1:16">
      <c r="A18" s="2" t="str">
        <f>Rent!A18</f>
        <v>Green Spa, LLC</v>
      </c>
      <c r="B18" s="60" t="str">
        <f>Rent!B18</f>
        <v>B105</v>
      </c>
      <c r="C18" s="390">
        <f>Rent!C18</f>
        <v>1112</v>
      </c>
      <c r="D18" s="392">
        <f>IF(Rent!E18=0,0,($C18))</f>
        <v>1112</v>
      </c>
      <c r="E18" s="392">
        <f>IF(Rent!F18=0,0,($C18))</f>
        <v>1112</v>
      </c>
      <c r="F18" s="392">
        <f>IF(Rent!G18=0,0,($C18))</f>
        <v>1112</v>
      </c>
      <c r="G18" s="392">
        <f>IF(Rent!H18=0,0,($C18))</f>
        <v>1112</v>
      </c>
      <c r="H18" s="392">
        <f>IF(Rent!I18=0,0,($C18))</f>
        <v>1112</v>
      </c>
      <c r="I18" s="392">
        <f>IF(Rent!J18=0,0,($C18))</f>
        <v>1112</v>
      </c>
      <c r="J18" s="392">
        <f>IF(Rent!K18=0,0,($C18))</f>
        <v>1112</v>
      </c>
      <c r="K18" s="392">
        <f>IF(Rent!L18=0,0,($C18))</f>
        <v>1112</v>
      </c>
      <c r="L18" s="392">
        <f>IF(Rent!M18=0,0,($C18))</f>
        <v>1112</v>
      </c>
      <c r="M18" s="392">
        <f>IF(Rent!N18=0,0,($C18))</f>
        <v>1112</v>
      </c>
      <c r="N18" s="392">
        <f>IF(Rent!O18=0,0,($C18))</f>
        <v>1112</v>
      </c>
      <c r="O18" s="392">
        <f>IF(Rent!P18=0,0,($C18))</f>
        <v>1112</v>
      </c>
      <c r="P18" s="391">
        <f t="shared" si="0"/>
        <v>1</v>
      </c>
    </row>
    <row r="19" spans="1:16">
      <c r="A19" s="2" t="str">
        <f>Rent!A19</f>
        <v>AT&amp;T Mobility</v>
      </c>
      <c r="B19" s="60" t="str">
        <f>Rent!B19</f>
        <v>B106</v>
      </c>
      <c r="C19" s="390">
        <f>Rent!C19</f>
        <v>2494</v>
      </c>
      <c r="D19" s="392">
        <f>IF(Rent!E19=0,0,($C19))</f>
        <v>2494</v>
      </c>
      <c r="E19" s="392">
        <f>IF(Rent!F19=0,0,($C19))</f>
        <v>2494</v>
      </c>
      <c r="F19" s="392">
        <f>IF(Rent!G19=0,0,($C19))</f>
        <v>2494</v>
      </c>
      <c r="G19" s="392">
        <f>IF(Rent!H19=0,0,($C19))</f>
        <v>2494</v>
      </c>
      <c r="H19" s="392">
        <f>IF(Rent!I19=0,0,($C19))</f>
        <v>2494</v>
      </c>
      <c r="I19" s="392">
        <f>IF(Rent!J19=0,0,($C19))</f>
        <v>2494</v>
      </c>
      <c r="J19" s="392">
        <f>IF(Rent!K19=0,0,($C19))</f>
        <v>2494</v>
      </c>
      <c r="K19" s="392">
        <f>IF(Rent!L19=0,0,($C19))</f>
        <v>2494</v>
      </c>
      <c r="L19" s="392">
        <f>IF(Rent!M19=0,0,($C19))</f>
        <v>2494</v>
      </c>
      <c r="M19" s="392">
        <f>IF(Rent!N19=0,0,($C19))</f>
        <v>2494</v>
      </c>
      <c r="N19" s="392">
        <f>IF(Rent!O19=0,0,($C19))</f>
        <v>2494</v>
      </c>
      <c r="O19" s="392">
        <f>IF(Rent!P19=0,0,($C19))</f>
        <v>2494</v>
      </c>
      <c r="P19" s="391">
        <f t="shared" si="0"/>
        <v>1</v>
      </c>
    </row>
    <row r="20" spans="1:16">
      <c r="A20" s="2" t="str">
        <f>Rent!A20</f>
        <v>Discount Nutrition</v>
      </c>
      <c r="B20" s="60" t="str">
        <f>Rent!B20</f>
        <v>B108</v>
      </c>
      <c r="C20" s="390">
        <f>Rent!C20</f>
        <v>1500</v>
      </c>
      <c r="D20" s="392">
        <f>IF(Rent!E20=0,0,($C20))</f>
        <v>1500</v>
      </c>
      <c r="E20" s="392">
        <f>IF(Rent!F20=0,0,($C20))</f>
        <v>1500</v>
      </c>
      <c r="F20" s="392">
        <f>IF(Rent!G20=0,0,($C20))</f>
        <v>1500</v>
      </c>
      <c r="G20" s="392">
        <f>IF(Rent!H20=0,0,($C20))</f>
        <v>1500</v>
      </c>
      <c r="H20" s="392">
        <f>IF(Rent!I20=0,0,($C20))</f>
        <v>1500</v>
      </c>
      <c r="I20" s="392">
        <f>IF(Rent!J20=0,0,($C20))</f>
        <v>1500</v>
      </c>
      <c r="J20" s="392">
        <f>IF(Rent!K20=0,0,($C20))</f>
        <v>1500</v>
      </c>
      <c r="K20" s="392">
        <f>IF(Rent!L20=0,0,($C20))</f>
        <v>1500</v>
      </c>
      <c r="L20" s="392">
        <f>IF(Rent!M20=0,0,($C20))</f>
        <v>1500</v>
      </c>
      <c r="M20" s="392">
        <f>IF(Rent!N20=0,0,($C20))</f>
        <v>1500</v>
      </c>
      <c r="N20" s="392">
        <f>IF(Rent!O20=0,0,($C20))</f>
        <v>1500</v>
      </c>
      <c r="O20" s="392">
        <f>IF(Rent!P20=0,0,($C20))</f>
        <v>1500</v>
      </c>
      <c r="P20" s="391">
        <f t="shared" si="0"/>
        <v>1</v>
      </c>
    </row>
    <row r="21" spans="1:16">
      <c r="A21" s="2" t="str">
        <f>Rent!A21</f>
        <v>Adapt Chiropractic</v>
      </c>
      <c r="B21" s="60" t="str">
        <f>Rent!B21</f>
        <v>B109</v>
      </c>
      <c r="C21" s="390">
        <f>Rent!C21</f>
        <v>1734</v>
      </c>
      <c r="D21" s="392">
        <f>IF(Rent!E21=0,0,($C21))</f>
        <v>1734</v>
      </c>
      <c r="E21" s="392">
        <f>IF(Rent!F21=0,0,($C21))</f>
        <v>1734</v>
      </c>
      <c r="F21" s="392">
        <f>IF(Rent!G21=0,0,($C21))</f>
        <v>1734</v>
      </c>
      <c r="G21" s="392">
        <f>IF(Rent!H21=0,0,($C21))</f>
        <v>1734</v>
      </c>
      <c r="H21" s="392">
        <f>IF(Rent!I21=0,0,($C21))</f>
        <v>1734</v>
      </c>
      <c r="I21" s="392">
        <f>IF(Rent!J21=0,0,($C21))</f>
        <v>1734</v>
      </c>
      <c r="J21" s="392">
        <f>IF(Rent!K21=0,0,($C21))</f>
        <v>1734</v>
      </c>
      <c r="K21" s="392">
        <f>IF(Rent!L21=0,0,($C21))</f>
        <v>1734</v>
      </c>
      <c r="L21" s="392">
        <f>IF(Rent!M21=0,0,($C21))</f>
        <v>1734</v>
      </c>
      <c r="M21" s="392">
        <f>IF(Rent!N21=0,0,($C21))</f>
        <v>1734</v>
      </c>
      <c r="N21" s="392">
        <f>IF(Rent!O21=0,0,($C21))</f>
        <v>1734</v>
      </c>
      <c r="O21" s="392">
        <f>IF(Rent!P21=0,0,($C21))</f>
        <v>1734</v>
      </c>
      <c r="P21" s="391">
        <f t="shared" si="0"/>
        <v>1</v>
      </c>
    </row>
    <row r="22" spans="1:16">
      <c r="A22" s="2" t="str">
        <f>Rent!A22</f>
        <v>Speakeasy Suites</v>
      </c>
      <c r="B22" s="60" t="str">
        <f>Rent!B22</f>
        <v>B111</v>
      </c>
      <c r="C22" s="390">
        <f>Rent!C22</f>
        <v>3900</v>
      </c>
      <c r="D22" s="392">
        <f>IF(Rent!E22=0,0,($C22))</f>
        <v>3900</v>
      </c>
      <c r="E22" s="392">
        <f>IF(Rent!F22=0,0,($C22))</f>
        <v>3900</v>
      </c>
      <c r="F22" s="392">
        <f>IF(Rent!G22=0,0,($C22))</f>
        <v>3900</v>
      </c>
      <c r="G22" s="392">
        <f>IF(Rent!H22=0,0,($C22))</f>
        <v>3900</v>
      </c>
      <c r="H22" s="392">
        <f>IF(Rent!I22=0,0,($C22))</f>
        <v>3900</v>
      </c>
      <c r="I22" s="392">
        <f>IF(Rent!J22=0,0,($C22))</f>
        <v>3900</v>
      </c>
      <c r="J22" s="392">
        <f>IF(Rent!K22=0,0,($C22))</f>
        <v>3900</v>
      </c>
      <c r="K22" s="392">
        <f>IF(Rent!L22=0,0,($C22))</f>
        <v>3900</v>
      </c>
      <c r="L22" s="392">
        <f>IF(Rent!M22=0,0,($C22))</f>
        <v>3900</v>
      </c>
      <c r="M22" s="392">
        <f>IF(Rent!N22=0,0,($C22))</f>
        <v>3900</v>
      </c>
      <c r="N22" s="392">
        <f>IF(Rent!O22=0,0,($C22))</f>
        <v>3900</v>
      </c>
      <c r="O22" s="392">
        <f>IF(Rent!P22=0,0,($C22))</f>
        <v>3900</v>
      </c>
      <c r="P22" s="391">
        <f t="shared" si="0"/>
        <v>1</v>
      </c>
    </row>
    <row r="23" spans="1:16">
      <c r="A23" s="2" t="str">
        <f>Rent!A23</f>
        <v>Kachina Stained Glass</v>
      </c>
      <c r="B23" s="60">
        <f>Rent!B23</f>
        <v>101</v>
      </c>
      <c r="C23" s="390">
        <f>Rent!C23</f>
        <v>1287</v>
      </c>
      <c r="D23" s="392">
        <f>IF(Rent!E23=0,0,($C23))</f>
        <v>1287</v>
      </c>
      <c r="E23" s="392">
        <f>IF(Rent!F23=0,0,($C23))</f>
        <v>1287</v>
      </c>
      <c r="F23" s="392">
        <f>IF(Rent!G23=0,0,($C23))</f>
        <v>1287</v>
      </c>
      <c r="G23" s="392">
        <f>IF(Rent!H23=0,0,($C23))</f>
        <v>1287</v>
      </c>
      <c r="H23" s="392">
        <f>IF(Rent!I23=0,0,($C23))</f>
        <v>1287</v>
      </c>
      <c r="I23" s="392">
        <f>IF(Rent!J23=0,0,($C23))</f>
        <v>1287</v>
      </c>
      <c r="J23" s="392">
        <f>IF(Rent!K23=0,0,($C23))</f>
        <v>1287</v>
      </c>
      <c r="K23" s="392">
        <f>IF(Rent!L23=0,0,($C23))</f>
        <v>1287</v>
      </c>
      <c r="L23" s="392">
        <f>IF(Rent!M23=0,0,($C23))</f>
        <v>1287</v>
      </c>
      <c r="M23" s="392">
        <f>IF(Rent!N23=0,0,($C23))</f>
        <v>1287</v>
      </c>
      <c r="N23" s="392">
        <f>IF(Rent!O23=0,0,($C23))</f>
        <v>1287</v>
      </c>
      <c r="O23" s="392">
        <f>IF(Rent!P23=0,0,($C23))</f>
        <v>1287</v>
      </c>
      <c r="P23" s="391">
        <f t="shared" si="0"/>
        <v>1</v>
      </c>
    </row>
    <row r="24" spans="1:16">
      <c r="A24" s="2" t="str">
        <f>Rent!A24</f>
        <v>Zanders Creations</v>
      </c>
      <c r="B24" s="60">
        <f>Rent!B24</f>
        <v>102</v>
      </c>
      <c r="C24" s="390">
        <f>Rent!C24</f>
        <v>1639</v>
      </c>
      <c r="D24" s="392">
        <f>IF(Rent!E24=0,0,($C24))</f>
        <v>1639</v>
      </c>
      <c r="E24" s="392">
        <f>IF(Rent!F24=0,0,($C24))</f>
        <v>1639</v>
      </c>
      <c r="F24" s="392">
        <f>IF(Rent!G24=0,0,($C24))</f>
        <v>1639</v>
      </c>
      <c r="G24" s="392">
        <f>IF(Rent!H24=0,0,($C24))</f>
        <v>1639</v>
      </c>
      <c r="H24" s="392">
        <f>IF(Rent!I24=0,0,($C24))</f>
        <v>1639</v>
      </c>
      <c r="I24" s="392">
        <f>IF(Rent!J24=0,0,($C24))</f>
        <v>1639</v>
      </c>
      <c r="J24" s="392">
        <f>IF(Rent!K24=0,0,($C24))</f>
        <v>1639</v>
      </c>
      <c r="K24" s="392">
        <f>IF(Rent!L24=0,0,($C24))</f>
        <v>1639</v>
      </c>
      <c r="L24" s="392">
        <f>IF(Rent!M24=0,0,($C24))</f>
        <v>1639</v>
      </c>
      <c r="M24" s="392">
        <f>IF(Rent!N24=0,0,($C24))</f>
        <v>1639</v>
      </c>
      <c r="N24" s="392">
        <f>IF(Rent!O24=0,0,($C24))</f>
        <v>1639</v>
      </c>
      <c r="O24" s="392">
        <f>IF(Rent!P24=0,0,($C24))</f>
        <v>1639</v>
      </c>
      <c r="P24" s="391">
        <f t="shared" si="0"/>
        <v>1</v>
      </c>
    </row>
    <row r="25" spans="1:16">
      <c r="A25" s="2" t="str">
        <f>Rent!A25</f>
        <v>Brightnow Dental</v>
      </c>
      <c r="B25" s="60">
        <f>Rent!B25</f>
        <v>103</v>
      </c>
      <c r="C25" s="390">
        <f>Rent!C25</f>
        <v>3600</v>
      </c>
      <c r="D25" s="392">
        <f>IF(Rent!E25=0,0,($C25))</f>
        <v>3600</v>
      </c>
      <c r="E25" s="392">
        <f>IF(Rent!F25=0,0,($C25))</f>
        <v>3600</v>
      </c>
      <c r="F25" s="392">
        <f>IF(Rent!G25=0,0,($C25))</f>
        <v>3600</v>
      </c>
      <c r="G25" s="392">
        <f>IF(Rent!H25=0,0,($C25))</f>
        <v>3600</v>
      </c>
      <c r="H25" s="392">
        <f>IF(Rent!I25=0,0,($C25))</f>
        <v>3600</v>
      </c>
      <c r="I25" s="392">
        <f>IF(Rent!J25=0,0,($C25))</f>
        <v>3600</v>
      </c>
      <c r="J25" s="392">
        <f>IF(Rent!K25=0,0,($C25))</f>
        <v>3600</v>
      </c>
      <c r="K25" s="392">
        <f>IF(Rent!L25=0,0,($C25))</f>
        <v>3600</v>
      </c>
      <c r="L25" s="392">
        <f>IF(Rent!M25=0,0,($C25))</f>
        <v>3600</v>
      </c>
      <c r="M25" s="392">
        <f>IF(Rent!N25=0,0,($C25))</f>
        <v>3600</v>
      </c>
      <c r="N25" s="392">
        <f>IF(Rent!O25=0,0,($C25))</f>
        <v>3600</v>
      </c>
      <c r="O25" s="392">
        <f>IF(Rent!P25=0,0,($C25))</f>
        <v>3600</v>
      </c>
      <c r="P25" s="391">
        <f t="shared" si="0"/>
        <v>1</v>
      </c>
    </row>
    <row r="26" spans="1:16">
      <c r="A26" s="2" t="str">
        <f>Rent!A26</f>
        <v>Carr Animal Care</v>
      </c>
      <c r="B26" s="60">
        <f>Rent!B26</f>
        <v>106</v>
      </c>
      <c r="C26" s="390">
        <f>Rent!C26</f>
        <v>1587</v>
      </c>
      <c r="D26" s="392">
        <f>IF(Rent!E26=0,0,($C26))</f>
        <v>1587</v>
      </c>
      <c r="E26" s="392">
        <f>IF(Rent!F26=0,0,($C26))</f>
        <v>1587</v>
      </c>
      <c r="F26" s="392">
        <f>IF(Rent!G26=0,0,($C26))</f>
        <v>1587</v>
      </c>
      <c r="G26" s="392">
        <f>IF(Rent!H26=0,0,($C26))</f>
        <v>1587</v>
      </c>
      <c r="H26" s="392">
        <f>IF(Rent!I26=0,0,($C26))</f>
        <v>1587</v>
      </c>
      <c r="I26" s="392">
        <f>IF(Rent!J26=0,0,($C26))</f>
        <v>1587</v>
      </c>
      <c r="J26" s="392">
        <f>IF(Rent!K26=0,0,($C26))</f>
        <v>1587</v>
      </c>
      <c r="K26" s="392">
        <f>IF(Rent!L26=0,0,($C26))</f>
        <v>1587</v>
      </c>
      <c r="L26" s="392">
        <f>IF(Rent!M26=0,0,($C26))</f>
        <v>1587</v>
      </c>
      <c r="M26" s="392">
        <f>IF(Rent!N26=0,0,($C26))</f>
        <v>1587</v>
      </c>
      <c r="N26" s="392">
        <f>IF(Rent!O26=0,0,($C26))</f>
        <v>1587</v>
      </c>
      <c r="O26" s="392">
        <f>IF(Rent!P26=0,0,($C26))</f>
        <v>1587</v>
      </c>
      <c r="P26" s="391">
        <f t="shared" si="0"/>
        <v>1</v>
      </c>
    </row>
    <row r="27" spans="1:16">
      <c r="A27" s="2" t="str">
        <f>Rent!A27</f>
        <v>Razors Barber Shop</v>
      </c>
      <c r="B27" s="60">
        <f>Rent!B27</f>
        <v>107</v>
      </c>
      <c r="C27" s="390">
        <f>Rent!C27</f>
        <v>1300</v>
      </c>
      <c r="D27" s="392">
        <f>IF(Rent!E27=0,0,($C27))</f>
        <v>1300</v>
      </c>
      <c r="E27" s="392">
        <f>IF(Rent!F27=0,0,($C27))</f>
        <v>1300</v>
      </c>
      <c r="F27" s="392">
        <f>IF(Rent!G27=0,0,($C27))</f>
        <v>1300</v>
      </c>
      <c r="G27" s="392">
        <f>IF(Rent!H27=0,0,($C27))</f>
        <v>1300</v>
      </c>
      <c r="H27" s="392">
        <f>IF(Rent!I27=0,0,($C27))</f>
        <v>1300</v>
      </c>
      <c r="I27" s="392">
        <f>IF(Rent!J27=0,0,($C27))</f>
        <v>1300</v>
      </c>
      <c r="J27" s="392">
        <f>IF(Rent!K27=0,0,($C27))</f>
        <v>1300</v>
      </c>
      <c r="K27" s="392">
        <f>IF(Rent!L27=0,0,($C27))</f>
        <v>1300</v>
      </c>
      <c r="L27" s="392">
        <f>IF(Rent!M27=0,0,($C27))</f>
        <v>1300</v>
      </c>
      <c r="M27" s="392">
        <f>IF(Rent!N27=0,0,($C27))</f>
        <v>1300</v>
      </c>
      <c r="N27" s="392">
        <f>IF(Rent!O27=0,0,($C27))</f>
        <v>1300</v>
      </c>
      <c r="O27" s="392">
        <f>IF(Rent!P27=0,0,($C27))</f>
        <v>1300</v>
      </c>
      <c r="P27" s="391">
        <f t="shared" si="0"/>
        <v>1</v>
      </c>
    </row>
    <row r="28" spans="1:16">
      <c r="A28" s="2" t="str">
        <f>Rent!A28</f>
        <v>CrossFit New Strength</v>
      </c>
      <c r="B28" s="60">
        <f>Rent!B28</f>
        <v>108</v>
      </c>
      <c r="C28" s="390">
        <f>Rent!C28</f>
        <v>3524</v>
      </c>
      <c r="D28" s="392">
        <f>IF(Rent!E28=0,0,($C28))</f>
        <v>3524</v>
      </c>
      <c r="E28" s="392">
        <f>IF(Rent!F28=0,0,($C28))</f>
        <v>3524</v>
      </c>
      <c r="F28" s="392">
        <f>IF(Rent!G28=0,0,($C28))</f>
        <v>3524</v>
      </c>
      <c r="G28" s="392">
        <f>IF(Rent!H28=0,0,($C28))</f>
        <v>3524</v>
      </c>
      <c r="H28" s="392">
        <f>IF(Rent!I28=0,0,($C28))</f>
        <v>3524</v>
      </c>
      <c r="I28" s="392">
        <f>IF(Rent!J28=0,0,($C28))</f>
        <v>3524</v>
      </c>
      <c r="J28" s="392">
        <f>IF(Rent!K28=0,0,($C28))</f>
        <v>3524</v>
      </c>
      <c r="K28" s="392">
        <f>IF(Rent!L28=0,0,($C28))</f>
        <v>3524</v>
      </c>
      <c r="L28" s="392">
        <f>IF(Rent!M28=0,0,($C28))</f>
        <v>3524</v>
      </c>
      <c r="M28" s="392">
        <f>IF(Rent!N28=0,0,($C28))</f>
        <v>3524</v>
      </c>
      <c r="N28" s="392">
        <f>IF(Rent!O28=0,0,($C28))</f>
        <v>3524</v>
      </c>
      <c r="O28" s="392">
        <f>IF(Rent!P28=0,0,($C28))</f>
        <v>3524</v>
      </c>
      <c r="P28" s="391">
        <f t="shared" si="0"/>
        <v>1</v>
      </c>
    </row>
    <row r="29" spans="1:16">
      <c r="A29" s="2" t="str">
        <f>Rent!A29</f>
        <v>Vacant (Time Out Bar)</v>
      </c>
      <c r="B29" s="60">
        <f>Rent!B29</f>
        <v>111</v>
      </c>
      <c r="C29" s="390">
        <f>Rent!C29</f>
        <v>3007</v>
      </c>
      <c r="D29" s="392">
        <f>IF(Rent!E29=0,0,($C29))</f>
        <v>0</v>
      </c>
      <c r="E29" s="392">
        <f>IF(Rent!F29=0,0,($C29))</f>
        <v>0</v>
      </c>
      <c r="F29" s="392">
        <f>IF(Rent!G29=0,0,($C29))</f>
        <v>0</v>
      </c>
      <c r="G29" s="392">
        <f>IF(Rent!H29=0,0,($C29))</f>
        <v>0</v>
      </c>
      <c r="H29" s="392">
        <f>IF(Rent!I29=0,0,($C29))</f>
        <v>0</v>
      </c>
      <c r="I29" s="392">
        <f>IF(Rent!J29=0,0,($C29))</f>
        <v>0</v>
      </c>
      <c r="J29" s="392">
        <f>IF(Rent!K29=0,0,($C29))</f>
        <v>3007</v>
      </c>
      <c r="K29" s="392">
        <f>IF(Rent!L29=0,0,($C29))</f>
        <v>3007</v>
      </c>
      <c r="L29" s="392">
        <f>IF(Rent!M29=0,0,($C29))</f>
        <v>3007</v>
      </c>
      <c r="M29" s="392">
        <f>IF(Rent!N29=0,0,($C29))</f>
        <v>3007</v>
      </c>
      <c r="N29" s="392">
        <f>IF(Rent!O29=0,0,($C29))</f>
        <v>3007</v>
      </c>
      <c r="O29" s="392">
        <f>IF(Rent!P29=0,0,($C29))</f>
        <v>3007</v>
      </c>
      <c r="P29" s="391"/>
    </row>
    <row r="30" spans="1:16">
      <c r="A30" s="2"/>
      <c r="B30" s="60"/>
      <c r="C30" s="390"/>
      <c r="D30" s="392"/>
      <c r="E30" s="392"/>
      <c r="F30" s="392"/>
      <c r="G30" s="392"/>
      <c r="H30" s="392"/>
      <c r="I30" s="392"/>
      <c r="J30" s="392"/>
      <c r="K30" s="392"/>
      <c r="L30" s="392"/>
      <c r="M30" s="392"/>
      <c r="N30" s="392"/>
      <c r="O30" s="392"/>
      <c r="P30" s="391"/>
    </row>
    <row r="31" spans="1:16">
      <c r="A31" s="2"/>
      <c r="B31" s="60"/>
      <c r="C31" s="390"/>
      <c r="D31" s="392"/>
      <c r="E31" s="392"/>
      <c r="F31" s="392"/>
      <c r="G31" s="392"/>
      <c r="H31" s="392"/>
      <c r="I31" s="392"/>
      <c r="J31" s="392"/>
      <c r="K31" s="392"/>
      <c r="L31" s="392"/>
      <c r="M31" s="392"/>
      <c r="N31" s="392"/>
      <c r="O31" s="392"/>
      <c r="P31" s="391"/>
    </row>
    <row r="32" spans="1:16">
      <c r="A32" s="2"/>
      <c r="B32" s="60"/>
      <c r="C32" s="390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  <c r="O32" s="392"/>
      <c r="P32" s="391"/>
    </row>
    <row r="33" spans="1:17">
      <c r="A33" s="2"/>
      <c r="B33" s="60"/>
      <c r="C33" s="390"/>
      <c r="D33" s="392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1"/>
      <c r="Q33" s="2"/>
    </row>
    <row r="34" spans="1:17">
      <c r="A34" s="2"/>
      <c r="B34" s="2"/>
      <c r="C34" s="61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250"/>
      <c r="Q34" s="2"/>
    </row>
    <row r="35" spans="1:17">
      <c r="A35" s="2"/>
      <c r="B35" s="2"/>
      <c r="C35" s="61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2"/>
    </row>
    <row r="36" spans="1:17">
      <c r="A36" s="360"/>
      <c r="B36" s="364"/>
      <c r="C36" s="365"/>
      <c r="D36" s="366"/>
      <c r="E36" s="366"/>
      <c r="F36" s="366"/>
      <c r="G36" s="366"/>
      <c r="H36" s="366"/>
      <c r="I36" s="366"/>
      <c r="J36" s="366"/>
      <c r="K36" s="366"/>
      <c r="L36" s="366"/>
      <c r="M36" s="366"/>
      <c r="N36" s="366"/>
      <c r="O36" s="366"/>
      <c r="P36" s="367"/>
      <c r="Q36" s="2"/>
    </row>
    <row r="37" spans="1:17">
      <c r="A37" s="339" t="s">
        <v>169</v>
      </c>
      <c r="B37" s="368"/>
      <c r="C37" s="342">
        <f>SUM(C14:C36)</f>
        <v>67709</v>
      </c>
      <c r="D37" s="342">
        <f>SUM(D14:D36)</f>
        <v>64702</v>
      </c>
      <c r="E37" s="342">
        <f t="shared" ref="E37:O37" si="1">SUM(E14:E36)</f>
        <v>64702</v>
      </c>
      <c r="F37" s="342">
        <f t="shared" si="1"/>
        <v>64702</v>
      </c>
      <c r="G37" s="342">
        <f t="shared" si="1"/>
        <v>64702</v>
      </c>
      <c r="H37" s="342">
        <f t="shared" si="1"/>
        <v>64702</v>
      </c>
      <c r="I37" s="342">
        <f t="shared" si="1"/>
        <v>64702</v>
      </c>
      <c r="J37" s="342">
        <f t="shared" si="1"/>
        <v>67709</v>
      </c>
      <c r="K37" s="342">
        <f t="shared" si="1"/>
        <v>67709</v>
      </c>
      <c r="L37" s="342">
        <f t="shared" si="1"/>
        <v>67709</v>
      </c>
      <c r="M37" s="342">
        <f t="shared" si="1"/>
        <v>67709</v>
      </c>
      <c r="N37" s="342">
        <f t="shared" si="1"/>
        <v>67709</v>
      </c>
      <c r="O37" s="342">
        <f t="shared" si="1"/>
        <v>67709</v>
      </c>
      <c r="P37" s="393"/>
      <c r="Q37" s="2"/>
    </row>
    <row r="38" spans="1:17">
      <c r="A38" s="370"/>
      <c r="B38" s="371"/>
      <c r="C38" s="371"/>
      <c r="D38" s="394">
        <f>D37/$C$37</f>
        <v>0.95558936035091346</v>
      </c>
      <c r="E38" s="394">
        <f t="shared" ref="E38:N38" si="2">E37/$C$37</f>
        <v>0.95558936035091346</v>
      </c>
      <c r="F38" s="394">
        <f t="shared" si="2"/>
        <v>0.95558936035091346</v>
      </c>
      <c r="G38" s="394">
        <f t="shared" si="2"/>
        <v>0.95558936035091346</v>
      </c>
      <c r="H38" s="394">
        <f t="shared" si="2"/>
        <v>0.95558936035091346</v>
      </c>
      <c r="I38" s="394">
        <f t="shared" si="2"/>
        <v>0.95558936035091346</v>
      </c>
      <c r="J38" s="394">
        <f t="shared" si="2"/>
        <v>1</v>
      </c>
      <c r="K38" s="394">
        <f t="shared" si="2"/>
        <v>1</v>
      </c>
      <c r="L38" s="394">
        <f t="shared" si="2"/>
        <v>1</v>
      </c>
      <c r="M38" s="394">
        <f t="shared" si="2"/>
        <v>1</v>
      </c>
      <c r="N38" s="394">
        <f t="shared" si="2"/>
        <v>1</v>
      </c>
      <c r="O38" s="394">
        <f>O37/$C$37</f>
        <v>1</v>
      </c>
      <c r="P38" s="395"/>
      <c r="Q38" s="2"/>
    </row>
    <row r="39" spans="1:17">
      <c r="A39" s="2"/>
      <c r="B39" s="2"/>
      <c r="C39" s="116"/>
      <c r="D39" s="326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</row>
    <row r="40" spans="1:17">
      <c r="A40" s="2"/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2"/>
    </row>
    <row r="41" spans="1:17">
      <c r="A41" s="2"/>
      <c r="B41" s="60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2"/>
    </row>
    <row r="42" spans="1:17">
      <c r="A42" s="2"/>
      <c r="B42" s="60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2"/>
    </row>
    <row r="43" spans="1:17">
      <c r="A43" s="2"/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2"/>
    </row>
    <row r="44" spans="1:17">
      <c r="A44" s="2"/>
      <c r="B44" s="60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2"/>
    </row>
    <row r="45" spans="1:17">
      <c r="A45" s="2"/>
      <c r="B45" s="2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2"/>
      <c r="Q45" s="2"/>
    </row>
    <row r="46" spans="1:17">
      <c r="A46" s="2"/>
      <c r="B46" s="2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2"/>
      <c r="Q46" s="2"/>
    </row>
    <row r="47" spans="1:17">
      <c r="A47" s="2"/>
      <c r="B47" s="2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2"/>
      <c r="Q47" s="2"/>
    </row>
    <row r="48" spans="1:17">
      <c r="A48" s="2"/>
      <c r="B48" s="2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2"/>
      <c r="Q48" s="2"/>
    </row>
    <row r="49" spans="3:16"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2"/>
    </row>
    <row r="50" spans="3:16"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2"/>
    </row>
    <row r="51" spans="3:16"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2"/>
    </row>
    <row r="52" spans="3:16"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2"/>
    </row>
    <row r="53" spans="3:16"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2"/>
    </row>
    <row r="54" spans="3:16"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2"/>
    </row>
    <row r="55" spans="3:16"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2"/>
    </row>
    <row r="56" spans="3:16"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2"/>
    </row>
    <row r="57" spans="3:16"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2"/>
    </row>
    <row r="58" spans="3:16"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2"/>
    </row>
    <row r="59" spans="3:16"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2"/>
    </row>
    <row r="60" spans="3:16"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2"/>
    </row>
    <row r="61" spans="3:16"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2"/>
    </row>
    <row r="62" spans="3:16"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2"/>
    </row>
    <row r="63" spans="3:16"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2"/>
    </row>
    <row r="64" spans="3:16"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</row>
  </sheetData>
  <customSheetViews>
    <customSheetView guid="{7691FA39-7EA9-407C-9567-49BEFD6339F8}" scale="75" showPageBreaks="1" printArea="1" showRuler="0">
      <selection activeCell="A32" sqref="A32"/>
      <rowBreaks count="1" manualBreakCount="1">
        <brk id="55" max="15" man="1"/>
      </rowBreaks>
      <pageMargins left="0" right="0" top="0" bottom="0" header="0" footer="0"/>
      <printOptions horizontalCentered="1"/>
      <pageSetup scale="65" firstPageNumber="13" orientation="landscape" useFirstPageNumber="1" horizontalDpi="4294967292" r:id="rId1"/>
      <headerFooter alignWithMargins="0">
        <oddFooter>Page &amp;P</oddFooter>
      </headerFooter>
    </customSheetView>
  </customSheetViews>
  <mergeCells count="5">
    <mergeCell ref="A6:P6"/>
    <mergeCell ref="A2:P2"/>
    <mergeCell ref="A3:P3"/>
    <mergeCell ref="A4:P4"/>
    <mergeCell ref="A5:P5"/>
  </mergeCells>
  <phoneticPr fontId="2" type="noConversion"/>
  <printOptions horizontalCentered="1"/>
  <pageMargins left="0.5" right="0.5" top="0.75" bottom="0.75" header="0.5" footer="0.5"/>
  <pageSetup paperSize="5" scale="79" firstPageNumber="9" orientation="landscape" useFirstPageNumber="1" r:id="rId2"/>
  <headerFooter alignWithMargins="0">
    <oddFooter>Page &amp;P</oddFooter>
  </headerFooter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rgb="FF00B0F0"/>
    <pageSetUpPr fitToPage="1"/>
  </sheetPr>
  <dimension ref="A1:BS98"/>
  <sheetViews>
    <sheetView topLeftCell="B6" zoomScaleNormal="100" zoomScaleSheetLayoutView="140" workbookViewId="0">
      <selection activeCell="X24" sqref="X24"/>
    </sheetView>
  </sheetViews>
  <sheetFormatPr defaultColWidth="11.42578125" defaultRowHeight="15.4"/>
  <cols>
    <col min="1" max="1" width="9.42578125" style="2" hidden="1" customWidth="1"/>
    <col min="2" max="2" width="37.42578125" style="2" customWidth="1"/>
    <col min="3" max="3" width="10.42578125" style="2" customWidth="1"/>
    <col min="4" max="4" width="10.42578125" style="2" bestFit="1" customWidth="1"/>
    <col min="5" max="5" width="11.42578125" style="2" customWidth="1"/>
    <col min="6" max="7" width="12" style="2" customWidth="1"/>
    <col min="8" max="8" width="11.42578125" style="2" customWidth="1"/>
    <col min="9" max="9" width="15.42578125" style="2" customWidth="1"/>
    <col min="10" max="12" width="10.42578125" style="2" customWidth="1"/>
    <col min="13" max="14" width="11.42578125" style="2" customWidth="1"/>
    <col min="15" max="15" width="14.42578125" style="2" hidden="1" customWidth="1"/>
    <col min="16" max="16" width="11.42578125" style="2" hidden="1" customWidth="1"/>
    <col min="17" max="17" width="12.42578125" style="2" hidden="1" customWidth="1"/>
    <col min="18" max="18" width="12.42578125" style="167" customWidth="1"/>
    <col min="19" max="19" width="12.42578125" style="2" customWidth="1"/>
    <col min="20" max="21" width="11.42578125" style="60" hidden="1" customWidth="1"/>
    <col min="22" max="22" width="13.42578125" style="2" hidden="1" customWidth="1"/>
    <col min="23" max="23" width="11.42578125" style="2" customWidth="1"/>
    <col min="24" max="24" width="7.42578125" style="2" customWidth="1"/>
    <col min="25" max="36" width="8.42578125" style="2" customWidth="1"/>
    <col min="37" max="37" width="10.42578125" style="2" customWidth="1"/>
    <col min="38" max="38" width="20.42578125" style="2" customWidth="1"/>
    <col min="39" max="39" width="8" style="2" customWidth="1"/>
    <col min="40" max="40" width="12.42578125" style="2" customWidth="1"/>
    <col min="41" max="41" width="11.42578125" style="2" customWidth="1"/>
    <col min="42" max="54" width="8.42578125" style="2" customWidth="1"/>
    <col min="55" max="55" width="26.42578125" style="2" customWidth="1"/>
    <col min="56" max="56" width="8.42578125" style="2" customWidth="1"/>
    <col min="57" max="57" width="12.42578125" style="2" customWidth="1"/>
    <col min="58" max="58" width="7.42578125" style="2" customWidth="1"/>
    <col min="59" max="71" width="8.42578125" style="2" customWidth="1"/>
    <col min="72" max="72" width="21.42578125" style="2" customWidth="1"/>
    <col min="73" max="73" width="8.42578125" style="2" customWidth="1"/>
    <col min="74" max="74" width="10.42578125" style="2" customWidth="1"/>
    <col min="75" max="87" width="8.42578125" style="2" customWidth="1"/>
    <col min="88" max="16384" width="11.42578125" style="2"/>
  </cols>
  <sheetData>
    <row r="1" spans="1:23" ht="13.15" customHeight="1">
      <c r="N1" s="40"/>
      <c r="P1" s="40">
        <f ca="1">NOW()</f>
        <v>46269.411714120368</v>
      </c>
      <c r="Q1" s="40"/>
      <c r="R1" s="40"/>
      <c r="S1" s="40" t="str">
        <f>Summary!T4</f>
        <v>Date Revised:</v>
      </c>
      <c r="T1" s="40">
        <f ca="1">Summary!U4</f>
        <v>46269</v>
      </c>
    </row>
    <row r="2" spans="1:23" ht="13.15" customHeight="1">
      <c r="A2" s="614" t="str">
        <f>Summary!A2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88"/>
      <c r="R2" s="88"/>
      <c r="S2" s="88"/>
    </row>
    <row r="3" spans="1:23" ht="13.15" customHeight="1">
      <c r="A3" s="614" t="str">
        <f>Summary!A3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88"/>
      <c r="R3" s="88"/>
      <c r="S3" s="88"/>
    </row>
    <row r="4" spans="1:23" ht="13.15" customHeight="1">
      <c r="A4" s="614" t="str">
        <f>Summary!A4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88"/>
      <c r="R4" s="88"/>
      <c r="S4" s="88"/>
    </row>
    <row r="5" spans="1:23" ht="13.15" customHeight="1">
      <c r="A5" s="614" t="str">
        <f>Summary!A5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88"/>
      <c r="R5" s="88"/>
      <c r="S5" s="88"/>
    </row>
    <row r="6" spans="1:23" ht="13.15" customHeight="1">
      <c r="A6" s="614" t="str">
        <f>Summary!A6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88"/>
      <c r="R6" s="88"/>
      <c r="S6" s="88"/>
    </row>
    <row r="7" spans="1:23">
      <c r="R7" s="2"/>
      <c r="T7" s="119"/>
      <c r="U7" s="119"/>
    </row>
    <row r="8" spans="1:23" ht="61.35">
      <c r="B8" s="120" t="s">
        <v>15</v>
      </c>
      <c r="C8" s="120" t="s">
        <v>395</v>
      </c>
      <c r="D8" s="121" t="s">
        <v>396</v>
      </c>
      <c r="E8" s="121" t="s">
        <v>397</v>
      </c>
      <c r="F8" s="121" t="s">
        <v>142</v>
      </c>
      <c r="G8" s="80" t="s">
        <v>398</v>
      </c>
      <c r="H8" s="121" t="s">
        <v>399</v>
      </c>
      <c r="I8" s="121" t="s">
        <v>400</v>
      </c>
      <c r="J8" s="121" t="s">
        <v>401</v>
      </c>
      <c r="K8" s="122" t="s">
        <v>402</v>
      </c>
      <c r="L8" s="122" t="s">
        <v>403</v>
      </c>
      <c r="M8" s="122" t="s">
        <v>354</v>
      </c>
      <c r="N8" s="123" t="s">
        <v>404</v>
      </c>
      <c r="O8" s="124" t="s">
        <v>405</v>
      </c>
      <c r="P8" s="121" t="s">
        <v>157</v>
      </c>
      <c r="R8" s="125" t="s">
        <v>406</v>
      </c>
      <c r="S8" s="125" t="s">
        <v>157</v>
      </c>
      <c r="T8" s="126">
        <v>2025</v>
      </c>
      <c r="U8" s="119"/>
    </row>
    <row r="9" spans="1:23">
      <c r="B9" s="127"/>
      <c r="C9" s="128"/>
      <c r="D9" s="128"/>
      <c r="E9" s="129"/>
      <c r="F9" s="129"/>
      <c r="G9" s="129"/>
      <c r="H9" s="129"/>
      <c r="I9" s="129"/>
      <c r="J9" s="129"/>
      <c r="K9" s="130"/>
      <c r="L9" s="130"/>
      <c r="M9" s="130"/>
      <c r="N9" s="131"/>
      <c r="O9" s="132"/>
      <c r="P9" s="128"/>
      <c r="R9" s="133"/>
      <c r="S9" s="133"/>
      <c r="T9" s="134"/>
      <c r="U9" s="119"/>
    </row>
    <row r="10" spans="1:23" ht="15" customHeight="1">
      <c r="B10" s="127" t="str">
        <f>Rent!A14</f>
        <v>EOS Fitness</v>
      </c>
      <c r="C10" s="135"/>
      <c r="D10" s="136">
        <f>Rent!C14</f>
        <v>35000</v>
      </c>
      <c r="E10" s="137">
        <f>Rent!E14</f>
        <v>52938</v>
      </c>
      <c r="F10" s="137">
        <f>('CAM Majors'!N76-'CAM Majors'!N63-'CAM Majors'!N58)/12</f>
        <v>4021.8169162499994</v>
      </c>
      <c r="G10" s="137"/>
      <c r="H10" s="137"/>
      <c r="I10" s="137">
        <f>'CAM Majors'!N63/12</f>
        <v>6224.2422831529047</v>
      </c>
      <c r="J10" s="137">
        <f>'CAM Majors'!L58/12</f>
        <v>1376.7464443427018</v>
      </c>
      <c r="K10" s="138">
        <f>Signage!E14</f>
        <v>0</v>
      </c>
      <c r="L10" s="138">
        <f>'Sales Tax'!E15</f>
        <v>1614.0201410936402</v>
      </c>
      <c r="M10" s="138">
        <f>SUM(E10:L10)</f>
        <v>66174.825784839239</v>
      </c>
      <c r="N10" s="139">
        <f>SUM(F10:K10)</f>
        <v>11622.805643745605</v>
      </c>
      <c r="O10" s="140">
        <v>0</v>
      </c>
      <c r="P10" s="141">
        <f>+N10-O10</f>
        <v>11622.805643745605</v>
      </c>
      <c r="R10" s="188">
        <f>550.44+3669.63+797.86+7141.66</f>
        <v>12159.59</v>
      </c>
      <c r="S10" s="142">
        <f t="shared" ref="S10:S26" si="0">N10-R10</f>
        <v>-536.78435625439488</v>
      </c>
      <c r="T10" s="143">
        <f t="shared" ref="T10:T24" si="1">N10/D10</f>
        <v>0.33208016124987444</v>
      </c>
      <c r="U10" s="187">
        <f>S10/R10</f>
        <v>-4.4144938789415999E-2</v>
      </c>
      <c r="V10" s="142">
        <v>12159.59</v>
      </c>
      <c r="W10" s="75" t="s">
        <v>407</v>
      </c>
    </row>
    <row r="11" spans="1:23" s="51" customFormat="1" ht="15" customHeight="1">
      <c r="B11" s="127" t="str">
        <f>Rent!A15</f>
        <v>Third Pasrty MVS</v>
      </c>
      <c r="C11" s="135"/>
      <c r="D11" s="136">
        <f>Rent!C15</f>
        <v>3000</v>
      </c>
      <c r="E11" s="137">
        <f>Rent!E15</f>
        <v>6190.3</v>
      </c>
      <c r="F11" s="137">
        <f>'CAM Shops'!G38/12</f>
        <v>583.52591605251894</v>
      </c>
      <c r="G11" s="137">
        <f>'CAM Shops'!G50/12</f>
        <v>491.64603014460857</v>
      </c>
      <c r="H11" s="137">
        <f>'CAM Shops'!H65/12</f>
        <v>107.51719461971273</v>
      </c>
      <c r="I11" s="137">
        <f>'CAM Shops'!G63/12</f>
        <v>533.50648141310614</v>
      </c>
      <c r="J11" s="137">
        <f>'CAM Shops'!G58/12</f>
        <v>118.00683808651731</v>
      </c>
      <c r="K11" s="138">
        <f>Signage!E15</f>
        <v>0</v>
      </c>
      <c r="L11" s="138">
        <f>'Sales Tax'!E20</f>
        <v>200.61256150791161</v>
      </c>
      <c r="M11" s="138">
        <f t="shared" ref="M11:M26" si="2">SUM(E11:L11)</f>
        <v>8225.1150218243765</v>
      </c>
      <c r="N11" s="139">
        <f t="shared" ref="N11:N25" si="3">SUM(F11:K11)</f>
        <v>1834.2024603164637</v>
      </c>
      <c r="O11" s="145">
        <v>1170.49</v>
      </c>
      <c r="P11" s="146">
        <f t="shared" ref="P11:P24" si="4">+N11-O11</f>
        <v>663.71246031646365</v>
      </c>
      <c r="R11" s="188">
        <f>268.03+478.87+68.39+612.14</f>
        <v>1427.4299999999998</v>
      </c>
      <c r="S11" s="142">
        <f t="shared" si="0"/>
        <v>406.77246031646382</v>
      </c>
      <c r="T11" s="143">
        <f t="shared" si="1"/>
        <v>0.61140082010548791</v>
      </c>
      <c r="U11" s="189">
        <f>S11/R11</f>
        <v>0.2849684119826989</v>
      </c>
      <c r="V11" s="142">
        <v>1427.43</v>
      </c>
      <c r="W11" s="147"/>
    </row>
    <row r="12" spans="1:23" s="51" customFormat="1" ht="15" customHeight="1">
      <c r="B12" s="127" t="str">
        <f>Rent!A16</f>
        <v xml:space="preserve">Sally Beauty Supply </v>
      </c>
      <c r="C12" s="135"/>
      <c r="D12" s="136">
        <f>Rent!C16</f>
        <v>1625</v>
      </c>
      <c r="E12" s="137">
        <f>Rent!E16</f>
        <v>2539.06</v>
      </c>
      <c r="F12" s="137">
        <f>('CAM Shops'!S76-'CAM Shops'!S63-'CAM Shops'!S58)/12</f>
        <v>338.83978105488274</v>
      </c>
      <c r="G12" s="137"/>
      <c r="H12" s="137"/>
      <c r="I12" s="137">
        <f>'CAM Shops'!Q63/12</f>
        <v>288.98267743209914</v>
      </c>
      <c r="J12" s="137">
        <f>'CAM Shops'!Q58/12</f>
        <v>63.920370630196878</v>
      </c>
      <c r="K12" s="138">
        <f>Signage!E16</f>
        <v>0</v>
      </c>
      <c r="L12" s="138">
        <f>'Sales Tax'!E25</f>
        <v>80.770070727929465</v>
      </c>
      <c r="M12" s="138">
        <f t="shared" si="2"/>
        <v>3311.5728998451082</v>
      </c>
      <c r="N12" s="139">
        <f t="shared" si="3"/>
        <v>691.74282911717876</v>
      </c>
      <c r="O12" s="145"/>
      <c r="P12" s="146"/>
      <c r="R12" s="188">
        <f>122.62+259.39+37.04+331.58</f>
        <v>750.63</v>
      </c>
      <c r="S12" s="142">
        <f t="shared" si="0"/>
        <v>-58.887170882821238</v>
      </c>
      <c r="T12" s="143">
        <f t="shared" si="1"/>
        <v>0.42568789484134079</v>
      </c>
      <c r="U12" s="187">
        <f t="shared" ref="U12:U25" si="5">S12/R12</f>
        <v>-7.8450329566925436E-2</v>
      </c>
      <c r="V12" s="142">
        <v>750.63</v>
      </c>
      <c r="W12" s="199" t="s">
        <v>407</v>
      </c>
    </row>
    <row r="13" spans="1:23" ht="15" customHeight="1">
      <c r="B13" s="127" t="str">
        <f>Rent!A17</f>
        <v>Wild Side Smoke Shop</v>
      </c>
      <c r="C13" s="135"/>
      <c r="D13" s="136">
        <f>Rent!C17</f>
        <v>1400</v>
      </c>
      <c r="E13" s="137">
        <f>Rent!E17</f>
        <v>2475.4299999999998</v>
      </c>
      <c r="F13" s="137">
        <f>'CAM Shops'!Z38/12</f>
        <v>272.31209415784218</v>
      </c>
      <c r="G13" s="137">
        <f>'CAM Shops'!Z50/12</f>
        <v>229.43481406748393</v>
      </c>
      <c r="H13" s="137">
        <f>'CAM Shops'!AA65/12</f>
        <v>0</v>
      </c>
      <c r="I13" s="137">
        <f>'CAM Shops'!Z63/12</f>
        <v>248.96969132611619</v>
      </c>
      <c r="J13" s="137">
        <f>'CAM Shops'!Z58/12</f>
        <v>55.069857773708073</v>
      </c>
      <c r="K13" s="138">
        <f>Signage!E17</f>
        <v>0</v>
      </c>
      <c r="L13" s="138">
        <f>'Sales Tax'!E30</f>
        <v>82.030411433128762</v>
      </c>
      <c r="M13" s="138">
        <f t="shared" si="2"/>
        <v>3363.2468687582791</v>
      </c>
      <c r="N13" s="139">
        <f t="shared" si="3"/>
        <v>805.78645732515042</v>
      </c>
      <c r="O13" s="140">
        <v>0</v>
      </c>
      <c r="P13" s="141">
        <f t="shared" si="4"/>
        <v>805.78645732515042</v>
      </c>
      <c r="R13" s="188">
        <f>223.47+31.91+285.67</f>
        <v>541.04999999999995</v>
      </c>
      <c r="S13" s="142">
        <f t="shared" si="0"/>
        <v>264.73645732515047</v>
      </c>
      <c r="T13" s="143">
        <f t="shared" si="1"/>
        <v>0.57556175523225028</v>
      </c>
      <c r="U13" s="187">
        <f t="shared" si="5"/>
        <v>0.48930127959550962</v>
      </c>
      <c r="V13" s="142">
        <v>541.04999999999995</v>
      </c>
      <c r="W13" s="148"/>
    </row>
    <row r="14" spans="1:23" s="51" customFormat="1" ht="15" customHeight="1">
      <c r="B14" s="127" t="str">
        <f>Rent!A18</f>
        <v>Green Spa, LLC</v>
      </c>
      <c r="C14" s="135"/>
      <c r="D14" s="136">
        <f>Rent!C18</f>
        <v>1112</v>
      </c>
      <c r="E14" s="137">
        <f>Rent!E18</f>
        <v>2106.41</v>
      </c>
      <c r="F14" s="137">
        <f>'CAM Shops'!AI38/12</f>
        <v>216.2936062168003</v>
      </c>
      <c r="G14" s="137">
        <f>'CAM Shops'!AI50/12</f>
        <v>182.23679517360156</v>
      </c>
      <c r="H14" s="137">
        <f>'CAM Shops'!AJ65/12</f>
        <v>0</v>
      </c>
      <c r="I14" s="137">
        <f>'CAM Shops'!AI63/12</f>
        <v>197.753069110458</v>
      </c>
      <c r="J14" s="137">
        <f>'CAM Shops'!AI58/12</f>
        <v>43.741201317402414</v>
      </c>
      <c r="K14" s="138">
        <f>Signage!E18</f>
        <v>0</v>
      </c>
      <c r="L14" s="138">
        <f>'Sales Tax'!E35</f>
        <v>68.660866795456556</v>
      </c>
      <c r="M14" s="138">
        <f t="shared" si="2"/>
        <v>2815.0955386137184</v>
      </c>
      <c r="N14" s="139">
        <f t="shared" si="3"/>
        <v>640.02467181826228</v>
      </c>
      <c r="O14" s="145">
        <v>631.61</v>
      </c>
      <c r="P14" s="146">
        <f t="shared" si="4"/>
        <v>8.4146718182622635</v>
      </c>
      <c r="R14" s="188">
        <f>96.2+177.5+25.35+226.9</f>
        <v>525.95000000000005</v>
      </c>
      <c r="S14" s="142">
        <f t="shared" si="0"/>
        <v>114.07467181826223</v>
      </c>
      <c r="T14" s="143">
        <f t="shared" si="1"/>
        <v>0.57556175523225028</v>
      </c>
      <c r="U14" s="187">
        <f t="shared" si="5"/>
        <v>0.21689261682339048</v>
      </c>
      <c r="V14" s="142">
        <v>525.95000000000005</v>
      </c>
      <c r="W14" s="147"/>
    </row>
    <row r="15" spans="1:23" ht="15" customHeight="1">
      <c r="B15" s="127" t="str">
        <f>Rent!A19</f>
        <v>AT&amp;T Mobility</v>
      </c>
      <c r="C15" s="135"/>
      <c r="D15" s="136">
        <f>Rent!C19</f>
        <v>2494</v>
      </c>
      <c r="E15" s="137">
        <f>Rent!E19</f>
        <v>5375.4</v>
      </c>
      <c r="F15" s="137">
        <f>('CAM Shops'!AT76-'CAM Shops'!AT63-'CAM Shops'!AT58)/12</f>
        <v>450.2633236668633</v>
      </c>
      <c r="G15" s="137"/>
      <c r="H15" s="137"/>
      <c r="I15" s="137">
        <f>'CAM Shops'!AR63/12</f>
        <v>443.52172154809551</v>
      </c>
      <c r="J15" s="137">
        <f>'CAM Shops'!AR58/12</f>
        <v>98.103018062591374</v>
      </c>
      <c r="K15" s="138">
        <f>Signage!E19</f>
        <v>500</v>
      </c>
      <c r="L15" s="138">
        <f>'Sales Tax'!E40</f>
        <v>171.68220158193876</v>
      </c>
      <c r="M15" s="138">
        <f t="shared" si="2"/>
        <v>7038.9702648594885</v>
      </c>
      <c r="N15" s="139">
        <f>SUM(F15:K15)</f>
        <v>1491.8880632775501</v>
      </c>
      <c r="O15" s="140">
        <v>0</v>
      </c>
      <c r="P15" s="141">
        <f t="shared" si="4"/>
        <v>1491.8880632775501</v>
      </c>
      <c r="R15" s="188">
        <f>187.9+398.1+56.85+508.89+500</f>
        <v>1651.74</v>
      </c>
      <c r="S15" s="142">
        <f t="shared" si="0"/>
        <v>-159.85193672244986</v>
      </c>
      <c r="T15" s="143">
        <f t="shared" si="1"/>
        <v>0.59819088343125504</v>
      </c>
      <c r="U15" s="187">
        <f t="shared" si="5"/>
        <v>-9.6777904950203941E-2</v>
      </c>
      <c r="V15" s="142">
        <v>1151.74</v>
      </c>
      <c r="W15" s="199" t="s">
        <v>407</v>
      </c>
    </row>
    <row r="16" spans="1:23" s="51" customFormat="1" ht="15" customHeight="1">
      <c r="B16" s="127" t="str">
        <f>Rent!A20</f>
        <v>Discount Nutrition</v>
      </c>
      <c r="C16" s="135"/>
      <c r="D16" s="136">
        <f>Rent!C20</f>
        <v>1500</v>
      </c>
      <c r="E16" s="137">
        <f>Rent!E20</f>
        <v>2435.4699999999998</v>
      </c>
      <c r="F16" s="137">
        <f>'CAM Shops'!BA38/12</f>
        <v>291.76295802625947</v>
      </c>
      <c r="G16" s="137">
        <f>'CAM Shops'!BA50/12</f>
        <v>245.82301507230429</v>
      </c>
      <c r="H16" s="137">
        <f>'CAM Shops'!BB65/12</f>
        <v>0</v>
      </c>
      <c r="I16" s="137">
        <f>'CAM Shops'!BA63/12</f>
        <v>266.75324070655307</v>
      </c>
      <c r="J16" s="137">
        <f>'CAM Shops'!BA58/12</f>
        <v>59.003419043258653</v>
      </c>
      <c r="K16" s="138">
        <f>Signage!E20</f>
        <v>0</v>
      </c>
      <c r="L16" s="138">
        <f>'Sales Tax'!E45</f>
        <v>82.470315821209383</v>
      </c>
      <c r="M16" s="138">
        <f t="shared" si="2"/>
        <v>3381.282948669585</v>
      </c>
      <c r="N16" s="139">
        <f t="shared" si="3"/>
        <v>863.34263284837539</v>
      </c>
      <c r="O16" s="145">
        <v>0</v>
      </c>
      <c r="P16" s="146">
        <f t="shared" si="4"/>
        <v>863.34263284837539</v>
      </c>
      <c r="R16" s="188">
        <f>114.54+239.43+34.19+306.07</f>
        <v>694.23</v>
      </c>
      <c r="S16" s="142">
        <f t="shared" si="0"/>
        <v>169.11263284837537</v>
      </c>
      <c r="T16" s="143">
        <f t="shared" si="1"/>
        <v>0.57556175523225028</v>
      </c>
      <c r="U16" s="187">
        <f t="shared" si="5"/>
        <v>0.24359741418316028</v>
      </c>
      <c r="V16" s="142">
        <v>694.23</v>
      </c>
      <c r="W16" s="147"/>
    </row>
    <row r="17" spans="2:67" s="51" customFormat="1" ht="15" customHeight="1">
      <c r="B17" s="127" t="str">
        <f>Rent!A21</f>
        <v>Adapt Chiropractic</v>
      </c>
      <c r="C17" s="135"/>
      <c r="D17" s="136">
        <f>Rent!C21</f>
        <v>1734</v>
      </c>
      <c r="E17" s="137">
        <f>Rent!E21</f>
        <v>3699.2</v>
      </c>
      <c r="F17" s="137">
        <f>('CAM Shops'!BL76-'CAM Shops'!BL63-'CAM Shops'!BL58)/12</f>
        <v>105.51137267613569</v>
      </c>
      <c r="G17" s="137"/>
      <c r="H17" s="137"/>
      <c r="I17" s="137">
        <f>'CAM Shops'!BJ63/12</f>
        <v>308.36674625677534</v>
      </c>
      <c r="J17" s="137">
        <f>'CAM Shops'!BJ58/12</f>
        <v>68.207952414007011</v>
      </c>
      <c r="K17" s="138">
        <f>Signage!E21</f>
        <v>0</v>
      </c>
      <c r="L17" s="138">
        <f>'Sales Tax'!E50</f>
        <v>104.53215178367296</v>
      </c>
      <c r="M17" s="138">
        <f t="shared" si="2"/>
        <v>4285.8182231305909</v>
      </c>
      <c r="N17" s="139">
        <f t="shared" si="3"/>
        <v>482.08607134691806</v>
      </c>
      <c r="O17" s="145">
        <v>634.01</v>
      </c>
      <c r="P17" s="146">
        <f t="shared" si="4"/>
        <v>-151.92392865308193</v>
      </c>
      <c r="R17" s="188">
        <f>227.36+276.79+39.53+353.82</f>
        <v>897.5</v>
      </c>
      <c r="S17" s="142">
        <f t="shared" si="0"/>
        <v>-415.41392865308194</v>
      </c>
      <c r="T17" s="143">
        <f t="shared" si="1"/>
        <v>0.27801964898899545</v>
      </c>
      <c r="U17" s="187">
        <f t="shared" si="5"/>
        <v>-0.46285674501736151</v>
      </c>
      <c r="V17" s="142">
        <v>897.5</v>
      </c>
      <c r="W17" s="199" t="s">
        <v>407</v>
      </c>
      <c r="BO17" s="149"/>
    </row>
    <row r="18" spans="2:67" s="51" customFormat="1" ht="15" customHeight="1">
      <c r="B18" s="127" t="str">
        <f>Rent!A22</f>
        <v>Speakeasy Suites</v>
      </c>
      <c r="C18" s="135"/>
      <c r="D18" s="136">
        <f>Rent!C22</f>
        <v>3900</v>
      </c>
      <c r="E18" s="137">
        <f>Rent!E22</f>
        <v>5852.65</v>
      </c>
      <c r="F18" s="137">
        <f>'CAM Shops'!BS38/12</f>
        <v>758.58369086827452</v>
      </c>
      <c r="G18" s="137">
        <f>'CAM Shops'!BS50/12</f>
        <v>639.13983918799113</v>
      </c>
      <c r="H18" s="137">
        <f>'CAM Shops'!BT65/12</f>
        <v>0</v>
      </c>
      <c r="I18" s="137">
        <f>'CAM Shops'!BS63/12</f>
        <v>693.55842583703804</v>
      </c>
      <c r="J18" s="137">
        <f>'CAM Shops'!BS58/12</f>
        <v>153.40888951247248</v>
      </c>
      <c r="K18" s="138">
        <f>Signage!E22</f>
        <v>0</v>
      </c>
      <c r="L18" s="138">
        <f>'Sales Tax'!E55</f>
        <v>202.43352113514439</v>
      </c>
      <c r="M18" s="138">
        <f t="shared" si="2"/>
        <v>8299.7743665409198</v>
      </c>
      <c r="N18" s="139">
        <f t="shared" si="3"/>
        <v>2244.6908454057761</v>
      </c>
      <c r="O18" s="145">
        <v>659.12</v>
      </c>
      <c r="P18" s="146">
        <f t="shared" si="4"/>
        <v>1585.5708454057763</v>
      </c>
      <c r="R18" s="188">
        <f>269.85+622.53+88.9+795.78</f>
        <v>1777.06</v>
      </c>
      <c r="S18" s="142">
        <f t="shared" si="0"/>
        <v>467.6308454057762</v>
      </c>
      <c r="T18" s="143">
        <f t="shared" si="1"/>
        <v>0.57556175523225028</v>
      </c>
      <c r="U18" s="187">
        <f t="shared" si="5"/>
        <v>0.26314859678670177</v>
      </c>
      <c r="V18" s="142">
        <v>1777.06</v>
      </c>
      <c r="W18" s="147"/>
      <c r="Z18" s="524"/>
      <c r="BO18" s="149"/>
    </row>
    <row r="19" spans="2:67" s="51" customFormat="1" ht="15" customHeight="1">
      <c r="B19" s="127" t="str">
        <f>Rent!A23</f>
        <v>Kachina Stained Glass</v>
      </c>
      <c r="C19" s="135"/>
      <c r="D19" s="136">
        <f>Rent!C23</f>
        <v>1287</v>
      </c>
      <c r="E19" s="137">
        <f>Rent!E23</f>
        <v>2399.0300000000002</v>
      </c>
      <c r="F19" s="137">
        <f>'CAM Shops'!CB38/12</f>
        <v>250.33261798653061</v>
      </c>
      <c r="G19" s="137">
        <f>'CAM Shops'!CB50/12</f>
        <v>210.91614693203701</v>
      </c>
      <c r="H19" s="137">
        <f>'CAM Shops'!CC65/12</f>
        <v>8.3333333333333329E-2</v>
      </c>
      <c r="I19" s="137">
        <f>'CAM Shops'!CB63/12</f>
        <v>228.87428052622252</v>
      </c>
      <c r="J19" s="137">
        <f>'CAM Shops'!CB58/12</f>
        <v>50.624933539115915</v>
      </c>
      <c r="K19" s="138">
        <f>Signage!E23</f>
        <v>70.83</v>
      </c>
      <c r="L19" s="138">
        <f>'Sales Tax'!E60</f>
        <v>80.267282807930997</v>
      </c>
      <c r="M19" s="138">
        <f t="shared" si="2"/>
        <v>3290.9585951251711</v>
      </c>
      <c r="N19" s="139">
        <f t="shared" si="3"/>
        <v>811.66131231723944</v>
      </c>
      <c r="O19" s="145"/>
      <c r="P19" s="146"/>
      <c r="R19" s="188">
        <f>108.29+205.43+29.34+70.83+262.61</f>
        <v>676.5</v>
      </c>
      <c r="S19" s="142">
        <f t="shared" si="0"/>
        <v>135.16131231723944</v>
      </c>
      <c r="T19" s="143">
        <f t="shared" si="1"/>
        <v>0.6306614703319654</v>
      </c>
      <c r="U19" s="187">
        <f t="shared" si="5"/>
        <v>0.19979499233886094</v>
      </c>
      <c r="V19" s="188"/>
      <c r="W19" s="147"/>
      <c r="BO19" s="149"/>
    </row>
    <row r="20" spans="2:67" s="51" customFormat="1" ht="15" customHeight="1">
      <c r="B20" s="127" t="str">
        <f>Rent!A24</f>
        <v>Zanders Creations</v>
      </c>
      <c r="C20" s="135"/>
      <c r="D20" s="136">
        <f>Rent!C24</f>
        <v>1639</v>
      </c>
      <c r="E20" s="137">
        <f>Rent!E24</f>
        <v>2767.06</v>
      </c>
      <c r="F20" s="137">
        <f>'CAM Shops'!CK38/12</f>
        <v>318.79965880335936</v>
      </c>
      <c r="G20" s="137">
        <f>'CAM Shops'!CK50/12</f>
        <v>268.60261446900449</v>
      </c>
      <c r="H20" s="137">
        <f>'CAM Shops'!CL65/12</f>
        <v>8.3333333333333329E-2</v>
      </c>
      <c r="I20" s="137">
        <f>'CAM Shops'!CK63/12</f>
        <v>291.47237434536032</v>
      </c>
      <c r="J20" s="137">
        <f>'CAM Shops'!CK58/12</f>
        <v>64.471069207933951</v>
      </c>
      <c r="K20" s="138">
        <f>Signage!E24</f>
        <v>0</v>
      </c>
      <c r="L20" s="138">
        <f>'Sales Tax'!E65</f>
        <v>92.762226253974802</v>
      </c>
      <c r="M20" s="138">
        <f t="shared" si="2"/>
        <v>3803.251276412966</v>
      </c>
      <c r="N20" s="139">
        <f t="shared" si="3"/>
        <v>943.42905015899146</v>
      </c>
      <c r="O20" s="145">
        <v>0</v>
      </c>
      <c r="P20" s="146">
        <f t="shared" si="4"/>
        <v>943.42905015899146</v>
      </c>
      <c r="R20" s="188">
        <f>125.89+261.62+37.36+334.43</f>
        <v>759.3</v>
      </c>
      <c r="S20" s="142">
        <f t="shared" si="0"/>
        <v>184.1290501589915</v>
      </c>
      <c r="T20" s="143">
        <f t="shared" si="1"/>
        <v>0.57561259924282582</v>
      </c>
      <c r="U20" s="187">
        <f t="shared" si="5"/>
        <v>0.24249841980638945</v>
      </c>
      <c r="V20" s="188"/>
      <c r="W20" s="147"/>
      <c r="BL20" s="150"/>
      <c r="BM20" s="150"/>
      <c r="BO20" s="149"/>
    </row>
    <row r="21" spans="2:67" s="51" customFormat="1" ht="15" customHeight="1">
      <c r="B21" s="127" t="str">
        <f>Rent!A25</f>
        <v>Brightnow Dental</v>
      </c>
      <c r="C21" s="135"/>
      <c r="D21" s="136">
        <f>Rent!C25</f>
        <v>3600</v>
      </c>
      <c r="E21" s="137">
        <f>Rent!E25</f>
        <v>7200</v>
      </c>
      <c r="F21" s="137">
        <f>('CAM Shops'!CV76-'CAM Shops'!CV63-'CAM Shops'!CV58)/12</f>
        <v>797.79439633683899</v>
      </c>
      <c r="G21" s="137"/>
      <c r="H21" s="137"/>
      <c r="I21" s="137">
        <f>'CAM Shops'!CT63/12</f>
        <v>640.20777769572749</v>
      </c>
      <c r="J21" s="137">
        <f>'CAM Shops'!CT58/12</f>
        <v>141.60820570382077</v>
      </c>
      <c r="K21" s="138">
        <f>Signage!E25</f>
        <v>500</v>
      </c>
      <c r="L21" s="138">
        <f>'Sales Tax'!E70</f>
        <v>231.99025949340967</v>
      </c>
      <c r="M21" s="138">
        <f t="shared" si="2"/>
        <v>9511.6006392297968</v>
      </c>
      <c r="N21" s="139">
        <f t="shared" si="3"/>
        <v>2079.6103797363871</v>
      </c>
      <c r="O21" s="145">
        <v>699.7</v>
      </c>
      <c r="P21" s="146">
        <f t="shared" si="4"/>
        <v>1379.9103797363871</v>
      </c>
      <c r="R21" s="188">
        <f>343.65+574.64+82.07+734.57+500</f>
        <v>2234.9299999999998</v>
      </c>
      <c r="S21" s="142">
        <f t="shared" si="0"/>
        <v>-155.31962026361271</v>
      </c>
      <c r="T21" s="143">
        <f t="shared" si="1"/>
        <v>0.57766954992677422</v>
      </c>
      <c r="U21" s="187">
        <f t="shared" si="5"/>
        <v>-6.9496413875876517E-2</v>
      </c>
      <c r="V21" s="142">
        <v>1734.93</v>
      </c>
      <c r="W21" s="199" t="s">
        <v>407</v>
      </c>
      <c r="BL21" s="150"/>
      <c r="BM21" s="150"/>
      <c r="BO21" s="149"/>
    </row>
    <row r="22" spans="2:67" s="51" customFormat="1" ht="15" customHeight="1">
      <c r="B22" s="127" t="str">
        <f>Rent!A26</f>
        <v>Carr Animal Care</v>
      </c>
      <c r="C22" s="135"/>
      <c r="D22" s="136">
        <f>Rent!C26</f>
        <v>1587</v>
      </c>
      <c r="E22" s="137">
        <f>Rent!E26</f>
        <v>2909.5</v>
      </c>
      <c r="F22" s="137">
        <f>('CAM Shops'!DE76-'CAM Shops'!DE63-'CAM Shops'!DE58)/12</f>
        <v>200.31339443458941</v>
      </c>
      <c r="G22" s="137"/>
      <c r="H22" s="137"/>
      <c r="I22" s="137">
        <f>'CAM Shops'!DC63/12</f>
        <v>282.22492866753316</v>
      </c>
      <c r="J22" s="137">
        <f>'CAM Shops'!DC58/12</f>
        <v>62.425617347767655</v>
      </c>
      <c r="K22" s="138">
        <f>Signage!E26</f>
        <v>0</v>
      </c>
      <c r="L22" s="138">
        <f>'Sales Tax'!E75</f>
        <v>86.361598511247266</v>
      </c>
      <c r="M22" s="138">
        <f t="shared" si="2"/>
        <v>3540.8255389611377</v>
      </c>
      <c r="N22" s="139">
        <f t="shared" si="3"/>
        <v>544.96394044989029</v>
      </c>
      <c r="O22" s="145">
        <v>0</v>
      </c>
      <c r="P22" s="146">
        <f t="shared" si="4"/>
        <v>544.96394044989029</v>
      </c>
      <c r="R22" s="188">
        <f>140.91+253.32+36.18+323.82</f>
        <v>754.23</v>
      </c>
      <c r="S22" s="142">
        <f t="shared" si="0"/>
        <v>-209.26605955010973</v>
      </c>
      <c r="T22" s="143">
        <f t="shared" si="1"/>
        <v>0.34339252706357298</v>
      </c>
      <c r="U22" s="187">
        <f t="shared" si="5"/>
        <v>-0.27745655774778216</v>
      </c>
      <c r="V22" s="142">
        <v>754.23</v>
      </c>
      <c r="W22" s="199" t="s">
        <v>407</v>
      </c>
      <c r="BL22" s="150"/>
      <c r="BM22" s="150"/>
      <c r="BO22" s="149"/>
    </row>
    <row r="23" spans="2:67" s="51" customFormat="1" ht="15" customHeight="1">
      <c r="B23" s="127" t="str">
        <f>Rent!A27</f>
        <v>Razors Barber Shop</v>
      </c>
      <c r="C23" s="135"/>
      <c r="D23" s="136">
        <f>Rent!C27</f>
        <v>1300</v>
      </c>
      <c r="E23" s="137">
        <f>Rent!E27</f>
        <v>1950.88</v>
      </c>
      <c r="F23" s="137">
        <f>('CAM Shops'!DN76-'CAM Shops'!DN63-'CAM Shops'!DN58)/12</f>
        <v>424.03701307173156</v>
      </c>
      <c r="G23" s="137"/>
      <c r="H23" s="137"/>
      <c r="I23" s="137">
        <f>'CAM Shops'!DL63/12</f>
        <v>231.18614194567934</v>
      </c>
      <c r="J23" s="137">
        <f>'CAM Shops'!DL58/12</f>
        <v>51.136296504157507</v>
      </c>
      <c r="K23" s="138">
        <f>Signage!E27</f>
        <v>0</v>
      </c>
      <c r="L23" s="138">
        <f>'Sales Tax'!E80</f>
        <v>66.430986288039207</v>
      </c>
      <c r="M23" s="138">
        <f t="shared" si="2"/>
        <v>2723.6704378096078</v>
      </c>
      <c r="N23" s="139">
        <f t="shared" si="3"/>
        <v>706.35945152156842</v>
      </c>
      <c r="O23" s="145">
        <v>604.77</v>
      </c>
      <c r="P23" s="146">
        <f t="shared" si="4"/>
        <v>101.58945152156844</v>
      </c>
      <c r="R23" s="188">
        <f>112.26+207.51+29.63+265.26</f>
        <v>614.66</v>
      </c>
      <c r="S23" s="142">
        <f t="shared" si="0"/>
        <v>91.699451521568449</v>
      </c>
      <c r="T23" s="143">
        <f t="shared" si="1"/>
        <v>0.54335342424736033</v>
      </c>
      <c r="U23" s="187">
        <f t="shared" si="5"/>
        <v>0.14918727674091117</v>
      </c>
      <c r="V23" s="142">
        <v>614.66</v>
      </c>
      <c r="W23" s="199" t="s">
        <v>407</v>
      </c>
      <c r="BL23" s="150"/>
      <c r="BM23" s="150"/>
      <c r="BO23" s="149"/>
    </row>
    <row r="24" spans="2:67" s="51" customFormat="1" ht="15" customHeight="1">
      <c r="B24" s="127" t="str">
        <f>Rent!A28</f>
        <v>CrossFit New Strength</v>
      </c>
      <c r="C24" s="135"/>
      <c r="D24" s="136">
        <f>Rent!C28</f>
        <v>3524</v>
      </c>
      <c r="E24" s="137">
        <f>Rent!E28</f>
        <v>4639.93</v>
      </c>
      <c r="F24" s="137">
        <f>'CAM Shops'!DU38/12</f>
        <v>685.44844272302544</v>
      </c>
      <c r="G24" s="137">
        <f>'CAM Shops'!DU50/12</f>
        <v>577.52020340986678</v>
      </c>
      <c r="H24" s="137">
        <f>'CAM Shops'!DV65/12</f>
        <v>63.148432306644615</v>
      </c>
      <c r="I24" s="137">
        <f>'CAM Shops'!DU63/12</f>
        <v>626.69228016659542</v>
      </c>
      <c r="J24" s="137">
        <f>'CAM Shops'!DU58/12</f>
        <v>138.61869913896234</v>
      </c>
      <c r="K24" s="138">
        <f>Signage!E28</f>
        <v>0</v>
      </c>
      <c r="L24" s="138">
        <f>'Sales Tax'!E85</f>
        <v>168.28395144362739</v>
      </c>
      <c r="M24" s="138">
        <f t="shared" si="2"/>
        <v>6899.6420091887212</v>
      </c>
      <c r="N24" s="139">
        <f t="shared" si="3"/>
        <v>2091.4280577450945</v>
      </c>
      <c r="O24" s="151">
        <v>0</v>
      </c>
      <c r="P24" s="151">
        <f t="shared" si="4"/>
        <v>2091.4280577450945</v>
      </c>
      <c r="R24" s="188">
        <f>338.77+562.51+80.33+719.06</f>
        <v>1700.67</v>
      </c>
      <c r="S24" s="142">
        <f t="shared" si="0"/>
        <v>390.75805774509445</v>
      </c>
      <c r="T24" s="143">
        <f t="shared" si="1"/>
        <v>0.5934812876688691</v>
      </c>
      <c r="U24" s="187">
        <f t="shared" si="5"/>
        <v>0.22976712574755503</v>
      </c>
      <c r="V24" s="142">
        <v>1700.67</v>
      </c>
      <c r="W24" s="147"/>
      <c r="X24" s="524"/>
      <c r="BL24" s="150"/>
      <c r="BM24" s="150"/>
      <c r="BO24" s="149"/>
    </row>
    <row r="25" spans="2:67" ht="15" customHeight="1">
      <c r="B25" s="190" t="str">
        <f>Rent!A29</f>
        <v>Vacant (Time Out Bar)</v>
      </c>
      <c r="C25" s="191"/>
      <c r="D25" s="192">
        <f>Rent!C29</f>
        <v>3007</v>
      </c>
      <c r="E25" s="193">
        <f>Rent!E29</f>
        <v>0</v>
      </c>
      <c r="F25" s="193">
        <f>'CAM Shops'!ED38/12</f>
        <v>394.81363971185505</v>
      </c>
      <c r="G25" s="193">
        <f>'CAM Shops'!ED50/12</f>
        <v>492.79320421494594</v>
      </c>
      <c r="H25" s="193">
        <f>'CAM Shops'!EE65/12</f>
        <v>44.380342196340052</v>
      </c>
      <c r="I25" s="193">
        <f>'CAM Shops'!ED63/12</f>
        <v>534.75132986973665</v>
      </c>
      <c r="J25" s="193">
        <f>'CAM Shops'!ED58/12</f>
        <v>118.28218737538583</v>
      </c>
      <c r="K25" s="194">
        <f>Signage!E29</f>
        <v>0</v>
      </c>
      <c r="L25" s="194">
        <f>'Sales Tax'!E90</f>
        <v>0</v>
      </c>
      <c r="M25" s="194">
        <f t="shared" si="2"/>
        <v>1585.0207033682634</v>
      </c>
      <c r="N25" s="195">
        <f t="shared" si="3"/>
        <v>1585.0207033682634</v>
      </c>
      <c r="O25" s="196">
        <v>0</v>
      </c>
      <c r="P25" s="196">
        <f>+N25-O25</f>
        <v>1585.0207033682634</v>
      </c>
      <c r="Q25" s="197"/>
      <c r="R25" s="198">
        <f>241.33+479.98+68.55+613.57</f>
        <v>1403.43</v>
      </c>
      <c r="S25" s="154">
        <f t="shared" si="0"/>
        <v>181.59070336826335</v>
      </c>
      <c r="T25" s="155"/>
      <c r="U25" s="187">
        <f t="shared" si="5"/>
        <v>0.12939063819945656</v>
      </c>
      <c r="V25" s="142">
        <v>1403.43</v>
      </c>
      <c r="W25" s="75" t="s">
        <v>408</v>
      </c>
      <c r="BL25" s="39" t="s">
        <v>47</v>
      </c>
      <c r="BM25" s="39" t="s">
        <v>47</v>
      </c>
    </row>
    <row r="26" spans="2:67" ht="15" customHeight="1">
      <c r="B26" s="178" t="s">
        <v>409</v>
      </c>
      <c r="C26" s="168"/>
      <c r="D26" s="169"/>
      <c r="E26" s="177"/>
      <c r="F26" s="137"/>
      <c r="G26" s="137"/>
      <c r="H26" s="137"/>
      <c r="I26" s="152"/>
      <c r="J26" s="137"/>
      <c r="K26" s="138"/>
      <c r="L26" s="138"/>
      <c r="M26" s="138">
        <f t="shared" si="2"/>
        <v>0</v>
      </c>
      <c r="N26" s="157"/>
      <c r="O26" s="153"/>
      <c r="P26" s="153"/>
      <c r="R26" s="158"/>
      <c r="S26" s="154">
        <f t="shared" si="0"/>
        <v>0</v>
      </c>
      <c r="T26" s="155"/>
      <c r="U26" s="156"/>
      <c r="V26" s="144"/>
      <c r="BL26" s="39"/>
      <c r="BM26" s="39"/>
    </row>
    <row r="27" spans="2:67" ht="15" customHeight="1">
      <c r="B27" s="170" t="str">
        <f>Signage!A33</f>
        <v>John F. Long Foundation</v>
      </c>
      <c r="C27" s="171"/>
      <c r="D27" s="172"/>
      <c r="E27" s="177"/>
      <c r="F27" s="137"/>
      <c r="G27" s="137"/>
      <c r="H27" s="137"/>
      <c r="I27" s="152"/>
      <c r="J27" s="137"/>
      <c r="K27" s="138">
        <f>Signage!E33</f>
        <v>15</v>
      </c>
      <c r="L27" s="138">
        <f>'Sales Tax'!E106</f>
        <v>0.375</v>
      </c>
      <c r="M27" s="138">
        <f>SUM(E27:L27)</f>
        <v>15.375</v>
      </c>
      <c r="N27" s="157">
        <f>M27</f>
        <v>15.375</v>
      </c>
      <c r="O27" s="153"/>
      <c r="P27" s="153"/>
      <c r="R27" s="158"/>
      <c r="S27" s="154"/>
      <c r="T27" s="159"/>
      <c r="U27" s="156"/>
      <c r="V27" s="144"/>
      <c r="BL27" s="39"/>
      <c r="BM27" s="39"/>
    </row>
    <row r="28" spans="2:67" ht="15" customHeight="1">
      <c r="B28" s="170" t="str">
        <f>Signage!A31</f>
        <v>Walmart</v>
      </c>
      <c r="C28" s="171"/>
      <c r="D28" s="172"/>
      <c r="E28" s="177"/>
      <c r="F28" s="137"/>
      <c r="G28" s="137"/>
      <c r="H28" s="137"/>
      <c r="I28" s="152"/>
      <c r="J28" s="137"/>
      <c r="K28" s="138">
        <f>Signage!E31</f>
        <v>2000</v>
      </c>
      <c r="L28" s="138">
        <f>'Sales Tax'!E96</f>
        <v>50</v>
      </c>
      <c r="M28" s="138">
        <f>SUM(E28:L28)</f>
        <v>2050</v>
      </c>
      <c r="N28" s="157">
        <f>K28</f>
        <v>2000</v>
      </c>
      <c r="O28" s="153"/>
      <c r="P28" s="153"/>
      <c r="R28" s="158"/>
      <c r="S28" s="154"/>
      <c r="T28" s="159"/>
      <c r="U28" s="156"/>
      <c r="V28" s="144"/>
      <c r="BL28" s="39"/>
      <c r="BM28" s="39"/>
    </row>
    <row r="29" spans="2:67" ht="15" customHeight="1">
      <c r="B29" s="170" t="str">
        <f>Signage!A32</f>
        <v>Sportsman's Warehouse</v>
      </c>
      <c r="C29" s="171"/>
      <c r="D29" s="172"/>
      <c r="E29" s="177"/>
      <c r="F29" s="137"/>
      <c r="G29" s="137"/>
      <c r="H29" s="137"/>
      <c r="I29" s="152"/>
      <c r="J29" s="137"/>
      <c r="K29" s="138">
        <f>Signage!E32</f>
        <v>1500</v>
      </c>
      <c r="L29" s="138">
        <f>'Sales Tax'!E105</f>
        <v>0.375</v>
      </c>
      <c r="M29" s="138">
        <f>SUM(E29:L29)</f>
        <v>1500.375</v>
      </c>
      <c r="N29" s="157">
        <f>K29</f>
        <v>1500</v>
      </c>
      <c r="O29" s="153"/>
      <c r="P29" s="153"/>
      <c r="R29" s="158"/>
      <c r="S29" s="154"/>
      <c r="T29" s="159"/>
      <c r="U29" s="156"/>
      <c r="V29" s="144"/>
      <c r="BL29" s="39"/>
      <c r="BM29" s="39"/>
    </row>
    <row r="30" spans="2:67" ht="15" customHeight="1" thickBot="1">
      <c r="B30" s="173"/>
      <c r="C30" s="171"/>
      <c r="D30" s="172"/>
      <c r="E30" s="177"/>
      <c r="F30" s="137"/>
      <c r="G30" s="137"/>
      <c r="H30" s="137"/>
      <c r="I30" s="152"/>
      <c r="J30" s="137"/>
      <c r="K30" s="138"/>
      <c r="L30" s="138"/>
      <c r="M30" s="138"/>
      <c r="N30" s="157"/>
      <c r="O30" s="153"/>
      <c r="P30" s="153"/>
      <c r="R30" s="158"/>
      <c r="S30" s="154"/>
      <c r="T30" s="159"/>
      <c r="U30" s="156"/>
      <c r="V30" s="144"/>
      <c r="BL30" s="39"/>
      <c r="BM30" s="39"/>
    </row>
    <row r="31" spans="2:67" ht="13.15" customHeight="1" thickBot="1">
      <c r="B31" s="174"/>
      <c r="C31" s="175"/>
      <c r="D31" s="176"/>
      <c r="E31" s="177">
        <f t="shared" ref="E31:J31" si="6">SUM(E10:E29)</f>
        <v>105478.31999999998</v>
      </c>
      <c r="F31" s="137">
        <f>SUM(F10:F29)</f>
        <v>10110.448822037506</v>
      </c>
      <c r="G31" s="137">
        <f t="shared" si="6"/>
        <v>3338.1126626718433</v>
      </c>
      <c r="H31" s="137">
        <f t="shared" si="6"/>
        <v>215.21263578936404</v>
      </c>
      <c r="I31" s="137">
        <f t="shared" si="6"/>
        <v>12041.06345</v>
      </c>
      <c r="J31" s="137">
        <f t="shared" si="6"/>
        <v>2663.3749999999995</v>
      </c>
      <c r="K31" s="137">
        <f>SUM(K10:K29)</f>
        <v>4585.83</v>
      </c>
      <c r="L31" s="137">
        <f>SUM(L10:L29)</f>
        <v>3384.0585466782613</v>
      </c>
      <c r="M31" s="138">
        <f>SUM(M10:M29)</f>
        <v>141816.42111717694</v>
      </c>
      <c r="N31" s="160">
        <f>SUM(N10:N29)</f>
        <v>32954.417570498714</v>
      </c>
      <c r="O31" s="160">
        <f t="shared" ref="O31:S31" si="7">SUM(O10:O29)</f>
        <v>4399.6999999999989</v>
      </c>
      <c r="P31" s="160">
        <f t="shared" si="7"/>
        <v>23535.938429064299</v>
      </c>
      <c r="Q31" s="160">
        <f t="shared" si="7"/>
        <v>0</v>
      </c>
      <c r="R31" s="160">
        <f t="shared" si="7"/>
        <v>28568.9</v>
      </c>
      <c r="S31" s="160">
        <f t="shared" si="7"/>
        <v>870.14257049871492</v>
      </c>
      <c r="T31" s="119"/>
      <c r="U31" s="119"/>
      <c r="BL31" s="39"/>
      <c r="BM31" s="39"/>
    </row>
    <row r="32" spans="2:67" s="148" customFormat="1" ht="13.15" hidden="1" customHeight="1" thickBot="1">
      <c r="B32" s="147"/>
      <c r="E32" s="148">
        <f t="shared" ref="E32:M32" si="8">SUM(E10:E25)</f>
        <v>105478.31999999998</v>
      </c>
      <c r="F32" s="148">
        <f t="shared" si="8"/>
        <v>10110.448822037506</v>
      </c>
      <c r="G32" s="148">
        <f t="shared" si="8"/>
        <v>3338.1126626718433</v>
      </c>
      <c r="H32" s="148">
        <f t="shared" si="8"/>
        <v>215.21263578936404</v>
      </c>
      <c r="I32" s="161">
        <f t="shared" si="8"/>
        <v>12041.06345</v>
      </c>
      <c r="J32" s="148">
        <f t="shared" si="8"/>
        <v>2663.3749999999995</v>
      </c>
      <c r="M32" s="148">
        <f t="shared" si="8"/>
        <v>138250.67111717694</v>
      </c>
      <c r="N32" s="162">
        <f>SUM(N10:N31)</f>
        <v>65908.835140997428</v>
      </c>
      <c r="O32" s="148">
        <f>SUM(O10:O25)</f>
        <v>4399.6999999999989</v>
      </c>
      <c r="P32" s="148">
        <f>SUM(P10:P25)</f>
        <v>23535.938429064299</v>
      </c>
      <c r="T32" s="163"/>
      <c r="U32" s="163"/>
      <c r="BL32" s="161" t="s">
        <v>47</v>
      </c>
      <c r="BM32" s="161" t="s">
        <v>47</v>
      </c>
    </row>
    <row r="33" spans="2:71" ht="13.15" customHeight="1">
      <c r="B33" s="51" t="s">
        <v>410</v>
      </c>
      <c r="F33" s="164"/>
      <c r="G33" s="164"/>
      <c r="H33" s="164"/>
      <c r="I33" s="164"/>
      <c r="J33" s="164"/>
      <c r="K33" s="164"/>
      <c r="L33" s="164"/>
      <c r="N33" s="165"/>
      <c r="R33" s="2"/>
      <c r="T33" s="119"/>
      <c r="U33" s="119"/>
    </row>
    <row r="34" spans="2:71" ht="13.15" customHeight="1">
      <c r="B34" s="51"/>
      <c r="D34" s="166" t="s">
        <v>411</v>
      </c>
      <c r="E34" s="85">
        <f>E31-Rent!E34</f>
        <v>0</v>
      </c>
      <c r="F34" s="85">
        <f>F31-CAM!E35</f>
        <v>394.81363971185419</v>
      </c>
      <c r="G34" s="85">
        <f>G31-'Building Expenses'!E35</f>
        <v>492.79320421494594</v>
      </c>
      <c r="H34" s="85">
        <f>H31-'Admin Fee'!E34</f>
        <v>44.380342196340052</v>
      </c>
      <c r="I34" s="85">
        <f>I31-'RE Tax'!E37</f>
        <v>534.75132986973586</v>
      </c>
      <c r="J34" s="85">
        <f>J31-Ins.!E35</f>
        <v>118.282187375386</v>
      </c>
      <c r="K34" s="85">
        <f>K31-Signage!E37</f>
        <v>0</v>
      </c>
      <c r="L34" s="86">
        <f>L31-'Sales Tax'!E109</f>
        <v>-37.125</v>
      </c>
      <c r="M34" s="2" t="s">
        <v>412</v>
      </c>
      <c r="R34" s="2"/>
      <c r="T34" s="119"/>
      <c r="U34" s="119"/>
    </row>
    <row r="35" spans="2:71" ht="13.15" customHeight="1">
      <c r="B35" s="51"/>
      <c r="R35" s="2"/>
      <c r="T35" s="119"/>
      <c r="U35" s="119"/>
    </row>
    <row r="36" spans="2:71" ht="13.15" customHeight="1">
      <c r="B36" s="73"/>
      <c r="R36" s="2"/>
      <c r="T36" s="119"/>
      <c r="U36" s="119"/>
    </row>
    <row r="37" spans="2:71" ht="13.15" customHeight="1">
      <c r="B37" s="51" t="s">
        <v>413</v>
      </c>
      <c r="R37" s="2"/>
      <c r="T37" s="119"/>
      <c r="U37" s="119"/>
    </row>
    <row r="38" spans="2:71" ht="13.15" customHeight="1">
      <c r="B38" s="51"/>
      <c r="R38" s="2"/>
      <c r="T38" s="119"/>
      <c r="U38" s="119"/>
    </row>
    <row r="39" spans="2:71" ht="13.15" customHeight="1">
      <c r="B39" s="73"/>
      <c r="R39" s="2"/>
      <c r="T39" s="119"/>
      <c r="U39" s="119"/>
      <c r="BS39" s="40" t="s">
        <v>47</v>
      </c>
    </row>
    <row r="40" spans="2:71" ht="13.15" customHeight="1">
      <c r="B40" s="51" t="s">
        <v>414</v>
      </c>
      <c r="R40" s="2"/>
      <c r="T40" s="119"/>
      <c r="U40" s="119"/>
      <c r="BS40" s="40" t="s">
        <v>47</v>
      </c>
    </row>
    <row r="41" spans="2:71" ht="13.15" customHeight="1">
      <c r="B41" s="51"/>
      <c r="R41" s="2"/>
      <c r="T41" s="119"/>
      <c r="U41" s="119"/>
      <c r="BS41" s="60"/>
    </row>
    <row r="42" spans="2:71" ht="13.15" customHeight="1">
      <c r="B42" s="51"/>
      <c r="R42" s="2"/>
      <c r="T42" s="119"/>
      <c r="U42" s="119"/>
      <c r="BS42" s="60"/>
    </row>
    <row r="43" spans="2:71" ht="13.15" customHeight="1">
      <c r="B43" s="73"/>
      <c r="R43" s="2"/>
      <c r="T43" s="119"/>
      <c r="U43" s="119"/>
      <c r="BS43" s="60"/>
    </row>
    <row r="44" spans="2:71">
      <c r="B44" s="51" t="s">
        <v>415</v>
      </c>
      <c r="R44" s="2"/>
      <c r="T44" s="119"/>
      <c r="U44" s="119"/>
    </row>
    <row r="45" spans="2:71">
      <c r="R45" s="2"/>
      <c r="T45" s="119"/>
      <c r="U45" s="119"/>
    </row>
    <row r="46" spans="2:71"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T46" s="119"/>
      <c r="U46" s="119"/>
    </row>
    <row r="47" spans="2:71">
      <c r="B47" s="39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R47" s="2"/>
      <c r="S47" s="148"/>
      <c r="T47" s="119"/>
      <c r="U47" s="119"/>
    </row>
    <row r="48" spans="2:71">
      <c r="R48" s="2"/>
      <c r="T48" s="119"/>
      <c r="U48" s="119"/>
    </row>
    <row r="49" spans="18:21">
      <c r="R49" s="2"/>
      <c r="T49" s="119"/>
      <c r="U49" s="119"/>
    </row>
    <row r="50" spans="18:21">
      <c r="R50" s="2"/>
      <c r="T50" s="119"/>
      <c r="U50" s="119"/>
    </row>
    <row r="51" spans="18:21">
      <c r="R51" s="2"/>
      <c r="T51" s="119"/>
      <c r="U51" s="119"/>
    </row>
    <row r="52" spans="18:21">
      <c r="R52" s="2"/>
      <c r="T52" s="119"/>
      <c r="U52" s="119"/>
    </row>
    <row r="53" spans="18:21">
      <c r="R53" s="2"/>
      <c r="T53" s="119"/>
      <c r="U53" s="119"/>
    </row>
    <row r="54" spans="18:21">
      <c r="R54" s="2"/>
      <c r="T54" s="119"/>
      <c r="U54" s="119"/>
    </row>
    <row r="55" spans="18:21">
      <c r="R55" s="2"/>
      <c r="T55" s="119"/>
      <c r="U55" s="119"/>
    </row>
    <row r="56" spans="18:21">
      <c r="R56" s="2"/>
      <c r="T56" s="119"/>
      <c r="U56" s="119"/>
    </row>
    <row r="57" spans="18:21">
      <c r="R57" s="2"/>
      <c r="T57" s="119"/>
      <c r="U57" s="119"/>
    </row>
    <row r="58" spans="18:21">
      <c r="R58" s="2"/>
      <c r="T58" s="119"/>
      <c r="U58" s="119"/>
    </row>
    <row r="59" spans="18:21">
      <c r="R59" s="2"/>
      <c r="T59" s="119"/>
      <c r="U59" s="119"/>
    </row>
    <row r="60" spans="18:21">
      <c r="R60" s="2"/>
      <c r="T60" s="119"/>
      <c r="U60" s="119"/>
    </row>
    <row r="61" spans="18:21">
      <c r="R61" s="2"/>
      <c r="T61" s="119"/>
      <c r="U61" s="119"/>
    </row>
    <row r="62" spans="18:21">
      <c r="R62" s="2"/>
      <c r="T62" s="119"/>
      <c r="U62" s="119"/>
    </row>
    <row r="63" spans="18:21">
      <c r="R63" s="2"/>
      <c r="T63" s="119"/>
      <c r="U63" s="119"/>
    </row>
    <row r="64" spans="18:21">
      <c r="R64" s="2"/>
      <c r="T64" s="119"/>
      <c r="U64" s="119"/>
    </row>
    <row r="65" spans="18:21">
      <c r="R65" s="2"/>
      <c r="T65" s="119"/>
      <c r="U65" s="119"/>
    </row>
    <row r="66" spans="18:21">
      <c r="R66" s="2"/>
      <c r="T66" s="119"/>
      <c r="U66" s="119"/>
    </row>
    <row r="67" spans="18:21">
      <c r="R67" s="2"/>
      <c r="T67" s="119"/>
      <c r="U67" s="119"/>
    </row>
    <row r="68" spans="18:21">
      <c r="R68" s="2"/>
      <c r="T68" s="119"/>
      <c r="U68" s="119"/>
    </row>
    <row r="69" spans="18:21">
      <c r="R69" s="2"/>
      <c r="T69" s="119"/>
      <c r="U69" s="119"/>
    </row>
    <row r="70" spans="18:21">
      <c r="R70" s="2"/>
      <c r="T70" s="119"/>
      <c r="U70" s="119"/>
    </row>
    <row r="71" spans="18:21">
      <c r="R71" s="2"/>
      <c r="T71" s="119"/>
      <c r="U71" s="119"/>
    </row>
    <row r="72" spans="18:21">
      <c r="R72" s="2"/>
      <c r="T72" s="119"/>
      <c r="U72" s="119"/>
    </row>
    <row r="73" spans="18:21">
      <c r="R73" s="2"/>
      <c r="T73" s="119"/>
      <c r="U73" s="119"/>
    </row>
    <row r="74" spans="18:21">
      <c r="R74" s="2"/>
      <c r="T74" s="119"/>
      <c r="U74" s="119"/>
    </row>
    <row r="75" spans="18:21">
      <c r="R75" s="2"/>
      <c r="T75" s="119"/>
      <c r="U75" s="119"/>
    </row>
    <row r="76" spans="18:21">
      <c r="R76" s="2"/>
      <c r="T76" s="119"/>
      <c r="U76" s="119"/>
    </row>
    <row r="77" spans="18:21">
      <c r="R77" s="2"/>
      <c r="T77" s="119"/>
      <c r="U77" s="119"/>
    </row>
    <row r="78" spans="18:21">
      <c r="R78" s="2"/>
      <c r="T78" s="119"/>
      <c r="U78" s="119"/>
    </row>
    <row r="79" spans="18:21">
      <c r="R79" s="2"/>
      <c r="T79" s="119"/>
      <c r="U79" s="119"/>
    </row>
    <row r="80" spans="18:21">
      <c r="R80" s="2"/>
    </row>
    <row r="81" spans="18:18">
      <c r="R81" s="2"/>
    </row>
    <row r="82" spans="18:18">
      <c r="R82" s="2"/>
    </row>
    <row r="83" spans="18:18">
      <c r="R83" s="2"/>
    </row>
    <row r="84" spans="18:18">
      <c r="R84" s="2"/>
    </row>
    <row r="85" spans="18:18">
      <c r="R85" s="2"/>
    </row>
    <row r="86" spans="18:18">
      <c r="R86" s="2"/>
    </row>
    <row r="87" spans="18:18">
      <c r="R87" s="2"/>
    </row>
    <row r="88" spans="18:18">
      <c r="R88" s="2"/>
    </row>
    <row r="89" spans="18:18">
      <c r="R89" s="2"/>
    </row>
    <row r="90" spans="18:18">
      <c r="R90" s="2"/>
    </row>
    <row r="91" spans="18:18">
      <c r="R91" s="2"/>
    </row>
    <row r="92" spans="18:18">
      <c r="R92" s="2"/>
    </row>
    <row r="93" spans="18:18">
      <c r="R93" s="2"/>
    </row>
    <row r="94" spans="18:18">
      <c r="R94" s="2"/>
    </row>
    <row r="95" spans="18:18">
      <c r="R95" s="2"/>
    </row>
    <row r="96" spans="18:18">
      <c r="R96" s="2"/>
    </row>
    <row r="97" spans="18:18">
      <c r="R97" s="2"/>
    </row>
    <row r="98" spans="18:18">
      <c r="R98" s="2"/>
    </row>
  </sheetData>
  <mergeCells count="5">
    <mergeCell ref="A6:P6"/>
    <mergeCell ref="A2:P2"/>
    <mergeCell ref="A3:P3"/>
    <mergeCell ref="A4:P4"/>
    <mergeCell ref="A5:P5"/>
  </mergeCells>
  <phoneticPr fontId="0" type="noConversion"/>
  <printOptions horizontalCentered="1"/>
  <pageMargins left="0" right="0" top="0.5" bottom="0.7" header="0.5" footer="0.5"/>
  <pageSetup paperSize="3" fitToHeight="0" orientation="landscape" useFirstPageNumber="1" r:id="rId1"/>
  <headerFooter alignWithMargins="0">
    <oddFooter>Page 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pageSetUpPr fitToPage="1"/>
  </sheetPr>
  <dimension ref="A1:X76"/>
  <sheetViews>
    <sheetView view="pageBreakPreview" topLeftCell="A6" zoomScale="110" zoomScaleNormal="85" zoomScaleSheetLayoutView="110" workbookViewId="0">
      <pane xSplit="3" ySplit="2" topLeftCell="D31" activePane="bottomRight" state="frozen"/>
      <selection pane="bottomRight" activeCell="F46" sqref="F46"/>
      <selection pane="bottomLeft" activeCell="A8" sqref="A8"/>
      <selection pane="topRight" activeCell="D6" sqref="D6"/>
    </sheetView>
  </sheetViews>
  <sheetFormatPr defaultColWidth="9.42578125" defaultRowHeight="15.4"/>
  <cols>
    <col min="1" max="1" width="29.42578125" style="89" bestFit="1" customWidth="1"/>
    <col min="2" max="2" width="11.42578125" style="89" customWidth="1"/>
    <col min="3" max="3" width="3.42578125" style="89" customWidth="1"/>
    <col min="4" max="4" width="11.42578125" style="89" bestFit="1" customWidth="1"/>
    <col min="5" max="18" width="11.42578125" style="89" customWidth="1"/>
    <col min="19" max="19" width="10.42578125" style="89" bestFit="1" customWidth="1"/>
    <col min="20" max="20" width="12.42578125" style="89" bestFit="1" customWidth="1"/>
    <col min="21" max="21" width="9.42578125" style="89" bestFit="1" customWidth="1"/>
    <col min="22" max="24" width="8.42578125" style="89" bestFit="1" customWidth="1"/>
    <col min="25" max="16384" width="9.42578125" style="89"/>
  </cols>
  <sheetData>
    <row r="1" spans="1:21">
      <c r="A1" s="2"/>
      <c r="B1" s="5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tr">
        <f>Summary!T4</f>
        <v>Date Revised:</v>
      </c>
      <c r="T1" s="388">
        <f ca="1">Summary!U4</f>
        <v>46269</v>
      </c>
      <c r="U1" s="351">
        <f>Summary!W4</f>
        <v>0</v>
      </c>
    </row>
    <row r="2" spans="1:21">
      <c r="A2" s="614" t="str">
        <f>Summary!A2</f>
        <v>ATHENA PROPERTY MANAGEMENT</v>
      </c>
      <c r="B2" s="614"/>
      <c r="C2" s="614"/>
      <c r="D2" s="614"/>
      <c r="E2" s="614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4"/>
    </row>
    <row r="3" spans="1:21">
      <c r="A3" s="614" t="str">
        <f>Summary!$A3</f>
        <v>GREENFIELD GATEWAY MESA, ARIZONA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/>
      <c r="U3" s="614"/>
    </row>
    <row r="4" spans="1:21">
      <c r="A4" s="614" t="str">
        <f>Summary!A4</f>
        <v>PROJECT NO. 801</v>
      </c>
      <c r="B4" s="614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</row>
    <row r="5" spans="1:21">
      <c r="A5" s="614" t="str">
        <f>Summary!A5</f>
        <v>01/01/26-12/31/26</v>
      </c>
      <c r="B5" s="614"/>
      <c r="C5" s="614"/>
      <c r="D5" s="614"/>
      <c r="E5" s="614"/>
      <c r="F5" s="614"/>
      <c r="G5" s="614"/>
      <c r="H5" s="614"/>
      <c r="I5" s="614"/>
      <c r="J5" s="614"/>
      <c r="K5" s="614"/>
      <c r="L5" s="614"/>
      <c r="M5" s="614"/>
      <c r="N5" s="614"/>
      <c r="O5" s="614"/>
      <c r="P5" s="614"/>
      <c r="Q5" s="614"/>
      <c r="R5" s="614"/>
      <c r="S5" s="614"/>
      <c r="T5" s="614"/>
      <c r="U5" s="614"/>
    </row>
    <row r="6" spans="1:21">
      <c r="A6" s="614" t="str">
        <f>Summary!A6</f>
        <v>2026 OPERATING BUDGET</v>
      </c>
      <c r="B6" s="614"/>
      <c r="C6" s="614"/>
      <c r="D6" s="614"/>
      <c r="E6" s="614"/>
      <c r="F6" s="614"/>
      <c r="G6" s="614"/>
      <c r="H6" s="614"/>
      <c r="I6" s="614"/>
      <c r="J6" s="614"/>
      <c r="K6" s="614"/>
      <c r="L6" s="614"/>
      <c r="M6" s="614"/>
      <c r="N6" s="614"/>
      <c r="O6" s="614"/>
      <c r="P6" s="614"/>
      <c r="Q6" s="614"/>
      <c r="R6" s="614"/>
      <c r="S6" s="614"/>
      <c r="T6" s="614"/>
      <c r="U6" s="614"/>
    </row>
    <row r="7" spans="1:21" s="179" customFormat="1" ht="155.44999999999999" customHeight="1">
      <c r="A7" s="396" t="s">
        <v>416</v>
      </c>
      <c r="B7" s="396" t="s">
        <v>417</v>
      </c>
      <c r="C7" s="396"/>
      <c r="D7" s="396" t="str">
        <f>Rent!$A14</f>
        <v>EOS Fitness</v>
      </c>
      <c r="E7" s="396" t="str">
        <f>Rent!$A15</f>
        <v>Third Pasrty MVS</v>
      </c>
      <c r="F7" s="396" t="str">
        <f>Rent!A16</f>
        <v xml:space="preserve">Sally Beauty Supply </v>
      </c>
      <c r="G7" s="396" t="str">
        <f>Rent!$A17</f>
        <v>Wild Side Smoke Shop</v>
      </c>
      <c r="H7" s="396" t="str">
        <f>Rent!$A18</f>
        <v>Green Spa, LLC</v>
      </c>
      <c r="I7" s="396" t="str">
        <f>Rent!$A19</f>
        <v>AT&amp;T Mobility</v>
      </c>
      <c r="J7" s="396" t="str">
        <f>Rent!$A20</f>
        <v>Discount Nutrition</v>
      </c>
      <c r="K7" s="396" t="str">
        <f>Rent!$A21</f>
        <v>Adapt Chiropractic</v>
      </c>
      <c r="L7" s="396" t="str">
        <f>Rent!$A22</f>
        <v>Speakeasy Suites</v>
      </c>
      <c r="M7" s="396" t="str">
        <f>Rent!A23</f>
        <v>Kachina Stained Glass</v>
      </c>
      <c r="N7" s="396" t="str">
        <f>Rent!$A24</f>
        <v>Zanders Creations</v>
      </c>
      <c r="O7" s="396" t="str">
        <f>Rent!$A25</f>
        <v>Brightnow Dental</v>
      </c>
      <c r="P7" s="396" t="str">
        <f>Rent!$A26</f>
        <v>Carr Animal Care</v>
      </c>
      <c r="Q7" s="396" t="str">
        <f>Rent!$A27</f>
        <v>Razors Barber Shop</v>
      </c>
      <c r="R7" s="396" t="str">
        <f>Rent!$A28</f>
        <v>CrossFit New Strength</v>
      </c>
      <c r="S7" s="397" t="s">
        <v>418</v>
      </c>
      <c r="T7" s="397" t="s">
        <v>157</v>
      </c>
      <c r="U7" s="398" t="s">
        <v>419</v>
      </c>
    </row>
    <row r="8" spans="1:21" s="94" customFormat="1">
      <c r="A8" s="399"/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399"/>
      <c r="Q8" s="399"/>
      <c r="R8" s="399"/>
      <c r="S8" s="399"/>
      <c r="T8" s="51"/>
      <c r="U8" s="51"/>
    </row>
    <row r="9" spans="1:21">
      <c r="A9" s="51" t="str">
        <f>Summary!B29</f>
        <v>COMMON AREA EXPENSES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1" spans="1:21">
      <c r="A11" s="2" t="str">
        <f>'CAM Majors'!B15</f>
        <v>Landscape- Tree Trimming</v>
      </c>
      <c r="B11" s="229">
        <f>'CAM Majors'!C15</f>
        <v>17000</v>
      </c>
      <c r="C11" s="229"/>
      <c r="D11" s="229">
        <f>'CAM Majors'!L15</f>
        <v>8787.6057835738247</v>
      </c>
      <c r="E11" s="229">
        <f>'CAM Shops'!G15</f>
        <v>753.22335287775627</v>
      </c>
      <c r="F11" s="229">
        <f>'CAM Shops'!Q15</f>
        <v>407.99598280878467</v>
      </c>
      <c r="G11" s="229">
        <f>'CAM Shops'!Z15</f>
        <v>351.50423134295295</v>
      </c>
      <c r="H11" s="229">
        <f>'CAM Shops'!AI15</f>
        <v>279.19478946668829</v>
      </c>
      <c r="I11" s="229">
        <f>'CAM Shops'!AR15</f>
        <v>626.17968069237475</v>
      </c>
      <c r="J11" s="229">
        <f>'CAM Shops'!BA15</f>
        <v>376.61167643887813</v>
      </c>
      <c r="K11" s="229">
        <f>'CAM Shops'!BJ15</f>
        <v>435.36309796334314</v>
      </c>
      <c r="L11" s="229">
        <f>'CAM Shops'!BS15</f>
        <v>979.19035874108317</v>
      </c>
      <c r="M11" s="229">
        <f>'CAM Shops'!CB15</f>
        <v>323.13281838455742</v>
      </c>
      <c r="N11" s="229">
        <f>'CAM Shops'!CK15</f>
        <v>411.51102512221416</v>
      </c>
      <c r="O11" s="229">
        <f>'CAM Shops'!CT15</f>
        <v>903.86802345330761</v>
      </c>
      <c r="P11" s="229">
        <f>'CAM Shops'!DC15</f>
        <v>398.4551536723331</v>
      </c>
      <c r="Q11" s="229">
        <f>'CAM Shops'!DL15</f>
        <v>326.39678624702776</v>
      </c>
      <c r="R11" s="229">
        <f>'CAM Shops'!DU15</f>
        <v>884.78636518040446</v>
      </c>
      <c r="S11" s="229">
        <f t="shared" ref="S11:S31" si="0">SUM(D11:R11)</f>
        <v>16245.019125965531</v>
      </c>
      <c r="T11" s="229">
        <f t="shared" ref="T11:T31" si="1">S11-B11</f>
        <v>-754.9808740344688</v>
      </c>
      <c r="U11" s="400">
        <f t="shared" ref="U11:U29" si="2">T11/B11</f>
        <v>-4.4410639649086397E-2</v>
      </c>
    </row>
    <row r="12" spans="1:21">
      <c r="A12" s="2" t="str">
        <f>'CAM Majors'!B16</f>
        <v>Landscape Consumables</v>
      </c>
      <c r="B12" s="229">
        <f>'CAM Majors'!C16</f>
        <v>3000</v>
      </c>
      <c r="C12" s="229"/>
      <c r="D12" s="229">
        <f>'CAM Majors'!L16</f>
        <v>1550.7539618071455</v>
      </c>
      <c r="E12" s="229">
        <f>'CAM Shops'!G16</f>
        <v>132.92176815489816</v>
      </c>
      <c r="F12" s="229">
        <f>'CAM Shops'!Q16</f>
        <v>71.999291083903174</v>
      </c>
      <c r="G12" s="229">
        <f>'CAM Shops'!Z16</f>
        <v>62.030158472285812</v>
      </c>
      <c r="H12" s="229">
        <f>'CAM Shops'!AI16</f>
        <v>49.269668729415585</v>
      </c>
      <c r="I12" s="229">
        <f>'CAM Shops'!AR16</f>
        <v>110.502296592772</v>
      </c>
      <c r="J12" s="229">
        <f>'CAM Shops'!BA16</f>
        <v>66.46088407744908</v>
      </c>
      <c r="K12" s="229">
        <f>'CAM Shops'!BJ16</f>
        <v>76.828781993531138</v>
      </c>
      <c r="L12" s="229">
        <f>'CAM Shops'!BS16</f>
        <v>172.79829860136761</v>
      </c>
      <c r="M12" s="229">
        <f>'CAM Shops'!CB16</f>
        <v>57.023438538451309</v>
      </c>
      <c r="N12" s="229">
        <f>'CAM Shops'!CK16</f>
        <v>72.619592668626026</v>
      </c>
      <c r="O12" s="229">
        <f>'CAM Shops'!CT16</f>
        <v>159.50612178587781</v>
      </c>
      <c r="P12" s="229">
        <f>'CAM Shops'!DC16</f>
        <v>70.315615353941126</v>
      </c>
      <c r="Q12" s="229">
        <f>'CAM Shops'!DL16</f>
        <v>57.599432867122545</v>
      </c>
      <c r="R12" s="229">
        <f>'CAM Shops'!DU16</f>
        <v>156.13877032595371</v>
      </c>
      <c r="S12" s="229">
        <f t="shared" si="0"/>
        <v>2866.7680810527413</v>
      </c>
      <c r="T12" s="229">
        <f t="shared" si="1"/>
        <v>-133.23191894725869</v>
      </c>
      <c r="U12" s="400">
        <f>IFERROR(T12/B12,0)</f>
        <v>-4.4410639649086231E-2</v>
      </c>
    </row>
    <row r="13" spans="1:21">
      <c r="A13" s="2" t="str">
        <f>'CAM Majors'!B17</f>
        <v>Sprinkler Repairs</v>
      </c>
      <c r="B13" s="229">
        <f>'CAM Majors'!C17</f>
        <v>1200</v>
      </c>
      <c r="C13" s="229"/>
      <c r="D13" s="229">
        <f>'CAM Majors'!L17</f>
        <v>620.30158472285814</v>
      </c>
      <c r="E13" s="229">
        <f>'CAM Shops'!G17</f>
        <v>53.16870726195927</v>
      </c>
      <c r="F13" s="229">
        <f>'CAM Shops'!Q17</f>
        <v>28.799716433561269</v>
      </c>
      <c r="G13" s="229">
        <f>'CAM Shops'!Z17</f>
        <v>24.812063388914325</v>
      </c>
      <c r="H13" s="229">
        <f>'CAM Shops'!AI17</f>
        <v>19.707867491766233</v>
      </c>
      <c r="I13" s="229">
        <f>'CAM Shops'!AR17</f>
        <v>44.200918637108799</v>
      </c>
      <c r="J13" s="229">
        <f>'CAM Shops'!BA17</f>
        <v>26.584353630979635</v>
      </c>
      <c r="K13" s="229">
        <f>'CAM Shops'!BJ17</f>
        <v>30.731512797412456</v>
      </c>
      <c r="L13" s="229">
        <f>'CAM Shops'!BS17</f>
        <v>69.119319440547045</v>
      </c>
      <c r="M13" s="229">
        <f>'CAM Shops'!CB17</f>
        <v>22.809375415380526</v>
      </c>
      <c r="N13" s="229">
        <f>'CAM Shops'!CK17</f>
        <v>29.047837067450413</v>
      </c>
      <c r="O13" s="229">
        <f>'CAM Shops'!CT17</f>
        <v>63.802448714351122</v>
      </c>
      <c r="P13" s="229">
        <f>'CAM Shops'!DC17</f>
        <v>28.126246141576452</v>
      </c>
      <c r="Q13" s="229">
        <f>'CAM Shops'!DL17</f>
        <v>23.039773146849019</v>
      </c>
      <c r="R13" s="229">
        <f>'CAM Shops'!DU17</f>
        <v>62.455508130381489</v>
      </c>
      <c r="S13" s="229">
        <f t="shared" si="0"/>
        <v>1146.7072324210963</v>
      </c>
      <c r="T13" s="229">
        <f t="shared" si="1"/>
        <v>-53.292767578903749</v>
      </c>
      <c r="U13" s="400">
        <f t="shared" si="2"/>
        <v>-4.441063964908646E-2</v>
      </c>
    </row>
    <row r="14" spans="1:21">
      <c r="A14" s="2" t="str">
        <f>'CAM Majors'!B18</f>
        <v>Landscape Maintenance</v>
      </c>
      <c r="B14" s="229">
        <f>'CAM Majors'!C18</f>
        <v>18720</v>
      </c>
      <c r="C14" s="229"/>
      <c r="D14" s="229">
        <f>'CAM Majors'!L18</f>
        <v>9676.7047216765877</v>
      </c>
      <c r="E14" s="229">
        <f>'CAM Shops'!G18</f>
        <v>829.4318332865646</v>
      </c>
      <c r="F14" s="229">
        <f>'CAM Shops'!Q18</f>
        <v>449.27557636355584</v>
      </c>
      <c r="G14" s="229">
        <f>'CAM Shops'!Z18</f>
        <v>387.0681888670635</v>
      </c>
      <c r="H14" s="229">
        <f>'CAM Shops'!AI18</f>
        <v>307.44273287155323</v>
      </c>
      <c r="I14" s="229">
        <f>'CAM Shops'!AR18</f>
        <v>689.53433073889732</v>
      </c>
      <c r="J14" s="229">
        <f>'CAM Shops'!BA18</f>
        <v>414.7159166432823</v>
      </c>
      <c r="K14" s="229">
        <f>'CAM Shops'!BJ18</f>
        <v>479.41159963963435</v>
      </c>
      <c r="L14" s="229">
        <f>'CAM Shops'!BS18</f>
        <v>1078.261383272534</v>
      </c>
      <c r="M14" s="229">
        <f>'CAM Shops'!CB18</f>
        <v>355.82625647993621</v>
      </c>
      <c r="N14" s="229">
        <f>'CAM Shops'!CK18</f>
        <v>453.1462582522264</v>
      </c>
      <c r="O14" s="229">
        <f>'CAM Shops'!CT18</f>
        <v>995.31819994387752</v>
      </c>
      <c r="P14" s="229">
        <f>'CAM Shops'!DC18</f>
        <v>438.76943980859267</v>
      </c>
      <c r="Q14" s="229">
        <f>'CAM Shops'!DL18</f>
        <v>359.42046109084464</v>
      </c>
      <c r="R14" s="229">
        <f>'CAM Shops'!DU18</f>
        <v>974.30592683395116</v>
      </c>
      <c r="S14" s="229">
        <f t="shared" si="0"/>
        <v>17888.632825769106</v>
      </c>
      <c r="T14" s="229">
        <f t="shared" si="1"/>
        <v>-831.36717423089431</v>
      </c>
      <c r="U14" s="400">
        <f t="shared" si="2"/>
        <v>-4.4410639649086231E-2</v>
      </c>
    </row>
    <row r="15" spans="1:21">
      <c r="A15" s="2" t="str">
        <f>'CAM Majors'!B19</f>
        <v>Parking Lot Light Maintenance</v>
      </c>
      <c r="B15" s="229">
        <f>'CAM Majors'!C19</f>
        <v>1500</v>
      </c>
      <c r="C15" s="229"/>
      <c r="D15" s="229">
        <f>'CAM Majors'!L19</f>
        <v>775.37698090357276</v>
      </c>
      <c r="E15" s="229">
        <f>'CAM Shops'!G19</f>
        <v>66.46088407744908</v>
      </c>
      <c r="F15" s="229">
        <f>'CAM Shops'!Q19</f>
        <v>35.999645541951587</v>
      </c>
      <c r="G15" s="229">
        <f>'CAM Shops'!Z19</f>
        <v>31.015079236142906</v>
      </c>
      <c r="H15" s="229">
        <f>'CAM Shops'!AI19</f>
        <v>24.634834364707793</v>
      </c>
      <c r="I15" s="229">
        <f>'CAM Shops'!AR19</f>
        <v>55.251148296385999</v>
      </c>
      <c r="J15" s="229">
        <f>'CAM Shops'!BA19</f>
        <v>33.23044203872454</v>
      </c>
      <c r="K15" s="229">
        <f>'CAM Shops'!BJ19</f>
        <v>38.414390996765569</v>
      </c>
      <c r="L15" s="229">
        <f>'CAM Shops'!BS19</f>
        <v>86.399149300683803</v>
      </c>
      <c r="M15" s="229">
        <f>'CAM Shops'!CB19</f>
        <v>28.511719269225654</v>
      </c>
      <c r="N15" s="229">
        <f>'CAM Shops'!CK19</f>
        <v>36.309796334313013</v>
      </c>
      <c r="O15" s="229">
        <f>'CAM Shops'!CT19</f>
        <v>79.753060892938905</v>
      </c>
      <c r="P15" s="229">
        <f>'CAM Shops'!DC19</f>
        <v>35.157807676970563</v>
      </c>
      <c r="Q15" s="229">
        <f>'CAM Shops'!DL19</f>
        <v>28.799716433561272</v>
      </c>
      <c r="R15" s="229">
        <f>'CAM Shops'!DU19</f>
        <v>78.069385162976857</v>
      </c>
      <c r="S15" s="229">
        <f t="shared" si="0"/>
        <v>1433.3840405263707</v>
      </c>
      <c r="T15" s="229">
        <f t="shared" si="1"/>
        <v>-66.615959473629346</v>
      </c>
      <c r="U15" s="400">
        <f t="shared" si="2"/>
        <v>-4.4410639649086231E-2</v>
      </c>
    </row>
    <row r="16" spans="1:21">
      <c r="A16" s="2" t="str">
        <f>'CAM Majors'!B20</f>
        <v>Parking Lot Repairs</v>
      </c>
      <c r="B16" s="229">
        <f>'CAM Majors'!C20</f>
        <v>5000</v>
      </c>
      <c r="C16" s="229"/>
      <c r="D16" s="229">
        <f>'CAM Majors'!L20</f>
        <v>2584.5899363452422</v>
      </c>
      <c r="E16" s="229">
        <f>'CAM Shops'!G20</f>
        <v>221.5362802581636</v>
      </c>
      <c r="F16" s="229">
        <f>'CAM Shops'!Q20</f>
        <v>119.99881847317197</v>
      </c>
      <c r="G16" s="229">
        <f>'CAM Shops'!Z20</f>
        <v>103.38359745380968</v>
      </c>
      <c r="H16" s="229">
        <f>'CAM Shops'!AI20</f>
        <v>82.116114549025966</v>
      </c>
      <c r="I16" s="229">
        <f>'CAM Shops'!AR20</f>
        <v>184.17049432128667</v>
      </c>
      <c r="J16" s="229">
        <f>'CAM Shops'!BA20</f>
        <v>110.7681401290818</v>
      </c>
      <c r="K16" s="229">
        <f>'CAM Shops'!BJ20</f>
        <v>128.04796998921856</v>
      </c>
      <c r="L16" s="229">
        <f>'CAM Shops'!BS20</f>
        <v>287.99716433561269</v>
      </c>
      <c r="M16" s="229">
        <f>'CAM Shops'!CB20</f>
        <v>95.039064230752189</v>
      </c>
      <c r="N16" s="229">
        <f>'CAM Shops'!CK20</f>
        <v>121.03265444771004</v>
      </c>
      <c r="O16" s="229">
        <f>'CAM Shops'!CT20</f>
        <v>265.84353630979632</v>
      </c>
      <c r="P16" s="229">
        <f>'CAM Shops'!DC20</f>
        <v>117.19269225656855</v>
      </c>
      <c r="Q16" s="229">
        <f>'CAM Shops'!DL20</f>
        <v>95.99905477853757</v>
      </c>
      <c r="R16" s="229">
        <f>'CAM Shops'!DU20</f>
        <v>260.23128387658954</v>
      </c>
      <c r="S16" s="229">
        <f t="shared" si="0"/>
        <v>4777.9468017545669</v>
      </c>
      <c r="T16" s="229">
        <f t="shared" si="1"/>
        <v>-222.05319824543312</v>
      </c>
      <c r="U16" s="400">
        <f t="shared" si="2"/>
        <v>-4.4410639649086626E-2</v>
      </c>
    </row>
    <row r="17" spans="1:21">
      <c r="A17" s="2" t="str">
        <f>'CAM Majors'!B21</f>
        <v>Parking Lot Light Repairs</v>
      </c>
      <c r="B17" s="229">
        <f>'CAM Majors'!C21</f>
        <v>3600</v>
      </c>
      <c r="C17" s="229"/>
      <c r="D17" s="229">
        <f>'CAM Majors'!L21</f>
        <v>1860.9047541685745</v>
      </c>
      <c r="E17" s="229">
        <f>'CAM Shops'!G21</f>
        <v>159.50612178587781</v>
      </c>
      <c r="F17" s="229">
        <f>'CAM Shops'!Q21</f>
        <v>86.399149300683817</v>
      </c>
      <c r="G17" s="229">
        <f>'CAM Shops'!Z21</f>
        <v>74.436190166742975</v>
      </c>
      <c r="H17" s="229">
        <f>'CAM Shops'!AI21</f>
        <v>59.123602475298696</v>
      </c>
      <c r="I17" s="229">
        <f>'CAM Shops'!AR21</f>
        <v>132.6027559113264</v>
      </c>
      <c r="J17" s="229">
        <f>'CAM Shops'!BA21</f>
        <v>79.753060892938905</v>
      </c>
      <c r="K17" s="229">
        <f>'CAM Shops'!BJ21</f>
        <v>92.194538392237376</v>
      </c>
      <c r="L17" s="229">
        <f>'CAM Shops'!BS21</f>
        <v>207.35795832164115</v>
      </c>
      <c r="M17" s="229">
        <f>'CAM Shops'!CB21</f>
        <v>68.428126246141574</v>
      </c>
      <c r="N17" s="229">
        <f>'CAM Shops'!CK21</f>
        <v>87.143511202351235</v>
      </c>
      <c r="O17" s="229">
        <f>'CAM Shops'!CT21</f>
        <v>191.40734614305336</v>
      </c>
      <c r="P17" s="229">
        <f>'CAM Shops'!DC21</f>
        <v>84.378738424729363</v>
      </c>
      <c r="Q17" s="229">
        <f>'CAM Shops'!DL21</f>
        <v>69.119319440547045</v>
      </c>
      <c r="R17" s="229">
        <f>'CAM Shops'!DU21</f>
        <v>187.36652439114445</v>
      </c>
      <c r="S17" s="229">
        <f t="shared" si="0"/>
        <v>3440.1216972632892</v>
      </c>
      <c r="T17" s="229">
        <f t="shared" si="1"/>
        <v>-159.87830273671079</v>
      </c>
      <c r="U17" s="400">
        <f t="shared" si="2"/>
        <v>-4.4410639649086328E-2</v>
      </c>
    </row>
    <row r="18" spans="1:21">
      <c r="A18" s="2" t="str">
        <f>'CAM Majors'!B22</f>
        <v>General Maintenance</v>
      </c>
      <c r="B18" s="229">
        <f>'CAM Majors'!C22</f>
        <v>3600</v>
      </c>
      <c r="C18" s="229"/>
      <c r="D18" s="229">
        <f>'CAM Majors'!L22</f>
        <v>1860.9047541685745</v>
      </c>
      <c r="E18" s="229">
        <f>'CAM Shops'!G22</f>
        <v>159.50612178587781</v>
      </c>
      <c r="F18" s="229">
        <f>'CAM Shops'!Q22</f>
        <v>86.399149300683817</v>
      </c>
      <c r="G18" s="229">
        <f>'CAM Shops'!Z22</f>
        <v>74.436190166742975</v>
      </c>
      <c r="H18" s="229">
        <f>'CAM Shops'!AI22</f>
        <v>59.123602475298696</v>
      </c>
      <c r="I18" s="229">
        <f>'CAM Shops'!AR22</f>
        <v>132.6027559113264</v>
      </c>
      <c r="J18" s="229">
        <f>'CAM Shops'!BA22</f>
        <v>79.753060892938905</v>
      </c>
      <c r="K18" s="229">
        <f>'CAM Shops'!BJ22</f>
        <v>92.194538392237376</v>
      </c>
      <c r="L18" s="229">
        <f>'CAM Shops'!BS22</f>
        <v>207.35795832164115</v>
      </c>
      <c r="M18" s="229">
        <f>'CAM Shops'!CB22</f>
        <v>68.428126246141574</v>
      </c>
      <c r="N18" s="229">
        <f>'CAM Shops'!CK22</f>
        <v>87.143511202351235</v>
      </c>
      <c r="O18" s="229">
        <f>'CAM Shops'!CT22</f>
        <v>191.40734614305336</v>
      </c>
      <c r="P18" s="229">
        <f>'CAM Shops'!DC22</f>
        <v>84.378738424729363</v>
      </c>
      <c r="Q18" s="229">
        <f>'CAM Shops'!DL22</f>
        <v>69.119319440547045</v>
      </c>
      <c r="R18" s="229">
        <f>'CAM Shops'!DU22</f>
        <v>187.36652439114445</v>
      </c>
      <c r="S18" s="229">
        <f t="shared" si="0"/>
        <v>3440.1216972632892</v>
      </c>
      <c r="T18" s="229">
        <f t="shared" si="1"/>
        <v>-159.87830273671079</v>
      </c>
      <c r="U18" s="400">
        <f t="shared" si="2"/>
        <v>-4.4410639649086328E-2</v>
      </c>
    </row>
    <row r="19" spans="1:21">
      <c r="A19" s="2" t="str">
        <f>'CAM Majors'!B23</f>
        <v>Day Porter</v>
      </c>
      <c r="B19" s="229">
        <f>'CAM Majors'!C23</f>
        <v>10500</v>
      </c>
      <c r="C19" s="229"/>
      <c r="D19" s="229">
        <f>'CAM Majors'!L23</f>
        <v>5427.6388663250091</v>
      </c>
      <c r="E19" s="229">
        <f>'CAM Shops'!G23</f>
        <v>465.22618854214357</v>
      </c>
      <c r="F19" s="229">
        <f>'CAM Shops'!Q23</f>
        <v>251.99751879366113</v>
      </c>
      <c r="G19" s="229">
        <f>'CAM Shops'!Z23</f>
        <v>217.10555465300035</v>
      </c>
      <c r="H19" s="229">
        <f>'CAM Shops'!AI23</f>
        <v>172.44384055295453</v>
      </c>
      <c r="I19" s="229">
        <f>'CAM Shops'!AR23</f>
        <v>386.75803807470203</v>
      </c>
      <c r="J19" s="229">
        <f>'CAM Shops'!BA23</f>
        <v>232.61309427107179</v>
      </c>
      <c r="K19" s="229">
        <f>'CAM Shops'!BJ23</f>
        <v>268.90073697735897</v>
      </c>
      <c r="L19" s="229">
        <f>'CAM Shops'!BS23</f>
        <v>604.79404510478662</v>
      </c>
      <c r="M19" s="229">
        <f>'CAM Shops'!CB23</f>
        <v>199.5820348845796</v>
      </c>
      <c r="N19" s="229">
        <f>'CAM Shops'!CK23</f>
        <v>254.1685743401911</v>
      </c>
      <c r="O19" s="229">
        <f>'CAM Shops'!CT23</f>
        <v>558.27142625057229</v>
      </c>
      <c r="P19" s="229">
        <f>'CAM Shops'!DC23</f>
        <v>246.10465373879396</v>
      </c>
      <c r="Q19" s="229">
        <f>'CAM Shops'!DL23</f>
        <v>201.59801503492889</v>
      </c>
      <c r="R19" s="229">
        <f>'CAM Shops'!DU23</f>
        <v>546.48569614083806</v>
      </c>
      <c r="S19" s="229">
        <f t="shared" si="0"/>
        <v>10033.688283684593</v>
      </c>
      <c r="T19" s="229">
        <f t="shared" si="1"/>
        <v>-466.31171631540747</v>
      </c>
      <c r="U19" s="400">
        <f t="shared" si="2"/>
        <v>-4.4410639649086425E-2</v>
      </c>
    </row>
    <row r="20" spans="1:21">
      <c r="A20" s="2" t="str">
        <f>'CAM Majors'!B24</f>
        <v>Janitorial Supplies</v>
      </c>
      <c r="B20" s="229">
        <f>'CAM Majors'!C24</f>
        <v>200</v>
      </c>
      <c r="C20" s="229"/>
      <c r="D20" s="229">
        <f>'CAM Majors'!L24</f>
        <v>103.3835974538097</v>
      </c>
      <c r="E20" s="229">
        <f>'CAM Shops'!G24</f>
        <v>8.8614512103265444</v>
      </c>
      <c r="F20" s="229">
        <f>'CAM Shops'!Q24</f>
        <v>4.7999527389268781</v>
      </c>
      <c r="G20" s="229">
        <f>'CAM Shops'!Z24</f>
        <v>4.1353438981523878</v>
      </c>
      <c r="H20" s="229">
        <f>'CAM Shops'!AI24</f>
        <v>3.284644581961039</v>
      </c>
      <c r="I20" s="229">
        <f>'CAM Shops'!AR24</f>
        <v>7.3668197728514668</v>
      </c>
      <c r="J20" s="229">
        <f>'CAM Shops'!BA24</f>
        <v>4.4307256051632722</v>
      </c>
      <c r="K20" s="229">
        <f>'CAM Shops'!BJ24</f>
        <v>5.1219187995687427</v>
      </c>
      <c r="L20" s="229">
        <f>'CAM Shops'!BS24</f>
        <v>11.519886573424508</v>
      </c>
      <c r="M20" s="229">
        <f>'CAM Shops'!CB24</f>
        <v>3.8015625692300872</v>
      </c>
      <c r="N20" s="229">
        <f>'CAM Shops'!CK24</f>
        <v>4.8413061779084021</v>
      </c>
      <c r="O20" s="229">
        <f>'CAM Shops'!CT24</f>
        <v>10.633741452391854</v>
      </c>
      <c r="P20" s="229">
        <f>'CAM Shops'!DC24</f>
        <v>4.6877076902627417</v>
      </c>
      <c r="Q20" s="229">
        <f>'CAM Shops'!DL24</f>
        <v>3.8399621911415029</v>
      </c>
      <c r="R20" s="229">
        <f>'CAM Shops'!DU24</f>
        <v>10.409251355063581</v>
      </c>
      <c r="S20" s="229">
        <f t="shared" si="0"/>
        <v>191.11787207018273</v>
      </c>
      <c r="T20" s="229">
        <f t="shared" si="1"/>
        <v>-8.8821279298172726</v>
      </c>
      <c r="U20" s="400">
        <f t="shared" si="2"/>
        <v>-4.4410639649086363E-2</v>
      </c>
    </row>
    <row r="21" spans="1:21">
      <c r="A21" s="2" t="str">
        <f>'CAM Majors'!B25</f>
        <v>Pest Control</v>
      </c>
      <c r="B21" s="229">
        <f>'CAM Majors'!C25</f>
        <v>1188</v>
      </c>
      <c r="C21" s="229"/>
      <c r="D21" s="229">
        <f>'CAM Majors'!L25</f>
        <v>614.09856887562955</v>
      </c>
      <c r="E21" s="229">
        <f>'CAM Shops'!G25</f>
        <v>52.637020189339673</v>
      </c>
      <c r="F21" s="229">
        <f>'CAM Shops'!Q25</f>
        <v>28.511719269225658</v>
      </c>
      <c r="G21" s="229">
        <f>'CAM Shops'!Z25</f>
        <v>24.563942755025181</v>
      </c>
      <c r="H21" s="229">
        <f>'CAM Shops'!AI25</f>
        <v>19.510788816848571</v>
      </c>
      <c r="I21" s="229">
        <f>'CAM Shops'!AR25</f>
        <v>43.758909450737711</v>
      </c>
      <c r="J21" s="229">
        <f>'CAM Shops'!BA25</f>
        <v>26.318510094669836</v>
      </c>
      <c r="K21" s="229">
        <f>'CAM Shops'!BJ25</f>
        <v>30.424197669438332</v>
      </c>
      <c r="L21" s="229">
        <f>'CAM Shops'!BS25</f>
        <v>68.428126246141574</v>
      </c>
      <c r="M21" s="229">
        <f>'CAM Shops'!CB25</f>
        <v>22.581281661226718</v>
      </c>
      <c r="N21" s="229">
        <f>'CAM Shops'!CK25</f>
        <v>28.757358696775906</v>
      </c>
      <c r="O21" s="229">
        <f>'CAM Shops'!CT25</f>
        <v>63.164424227207611</v>
      </c>
      <c r="P21" s="229">
        <f>'CAM Shops'!DC25</f>
        <v>27.844983680160688</v>
      </c>
      <c r="Q21" s="229">
        <f>'CAM Shops'!DL25</f>
        <v>22.809375415380526</v>
      </c>
      <c r="R21" s="229">
        <f>'CAM Shops'!DU25</f>
        <v>61.830953049077671</v>
      </c>
      <c r="S21" s="229">
        <f t="shared" si="0"/>
        <v>1135.2401600968853</v>
      </c>
      <c r="T21" s="229">
        <f t="shared" si="1"/>
        <v>-52.759839903114653</v>
      </c>
      <c r="U21" s="400">
        <f t="shared" si="2"/>
        <v>-4.4410639649086411E-2</v>
      </c>
    </row>
    <row r="22" spans="1:21">
      <c r="A22" s="2" t="str">
        <f>'CAM Majors'!B26</f>
        <v xml:space="preserve">Security </v>
      </c>
      <c r="B22" s="229">
        <f>'CAM Majors'!C26</f>
        <v>0</v>
      </c>
      <c r="C22" s="229"/>
      <c r="D22" s="229">
        <f>'CAM Majors'!L26</f>
        <v>0</v>
      </c>
      <c r="E22" s="229">
        <f>'CAM Shops'!G26</f>
        <v>0</v>
      </c>
      <c r="F22" s="229">
        <f>'CAM Shops'!Q26</f>
        <v>0</v>
      </c>
      <c r="G22" s="229">
        <f>'CAM Shops'!Z26</f>
        <v>0</v>
      </c>
      <c r="H22" s="229">
        <f>'CAM Shops'!AI26</f>
        <v>0</v>
      </c>
      <c r="I22" s="229">
        <f>'CAM Shops'!AR26</f>
        <v>0</v>
      </c>
      <c r="J22" s="229">
        <f>'CAM Shops'!BA26</f>
        <v>0</v>
      </c>
      <c r="K22" s="229">
        <f>'CAM Shops'!BJ26</f>
        <v>0</v>
      </c>
      <c r="L22" s="229">
        <f>'CAM Shops'!BS26</f>
        <v>0</v>
      </c>
      <c r="M22" s="229">
        <f>'CAM Shops'!CB26</f>
        <v>0</v>
      </c>
      <c r="N22" s="229">
        <f>'CAM Shops'!CK26</f>
        <v>0</v>
      </c>
      <c r="O22" s="229">
        <f>'CAM Shops'!CT26</f>
        <v>0</v>
      </c>
      <c r="P22" s="229">
        <f>'CAM Shops'!DC26</f>
        <v>0</v>
      </c>
      <c r="Q22" s="229">
        <f>'CAM Shops'!DL26</f>
        <v>0</v>
      </c>
      <c r="R22" s="229">
        <f>'CAM Shops'!DU26</f>
        <v>0</v>
      </c>
      <c r="S22" s="229">
        <f t="shared" si="0"/>
        <v>0</v>
      </c>
      <c r="T22" s="229">
        <f t="shared" si="1"/>
        <v>0</v>
      </c>
      <c r="U22" s="400">
        <f>IFERROR(T22/B22,0)</f>
        <v>0</v>
      </c>
    </row>
    <row r="23" spans="1:21">
      <c r="A23" s="2" t="str">
        <f>'CAM Majors'!B27</f>
        <v>Management Fee</v>
      </c>
      <c r="B23" s="229">
        <f>'CAM Majors'!C27</f>
        <v>51359</v>
      </c>
      <c r="C23" s="229"/>
      <c r="D23" s="229">
        <f>'CAM Majors'!L27</f>
        <v>26548.390908151061</v>
      </c>
      <c r="E23" s="229">
        <f>'CAM Shops'!G27</f>
        <v>2275.5763635558051</v>
      </c>
      <c r="F23" s="229">
        <f>'CAM Shops'!Q27</f>
        <v>0</v>
      </c>
      <c r="G23" s="229">
        <f>'CAM Shops'!Z27</f>
        <v>1061.9356363260424</v>
      </c>
      <c r="H23" s="229">
        <f>'CAM Shops'!AI27</f>
        <v>843.48030542468496</v>
      </c>
      <c r="I23" s="229">
        <f>'CAM Shops'!AR27</f>
        <v>1891.7624835693925</v>
      </c>
      <c r="J23" s="229">
        <f>'CAM Shops'!BA27</f>
        <v>1137.7881817779025</v>
      </c>
      <c r="K23" s="229">
        <f>'CAM Shops'!BJ27</f>
        <v>0</v>
      </c>
      <c r="L23" s="229">
        <f>'CAM Shops'!BS27</f>
        <v>2958.2492726225464</v>
      </c>
      <c r="M23" s="229">
        <f>'CAM Shops'!CB27</f>
        <v>976.22225996544023</v>
      </c>
      <c r="N23" s="229">
        <f>'CAM Shops'!CK27</f>
        <v>1243.223219955988</v>
      </c>
      <c r="O23" s="229">
        <f>'CAM Shops'!CT27</f>
        <v>2730.6916362669663</v>
      </c>
      <c r="P23" s="229">
        <f>'CAM Shops'!DC27</f>
        <v>1203.7798963210209</v>
      </c>
      <c r="Q23" s="229">
        <f>'CAM Shops'!DL27</f>
        <v>986.08309087418218</v>
      </c>
      <c r="R23" s="229">
        <f>'CAM Shops'!DU27</f>
        <v>2673.0437017235522</v>
      </c>
      <c r="S23" s="229">
        <f t="shared" si="0"/>
        <v>46530.226956534592</v>
      </c>
      <c r="T23" s="229">
        <f t="shared" si="1"/>
        <v>-4828.7730434654077</v>
      </c>
      <c r="U23" s="400">
        <f t="shared" si="2"/>
        <v>-9.4019997341564437E-2</v>
      </c>
    </row>
    <row r="24" spans="1:21">
      <c r="A24" s="2" t="str">
        <f>'CAM Majors'!B28</f>
        <v>Sidewalk Maintenance</v>
      </c>
      <c r="B24" s="229">
        <f>'CAM Majors'!C28</f>
        <v>0</v>
      </c>
      <c r="C24" s="229"/>
      <c r="D24" s="229">
        <f>'CAM Majors'!L28</f>
        <v>0</v>
      </c>
      <c r="E24" s="229">
        <f>'CAM Shops'!G28</f>
        <v>0</v>
      </c>
      <c r="F24" s="229">
        <f>'CAM Shops'!Q28</f>
        <v>0</v>
      </c>
      <c r="G24" s="229">
        <f>'CAM Shops'!Z28</f>
        <v>0</v>
      </c>
      <c r="H24" s="229">
        <f>'CAM Shops'!AI28</f>
        <v>0</v>
      </c>
      <c r="I24" s="229">
        <f>'CAM Shops'!AR28</f>
        <v>0</v>
      </c>
      <c r="J24" s="229">
        <f>'CAM Shops'!BA28</f>
        <v>0</v>
      </c>
      <c r="K24" s="229">
        <f>'CAM Shops'!BJ28</f>
        <v>0</v>
      </c>
      <c r="L24" s="229">
        <f>'CAM Shops'!BS28</f>
        <v>0</v>
      </c>
      <c r="M24" s="229">
        <f>'CAM Shops'!CB28</f>
        <v>0</v>
      </c>
      <c r="N24" s="229">
        <f>'CAM Shops'!CK28</f>
        <v>0</v>
      </c>
      <c r="O24" s="229">
        <f>'CAM Shops'!CT28</f>
        <v>0</v>
      </c>
      <c r="P24" s="229">
        <f>'CAM Shops'!DC28</f>
        <v>0</v>
      </c>
      <c r="Q24" s="229">
        <f>'CAM Shops'!DL28</f>
        <v>0</v>
      </c>
      <c r="R24" s="229">
        <f>'CAM Shops'!DU28</f>
        <v>0</v>
      </c>
      <c r="S24" s="229">
        <f t="shared" si="0"/>
        <v>0</v>
      </c>
      <c r="T24" s="229">
        <f t="shared" si="1"/>
        <v>0</v>
      </c>
      <c r="U24" s="400">
        <f>IFERROR(T24/B24,0)</f>
        <v>0</v>
      </c>
    </row>
    <row r="25" spans="1:21">
      <c r="A25" s="2" t="str">
        <f>'CAM Majors'!B29</f>
        <v xml:space="preserve">Sign Maintenance </v>
      </c>
      <c r="B25" s="229">
        <f>'CAM Majors'!C29</f>
        <v>2460</v>
      </c>
      <c r="C25" s="229"/>
      <c r="D25" s="229">
        <f>'CAM Majors'!L29</f>
        <v>1271.6182486818593</v>
      </c>
      <c r="E25" s="229">
        <f>'CAM Shops'!G29</f>
        <v>108.99584988701649</v>
      </c>
      <c r="F25" s="229">
        <f>'CAM Shops'!Q29</f>
        <v>59.039418688800602</v>
      </c>
      <c r="G25" s="229">
        <f>'CAM Shops'!Z29</f>
        <v>50.86472994727437</v>
      </c>
      <c r="H25" s="229">
        <f>'CAM Shops'!AI29</f>
        <v>40.401128358120779</v>
      </c>
      <c r="I25" s="229">
        <f>'CAM Shops'!AR29</f>
        <v>90.611883206073045</v>
      </c>
      <c r="J25" s="229">
        <f>'CAM Shops'!BA29</f>
        <v>54.497924943508245</v>
      </c>
      <c r="K25" s="229">
        <f>'CAM Shops'!BJ29</f>
        <v>62.999601234695533</v>
      </c>
      <c r="L25" s="229">
        <f>'CAM Shops'!BS29</f>
        <v>141.69460485312143</v>
      </c>
      <c r="M25" s="229">
        <f>'CAM Shops'!CB29</f>
        <v>46.759219601530077</v>
      </c>
      <c r="N25" s="229">
        <f>'CAM Shops'!CK29</f>
        <v>59.548065988273343</v>
      </c>
      <c r="O25" s="229">
        <f>'CAM Shops'!CT29</f>
        <v>130.7950198644198</v>
      </c>
      <c r="P25" s="229">
        <f>'CAM Shops'!DC29</f>
        <v>57.658804590231725</v>
      </c>
      <c r="Q25" s="229">
        <f>'CAM Shops'!DL29</f>
        <v>47.231534951040487</v>
      </c>
      <c r="R25" s="229">
        <f>'CAM Shops'!DU29</f>
        <v>128.03379166728206</v>
      </c>
      <c r="S25" s="229">
        <f t="shared" si="0"/>
        <v>2350.7498264632472</v>
      </c>
      <c r="T25" s="229">
        <f t="shared" si="1"/>
        <v>-109.25017353675275</v>
      </c>
      <c r="U25" s="400">
        <f t="shared" si="2"/>
        <v>-4.4410639649086488E-2</v>
      </c>
    </row>
    <row r="26" spans="1:21">
      <c r="A26" s="2" t="str">
        <f>'CAM Majors'!B30</f>
        <v>Sweeping</v>
      </c>
      <c r="B26" s="229">
        <f>'CAM Majors'!C30</f>
        <v>7080</v>
      </c>
      <c r="C26" s="229"/>
      <c r="D26" s="229">
        <f>'CAM Majors'!L30</f>
        <v>3659.779349864863</v>
      </c>
      <c r="E26" s="229">
        <f>'CAM Shops'!G30</f>
        <v>313.69537284555969</v>
      </c>
      <c r="F26" s="229">
        <f>'CAM Shops'!Q30</f>
        <v>169.91832695801151</v>
      </c>
      <c r="G26" s="229">
        <f>'CAM Shops'!Z30</f>
        <v>146.39117399459451</v>
      </c>
      <c r="H26" s="229">
        <f>'CAM Shops'!AI30</f>
        <v>116.27641820142078</v>
      </c>
      <c r="I26" s="229">
        <f>'CAM Shops'!AR30</f>
        <v>260.78541995894193</v>
      </c>
      <c r="J26" s="229">
        <f>'CAM Shops'!BA30</f>
        <v>156.84768642277984</v>
      </c>
      <c r="K26" s="229">
        <f>'CAM Shops'!BJ30</f>
        <v>181.31592550473349</v>
      </c>
      <c r="L26" s="229">
        <f>'CAM Shops'!BS30</f>
        <v>407.80398469922756</v>
      </c>
      <c r="M26" s="229">
        <f>'CAM Shops'!CB30</f>
        <v>134.57531495074508</v>
      </c>
      <c r="N26" s="229">
        <f>'CAM Shops'!CK30</f>
        <v>171.38223869795743</v>
      </c>
      <c r="O26" s="229">
        <f>'CAM Shops'!CT30</f>
        <v>376.43444741467164</v>
      </c>
      <c r="P26" s="229">
        <f>'CAM Shops'!DC30</f>
        <v>165.94485223530106</v>
      </c>
      <c r="Q26" s="229">
        <f>'CAM Shops'!DL30</f>
        <v>135.9346615664092</v>
      </c>
      <c r="R26" s="229">
        <f>'CAM Shops'!DU30</f>
        <v>368.4874979692508</v>
      </c>
      <c r="S26" s="229">
        <f t="shared" si="0"/>
        <v>6765.5726712844671</v>
      </c>
      <c r="T26" s="229">
        <f t="shared" si="1"/>
        <v>-314.42732871553289</v>
      </c>
      <c r="U26" s="400">
        <f t="shared" ref="U26:U28" si="3">IFERROR(T26/B26,0)</f>
        <v>-4.4410639649086564E-2</v>
      </c>
    </row>
    <row r="27" spans="1:21">
      <c r="A27" s="2" t="str">
        <f>'CAM Majors'!B31</f>
        <v>Electrical Repairs/CAM</v>
      </c>
      <c r="B27" s="229">
        <f>'CAM Majors'!C31</f>
        <v>0</v>
      </c>
      <c r="C27" s="229"/>
      <c r="D27" s="229">
        <f>'CAM Majors'!L31</f>
        <v>0</v>
      </c>
      <c r="E27" s="229">
        <f>'CAM Shops'!G31</f>
        <v>0</v>
      </c>
      <c r="F27" s="229">
        <f>'CAM Shops'!Q31</f>
        <v>0</v>
      </c>
      <c r="G27" s="229">
        <f>'CAM Shops'!Z31</f>
        <v>0</v>
      </c>
      <c r="H27" s="229">
        <f>'CAM Shops'!AI31</f>
        <v>0</v>
      </c>
      <c r="I27" s="229">
        <f>'CAM Shops'!AR31</f>
        <v>0</v>
      </c>
      <c r="J27" s="229">
        <f>'CAM Shops'!BA31</f>
        <v>0</v>
      </c>
      <c r="K27" s="229">
        <f>'CAM Shops'!BJ31</f>
        <v>0</v>
      </c>
      <c r="L27" s="229">
        <f>'CAM Shops'!BS31</f>
        <v>0</v>
      </c>
      <c r="M27" s="229">
        <f>'CAM Shops'!CB31</f>
        <v>0</v>
      </c>
      <c r="N27" s="229">
        <f>'CAM Shops'!CK31</f>
        <v>0</v>
      </c>
      <c r="O27" s="229">
        <f>'CAM Shops'!CT31</f>
        <v>0</v>
      </c>
      <c r="P27" s="229">
        <f>'CAM Shops'!DC31</f>
        <v>0</v>
      </c>
      <c r="Q27" s="229">
        <f>'CAM Shops'!DL31</f>
        <v>0</v>
      </c>
      <c r="R27" s="229">
        <f>'CAM Shops'!DU31</f>
        <v>0</v>
      </c>
      <c r="S27" s="229">
        <f t="shared" si="0"/>
        <v>0</v>
      </c>
      <c r="T27" s="229">
        <f t="shared" si="1"/>
        <v>0</v>
      </c>
      <c r="U27" s="400">
        <f t="shared" si="3"/>
        <v>0</v>
      </c>
    </row>
    <row r="28" spans="1:21">
      <c r="A28" s="2" t="str">
        <f>'CAM Majors'!B32</f>
        <v>Painting</v>
      </c>
      <c r="B28" s="229">
        <f>'CAM Majors'!C32</f>
        <v>0</v>
      </c>
      <c r="C28" s="229"/>
      <c r="D28" s="229">
        <f>'CAM Majors'!L32</f>
        <v>0</v>
      </c>
      <c r="E28" s="229">
        <f>'CAM Shops'!G32</f>
        <v>0</v>
      </c>
      <c r="F28" s="229">
        <f>'CAM Shops'!Q32</f>
        <v>0</v>
      </c>
      <c r="G28" s="229">
        <f>'CAM Shops'!Z32</f>
        <v>0</v>
      </c>
      <c r="H28" s="229">
        <f>'CAM Shops'!AI32</f>
        <v>0</v>
      </c>
      <c r="I28" s="229">
        <f>'CAM Shops'!AR32</f>
        <v>0</v>
      </c>
      <c r="J28" s="229">
        <f>'CAM Shops'!BA32</f>
        <v>0</v>
      </c>
      <c r="K28" s="229">
        <f>'CAM Shops'!BJ32</f>
        <v>0</v>
      </c>
      <c r="L28" s="229">
        <f>'CAM Shops'!BS32</f>
        <v>0</v>
      </c>
      <c r="M28" s="229">
        <f>'CAM Shops'!CB32</f>
        <v>0</v>
      </c>
      <c r="N28" s="229">
        <f>'CAM Shops'!CK32</f>
        <v>0</v>
      </c>
      <c r="O28" s="229">
        <f>'CAM Shops'!CT32</f>
        <v>0</v>
      </c>
      <c r="P28" s="229">
        <f>'CAM Shops'!DC32</f>
        <v>0</v>
      </c>
      <c r="Q28" s="229">
        <f>'CAM Shops'!DL32</f>
        <v>0</v>
      </c>
      <c r="R28" s="229">
        <f>'CAM Shops'!DU32</f>
        <v>0</v>
      </c>
      <c r="S28" s="229">
        <f t="shared" si="0"/>
        <v>0</v>
      </c>
      <c r="T28" s="229">
        <f t="shared" si="1"/>
        <v>0</v>
      </c>
      <c r="U28" s="400">
        <f t="shared" si="3"/>
        <v>0</v>
      </c>
    </row>
    <row r="29" spans="1:21">
      <c r="A29" s="2" t="str">
        <f>'CAM Majors'!B33</f>
        <v>Electric/Common Area</v>
      </c>
      <c r="B29" s="229">
        <f>'CAM Majors'!C33</f>
        <v>19714.199999999997</v>
      </c>
      <c r="C29" s="229"/>
      <c r="D29" s="229">
        <f>'CAM Majors'!L33</f>
        <v>10190.624584619474</v>
      </c>
      <c r="E29" s="229">
        <f>'CAM Shops'!G33</f>
        <v>873.48210725309764</v>
      </c>
      <c r="F29" s="229">
        <f>'CAM Shops'!Q33</f>
        <v>473.13614142876128</v>
      </c>
      <c r="G29" s="229">
        <f>'CAM Shops'!Z33</f>
        <v>407.62498338477894</v>
      </c>
      <c r="H29" s="229">
        <f>'CAM Shops'!AI33</f>
        <v>323.77070108848153</v>
      </c>
      <c r="I29" s="229">
        <f>'CAM Shops'!AR33</f>
        <v>726.15479182974184</v>
      </c>
      <c r="J29" s="229">
        <f>'CAM Shops'!BA33</f>
        <v>436.74105362654882</v>
      </c>
      <c r="K29" s="229">
        <f>'CAM Shops'!BJ33</f>
        <v>504.87265799229044</v>
      </c>
      <c r="L29" s="229">
        <f>'CAM Shops'!BS33</f>
        <v>1135.526739429027</v>
      </c>
      <c r="M29" s="229">
        <f>'CAM Shops'!CB33</f>
        <v>374.72382401157887</v>
      </c>
      <c r="N29" s="229">
        <f>'CAM Shops'!CK33</f>
        <v>477.212391262609</v>
      </c>
      <c r="O29" s="229">
        <f>'CAM Shops'!CT33</f>
        <v>1048.1785287037173</v>
      </c>
      <c r="P29" s="229">
        <f>'CAM Shops'!DC33</f>
        <v>462.07203473688867</v>
      </c>
      <c r="Q29" s="229">
        <f>'CAM Shops'!DL33</f>
        <v>378.50891314300901</v>
      </c>
      <c r="R29" s="229">
        <f>'CAM Shops'!DU33</f>
        <v>1026.050315319972</v>
      </c>
      <c r="S29" s="229">
        <f t="shared" si="0"/>
        <v>18838.679767829981</v>
      </c>
      <c r="T29" s="229">
        <f t="shared" si="1"/>
        <v>-875.52023217001624</v>
      </c>
      <c r="U29" s="400">
        <f t="shared" si="2"/>
        <v>-4.4410639649086259E-2</v>
      </c>
    </row>
    <row r="30" spans="1:21">
      <c r="A30" s="2" t="str">
        <f>'CAM Majors'!B34</f>
        <v>Water/Common Area</v>
      </c>
      <c r="B30" s="229">
        <f>'CAM Majors'!C34</f>
        <v>0</v>
      </c>
      <c r="C30" s="229"/>
      <c r="D30" s="229">
        <f>'CAM Majors'!L34</f>
        <v>0</v>
      </c>
      <c r="E30" s="229">
        <f>'CAM Shops'!G34</f>
        <v>0</v>
      </c>
      <c r="F30" s="229">
        <f>'CAM Shops'!Q34</f>
        <v>0</v>
      </c>
      <c r="G30" s="229">
        <f>'CAM Shops'!Z34</f>
        <v>0</v>
      </c>
      <c r="H30" s="229">
        <f>'CAM Shops'!AI34</f>
        <v>0</v>
      </c>
      <c r="I30" s="229">
        <f>'CAM Shops'!AR34</f>
        <v>0</v>
      </c>
      <c r="J30" s="229">
        <f>'CAM Shops'!BA34</f>
        <v>0</v>
      </c>
      <c r="K30" s="229">
        <f>'CAM Shops'!BJ34</f>
        <v>0</v>
      </c>
      <c r="L30" s="229">
        <f>'CAM Shops'!BS34</f>
        <v>0</v>
      </c>
      <c r="M30" s="229">
        <f>'CAM Shops'!CB34</f>
        <v>0</v>
      </c>
      <c r="N30" s="229">
        <f>'CAM Shops'!CK34</f>
        <v>0</v>
      </c>
      <c r="O30" s="229">
        <f>'CAM Shops'!CT34</f>
        <v>0</v>
      </c>
      <c r="P30" s="229">
        <f>'CAM Shops'!DC34</f>
        <v>0</v>
      </c>
      <c r="Q30" s="229">
        <f>'CAM Shops'!DL34</f>
        <v>0</v>
      </c>
      <c r="R30" s="229">
        <f>'CAM Shops'!DU34</f>
        <v>0</v>
      </c>
      <c r="S30" s="229">
        <f t="shared" si="0"/>
        <v>0</v>
      </c>
      <c r="T30" s="229">
        <f t="shared" si="1"/>
        <v>0</v>
      </c>
      <c r="U30" s="400">
        <f t="shared" ref="U30:U31" si="4">IFERROR(T30/B30,0)</f>
        <v>0</v>
      </c>
    </row>
    <row r="31" spans="1:21">
      <c r="A31" s="2" t="str">
        <f>'CAM Majors'!B35</f>
        <v>Water/Fire Department</v>
      </c>
      <c r="B31" s="229">
        <f>'CAM Majors'!C35</f>
        <v>0</v>
      </c>
      <c r="C31" s="229"/>
      <c r="D31" s="229">
        <f>'CAM Majors'!L35</f>
        <v>0</v>
      </c>
      <c r="E31" s="229">
        <f>'CAM Shops'!G35</f>
        <v>0</v>
      </c>
      <c r="F31" s="229">
        <f>'CAM Shops'!Q35</f>
        <v>0</v>
      </c>
      <c r="G31" s="229">
        <f>'CAM Shops'!Z35</f>
        <v>0</v>
      </c>
      <c r="H31" s="229">
        <f>'CAM Shops'!AI35</f>
        <v>0</v>
      </c>
      <c r="I31" s="229">
        <f>'CAM Shops'!AR35</f>
        <v>0</v>
      </c>
      <c r="J31" s="229">
        <f>'CAM Shops'!BA35</f>
        <v>0</v>
      </c>
      <c r="K31" s="229">
        <f>'CAM Shops'!BJ35</f>
        <v>0</v>
      </c>
      <c r="L31" s="229">
        <f>'CAM Shops'!BS35</f>
        <v>0</v>
      </c>
      <c r="M31" s="229">
        <f>'CAM Shops'!CB35</f>
        <v>0</v>
      </c>
      <c r="N31" s="229">
        <f>'CAM Shops'!CK35</f>
        <v>0</v>
      </c>
      <c r="O31" s="229">
        <f>'CAM Shops'!CT35</f>
        <v>0</v>
      </c>
      <c r="P31" s="229">
        <f>'CAM Shops'!DC35</f>
        <v>0</v>
      </c>
      <c r="Q31" s="229">
        <f>'CAM Shops'!DL35</f>
        <v>0</v>
      </c>
      <c r="R31" s="229">
        <f>'CAM Shops'!DU35</f>
        <v>0</v>
      </c>
      <c r="S31" s="229">
        <f t="shared" si="0"/>
        <v>0</v>
      </c>
      <c r="T31" s="229">
        <f t="shared" si="1"/>
        <v>0</v>
      </c>
      <c r="U31" s="400">
        <f t="shared" si="4"/>
        <v>0</v>
      </c>
    </row>
    <row r="32" spans="1:21">
      <c r="A32" s="2" t="str">
        <f>'CAM Majors'!B36</f>
        <v>Roof Repairs - AMORTIZATION</v>
      </c>
      <c r="B32" s="229">
        <f>'CAM Majors'!C36</f>
        <v>11918.625</v>
      </c>
      <c r="C32" s="229"/>
      <c r="D32" s="229">
        <f>'CAM Majors'!L36</f>
        <v>0</v>
      </c>
      <c r="E32" s="229">
        <f>'CAM Shops'!G36</f>
        <v>528.081569658391</v>
      </c>
      <c r="F32" s="229">
        <f>'CAM Shops'!Q36</f>
        <v>286.04418356496183</v>
      </c>
      <c r="G32" s="229">
        <f>'CAM Shops'!Z36</f>
        <v>246.43806584058251</v>
      </c>
      <c r="H32" s="229">
        <f>'CAM Shops'!AI36</f>
        <v>195.74223515337692</v>
      </c>
      <c r="I32" s="229">
        <f>'CAM Shops'!AR36</f>
        <v>439.01181157600905</v>
      </c>
      <c r="J32" s="229">
        <f>'CAM Shops'!BA36</f>
        <v>264.0407848291955</v>
      </c>
      <c r="K32" s="229">
        <f>'CAM Shops'!BJ36</f>
        <v>305.23114726255005</v>
      </c>
      <c r="L32" s="229">
        <f>'CAM Shops'!BS36</f>
        <v>686.50604055590838</v>
      </c>
      <c r="M32" s="229">
        <f>'CAM Shops'!CB36</f>
        <v>226.54699338344975</v>
      </c>
      <c r="N32" s="229">
        <f>'CAM Shops'!CK36</f>
        <v>288.50856422336761</v>
      </c>
      <c r="O32" s="229">
        <f>'CAM Shops'!CT36</f>
        <v>633.6978835900693</v>
      </c>
      <c r="P32" s="229">
        <f>'CAM Shops'!DC36</f>
        <v>279.35515034928886</v>
      </c>
      <c r="Q32" s="229">
        <f>'CAM Shops'!DL36</f>
        <v>228.83534685196946</v>
      </c>
      <c r="R32" s="229">
        <f>'CAM Shops'!DU36</f>
        <v>620.31981715872337</v>
      </c>
      <c r="S32" s="229">
        <f t="shared" ref="S32" si="5">SUM(D32:R32)</f>
        <v>5228.3595939978431</v>
      </c>
      <c r="T32" s="229">
        <f t="shared" ref="T32" si="6">S32-B32</f>
        <v>-6690.2654060021569</v>
      </c>
      <c r="U32" s="400">
        <f t="shared" ref="U32" si="7">IFERROR(T32/B32,0)</f>
        <v>-0.56132862691813501</v>
      </c>
    </row>
    <row r="33" spans="1:21">
      <c r="A33" s="2"/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400"/>
    </row>
    <row r="34" spans="1:21">
      <c r="A34" s="2"/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42"/>
    </row>
    <row r="35" spans="1:21" s="94" customFormat="1">
      <c r="A35" s="401" t="str">
        <f>Summary!B55</f>
        <v>SUBTOTAL COMMON AREA</v>
      </c>
      <c r="B35" s="402">
        <f>SUM(B11:B32)</f>
        <v>158039.82500000001</v>
      </c>
      <c r="C35" s="402">
        <f t="shared" ref="C35:S35" si="8">SUM(C11:C32)</f>
        <v>0</v>
      </c>
      <c r="D35" s="402">
        <f t="shared" si="8"/>
        <v>75532.676601338084</v>
      </c>
      <c r="E35" s="402">
        <f t="shared" si="8"/>
        <v>7002.3109926302268</v>
      </c>
      <c r="F35" s="402">
        <f t="shared" si="8"/>
        <v>2560.3145907486451</v>
      </c>
      <c r="G35" s="402">
        <f t="shared" si="8"/>
        <v>3267.745129894106</v>
      </c>
      <c r="H35" s="402">
        <f t="shared" si="8"/>
        <v>2595.5232746016036</v>
      </c>
      <c r="I35" s="402">
        <f t="shared" si="8"/>
        <v>5821.2545385399271</v>
      </c>
      <c r="J35" s="402">
        <f t="shared" si="8"/>
        <v>3501.1554963151134</v>
      </c>
      <c r="K35" s="402">
        <f t="shared" si="8"/>
        <v>2732.0526156050155</v>
      </c>
      <c r="L35" s="402">
        <f t="shared" si="8"/>
        <v>9103.0042904192942</v>
      </c>
      <c r="M35" s="402">
        <f t="shared" si="8"/>
        <v>3003.9914158383672</v>
      </c>
      <c r="N35" s="402">
        <f t="shared" si="8"/>
        <v>3825.5959056403126</v>
      </c>
      <c r="O35" s="402">
        <f t="shared" si="8"/>
        <v>8402.7731911562732</v>
      </c>
      <c r="P35" s="402">
        <f t="shared" si="8"/>
        <v>3704.2225151013904</v>
      </c>
      <c r="Q35" s="402">
        <f t="shared" si="8"/>
        <v>3034.3347634730981</v>
      </c>
      <c r="R35" s="402">
        <f t="shared" si="8"/>
        <v>8225.3813126763052</v>
      </c>
      <c r="S35" s="402">
        <f t="shared" si="8"/>
        <v>142312.3366339778</v>
      </c>
      <c r="T35" s="402">
        <f>S35-B35</f>
        <v>-15727.488366022211</v>
      </c>
      <c r="U35" s="403">
        <f>T35/B35</f>
        <v>-9.9515981911661888E-2</v>
      </c>
    </row>
    <row r="36" spans="1:21" s="94" customFormat="1">
      <c r="A36" s="88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90"/>
      <c r="U36" s="404"/>
    </row>
    <row r="37" spans="1:21" s="94" customFormat="1">
      <c r="A37" s="253" t="str">
        <f>Summary!B57</f>
        <v>BUILDING EXPENSE</v>
      </c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90"/>
      <c r="U37" s="404"/>
    </row>
    <row r="38" spans="1:21" s="94" customFormat="1">
      <c r="A38" s="226" t="str">
        <f>Summary!B58</f>
        <v>Roof Maintenance</v>
      </c>
      <c r="B38" s="229">
        <f>Summary!O58</f>
        <v>10000</v>
      </c>
      <c r="C38" s="307"/>
      <c r="D38" s="229">
        <f>'CAM Majors'!L41</f>
        <v>0</v>
      </c>
      <c r="E38" s="229">
        <f>'CAM Shops'!G41</f>
        <v>917.17875813996147</v>
      </c>
      <c r="F38" s="229">
        <f>'CAM Shops'!Q41</f>
        <v>496.80516065914583</v>
      </c>
      <c r="G38" s="229">
        <f>'CAM Shops'!Z41</f>
        <v>428.01675379864866</v>
      </c>
      <c r="H38" s="229">
        <f>'CAM Shops'!AI41</f>
        <v>339.96759301721238</v>
      </c>
      <c r="I38" s="229">
        <f>'CAM Shops'!AR41</f>
        <v>762.48127426702126</v>
      </c>
      <c r="J38" s="229">
        <f>'CAM Shops'!BA41</f>
        <v>458.58937906998074</v>
      </c>
      <c r="K38" s="229">
        <f>'CAM Shops'!BJ41</f>
        <v>530.12932220489768</v>
      </c>
      <c r="L38" s="229">
        <f>'CAM Shops'!BS41</f>
        <v>1192.3323855819499</v>
      </c>
      <c r="M38" s="229">
        <f>'CAM Shops'!CB41</f>
        <v>393.46968724204345</v>
      </c>
      <c r="N38" s="229">
        <f>'CAM Shops'!CK41</f>
        <v>501.0853281971323</v>
      </c>
      <c r="O38" s="229">
        <f>'CAM Shops'!CT41</f>
        <v>1100.6145097679537</v>
      </c>
      <c r="P38" s="229">
        <f>'CAM Shops'!DC41</f>
        <v>485.18756305603961</v>
      </c>
      <c r="Q38" s="229">
        <f>'CAM Shops'!DL41</f>
        <v>397.44412852731665</v>
      </c>
      <c r="R38" s="229">
        <f>'CAM Shops'!DU41</f>
        <v>1077.3793145617412</v>
      </c>
      <c r="S38" s="229">
        <f t="shared" ref="S38:S46" si="9">SUM(D38:R38)</f>
        <v>9080.6811580910453</v>
      </c>
      <c r="T38" s="229">
        <f t="shared" ref="T38:T45" si="10">S38-B38</f>
        <v>-919.31884190895471</v>
      </c>
      <c r="U38" s="400">
        <f>IFERROR(T38/B38,0)</f>
        <v>-9.1931884190895471E-2</v>
      </c>
    </row>
    <row r="39" spans="1:21" s="94" customFormat="1">
      <c r="A39" s="226" t="str">
        <f>Summary!B59</f>
        <v>Roof Repairs</v>
      </c>
      <c r="B39" s="229">
        <f>Summary!O59</f>
        <v>0</v>
      </c>
      <c r="C39" s="307"/>
      <c r="D39" s="229">
        <f>'CAM Majors'!L42</f>
        <v>0</v>
      </c>
      <c r="E39" s="229">
        <f>'CAM Shops'!G42</f>
        <v>0</v>
      </c>
      <c r="F39" s="229">
        <f>'CAM Shops'!Q42</f>
        <v>0</v>
      </c>
      <c r="G39" s="229">
        <f>'CAM Shops'!Z42</f>
        <v>0</v>
      </c>
      <c r="H39" s="229">
        <f>'CAM Shops'!AI42</f>
        <v>0</v>
      </c>
      <c r="I39" s="229">
        <f>'CAM Shops'!AR42</f>
        <v>0</v>
      </c>
      <c r="J39" s="229">
        <f>'CAM Shops'!BA42</f>
        <v>0</v>
      </c>
      <c r="K39" s="229">
        <f>'CAM Shops'!BJ42</f>
        <v>0</v>
      </c>
      <c r="L39" s="229">
        <f>'CAM Shops'!BS42</f>
        <v>0</v>
      </c>
      <c r="M39" s="229">
        <f>'CAM Shops'!CB42</f>
        <v>0</v>
      </c>
      <c r="N39" s="229">
        <f>'CAM Shops'!CK42</f>
        <v>0</v>
      </c>
      <c r="O39" s="229">
        <f>'CAM Shops'!CT42</f>
        <v>0</v>
      </c>
      <c r="P39" s="229">
        <f>'CAM Shops'!DC42</f>
        <v>0</v>
      </c>
      <c r="Q39" s="229">
        <f>'CAM Shops'!DL42</f>
        <v>0</v>
      </c>
      <c r="R39" s="229">
        <f>'CAM Shops'!DU42</f>
        <v>0</v>
      </c>
      <c r="S39" s="229">
        <f t="shared" si="9"/>
        <v>0</v>
      </c>
      <c r="T39" s="229">
        <f t="shared" si="10"/>
        <v>0</v>
      </c>
      <c r="U39" s="400" t="e">
        <f>T39/B39</f>
        <v>#DIV/0!</v>
      </c>
    </row>
    <row r="40" spans="1:21" s="94" customFormat="1">
      <c r="A40" s="226" t="str">
        <f>Summary!B60</f>
        <v>Monitor Fire Sprinklers</v>
      </c>
      <c r="B40" s="229">
        <f>Summary!O60</f>
        <v>2148</v>
      </c>
      <c r="C40" s="307"/>
      <c r="D40" s="229">
        <f>'CAM Majors'!L43</f>
        <v>0</v>
      </c>
      <c r="E40" s="229">
        <f>'CAM Shops'!G43</f>
        <v>197.00999724846375</v>
      </c>
      <c r="F40" s="229">
        <f>'CAM Shops'!Q43</f>
        <v>106.71374850958452</v>
      </c>
      <c r="G40" s="229">
        <f>'CAM Shops'!Z43</f>
        <v>91.937998715949732</v>
      </c>
      <c r="H40" s="229">
        <f>'CAM Shops'!AI43</f>
        <v>73.025038980097221</v>
      </c>
      <c r="I40" s="229">
        <f>'CAM Shops'!AR43</f>
        <v>163.78097771255617</v>
      </c>
      <c r="J40" s="229">
        <f>'CAM Shops'!BA43</f>
        <v>98.504998624231874</v>
      </c>
      <c r="K40" s="229">
        <f>'CAM Shops'!BJ43</f>
        <v>113.87177840961203</v>
      </c>
      <c r="L40" s="229">
        <f>'CAM Shops'!BS43</f>
        <v>256.11299642300287</v>
      </c>
      <c r="M40" s="229">
        <f>'CAM Shops'!CB43</f>
        <v>84.517288819590931</v>
      </c>
      <c r="N40" s="229">
        <f>'CAM Shops'!CK43</f>
        <v>107.63312849674402</v>
      </c>
      <c r="O40" s="229">
        <f>'CAM Shops'!CT43</f>
        <v>236.41199669815646</v>
      </c>
      <c r="P40" s="229">
        <f>'CAM Shops'!DC43</f>
        <v>104.21828854443731</v>
      </c>
      <c r="Q40" s="229">
        <f>'CAM Shops'!DL43</f>
        <v>85.370998807667618</v>
      </c>
      <c r="R40" s="229">
        <f>'CAM Shops'!DU43</f>
        <v>231.42107676786205</v>
      </c>
      <c r="S40" s="229">
        <f t="shared" si="9"/>
        <v>1950.5303127579566</v>
      </c>
      <c r="T40" s="229">
        <f t="shared" si="10"/>
        <v>-197.46968724204339</v>
      </c>
      <c r="U40" s="400">
        <v>0</v>
      </c>
    </row>
    <row r="41" spans="1:21" s="94" customFormat="1">
      <c r="A41" s="226" t="str">
        <f>Summary!B61</f>
        <v>Fire Protection Repairs</v>
      </c>
      <c r="B41" s="229">
        <f>Summary!O61</f>
        <v>3400</v>
      </c>
      <c r="C41" s="307"/>
      <c r="D41" s="229">
        <f>'CAM Majors'!L44</f>
        <v>0</v>
      </c>
      <c r="E41" s="229">
        <f>'CAM Shops'!G44</f>
        <v>311.84077776758693</v>
      </c>
      <c r="F41" s="229">
        <f>'CAM Shops'!Q44</f>
        <v>168.91375462410957</v>
      </c>
      <c r="G41" s="229">
        <f>'CAM Shops'!Z44</f>
        <v>145.52569629154056</v>
      </c>
      <c r="H41" s="229">
        <f>'CAM Shops'!AI44</f>
        <v>115.58898162585221</v>
      </c>
      <c r="I41" s="229">
        <f>'CAM Shops'!AR44</f>
        <v>259.24363325078724</v>
      </c>
      <c r="J41" s="229">
        <f>'CAM Shops'!BA44</f>
        <v>155.92038888379346</v>
      </c>
      <c r="K41" s="229">
        <f>'CAM Shops'!BJ44</f>
        <v>180.24396954966522</v>
      </c>
      <c r="L41" s="229">
        <f>'CAM Shops'!BS44</f>
        <v>405.393011097863</v>
      </c>
      <c r="M41" s="229">
        <f>'CAM Shops'!CB44</f>
        <v>133.77969366229476</v>
      </c>
      <c r="N41" s="229">
        <f>'CAM Shops'!CK44</f>
        <v>170.369011587025</v>
      </c>
      <c r="O41" s="229">
        <f>'CAM Shops'!CT44</f>
        <v>374.20893332110427</v>
      </c>
      <c r="P41" s="229">
        <f>'CAM Shops'!DC44</f>
        <v>164.96377143905346</v>
      </c>
      <c r="Q41" s="229">
        <f>'CAM Shops'!DL44</f>
        <v>135.13100369928765</v>
      </c>
      <c r="R41" s="229">
        <f>'CAM Shops'!DU44</f>
        <v>366.30896695099204</v>
      </c>
      <c r="S41" s="229">
        <f t="shared" si="9"/>
        <v>3087.4315937509546</v>
      </c>
      <c r="T41" s="229">
        <f t="shared" si="10"/>
        <v>-312.56840624904544</v>
      </c>
      <c r="U41" s="400">
        <v>0</v>
      </c>
    </row>
    <row r="42" spans="1:21" s="94" customFormat="1">
      <c r="A42" s="226" t="str">
        <f>Summary!B62</f>
        <v>Backflow Maintenance</v>
      </c>
      <c r="B42" s="229">
        <f>Summary!O62</f>
        <v>1000</v>
      </c>
      <c r="C42" s="307"/>
      <c r="D42" s="229">
        <f>'CAM Majors'!L45</f>
        <v>0</v>
      </c>
      <c r="E42" s="229">
        <f>'CAM Shops'!G45</f>
        <v>91.717875813996159</v>
      </c>
      <c r="F42" s="229">
        <f>'CAM Shops'!Q45</f>
        <v>49.680516065914581</v>
      </c>
      <c r="G42" s="229">
        <f>'CAM Shops'!Z45</f>
        <v>42.801675379864868</v>
      </c>
      <c r="H42" s="229">
        <f>'CAM Shops'!AI45</f>
        <v>33.996759301721241</v>
      </c>
      <c r="I42" s="229">
        <f>'CAM Shops'!AR45</f>
        <v>76.248127426702126</v>
      </c>
      <c r="J42" s="229">
        <f>'CAM Shops'!BA45</f>
        <v>45.858937906998079</v>
      </c>
      <c r="K42" s="229">
        <f>'CAM Shops'!BJ45</f>
        <v>53.012932220489773</v>
      </c>
      <c r="L42" s="229">
        <f>'CAM Shops'!BS45</f>
        <v>119.233238558195</v>
      </c>
      <c r="M42" s="229">
        <f>'CAM Shops'!CB45</f>
        <v>39.346968724204345</v>
      </c>
      <c r="N42" s="229">
        <f>'CAM Shops'!CK45</f>
        <v>50.108532819713233</v>
      </c>
      <c r="O42" s="229">
        <f>'CAM Shops'!CT45</f>
        <v>110.06145097679537</v>
      </c>
      <c r="P42" s="229">
        <f>'CAM Shops'!DC45</f>
        <v>48.518756305603965</v>
      </c>
      <c r="Q42" s="229">
        <f>'CAM Shops'!DL45</f>
        <v>39.744412852731664</v>
      </c>
      <c r="R42" s="229">
        <f>'CAM Shops'!DU45</f>
        <v>107.73793145617414</v>
      </c>
      <c r="S42" s="229">
        <f t="shared" si="9"/>
        <v>908.06811580910448</v>
      </c>
      <c r="T42" s="229">
        <f t="shared" si="10"/>
        <v>-91.931884190895516</v>
      </c>
      <c r="U42" s="400">
        <f>T42/B42</f>
        <v>-9.1931884190895513E-2</v>
      </c>
    </row>
    <row r="43" spans="1:21" s="94" customFormat="1">
      <c r="A43" s="226" t="str">
        <f>Summary!B63</f>
        <v>Backflow Repairs</v>
      </c>
      <c r="B43" s="229">
        <f>Summary!O63</f>
        <v>500</v>
      </c>
      <c r="C43" s="307"/>
      <c r="D43" s="229">
        <f>'CAM Majors'!L46</f>
        <v>0</v>
      </c>
      <c r="E43" s="229">
        <f>'CAM Shops'!G46</f>
        <v>45.858937906998079</v>
      </c>
      <c r="F43" s="229">
        <f>'CAM Shops'!Q46</f>
        <v>24.840258032957291</v>
      </c>
      <c r="G43" s="229">
        <f>'CAM Shops'!Z46</f>
        <v>21.400837689932434</v>
      </c>
      <c r="H43" s="229">
        <f>'CAM Shops'!AI46</f>
        <v>16.99837965086062</v>
      </c>
      <c r="I43" s="229">
        <f>'CAM Shops'!AR46</f>
        <v>38.124063713351063</v>
      </c>
      <c r="J43" s="229">
        <f>'CAM Shops'!BA46</f>
        <v>22.92946895349904</v>
      </c>
      <c r="K43" s="229">
        <f>'CAM Shops'!BJ46</f>
        <v>26.506466110244887</v>
      </c>
      <c r="L43" s="229">
        <f>'CAM Shops'!BS46</f>
        <v>59.616619279097499</v>
      </c>
      <c r="M43" s="229">
        <f>'CAM Shops'!CB46</f>
        <v>19.673484362102172</v>
      </c>
      <c r="N43" s="229">
        <f>'CAM Shops'!CK46</f>
        <v>25.054266409856616</v>
      </c>
      <c r="O43" s="229">
        <f>'CAM Shops'!CT46</f>
        <v>55.030725488397685</v>
      </c>
      <c r="P43" s="229">
        <f>'CAM Shops'!DC46</f>
        <v>24.259378152801983</v>
      </c>
      <c r="Q43" s="229">
        <f>'CAM Shops'!DL46</f>
        <v>19.872206426365832</v>
      </c>
      <c r="R43" s="229">
        <f>'CAM Shops'!DU46</f>
        <v>53.868965728087069</v>
      </c>
      <c r="S43" s="229">
        <f t="shared" si="9"/>
        <v>454.03405790455224</v>
      </c>
      <c r="T43" s="229">
        <f t="shared" si="10"/>
        <v>-45.965942095447758</v>
      </c>
      <c r="U43" s="400">
        <f>T43/B43</f>
        <v>-9.1931884190895513E-2</v>
      </c>
    </row>
    <row r="44" spans="1:21" s="94" customFormat="1">
      <c r="A44" s="226" t="str">
        <f>Summary!B64</f>
        <v>Trash Removal</v>
      </c>
      <c r="B44" s="229">
        <f>Summary!O64</f>
        <v>13781.400000000003</v>
      </c>
      <c r="C44" s="307"/>
      <c r="D44" s="229">
        <f>'CAM Majors'!L47</f>
        <v>0</v>
      </c>
      <c r="E44" s="229">
        <f>'CAM Shops'!G47</f>
        <v>1264.0007337430068</v>
      </c>
      <c r="F44" s="229">
        <f>'CAM Shops'!Q47</f>
        <v>684.66706411079531</v>
      </c>
      <c r="G44" s="229">
        <f>'CAM Shops'!Z47</f>
        <v>589.86700908006981</v>
      </c>
      <c r="H44" s="229">
        <f>'CAM Shops'!AI47</f>
        <v>468.52293864074119</v>
      </c>
      <c r="I44" s="229">
        <f>'CAM Shops'!AR47</f>
        <v>1050.805943318353</v>
      </c>
      <c r="J44" s="229">
        <f>'CAM Shops'!BA47</f>
        <v>632.00036687150339</v>
      </c>
      <c r="K44" s="229">
        <f>'CAM Shops'!BJ47</f>
        <v>730.59242410345792</v>
      </c>
      <c r="L44" s="229">
        <f>'CAM Shops'!BS47</f>
        <v>1643.200953865909</v>
      </c>
      <c r="M44" s="229">
        <f>'CAM Shops'!CB47</f>
        <v>542.25631477574984</v>
      </c>
      <c r="N44" s="229">
        <f>'CAM Shops'!CK47</f>
        <v>690.56573420159611</v>
      </c>
      <c r="O44" s="229">
        <f>'CAM Shops'!CT47</f>
        <v>1516.800880491608</v>
      </c>
      <c r="P44" s="229">
        <f>'CAM Shops'!DC47</f>
        <v>668.65638815005059</v>
      </c>
      <c r="Q44" s="229">
        <f>'CAM Shops'!DL47</f>
        <v>547.73365128863622</v>
      </c>
      <c r="R44" s="229">
        <f>'CAM Shops'!DU47</f>
        <v>1484.7795285701186</v>
      </c>
      <c r="S44" s="229">
        <f t="shared" si="9"/>
        <v>12514.449931211595</v>
      </c>
      <c r="T44" s="229">
        <f t="shared" si="10"/>
        <v>-1266.9500687884083</v>
      </c>
      <c r="U44" s="400">
        <f>T44/B44</f>
        <v>-9.1931884190895555E-2</v>
      </c>
    </row>
    <row r="45" spans="1:21" s="94" customFormat="1">
      <c r="A45" s="226" t="str">
        <f>Summary!B65</f>
        <v>Water/Building</v>
      </c>
      <c r="B45" s="229">
        <f>Summary!O65</f>
        <v>33495.599999999999</v>
      </c>
      <c r="C45" s="307"/>
      <c r="D45" s="229">
        <f>'CAM Majors'!L48</f>
        <v>0</v>
      </c>
      <c r="E45" s="229">
        <f>'CAM Shops'!G48</f>
        <v>3072.1452811152894</v>
      </c>
      <c r="F45" s="229">
        <f>'CAM Shops'!Q48</f>
        <v>1664.0786939374484</v>
      </c>
      <c r="G45" s="229">
        <f>'CAM Shops'!Z48</f>
        <v>1433.6677978538016</v>
      </c>
      <c r="H45" s="229">
        <f>'CAM Shops'!AI48</f>
        <v>1138.741850866734</v>
      </c>
      <c r="I45" s="229">
        <f>'CAM Shops'!AR48</f>
        <v>2553.976777033844</v>
      </c>
      <c r="J45" s="229">
        <f>'CAM Shops'!BA48</f>
        <v>1536.0726405576447</v>
      </c>
      <c r="K45" s="229">
        <f>'CAM Shops'!BJ48</f>
        <v>1775.6999724846371</v>
      </c>
      <c r="L45" s="229">
        <f>'CAM Shops'!BS48</f>
        <v>3993.7888654498761</v>
      </c>
      <c r="M45" s="229">
        <f>'CAM Shops'!CB48</f>
        <v>1317.9503255984589</v>
      </c>
      <c r="N45" s="229">
        <f>'CAM Shops'!CK48</f>
        <v>1678.4153719159865</v>
      </c>
      <c r="O45" s="229">
        <f>'CAM Shops'!CT48</f>
        <v>3686.574337338347</v>
      </c>
      <c r="P45" s="229">
        <f>'CAM Shops'!DC48</f>
        <v>1625.1648537099879</v>
      </c>
      <c r="Q45" s="229">
        <f>'CAM Shops'!DL48</f>
        <v>1331.2629551499585</v>
      </c>
      <c r="R45" s="229">
        <f>'CAM Shops'!DU48</f>
        <v>3608.7466568834261</v>
      </c>
      <c r="S45" s="229">
        <f t="shared" si="9"/>
        <v>30416.286379895442</v>
      </c>
      <c r="T45" s="229">
        <f t="shared" si="10"/>
        <v>-3079.3136201045563</v>
      </c>
      <c r="U45" s="400">
        <f>T45/B45</f>
        <v>-9.1931884190895416E-2</v>
      </c>
    </row>
    <row r="46" spans="1:21" s="94" customFormat="1">
      <c r="A46" s="405" t="s">
        <v>420</v>
      </c>
      <c r="B46" s="307"/>
      <c r="C46" s="307"/>
      <c r="D46" s="180">
        <f>'CAM Majors'!N78</f>
        <v>-38600.775096538797</v>
      </c>
      <c r="E46" s="180"/>
      <c r="F46" s="180">
        <f>'CAM Shops'!S80</f>
        <v>-1920.1769654975524</v>
      </c>
      <c r="G46" s="180"/>
      <c r="H46" s="180"/>
      <c r="I46" s="180">
        <f>'CAM Shops'!AT80</f>
        <v>-7257.8994512601821</v>
      </c>
      <c r="J46" s="180"/>
      <c r="K46" s="180">
        <f>'CAM Shops'!BL81</f>
        <v>-5183.0784826087938</v>
      </c>
      <c r="L46" s="180"/>
      <c r="M46" s="180"/>
      <c r="N46" s="180"/>
      <c r="O46" s="180">
        <f>'CAM Shops'!CV81</f>
        <v>-9364.9432691965667</v>
      </c>
      <c r="P46" s="180">
        <f>'CAM Shops'!DE81</f>
        <v>-5103.9499326902287</v>
      </c>
      <c r="Q46" s="180">
        <f>'CAM Shops'!DN81</f>
        <v>-1341.0840813980412</v>
      </c>
      <c r="R46" s="180"/>
      <c r="S46" s="180">
        <f t="shared" si="9"/>
        <v>-68771.907279190156</v>
      </c>
      <c r="T46" s="181"/>
      <c r="U46" s="182"/>
    </row>
    <row r="47" spans="1:21" s="94" customFormat="1">
      <c r="A47" s="130" t="str">
        <f>Summary!B67</f>
        <v>SUBTOTAL BUILDING EXP.</v>
      </c>
      <c r="B47" s="402">
        <f>SUM(B38:B45)</f>
        <v>64325</v>
      </c>
      <c r="C47" s="402"/>
      <c r="D47" s="402">
        <f>SUM(D38:D46)</f>
        <v>-38600.775096538797</v>
      </c>
      <c r="E47" s="402">
        <f t="shared" ref="E47:R47" si="11">SUM(E38:E46)</f>
        <v>5899.7523617353027</v>
      </c>
      <c r="F47" s="402">
        <f t="shared" si="11"/>
        <v>1275.5222304424033</v>
      </c>
      <c r="G47" s="402">
        <f t="shared" si="11"/>
        <v>2753.2177688098072</v>
      </c>
      <c r="H47" s="402">
        <f t="shared" si="11"/>
        <v>2186.8415420832189</v>
      </c>
      <c r="I47" s="402">
        <f t="shared" si="11"/>
        <v>-2353.2386545375675</v>
      </c>
      <c r="J47" s="402">
        <f t="shared" si="11"/>
        <v>2949.8761808676513</v>
      </c>
      <c r="K47" s="402">
        <f t="shared" si="11"/>
        <v>-1773.0216175257892</v>
      </c>
      <c r="L47" s="402">
        <f t="shared" si="11"/>
        <v>7669.6780702558935</v>
      </c>
      <c r="M47" s="402">
        <f t="shared" si="11"/>
        <v>2530.9937631844441</v>
      </c>
      <c r="N47" s="402">
        <f t="shared" si="11"/>
        <v>3223.2313736280539</v>
      </c>
      <c r="O47" s="402">
        <f t="shared" si="11"/>
        <v>-2285.240435114205</v>
      </c>
      <c r="P47" s="402">
        <f t="shared" si="11"/>
        <v>-1982.9809333322537</v>
      </c>
      <c r="Q47" s="402">
        <f t="shared" si="11"/>
        <v>1215.4752753539228</v>
      </c>
      <c r="R47" s="402">
        <f t="shared" si="11"/>
        <v>6930.2424409184014</v>
      </c>
      <c r="S47" s="402">
        <f>SUM(S38:S46)</f>
        <v>-10360.425729769508</v>
      </c>
      <c r="T47" s="402">
        <f>S47-B47</f>
        <v>-74685.425729769515</v>
      </c>
      <c r="U47" s="403">
        <f>T47/B47</f>
        <v>-1.1610637501713099</v>
      </c>
    </row>
    <row r="48" spans="1:21" s="94" customFormat="1">
      <c r="A48" s="88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90"/>
      <c r="U48" s="404"/>
    </row>
    <row r="49" spans="1:21">
      <c r="A49" s="51" t="str">
        <f>Summary!B69</f>
        <v>INSURANCE</v>
      </c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42"/>
    </row>
    <row r="50" spans="1:21">
      <c r="A50" s="2" t="str">
        <f>Summary!B70</f>
        <v>Insurance - Property</v>
      </c>
      <c r="B50" s="229">
        <f>Summary!O70</f>
        <v>28129.200000000001</v>
      </c>
      <c r="C50" s="229"/>
      <c r="D50" s="229">
        <f>'CAM Majors'!L53</f>
        <v>14540.489447488519</v>
      </c>
      <c r="E50" s="229">
        <f>'CAM Shops'!G53</f>
        <v>1246.3276669275872</v>
      </c>
      <c r="F50" s="229">
        <f>'CAM Shops'!Q53</f>
        <v>675.09415291910977</v>
      </c>
      <c r="G50" s="229">
        <f>'CAM Shops'!Z53</f>
        <v>581.61957789954067</v>
      </c>
      <c r="H50" s="229">
        <f>'CAM Shops'!AI53</f>
        <v>461.9721218744923</v>
      </c>
      <c r="I50" s="229">
        <f>'CAM Shops'!AR53</f>
        <v>1036.1137337724674</v>
      </c>
      <c r="J50" s="229">
        <f>'CAM Shops'!BA53</f>
        <v>623.16383346379359</v>
      </c>
      <c r="K50" s="229">
        <f>'CAM Shops'!BJ53</f>
        <v>720.37739148414539</v>
      </c>
      <c r="L50" s="229">
        <f>'CAM Shops'!BS53</f>
        <v>1620.2259670058634</v>
      </c>
      <c r="M50" s="229">
        <f>'CAM Shops'!CB53</f>
        <v>534.67456911193483</v>
      </c>
      <c r="N50" s="229">
        <f>'CAM Shops'!CK53</f>
        <v>680.91034869810517</v>
      </c>
      <c r="O50" s="229">
        <f>'CAM Shops'!CT53</f>
        <v>1495.5932003131047</v>
      </c>
      <c r="P50" s="229">
        <f>'CAM Shops'!DC53</f>
        <v>659.30733580469359</v>
      </c>
      <c r="Q50" s="229">
        <f>'CAM Shops'!DL53</f>
        <v>540.07532233528786</v>
      </c>
      <c r="R50" s="229">
        <f>'CAM Shops'!DU53</f>
        <v>1464.0195660842726</v>
      </c>
      <c r="S50" s="229">
        <f>SUM(D50:R50)</f>
        <v>26879.964235182921</v>
      </c>
      <c r="T50" s="229">
        <f>S50-B50</f>
        <v>-1249.2357648170801</v>
      </c>
      <c r="U50" s="400">
        <f>T50/B50</f>
        <v>-4.4410639649086363E-2</v>
      </c>
    </row>
    <row r="51" spans="1:21">
      <c r="A51" s="2" t="str">
        <f>Summary!B71</f>
        <v>Insurance - Liability</v>
      </c>
      <c r="B51" s="229">
        <f>Summary!O71</f>
        <v>0</v>
      </c>
      <c r="C51" s="229"/>
      <c r="D51" s="229">
        <f>'CAM Majors'!L54</f>
        <v>0</v>
      </c>
      <c r="E51" s="229">
        <f>'CAM Shops'!G54</f>
        <v>0</v>
      </c>
      <c r="F51" s="229">
        <f>'CAM Shops'!Q54</f>
        <v>0</v>
      </c>
      <c r="G51" s="229">
        <f>'CAM Shops'!Z54</f>
        <v>0</v>
      </c>
      <c r="H51" s="229">
        <f>'CAM Shops'!AI54</f>
        <v>0</v>
      </c>
      <c r="I51" s="229">
        <f>'CAM Shops'!AR54</f>
        <v>0</v>
      </c>
      <c r="J51" s="229">
        <f>'CAM Shops'!BA54</f>
        <v>0</v>
      </c>
      <c r="K51" s="229">
        <f>'CAM Shops'!BJ54</f>
        <v>0</v>
      </c>
      <c r="L51" s="229">
        <f>'CAM Shops'!BS54</f>
        <v>0</v>
      </c>
      <c r="M51" s="229">
        <f>'CAM Shops'!CB54</f>
        <v>0</v>
      </c>
      <c r="N51" s="229">
        <f>'CAM Shops'!CK54</f>
        <v>0</v>
      </c>
      <c r="O51" s="229">
        <f>'CAM Shops'!CT54</f>
        <v>0</v>
      </c>
      <c r="P51" s="229">
        <f>'CAM Shops'!DC54</f>
        <v>0</v>
      </c>
      <c r="Q51" s="229">
        <f>'CAM Shops'!DL54</f>
        <v>0</v>
      </c>
      <c r="R51" s="229">
        <f>'CAM Shops'!DU54</f>
        <v>0</v>
      </c>
      <c r="S51" s="229">
        <f>SUM(D51:R51)</f>
        <v>0</v>
      </c>
      <c r="T51" s="229">
        <f>S51-B51</f>
        <v>0</v>
      </c>
      <c r="U51" s="400">
        <f t="shared" ref="U51:U52" si="12">IFERROR(T51/B51,0)</f>
        <v>0</v>
      </c>
    </row>
    <row r="52" spans="1:21">
      <c r="A52" s="2" t="str">
        <f>Summary!B72</f>
        <v>Insurance - Umbrella</v>
      </c>
      <c r="B52" s="229">
        <f>Summary!O72</f>
        <v>3831.3</v>
      </c>
      <c r="C52" s="229"/>
      <c r="D52" s="229">
        <f>'CAM Majors'!L55</f>
        <v>1980.4678846239055</v>
      </c>
      <c r="E52" s="229">
        <f>'CAM Shops'!G55</f>
        <v>169.75439011062045</v>
      </c>
      <c r="F52" s="229">
        <f>'CAM Shops'!Q55</f>
        <v>91.950294643252747</v>
      </c>
      <c r="G52" s="229">
        <f>'CAM Shops'!Z55</f>
        <v>79.218715384956212</v>
      </c>
      <c r="H52" s="229">
        <f>'CAM Shops'!AI55</f>
        <v>62.922293934336643</v>
      </c>
      <c r="I52" s="229">
        <f>'CAM Shops'!AR55</f>
        <v>141.12248297862914</v>
      </c>
      <c r="J52" s="229">
        <f>'CAM Shops'!BA55</f>
        <v>84.877195055310224</v>
      </c>
      <c r="K52" s="229">
        <f>'CAM Shops'!BJ55</f>
        <v>98.118037483938622</v>
      </c>
      <c r="L52" s="229">
        <f>'CAM Shops'!BS55</f>
        <v>220.68070714380659</v>
      </c>
      <c r="M52" s="229">
        <f>'CAM Shops'!CB55</f>
        <v>72.824633357456179</v>
      </c>
      <c r="N52" s="229">
        <f>'CAM Shops'!CK55</f>
        <v>92.7424817971023</v>
      </c>
      <c r="O52" s="229">
        <f>'CAM Shops'!CT55</f>
        <v>203.70526813274455</v>
      </c>
      <c r="P52" s="229">
        <f>'CAM Shops'!DC55</f>
        <v>89.800072368518229</v>
      </c>
      <c r="Q52" s="229">
        <f>'CAM Shops'!DL55</f>
        <v>73.5602357146022</v>
      </c>
      <c r="R52" s="229">
        <f>'CAM Shops'!DU55</f>
        <v>199.40482358327552</v>
      </c>
      <c r="S52" s="229">
        <f>SUM(D52:R52)</f>
        <v>3661.149516312455</v>
      </c>
      <c r="T52" s="229">
        <f>S52-B52</f>
        <v>-170.15048368754515</v>
      </c>
      <c r="U52" s="400">
        <f t="shared" si="12"/>
        <v>-4.4410639649086509E-2</v>
      </c>
    </row>
    <row r="53" spans="1:21">
      <c r="A53" s="2" t="str">
        <f>Summary!B73</f>
        <v>Insurance - Flood &amp; Earthquake</v>
      </c>
      <c r="B53" s="229">
        <f>Summary!O73</f>
        <v>0</v>
      </c>
      <c r="C53" s="229"/>
      <c r="D53" s="229">
        <f>'CAM Majors'!L56</f>
        <v>0</v>
      </c>
      <c r="E53" s="229">
        <f>'CAM Shops'!G56</f>
        <v>0</v>
      </c>
      <c r="F53" s="229">
        <f>'CAM Shops'!Q56</f>
        <v>0</v>
      </c>
      <c r="G53" s="229">
        <f>'CAM Shops'!Z56</f>
        <v>0</v>
      </c>
      <c r="H53" s="229">
        <f>'CAM Shops'!AI56</f>
        <v>0</v>
      </c>
      <c r="I53" s="229">
        <f>'CAM Shops'!AR56</f>
        <v>0</v>
      </c>
      <c r="J53" s="229">
        <f>'CAM Shops'!BA56</f>
        <v>0</v>
      </c>
      <c r="K53" s="229">
        <f>'CAM Shops'!BJ56</f>
        <v>0</v>
      </c>
      <c r="L53" s="229">
        <f>'CAM Shops'!BS56</f>
        <v>0</v>
      </c>
      <c r="M53" s="229">
        <f>'CAM Shops'!CB56</f>
        <v>0</v>
      </c>
      <c r="N53" s="229">
        <f>'CAM Shops'!CK56</f>
        <v>0</v>
      </c>
      <c r="O53" s="229">
        <f>'CAM Shops'!CT56</f>
        <v>0</v>
      </c>
      <c r="P53" s="229">
        <f>'CAM Shops'!DC56</f>
        <v>0</v>
      </c>
      <c r="Q53" s="229">
        <f>'CAM Shops'!DL56</f>
        <v>0</v>
      </c>
      <c r="R53" s="229">
        <f>'CAM Shops'!DU56</f>
        <v>0</v>
      </c>
      <c r="S53" s="229">
        <f>SUM(D53:R53)</f>
        <v>0</v>
      </c>
      <c r="T53" s="229">
        <f>S53-B53</f>
        <v>0</v>
      </c>
      <c r="U53" s="400">
        <v>0</v>
      </c>
    </row>
    <row r="54" spans="1:21">
      <c r="A54" s="2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"/>
    </row>
    <row r="55" spans="1:21" s="94" customFormat="1">
      <c r="A55" s="401" t="str">
        <f>Summary!B75</f>
        <v>SUBTOTAL INSURANCE</v>
      </c>
      <c r="B55" s="402">
        <f>SUM(B50:B53)</f>
        <v>31960.5</v>
      </c>
      <c r="C55" s="402"/>
      <c r="D55" s="402">
        <f t="shared" ref="D55:G55" si="13">SUM(D50:D53)</f>
        <v>16520.957332112423</v>
      </c>
      <c r="E55" s="402">
        <f t="shared" si="13"/>
        <v>1416.0820570382077</v>
      </c>
      <c r="F55" s="402">
        <f t="shared" si="13"/>
        <v>767.04444756236251</v>
      </c>
      <c r="G55" s="402">
        <f t="shared" si="13"/>
        <v>660.8382932844969</v>
      </c>
      <c r="H55" s="402">
        <f t="shared" ref="H55:M55" si="14">SUM(H50:H53)</f>
        <v>524.89441580882897</v>
      </c>
      <c r="I55" s="402">
        <f t="shared" si="14"/>
        <v>1177.2362167510964</v>
      </c>
      <c r="J55" s="402">
        <f t="shared" si="14"/>
        <v>708.04102851910386</v>
      </c>
      <c r="K55" s="402">
        <f t="shared" si="14"/>
        <v>818.49542896808407</v>
      </c>
      <c r="L55" s="402">
        <f t="shared" si="14"/>
        <v>1840.9066741496699</v>
      </c>
      <c r="M55" s="402">
        <f t="shared" si="14"/>
        <v>607.49920246939098</v>
      </c>
      <c r="N55" s="402">
        <f>SUM(N50:N53)</f>
        <v>773.65283049520747</v>
      </c>
      <c r="O55" s="402">
        <f>SUM(O50:O53)</f>
        <v>1699.2984684458493</v>
      </c>
      <c r="P55" s="402">
        <f>SUM(P50:P53)</f>
        <v>749.10740817321187</v>
      </c>
      <c r="Q55" s="402">
        <f>SUM(Q50:Q53)</f>
        <v>613.63555804989005</v>
      </c>
      <c r="R55" s="402">
        <f>SUM(R50:R53)</f>
        <v>1663.424389667548</v>
      </c>
      <c r="S55" s="402">
        <f>SUM(D55:R55)</f>
        <v>30541.11375149537</v>
      </c>
      <c r="T55" s="402">
        <f>S55-B55</f>
        <v>-1419.3862485046302</v>
      </c>
      <c r="U55" s="403">
        <f>T55/B55</f>
        <v>-4.4410639649086536E-2</v>
      </c>
    </row>
    <row r="56" spans="1:21">
      <c r="A56" s="2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42"/>
    </row>
    <row r="57" spans="1:21">
      <c r="A57" s="51" t="str">
        <f>Summary!B77</f>
        <v>PROPERTY TAXES</v>
      </c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42"/>
    </row>
    <row r="58" spans="1:21">
      <c r="A58" s="2" t="str">
        <f>Summary!B78</f>
        <v>Property Tax</v>
      </c>
      <c r="B58" s="229">
        <f>Summary!O78</f>
        <v>144492.76140000002</v>
      </c>
      <c r="C58" s="229"/>
      <c r="D58" s="229">
        <f>'CAM Majors'!L61</f>
        <v>74690.907397834861</v>
      </c>
      <c r="E58" s="229">
        <f>'CAM Shops'!G61</f>
        <v>6402.0777769572742</v>
      </c>
      <c r="F58" s="229">
        <f>'CAM Shops'!Q61</f>
        <v>3467.7921291851899</v>
      </c>
      <c r="G58" s="229">
        <f>'CAM Shops'!Z61</f>
        <v>2987.6362959133944</v>
      </c>
      <c r="H58" s="229">
        <f>'CAM Shops'!AI61</f>
        <v>2373.036829325496</v>
      </c>
      <c r="I58" s="229">
        <f>'CAM Shops'!AR61</f>
        <v>5322.2606585771464</v>
      </c>
      <c r="J58" s="229">
        <f>'CAM Shops'!BA61</f>
        <v>3201.0388884786371</v>
      </c>
      <c r="K58" s="229">
        <f>'CAM Shops'!BJ61</f>
        <v>3700.4009550813043</v>
      </c>
      <c r="L58" s="229">
        <f>'CAM Shops'!BS61</f>
        <v>8322.7011100444561</v>
      </c>
      <c r="M58" s="229">
        <f>'CAM Shops'!CB61</f>
        <v>2746.4913663146704</v>
      </c>
      <c r="N58" s="229">
        <f>'CAM Shops'!CK61</f>
        <v>3497.6684921443239</v>
      </c>
      <c r="O58" s="229">
        <f>'CAM Shops'!CT61</f>
        <v>7682.4933323487294</v>
      </c>
      <c r="P58" s="229">
        <f>'CAM Shops'!DC61</f>
        <v>3386.699144010398</v>
      </c>
      <c r="Q58" s="229">
        <f>'CAM Shops'!DL61</f>
        <v>2774.2337033481522</v>
      </c>
      <c r="R58" s="229">
        <f>'CAM Shops'!DU61</f>
        <v>7520.3073619991446</v>
      </c>
      <c r="S58" s="406">
        <f>SUM(D58:R58)</f>
        <v>138075.74544156319</v>
      </c>
      <c r="T58" s="406">
        <f>S58-B58</f>
        <v>-6417.015958436823</v>
      </c>
      <c r="U58" s="407">
        <f>T58/B58</f>
        <v>-4.4410639649086411E-2</v>
      </c>
    </row>
    <row r="59" spans="1:21">
      <c r="A59" s="2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406"/>
      <c r="T59" s="406"/>
      <c r="U59" s="408"/>
    </row>
    <row r="60" spans="1:21" s="94" customFormat="1">
      <c r="A60" s="401" t="str">
        <f>Summary!B80</f>
        <v>SUBTOTAL TAXES</v>
      </c>
      <c r="B60" s="402">
        <f>B58</f>
        <v>144492.76140000002</v>
      </c>
      <c r="C60" s="402"/>
      <c r="D60" s="402">
        <f>SUM(D58)</f>
        <v>74690.907397834861</v>
      </c>
      <c r="E60" s="402">
        <f t="shared" ref="E60:R60" si="15">SUM(E58)</f>
        <v>6402.0777769572742</v>
      </c>
      <c r="F60" s="402">
        <f t="shared" si="15"/>
        <v>3467.7921291851899</v>
      </c>
      <c r="G60" s="402">
        <f t="shared" si="15"/>
        <v>2987.6362959133944</v>
      </c>
      <c r="H60" s="402">
        <f>SUM(H58)</f>
        <v>2373.036829325496</v>
      </c>
      <c r="I60" s="402">
        <f t="shared" si="15"/>
        <v>5322.2606585771464</v>
      </c>
      <c r="J60" s="402">
        <f t="shared" si="15"/>
        <v>3201.0388884786371</v>
      </c>
      <c r="K60" s="402">
        <f t="shared" si="15"/>
        <v>3700.4009550813043</v>
      </c>
      <c r="L60" s="402">
        <f>SUM(L58)</f>
        <v>8322.7011100444561</v>
      </c>
      <c r="M60" s="402">
        <f t="shared" si="15"/>
        <v>2746.4913663146704</v>
      </c>
      <c r="N60" s="402">
        <f t="shared" si="15"/>
        <v>3497.6684921443239</v>
      </c>
      <c r="O60" s="402">
        <f t="shared" si="15"/>
        <v>7682.4933323487294</v>
      </c>
      <c r="P60" s="402">
        <f t="shared" si="15"/>
        <v>3386.699144010398</v>
      </c>
      <c r="Q60" s="402">
        <f t="shared" si="15"/>
        <v>2774.2337033481522</v>
      </c>
      <c r="R60" s="402">
        <f t="shared" si="15"/>
        <v>7520.3073619991446</v>
      </c>
      <c r="S60" s="409">
        <f>SUM(D60:R60)</f>
        <v>138075.74544156319</v>
      </c>
      <c r="T60" s="409">
        <f>S60-B60</f>
        <v>-6417.015958436823</v>
      </c>
      <c r="U60" s="410">
        <f>T60/B60</f>
        <v>-4.4410639649086411E-2</v>
      </c>
    </row>
    <row r="61" spans="1:21">
      <c r="A61" s="2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406"/>
      <c r="T61" s="406"/>
      <c r="U61" s="408"/>
    </row>
    <row r="62" spans="1:21" s="94" customFormat="1">
      <c r="A62" s="411" t="str">
        <f>Summary!B84</f>
        <v>TOTAL COMMON AREA</v>
      </c>
      <c r="B62" s="402">
        <f>B35+B55+B60+B47</f>
        <v>398818.08640000003</v>
      </c>
      <c r="C62" s="402"/>
      <c r="D62" s="402">
        <f t="shared" ref="D62:G62" si="16">D35+D55+D47+D60</f>
        <v>128143.76623474657</v>
      </c>
      <c r="E62" s="402">
        <f>E35+E55+E47+E60</f>
        <v>20720.223188361011</v>
      </c>
      <c r="F62" s="402">
        <f t="shared" si="16"/>
        <v>8070.6733979386008</v>
      </c>
      <c r="G62" s="402">
        <f t="shared" si="16"/>
        <v>9669.4374879018051</v>
      </c>
      <c r="H62" s="402">
        <f t="shared" ref="H62:R62" si="17">H35+H55+H47+H60</f>
        <v>7680.2960618191473</v>
      </c>
      <c r="I62" s="402">
        <f t="shared" si="17"/>
        <v>9967.5127593306024</v>
      </c>
      <c r="J62" s="402">
        <f t="shared" si="17"/>
        <v>10360.111594180506</v>
      </c>
      <c r="K62" s="402">
        <f t="shared" si="17"/>
        <v>5477.9273821286151</v>
      </c>
      <c r="L62" s="402">
        <f t="shared" si="17"/>
        <v>26936.290144869316</v>
      </c>
      <c r="M62" s="402">
        <f t="shared" si="17"/>
        <v>8888.9757478068732</v>
      </c>
      <c r="N62" s="402">
        <f t="shared" si="17"/>
        <v>11320.148601907898</v>
      </c>
      <c r="O62" s="402">
        <f t="shared" si="17"/>
        <v>15499.324556836647</v>
      </c>
      <c r="P62" s="402">
        <f t="shared" si="17"/>
        <v>5857.0481339527469</v>
      </c>
      <c r="Q62" s="402">
        <f t="shared" si="17"/>
        <v>7637.6793002250633</v>
      </c>
      <c r="R62" s="402">
        <f t="shared" si="17"/>
        <v>24339.355505261399</v>
      </c>
      <c r="S62" s="409">
        <f>SUM(D62:R62)</f>
        <v>300568.77009726677</v>
      </c>
      <c r="T62" s="409">
        <f>S62-B62</f>
        <v>-98249.316302733263</v>
      </c>
      <c r="U62" s="410">
        <f>T62/B62</f>
        <v>-0.24635120535680213</v>
      </c>
    </row>
    <row r="63" spans="1:21">
      <c r="A63" s="2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"/>
    </row>
    <row r="64" spans="1:21" s="94" customFormat="1">
      <c r="A64" s="412" t="s">
        <v>421</v>
      </c>
      <c r="B64" s="402">
        <f>Summary!O21</f>
        <v>2316.2695762943276</v>
      </c>
      <c r="C64" s="402"/>
      <c r="D64" s="402">
        <f>'CAM Majors'!M65</f>
        <v>11329.901490200711</v>
      </c>
      <c r="E64" s="402">
        <f>'CAM Shops'!H65</f>
        <v>1290.2063354365528</v>
      </c>
      <c r="F64" s="402">
        <f>'CAM Shops'!R65</f>
        <v>230.24055146754398</v>
      </c>
      <c r="G64" s="402">
        <f>'CAM Shops'!AA65</f>
        <v>0</v>
      </c>
      <c r="H64" s="402">
        <f>'CAM Shops'!AJ65</f>
        <v>0</v>
      </c>
      <c r="I64" s="402">
        <f>'CAM Shops'!AS65</f>
        <v>1935.1440000000002</v>
      </c>
      <c r="J64" s="402">
        <f>'CAM Shops'!BB65</f>
        <v>0</v>
      </c>
      <c r="K64" s="402">
        <f>'CAM Shops'!BK65</f>
        <v>307.10547403440103</v>
      </c>
      <c r="L64" s="402">
        <f>'CAM Shops'!BT65</f>
        <v>0</v>
      </c>
      <c r="M64" s="402">
        <f>'CAM Shops'!CC65</f>
        <v>1</v>
      </c>
      <c r="N64" s="402">
        <f>'CAM Shops'!CL65</f>
        <v>1</v>
      </c>
      <c r="O64" s="402">
        <f>'CAM Shops'!CU65</f>
        <v>3456</v>
      </c>
      <c r="P64" s="402">
        <f>'CAM Shops'!DD65</f>
        <v>682.51915144593647</v>
      </c>
      <c r="Q64" s="402">
        <f>'CAM Shops'!DM65</f>
        <v>838.63411803375925</v>
      </c>
      <c r="R64" s="402">
        <f>'CAM Shops'!DV65</f>
        <v>757.78118767973535</v>
      </c>
      <c r="S64" s="409">
        <f>SUM(D64:R64)</f>
        <v>20829.53230829864</v>
      </c>
      <c r="T64" s="413">
        <f>T62+S64</f>
        <v>-77419.78399443462</v>
      </c>
      <c r="U64" s="414">
        <f>T64/B64</f>
        <v>-33.424340925935866</v>
      </c>
    </row>
    <row r="65" spans="1:24">
      <c r="A65" s="2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"/>
      <c r="V65" s="2"/>
      <c r="W65" s="2"/>
      <c r="X65" s="2"/>
    </row>
    <row r="66" spans="1:24" s="94" customFormat="1">
      <c r="A66" s="2" t="s">
        <v>422</v>
      </c>
      <c r="B66" s="307">
        <f>B62+B64</f>
        <v>401134.35597629438</v>
      </c>
      <c r="C66" s="307">
        <f t="shared" ref="C66:S66" si="18">C62+C64</f>
        <v>0</v>
      </c>
      <c r="D66" s="307">
        <f t="shared" si="18"/>
        <v>139473.66772494727</v>
      </c>
      <c r="E66" s="307">
        <f t="shared" si="18"/>
        <v>22010.429523797564</v>
      </c>
      <c r="F66" s="307">
        <f t="shared" si="18"/>
        <v>8300.9139494061455</v>
      </c>
      <c r="G66" s="307">
        <f t="shared" si="18"/>
        <v>9669.4374879018051</v>
      </c>
      <c r="H66" s="307">
        <f t="shared" si="18"/>
        <v>7680.2960618191473</v>
      </c>
      <c r="I66" s="307">
        <f t="shared" si="18"/>
        <v>11902.656759330603</v>
      </c>
      <c r="J66" s="307">
        <f t="shared" si="18"/>
        <v>10360.111594180506</v>
      </c>
      <c r="K66" s="307">
        <f t="shared" si="18"/>
        <v>5785.0328561630158</v>
      </c>
      <c r="L66" s="307">
        <f t="shared" si="18"/>
        <v>26936.290144869316</v>
      </c>
      <c r="M66" s="307">
        <f t="shared" si="18"/>
        <v>8889.9757478068732</v>
      </c>
      <c r="N66" s="307">
        <f t="shared" si="18"/>
        <v>11321.148601907898</v>
      </c>
      <c r="O66" s="307">
        <f t="shared" si="18"/>
        <v>18955.324556836647</v>
      </c>
      <c r="P66" s="307">
        <f t="shared" si="18"/>
        <v>6539.5672853986835</v>
      </c>
      <c r="Q66" s="307">
        <f t="shared" si="18"/>
        <v>8476.3134182588219</v>
      </c>
      <c r="R66" s="307">
        <f t="shared" si="18"/>
        <v>25097.136692941134</v>
      </c>
      <c r="S66" s="307">
        <f t="shared" si="18"/>
        <v>321398.3024055654</v>
      </c>
      <c r="T66" s="307"/>
      <c r="U66" s="404"/>
      <c r="V66" s="51"/>
      <c r="W66" s="51"/>
      <c r="X66" s="51"/>
    </row>
    <row r="67" spans="1:24" s="94" customFormat="1">
      <c r="A67" s="2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404"/>
      <c r="V67" s="51"/>
      <c r="W67" s="51"/>
      <c r="X67" s="51"/>
    </row>
    <row r="68" spans="1:24" ht="45.95">
      <c r="A68" s="415" t="s">
        <v>423</v>
      </c>
      <c r="B68" s="416">
        <f>Summary!O55+Summary!O67+Summary!O75+Summary!O80+B64</f>
        <v>401134.35597629438</v>
      </c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417" t="s">
        <v>347</v>
      </c>
      <c r="B69" s="418">
        <f>B68-B66</f>
        <v>0</v>
      </c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419"/>
      <c r="B70" s="147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420" t="s">
        <v>424</v>
      </c>
      <c r="B71" s="421"/>
      <c r="C71" s="422"/>
      <c r="D71" s="422">
        <f>VLOOKUP(D7,'Tenant Charges'!$B$10:$N$29,13,0)*12</f>
        <v>139473.66772494727</v>
      </c>
      <c r="E71" s="422">
        <f>VLOOKUP(E7,'Tenant Charges'!$B$10:$N$29,13,0)*12</f>
        <v>22010.429523797564</v>
      </c>
      <c r="F71" s="422">
        <f>VLOOKUP(F7,'Tenant Charges'!$B$10:$N$29,13,0)*12</f>
        <v>8300.9139494061455</v>
      </c>
      <c r="G71" s="422">
        <f>VLOOKUP(G7,'Tenant Charges'!$B$10:$N$29,13,0)*12</f>
        <v>9669.4374879018051</v>
      </c>
      <c r="H71" s="422">
        <f>VLOOKUP(H7,'Tenant Charges'!$B$10:$N$29,13,0)*12</f>
        <v>7680.2960618191473</v>
      </c>
      <c r="I71" s="422">
        <f>VLOOKUP(I7,'Tenant Charges'!$B$10:$N$29,13,0)*12</f>
        <v>17902.656759330603</v>
      </c>
      <c r="J71" s="422">
        <f>VLOOKUP(J7,'Tenant Charges'!$B$10:$N$29,13,0)*12</f>
        <v>10360.111594180504</v>
      </c>
      <c r="K71" s="422">
        <f>VLOOKUP(K7,'Tenant Charges'!$B$10:$N$29,13,0)*12</f>
        <v>5785.0328561630167</v>
      </c>
      <c r="L71" s="422">
        <f>VLOOKUP(L7,'Tenant Charges'!$B$10:$N$29,13,0)*12</f>
        <v>26936.290144869316</v>
      </c>
      <c r="M71" s="422">
        <f>VLOOKUP(M7,'Tenant Charges'!$B$10:$N$29,13,0)*12</f>
        <v>9739.9357478068741</v>
      </c>
      <c r="N71" s="422">
        <f>VLOOKUP(N7,'Tenant Charges'!$B$10:$N$29,13,0)*12</f>
        <v>11321.148601907898</v>
      </c>
      <c r="O71" s="422">
        <f>VLOOKUP(O7,'Tenant Charges'!$B$10:$N$29,13,0)*12</f>
        <v>24955.324556836647</v>
      </c>
      <c r="P71" s="422">
        <f>VLOOKUP(P7,'Tenant Charges'!$B$10:$N$29,13,0)*12</f>
        <v>6539.5672853986835</v>
      </c>
      <c r="Q71" s="422">
        <f>VLOOKUP(Q7,'Tenant Charges'!$B$10:$N$29,13,0)*12</f>
        <v>8476.3134182588219</v>
      </c>
      <c r="R71" s="423">
        <f>VLOOKUP(R7,'Tenant Charges'!$B$10:$N$29,13,0)*12</f>
        <v>25097.136692941134</v>
      </c>
      <c r="S71" s="424"/>
      <c r="T71" s="2"/>
      <c r="U71" s="2"/>
      <c r="V71" s="2"/>
      <c r="W71" s="2"/>
      <c r="X71" s="2"/>
    </row>
    <row r="72" spans="1:24">
      <c r="A72" s="417" t="s">
        <v>347</v>
      </c>
      <c r="B72" s="425"/>
      <c r="C72" s="426"/>
      <c r="D72" s="426">
        <f>D71-D66+D47</f>
        <v>-38600.775096538797</v>
      </c>
      <c r="E72" s="426">
        <f>E71-E66</f>
        <v>0</v>
      </c>
      <c r="F72" s="426">
        <f>F71-F66+F46</f>
        <v>-1920.1769654975524</v>
      </c>
      <c r="G72" s="426">
        <f>G71-G66</f>
        <v>0</v>
      </c>
      <c r="H72" s="426">
        <f>H71-H66</f>
        <v>0</v>
      </c>
      <c r="I72" s="426">
        <f>(I71-I66+I46)-(Signage!Q19)</f>
        <v>-7257.8994512601821</v>
      </c>
      <c r="J72" s="426">
        <f>J71-J66</f>
        <v>0</v>
      </c>
      <c r="K72" s="426">
        <f>K71-K66+K46</f>
        <v>-5183.0784826087929</v>
      </c>
      <c r="L72" s="426">
        <f>L71-L66</f>
        <v>0</v>
      </c>
      <c r="M72" s="426">
        <f>M71-M66-Signage!Q23</f>
        <v>0</v>
      </c>
      <c r="N72" s="426">
        <f>N71-N66</f>
        <v>0</v>
      </c>
      <c r="O72" s="426">
        <f>O71-O66+O46-Signage!Q25</f>
        <v>-9364.9432691965667</v>
      </c>
      <c r="P72" s="426">
        <f>P71-P66+P46</f>
        <v>-5103.9499326902287</v>
      </c>
      <c r="Q72" s="426">
        <f>Q71-Q66+Q46</f>
        <v>-1341.0840813980412</v>
      </c>
      <c r="R72" s="427">
        <f>R71-R66</f>
        <v>0</v>
      </c>
      <c r="S72" s="428"/>
      <c r="T72" s="2"/>
      <c r="U72" s="2"/>
      <c r="V72" s="2"/>
      <c r="W72" s="2"/>
      <c r="X72" s="2"/>
    </row>
    <row r="73" spans="1:24">
      <c r="A73" s="2"/>
      <c r="B73" s="2"/>
      <c r="C73" s="2"/>
      <c r="D73" s="22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2"/>
      <c r="B74" s="2"/>
      <c r="C74" s="2"/>
      <c r="D74" s="14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2"/>
      <c r="B75" s="2"/>
      <c r="C75" s="2"/>
      <c r="D75" s="383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</row>
    <row r="76" spans="1:24">
      <c r="A76" s="2"/>
      <c r="B76" s="2"/>
      <c r="C76" s="2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2"/>
      <c r="T76" s="2"/>
      <c r="U76" s="2"/>
      <c r="V76" s="2"/>
      <c r="W76" s="2"/>
      <c r="X76" s="2"/>
    </row>
  </sheetData>
  <customSheetViews>
    <customSheetView guid="{7691FA39-7EA9-407C-9567-49BEFD6339F8}" showPageBreaks="1" fitToPage="1" printArea="1" showRuler="0" topLeftCell="A36">
      <selection activeCell="G53" sqref="G53"/>
      <pageMargins left="0" right="0" top="0" bottom="0" header="0" footer="0"/>
      <pageSetup scale="45" orientation="landscape" r:id="rId1"/>
      <headerFooter alignWithMargins="0"/>
    </customSheetView>
  </customSheetViews>
  <mergeCells count="5">
    <mergeCell ref="A2:U2"/>
    <mergeCell ref="A3:U3"/>
    <mergeCell ref="A4:U4"/>
    <mergeCell ref="A5:U5"/>
    <mergeCell ref="A6:U6"/>
  </mergeCells>
  <phoneticPr fontId="2" type="noConversion"/>
  <pageMargins left="0" right="0" top="1" bottom="1" header="0.5" footer="0.5"/>
  <pageSetup scale="34" orientation="landscape" r:id="rId2"/>
  <headerFooter alignWithMargins="0"/>
  <ignoredErrors>
    <ignoredError sqref="F72" formula="1"/>
  </ignoredError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00B050"/>
  </sheetPr>
  <dimension ref="A1:N84"/>
  <sheetViews>
    <sheetView topLeftCell="A52" zoomScale="87" zoomScaleNormal="87" zoomScaleSheetLayoutView="100" workbookViewId="0">
      <selection activeCell="N79" sqref="N79"/>
    </sheetView>
  </sheetViews>
  <sheetFormatPr defaultColWidth="9.42578125" defaultRowHeight="15.4"/>
  <cols>
    <col min="1" max="1" width="9.42578125" style="89"/>
    <col min="2" max="2" width="41" style="89" customWidth="1"/>
    <col min="3" max="3" width="11.42578125" style="89" customWidth="1"/>
    <col min="4" max="4" width="15.42578125" style="89" customWidth="1"/>
    <col min="5" max="5" width="6.42578125" style="89" customWidth="1"/>
    <col min="6" max="6" width="11.42578125" style="89" bestFit="1" customWidth="1"/>
    <col min="7" max="7" width="30.42578125" style="89" customWidth="1"/>
    <col min="8" max="8" width="13.42578125" style="89" bestFit="1" customWidth="1"/>
    <col min="9" max="10" width="15.42578125" style="89" bestFit="1" customWidth="1"/>
    <col min="11" max="11" width="12.42578125" style="89" customWidth="1"/>
    <col min="12" max="12" width="13.42578125" style="89" bestFit="1" customWidth="1"/>
    <col min="13" max="13" width="14.42578125" style="89" customWidth="1"/>
    <col min="14" max="14" width="15" style="89" customWidth="1"/>
    <col min="15" max="16384" width="9.42578125" style="89"/>
  </cols>
  <sheetData>
    <row r="1" spans="1:14" s="183" customFormat="1">
      <c r="A1" s="429"/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30" t="str">
        <f>Summary!T4</f>
        <v>Date Revised:</v>
      </c>
      <c r="N1" s="429">
        <f ca="1">Summary!U4</f>
        <v>46269</v>
      </c>
    </row>
    <row r="2" spans="1:14">
      <c r="A2" s="2"/>
      <c r="B2" s="2"/>
      <c r="C2" s="2"/>
      <c r="D2" s="2"/>
      <c r="E2" s="2"/>
      <c r="F2" s="614" t="str">
        <f>Summary!$A$3</f>
        <v>GREENFIELD GATEWAY MESA, ARIZONA</v>
      </c>
      <c r="G2" s="614"/>
      <c r="H2" s="614"/>
      <c r="I2" s="614"/>
      <c r="J2" s="614"/>
      <c r="K2" s="614"/>
      <c r="L2" s="614"/>
      <c r="M2" s="614"/>
      <c r="N2" s="614"/>
    </row>
    <row r="3" spans="1:14">
      <c r="A3" s="2"/>
      <c r="B3" s="2"/>
      <c r="C3" s="2"/>
      <c r="D3" s="2"/>
      <c r="E3" s="2"/>
      <c r="F3" s="614" t="str">
        <f>Summary!$A$5</f>
        <v>01/01/26-12/31/26</v>
      </c>
      <c r="G3" s="614"/>
      <c r="H3" s="614"/>
      <c r="I3" s="614"/>
      <c r="J3" s="614"/>
      <c r="K3" s="614"/>
      <c r="L3" s="614"/>
      <c r="M3" s="614"/>
      <c r="N3" s="614"/>
    </row>
    <row r="4" spans="1:14">
      <c r="A4" s="2"/>
      <c r="B4" s="2"/>
      <c r="C4" s="2"/>
      <c r="D4" s="2"/>
      <c r="E4" s="2"/>
      <c r="F4" s="614" t="str">
        <f>Summary!$A$6</f>
        <v>2026 OPERATING BUDGET</v>
      </c>
      <c r="G4" s="614"/>
      <c r="H4" s="614"/>
      <c r="I4" s="614"/>
      <c r="J4" s="614"/>
      <c r="K4" s="614"/>
      <c r="L4" s="614"/>
      <c r="M4" s="614"/>
      <c r="N4" s="614"/>
    </row>
    <row r="5" spans="1:14">
      <c r="A5" s="2"/>
      <c r="B5" s="2"/>
      <c r="C5" s="2"/>
      <c r="D5" s="2"/>
      <c r="E5" s="2"/>
      <c r="F5" s="431"/>
      <c r="G5" s="431"/>
      <c r="H5" s="431"/>
      <c r="I5" s="431"/>
      <c r="J5" s="431"/>
      <c r="K5" s="431"/>
      <c r="L5" s="431"/>
      <c r="M5" s="431"/>
      <c r="N5" s="431"/>
    </row>
    <row r="6" spans="1:14">
      <c r="A6" s="2"/>
      <c r="B6" s="2"/>
      <c r="C6" s="2"/>
      <c r="D6" s="2"/>
      <c r="E6" s="2"/>
      <c r="F6" s="432"/>
      <c r="G6" s="433" t="s">
        <v>425</v>
      </c>
      <c r="H6" s="434" t="str">
        <f>Rent!A14</f>
        <v>EOS Fitness</v>
      </c>
      <c r="I6" s="434"/>
      <c r="J6" s="335"/>
      <c r="K6" s="335"/>
      <c r="L6" s="335"/>
      <c r="M6" s="435"/>
      <c r="N6" s="436"/>
    </row>
    <row r="7" spans="1:14">
      <c r="A7" s="2"/>
      <c r="B7" s="2"/>
      <c r="C7" s="2"/>
      <c r="D7" s="2"/>
      <c r="E7" s="2"/>
      <c r="F7" s="437"/>
      <c r="G7" s="438" t="s">
        <v>426</v>
      </c>
      <c r="H7" s="439" t="str">
        <f>Rent!B14</f>
        <v>Major A</v>
      </c>
      <c r="I7" s="439"/>
      <c r="J7" s="340"/>
      <c r="K7" s="340"/>
      <c r="L7" s="340"/>
      <c r="M7" s="440"/>
      <c r="N7" s="441"/>
    </row>
    <row r="8" spans="1:14">
      <c r="A8" s="2"/>
      <c r="B8" s="2"/>
      <c r="C8" s="2"/>
      <c r="D8" s="2"/>
      <c r="E8" s="2"/>
      <c r="F8" s="184"/>
      <c r="G8" s="372" t="s">
        <v>427</v>
      </c>
      <c r="H8" s="442">
        <f>Rent!C14</f>
        <v>35000</v>
      </c>
      <c r="I8" s="442"/>
      <c r="J8" s="345"/>
      <c r="K8" s="345"/>
      <c r="L8" s="345"/>
      <c r="M8" s="185" t="s">
        <v>407</v>
      </c>
      <c r="N8" s="443"/>
    </row>
    <row r="9" spans="1:14">
      <c r="A9" s="2"/>
      <c r="B9" s="2"/>
      <c r="C9" s="2"/>
      <c r="D9" s="2"/>
      <c r="E9" s="2"/>
      <c r="F9" s="60"/>
      <c r="G9" s="150"/>
      <c r="H9" s="2"/>
      <c r="I9" s="444"/>
      <c r="J9" s="2"/>
      <c r="K9" s="2"/>
      <c r="L9" s="150"/>
      <c r="M9" s="242"/>
      <c r="N9" s="2" t="s">
        <v>47</v>
      </c>
    </row>
    <row r="10" spans="1:14">
      <c r="A10" s="2"/>
      <c r="B10" s="2"/>
      <c r="C10" s="2"/>
      <c r="D10" s="2"/>
      <c r="E10" s="2"/>
      <c r="F10" s="445"/>
      <c r="G10" s="213"/>
      <c r="H10" s="446"/>
      <c r="I10" s="213"/>
      <c r="J10" s="446"/>
      <c r="K10" s="447"/>
      <c r="L10" s="448"/>
      <c r="M10" s="449" t="s">
        <v>428</v>
      </c>
      <c r="N10" s="449"/>
    </row>
    <row r="11" spans="1:14">
      <c r="A11" s="2"/>
      <c r="B11" s="2"/>
      <c r="C11" s="2"/>
      <c r="D11" s="2"/>
      <c r="E11" s="2"/>
      <c r="F11" s="339"/>
      <c r="G11" s="44"/>
      <c r="H11" s="450" t="s">
        <v>429</v>
      </c>
      <c r="I11" s="44" t="s">
        <v>430</v>
      </c>
      <c r="J11" s="450" t="s">
        <v>431</v>
      </c>
      <c r="K11" s="451" t="s">
        <v>432</v>
      </c>
      <c r="L11" s="452" t="s">
        <v>431</v>
      </c>
      <c r="M11" s="453" t="s">
        <v>433</v>
      </c>
      <c r="N11" s="453" t="s">
        <v>384</v>
      </c>
    </row>
    <row r="12" spans="1:14">
      <c r="A12" s="2"/>
      <c r="B12" s="2"/>
      <c r="C12" s="2"/>
      <c r="D12" s="2"/>
      <c r="E12" s="2"/>
      <c r="F12" s="361" t="s">
        <v>434</v>
      </c>
      <c r="G12" s="46" t="s">
        <v>435</v>
      </c>
      <c r="H12" s="454" t="s">
        <v>384</v>
      </c>
      <c r="I12" s="46" t="s">
        <v>436</v>
      </c>
      <c r="J12" s="454" t="s">
        <v>437</v>
      </c>
      <c r="K12" s="455" t="s">
        <v>438</v>
      </c>
      <c r="L12" s="456" t="s">
        <v>437</v>
      </c>
      <c r="M12" s="457">
        <f>'Admin Fee'!D14</f>
        <v>0.15</v>
      </c>
      <c r="N12" s="458" t="s">
        <v>439</v>
      </c>
    </row>
    <row r="13" spans="1:14">
      <c r="A13" s="2"/>
      <c r="B13" s="2"/>
      <c r="C13" s="2"/>
      <c r="D13" s="2"/>
      <c r="E13" s="2"/>
      <c r="F13" s="88"/>
      <c r="G13" s="88"/>
      <c r="H13" s="88"/>
      <c r="I13" s="88"/>
      <c r="J13" s="88"/>
      <c r="K13" s="459"/>
      <c r="L13" s="460"/>
      <c r="M13" s="460"/>
      <c r="N13" s="460"/>
    </row>
    <row r="14" spans="1:14">
      <c r="A14" s="2"/>
      <c r="B14" s="253" t="str">
        <f>Summary!B29</f>
        <v>COMMON AREA EXPENSES</v>
      </c>
      <c r="C14" s="88"/>
      <c r="D14" s="88" t="s">
        <v>440</v>
      </c>
      <c r="E14" s="88"/>
      <c r="F14" s="60"/>
      <c r="G14" s="51" t="str">
        <f>$B$14</f>
        <v>COMMON AREA EXPENSES</v>
      </c>
      <c r="H14" s="383"/>
      <c r="I14" s="461"/>
      <c r="J14" s="383"/>
      <c r="K14" s="242"/>
      <c r="L14" s="460"/>
      <c r="M14" s="460"/>
      <c r="N14" s="460"/>
    </row>
    <row r="15" spans="1:14">
      <c r="A15" s="60">
        <f>Summary!A31</f>
        <v>50150</v>
      </c>
      <c r="B15" s="226" t="str">
        <f>Summary!B31</f>
        <v>Landscape- Tree Trimming</v>
      </c>
      <c r="C15" s="462">
        <f>Summary!O31</f>
        <v>17000</v>
      </c>
      <c r="D15" s="406">
        <f>Rent!C$34</f>
        <v>67709</v>
      </c>
      <c r="E15" s="406"/>
      <c r="F15" s="60">
        <f>A15</f>
        <v>50150</v>
      </c>
      <c r="G15" s="2" t="str">
        <f>B15</f>
        <v>Landscape- Tree Trimming</v>
      </c>
      <c r="H15" s="383">
        <f>C15</f>
        <v>17000</v>
      </c>
      <c r="I15" s="461">
        <v>0</v>
      </c>
      <c r="J15" s="383">
        <f>H15+I15</f>
        <v>17000</v>
      </c>
      <c r="K15" s="242">
        <f>$H$8/D15</f>
        <v>0.51691798726904847</v>
      </c>
      <c r="L15" s="463">
        <f>J15*K15</f>
        <v>8787.6057835738247</v>
      </c>
      <c r="M15" s="463">
        <f>L15*$M$12</f>
        <v>1318.1408675360738</v>
      </c>
      <c r="N15" s="464">
        <f>L15+M15</f>
        <v>10105.746651109899</v>
      </c>
    </row>
    <row r="16" spans="1:14">
      <c r="A16" s="60">
        <f>Summary!A32</f>
        <v>50160</v>
      </c>
      <c r="B16" s="226" t="str">
        <f>Summary!B32</f>
        <v>Landscape Consumables</v>
      </c>
      <c r="C16" s="462">
        <f>Summary!O32</f>
        <v>3000</v>
      </c>
      <c r="D16" s="406">
        <f>Rent!C$34</f>
        <v>67709</v>
      </c>
      <c r="E16" s="406"/>
      <c r="F16" s="60">
        <f t="shared" ref="F16:F35" si="0">A16</f>
        <v>50160</v>
      </c>
      <c r="G16" s="2" t="str">
        <f t="shared" ref="G16:G35" si="1">B16</f>
        <v>Landscape Consumables</v>
      </c>
      <c r="H16" s="383">
        <f t="shared" ref="H16:H35" si="2">C16</f>
        <v>3000</v>
      </c>
      <c r="I16" s="461">
        <v>0</v>
      </c>
      <c r="J16" s="383">
        <f t="shared" ref="J16:J25" si="3">H16+I16</f>
        <v>3000</v>
      </c>
      <c r="K16" s="242">
        <f t="shared" ref="K16:K35" si="4">$H$8/D16</f>
        <v>0.51691798726904847</v>
      </c>
      <c r="L16" s="463">
        <f t="shared" ref="L16:L35" si="5">J16*K16</f>
        <v>1550.7539618071455</v>
      </c>
      <c r="M16" s="463">
        <f t="shared" ref="M16:M35" si="6">L16*$M$12</f>
        <v>232.61309427107182</v>
      </c>
      <c r="N16" s="464">
        <f t="shared" ref="N16:N35" si="7">L16+M16</f>
        <v>1783.3670560782173</v>
      </c>
    </row>
    <row r="17" spans="1:14">
      <c r="A17" s="60">
        <f>Summary!A33</f>
        <v>50190</v>
      </c>
      <c r="B17" s="226" t="str">
        <f>Summary!B33</f>
        <v>Sprinkler Repairs</v>
      </c>
      <c r="C17" s="462">
        <f>Summary!O33</f>
        <v>1200</v>
      </c>
      <c r="D17" s="406">
        <f>Rent!C$34</f>
        <v>67709</v>
      </c>
      <c r="E17" s="406"/>
      <c r="F17" s="60">
        <f t="shared" si="0"/>
        <v>50190</v>
      </c>
      <c r="G17" s="2" t="str">
        <f t="shared" si="1"/>
        <v>Sprinkler Repairs</v>
      </c>
      <c r="H17" s="383">
        <f t="shared" si="2"/>
        <v>1200</v>
      </c>
      <c r="I17" s="461">
        <v>0</v>
      </c>
      <c r="J17" s="383">
        <f t="shared" si="3"/>
        <v>1200</v>
      </c>
      <c r="K17" s="242">
        <f t="shared" si="4"/>
        <v>0.51691798726904847</v>
      </c>
      <c r="L17" s="463">
        <f t="shared" si="5"/>
        <v>620.30158472285814</v>
      </c>
      <c r="M17" s="463">
        <f t="shared" si="6"/>
        <v>93.045237708428715</v>
      </c>
      <c r="N17" s="464">
        <f t="shared" si="7"/>
        <v>713.34682243128691</v>
      </c>
    </row>
    <row r="18" spans="1:14">
      <c r="A18" s="60">
        <f>Summary!A34</f>
        <v>50170</v>
      </c>
      <c r="B18" s="226" t="str">
        <f>Summary!B34</f>
        <v>Landscape Maintenance</v>
      </c>
      <c r="C18" s="250">
        <f>Summary!O34</f>
        <v>18720</v>
      </c>
      <c r="D18" s="229">
        <f>Rent!C$34</f>
        <v>67709</v>
      </c>
      <c r="E18" s="229"/>
      <c r="F18" s="60">
        <f t="shared" si="0"/>
        <v>50170</v>
      </c>
      <c r="G18" s="2" t="str">
        <f t="shared" si="1"/>
        <v>Landscape Maintenance</v>
      </c>
      <c r="H18" s="383">
        <f t="shared" si="2"/>
        <v>18720</v>
      </c>
      <c r="I18" s="461">
        <v>0</v>
      </c>
      <c r="J18" s="383">
        <f t="shared" si="3"/>
        <v>18720</v>
      </c>
      <c r="K18" s="242">
        <f t="shared" si="4"/>
        <v>0.51691798726904847</v>
      </c>
      <c r="L18" s="428">
        <f t="shared" si="5"/>
        <v>9676.7047216765877</v>
      </c>
      <c r="M18" s="428">
        <f t="shared" si="6"/>
        <v>1451.5057082514882</v>
      </c>
      <c r="N18" s="464">
        <f t="shared" si="7"/>
        <v>11128.210429928076</v>
      </c>
    </row>
    <row r="19" spans="1:14">
      <c r="A19" s="60">
        <f>Summary!A35</f>
        <v>50510</v>
      </c>
      <c r="B19" s="226" t="str">
        <f>Summary!B35</f>
        <v>Parking Lot Light Maintenance</v>
      </c>
      <c r="C19" s="250">
        <f>Summary!O35</f>
        <v>1500</v>
      </c>
      <c r="D19" s="229">
        <f>Rent!C$34</f>
        <v>67709</v>
      </c>
      <c r="E19" s="229"/>
      <c r="F19" s="60">
        <f t="shared" si="0"/>
        <v>50510</v>
      </c>
      <c r="G19" s="2" t="str">
        <f t="shared" si="1"/>
        <v>Parking Lot Light Maintenance</v>
      </c>
      <c r="H19" s="383">
        <f t="shared" si="2"/>
        <v>1500</v>
      </c>
      <c r="I19" s="461">
        <v>0</v>
      </c>
      <c r="J19" s="383">
        <f t="shared" si="3"/>
        <v>1500</v>
      </c>
      <c r="K19" s="242">
        <f t="shared" si="4"/>
        <v>0.51691798726904847</v>
      </c>
      <c r="L19" s="428">
        <f t="shared" si="5"/>
        <v>775.37698090357276</v>
      </c>
      <c r="M19" s="428">
        <f t="shared" si="6"/>
        <v>116.30654713553591</v>
      </c>
      <c r="N19" s="464">
        <f t="shared" si="7"/>
        <v>891.68352803910864</v>
      </c>
    </row>
    <row r="20" spans="1:14">
      <c r="A20" s="60">
        <f>Summary!A36</f>
        <v>50520</v>
      </c>
      <c r="B20" s="226" t="str">
        <f>Summary!B36</f>
        <v>Parking Lot Repairs</v>
      </c>
      <c r="C20" s="250">
        <f>Summary!O36</f>
        <v>5000</v>
      </c>
      <c r="D20" s="229">
        <f>Rent!C$34</f>
        <v>67709</v>
      </c>
      <c r="E20" s="229"/>
      <c r="F20" s="60">
        <f t="shared" si="0"/>
        <v>50520</v>
      </c>
      <c r="G20" s="2" t="str">
        <f t="shared" si="1"/>
        <v>Parking Lot Repairs</v>
      </c>
      <c r="H20" s="383">
        <f t="shared" si="2"/>
        <v>5000</v>
      </c>
      <c r="I20" s="461">
        <v>0</v>
      </c>
      <c r="J20" s="383">
        <f t="shared" si="3"/>
        <v>5000</v>
      </c>
      <c r="K20" s="242">
        <f t="shared" si="4"/>
        <v>0.51691798726904847</v>
      </c>
      <c r="L20" s="428">
        <f t="shared" si="5"/>
        <v>2584.5899363452422</v>
      </c>
      <c r="M20" s="428">
        <f t="shared" si="6"/>
        <v>387.68849045178632</v>
      </c>
      <c r="N20" s="464">
        <f t="shared" si="7"/>
        <v>2972.2784267970287</v>
      </c>
    </row>
    <row r="21" spans="1:14">
      <c r="A21" s="60">
        <f>Summary!A37</f>
        <v>50530</v>
      </c>
      <c r="B21" s="226" t="str">
        <f>Summary!B37</f>
        <v>Parking Lot Light Repairs</v>
      </c>
      <c r="C21" s="250">
        <f>Summary!O37</f>
        <v>3600</v>
      </c>
      <c r="D21" s="229">
        <f>Rent!C$34</f>
        <v>67709</v>
      </c>
      <c r="E21" s="229"/>
      <c r="F21" s="60">
        <f t="shared" si="0"/>
        <v>50530</v>
      </c>
      <c r="G21" s="2" t="str">
        <f t="shared" si="1"/>
        <v>Parking Lot Light Repairs</v>
      </c>
      <c r="H21" s="383">
        <f t="shared" si="2"/>
        <v>3600</v>
      </c>
      <c r="I21" s="461">
        <v>0</v>
      </c>
      <c r="J21" s="383">
        <f t="shared" si="3"/>
        <v>3600</v>
      </c>
      <c r="K21" s="242">
        <f t="shared" si="4"/>
        <v>0.51691798726904847</v>
      </c>
      <c r="L21" s="428">
        <f t="shared" si="5"/>
        <v>1860.9047541685745</v>
      </c>
      <c r="M21" s="428">
        <f t="shared" si="6"/>
        <v>279.13571312528614</v>
      </c>
      <c r="N21" s="464">
        <f t="shared" si="7"/>
        <v>2140.0404672938607</v>
      </c>
    </row>
    <row r="22" spans="1:14">
      <c r="A22" s="60">
        <f>Summary!A38</f>
        <v>51020</v>
      </c>
      <c r="B22" s="226" t="str">
        <f>Summary!B38</f>
        <v>General Maintenance</v>
      </c>
      <c r="C22" s="250">
        <f>Summary!O38</f>
        <v>3600</v>
      </c>
      <c r="D22" s="229">
        <f>Rent!C$34</f>
        <v>67709</v>
      </c>
      <c r="E22" s="229"/>
      <c r="F22" s="60">
        <f t="shared" si="0"/>
        <v>51020</v>
      </c>
      <c r="G22" s="2" t="str">
        <f t="shared" si="1"/>
        <v>General Maintenance</v>
      </c>
      <c r="H22" s="383">
        <f t="shared" si="2"/>
        <v>3600</v>
      </c>
      <c r="I22" s="461">
        <v>0</v>
      </c>
      <c r="J22" s="383">
        <f t="shared" si="3"/>
        <v>3600</v>
      </c>
      <c r="K22" s="242">
        <f t="shared" si="4"/>
        <v>0.51691798726904847</v>
      </c>
      <c r="L22" s="428">
        <f t="shared" si="5"/>
        <v>1860.9047541685745</v>
      </c>
      <c r="M22" s="428">
        <f t="shared" si="6"/>
        <v>279.13571312528614</v>
      </c>
      <c r="N22" s="464">
        <f t="shared" si="7"/>
        <v>2140.0404672938607</v>
      </c>
    </row>
    <row r="23" spans="1:14">
      <c r="A23" s="60">
        <f>Summary!A40</f>
        <v>51040</v>
      </c>
      <c r="B23" s="226" t="str">
        <f>Summary!B40</f>
        <v>Day Porter</v>
      </c>
      <c r="C23" s="250">
        <f>Summary!O40</f>
        <v>10500</v>
      </c>
      <c r="D23" s="229">
        <f>Rent!C$34</f>
        <v>67709</v>
      </c>
      <c r="E23" s="229"/>
      <c r="F23" s="60">
        <f t="shared" si="0"/>
        <v>51040</v>
      </c>
      <c r="G23" s="2" t="str">
        <f t="shared" si="1"/>
        <v>Day Porter</v>
      </c>
      <c r="H23" s="383">
        <f t="shared" si="2"/>
        <v>10500</v>
      </c>
      <c r="I23" s="461">
        <v>0</v>
      </c>
      <c r="J23" s="383">
        <f t="shared" si="3"/>
        <v>10500</v>
      </c>
      <c r="K23" s="242">
        <f t="shared" si="4"/>
        <v>0.51691798726904847</v>
      </c>
      <c r="L23" s="428">
        <f t="shared" si="5"/>
        <v>5427.6388663250091</v>
      </c>
      <c r="M23" s="428">
        <f t="shared" si="6"/>
        <v>814.14582994875138</v>
      </c>
      <c r="N23" s="464">
        <f t="shared" si="7"/>
        <v>6241.7846962737603</v>
      </c>
    </row>
    <row r="24" spans="1:14">
      <c r="A24" s="60">
        <f>Summary!A41</f>
        <v>52010</v>
      </c>
      <c r="B24" s="226" t="str">
        <f>Summary!B41</f>
        <v>Janitorial Supplies</v>
      </c>
      <c r="C24" s="250">
        <f>Summary!O41</f>
        <v>200</v>
      </c>
      <c r="D24" s="229">
        <f>Rent!C$34</f>
        <v>67709</v>
      </c>
      <c r="E24" s="229"/>
      <c r="F24" s="60">
        <f t="shared" si="0"/>
        <v>52010</v>
      </c>
      <c r="G24" s="2" t="str">
        <f t="shared" si="1"/>
        <v>Janitorial Supplies</v>
      </c>
      <c r="H24" s="383">
        <f t="shared" si="2"/>
        <v>200</v>
      </c>
      <c r="I24" s="461">
        <v>0</v>
      </c>
      <c r="J24" s="383">
        <f t="shared" si="3"/>
        <v>200</v>
      </c>
      <c r="K24" s="242">
        <f t="shared" si="4"/>
        <v>0.51691798726904847</v>
      </c>
      <c r="L24" s="428">
        <f t="shared" si="5"/>
        <v>103.3835974538097</v>
      </c>
      <c r="M24" s="428">
        <f t="shared" si="6"/>
        <v>15.507539618071455</v>
      </c>
      <c r="N24" s="464">
        <f t="shared" si="7"/>
        <v>118.89113707188116</v>
      </c>
    </row>
    <row r="25" spans="1:14">
      <c r="A25" s="60">
        <f>Summary!A42</f>
        <v>51050</v>
      </c>
      <c r="B25" s="226" t="str">
        <f>Summary!B42</f>
        <v>Pest Control</v>
      </c>
      <c r="C25" s="250">
        <f>Summary!O42</f>
        <v>1188</v>
      </c>
      <c r="D25" s="229">
        <f>Rent!C$34</f>
        <v>67709</v>
      </c>
      <c r="E25" s="229"/>
      <c r="F25" s="60">
        <f t="shared" si="0"/>
        <v>51050</v>
      </c>
      <c r="G25" s="2" t="str">
        <f t="shared" si="1"/>
        <v>Pest Control</v>
      </c>
      <c r="H25" s="383">
        <f t="shared" si="2"/>
        <v>1188</v>
      </c>
      <c r="I25" s="461">
        <v>0</v>
      </c>
      <c r="J25" s="383">
        <f t="shared" si="3"/>
        <v>1188</v>
      </c>
      <c r="K25" s="242">
        <f t="shared" si="4"/>
        <v>0.51691798726904847</v>
      </c>
      <c r="L25" s="428">
        <f t="shared" si="5"/>
        <v>614.09856887562955</v>
      </c>
      <c r="M25" s="428">
        <f t="shared" si="6"/>
        <v>92.114785331344436</v>
      </c>
      <c r="N25" s="464">
        <f t="shared" si="7"/>
        <v>706.21335420697403</v>
      </c>
    </row>
    <row r="26" spans="1:14">
      <c r="A26" s="60">
        <f>Summary!A43</f>
        <v>5116</v>
      </c>
      <c r="B26" s="226" t="str">
        <f>Summary!B43</f>
        <v xml:space="preserve">Security </v>
      </c>
      <c r="C26" s="250">
        <f>Summary!O43</f>
        <v>0</v>
      </c>
      <c r="D26" s="229">
        <f>Rent!C$34</f>
        <v>67709</v>
      </c>
      <c r="E26" s="229"/>
      <c r="F26" s="60">
        <f t="shared" si="0"/>
        <v>5116</v>
      </c>
      <c r="G26" s="2" t="str">
        <f t="shared" si="1"/>
        <v xml:space="preserve">Security </v>
      </c>
      <c r="H26" s="383">
        <f t="shared" si="2"/>
        <v>0</v>
      </c>
      <c r="I26" s="461">
        <f>-H26</f>
        <v>0</v>
      </c>
      <c r="J26" s="383">
        <f t="shared" ref="J26:J35" si="8">H26+I26</f>
        <v>0</v>
      </c>
      <c r="K26" s="242">
        <f t="shared" si="4"/>
        <v>0.51691798726904847</v>
      </c>
      <c r="L26" s="428">
        <f t="shared" si="5"/>
        <v>0</v>
      </c>
      <c r="M26" s="428">
        <f t="shared" si="6"/>
        <v>0</v>
      </c>
      <c r="N26" s="464">
        <f t="shared" si="7"/>
        <v>0</v>
      </c>
    </row>
    <row r="27" spans="1:14">
      <c r="A27" s="60">
        <f>Summary!A44</f>
        <v>51080</v>
      </c>
      <c r="B27" s="226" t="str">
        <f>Summary!B44</f>
        <v>Management Fee</v>
      </c>
      <c r="C27" s="250">
        <f>Summary!O44</f>
        <v>51359</v>
      </c>
      <c r="D27" s="229">
        <f>Rent!C$34</f>
        <v>67709</v>
      </c>
      <c r="E27" s="229"/>
      <c r="F27" s="60">
        <f t="shared" si="0"/>
        <v>51080</v>
      </c>
      <c r="G27" s="2" t="str">
        <f t="shared" si="1"/>
        <v>Management Fee</v>
      </c>
      <c r="H27" s="383">
        <f t="shared" si="2"/>
        <v>51359</v>
      </c>
      <c r="I27" s="461">
        <v>0</v>
      </c>
      <c r="J27" s="383">
        <f t="shared" si="8"/>
        <v>51359</v>
      </c>
      <c r="K27" s="242">
        <f t="shared" si="4"/>
        <v>0.51691798726904847</v>
      </c>
      <c r="L27" s="428">
        <f t="shared" si="5"/>
        <v>26548.390908151061</v>
      </c>
      <c r="M27" s="428">
        <f t="shared" si="6"/>
        <v>3982.2586362226589</v>
      </c>
      <c r="N27" s="464">
        <f t="shared" si="7"/>
        <v>30530.649544373719</v>
      </c>
    </row>
    <row r="28" spans="1:14">
      <c r="A28" s="60">
        <f>Summary!A45</f>
        <v>51100</v>
      </c>
      <c r="B28" s="226" t="str">
        <f>Summary!B45</f>
        <v>Sidewalk Maintenance</v>
      </c>
      <c r="C28" s="250">
        <f>Summary!O45</f>
        <v>0</v>
      </c>
      <c r="D28" s="229">
        <f>Rent!C$34</f>
        <v>67709</v>
      </c>
      <c r="E28" s="229"/>
      <c r="F28" s="60">
        <f t="shared" si="0"/>
        <v>51100</v>
      </c>
      <c r="G28" s="2" t="str">
        <f t="shared" si="1"/>
        <v>Sidewalk Maintenance</v>
      </c>
      <c r="H28" s="383">
        <f t="shared" si="2"/>
        <v>0</v>
      </c>
      <c r="I28" s="461">
        <v>0</v>
      </c>
      <c r="J28" s="383">
        <f t="shared" si="8"/>
        <v>0</v>
      </c>
      <c r="K28" s="242">
        <f t="shared" si="4"/>
        <v>0.51691798726904847</v>
      </c>
      <c r="L28" s="428">
        <f t="shared" si="5"/>
        <v>0</v>
      </c>
      <c r="M28" s="428">
        <f t="shared" si="6"/>
        <v>0</v>
      </c>
      <c r="N28" s="464">
        <f t="shared" si="7"/>
        <v>0</v>
      </c>
    </row>
    <row r="29" spans="1:14">
      <c r="A29" s="60">
        <f>Summary!A46</f>
        <v>50550</v>
      </c>
      <c r="B29" s="226" t="str">
        <f>Summary!B46</f>
        <v xml:space="preserve">Sign Maintenance </v>
      </c>
      <c r="C29" s="250">
        <f>Summary!O46</f>
        <v>2460</v>
      </c>
      <c r="D29" s="229">
        <f>Rent!C$34</f>
        <v>67709</v>
      </c>
      <c r="E29" s="229"/>
      <c r="F29" s="60">
        <f t="shared" si="0"/>
        <v>50550</v>
      </c>
      <c r="G29" s="2" t="str">
        <f t="shared" si="1"/>
        <v xml:space="preserve">Sign Maintenance </v>
      </c>
      <c r="H29" s="383">
        <f t="shared" si="2"/>
        <v>2460</v>
      </c>
      <c r="I29" s="461">
        <v>0</v>
      </c>
      <c r="J29" s="383">
        <f>H29+I29</f>
        <v>2460</v>
      </c>
      <c r="K29" s="242">
        <f t="shared" si="4"/>
        <v>0.51691798726904847</v>
      </c>
      <c r="L29" s="428">
        <f t="shared" si="5"/>
        <v>1271.6182486818593</v>
      </c>
      <c r="M29" s="428">
        <f t="shared" si="6"/>
        <v>190.7427373022789</v>
      </c>
      <c r="N29" s="464">
        <f t="shared" si="7"/>
        <v>1462.3609859841381</v>
      </c>
    </row>
    <row r="30" spans="1:14">
      <c r="A30" s="60">
        <f>Summary!A47</f>
        <v>51150</v>
      </c>
      <c r="B30" s="226" t="str">
        <f>Summary!B47</f>
        <v>Sweeping</v>
      </c>
      <c r="C30" s="250">
        <f>Summary!O47</f>
        <v>7080</v>
      </c>
      <c r="D30" s="229">
        <f>Rent!C$34</f>
        <v>67709</v>
      </c>
      <c r="E30" s="229"/>
      <c r="F30" s="60">
        <f t="shared" si="0"/>
        <v>51150</v>
      </c>
      <c r="G30" s="2" t="str">
        <f t="shared" si="1"/>
        <v>Sweeping</v>
      </c>
      <c r="H30" s="383">
        <f t="shared" si="2"/>
        <v>7080</v>
      </c>
      <c r="I30" s="461">
        <v>0</v>
      </c>
      <c r="J30" s="383">
        <f t="shared" si="8"/>
        <v>7080</v>
      </c>
      <c r="K30" s="242">
        <f t="shared" si="4"/>
        <v>0.51691798726904847</v>
      </c>
      <c r="L30" s="428">
        <f t="shared" si="5"/>
        <v>3659.779349864863</v>
      </c>
      <c r="M30" s="428">
        <f t="shared" si="6"/>
        <v>548.96690247972947</v>
      </c>
      <c r="N30" s="464">
        <f t="shared" si="7"/>
        <v>4208.746252344592</v>
      </c>
    </row>
    <row r="31" spans="1:14">
      <c r="A31" s="465">
        <f>Summary!A48</f>
        <v>51200</v>
      </c>
      <c r="B31" s="267" t="str">
        <f>Summary!B48</f>
        <v>Electrical Repairs/CAM</v>
      </c>
      <c r="C31" s="466">
        <f>Summary!O48</f>
        <v>0</v>
      </c>
      <c r="D31" s="229">
        <f>Rent!C$34</f>
        <v>67709</v>
      </c>
      <c r="E31" s="229"/>
      <c r="F31" s="60">
        <f t="shared" si="0"/>
        <v>51200</v>
      </c>
      <c r="G31" s="2" t="str">
        <f t="shared" si="1"/>
        <v>Electrical Repairs/CAM</v>
      </c>
      <c r="H31" s="383">
        <f t="shared" si="2"/>
        <v>0</v>
      </c>
      <c r="I31" s="461">
        <v>0</v>
      </c>
      <c r="J31" s="383">
        <f t="shared" si="8"/>
        <v>0</v>
      </c>
      <c r="K31" s="242">
        <f t="shared" si="4"/>
        <v>0.51691798726904847</v>
      </c>
      <c r="L31" s="428">
        <f t="shared" si="5"/>
        <v>0</v>
      </c>
      <c r="M31" s="428">
        <f t="shared" si="6"/>
        <v>0</v>
      </c>
      <c r="N31" s="464">
        <f t="shared" si="7"/>
        <v>0</v>
      </c>
    </row>
    <row r="32" spans="1:14">
      <c r="A32" s="60">
        <f>Summary!A49</f>
        <v>51220</v>
      </c>
      <c r="B32" s="226" t="str">
        <f>Summary!B49</f>
        <v>Painting</v>
      </c>
      <c r="C32" s="250">
        <f>Summary!O49</f>
        <v>0</v>
      </c>
      <c r="D32" s="229">
        <f>Rent!C$34</f>
        <v>67709</v>
      </c>
      <c r="E32" s="229"/>
      <c r="F32" s="60">
        <f t="shared" si="0"/>
        <v>51220</v>
      </c>
      <c r="G32" s="2" t="str">
        <f t="shared" si="1"/>
        <v>Painting</v>
      </c>
      <c r="H32" s="383">
        <f t="shared" si="2"/>
        <v>0</v>
      </c>
      <c r="I32" s="461">
        <v>0</v>
      </c>
      <c r="J32" s="383">
        <f t="shared" si="8"/>
        <v>0</v>
      </c>
      <c r="K32" s="242">
        <f t="shared" si="4"/>
        <v>0.51691798726904847</v>
      </c>
      <c r="L32" s="428">
        <f t="shared" si="5"/>
        <v>0</v>
      </c>
      <c r="M32" s="428">
        <f t="shared" si="6"/>
        <v>0</v>
      </c>
      <c r="N32" s="464">
        <f t="shared" si="7"/>
        <v>0</v>
      </c>
    </row>
    <row r="33" spans="1:14">
      <c r="A33" s="60">
        <f>Summary!A50</f>
        <v>55110</v>
      </c>
      <c r="B33" s="226" t="str">
        <f>Summary!B50</f>
        <v>Electric/Common Area</v>
      </c>
      <c r="C33" s="462">
        <f>Summary!O50</f>
        <v>19714.199999999997</v>
      </c>
      <c r="D33" s="406">
        <f>Rent!C$34</f>
        <v>67709</v>
      </c>
      <c r="E33" s="406"/>
      <c r="F33" s="60">
        <f t="shared" si="0"/>
        <v>55110</v>
      </c>
      <c r="G33" s="2" t="str">
        <f t="shared" si="1"/>
        <v>Electric/Common Area</v>
      </c>
      <c r="H33" s="383">
        <f t="shared" si="2"/>
        <v>19714.199999999997</v>
      </c>
      <c r="I33" s="461">
        <v>0</v>
      </c>
      <c r="J33" s="383">
        <f t="shared" si="8"/>
        <v>19714.199999999997</v>
      </c>
      <c r="K33" s="242">
        <f t="shared" si="4"/>
        <v>0.51691798726904847</v>
      </c>
      <c r="L33" s="463">
        <f t="shared" si="5"/>
        <v>10190.624584619474</v>
      </c>
      <c r="M33" s="463">
        <f t="shared" si="6"/>
        <v>1528.5936876929211</v>
      </c>
      <c r="N33" s="464">
        <f t="shared" si="7"/>
        <v>11719.218272312395</v>
      </c>
    </row>
    <row r="34" spans="1:14">
      <c r="A34" s="60">
        <f>Summary!A51</f>
        <v>55140</v>
      </c>
      <c r="B34" s="226" t="str">
        <f>Summary!B51</f>
        <v>Water/Common Area</v>
      </c>
      <c r="C34" s="462">
        <f>Summary!O51</f>
        <v>0</v>
      </c>
      <c r="D34" s="406">
        <f>Rent!C$34</f>
        <v>67709</v>
      </c>
      <c r="E34" s="406"/>
      <c r="F34" s="60">
        <f t="shared" si="0"/>
        <v>55140</v>
      </c>
      <c r="G34" s="2" t="str">
        <f t="shared" si="1"/>
        <v>Water/Common Area</v>
      </c>
      <c r="H34" s="383">
        <f t="shared" si="2"/>
        <v>0</v>
      </c>
      <c r="I34" s="461">
        <v>0</v>
      </c>
      <c r="J34" s="383">
        <f t="shared" si="8"/>
        <v>0</v>
      </c>
      <c r="K34" s="242">
        <f t="shared" si="4"/>
        <v>0.51691798726904847</v>
      </c>
      <c r="L34" s="463">
        <f t="shared" si="5"/>
        <v>0</v>
      </c>
      <c r="M34" s="463">
        <f t="shared" si="6"/>
        <v>0</v>
      </c>
      <c r="N34" s="464">
        <f t="shared" si="7"/>
        <v>0</v>
      </c>
    </row>
    <row r="35" spans="1:14">
      <c r="A35" s="60">
        <f>Summary!A52</f>
        <v>55150</v>
      </c>
      <c r="B35" s="226" t="str">
        <f>Summary!B52</f>
        <v>Water/Fire Department</v>
      </c>
      <c r="C35" s="462">
        <f>Summary!O52</f>
        <v>0</v>
      </c>
      <c r="D35" s="406">
        <f>Rent!C$34</f>
        <v>67709</v>
      </c>
      <c r="E35" s="406"/>
      <c r="F35" s="60">
        <f t="shared" si="0"/>
        <v>55150</v>
      </c>
      <c r="G35" s="2" t="str">
        <f t="shared" si="1"/>
        <v>Water/Fire Department</v>
      </c>
      <c r="H35" s="383">
        <f t="shared" si="2"/>
        <v>0</v>
      </c>
      <c r="I35" s="461">
        <v>0</v>
      </c>
      <c r="J35" s="383">
        <f t="shared" si="8"/>
        <v>0</v>
      </c>
      <c r="K35" s="242">
        <f t="shared" si="4"/>
        <v>0.51691798726904847</v>
      </c>
      <c r="L35" s="463">
        <f t="shared" si="5"/>
        <v>0</v>
      </c>
      <c r="M35" s="463">
        <f t="shared" si="6"/>
        <v>0</v>
      </c>
      <c r="N35" s="464">
        <f t="shared" si="7"/>
        <v>0</v>
      </c>
    </row>
    <row r="36" spans="1:14">
      <c r="A36" s="60">
        <f>Summary!A53</f>
        <v>51070</v>
      </c>
      <c r="B36" s="226" t="str">
        <f>Summary!B53</f>
        <v>Roof Repairs - AMORTIZATION</v>
      </c>
      <c r="C36" s="462">
        <f>Summary!O53</f>
        <v>11918.625</v>
      </c>
      <c r="D36" s="406">
        <f>Rent!C$34</f>
        <v>67709</v>
      </c>
      <c r="E36" s="406"/>
      <c r="F36" s="60">
        <f t="shared" ref="F36" si="9">A36</f>
        <v>51070</v>
      </c>
      <c r="G36" s="2" t="str">
        <f t="shared" ref="G36" si="10">B36</f>
        <v>Roof Repairs - AMORTIZATION</v>
      </c>
      <c r="H36" s="383">
        <f t="shared" ref="H36" si="11">C36</f>
        <v>11918.625</v>
      </c>
      <c r="I36" s="461">
        <f>-H36</f>
        <v>-11918.625</v>
      </c>
      <c r="J36" s="383">
        <f t="shared" ref="J36" si="12">H36+I36</f>
        <v>0</v>
      </c>
      <c r="K36" s="242">
        <f t="shared" ref="K36" si="13">$H$8/D36</f>
        <v>0.51691798726904847</v>
      </c>
      <c r="L36" s="463">
        <f t="shared" ref="L36" si="14">J36*K36</f>
        <v>0</v>
      </c>
      <c r="M36" s="463">
        <f t="shared" ref="M36" si="15">L36*$M$12</f>
        <v>0</v>
      </c>
      <c r="N36" s="464">
        <f t="shared" ref="N36" si="16">L36+M36</f>
        <v>0</v>
      </c>
    </row>
    <row r="37" spans="1:14">
      <c r="A37" s="60"/>
      <c r="B37" s="226"/>
      <c r="C37" s="462"/>
      <c r="D37" s="2"/>
      <c r="E37" s="2"/>
      <c r="F37" s="60" t="s">
        <v>47</v>
      </c>
      <c r="G37" s="51"/>
      <c r="H37" s="383" t="s">
        <v>47</v>
      </c>
      <c r="I37" s="461" t="s">
        <v>47</v>
      </c>
      <c r="J37" s="383" t="s">
        <v>47</v>
      </c>
      <c r="K37" s="242" t="s">
        <v>47</v>
      </c>
      <c r="L37" s="383" t="s">
        <v>47</v>
      </c>
      <c r="M37" s="2"/>
      <c r="N37" s="148" t="s">
        <v>47</v>
      </c>
    </row>
    <row r="38" spans="1:14">
      <c r="A38" s="60"/>
      <c r="B38" s="253" t="str">
        <f>Summary!B55</f>
        <v>SUBTOTAL COMMON AREA</v>
      </c>
      <c r="C38" s="467">
        <f>SUM(C15:C36)</f>
        <v>158039.82500000001</v>
      </c>
      <c r="D38" s="368"/>
      <c r="E38" s="368"/>
      <c r="F38" s="60" t="s">
        <v>47</v>
      </c>
      <c r="G38" s="468" t="str">
        <f>$B$38</f>
        <v>SUBTOTAL COMMON AREA</v>
      </c>
      <c r="H38" s="469">
        <f>SUM(H15:H36)</f>
        <v>158039.82500000001</v>
      </c>
      <c r="I38" s="469">
        <f t="shared" ref="I38:N38" si="17">SUM(I15:I36)</f>
        <v>-11918.625</v>
      </c>
      <c r="J38" s="469">
        <f t="shared" si="17"/>
        <v>146121.20000000001</v>
      </c>
      <c r="K38" s="469"/>
      <c r="L38" s="469">
        <f t="shared" si="17"/>
        <v>75532.676601338084</v>
      </c>
      <c r="M38" s="469">
        <f t="shared" si="17"/>
        <v>11329.901490200711</v>
      </c>
      <c r="N38" s="470">
        <f t="shared" si="17"/>
        <v>86862.578091538788</v>
      </c>
    </row>
    <row r="39" spans="1:14">
      <c r="A39" s="60"/>
      <c r="B39" s="2"/>
      <c r="C39" s="462"/>
      <c r="D39" s="2"/>
      <c r="E39" s="2"/>
      <c r="F39" s="60"/>
      <c r="G39" s="51"/>
      <c r="H39" s="144"/>
      <c r="I39" s="144"/>
      <c r="J39" s="144"/>
      <c r="K39" s="404"/>
      <c r="L39" s="144"/>
      <c r="M39" s="2"/>
      <c r="N39" s="144"/>
    </row>
    <row r="40" spans="1:14">
      <c r="A40" s="60"/>
      <c r="B40" s="253" t="str">
        <f>Summary!B57</f>
        <v>BUILDING EXPENSE</v>
      </c>
      <c r="C40" s="462"/>
      <c r="D40" s="253"/>
      <c r="E40" s="253"/>
      <c r="F40" s="60"/>
      <c r="G40" s="51" t="str">
        <f>$B$40</f>
        <v>BUILDING EXPENSE</v>
      </c>
      <c r="H40" s="144"/>
      <c r="I40" s="144"/>
      <c r="J40" s="144"/>
      <c r="K40" s="404"/>
      <c r="L40" s="144"/>
      <c r="M40" s="2"/>
      <c r="N40" s="144"/>
    </row>
    <row r="41" spans="1:14">
      <c r="A41" s="60">
        <f>Summary!A58</f>
        <v>51060</v>
      </c>
      <c r="B41" s="226" t="str">
        <f>Summary!B58</f>
        <v>Roof Maintenance</v>
      </c>
      <c r="C41" s="462">
        <f>Summary!O58</f>
        <v>10000</v>
      </c>
      <c r="D41" s="406">
        <f>Rent!C$38</f>
        <v>32709</v>
      </c>
      <c r="E41" s="406"/>
      <c r="F41" s="60">
        <f>$A$41</f>
        <v>51060</v>
      </c>
      <c r="G41" s="2" t="str">
        <f>$B$41</f>
        <v>Roof Maintenance</v>
      </c>
      <c r="H41" s="383">
        <f>$C$41</f>
        <v>10000</v>
      </c>
      <c r="I41" s="461">
        <f t="shared" ref="I41:I48" si="18">-H41</f>
        <v>-10000</v>
      </c>
      <c r="J41" s="383">
        <f>H41+I41</f>
        <v>0</v>
      </c>
      <c r="K41" s="242">
        <f t="shared" ref="K41:K48" si="19">$H$8/D41</f>
        <v>1.0700418844966217</v>
      </c>
      <c r="L41" s="463">
        <f t="shared" ref="L41:L47" si="20">J41*K41</f>
        <v>0</v>
      </c>
      <c r="M41" s="463">
        <f t="shared" ref="M41:M48" si="21">L41*$M$12</f>
        <v>0</v>
      </c>
      <c r="N41" s="464">
        <f t="shared" ref="N41:N48" si="22">L41+M41</f>
        <v>0</v>
      </c>
    </row>
    <row r="42" spans="1:14">
      <c r="A42" s="60">
        <f>Summary!A59</f>
        <v>51070</v>
      </c>
      <c r="B42" s="226" t="str">
        <f>Summary!B59</f>
        <v>Roof Repairs</v>
      </c>
      <c r="C42" s="462">
        <f>Summary!O59</f>
        <v>0</v>
      </c>
      <c r="D42" s="406">
        <f>Rent!C$38</f>
        <v>32709</v>
      </c>
      <c r="E42" s="406"/>
      <c r="F42" s="60">
        <f>$A$42</f>
        <v>51070</v>
      </c>
      <c r="G42" s="2" t="str">
        <f>$B$42</f>
        <v>Roof Repairs</v>
      </c>
      <c r="H42" s="383">
        <f>$C$42</f>
        <v>0</v>
      </c>
      <c r="I42" s="461">
        <f t="shared" si="18"/>
        <v>0</v>
      </c>
      <c r="J42" s="383">
        <f t="shared" ref="J42:J48" si="23">H42+I42</f>
        <v>0</v>
      </c>
      <c r="K42" s="242">
        <f t="shared" si="19"/>
        <v>1.0700418844966217</v>
      </c>
      <c r="L42" s="463">
        <f t="shared" si="20"/>
        <v>0</v>
      </c>
      <c r="M42" s="463">
        <f t="shared" si="21"/>
        <v>0</v>
      </c>
      <c r="N42" s="464">
        <f t="shared" si="22"/>
        <v>0</v>
      </c>
    </row>
    <row r="43" spans="1:14">
      <c r="A43" s="60">
        <f>Summary!A60</f>
        <v>51110</v>
      </c>
      <c r="B43" s="226" t="str">
        <f>Summary!B60</f>
        <v>Monitor Fire Sprinklers</v>
      </c>
      <c r="C43" s="462">
        <f>Summary!O60</f>
        <v>2148</v>
      </c>
      <c r="D43" s="406">
        <f>Rent!C$38</f>
        <v>32709</v>
      </c>
      <c r="E43" s="406"/>
      <c r="F43" s="60">
        <f>$A$43</f>
        <v>51110</v>
      </c>
      <c r="G43" s="2" t="str">
        <f>$B$43</f>
        <v>Monitor Fire Sprinklers</v>
      </c>
      <c r="H43" s="383">
        <f>$C$43</f>
        <v>2148</v>
      </c>
      <c r="I43" s="461">
        <f t="shared" si="18"/>
        <v>-2148</v>
      </c>
      <c r="J43" s="383">
        <f t="shared" si="23"/>
        <v>0</v>
      </c>
      <c r="K43" s="242">
        <f t="shared" si="19"/>
        <v>1.0700418844966217</v>
      </c>
      <c r="L43" s="463">
        <f t="shared" si="20"/>
        <v>0</v>
      </c>
      <c r="M43" s="463">
        <f t="shared" si="21"/>
        <v>0</v>
      </c>
      <c r="N43" s="464">
        <f t="shared" si="22"/>
        <v>0</v>
      </c>
    </row>
    <row r="44" spans="1:14">
      <c r="A44" s="60">
        <f>Summary!A61</f>
        <v>51120</v>
      </c>
      <c r="B44" s="226" t="str">
        <f>Summary!B61</f>
        <v>Fire Protection Repairs</v>
      </c>
      <c r="C44" s="462">
        <f>Summary!O61</f>
        <v>3400</v>
      </c>
      <c r="D44" s="406">
        <f>Rent!C$38</f>
        <v>32709</v>
      </c>
      <c r="E44" s="406"/>
      <c r="F44" s="60">
        <f>$A$44</f>
        <v>51120</v>
      </c>
      <c r="G44" s="2" t="str">
        <f>$B$44</f>
        <v>Fire Protection Repairs</v>
      </c>
      <c r="H44" s="383">
        <f>$C$44</f>
        <v>3400</v>
      </c>
      <c r="I44" s="461">
        <f t="shared" si="18"/>
        <v>-3400</v>
      </c>
      <c r="J44" s="383">
        <f t="shared" si="23"/>
        <v>0</v>
      </c>
      <c r="K44" s="242">
        <f t="shared" si="19"/>
        <v>1.0700418844966217</v>
      </c>
      <c r="L44" s="463">
        <f t="shared" si="20"/>
        <v>0</v>
      </c>
      <c r="M44" s="463">
        <f t="shared" si="21"/>
        <v>0</v>
      </c>
      <c r="N44" s="464">
        <f t="shared" si="22"/>
        <v>0</v>
      </c>
    </row>
    <row r="45" spans="1:14">
      <c r="A45" s="60">
        <f>Summary!A62</f>
        <v>52020</v>
      </c>
      <c r="B45" s="226" t="str">
        <f>Summary!B62</f>
        <v>Backflow Maintenance</v>
      </c>
      <c r="C45" s="462">
        <f>Summary!O62</f>
        <v>1000</v>
      </c>
      <c r="D45" s="406">
        <f>Rent!C$38</f>
        <v>32709</v>
      </c>
      <c r="E45" s="406"/>
      <c r="F45" s="60">
        <f>$A$45</f>
        <v>52020</v>
      </c>
      <c r="G45" s="2" t="str">
        <f>$B$45</f>
        <v>Backflow Maintenance</v>
      </c>
      <c r="H45" s="383">
        <f>$C$45</f>
        <v>1000</v>
      </c>
      <c r="I45" s="461">
        <f t="shared" si="18"/>
        <v>-1000</v>
      </c>
      <c r="J45" s="383">
        <f t="shared" si="23"/>
        <v>0</v>
      </c>
      <c r="K45" s="242">
        <f t="shared" si="19"/>
        <v>1.0700418844966217</v>
      </c>
      <c r="L45" s="463">
        <f t="shared" si="20"/>
        <v>0</v>
      </c>
      <c r="M45" s="463">
        <f t="shared" si="21"/>
        <v>0</v>
      </c>
      <c r="N45" s="464">
        <f t="shared" si="22"/>
        <v>0</v>
      </c>
    </row>
    <row r="46" spans="1:14">
      <c r="A46" s="60">
        <f>Summary!A63</f>
        <v>52030</v>
      </c>
      <c r="B46" s="226" t="str">
        <f>Summary!B63</f>
        <v>Backflow Repairs</v>
      </c>
      <c r="C46" s="462">
        <f>Summary!O63</f>
        <v>500</v>
      </c>
      <c r="D46" s="406">
        <f>Rent!C$38</f>
        <v>32709</v>
      </c>
      <c r="E46" s="406"/>
      <c r="F46" s="60">
        <f>$A$46</f>
        <v>52030</v>
      </c>
      <c r="G46" s="2" t="str">
        <f>$B$46</f>
        <v>Backflow Repairs</v>
      </c>
      <c r="H46" s="383">
        <f>$C$46</f>
        <v>500</v>
      </c>
      <c r="I46" s="461">
        <f t="shared" si="18"/>
        <v>-500</v>
      </c>
      <c r="J46" s="383">
        <f t="shared" si="23"/>
        <v>0</v>
      </c>
      <c r="K46" s="242">
        <f t="shared" si="19"/>
        <v>1.0700418844966217</v>
      </c>
      <c r="L46" s="463">
        <f t="shared" si="20"/>
        <v>0</v>
      </c>
      <c r="M46" s="463">
        <f t="shared" si="21"/>
        <v>0</v>
      </c>
      <c r="N46" s="464">
        <f t="shared" si="22"/>
        <v>0</v>
      </c>
    </row>
    <row r="47" spans="1:14">
      <c r="A47" s="60">
        <f>Summary!A64</f>
        <v>55120</v>
      </c>
      <c r="B47" s="226" t="str">
        <f>Summary!B64</f>
        <v>Trash Removal</v>
      </c>
      <c r="C47" s="462">
        <f>Summary!O64</f>
        <v>13781.400000000003</v>
      </c>
      <c r="D47" s="406">
        <f>Rent!C$38</f>
        <v>32709</v>
      </c>
      <c r="E47" s="406"/>
      <c r="F47" s="60">
        <f>$A$47</f>
        <v>55120</v>
      </c>
      <c r="G47" s="2" t="str">
        <f>$B$47</f>
        <v>Trash Removal</v>
      </c>
      <c r="H47" s="383">
        <f>$C$47</f>
        <v>13781.400000000003</v>
      </c>
      <c r="I47" s="461">
        <f t="shared" si="18"/>
        <v>-13781.400000000003</v>
      </c>
      <c r="J47" s="383">
        <f t="shared" si="23"/>
        <v>0</v>
      </c>
      <c r="K47" s="242">
        <f t="shared" si="19"/>
        <v>1.0700418844966217</v>
      </c>
      <c r="L47" s="463">
        <f t="shared" si="20"/>
        <v>0</v>
      </c>
      <c r="M47" s="463">
        <f t="shared" si="21"/>
        <v>0</v>
      </c>
      <c r="N47" s="464">
        <f t="shared" si="22"/>
        <v>0</v>
      </c>
    </row>
    <row r="48" spans="1:14">
      <c r="A48" s="60">
        <f>Summary!A65</f>
        <v>55130</v>
      </c>
      <c r="B48" s="226" t="str">
        <f>Summary!B65</f>
        <v>Water/Building</v>
      </c>
      <c r="C48" s="462">
        <f>Summary!O65</f>
        <v>33495.599999999999</v>
      </c>
      <c r="D48" s="406">
        <f>Rent!C$38</f>
        <v>32709</v>
      </c>
      <c r="E48" s="406"/>
      <c r="F48" s="60">
        <f>$A$48</f>
        <v>55130</v>
      </c>
      <c r="G48" s="2" t="str">
        <f>$B$48</f>
        <v>Water/Building</v>
      </c>
      <c r="H48" s="383">
        <f>$C$48</f>
        <v>33495.599999999999</v>
      </c>
      <c r="I48" s="461">
        <f t="shared" si="18"/>
        <v>-33495.599999999999</v>
      </c>
      <c r="J48" s="383">
        <f t="shared" si="23"/>
        <v>0</v>
      </c>
      <c r="K48" s="242">
        <f t="shared" si="19"/>
        <v>1.0700418844966217</v>
      </c>
      <c r="L48" s="463">
        <f>J48*K48</f>
        <v>0</v>
      </c>
      <c r="M48" s="463">
        <f t="shared" si="21"/>
        <v>0</v>
      </c>
      <c r="N48" s="464">
        <f t="shared" si="22"/>
        <v>0</v>
      </c>
    </row>
    <row r="49" spans="1:14">
      <c r="A49" s="60"/>
      <c r="B49" s="226"/>
      <c r="C49" s="462"/>
      <c r="D49" s="2"/>
      <c r="E49" s="2"/>
      <c r="F49" s="60"/>
      <c r="G49" s="51"/>
      <c r="H49" s="383"/>
      <c r="I49" s="144"/>
      <c r="J49" s="144"/>
      <c r="K49" s="404"/>
      <c r="L49" s="144"/>
      <c r="M49" s="2"/>
      <c r="N49" s="144"/>
    </row>
    <row r="50" spans="1:14">
      <c r="A50" s="60"/>
      <c r="B50" s="253" t="str">
        <f>Summary!B67</f>
        <v>SUBTOTAL BUILDING EXP.</v>
      </c>
      <c r="C50" s="467">
        <f>SUM(C41:C48)</f>
        <v>64325</v>
      </c>
      <c r="D50" s="368"/>
      <c r="E50" s="368"/>
      <c r="F50" s="60"/>
      <c r="G50" s="471" t="str">
        <f>$B$50</f>
        <v>SUBTOTAL BUILDING EXP.</v>
      </c>
      <c r="H50" s="472">
        <f>SUM(H41:H48)</f>
        <v>64325</v>
      </c>
      <c r="I50" s="472">
        <f t="shared" ref="I50:N50" si="24">SUM(I41:I48)</f>
        <v>-64325</v>
      </c>
      <c r="J50" s="472">
        <f t="shared" si="24"/>
        <v>0</v>
      </c>
      <c r="K50" s="472"/>
      <c r="L50" s="472">
        <f t="shared" si="24"/>
        <v>0</v>
      </c>
      <c r="M50" s="472">
        <f t="shared" si="24"/>
        <v>0</v>
      </c>
      <c r="N50" s="472">
        <f t="shared" si="24"/>
        <v>0</v>
      </c>
    </row>
    <row r="51" spans="1:14">
      <c r="A51" s="60"/>
      <c r="B51" s="51"/>
      <c r="C51" s="462"/>
      <c r="D51" s="51"/>
      <c r="E51" s="51"/>
      <c r="F51" s="60"/>
      <c r="G51" s="51"/>
      <c r="H51" s="383"/>
      <c r="I51" s="144"/>
      <c r="J51" s="144"/>
      <c r="K51" s="404"/>
      <c r="L51" s="144"/>
      <c r="M51" s="2"/>
      <c r="N51" s="144"/>
    </row>
    <row r="52" spans="1:14">
      <c r="A52" s="60"/>
      <c r="B52" s="51" t="str">
        <f>Summary!B69</f>
        <v>INSURANCE</v>
      </c>
      <c r="C52" s="462"/>
      <c r="D52" s="51"/>
      <c r="E52" s="51"/>
      <c r="F52" s="60"/>
      <c r="G52" s="51" t="str">
        <f>$B$52</f>
        <v>INSURANCE</v>
      </c>
      <c r="H52" s="2"/>
      <c r="I52" s="2"/>
      <c r="J52" s="2"/>
      <c r="K52" s="242"/>
      <c r="L52" s="2"/>
      <c r="M52" s="2"/>
      <c r="N52" s="2"/>
    </row>
    <row r="53" spans="1:14">
      <c r="A53" s="60">
        <f>Summary!A70</f>
        <v>50111</v>
      </c>
      <c r="B53" s="2" t="str">
        <f>Summary!B70</f>
        <v>Insurance - Property</v>
      </c>
      <c r="C53" s="462">
        <f>Summary!O70</f>
        <v>28129.200000000001</v>
      </c>
      <c r="D53" s="406">
        <f>Rent!C$34</f>
        <v>67709</v>
      </c>
      <c r="E53" s="406"/>
      <c r="F53" s="60">
        <f>$A$53</f>
        <v>50111</v>
      </c>
      <c r="G53" s="2" t="str">
        <f>$B$53</f>
        <v>Insurance - Property</v>
      </c>
      <c r="H53" s="383">
        <f>$C$53</f>
        <v>28129.200000000001</v>
      </c>
      <c r="I53" s="461">
        <v>0</v>
      </c>
      <c r="J53" s="383">
        <f>H53+I53</f>
        <v>28129.200000000001</v>
      </c>
      <c r="K53" s="242">
        <f>+H$8/Rent!C$34</f>
        <v>0.51691798726904847</v>
      </c>
      <c r="L53" s="463">
        <f t="shared" ref="L53:L56" si="25">J53*K53</f>
        <v>14540.489447488519</v>
      </c>
      <c r="M53" s="463">
        <v>0</v>
      </c>
      <c r="N53" s="464">
        <f t="shared" ref="N53:N56" si="26">L53+M53</f>
        <v>14540.489447488519</v>
      </c>
    </row>
    <row r="54" spans="1:14">
      <c r="A54" s="60">
        <f>Summary!A71</f>
        <v>50112</v>
      </c>
      <c r="B54" s="2" t="str">
        <f>Summary!B71</f>
        <v>Insurance - Liability</v>
      </c>
      <c r="C54" s="462">
        <f>Summary!O71</f>
        <v>0</v>
      </c>
      <c r="D54" s="406">
        <f>Rent!C$34</f>
        <v>67709</v>
      </c>
      <c r="E54" s="406"/>
      <c r="F54" s="60">
        <f>$A$54</f>
        <v>50112</v>
      </c>
      <c r="G54" s="2" t="str">
        <f>$B$54</f>
        <v>Insurance - Liability</v>
      </c>
      <c r="H54" s="383">
        <f>$C$54</f>
        <v>0</v>
      </c>
      <c r="I54" s="461">
        <v>0</v>
      </c>
      <c r="J54" s="383">
        <f>H54+I54</f>
        <v>0</v>
      </c>
      <c r="K54" s="242">
        <f>+H$8/Rent!C$34</f>
        <v>0.51691798726904847</v>
      </c>
      <c r="L54" s="463">
        <f t="shared" si="25"/>
        <v>0</v>
      </c>
      <c r="M54" s="463">
        <v>0</v>
      </c>
      <c r="N54" s="464">
        <f t="shared" si="26"/>
        <v>0</v>
      </c>
    </row>
    <row r="55" spans="1:14">
      <c r="A55" s="60">
        <f>Summary!A72</f>
        <v>50130</v>
      </c>
      <c r="B55" s="2" t="str">
        <f>Summary!B72</f>
        <v>Insurance - Umbrella</v>
      </c>
      <c r="C55" s="462">
        <f>Summary!O72</f>
        <v>3831.3</v>
      </c>
      <c r="D55" s="406">
        <f>Rent!C$34</f>
        <v>67709</v>
      </c>
      <c r="E55" s="406"/>
      <c r="F55" s="60">
        <f>$A$55</f>
        <v>50130</v>
      </c>
      <c r="G55" s="2" t="str">
        <f>$B$55</f>
        <v>Insurance - Umbrella</v>
      </c>
      <c r="H55" s="383">
        <f>$C$55</f>
        <v>3831.3</v>
      </c>
      <c r="I55" s="461">
        <v>0</v>
      </c>
      <c r="J55" s="383">
        <f>H55+I55</f>
        <v>3831.3</v>
      </c>
      <c r="K55" s="242">
        <f>+H$8/Rent!C$34</f>
        <v>0.51691798726904847</v>
      </c>
      <c r="L55" s="463">
        <f t="shared" si="25"/>
        <v>1980.4678846239055</v>
      </c>
      <c r="M55" s="463">
        <v>0</v>
      </c>
      <c r="N55" s="464">
        <f t="shared" si="26"/>
        <v>1980.4678846239055</v>
      </c>
    </row>
    <row r="56" spans="1:14">
      <c r="A56" s="60">
        <f>Summary!A73</f>
        <v>50140</v>
      </c>
      <c r="B56" s="2" t="str">
        <f>Summary!B73</f>
        <v>Insurance - Flood &amp; Earthquake</v>
      </c>
      <c r="C56" s="462">
        <f>Summary!O73</f>
        <v>0</v>
      </c>
      <c r="D56" s="406">
        <f>Rent!C$34</f>
        <v>67709</v>
      </c>
      <c r="E56" s="406"/>
      <c r="F56" s="60">
        <f>$A$56</f>
        <v>50140</v>
      </c>
      <c r="G56" s="2" t="str">
        <f>$B$56</f>
        <v>Insurance - Flood &amp; Earthquake</v>
      </c>
      <c r="H56" s="383">
        <f>$C$56</f>
        <v>0</v>
      </c>
      <c r="I56" s="461">
        <f>-H56</f>
        <v>0</v>
      </c>
      <c r="J56" s="383">
        <f>H56+I56</f>
        <v>0</v>
      </c>
      <c r="K56" s="242">
        <f>+H$8/Rent!C$34</f>
        <v>0.51691798726904847</v>
      </c>
      <c r="L56" s="463">
        <f t="shared" si="25"/>
        <v>0</v>
      </c>
      <c r="M56" s="463">
        <v>0</v>
      </c>
      <c r="N56" s="464">
        <f t="shared" si="26"/>
        <v>0</v>
      </c>
    </row>
    <row r="57" spans="1:14">
      <c r="A57" s="60"/>
      <c r="B57" s="2"/>
      <c r="C57" s="462"/>
      <c r="D57" s="226"/>
      <c r="E57" s="226"/>
      <c r="F57" s="60"/>
      <c r="G57" s="51"/>
      <c r="H57" s="383"/>
      <c r="I57" s="461"/>
      <c r="J57" s="383"/>
      <c r="K57" s="383"/>
      <c r="L57" s="383"/>
      <c r="M57" s="242"/>
      <c r="N57" s="148"/>
    </row>
    <row r="58" spans="1:14">
      <c r="A58" s="60"/>
      <c r="B58" s="51" t="str">
        <f>Summary!B75</f>
        <v>SUBTOTAL INSURANCE</v>
      </c>
      <c r="C58" s="467">
        <f>SUM(C53:C56)</f>
        <v>31960.5</v>
      </c>
      <c r="D58" s="368"/>
      <c r="E58" s="368"/>
      <c r="F58" s="60"/>
      <c r="G58" s="471" t="str">
        <f>$B$58</f>
        <v>SUBTOTAL INSURANCE</v>
      </c>
      <c r="H58" s="472">
        <f>SUM(H53:H56)</f>
        <v>31960.5</v>
      </c>
      <c r="I58" s="472">
        <f t="shared" ref="I58:N58" si="27">SUM(I53:I56)</f>
        <v>0</v>
      </c>
      <c r="J58" s="472">
        <f t="shared" si="27"/>
        <v>31960.5</v>
      </c>
      <c r="K58" s="472"/>
      <c r="L58" s="472">
        <f t="shared" si="27"/>
        <v>16520.957332112423</v>
      </c>
      <c r="M58" s="472">
        <f t="shared" si="27"/>
        <v>0</v>
      </c>
      <c r="N58" s="472">
        <f t="shared" si="27"/>
        <v>16520.957332112423</v>
      </c>
    </row>
    <row r="59" spans="1:14">
      <c r="A59" s="60"/>
      <c r="B59" s="2"/>
      <c r="C59" s="462"/>
      <c r="D59" s="226"/>
      <c r="E59" s="226"/>
      <c r="F59" s="60"/>
      <c r="G59" s="51"/>
      <c r="H59" s="383"/>
      <c r="I59" s="461"/>
      <c r="J59" s="383"/>
      <c r="K59" s="383"/>
      <c r="L59" s="383"/>
      <c r="M59" s="242"/>
      <c r="N59" s="148"/>
    </row>
    <row r="60" spans="1:14">
      <c r="A60" s="60"/>
      <c r="B60" s="51" t="str">
        <f>Summary!B77</f>
        <v>PROPERTY TAXES</v>
      </c>
      <c r="C60" s="462"/>
      <c r="D60" s="253"/>
      <c r="E60" s="253"/>
      <c r="F60" s="60" t="s">
        <v>47</v>
      </c>
      <c r="G60" s="51" t="str">
        <f>$B$60</f>
        <v>PROPERTY TAXES</v>
      </c>
      <c r="H60" s="383" t="s">
        <v>47</v>
      </c>
      <c r="I60" s="461" t="s">
        <v>47</v>
      </c>
      <c r="J60" s="383" t="s">
        <v>47</v>
      </c>
      <c r="K60" s="383" t="s">
        <v>47</v>
      </c>
      <c r="L60" s="383" t="s">
        <v>47</v>
      </c>
      <c r="M60" s="242" t="s">
        <v>47</v>
      </c>
      <c r="N60" s="148" t="s">
        <v>47</v>
      </c>
    </row>
    <row r="61" spans="1:14">
      <c r="A61" s="60">
        <f>Summary!A78</f>
        <v>54000</v>
      </c>
      <c r="B61" s="2" t="str">
        <f>Summary!B78</f>
        <v>Property Tax</v>
      </c>
      <c r="C61" s="462">
        <f>Summary!O78</f>
        <v>144492.76140000002</v>
      </c>
      <c r="D61" s="406">
        <f>Rent!C$34</f>
        <v>67709</v>
      </c>
      <c r="E61" s="406"/>
      <c r="F61" s="60">
        <f>$A$61</f>
        <v>54000</v>
      </c>
      <c r="G61" s="2" t="str">
        <f>$B$61</f>
        <v>Property Tax</v>
      </c>
      <c r="H61" s="383">
        <f>$C$61</f>
        <v>144492.76140000002</v>
      </c>
      <c r="I61" s="461">
        <v>0</v>
      </c>
      <c r="J61" s="383">
        <f>H61+I61</f>
        <v>144492.76140000002</v>
      </c>
      <c r="K61" s="242">
        <f>+H$8/Rent!C$34</f>
        <v>0.51691798726904847</v>
      </c>
      <c r="L61" s="463">
        <f t="shared" ref="L61" si="28">J61*K61</f>
        <v>74690.907397834861</v>
      </c>
      <c r="M61" s="463">
        <v>0</v>
      </c>
      <c r="N61" s="464">
        <f t="shared" ref="N61" si="29">L61+M61</f>
        <v>74690.907397834861</v>
      </c>
    </row>
    <row r="62" spans="1:14">
      <c r="A62" s="2"/>
      <c r="B62" s="2"/>
      <c r="C62" s="462"/>
      <c r="D62" s="2"/>
      <c r="E62" s="2"/>
      <c r="F62" s="60"/>
      <c r="G62" s="51"/>
      <c r="H62" s="383"/>
      <c r="I62" s="461"/>
      <c r="J62" s="383"/>
      <c r="K62" s="383"/>
      <c r="L62" s="383"/>
      <c r="M62" s="242"/>
      <c r="N62" s="148"/>
    </row>
    <row r="63" spans="1:14">
      <c r="A63" s="2"/>
      <c r="B63" s="51" t="str">
        <f>Summary!B80</f>
        <v>SUBTOTAL TAXES</v>
      </c>
      <c r="C63" s="467">
        <f>SUM(C61)</f>
        <v>144492.76140000002</v>
      </c>
      <c r="D63" s="368"/>
      <c r="E63" s="368"/>
      <c r="F63" s="60"/>
      <c r="G63" s="471" t="str">
        <f>$B$63</f>
        <v>SUBTOTAL TAXES</v>
      </c>
      <c r="H63" s="472">
        <f>SUM(H61)</f>
        <v>144492.76140000002</v>
      </c>
      <c r="I63" s="472">
        <f t="shared" ref="I63:N63" si="30">SUM(I61)</f>
        <v>0</v>
      </c>
      <c r="J63" s="472">
        <f t="shared" si="30"/>
        <v>144492.76140000002</v>
      </c>
      <c r="K63" s="472">
        <f t="shared" si="30"/>
        <v>0.51691798726904847</v>
      </c>
      <c r="L63" s="472">
        <f t="shared" si="30"/>
        <v>74690.907397834861</v>
      </c>
      <c r="M63" s="472">
        <f t="shared" si="30"/>
        <v>0</v>
      </c>
      <c r="N63" s="472">
        <f t="shared" si="30"/>
        <v>74690.907397834861</v>
      </c>
    </row>
    <row r="64" spans="1:14">
      <c r="A64" s="2"/>
      <c r="B64" s="2"/>
      <c r="C64" s="462"/>
      <c r="D64" s="51"/>
      <c r="E64" s="51"/>
      <c r="F64" s="60"/>
      <c r="G64" s="51"/>
      <c r="H64" s="383"/>
      <c r="I64" s="461"/>
      <c r="J64" s="383"/>
      <c r="K64" s="383"/>
      <c r="L64" s="383"/>
      <c r="M64" s="242"/>
      <c r="N64" s="148"/>
    </row>
    <row r="65" spans="2:14">
      <c r="B65" s="51" t="str">
        <f>Summary!B84</f>
        <v>TOTAL COMMON AREA</v>
      </c>
      <c r="C65" s="467">
        <f>C38+C50+C58+C63</f>
        <v>398818.08640000003</v>
      </c>
      <c r="D65" s="368"/>
      <c r="E65" s="368"/>
      <c r="F65" s="60"/>
      <c r="G65" s="471" t="str">
        <f>$B$65</f>
        <v>TOTAL COMMON AREA</v>
      </c>
      <c r="H65" s="472">
        <f>H38+H50+H58+H63</f>
        <v>398818.08640000003</v>
      </c>
      <c r="I65" s="472">
        <f>I38+I50+I58+I63</f>
        <v>-76243.625</v>
      </c>
      <c r="J65" s="472">
        <f>J38+J50+J58+J63</f>
        <v>322574.46140000003</v>
      </c>
      <c r="K65" s="472"/>
      <c r="L65" s="472">
        <f>L38+L50+L58+L63</f>
        <v>166744.54133128538</v>
      </c>
      <c r="M65" s="472">
        <f>M38+M50+M58+M63</f>
        <v>11329.901490200711</v>
      </c>
      <c r="N65" s="472">
        <f>N38+N50+N58+N63</f>
        <v>178074.44282148607</v>
      </c>
    </row>
    <row r="66" spans="2:14">
      <c r="B66" s="2"/>
      <c r="C66" s="2"/>
      <c r="D66" s="2"/>
      <c r="E66" s="2"/>
      <c r="F66" s="60"/>
      <c r="G66" s="51"/>
      <c r="H66" s="473"/>
      <c r="I66" s="474"/>
      <c r="J66" s="473"/>
      <c r="K66" s="473"/>
      <c r="L66" s="473"/>
      <c r="M66" s="473"/>
      <c r="N66" s="473"/>
    </row>
    <row r="67" spans="2:14">
      <c r="B67" s="2"/>
      <c r="C67" s="2"/>
      <c r="D67" s="2"/>
      <c r="E67" s="2"/>
      <c r="F67" s="60"/>
      <c r="G67" s="2"/>
      <c r="H67" s="2"/>
      <c r="I67" s="2"/>
      <c r="J67" s="2"/>
      <c r="K67" s="2"/>
      <c r="L67" s="2"/>
      <c r="M67" s="242"/>
      <c r="N67" s="148"/>
    </row>
    <row r="68" spans="2:14">
      <c r="B68" s="2"/>
      <c r="C68" s="2"/>
      <c r="D68" s="2"/>
      <c r="E68" s="2"/>
      <c r="F68" s="60"/>
      <c r="G68" s="234" t="s">
        <v>441</v>
      </c>
      <c r="H68" s="472"/>
      <c r="I68" s="475"/>
      <c r="J68" s="472"/>
      <c r="K68" s="472"/>
      <c r="L68" s="472"/>
      <c r="M68" s="476"/>
      <c r="N68" s="477">
        <f>N65</f>
        <v>178074.44282148607</v>
      </c>
    </row>
    <row r="69" spans="2:14">
      <c r="B69" s="2"/>
      <c r="C69" s="2"/>
      <c r="D69" s="2"/>
      <c r="E69" s="2"/>
      <c r="F69" s="60"/>
      <c r="G69" s="2"/>
      <c r="H69" s="2"/>
      <c r="I69" s="2"/>
      <c r="J69" s="2"/>
      <c r="K69" s="2"/>
      <c r="L69" s="2"/>
      <c r="M69" s="242"/>
      <c r="N69" s="148"/>
    </row>
    <row r="70" spans="2:14">
      <c r="B70" s="2"/>
      <c r="C70" s="2"/>
      <c r="D70" s="2"/>
      <c r="E70" s="2"/>
      <c r="F70" s="60"/>
      <c r="G70" s="360"/>
      <c r="H70" s="478"/>
      <c r="I70" s="479" t="s">
        <v>442</v>
      </c>
      <c r="J70" s="478" t="s">
        <v>443</v>
      </c>
      <c r="K70" s="478" t="s">
        <v>444</v>
      </c>
      <c r="L70" s="478"/>
      <c r="M70" s="480"/>
      <c r="N70" s="481"/>
    </row>
    <row r="71" spans="2:14">
      <c r="B71" s="2"/>
      <c r="C71" s="2"/>
      <c r="D71" s="2"/>
      <c r="E71" s="2"/>
      <c r="F71" s="60"/>
      <c r="G71" s="370" t="s">
        <v>445</v>
      </c>
      <c r="H71" s="482"/>
      <c r="I71" s="483">
        <v>365</v>
      </c>
      <c r="J71" s="483">
        <v>365</v>
      </c>
      <c r="K71" s="484">
        <v>1</v>
      </c>
      <c r="L71" s="482"/>
      <c r="M71" s="484"/>
      <c r="N71" s="485">
        <f>N68*K71</f>
        <v>178074.44282148607</v>
      </c>
    </row>
    <row r="72" spans="2:14">
      <c r="B72" s="2"/>
      <c r="C72" s="2"/>
      <c r="D72" s="2"/>
      <c r="E72" s="2"/>
      <c r="F72" s="60"/>
      <c r="G72" s="2"/>
      <c r="H72" s="2"/>
      <c r="I72" s="2" t="s">
        <v>47</v>
      </c>
      <c r="J72" s="2"/>
      <c r="K72" s="2"/>
      <c r="L72" s="2"/>
      <c r="M72" s="242"/>
      <c r="N72" s="148"/>
    </row>
    <row r="73" spans="2:14">
      <c r="B73" s="2"/>
      <c r="C73" s="2"/>
      <c r="D73" s="2"/>
      <c r="E73" s="2"/>
      <c r="F73" s="60"/>
      <c r="G73" s="2" t="s">
        <v>446</v>
      </c>
      <c r="H73" s="60" t="s">
        <v>447</v>
      </c>
      <c r="I73" s="88" t="s">
        <v>448</v>
      </c>
      <c r="J73" s="2"/>
      <c r="K73" s="2"/>
      <c r="L73" s="2"/>
      <c r="M73" s="362" t="s">
        <v>449</v>
      </c>
      <c r="N73" s="148">
        <f>N71-N74</f>
        <v>91211.86472994728</v>
      </c>
    </row>
    <row r="74" spans="2:14">
      <c r="B74" s="2"/>
      <c r="C74" s="2"/>
      <c r="D74" s="2"/>
      <c r="E74" s="2"/>
      <c r="F74" s="60"/>
      <c r="G74" s="2"/>
      <c r="H74" s="486">
        <f>H80</f>
        <v>45963.621900000006</v>
      </c>
      <c r="I74" s="487">
        <f>H74*105%</f>
        <v>48261.802995000005</v>
      </c>
      <c r="J74" s="2"/>
      <c r="K74" s="2"/>
      <c r="L74" s="2"/>
      <c r="M74" s="362" t="s">
        <v>450</v>
      </c>
      <c r="N74" s="461">
        <f>N71-N63-N58-N26</f>
        <v>86862.578091538788</v>
      </c>
    </row>
    <row r="75" spans="2:14">
      <c r="B75" s="2"/>
      <c r="C75" s="2"/>
      <c r="D75" s="2"/>
      <c r="E75" s="2"/>
      <c r="F75" s="60"/>
      <c r="G75" s="2"/>
      <c r="H75" s="2"/>
      <c r="I75" s="2"/>
      <c r="J75" s="2"/>
      <c r="K75" s="2"/>
      <c r="L75" s="2"/>
      <c r="M75" s="242"/>
      <c r="N75" s="148"/>
    </row>
    <row r="76" spans="2:14">
      <c r="B76" s="2"/>
      <c r="C76" s="2"/>
      <c r="D76" s="2"/>
      <c r="E76" s="2"/>
      <c r="F76" s="60"/>
      <c r="G76" s="234" t="s">
        <v>451</v>
      </c>
      <c r="H76" s="488"/>
      <c r="I76" s="475"/>
      <c r="J76" s="472"/>
      <c r="K76" s="472"/>
      <c r="L76" s="472"/>
      <c r="M76" s="476"/>
      <c r="N76" s="477">
        <f>(IF(N74&lt;I74,N74,I74))+N73</f>
        <v>139473.66772494727</v>
      </c>
    </row>
    <row r="77" spans="2:14">
      <c r="B77" s="2"/>
      <c r="C77" s="2"/>
      <c r="D77" s="2"/>
      <c r="E77" s="2"/>
      <c r="F77" s="60"/>
      <c r="G77" s="2"/>
      <c r="H77" s="2"/>
      <c r="I77" s="2"/>
      <c r="J77" s="2"/>
      <c r="K77" s="2"/>
      <c r="L77" s="2"/>
      <c r="M77" s="242"/>
      <c r="N77" s="148"/>
    </row>
    <row r="78" spans="2:14">
      <c r="B78" s="2"/>
      <c r="C78" s="2"/>
      <c r="D78" s="2"/>
      <c r="E78" s="2"/>
      <c r="F78" s="60"/>
      <c r="G78" s="51" t="s">
        <v>452</v>
      </c>
      <c r="H78" s="51">
        <v>41690.36</v>
      </c>
      <c r="I78" s="2"/>
      <c r="J78" s="2"/>
      <c r="K78" s="2"/>
      <c r="L78" s="2"/>
      <c r="M78" s="242" t="s">
        <v>453</v>
      </c>
      <c r="N78" s="148">
        <f>N76-N71</f>
        <v>-38600.775096538797</v>
      </c>
    </row>
    <row r="79" spans="2:14">
      <c r="B79" s="2"/>
      <c r="C79" s="2"/>
      <c r="D79" s="2"/>
      <c r="E79" s="2"/>
      <c r="F79" s="60"/>
      <c r="G79" s="2" t="s">
        <v>454</v>
      </c>
      <c r="H79" s="489">
        <f>H78*105%</f>
        <v>43774.878000000004</v>
      </c>
      <c r="I79" s="2" t="s">
        <v>455</v>
      </c>
      <c r="J79" s="2"/>
      <c r="K79" s="2"/>
      <c r="L79" s="2"/>
      <c r="M79" s="242"/>
      <c r="N79" s="148"/>
    </row>
    <row r="80" spans="2:14">
      <c r="B80" s="2"/>
      <c r="C80" s="2"/>
      <c r="D80" s="2"/>
      <c r="E80" s="2"/>
      <c r="F80" s="60"/>
      <c r="G80" s="2" t="s">
        <v>447</v>
      </c>
      <c r="H80" s="489">
        <f t="shared" ref="H80:H81" si="31">H79*105%</f>
        <v>45963.621900000006</v>
      </c>
      <c r="I80" s="2" t="s">
        <v>455</v>
      </c>
      <c r="J80" s="2"/>
      <c r="K80" s="2"/>
      <c r="L80" s="2"/>
      <c r="M80" s="2"/>
      <c r="N80" s="148"/>
    </row>
    <row r="81" spans="6:14">
      <c r="F81" s="60"/>
      <c r="G81" s="2" t="s">
        <v>456</v>
      </c>
      <c r="H81" s="489">
        <f t="shared" si="31"/>
        <v>48261.802995000005</v>
      </c>
      <c r="I81" s="2" t="s">
        <v>455</v>
      </c>
      <c r="J81" s="2"/>
      <c r="K81" s="2"/>
      <c r="L81" s="2"/>
      <c r="M81" s="242"/>
      <c r="N81" s="148"/>
    </row>
    <row r="82" spans="6:14">
      <c r="F82" s="60"/>
      <c r="G82" s="2"/>
      <c r="H82" s="489"/>
      <c r="I82" s="2"/>
      <c r="J82" s="2"/>
      <c r="K82" s="2"/>
      <c r="L82" s="2"/>
      <c r="M82" s="2"/>
      <c r="N82" s="2"/>
    </row>
    <row r="83" spans="6:14">
      <c r="F83" s="2"/>
      <c r="G83" s="2"/>
      <c r="H83" s="489"/>
      <c r="I83" s="2"/>
      <c r="J83" s="2"/>
      <c r="K83" s="2"/>
      <c r="L83" s="2"/>
      <c r="M83" s="2"/>
      <c r="N83" s="2"/>
    </row>
    <row r="84" spans="6:14">
      <c r="F84" s="2"/>
      <c r="G84" s="2"/>
      <c r="H84" s="489"/>
      <c r="I84" s="2"/>
      <c r="J84" s="2"/>
      <c r="K84" s="2"/>
      <c r="L84" s="2"/>
      <c r="M84" s="2"/>
      <c r="N84" s="2"/>
    </row>
  </sheetData>
  <customSheetViews>
    <customSheetView guid="{7691FA39-7EA9-407C-9567-49BEFD6339F8}" scale="75" showPageBreaks="1" showRuler="0">
      <selection activeCell="A13" sqref="A13"/>
      <rowBreaks count="1" manualBreakCount="1">
        <brk id="85" max="16383" man="1"/>
      </rowBreaks>
      <colBreaks count="3" manualBreakCount="3">
        <brk id="10" max="1048575" man="1"/>
        <brk id="20" max="1048575" man="1"/>
        <brk id="36" max="1048575" man="1"/>
      </colBreaks>
      <pageMargins left="0" right="0" top="0" bottom="0" header="0" footer="0"/>
      <pageSetup scale="61" orientation="portrait" r:id="rId1"/>
      <headerFooter alignWithMargins="0"/>
    </customSheetView>
  </customSheetViews>
  <mergeCells count="3">
    <mergeCell ref="F3:N3"/>
    <mergeCell ref="F4:N4"/>
    <mergeCell ref="F2:N2"/>
  </mergeCells>
  <phoneticPr fontId="2" type="noConversion"/>
  <printOptions horizontalCentered="1"/>
  <pageMargins left="0.5" right="0.5" top="0.75" bottom="0.75" header="0.5" footer="0.5"/>
  <pageSetup scale="51" fitToWidth="3" orientation="portrait" horizontalDpi="4294967293" r:id="rId2"/>
  <headerFooter alignWithMargins="0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00B050"/>
  </sheetPr>
  <dimension ref="A1:EF89"/>
  <sheetViews>
    <sheetView topLeftCell="DI1" zoomScaleNormal="100" zoomScaleSheetLayoutView="110" workbookViewId="0">
      <selection activeCell="DP84" sqref="DP84:DR84"/>
    </sheetView>
  </sheetViews>
  <sheetFormatPr defaultColWidth="9.42578125" defaultRowHeight="15.4"/>
  <cols>
    <col min="1" max="1" width="11.42578125" style="89" bestFit="1" customWidth="1"/>
    <col min="2" max="2" width="27" style="89" customWidth="1"/>
    <col min="3" max="3" width="13.42578125" style="89" bestFit="1" customWidth="1"/>
    <col min="4" max="5" width="15.42578125" style="89" bestFit="1" customWidth="1"/>
    <col min="6" max="6" width="12.42578125" style="89" customWidth="1"/>
    <col min="7" max="7" width="13.42578125" style="89" bestFit="1" customWidth="1"/>
    <col min="8" max="8" width="12.42578125" style="89" customWidth="1"/>
    <col min="9" max="10" width="15" style="89" customWidth="1"/>
    <col min="11" max="11" width="11.42578125" style="89" bestFit="1" customWidth="1"/>
    <col min="12" max="12" width="27" style="89" customWidth="1"/>
    <col min="13" max="13" width="13.42578125" style="89" bestFit="1" customWidth="1"/>
    <col min="14" max="15" width="15.42578125" style="89" bestFit="1" customWidth="1"/>
    <col min="16" max="16" width="12.42578125" style="89" customWidth="1"/>
    <col min="17" max="17" width="13.42578125" style="89" bestFit="1" customWidth="1"/>
    <col min="18" max="18" width="12.42578125" style="89" customWidth="1"/>
    <col min="19" max="19" width="15" style="89" customWidth="1"/>
    <col min="20" max="20" width="11.42578125" style="89" bestFit="1" customWidth="1"/>
    <col min="21" max="21" width="27" style="89" customWidth="1"/>
    <col min="22" max="22" width="13.42578125" style="89" bestFit="1" customWidth="1"/>
    <col min="23" max="24" width="15.42578125" style="89" bestFit="1" customWidth="1"/>
    <col min="25" max="25" width="12.42578125" style="89" customWidth="1"/>
    <col min="26" max="26" width="13.42578125" style="89" bestFit="1" customWidth="1"/>
    <col min="27" max="27" width="12.42578125" style="89" customWidth="1"/>
    <col min="28" max="28" width="15" style="89" customWidth="1"/>
    <col min="29" max="29" width="11.42578125" style="89" bestFit="1" customWidth="1"/>
    <col min="30" max="30" width="27" style="89" customWidth="1"/>
    <col min="31" max="31" width="13.42578125" style="89" bestFit="1" customWidth="1"/>
    <col min="32" max="33" width="15.42578125" style="89" bestFit="1" customWidth="1"/>
    <col min="34" max="34" width="12.42578125" style="89" customWidth="1"/>
    <col min="35" max="35" width="13.42578125" style="89" bestFit="1" customWidth="1"/>
    <col min="36" max="36" width="12.42578125" style="89" customWidth="1"/>
    <col min="37" max="37" width="15" style="89" customWidth="1"/>
    <col min="38" max="38" width="11.42578125" style="89" bestFit="1" customWidth="1"/>
    <col min="39" max="39" width="27" style="89" customWidth="1"/>
    <col min="40" max="40" width="13.42578125" style="89" bestFit="1" customWidth="1"/>
    <col min="41" max="42" width="15.42578125" style="89" bestFit="1" customWidth="1"/>
    <col min="43" max="43" width="12.42578125" style="89" customWidth="1"/>
    <col min="44" max="44" width="13.42578125" style="89" bestFit="1" customWidth="1"/>
    <col min="45" max="45" width="12.42578125" style="89" customWidth="1"/>
    <col min="46" max="46" width="15" style="89" customWidth="1"/>
    <col min="47" max="47" width="11.42578125" style="89" bestFit="1" customWidth="1"/>
    <col min="48" max="48" width="27" style="89" customWidth="1"/>
    <col min="49" max="49" width="13.42578125" style="89" bestFit="1" customWidth="1"/>
    <col min="50" max="51" width="15.42578125" style="89" bestFit="1" customWidth="1"/>
    <col min="52" max="52" width="12.42578125" style="89" customWidth="1"/>
    <col min="53" max="53" width="13.42578125" style="89" bestFit="1" customWidth="1"/>
    <col min="54" max="54" width="12.42578125" style="89" customWidth="1"/>
    <col min="55" max="55" width="15" style="89" customWidth="1"/>
    <col min="56" max="56" width="11.42578125" style="89" bestFit="1" customWidth="1"/>
    <col min="57" max="57" width="27" style="89" customWidth="1"/>
    <col min="58" max="58" width="13.42578125" style="89" bestFit="1" customWidth="1"/>
    <col min="59" max="60" width="15.42578125" style="89" bestFit="1" customWidth="1"/>
    <col min="61" max="61" width="12.42578125" style="89" customWidth="1"/>
    <col min="62" max="62" width="13.42578125" style="89" bestFit="1" customWidth="1"/>
    <col min="63" max="63" width="12.42578125" style="89" customWidth="1"/>
    <col min="64" max="64" width="15" style="89" customWidth="1"/>
    <col min="65" max="65" width="11.42578125" style="89" bestFit="1" customWidth="1"/>
    <col min="66" max="66" width="27" style="89" customWidth="1"/>
    <col min="67" max="67" width="13.42578125" style="89" bestFit="1" customWidth="1"/>
    <col min="68" max="69" width="15.42578125" style="89" bestFit="1" customWidth="1"/>
    <col min="70" max="70" width="12.42578125" style="89" customWidth="1"/>
    <col min="71" max="71" width="13.42578125" style="89" bestFit="1" customWidth="1"/>
    <col min="72" max="72" width="12.42578125" style="89" customWidth="1"/>
    <col min="73" max="73" width="15" style="89" customWidth="1"/>
    <col min="74" max="74" width="11.42578125" style="89" bestFit="1" customWidth="1"/>
    <col min="75" max="75" width="27" style="89" customWidth="1"/>
    <col min="76" max="76" width="13.42578125" style="89" bestFit="1" customWidth="1"/>
    <col min="77" max="78" width="15.42578125" style="89" bestFit="1" customWidth="1"/>
    <col min="79" max="79" width="12.42578125" style="89" customWidth="1"/>
    <col min="80" max="80" width="13.42578125" style="89" bestFit="1" customWidth="1"/>
    <col min="81" max="81" width="12.42578125" style="89" customWidth="1"/>
    <col min="82" max="82" width="15" style="89" customWidth="1"/>
    <col min="83" max="83" width="11.42578125" style="89" bestFit="1" customWidth="1"/>
    <col min="84" max="84" width="27" style="89" customWidth="1"/>
    <col min="85" max="85" width="13.42578125" style="89" bestFit="1" customWidth="1"/>
    <col min="86" max="87" width="15.42578125" style="89" bestFit="1" customWidth="1"/>
    <col min="88" max="88" width="12.42578125" style="89" customWidth="1"/>
    <col min="89" max="89" width="13.42578125" style="89" bestFit="1" customWidth="1"/>
    <col min="90" max="90" width="12.42578125" style="89" customWidth="1"/>
    <col min="91" max="91" width="15" style="89" customWidth="1"/>
    <col min="92" max="92" width="11.42578125" style="89" bestFit="1" customWidth="1"/>
    <col min="93" max="93" width="27" style="89" customWidth="1"/>
    <col min="94" max="94" width="13.42578125" style="89" bestFit="1" customWidth="1"/>
    <col min="95" max="96" width="15.42578125" style="89" bestFit="1" customWidth="1"/>
    <col min="97" max="97" width="12.42578125" style="89" customWidth="1"/>
    <col min="98" max="98" width="13.42578125" style="89" bestFit="1" customWidth="1"/>
    <col min="99" max="99" width="12.42578125" style="89" customWidth="1"/>
    <col min="100" max="100" width="15" style="89" customWidth="1"/>
    <col min="101" max="101" width="11.42578125" style="89" bestFit="1" customWidth="1"/>
    <col min="102" max="102" width="27" style="89" customWidth="1"/>
    <col min="103" max="103" width="13.42578125" style="89" bestFit="1" customWidth="1"/>
    <col min="104" max="105" width="15.42578125" style="89" bestFit="1" customWidth="1"/>
    <col min="106" max="106" width="12.42578125" style="89" customWidth="1"/>
    <col min="107" max="107" width="13.42578125" style="89" bestFit="1" customWidth="1"/>
    <col min="108" max="108" width="12.42578125" style="89" customWidth="1"/>
    <col min="109" max="109" width="15" style="89" customWidth="1"/>
    <col min="110" max="110" width="11.42578125" style="89" bestFit="1" customWidth="1"/>
    <col min="111" max="111" width="27" style="89" customWidth="1"/>
    <col min="112" max="112" width="13.42578125" style="89" bestFit="1" customWidth="1"/>
    <col min="113" max="114" width="15.42578125" style="89" bestFit="1" customWidth="1"/>
    <col min="115" max="115" width="12.42578125" style="89" customWidth="1"/>
    <col min="116" max="116" width="13.42578125" style="89" bestFit="1" customWidth="1"/>
    <col min="117" max="117" width="12.42578125" style="89" customWidth="1"/>
    <col min="118" max="118" width="15" style="89" customWidth="1"/>
    <col min="119" max="119" width="11.42578125" style="89" bestFit="1" customWidth="1"/>
    <col min="120" max="120" width="27" style="89" customWidth="1"/>
    <col min="121" max="121" width="13.42578125" style="89" bestFit="1" customWidth="1"/>
    <col min="122" max="123" width="15.42578125" style="89" bestFit="1" customWidth="1"/>
    <col min="124" max="124" width="12.42578125" style="89" customWidth="1"/>
    <col min="125" max="125" width="13.42578125" style="89" bestFit="1" customWidth="1"/>
    <col min="126" max="126" width="12.42578125" style="89" customWidth="1"/>
    <col min="127" max="127" width="15" style="89" customWidth="1"/>
    <col min="128" max="128" width="11.42578125" style="89" bestFit="1" customWidth="1"/>
    <col min="129" max="129" width="27" style="89" customWidth="1"/>
    <col min="130" max="130" width="13.42578125" style="89" bestFit="1" customWidth="1"/>
    <col min="131" max="132" width="15.42578125" style="89" bestFit="1" customWidth="1"/>
    <col min="133" max="133" width="12.42578125" style="89" customWidth="1"/>
    <col min="134" max="134" width="13.42578125" style="89" bestFit="1" customWidth="1"/>
    <col min="135" max="135" width="12.42578125" style="89" customWidth="1"/>
    <col min="136" max="136" width="15" style="89" customWidth="1"/>
    <col min="137" max="16384" width="9.42578125" style="89"/>
  </cols>
  <sheetData>
    <row r="1" spans="1:136">
      <c r="A1" s="429"/>
      <c r="B1" s="429"/>
      <c r="C1" s="429"/>
      <c r="D1" s="429"/>
      <c r="E1" s="429"/>
      <c r="F1" s="429"/>
      <c r="G1" s="429"/>
      <c r="H1" s="430" t="str">
        <f>Summary!T4</f>
        <v>Date Revised:</v>
      </c>
      <c r="I1" s="429">
        <f ca="1">Summary!U4</f>
        <v>46269</v>
      </c>
      <c r="J1" s="429"/>
      <c r="K1" s="429"/>
      <c r="L1" s="429"/>
      <c r="M1" s="429"/>
      <c r="N1" s="429"/>
      <c r="O1" s="429"/>
      <c r="P1" s="429"/>
      <c r="Q1" s="429"/>
      <c r="R1" s="430" t="s">
        <v>457</v>
      </c>
      <c r="S1" s="429">
        <f ca="1">NOW()</f>
        <v>46269.411714120368</v>
      </c>
      <c r="T1" s="429"/>
      <c r="U1" s="429"/>
      <c r="V1" s="429"/>
      <c r="W1" s="429"/>
      <c r="X1" s="429"/>
      <c r="Y1" s="429"/>
      <c r="Z1" s="429"/>
      <c r="AA1" s="430" t="s">
        <v>457</v>
      </c>
      <c r="AB1" s="429">
        <f ca="1">NOW()</f>
        <v>46269.411714120368</v>
      </c>
      <c r="AC1" s="429"/>
      <c r="AD1" s="429"/>
      <c r="AE1" s="429"/>
      <c r="AF1" s="429"/>
      <c r="AG1" s="429"/>
      <c r="AH1" s="429"/>
      <c r="AI1" s="429"/>
      <c r="AJ1" s="430" t="s">
        <v>457</v>
      </c>
      <c r="AK1" s="429">
        <f ca="1">NOW()</f>
        <v>46269.411714120368</v>
      </c>
      <c r="AL1" s="429"/>
      <c r="AM1" s="429"/>
      <c r="AN1" s="429"/>
      <c r="AO1" s="429"/>
      <c r="AP1" s="429"/>
      <c r="AQ1" s="429"/>
      <c r="AR1" s="429"/>
      <c r="AS1" s="430" t="s">
        <v>457</v>
      </c>
      <c r="AT1" s="429">
        <f ca="1">NOW()</f>
        <v>46269.411714120368</v>
      </c>
      <c r="AU1" s="429"/>
      <c r="AV1" s="429"/>
      <c r="AW1" s="429"/>
      <c r="AX1" s="429"/>
      <c r="AY1" s="429"/>
      <c r="AZ1" s="429"/>
      <c r="BA1" s="429"/>
      <c r="BB1" s="430" t="s">
        <v>457</v>
      </c>
      <c r="BC1" s="429">
        <f ca="1">NOW()</f>
        <v>46269.411714120368</v>
      </c>
      <c r="BD1" s="429"/>
      <c r="BE1" s="429"/>
      <c r="BF1" s="429"/>
      <c r="BG1" s="429"/>
      <c r="BH1" s="429"/>
      <c r="BI1" s="429"/>
      <c r="BJ1" s="429"/>
      <c r="BK1" s="430" t="s">
        <v>457</v>
      </c>
      <c r="BL1" s="429">
        <f ca="1">NOW()</f>
        <v>46269.411714120368</v>
      </c>
      <c r="BM1" s="429"/>
      <c r="BN1" s="429"/>
      <c r="BO1" s="429"/>
      <c r="BP1" s="429"/>
      <c r="BQ1" s="429"/>
      <c r="BR1" s="429"/>
      <c r="BS1" s="429"/>
      <c r="BT1" s="430" t="s">
        <v>457</v>
      </c>
      <c r="BU1" s="429">
        <f ca="1">NOW()</f>
        <v>46269.411714120368</v>
      </c>
      <c r="BV1" s="429"/>
      <c r="BW1" s="429"/>
      <c r="BX1" s="429"/>
      <c r="BY1" s="429"/>
      <c r="BZ1" s="429"/>
      <c r="CA1" s="429"/>
      <c r="CB1" s="429"/>
      <c r="CC1" s="430" t="s">
        <v>457</v>
      </c>
      <c r="CD1" s="429">
        <f ca="1">NOW()</f>
        <v>46269.411714120368</v>
      </c>
      <c r="CE1" s="429"/>
      <c r="CF1" s="429"/>
      <c r="CG1" s="429"/>
      <c r="CH1" s="429"/>
      <c r="CI1" s="429"/>
      <c r="CJ1" s="429"/>
      <c r="CK1" s="429"/>
      <c r="CL1" s="430" t="s">
        <v>457</v>
      </c>
      <c r="CM1" s="429">
        <f ca="1">NOW()</f>
        <v>46269.411714120368</v>
      </c>
      <c r="CN1" s="429"/>
      <c r="CO1" s="429"/>
      <c r="CP1" s="429"/>
      <c r="CQ1" s="429"/>
      <c r="CR1" s="429"/>
      <c r="CS1" s="429"/>
      <c r="CT1" s="429"/>
      <c r="CU1" s="430" t="s">
        <v>457</v>
      </c>
      <c r="CV1" s="429">
        <f ca="1">NOW()</f>
        <v>46269.411714120368</v>
      </c>
      <c r="CW1" s="429"/>
      <c r="CX1" s="429"/>
      <c r="CY1" s="429"/>
      <c r="CZ1" s="429"/>
      <c r="DA1" s="429"/>
      <c r="DB1" s="429"/>
      <c r="DC1" s="429"/>
      <c r="DD1" s="430" t="s">
        <v>457</v>
      </c>
      <c r="DE1" s="429">
        <f ca="1">NOW()</f>
        <v>46269.411714120368</v>
      </c>
      <c r="DF1" s="429"/>
      <c r="DG1" s="429"/>
      <c r="DH1" s="429"/>
      <c r="DI1" s="429"/>
      <c r="DJ1" s="429"/>
      <c r="DK1" s="429"/>
      <c r="DL1" s="429"/>
      <c r="DM1" s="430" t="s">
        <v>457</v>
      </c>
      <c r="DN1" s="429">
        <f ca="1">NOW()</f>
        <v>46269.411714120368</v>
      </c>
      <c r="DO1" s="429"/>
      <c r="DP1" s="429"/>
      <c r="DQ1" s="429"/>
      <c r="DR1" s="429"/>
      <c r="DS1" s="429"/>
      <c r="DT1" s="429"/>
      <c r="DU1" s="429"/>
      <c r="DV1" s="430" t="s">
        <v>457</v>
      </c>
      <c r="DW1" s="429">
        <f ca="1">NOW()</f>
        <v>46269.411714120368</v>
      </c>
      <c r="DX1" s="429"/>
      <c r="DY1" s="429"/>
      <c r="DZ1" s="429"/>
      <c r="EA1" s="429"/>
      <c r="EB1" s="429"/>
      <c r="EC1" s="429"/>
      <c r="ED1" s="429"/>
      <c r="EE1" s="430" t="s">
        <v>457</v>
      </c>
      <c r="EF1" s="429">
        <f ca="1">NOW()</f>
        <v>46269.411714120368</v>
      </c>
    </row>
    <row r="2" spans="1:136">
      <c r="A2" s="614" t="str">
        <f>Summary!$A$3</f>
        <v>GREENFIELD GATEWAY MESA, ARIZONA</v>
      </c>
      <c r="B2" s="614"/>
      <c r="C2" s="614"/>
      <c r="D2" s="614"/>
      <c r="E2" s="614"/>
      <c r="F2" s="614"/>
      <c r="G2" s="614"/>
      <c r="H2" s="614"/>
      <c r="I2" s="614"/>
      <c r="J2" s="88"/>
      <c r="K2" s="614" t="str">
        <f>Summary!$A$3</f>
        <v>GREENFIELD GATEWAY MESA, ARIZONA</v>
      </c>
      <c r="L2" s="614"/>
      <c r="M2" s="614"/>
      <c r="N2" s="614"/>
      <c r="O2" s="614"/>
      <c r="P2" s="614"/>
      <c r="Q2" s="614"/>
      <c r="R2" s="614"/>
      <c r="S2" s="614"/>
      <c r="T2" s="614" t="str">
        <f>Summary!$A$3</f>
        <v>GREENFIELD GATEWAY MESA, ARIZONA</v>
      </c>
      <c r="U2" s="614"/>
      <c r="V2" s="614"/>
      <c r="W2" s="614"/>
      <c r="X2" s="614"/>
      <c r="Y2" s="614"/>
      <c r="Z2" s="614"/>
      <c r="AA2" s="614"/>
      <c r="AB2" s="614"/>
      <c r="AC2" s="614" t="str">
        <f>Summary!$A$3</f>
        <v>GREENFIELD GATEWAY MESA, ARIZONA</v>
      </c>
      <c r="AD2" s="614"/>
      <c r="AE2" s="614"/>
      <c r="AF2" s="614"/>
      <c r="AG2" s="614"/>
      <c r="AH2" s="614"/>
      <c r="AI2" s="614"/>
      <c r="AJ2" s="614"/>
      <c r="AK2" s="614"/>
      <c r="AL2" s="614" t="str">
        <f>Summary!$A$3</f>
        <v>GREENFIELD GATEWAY MESA, ARIZONA</v>
      </c>
      <c r="AM2" s="614"/>
      <c r="AN2" s="614"/>
      <c r="AO2" s="614"/>
      <c r="AP2" s="614"/>
      <c r="AQ2" s="614"/>
      <c r="AR2" s="614"/>
      <c r="AS2" s="614"/>
      <c r="AT2" s="614"/>
      <c r="AU2" s="614" t="str">
        <f>Summary!$A$3</f>
        <v>GREENFIELD GATEWAY MESA, ARIZONA</v>
      </c>
      <c r="AV2" s="614"/>
      <c r="AW2" s="614"/>
      <c r="AX2" s="614"/>
      <c r="AY2" s="614"/>
      <c r="AZ2" s="614"/>
      <c r="BA2" s="614"/>
      <c r="BB2" s="614"/>
      <c r="BC2" s="614"/>
      <c r="BD2" s="614" t="str">
        <f>Summary!$A$3</f>
        <v>GREENFIELD GATEWAY MESA, ARIZONA</v>
      </c>
      <c r="BE2" s="614"/>
      <c r="BF2" s="614"/>
      <c r="BG2" s="614"/>
      <c r="BH2" s="614"/>
      <c r="BI2" s="614"/>
      <c r="BJ2" s="614"/>
      <c r="BK2" s="614"/>
      <c r="BL2" s="614"/>
      <c r="BM2" s="614" t="str">
        <f>Summary!$A$3</f>
        <v>GREENFIELD GATEWAY MESA, ARIZONA</v>
      </c>
      <c r="BN2" s="614"/>
      <c r="BO2" s="614"/>
      <c r="BP2" s="614"/>
      <c r="BQ2" s="614"/>
      <c r="BR2" s="614"/>
      <c r="BS2" s="614"/>
      <c r="BT2" s="614"/>
      <c r="BU2" s="614"/>
      <c r="BV2" s="614" t="str">
        <f>Summary!$A$3</f>
        <v>GREENFIELD GATEWAY MESA, ARIZONA</v>
      </c>
      <c r="BW2" s="614"/>
      <c r="BX2" s="614"/>
      <c r="BY2" s="614"/>
      <c r="BZ2" s="614"/>
      <c r="CA2" s="614"/>
      <c r="CB2" s="614"/>
      <c r="CC2" s="614"/>
      <c r="CD2" s="614"/>
      <c r="CE2" s="614" t="str">
        <f>Summary!$A$3</f>
        <v>GREENFIELD GATEWAY MESA, ARIZONA</v>
      </c>
      <c r="CF2" s="614"/>
      <c r="CG2" s="614"/>
      <c r="CH2" s="614"/>
      <c r="CI2" s="614"/>
      <c r="CJ2" s="614"/>
      <c r="CK2" s="614"/>
      <c r="CL2" s="614"/>
      <c r="CM2" s="614"/>
      <c r="CN2" s="614" t="str">
        <f>Summary!$A$3</f>
        <v>GREENFIELD GATEWAY MESA, ARIZONA</v>
      </c>
      <c r="CO2" s="614"/>
      <c r="CP2" s="614"/>
      <c r="CQ2" s="614"/>
      <c r="CR2" s="614"/>
      <c r="CS2" s="614"/>
      <c r="CT2" s="614"/>
      <c r="CU2" s="614"/>
      <c r="CV2" s="614"/>
      <c r="CW2" s="614" t="str">
        <f>Summary!$A$3</f>
        <v>GREENFIELD GATEWAY MESA, ARIZONA</v>
      </c>
      <c r="CX2" s="614"/>
      <c r="CY2" s="614"/>
      <c r="CZ2" s="614"/>
      <c r="DA2" s="614"/>
      <c r="DB2" s="614"/>
      <c r="DC2" s="614"/>
      <c r="DD2" s="614"/>
      <c r="DE2" s="614"/>
      <c r="DF2" s="614" t="str">
        <f>Summary!$A$3</f>
        <v>GREENFIELD GATEWAY MESA, ARIZONA</v>
      </c>
      <c r="DG2" s="614"/>
      <c r="DH2" s="614"/>
      <c r="DI2" s="614"/>
      <c r="DJ2" s="614"/>
      <c r="DK2" s="614"/>
      <c r="DL2" s="614"/>
      <c r="DM2" s="614"/>
      <c r="DN2" s="614"/>
      <c r="DO2" s="614" t="str">
        <f>Summary!$A$3</f>
        <v>GREENFIELD GATEWAY MESA, ARIZONA</v>
      </c>
      <c r="DP2" s="614"/>
      <c r="DQ2" s="614"/>
      <c r="DR2" s="614"/>
      <c r="DS2" s="614"/>
      <c r="DT2" s="614"/>
      <c r="DU2" s="614"/>
      <c r="DV2" s="614"/>
      <c r="DW2" s="614"/>
      <c r="DX2" s="614" t="str">
        <f>Summary!$A$3</f>
        <v>GREENFIELD GATEWAY MESA, ARIZONA</v>
      </c>
      <c r="DY2" s="614"/>
      <c r="DZ2" s="614"/>
      <c r="EA2" s="614"/>
      <c r="EB2" s="614"/>
      <c r="EC2" s="614"/>
      <c r="ED2" s="614"/>
      <c r="EE2" s="614"/>
      <c r="EF2" s="614"/>
    </row>
    <row r="3" spans="1:136">
      <c r="A3" s="614" t="str">
        <f>Summary!$A$5</f>
        <v>01/01/26-12/31/26</v>
      </c>
      <c r="B3" s="614"/>
      <c r="C3" s="614"/>
      <c r="D3" s="614"/>
      <c r="E3" s="614"/>
      <c r="F3" s="614"/>
      <c r="G3" s="614"/>
      <c r="H3" s="614"/>
      <c r="I3" s="614"/>
      <c r="J3" s="88"/>
      <c r="K3" s="614" t="str">
        <f>Summary!$A$5</f>
        <v>01/01/26-12/31/26</v>
      </c>
      <c r="L3" s="614"/>
      <c r="M3" s="614"/>
      <c r="N3" s="614"/>
      <c r="O3" s="614"/>
      <c r="P3" s="614"/>
      <c r="Q3" s="614"/>
      <c r="R3" s="614"/>
      <c r="S3" s="614"/>
      <c r="T3" s="614" t="str">
        <f>Summary!$A$5</f>
        <v>01/01/26-12/31/26</v>
      </c>
      <c r="U3" s="614"/>
      <c r="V3" s="614"/>
      <c r="W3" s="614"/>
      <c r="X3" s="614"/>
      <c r="Y3" s="614"/>
      <c r="Z3" s="614"/>
      <c r="AA3" s="614"/>
      <c r="AB3" s="614"/>
      <c r="AC3" s="614" t="str">
        <f>Summary!$A$5</f>
        <v>01/01/26-12/31/26</v>
      </c>
      <c r="AD3" s="614"/>
      <c r="AE3" s="614"/>
      <c r="AF3" s="614"/>
      <c r="AG3" s="614"/>
      <c r="AH3" s="614"/>
      <c r="AI3" s="614"/>
      <c r="AJ3" s="614"/>
      <c r="AK3" s="614"/>
      <c r="AL3" s="614" t="str">
        <f>Summary!$A$5</f>
        <v>01/01/26-12/31/26</v>
      </c>
      <c r="AM3" s="614"/>
      <c r="AN3" s="614"/>
      <c r="AO3" s="614"/>
      <c r="AP3" s="614"/>
      <c r="AQ3" s="614"/>
      <c r="AR3" s="614"/>
      <c r="AS3" s="614"/>
      <c r="AT3" s="614"/>
      <c r="AU3" s="614" t="str">
        <f>Summary!$A$5</f>
        <v>01/01/26-12/31/26</v>
      </c>
      <c r="AV3" s="614"/>
      <c r="AW3" s="614"/>
      <c r="AX3" s="614"/>
      <c r="AY3" s="614"/>
      <c r="AZ3" s="614"/>
      <c r="BA3" s="614"/>
      <c r="BB3" s="614"/>
      <c r="BC3" s="614"/>
      <c r="BD3" s="614" t="str">
        <f>Summary!$A$5</f>
        <v>01/01/26-12/31/26</v>
      </c>
      <c r="BE3" s="614"/>
      <c r="BF3" s="614"/>
      <c r="BG3" s="614"/>
      <c r="BH3" s="614"/>
      <c r="BI3" s="614"/>
      <c r="BJ3" s="614"/>
      <c r="BK3" s="614"/>
      <c r="BL3" s="614"/>
      <c r="BM3" s="614" t="str">
        <f>Summary!$A$5</f>
        <v>01/01/26-12/31/26</v>
      </c>
      <c r="BN3" s="614"/>
      <c r="BO3" s="614"/>
      <c r="BP3" s="614"/>
      <c r="BQ3" s="614"/>
      <c r="BR3" s="614"/>
      <c r="BS3" s="614"/>
      <c r="BT3" s="614"/>
      <c r="BU3" s="614"/>
      <c r="BV3" s="614" t="str">
        <f>Summary!$A$5</f>
        <v>01/01/26-12/31/26</v>
      </c>
      <c r="BW3" s="614"/>
      <c r="BX3" s="614"/>
      <c r="BY3" s="614"/>
      <c r="BZ3" s="614"/>
      <c r="CA3" s="614"/>
      <c r="CB3" s="614"/>
      <c r="CC3" s="614"/>
      <c r="CD3" s="614"/>
      <c r="CE3" s="614" t="str">
        <f>Summary!$A$5</f>
        <v>01/01/26-12/31/26</v>
      </c>
      <c r="CF3" s="614"/>
      <c r="CG3" s="614"/>
      <c r="CH3" s="614"/>
      <c r="CI3" s="614"/>
      <c r="CJ3" s="614"/>
      <c r="CK3" s="614"/>
      <c r="CL3" s="614"/>
      <c r="CM3" s="614"/>
      <c r="CN3" s="614" t="str">
        <f>Summary!$A$5</f>
        <v>01/01/26-12/31/26</v>
      </c>
      <c r="CO3" s="614"/>
      <c r="CP3" s="614"/>
      <c r="CQ3" s="614"/>
      <c r="CR3" s="614"/>
      <c r="CS3" s="614"/>
      <c r="CT3" s="614"/>
      <c r="CU3" s="614"/>
      <c r="CV3" s="614"/>
      <c r="CW3" s="614" t="str">
        <f>Summary!$A$5</f>
        <v>01/01/26-12/31/26</v>
      </c>
      <c r="CX3" s="614"/>
      <c r="CY3" s="614"/>
      <c r="CZ3" s="614"/>
      <c r="DA3" s="614"/>
      <c r="DB3" s="614"/>
      <c r="DC3" s="614"/>
      <c r="DD3" s="614"/>
      <c r="DE3" s="614"/>
      <c r="DF3" s="614" t="str">
        <f>Summary!$A$5</f>
        <v>01/01/26-12/31/26</v>
      </c>
      <c r="DG3" s="614"/>
      <c r="DH3" s="614"/>
      <c r="DI3" s="614"/>
      <c r="DJ3" s="614"/>
      <c r="DK3" s="614"/>
      <c r="DL3" s="614"/>
      <c r="DM3" s="614"/>
      <c r="DN3" s="614"/>
      <c r="DO3" s="614" t="str">
        <f>Summary!$A$5</f>
        <v>01/01/26-12/31/26</v>
      </c>
      <c r="DP3" s="614"/>
      <c r="DQ3" s="614"/>
      <c r="DR3" s="614"/>
      <c r="DS3" s="614"/>
      <c r="DT3" s="614"/>
      <c r="DU3" s="614"/>
      <c r="DV3" s="614"/>
      <c r="DW3" s="614"/>
      <c r="DX3" s="614" t="str">
        <f>Summary!$A$5</f>
        <v>01/01/26-12/31/26</v>
      </c>
      <c r="DY3" s="614"/>
      <c r="DZ3" s="614"/>
      <c r="EA3" s="614"/>
      <c r="EB3" s="614"/>
      <c r="EC3" s="614"/>
      <c r="ED3" s="614"/>
      <c r="EE3" s="614"/>
      <c r="EF3" s="614"/>
    </row>
    <row r="4" spans="1:136">
      <c r="A4" s="614" t="str">
        <f>Summary!$A$6</f>
        <v>2026 OPERATING BUDGET</v>
      </c>
      <c r="B4" s="614"/>
      <c r="C4" s="614"/>
      <c r="D4" s="614"/>
      <c r="E4" s="614"/>
      <c r="F4" s="614"/>
      <c r="G4" s="614"/>
      <c r="H4" s="614"/>
      <c r="I4" s="614"/>
      <c r="J4" s="88"/>
      <c r="K4" s="614" t="str">
        <f>Summary!$A$6</f>
        <v>2026 OPERATING BUDGET</v>
      </c>
      <c r="L4" s="614"/>
      <c r="M4" s="614"/>
      <c r="N4" s="614"/>
      <c r="O4" s="614"/>
      <c r="P4" s="614"/>
      <c r="Q4" s="614"/>
      <c r="R4" s="614"/>
      <c r="S4" s="614"/>
      <c r="T4" s="614" t="str">
        <f>Summary!$A$6</f>
        <v>2026 OPERATING BUDGET</v>
      </c>
      <c r="U4" s="614"/>
      <c r="V4" s="614"/>
      <c r="W4" s="614"/>
      <c r="X4" s="614"/>
      <c r="Y4" s="614"/>
      <c r="Z4" s="614"/>
      <c r="AA4" s="614"/>
      <c r="AB4" s="614"/>
      <c r="AC4" s="614" t="str">
        <f>Summary!$A$6</f>
        <v>2026 OPERATING BUDGET</v>
      </c>
      <c r="AD4" s="614"/>
      <c r="AE4" s="614"/>
      <c r="AF4" s="614"/>
      <c r="AG4" s="614"/>
      <c r="AH4" s="614"/>
      <c r="AI4" s="614"/>
      <c r="AJ4" s="614"/>
      <c r="AK4" s="614"/>
      <c r="AL4" s="614" t="str">
        <f>Summary!$A$6</f>
        <v>2026 OPERATING BUDGET</v>
      </c>
      <c r="AM4" s="614"/>
      <c r="AN4" s="614"/>
      <c r="AO4" s="614"/>
      <c r="AP4" s="614"/>
      <c r="AQ4" s="614"/>
      <c r="AR4" s="614"/>
      <c r="AS4" s="614"/>
      <c r="AT4" s="614"/>
      <c r="AU4" s="614" t="str">
        <f>Summary!$A$6</f>
        <v>2026 OPERATING BUDGET</v>
      </c>
      <c r="AV4" s="614"/>
      <c r="AW4" s="614"/>
      <c r="AX4" s="614"/>
      <c r="AY4" s="614"/>
      <c r="AZ4" s="614"/>
      <c r="BA4" s="614"/>
      <c r="BB4" s="614"/>
      <c r="BC4" s="614"/>
      <c r="BD4" s="614" t="str">
        <f>Summary!$A$6</f>
        <v>2026 OPERATING BUDGET</v>
      </c>
      <c r="BE4" s="614"/>
      <c r="BF4" s="614"/>
      <c r="BG4" s="614"/>
      <c r="BH4" s="614"/>
      <c r="BI4" s="614"/>
      <c r="BJ4" s="614"/>
      <c r="BK4" s="614"/>
      <c r="BL4" s="614"/>
      <c r="BM4" s="614" t="str">
        <f>Summary!$A$6</f>
        <v>2026 OPERATING BUDGET</v>
      </c>
      <c r="BN4" s="614"/>
      <c r="BO4" s="614"/>
      <c r="BP4" s="614"/>
      <c r="BQ4" s="614"/>
      <c r="BR4" s="614"/>
      <c r="BS4" s="614"/>
      <c r="BT4" s="614"/>
      <c r="BU4" s="614"/>
      <c r="BV4" s="614" t="str">
        <f>Summary!$A$6</f>
        <v>2026 OPERATING BUDGET</v>
      </c>
      <c r="BW4" s="614"/>
      <c r="BX4" s="614"/>
      <c r="BY4" s="614"/>
      <c r="BZ4" s="614"/>
      <c r="CA4" s="614"/>
      <c r="CB4" s="614"/>
      <c r="CC4" s="614"/>
      <c r="CD4" s="614"/>
      <c r="CE4" s="614" t="str">
        <f>Summary!$A$6</f>
        <v>2026 OPERATING BUDGET</v>
      </c>
      <c r="CF4" s="614"/>
      <c r="CG4" s="614"/>
      <c r="CH4" s="614"/>
      <c r="CI4" s="614"/>
      <c r="CJ4" s="614"/>
      <c r="CK4" s="614"/>
      <c r="CL4" s="614"/>
      <c r="CM4" s="614"/>
      <c r="CN4" s="614" t="str">
        <f>Summary!$A$6</f>
        <v>2026 OPERATING BUDGET</v>
      </c>
      <c r="CO4" s="614"/>
      <c r="CP4" s="614"/>
      <c r="CQ4" s="614"/>
      <c r="CR4" s="614"/>
      <c r="CS4" s="614"/>
      <c r="CT4" s="614"/>
      <c r="CU4" s="614"/>
      <c r="CV4" s="614"/>
      <c r="CW4" s="614" t="str">
        <f>Summary!$A$6</f>
        <v>2026 OPERATING BUDGET</v>
      </c>
      <c r="CX4" s="614"/>
      <c r="CY4" s="614"/>
      <c r="CZ4" s="614"/>
      <c r="DA4" s="614"/>
      <c r="DB4" s="614"/>
      <c r="DC4" s="614"/>
      <c r="DD4" s="614"/>
      <c r="DE4" s="614"/>
      <c r="DF4" s="614" t="str">
        <f>Summary!$A$6</f>
        <v>2026 OPERATING BUDGET</v>
      </c>
      <c r="DG4" s="614"/>
      <c r="DH4" s="614"/>
      <c r="DI4" s="614"/>
      <c r="DJ4" s="614"/>
      <c r="DK4" s="614"/>
      <c r="DL4" s="614"/>
      <c r="DM4" s="614"/>
      <c r="DN4" s="614"/>
      <c r="DO4" s="614" t="str">
        <f>Summary!$A$6</f>
        <v>2026 OPERATING BUDGET</v>
      </c>
      <c r="DP4" s="614"/>
      <c r="DQ4" s="614"/>
      <c r="DR4" s="614"/>
      <c r="DS4" s="614"/>
      <c r="DT4" s="614"/>
      <c r="DU4" s="614"/>
      <c r="DV4" s="614"/>
      <c r="DW4" s="614"/>
      <c r="DX4" s="614" t="str">
        <f>Summary!$A$6</f>
        <v>2026 OPERATING BUDGET</v>
      </c>
      <c r="DY4" s="614"/>
      <c r="DZ4" s="614"/>
      <c r="EA4" s="614"/>
      <c r="EB4" s="614"/>
      <c r="EC4" s="614"/>
      <c r="ED4" s="614"/>
      <c r="EE4" s="614"/>
      <c r="EF4" s="614"/>
    </row>
    <row r="5" spans="1:136">
      <c r="A5" s="431"/>
      <c r="B5" s="431"/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  <c r="Y5" s="431"/>
      <c r="Z5" s="431"/>
      <c r="AA5" s="431"/>
      <c r="AB5" s="431"/>
      <c r="AC5" s="431"/>
      <c r="AD5" s="431"/>
      <c r="AE5" s="431"/>
      <c r="AF5" s="431"/>
      <c r="AG5" s="431"/>
      <c r="AH5" s="431"/>
      <c r="AI5" s="431"/>
      <c r="AJ5" s="431"/>
      <c r="AK5" s="431"/>
      <c r="AL5" s="431"/>
      <c r="AM5" s="431"/>
      <c r="AN5" s="431"/>
      <c r="AO5" s="431"/>
      <c r="AP5" s="431"/>
      <c r="AQ5" s="431"/>
      <c r="AR5" s="431"/>
      <c r="AS5" s="431"/>
      <c r="AT5" s="431"/>
      <c r="AU5" s="431"/>
      <c r="AV5" s="431"/>
      <c r="AW5" s="431"/>
      <c r="AX5" s="431"/>
      <c r="AY5" s="431"/>
      <c r="AZ5" s="431"/>
      <c r="BA5" s="431"/>
      <c r="BB5" s="431"/>
      <c r="BC5" s="431"/>
      <c r="BD5" s="431"/>
      <c r="BE5" s="431"/>
      <c r="BF5" s="431"/>
      <c r="BG5" s="431"/>
      <c r="BH5" s="431"/>
      <c r="BI5" s="431"/>
      <c r="BJ5" s="431"/>
      <c r="BK5" s="431"/>
      <c r="BL5" s="431"/>
      <c r="BM5" s="431"/>
      <c r="BN5" s="431"/>
      <c r="BO5" s="431"/>
      <c r="BP5" s="431"/>
      <c r="BQ5" s="431"/>
      <c r="BR5" s="431"/>
      <c r="BS5" s="431"/>
      <c r="BT5" s="431"/>
      <c r="BU5" s="431"/>
      <c r="BV5" s="431"/>
      <c r="BW5" s="431"/>
      <c r="BX5" s="431"/>
      <c r="BY5" s="431"/>
      <c r="BZ5" s="431"/>
      <c r="CA5" s="431"/>
      <c r="CB5" s="431"/>
      <c r="CC5" s="431"/>
      <c r="CD5" s="431"/>
      <c r="CE5" s="431"/>
      <c r="CF5" s="431"/>
      <c r="CG5" s="431"/>
      <c r="CH5" s="431"/>
      <c r="CI5" s="431"/>
      <c r="CJ5" s="431"/>
      <c r="CK5" s="431"/>
      <c r="CL5" s="431"/>
      <c r="CM5" s="431"/>
      <c r="CN5" s="431"/>
      <c r="CO5" s="431"/>
      <c r="CP5" s="431"/>
      <c r="CQ5" s="431"/>
      <c r="CR5" s="431"/>
      <c r="CS5" s="431"/>
      <c r="CT5" s="431"/>
      <c r="CU5" s="431"/>
      <c r="CV5" s="431"/>
      <c r="CW5" s="431"/>
      <c r="CX5" s="431"/>
      <c r="CY5" s="431"/>
      <c r="CZ5" s="431"/>
      <c r="DA5" s="431"/>
      <c r="DB5" s="431"/>
      <c r="DC5" s="431"/>
      <c r="DD5" s="431"/>
      <c r="DE5" s="431"/>
      <c r="DF5" s="431"/>
      <c r="DG5" s="431"/>
      <c r="DH5" s="431"/>
      <c r="DI5" s="431"/>
      <c r="DJ5" s="431"/>
      <c r="DK5" s="431"/>
      <c r="DL5" s="431"/>
      <c r="DM5" s="431"/>
      <c r="DN5" s="431"/>
      <c r="DO5" s="431"/>
      <c r="DP5" s="431"/>
      <c r="DQ5" s="431"/>
      <c r="DR5" s="431"/>
      <c r="DS5" s="431"/>
      <c r="DT5" s="431"/>
      <c r="DU5" s="431"/>
      <c r="DV5" s="431"/>
      <c r="DW5" s="431"/>
      <c r="DX5" s="431"/>
      <c r="DY5" s="431"/>
      <c r="DZ5" s="431"/>
      <c r="EA5" s="431"/>
      <c r="EB5" s="431"/>
      <c r="EC5" s="431"/>
      <c r="ED5" s="431"/>
      <c r="EE5" s="431"/>
      <c r="EF5" s="431"/>
    </row>
    <row r="6" spans="1:136">
      <c r="A6" s="432"/>
      <c r="B6" s="433" t="s">
        <v>425</v>
      </c>
      <c r="C6" s="490" t="str">
        <f>Rent!A15</f>
        <v>Third Pasrty MVS</v>
      </c>
      <c r="D6" s="434"/>
      <c r="E6" s="335"/>
      <c r="F6" s="335"/>
      <c r="G6" s="335"/>
      <c r="H6" s="435"/>
      <c r="I6" s="436"/>
      <c r="J6" s="335"/>
      <c r="K6" s="432"/>
      <c r="L6" s="433" t="s">
        <v>425</v>
      </c>
      <c r="M6" s="490" t="str">
        <f>Rent!A16</f>
        <v xml:space="preserve">Sally Beauty Supply </v>
      </c>
      <c r="N6" s="434"/>
      <c r="O6" s="335"/>
      <c r="P6" s="335"/>
      <c r="Q6" s="335"/>
      <c r="R6" s="435"/>
      <c r="S6" s="436"/>
      <c r="T6" s="432"/>
      <c r="U6" s="433" t="s">
        <v>425</v>
      </c>
      <c r="V6" s="434" t="str">
        <f>Rent!A17</f>
        <v>Wild Side Smoke Shop</v>
      </c>
      <c r="W6" s="434"/>
      <c r="X6" s="335"/>
      <c r="Y6" s="335"/>
      <c r="Z6" s="335"/>
      <c r="AA6" s="435"/>
      <c r="AB6" s="436"/>
      <c r="AC6" s="432"/>
      <c r="AD6" s="433" t="s">
        <v>425</v>
      </c>
      <c r="AE6" s="434" t="str">
        <f>Rent!A18</f>
        <v>Green Spa, LLC</v>
      </c>
      <c r="AF6" s="434"/>
      <c r="AG6" s="335"/>
      <c r="AH6" s="335"/>
      <c r="AI6" s="335"/>
      <c r="AJ6" s="435"/>
      <c r="AK6" s="436"/>
      <c r="AL6" s="432"/>
      <c r="AM6" s="433" t="s">
        <v>425</v>
      </c>
      <c r="AN6" s="434" t="str">
        <f>Rent!A19</f>
        <v>AT&amp;T Mobility</v>
      </c>
      <c r="AO6" s="434"/>
      <c r="AP6" s="335"/>
      <c r="AQ6" s="335"/>
      <c r="AR6" s="335"/>
      <c r="AS6" s="435"/>
      <c r="AT6" s="436"/>
      <c r="AU6" s="432"/>
      <c r="AV6" s="433" t="s">
        <v>425</v>
      </c>
      <c r="AW6" s="434" t="str">
        <f>Rent!A20</f>
        <v>Discount Nutrition</v>
      </c>
      <c r="AX6" s="434"/>
      <c r="AY6" s="335"/>
      <c r="AZ6" s="335"/>
      <c r="BA6" s="335"/>
      <c r="BB6" s="435"/>
      <c r="BC6" s="436"/>
      <c r="BD6" s="432"/>
      <c r="BE6" s="433" t="s">
        <v>425</v>
      </c>
      <c r="BF6" s="434" t="str">
        <f>Rent!A21</f>
        <v>Adapt Chiropractic</v>
      </c>
      <c r="BG6" s="434"/>
      <c r="BH6" s="335"/>
      <c r="BI6" s="335"/>
      <c r="BJ6" s="335"/>
      <c r="BK6" s="435"/>
      <c r="BL6" s="436"/>
      <c r="BM6" s="432"/>
      <c r="BN6" s="433" t="s">
        <v>425</v>
      </c>
      <c r="BO6" s="434" t="str">
        <f>Rent!A22</f>
        <v>Speakeasy Suites</v>
      </c>
      <c r="BP6" s="434"/>
      <c r="BQ6" s="335"/>
      <c r="BR6" s="335"/>
      <c r="BS6" s="335"/>
      <c r="BT6" s="435"/>
      <c r="BU6" s="436"/>
      <c r="BV6" s="432"/>
      <c r="BW6" s="433" t="s">
        <v>425</v>
      </c>
      <c r="BX6" s="434" t="str">
        <f>Rent!A23</f>
        <v>Kachina Stained Glass</v>
      </c>
      <c r="BY6" s="434"/>
      <c r="BZ6" s="335"/>
      <c r="CA6" s="335"/>
      <c r="CB6" s="335"/>
      <c r="CC6" s="435"/>
      <c r="CD6" s="436"/>
      <c r="CE6" s="432"/>
      <c r="CF6" s="433" t="s">
        <v>425</v>
      </c>
      <c r="CG6" s="434" t="str">
        <f>Rent!A24</f>
        <v>Zanders Creations</v>
      </c>
      <c r="CH6" s="434"/>
      <c r="CI6" s="335"/>
      <c r="CJ6" s="335"/>
      <c r="CK6" s="335"/>
      <c r="CL6" s="435"/>
      <c r="CM6" s="436"/>
      <c r="CN6" s="432"/>
      <c r="CO6" s="433" t="s">
        <v>425</v>
      </c>
      <c r="CP6" s="434" t="str">
        <f>Rent!A25</f>
        <v>Brightnow Dental</v>
      </c>
      <c r="CQ6" s="434"/>
      <c r="CR6" s="335"/>
      <c r="CS6" s="335"/>
      <c r="CT6" s="335"/>
      <c r="CU6" s="435"/>
      <c r="CV6" s="436"/>
      <c r="CW6" s="432"/>
      <c r="CX6" s="433" t="s">
        <v>425</v>
      </c>
      <c r="CY6" s="434" t="str">
        <f>Rent!A26</f>
        <v>Carr Animal Care</v>
      </c>
      <c r="CZ6" s="434"/>
      <c r="DA6" s="335"/>
      <c r="DB6" s="335"/>
      <c r="DC6" s="335"/>
      <c r="DD6" s="435"/>
      <c r="DE6" s="436"/>
      <c r="DF6" s="432"/>
      <c r="DG6" s="433" t="s">
        <v>425</v>
      </c>
      <c r="DH6" s="434" t="str">
        <f>Rent!A27</f>
        <v>Razors Barber Shop</v>
      </c>
      <c r="DI6" s="434"/>
      <c r="DJ6" s="335"/>
      <c r="DK6" s="335"/>
      <c r="DL6" s="335"/>
      <c r="DM6" s="435"/>
      <c r="DN6" s="436"/>
      <c r="DO6" s="432"/>
      <c r="DP6" s="433" t="s">
        <v>425</v>
      </c>
      <c r="DQ6" s="434" t="str">
        <f>Rent!A28</f>
        <v>CrossFit New Strength</v>
      </c>
      <c r="DR6" s="434"/>
      <c r="DS6" s="335"/>
      <c r="DT6" s="335"/>
      <c r="DU6" s="335"/>
      <c r="DV6" s="435"/>
      <c r="DW6" s="436"/>
      <c r="DX6" s="432"/>
      <c r="DY6" s="433" t="s">
        <v>425</v>
      </c>
      <c r="DZ6" s="434" t="str">
        <f>Rent!A29</f>
        <v>Vacant (Time Out Bar)</v>
      </c>
      <c r="EA6" s="434"/>
      <c r="EB6" s="335"/>
      <c r="EC6" s="335"/>
      <c r="ED6" s="335"/>
      <c r="EE6" s="435"/>
      <c r="EF6" s="436"/>
    </row>
    <row r="7" spans="1:136">
      <c r="A7" s="437"/>
      <c r="B7" s="438" t="s">
        <v>426</v>
      </c>
      <c r="C7" s="405" t="str">
        <f>Rent!B15</f>
        <v>B101</v>
      </c>
      <c r="D7" s="439"/>
      <c r="E7" s="340"/>
      <c r="F7" s="340"/>
      <c r="G7" s="340"/>
      <c r="H7" s="440"/>
      <c r="I7" s="441"/>
      <c r="J7" s="340"/>
      <c r="K7" s="437"/>
      <c r="L7" s="438" t="s">
        <v>426</v>
      </c>
      <c r="M7" s="405" t="str">
        <f>Rent!B16</f>
        <v>B103</v>
      </c>
      <c r="N7" s="439"/>
      <c r="O7" s="340"/>
      <c r="P7" s="340"/>
      <c r="Q7" s="340"/>
      <c r="R7" s="440"/>
      <c r="S7" s="441"/>
      <c r="T7" s="437"/>
      <c r="U7" s="438" t="s">
        <v>426</v>
      </c>
      <c r="V7" s="439" t="str">
        <f>Rent!B17</f>
        <v>B104</v>
      </c>
      <c r="W7" s="439"/>
      <c r="X7" s="340"/>
      <c r="Y7" s="340"/>
      <c r="Z7" s="340"/>
      <c r="AA7" s="440"/>
      <c r="AB7" s="441"/>
      <c r="AC7" s="437"/>
      <c r="AD7" s="438" t="s">
        <v>426</v>
      </c>
      <c r="AE7" s="439" t="str">
        <f>Rent!B18</f>
        <v>B105</v>
      </c>
      <c r="AF7" s="439"/>
      <c r="AG7" s="340"/>
      <c r="AH7" s="340"/>
      <c r="AI7" s="340"/>
      <c r="AJ7" s="440"/>
      <c r="AK7" s="441"/>
      <c r="AL7" s="437"/>
      <c r="AM7" s="438" t="s">
        <v>426</v>
      </c>
      <c r="AN7" s="439" t="str">
        <f>Rent!B19</f>
        <v>B106</v>
      </c>
      <c r="AO7" s="439"/>
      <c r="AP7" s="340"/>
      <c r="AQ7" s="340"/>
      <c r="AR7" s="340"/>
      <c r="AS7" s="440"/>
      <c r="AT7" s="441"/>
      <c r="AU7" s="437"/>
      <c r="AV7" s="438" t="s">
        <v>426</v>
      </c>
      <c r="AW7" s="439" t="str">
        <f>Rent!B20</f>
        <v>B108</v>
      </c>
      <c r="AX7" s="439"/>
      <c r="AY7" s="340"/>
      <c r="AZ7" s="340"/>
      <c r="BA7" s="340"/>
      <c r="BB7" s="440"/>
      <c r="BC7" s="441"/>
      <c r="BD7" s="437"/>
      <c r="BE7" s="438" t="s">
        <v>426</v>
      </c>
      <c r="BF7" s="439" t="str">
        <f>Rent!B21</f>
        <v>B109</v>
      </c>
      <c r="BG7" s="439"/>
      <c r="BH7" s="340"/>
      <c r="BI7" s="340"/>
      <c r="BJ7" s="340"/>
      <c r="BK7" s="440"/>
      <c r="BL7" s="441"/>
      <c r="BM7" s="437"/>
      <c r="BN7" s="438" t="s">
        <v>426</v>
      </c>
      <c r="BO7" s="439" t="str">
        <f>Rent!B22</f>
        <v>B111</v>
      </c>
      <c r="BP7" s="439"/>
      <c r="BQ7" s="340"/>
      <c r="BR7" s="340"/>
      <c r="BS7" s="340"/>
      <c r="BT7" s="440"/>
      <c r="BU7" s="441"/>
      <c r="BV7" s="437"/>
      <c r="BW7" s="438" t="s">
        <v>426</v>
      </c>
      <c r="BX7" s="439">
        <f>Rent!B23</f>
        <v>101</v>
      </c>
      <c r="BY7" s="439"/>
      <c r="BZ7" s="340"/>
      <c r="CA7" s="340"/>
      <c r="CB7" s="340"/>
      <c r="CC7" s="440"/>
      <c r="CD7" s="441"/>
      <c r="CE7" s="437"/>
      <c r="CF7" s="438" t="s">
        <v>426</v>
      </c>
      <c r="CG7" s="439">
        <f>Rent!B24</f>
        <v>102</v>
      </c>
      <c r="CH7" s="439"/>
      <c r="CI7" s="340"/>
      <c r="CJ7" s="340"/>
      <c r="CK7" s="340"/>
      <c r="CL7" s="440"/>
      <c r="CM7" s="441"/>
      <c r="CN7" s="437"/>
      <c r="CO7" s="438" t="s">
        <v>426</v>
      </c>
      <c r="CP7" s="439">
        <f>Rent!B25</f>
        <v>103</v>
      </c>
      <c r="CQ7" s="439"/>
      <c r="CR7" s="340"/>
      <c r="CS7" s="340"/>
      <c r="CT7" s="340"/>
      <c r="CU7" s="440"/>
      <c r="CV7" s="441"/>
      <c r="CW7" s="437"/>
      <c r="CX7" s="438" t="s">
        <v>426</v>
      </c>
      <c r="CY7" s="439">
        <f>Rent!B26</f>
        <v>106</v>
      </c>
      <c r="CZ7" s="439"/>
      <c r="DA7" s="340"/>
      <c r="DB7" s="340"/>
      <c r="DC7" s="340"/>
      <c r="DD7" s="440"/>
      <c r="DE7" s="441"/>
      <c r="DF7" s="437"/>
      <c r="DG7" s="438" t="s">
        <v>426</v>
      </c>
      <c r="DH7" s="439">
        <f>Rent!B27</f>
        <v>107</v>
      </c>
      <c r="DI7" s="439"/>
      <c r="DJ7" s="340"/>
      <c r="DK7" s="340"/>
      <c r="DL7" s="340"/>
      <c r="DM7" s="440"/>
      <c r="DN7" s="441"/>
      <c r="DO7" s="437"/>
      <c r="DP7" s="438" t="s">
        <v>426</v>
      </c>
      <c r="DQ7" s="439">
        <f>Rent!B28</f>
        <v>108</v>
      </c>
      <c r="DR7" s="439"/>
      <c r="DS7" s="340"/>
      <c r="DT7" s="340"/>
      <c r="DU7" s="340"/>
      <c r="DV7" s="440"/>
      <c r="DW7" s="441"/>
      <c r="DX7" s="437"/>
      <c r="DY7" s="438" t="s">
        <v>426</v>
      </c>
      <c r="DZ7" s="439">
        <f>Rent!B29</f>
        <v>111</v>
      </c>
      <c r="EA7" s="439"/>
      <c r="EB7" s="340"/>
      <c r="EC7" s="340"/>
      <c r="ED7" s="340"/>
      <c r="EE7" s="440"/>
      <c r="EF7" s="441"/>
    </row>
    <row r="8" spans="1:136">
      <c r="A8" s="491"/>
      <c r="B8" s="372" t="s">
        <v>427</v>
      </c>
      <c r="C8" s="492">
        <f>Rent!C15</f>
        <v>3000</v>
      </c>
      <c r="D8" s="442"/>
      <c r="E8" s="345"/>
      <c r="F8" s="345"/>
      <c r="G8" s="345"/>
      <c r="H8" s="493"/>
      <c r="I8" s="443"/>
      <c r="J8" s="345"/>
      <c r="K8" s="491"/>
      <c r="L8" s="372" t="s">
        <v>427</v>
      </c>
      <c r="M8" s="492">
        <f>Rent!C16</f>
        <v>1625</v>
      </c>
      <c r="N8" s="442"/>
      <c r="O8" s="345"/>
      <c r="P8" s="345"/>
      <c r="Q8" s="345"/>
      <c r="R8" s="185" t="s">
        <v>407</v>
      </c>
      <c r="S8" s="443"/>
      <c r="T8" s="491"/>
      <c r="U8" s="372" t="s">
        <v>427</v>
      </c>
      <c r="V8" s="442">
        <f>Rent!C17</f>
        <v>1400</v>
      </c>
      <c r="W8" s="442"/>
      <c r="X8" s="345"/>
      <c r="Y8" s="345"/>
      <c r="Z8" s="345"/>
      <c r="AA8" s="493"/>
      <c r="AB8" s="443"/>
      <c r="AC8" s="491"/>
      <c r="AD8" s="372" t="s">
        <v>427</v>
      </c>
      <c r="AE8" s="442">
        <f>Rent!C18</f>
        <v>1112</v>
      </c>
      <c r="AF8" s="442"/>
      <c r="AG8" s="345"/>
      <c r="AH8" s="345"/>
      <c r="AI8" s="345"/>
      <c r="AJ8" s="493"/>
      <c r="AK8" s="443"/>
      <c r="AL8" s="491"/>
      <c r="AM8" s="372" t="s">
        <v>427</v>
      </c>
      <c r="AN8" s="442">
        <f>Rent!C19</f>
        <v>2494</v>
      </c>
      <c r="AO8" s="442"/>
      <c r="AP8" s="345"/>
      <c r="AQ8" s="345"/>
      <c r="AR8" s="345"/>
      <c r="AS8" s="185" t="s">
        <v>407</v>
      </c>
      <c r="AT8" s="443"/>
      <c r="AU8" s="491"/>
      <c r="AV8" s="372" t="s">
        <v>427</v>
      </c>
      <c r="AW8" s="442">
        <f>Rent!C20</f>
        <v>1500</v>
      </c>
      <c r="AX8" s="442"/>
      <c r="AY8" s="345"/>
      <c r="AZ8" s="345"/>
      <c r="BA8" s="345"/>
      <c r="BB8" s="493"/>
      <c r="BC8" s="443"/>
      <c r="BD8" s="491"/>
      <c r="BE8" s="372" t="s">
        <v>427</v>
      </c>
      <c r="BF8" s="442">
        <f>Rent!C21</f>
        <v>1734</v>
      </c>
      <c r="BG8" s="442"/>
      <c r="BH8" s="345"/>
      <c r="BI8" s="345"/>
      <c r="BJ8" s="345"/>
      <c r="BK8" s="185" t="s">
        <v>407</v>
      </c>
      <c r="BL8" s="443"/>
      <c r="BM8" s="491"/>
      <c r="BN8" s="372" t="s">
        <v>427</v>
      </c>
      <c r="BO8" s="442">
        <f>Rent!C22</f>
        <v>3900</v>
      </c>
      <c r="BP8" s="442"/>
      <c r="BQ8" s="345"/>
      <c r="BR8" s="345"/>
      <c r="BS8" s="345"/>
      <c r="BT8" s="493"/>
      <c r="BU8" s="443"/>
      <c r="BV8" s="491"/>
      <c r="BW8" s="372" t="s">
        <v>427</v>
      </c>
      <c r="BX8" s="442">
        <f>Rent!C23</f>
        <v>1287</v>
      </c>
      <c r="BY8" s="442"/>
      <c r="BZ8" s="345"/>
      <c r="CA8" s="345"/>
      <c r="CB8" s="345"/>
      <c r="CC8" s="493"/>
      <c r="CD8" s="443"/>
      <c r="CE8" s="491"/>
      <c r="CF8" s="372" t="s">
        <v>427</v>
      </c>
      <c r="CG8" s="442">
        <f>Rent!C24</f>
        <v>1639</v>
      </c>
      <c r="CH8" s="442"/>
      <c r="CI8" s="345"/>
      <c r="CJ8" s="345"/>
      <c r="CK8" s="345"/>
      <c r="CL8" s="493"/>
      <c r="CM8" s="443"/>
      <c r="CN8" s="491"/>
      <c r="CO8" s="372" t="s">
        <v>427</v>
      </c>
      <c r="CP8" s="442">
        <f>Rent!C25</f>
        <v>3600</v>
      </c>
      <c r="CQ8" s="442"/>
      <c r="CR8" s="345"/>
      <c r="CS8" s="345"/>
      <c r="CT8" s="345"/>
      <c r="CU8" s="185" t="s">
        <v>407</v>
      </c>
      <c r="CV8" s="443"/>
      <c r="CW8" s="491"/>
      <c r="CX8" s="372" t="s">
        <v>427</v>
      </c>
      <c r="CY8" s="442">
        <f>Rent!C26</f>
        <v>1587</v>
      </c>
      <c r="CZ8" s="442"/>
      <c r="DA8" s="345"/>
      <c r="DB8" s="345"/>
      <c r="DC8" s="345"/>
      <c r="DD8" s="185" t="s">
        <v>407</v>
      </c>
      <c r="DE8" s="443"/>
      <c r="DF8" s="491"/>
      <c r="DG8" s="372" t="s">
        <v>427</v>
      </c>
      <c r="DH8" s="442">
        <f>Rent!C27</f>
        <v>1300</v>
      </c>
      <c r="DI8" s="442"/>
      <c r="DJ8" s="345"/>
      <c r="DK8" s="345"/>
      <c r="DL8" s="345"/>
      <c r="DM8" s="185" t="s">
        <v>407</v>
      </c>
      <c r="DN8" s="443"/>
      <c r="DO8" s="491"/>
      <c r="DP8" s="372" t="s">
        <v>427</v>
      </c>
      <c r="DQ8" s="442">
        <f>Rent!C28</f>
        <v>3524</v>
      </c>
      <c r="DR8" s="442"/>
      <c r="DS8" s="345"/>
      <c r="DT8" s="345"/>
      <c r="DU8" s="345"/>
      <c r="DV8" s="185"/>
      <c r="DW8" s="443"/>
      <c r="DX8" s="491"/>
      <c r="DY8" s="372" t="s">
        <v>427</v>
      </c>
      <c r="DZ8" s="442">
        <f>Rent!C29</f>
        <v>3007</v>
      </c>
      <c r="EA8" s="442"/>
      <c r="EB8" s="345"/>
      <c r="EC8" s="345"/>
      <c r="ED8" s="345"/>
      <c r="EE8" s="493"/>
      <c r="EF8" s="443"/>
    </row>
    <row r="9" spans="1:136">
      <c r="A9" s="60"/>
      <c r="B9" s="150"/>
      <c r="C9" s="2"/>
      <c r="D9" s="444"/>
      <c r="E9" s="2"/>
      <c r="F9" s="2"/>
      <c r="G9" s="150"/>
      <c r="H9" s="242"/>
      <c r="I9" s="2" t="s">
        <v>47</v>
      </c>
      <c r="J9" s="2"/>
      <c r="K9" s="60"/>
      <c r="L9" s="150"/>
      <c r="M9" s="2"/>
      <c r="N9" s="444"/>
      <c r="O9" s="2"/>
      <c r="P9" s="2"/>
      <c r="Q9" s="150"/>
      <c r="R9" s="242"/>
      <c r="S9" s="2" t="s">
        <v>47</v>
      </c>
      <c r="T9" s="60"/>
      <c r="U9" s="150"/>
      <c r="V9" s="2"/>
      <c r="W9" s="444"/>
      <c r="X9" s="2"/>
      <c r="Y9" s="2"/>
      <c r="Z9" s="150"/>
      <c r="AA9" s="242"/>
      <c r="AB9" s="2" t="s">
        <v>47</v>
      </c>
      <c r="AC9" s="60"/>
      <c r="AD9" s="150"/>
      <c r="AE9" s="2"/>
      <c r="AF9" s="444"/>
      <c r="AG9" s="2"/>
      <c r="AH9" s="2"/>
      <c r="AI9" s="150"/>
      <c r="AJ9" s="242"/>
      <c r="AK9" s="2" t="s">
        <v>47</v>
      </c>
      <c r="AL9" s="60"/>
      <c r="AM9" s="150"/>
      <c r="AN9" s="2"/>
      <c r="AO9" s="444"/>
      <c r="AP9" s="2"/>
      <c r="AQ9" s="2"/>
      <c r="AR9" s="150"/>
      <c r="AS9" s="242"/>
      <c r="AT9" s="2" t="s">
        <v>47</v>
      </c>
      <c r="AU9" s="60"/>
      <c r="AV9" s="150"/>
      <c r="AW9" s="2"/>
      <c r="AX9" s="444"/>
      <c r="AY9" s="2"/>
      <c r="AZ9" s="2"/>
      <c r="BA9" s="150"/>
      <c r="BB9" s="242"/>
      <c r="BC9" s="2" t="s">
        <v>47</v>
      </c>
      <c r="BD9" s="60"/>
      <c r="BE9" s="150"/>
      <c r="BF9" s="2"/>
      <c r="BG9" s="444"/>
      <c r="BH9" s="2"/>
      <c r="BI9" s="2"/>
      <c r="BJ9" s="150"/>
      <c r="BK9" s="242"/>
      <c r="BL9" s="2" t="s">
        <v>47</v>
      </c>
      <c r="BM9" s="60"/>
      <c r="BN9" s="150"/>
      <c r="BO9" s="2"/>
      <c r="BP9" s="444"/>
      <c r="BQ9" s="2"/>
      <c r="BR9" s="2"/>
      <c r="BS9" s="150"/>
      <c r="BT9" s="242"/>
      <c r="BU9" s="2" t="s">
        <v>47</v>
      </c>
      <c r="BV9" s="60"/>
      <c r="BW9" s="150"/>
      <c r="BX9" s="2"/>
      <c r="BY9" s="444"/>
      <c r="BZ9" s="2"/>
      <c r="CA9" s="2"/>
      <c r="CB9" s="150"/>
      <c r="CC9" s="242"/>
      <c r="CD9" s="2" t="s">
        <v>47</v>
      </c>
      <c r="CE9" s="60"/>
      <c r="CF9" s="150"/>
      <c r="CG9" s="2"/>
      <c r="CH9" s="444"/>
      <c r="CI9" s="2"/>
      <c r="CJ9" s="2"/>
      <c r="CK9" s="150"/>
      <c r="CL9" s="242"/>
      <c r="CM9" s="2" t="s">
        <v>47</v>
      </c>
      <c r="CN9" s="60"/>
      <c r="CO9" s="150"/>
      <c r="CP9" s="2"/>
      <c r="CQ9" s="444"/>
      <c r="CR9" s="2"/>
      <c r="CS9" s="2"/>
      <c r="CT9" s="150"/>
      <c r="CU9" s="242"/>
      <c r="CV9" s="2" t="s">
        <v>47</v>
      </c>
      <c r="CW9" s="60"/>
      <c r="CX9" s="150"/>
      <c r="CY9" s="2"/>
      <c r="CZ9" s="444"/>
      <c r="DA9" s="2"/>
      <c r="DB9" s="2"/>
      <c r="DC9" s="150"/>
      <c r="DD9" s="242"/>
      <c r="DE9" s="2" t="s">
        <v>47</v>
      </c>
      <c r="DF9" s="60"/>
      <c r="DG9" s="150"/>
      <c r="DH9" s="2"/>
      <c r="DI9" s="444"/>
      <c r="DJ9" s="2"/>
      <c r="DK9" s="2"/>
      <c r="DL9" s="150"/>
      <c r="DM9" s="242"/>
      <c r="DN9" s="2" t="s">
        <v>47</v>
      </c>
      <c r="DO9" s="60"/>
      <c r="DP9" s="150"/>
      <c r="DQ9" s="2"/>
      <c r="DR9" s="444"/>
      <c r="DS9" s="2"/>
      <c r="DT9" s="2"/>
      <c r="DU9" s="150"/>
      <c r="DV9" s="242"/>
      <c r="DW9" s="2" t="s">
        <v>47</v>
      </c>
      <c r="DX9" s="60"/>
      <c r="DY9" s="150"/>
      <c r="DZ9" s="2"/>
      <c r="EA9" s="444"/>
      <c r="EB9" s="2"/>
      <c r="EC9" s="2"/>
      <c r="ED9" s="150"/>
      <c r="EE9" s="242"/>
      <c r="EF9" s="2" t="s">
        <v>47</v>
      </c>
    </row>
    <row r="10" spans="1:136">
      <c r="A10" s="445"/>
      <c r="B10" s="213"/>
      <c r="C10" s="446"/>
      <c r="D10" s="213"/>
      <c r="E10" s="446"/>
      <c r="F10" s="447"/>
      <c r="G10" s="448"/>
      <c r="H10" s="494" t="s">
        <v>428</v>
      </c>
      <c r="I10" s="449"/>
      <c r="J10" s="495"/>
      <c r="K10" s="445"/>
      <c r="L10" s="213"/>
      <c r="M10" s="446"/>
      <c r="N10" s="213"/>
      <c r="O10" s="446"/>
      <c r="P10" s="447"/>
      <c r="Q10" s="448"/>
      <c r="R10" s="494" t="s">
        <v>428</v>
      </c>
      <c r="S10" s="449"/>
      <c r="T10" s="445"/>
      <c r="U10" s="213"/>
      <c r="V10" s="446"/>
      <c r="W10" s="213"/>
      <c r="X10" s="446"/>
      <c r="Y10" s="447"/>
      <c r="Z10" s="448"/>
      <c r="AA10" s="449" t="s">
        <v>428</v>
      </c>
      <c r="AB10" s="449"/>
      <c r="AC10" s="445"/>
      <c r="AD10" s="213"/>
      <c r="AE10" s="446"/>
      <c r="AF10" s="213"/>
      <c r="AG10" s="446"/>
      <c r="AH10" s="447"/>
      <c r="AI10" s="448"/>
      <c r="AJ10" s="449" t="s">
        <v>428</v>
      </c>
      <c r="AK10" s="449"/>
      <c r="AL10" s="445"/>
      <c r="AM10" s="213"/>
      <c r="AN10" s="446"/>
      <c r="AO10" s="213"/>
      <c r="AP10" s="446"/>
      <c r="AQ10" s="447"/>
      <c r="AR10" s="448"/>
      <c r="AS10" s="449" t="s">
        <v>428</v>
      </c>
      <c r="AT10" s="449"/>
      <c r="AU10" s="445"/>
      <c r="AV10" s="213"/>
      <c r="AW10" s="446"/>
      <c r="AX10" s="213"/>
      <c r="AY10" s="446"/>
      <c r="AZ10" s="447"/>
      <c r="BA10" s="448"/>
      <c r="BB10" s="449" t="s">
        <v>428</v>
      </c>
      <c r="BC10" s="449"/>
      <c r="BD10" s="445"/>
      <c r="BE10" s="213"/>
      <c r="BF10" s="446"/>
      <c r="BG10" s="213"/>
      <c r="BH10" s="446"/>
      <c r="BI10" s="447"/>
      <c r="BJ10" s="448"/>
      <c r="BK10" s="449" t="s">
        <v>428</v>
      </c>
      <c r="BL10" s="449"/>
      <c r="BM10" s="445"/>
      <c r="BN10" s="213"/>
      <c r="BO10" s="446"/>
      <c r="BP10" s="213"/>
      <c r="BQ10" s="446"/>
      <c r="BR10" s="447"/>
      <c r="BS10" s="448"/>
      <c r="BT10" s="449" t="s">
        <v>428</v>
      </c>
      <c r="BU10" s="449"/>
      <c r="BV10" s="445"/>
      <c r="BW10" s="213"/>
      <c r="BX10" s="446"/>
      <c r="BY10" s="213"/>
      <c r="BZ10" s="446"/>
      <c r="CA10" s="447"/>
      <c r="CB10" s="448"/>
      <c r="CC10" s="449" t="s">
        <v>428</v>
      </c>
      <c r="CD10" s="449"/>
      <c r="CE10" s="445"/>
      <c r="CF10" s="213"/>
      <c r="CG10" s="446"/>
      <c r="CH10" s="213"/>
      <c r="CI10" s="446"/>
      <c r="CJ10" s="447"/>
      <c r="CK10" s="448"/>
      <c r="CL10" s="449" t="s">
        <v>428</v>
      </c>
      <c r="CM10" s="449"/>
      <c r="CN10" s="445"/>
      <c r="CO10" s="213"/>
      <c r="CP10" s="446"/>
      <c r="CQ10" s="213"/>
      <c r="CR10" s="446"/>
      <c r="CS10" s="447"/>
      <c r="CT10" s="448"/>
      <c r="CU10" s="449" t="s">
        <v>428</v>
      </c>
      <c r="CV10" s="449"/>
      <c r="CW10" s="445"/>
      <c r="CX10" s="213"/>
      <c r="CY10" s="446"/>
      <c r="CZ10" s="213"/>
      <c r="DA10" s="446"/>
      <c r="DB10" s="447"/>
      <c r="DC10" s="448"/>
      <c r="DD10" s="449" t="s">
        <v>428</v>
      </c>
      <c r="DE10" s="449"/>
      <c r="DF10" s="445"/>
      <c r="DG10" s="213"/>
      <c r="DH10" s="446"/>
      <c r="DI10" s="213"/>
      <c r="DJ10" s="446"/>
      <c r="DK10" s="447"/>
      <c r="DL10" s="448"/>
      <c r="DM10" s="449" t="s">
        <v>428</v>
      </c>
      <c r="DN10" s="449"/>
      <c r="DO10" s="445"/>
      <c r="DP10" s="213"/>
      <c r="DQ10" s="446"/>
      <c r="DR10" s="213"/>
      <c r="DS10" s="446"/>
      <c r="DT10" s="447"/>
      <c r="DU10" s="448"/>
      <c r="DV10" s="449" t="s">
        <v>428</v>
      </c>
      <c r="DW10" s="449"/>
      <c r="DX10" s="445"/>
      <c r="DY10" s="213"/>
      <c r="DZ10" s="446"/>
      <c r="EA10" s="213"/>
      <c r="EB10" s="446"/>
      <c r="EC10" s="447"/>
      <c r="ED10" s="448"/>
      <c r="EE10" s="449" t="s">
        <v>428</v>
      </c>
      <c r="EF10" s="449"/>
    </row>
    <row r="11" spans="1:136">
      <c r="A11" s="339"/>
      <c r="B11" s="44"/>
      <c r="C11" s="450" t="s">
        <v>429</v>
      </c>
      <c r="D11" s="44" t="s">
        <v>430</v>
      </c>
      <c r="E11" s="450" t="s">
        <v>431</v>
      </c>
      <c r="F11" s="451" t="s">
        <v>432</v>
      </c>
      <c r="G11" s="452" t="s">
        <v>431</v>
      </c>
      <c r="H11" s="496" t="s">
        <v>433</v>
      </c>
      <c r="I11" s="453" t="s">
        <v>384</v>
      </c>
      <c r="J11" s="497"/>
      <c r="K11" s="339"/>
      <c r="L11" s="44"/>
      <c r="M11" s="450" t="s">
        <v>429</v>
      </c>
      <c r="N11" s="44" t="s">
        <v>430</v>
      </c>
      <c r="O11" s="450" t="s">
        <v>431</v>
      </c>
      <c r="P11" s="451" t="s">
        <v>432</v>
      </c>
      <c r="Q11" s="452" t="s">
        <v>431</v>
      </c>
      <c r="R11" s="496" t="s">
        <v>433</v>
      </c>
      <c r="S11" s="453" t="s">
        <v>384</v>
      </c>
      <c r="T11" s="339"/>
      <c r="U11" s="44"/>
      <c r="V11" s="450" t="s">
        <v>429</v>
      </c>
      <c r="W11" s="44" t="s">
        <v>430</v>
      </c>
      <c r="X11" s="450" t="s">
        <v>431</v>
      </c>
      <c r="Y11" s="451" t="s">
        <v>432</v>
      </c>
      <c r="Z11" s="452" t="s">
        <v>431</v>
      </c>
      <c r="AA11" s="453" t="s">
        <v>433</v>
      </c>
      <c r="AB11" s="453" t="s">
        <v>384</v>
      </c>
      <c r="AC11" s="339"/>
      <c r="AD11" s="44"/>
      <c r="AE11" s="450" t="s">
        <v>429</v>
      </c>
      <c r="AF11" s="44" t="s">
        <v>430</v>
      </c>
      <c r="AG11" s="450" t="s">
        <v>431</v>
      </c>
      <c r="AH11" s="451" t="s">
        <v>432</v>
      </c>
      <c r="AI11" s="452" t="s">
        <v>431</v>
      </c>
      <c r="AJ11" s="453" t="s">
        <v>433</v>
      </c>
      <c r="AK11" s="453" t="s">
        <v>384</v>
      </c>
      <c r="AL11" s="339"/>
      <c r="AM11" s="44"/>
      <c r="AN11" s="450" t="s">
        <v>429</v>
      </c>
      <c r="AO11" s="44" t="s">
        <v>430</v>
      </c>
      <c r="AP11" s="450" t="s">
        <v>431</v>
      </c>
      <c r="AQ11" s="451" t="s">
        <v>432</v>
      </c>
      <c r="AR11" s="452" t="s">
        <v>431</v>
      </c>
      <c r="AS11" s="453" t="s">
        <v>433</v>
      </c>
      <c r="AT11" s="453" t="s">
        <v>384</v>
      </c>
      <c r="AU11" s="339"/>
      <c r="AV11" s="44"/>
      <c r="AW11" s="450" t="s">
        <v>429</v>
      </c>
      <c r="AX11" s="44" t="s">
        <v>430</v>
      </c>
      <c r="AY11" s="450" t="s">
        <v>431</v>
      </c>
      <c r="AZ11" s="451" t="s">
        <v>432</v>
      </c>
      <c r="BA11" s="452" t="s">
        <v>431</v>
      </c>
      <c r="BB11" s="453" t="s">
        <v>433</v>
      </c>
      <c r="BC11" s="453" t="s">
        <v>384</v>
      </c>
      <c r="BD11" s="339"/>
      <c r="BE11" s="44"/>
      <c r="BF11" s="450" t="s">
        <v>429</v>
      </c>
      <c r="BG11" s="44" t="s">
        <v>430</v>
      </c>
      <c r="BH11" s="450" t="s">
        <v>431</v>
      </c>
      <c r="BI11" s="451" t="s">
        <v>432</v>
      </c>
      <c r="BJ11" s="452" t="s">
        <v>431</v>
      </c>
      <c r="BK11" s="453" t="s">
        <v>433</v>
      </c>
      <c r="BL11" s="453" t="s">
        <v>384</v>
      </c>
      <c r="BM11" s="339"/>
      <c r="BN11" s="44"/>
      <c r="BO11" s="450" t="s">
        <v>429</v>
      </c>
      <c r="BP11" s="44" t="s">
        <v>430</v>
      </c>
      <c r="BQ11" s="450" t="s">
        <v>431</v>
      </c>
      <c r="BR11" s="451" t="s">
        <v>432</v>
      </c>
      <c r="BS11" s="452" t="s">
        <v>431</v>
      </c>
      <c r="BT11" s="453" t="s">
        <v>433</v>
      </c>
      <c r="BU11" s="453" t="s">
        <v>384</v>
      </c>
      <c r="BV11" s="339"/>
      <c r="BW11" s="44"/>
      <c r="BX11" s="450" t="s">
        <v>429</v>
      </c>
      <c r="BY11" s="44" t="s">
        <v>430</v>
      </c>
      <c r="BZ11" s="450" t="s">
        <v>431</v>
      </c>
      <c r="CA11" s="451" t="s">
        <v>432</v>
      </c>
      <c r="CB11" s="452" t="s">
        <v>431</v>
      </c>
      <c r="CC11" s="453" t="s">
        <v>433</v>
      </c>
      <c r="CD11" s="453" t="s">
        <v>384</v>
      </c>
      <c r="CE11" s="339"/>
      <c r="CF11" s="44"/>
      <c r="CG11" s="450" t="s">
        <v>429</v>
      </c>
      <c r="CH11" s="44" t="s">
        <v>430</v>
      </c>
      <c r="CI11" s="450" t="s">
        <v>431</v>
      </c>
      <c r="CJ11" s="451" t="s">
        <v>432</v>
      </c>
      <c r="CK11" s="452" t="s">
        <v>431</v>
      </c>
      <c r="CL11" s="453" t="s">
        <v>433</v>
      </c>
      <c r="CM11" s="453" t="s">
        <v>384</v>
      </c>
      <c r="CN11" s="339"/>
      <c r="CO11" s="44"/>
      <c r="CP11" s="450" t="s">
        <v>429</v>
      </c>
      <c r="CQ11" s="44" t="s">
        <v>430</v>
      </c>
      <c r="CR11" s="450" t="s">
        <v>431</v>
      </c>
      <c r="CS11" s="451" t="s">
        <v>432</v>
      </c>
      <c r="CT11" s="452" t="s">
        <v>431</v>
      </c>
      <c r="CU11" s="453" t="s">
        <v>433</v>
      </c>
      <c r="CV11" s="453" t="s">
        <v>384</v>
      </c>
      <c r="CW11" s="339"/>
      <c r="CX11" s="44"/>
      <c r="CY11" s="450" t="s">
        <v>429</v>
      </c>
      <c r="CZ11" s="44" t="s">
        <v>430</v>
      </c>
      <c r="DA11" s="450" t="s">
        <v>431</v>
      </c>
      <c r="DB11" s="451" t="s">
        <v>432</v>
      </c>
      <c r="DC11" s="452" t="s">
        <v>431</v>
      </c>
      <c r="DD11" s="453" t="s">
        <v>433</v>
      </c>
      <c r="DE11" s="453" t="s">
        <v>384</v>
      </c>
      <c r="DF11" s="339"/>
      <c r="DG11" s="44"/>
      <c r="DH11" s="450" t="s">
        <v>429</v>
      </c>
      <c r="DI11" s="44" t="s">
        <v>430</v>
      </c>
      <c r="DJ11" s="450" t="s">
        <v>431</v>
      </c>
      <c r="DK11" s="451" t="s">
        <v>432</v>
      </c>
      <c r="DL11" s="452" t="s">
        <v>431</v>
      </c>
      <c r="DM11" s="453" t="s">
        <v>433</v>
      </c>
      <c r="DN11" s="453" t="s">
        <v>384</v>
      </c>
      <c r="DO11" s="339"/>
      <c r="DP11" s="44"/>
      <c r="DQ11" s="450" t="s">
        <v>429</v>
      </c>
      <c r="DR11" s="44" t="s">
        <v>430</v>
      </c>
      <c r="DS11" s="450" t="s">
        <v>431</v>
      </c>
      <c r="DT11" s="451" t="s">
        <v>432</v>
      </c>
      <c r="DU11" s="452" t="s">
        <v>431</v>
      </c>
      <c r="DV11" s="453" t="s">
        <v>433</v>
      </c>
      <c r="DW11" s="453" t="s">
        <v>384</v>
      </c>
      <c r="DX11" s="339"/>
      <c r="DY11" s="44"/>
      <c r="DZ11" s="450" t="s">
        <v>429</v>
      </c>
      <c r="EA11" s="44" t="s">
        <v>430</v>
      </c>
      <c r="EB11" s="450" t="s">
        <v>431</v>
      </c>
      <c r="EC11" s="451" t="s">
        <v>432</v>
      </c>
      <c r="ED11" s="452" t="s">
        <v>431</v>
      </c>
      <c r="EE11" s="453" t="s">
        <v>433</v>
      </c>
      <c r="EF11" s="453" t="s">
        <v>384</v>
      </c>
    </row>
    <row r="12" spans="1:136">
      <c r="A12" s="361" t="s">
        <v>434</v>
      </c>
      <c r="B12" s="46" t="s">
        <v>435</v>
      </c>
      <c r="C12" s="454" t="s">
        <v>384</v>
      </c>
      <c r="D12" s="46" t="s">
        <v>436</v>
      </c>
      <c r="E12" s="454" t="s">
        <v>437</v>
      </c>
      <c r="F12" s="455" t="s">
        <v>438</v>
      </c>
      <c r="G12" s="456" t="s">
        <v>437</v>
      </c>
      <c r="H12" s="498">
        <f>'Admin Fee'!D15</f>
        <v>0.1</v>
      </c>
      <c r="I12" s="458" t="s">
        <v>439</v>
      </c>
      <c r="J12" s="499"/>
      <c r="K12" s="361" t="s">
        <v>434</v>
      </c>
      <c r="L12" s="46" t="s">
        <v>435</v>
      </c>
      <c r="M12" s="454" t="s">
        <v>384</v>
      </c>
      <c r="N12" s="46" t="s">
        <v>436</v>
      </c>
      <c r="O12" s="454" t="s">
        <v>437</v>
      </c>
      <c r="P12" s="455" t="s">
        <v>438</v>
      </c>
      <c r="Q12" s="456" t="s">
        <v>437</v>
      </c>
      <c r="R12" s="498">
        <f>'Admin Fee'!D16</f>
        <v>0.04</v>
      </c>
      <c r="S12" s="458" t="s">
        <v>439</v>
      </c>
      <c r="T12" s="361" t="s">
        <v>434</v>
      </c>
      <c r="U12" s="46" t="s">
        <v>435</v>
      </c>
      <c r="V12" s="454" t="s">
        <v>384</v>
      </c>
      <c r="W12" s="46" t="s">
        <v>436</v>
      </c>
      <c r="X12" s="454" t="s">
        <v>437</v>
      </c>
      <c r="Y12" s="455" t="s">
        <v>438</v>
      </c>
      <c r="Z12" s="456" t="s">
        <v>437</v>
      </c>
      <c r="AA12" s="457">
        <f>'Admin Fee'!D17</f>
        <v>0</v>
      </c>
      <c r="AB12" s="458" t="s">
        <v>439</v>
      </c>
      <c r="AC12" s="361" t="s">
        <v>434</v>
      </c>
      <c r="AD12" s="46" t="s">
        <v>435</v>
      </c>
      <c r="AE12" s="454" t="s">
        <v>384</v>
      </c>
      <c r="AF12" s="46" t="s">
        <v>436</v>
      </c>
      <c r="AG12" s="454" t="s">
        <v>437</v>
      </c>
      <c r="AH12" s="455" t="s">
        <v>438</v>
      </c>
      <c r="AI12" s="456" t="s">
        <v>437</v>
      </c>
      <c r="AJ12" s="457">
        <f>'Admin Fee'!D18</f>
        <v>0</v>
      </c>
      <c r="AK12" s="458" t="s">
        <v>439</v>
      </c>
      <c r="AL12" s="361" t="s">
        <v>434</v>
      </c>
      <c r="AM12" s="46" t="s">
        <v>435</v>
      </c>
      <c r="AN12" s="454" t="s">
        <v>384</v>
      </c>
      <c r="AO12" s="46" t="s">
        <v>436</v>
      </c>
      <c r="AP12" s="454" t="s">
        <v>437</v>
      </c>
      <c r="AQ12" s="455" t="s">
        <v>438</v>
      </c>
      <c r="AR12" s="456" t="s">
        <v>437</v>
      </c>
      <c r="AS12" s="457">
        <f>'Admin Fee'!D19</f>
        <v>0.03</v>
      </c>
      <c r="AT12" s="458" t="s">
        <v>439</v>
      </c>
      <c r="AU12" s="361" t="s">
        <v>434</v>
      </c>
      <c r="AV12" s="46" t="s">
        <v>435</v>
      </c>
      <c r="AW12" s="454" t="s">
        <v>384</v>
      </c>
      <c r="AX12" s="46" t="s">
        <v>436</v>
      </c>
      <c r="AY12" s="454" t="s">
        <v>437</v>
      </c>
      <c r="AZ12" s="455" t="s">
        <v>438</v>
      </c>
      <c r="BA12" s="456" t="s">
        <v>437</v>
      </c>
      <c r="BB12" s="457">
        <f>'Admin Fee'!D20</f>
        <v>0</v>
      </c>
      <c r="BC12" s="458" t="s">
        <v>439</v>
      </c>
      <c r="BD12" s="361" t="s">
        <v>434</v>
      </c>
      <c r="BE12" s="46" t="s">
        <v>435</v>
      </c>
      <c r="BF12" s="454" t="s">
        <v>384</v>
      </c>
      <c r="BG12" s="46" t="s">
        <v>436</v>
      </c>
      <c r="BH12" s="454" t="s">
        <v>437</v>
      </c>
      <c r="BI12" s="455" t="s">
        <v>438</v>
      </c>
      <c r="BJ12" s="456" t="s">
        <v>437</v>
      </c>
      <c r="BK12" s="457">
        <f>'Admin Fee'!D21</f>
        <v>0.05</v>
      </c>
      <c r="BL12" s="458" t="s">
        <v>439</v>
      </c>
      <c r="BM12" s="361" t="s">
        <v>434</v>
      </c>
      <c r="BN12" s="46" t="s">
        <v>435</v>
      </c>
      <c r="BO12" s="454" t="s">
        <v>384</v>
      </c>
      <c r="BP12" s="46" t="s">
        <v>436</v>
      </c>
      <c r="BQ12" s="454" t="s">
        <v>437</v>
      </c>
      <c r="BR12" s="455" t="s">
        <v>438</v>
      </c>
      <c r="BS12" s="456" t="s">
        <v>437</v>
      </c>
      <c r="BT12" s="457">
        <f>'Admin Fee'!D22</f>
        <v>0</v>
      </c>
      <c r="BU12" s="458" t="s">
        <v>439</v>
      </c>
      <c r="BV12" s="361" t="s">
        <v>434</v>
      </c>
      <c r="BW12" s="46" t="s">
        <v>435</v>
      </c>
      <c r="BX12" s="454" t="s">
        <v>384</v>
      </c>
      <c r="BY12" s="46" t="s">
        <v>436</v>
      </c>
      <c r="BZ12" s="454" t="s">
        <v>437</v>
      </c>
      <c r="CA12" s="455" t="s">
        <v>438</v>
      </c>
      <c r="CB12" s="456" t="s">
        <v>437</v>
      </c>
      <c r="CC12" s="457">
        <f>'Admin Fee'!D23</f>
        <v>0</v>
      </c>
      <c r="CD12" s="458" t="s">
        <v>439</v>
      </c>
      <c r="CE12" s="361" t="s">
        <v>434</v>
      </c>
      <c r="CF12" s="46" t="s">
        <v>435</v>
      </c>
      <c r="CG12" s="454" t="s">
        <v>384</v>
      </c>
      <c r="CH12" s="46" t="s">
        <v>436</v>
      </c>
      <c r="CI12" s="454" t="s">
        <v>437</v>
      </c>
      <c r="CJ12" s="455" t="s">
        <v>438</v>
      </c>
      <c r="CK12" s="456" t="s">
        <v>437</v>
      </c>
      <c r="CL12" s="457">
        <f>'Admin Fee'!D24</f>
        <v>0</v>
      </c>
      <c r="CM12" s="458" t="s">
        <v>439</v>
      </c>
      <c r="CN12" s="361" t="s">
        <v>434</v>
      </c>
      <c r="CO12" s="46" t="s">
        <v>435</v>
      </c>
      <c r="CP12" s="454" t="s">
        <v>384</v>
      </c>
      <c r="CQ12" s="46" t="s">
        <v>436</v>
      </c>
      <c r="CR12" s="454" t="s">
        <v>437</v>
      </c>
      <c r="CS12" s="455" t="s">
        <v>438</v>
      </c>
      <c r="CT12" s="456" t="s">
        <v>437</v>
      </c>
      <c r="CU12" s="457">
        <f>'Admin Fee'!D25</f>
        <v>0.04</v>
      </c>
      <c r="CV12" s="458" t="s">
        <v>439</v>
      </c>
      <c r="CW12" s="361" t="s">
        <v>434</v>
      </c>
      <c r="CX12" s="46" t="s">
        <v>435</v>
      </c>
      <c r="CY12" s="454" t="s">
        <v>384</v>
      </c>
      <c r="CZ12" s="46" t="s">
        <v>436</v>
      </c>
      <c r="DA12" s="454" t="s">
        <v>437</v>
      </c>
      <c r="DB12" s="455" t="s">
        <v>438</v>
      </c>
      <c r="DC12" s="456" t="s">
        <v>437</v>
      </c>
      <c r="DD12" s="457">
        <f>'Admin Fee'!D26</f>
        <v>0.1</v>
      </c>
      <c r="DE12" s="458" t="s">
        <v>439</v>
      </c>
      <c r="DF12" s="361" t="s">
        <v>434</v>
      </c>
      <c r="DG12" s="46" t="s">
        <v>435</v>
      </c>
      <c r="DH12" s="454" t="s">
        <v>384</v>
      </c>
      <c r="DI12" s="46" t="s">
        <v>436</v>
      </c>
      <c r="DJ12" s="454" t="s">
        <v>437</v>
      </c>
      <c r="DK12" s="455" t="s">
        <v>438</v>
      </c>
      <c r="DL12" s="456" t="s">
        <v>437</v>
      </c>
      <c r="DM12" s="457">
        <f>'Admin Fee'!D27</f>
        <v>0.15</v>
      </c>
      <c r="DN12" s="458" t="s">
        <v>439</v>
      </c>
      <c r="DO12" s="361" t="s">
        <v>434</v>
      </c>
      <c r="DP12" s="46" t="s">
        <v>435</v>
      </c>
      <c r="DQ12" s="454" t="s">
        <v>384</v>
      </c>
      <c r="DR12" s="46" t="s">
        <v>436</v>
      </c>
      <c r="DS12" s="454" t="s">
        <v>437</v>
      </c>
      <c r="DT12" s="455" t="s">
        <v>438</v>
      </c>
      <c r="DU12" s="456" t="s">
        <v>437</v>
      </c>
      <c r="DV12" s="457">
        <f>'Admin Fee'!D28</f>
        <v>0.05</v>
      </c>
      <c r="DW12" s="458" t="s">
        <v>439</v>
      </c>
      <c r="DX12" s="361" t="s">
        <v>434</v>
      </c>
      <c r="DY12" s="46" t="s">
        <v>435</v>
      </c>
      <c r="DZ12" s="454" t="s">
        <v>384</v>
      </c>
      <c r="EA12" s="46" t="s">
        <v>436</v>
      </c>
      <c r="EB12" s="454" t="s">
        <v>437</v>
      </c>
      <c r="EC12" s="455" t="s">
        <v>438</v>
      </c>
      <c r="ED12" s="456" t="s">
        <v>437</v>
      </c>
      <c r="EE12" s="457">
        <f>'Admin Fee'!D29</f>
        <v>0.03</v>
      </c>
      <c r="EF12" s="458" t="s">
        <v>439</v>
      </c>
    </row>
    <row r="13" spans="1:136">
      <c r="A13" s="88"/>
      <c r="B13" s="88"/>
      <c r="C13" s="88"/>
      <c r="D13" s="88"/>
      <c r="E13" s="88"/>
      <c r="F13" s="459"/>
      <c r="G13" s="460"/>
      <c r="H13" s="460"/>
      <c r="I13" s="460"/>
      <c r="J13" s="460"/>
      <c r="K13" s="88"/>
      <c r="L13" s="88"/>
      <c r="M13" s="88"/>
      <c r="N13" s="88"/>
      <c r="O13" s="88"/>
      <c r="P13" s="459"/>
      <c r="Q13" s="460"/>
      <c r="R13" s="460"/>
      <c r="S13" s="460"/>
      <c r="T13" s="88"/>
      <c r="U13" s="88"/>
      <c r="V13" s="88"/>
      <c r="W13" s="88"/>
      <c r="X13" s="88"/>
      <c r="Y13" s="459"/>
      <c r="Z13" s="460"/>
      <c r="AA13" s="460"/>
      <c r="AB13" s="460"/>
      <c r="AC13" s="88"/>
      <c r="AD13" s="88"/>
      <c r="AE13" s="88"/>
      <c r="AF13" s="88"/>
      <c r="AG13" s="88"/>
      <c r="AH13" s="459"/>
      <c r="AI13" s="460"/>
      <c r="AJ13" s="460"/>
      <c r="AK13" s="460"/>
      <c r="AL13" s="88"/>
      <c r="AM13" s="88"/>
      <c r="AN13" s="88"/>
      <c r="AO13" s="88"/>
      <c r="AP13" s="88"/>
      <c r="AQ13" s="459"/>
      <c r="AR13" s="460"/>
      <c r="AS13" s="460"/>
      <c r="AT13" s="460"/>
      <c r="AU13" s="88"/>
      <c r="AV13" s="88"/>
      <c r="AW13" s="88"/>
      <c r="AX13" s="88"/>
      <c r="AY13" s="88"/>
      <c r="AZ13" s="459"/>
      <c r="BA13" s="460"/>
      <c r="BB13" s="460"/>
      <c r="BC13" s="460"/>
      <c r="BD13" s="88"/>
      <c r="BE13" s="88"/>
      <c r="BF13" s="88"/>
      <c r="BG13" s="88"/>
      <c r="BH13" s="88"/>
      <c r="BI13" s="459"/>
      <c r="BJ13" s="460"/>
      <c r="BK13" s="460"/>
      <c r="BL13" s="460"/>
      <c r="BM13" s="88"/>
      <c r="BN13" s="88"/>
      <c r="BO13" s="88"/>
      <c r="BP13" s="88"/>
      <c r="BQ13" s="88"/>
      <c r="BR13" s="459"/>
      <c r="BS13" s="460"/>
      <c r="BT13" s="460"/>
      <c r="BU13" s="460"/>
      <c r="BV13" s="88"/>
      <c r="BW13" s="88"/>
      <c r="BX13" s="88"/>
      <c r="BY13" s="88"/>
      <c r="BZ13" s="88"/>
      <c r="CA13" s="459"/>
      <c r="CB13" s="460"/>
      <c r="CC13" s="460"/>
      <c r="CD13" s="460"/>
      <c r="CE13" s="88"/>
      <c r="CF13" s="88"/>
      <c r="CG13" s="88"/>
      <c r="CH13" s="88"/>
      <c r="CI13" s="88"/>
      <c r="CJ13" s="459"/>
      <c r="CK13" s="460"/>
      <c r="CL13" s="460"/>
      <c r="CM13" s="460"/>
      <c r="CN13" s="88"/>
      <c r="CO13" s="88"/>
      <c r="CP13" s="88"/>
      <c r="CQ13" s="88"/>
      <c r="CR13" s="88"/>
      <c r="CS13" s="459"/>
      <c r="CT13" s="460"/>
      <c r="CU13" s="460"/>
      <c r="CV13" s="460"/>
      <c r="CW13" s="88"/>
      <c r="CX13" s="88"/>
      <c r="CY13" s="88"/>
      <c r="CZ13" s="88"/>
      <c r="DA13" s="88"/>
      <c r="DB13" s="459"/>
      <c r="DC13" s="460"/>
      <c r="DD13" s="460"/>
      <c r="DE13" s="460"/>
      <c r="DF13" s="88"/>
      <c r="DG13" s="88"/>
      <c r="DH13" s="88"/>
      <c r="DI13" s="88"/>
      <c r="DJ13" s="88"/>
      <c r="DK13" s="459"/>
      <c r="DL13" s="460"/>
      <c r="DM13" s="460"/>
      <c r="DN13" s="460"/>
      <c r="DO13" s="88"/>
      <c r="DP13" s="88"/>
      <c r="DQ13" s="88"/>
      <c r="DR13" s="88"/>
      <c r="DS13" s="88"/>
      <c r="DT13" s="459"/>
      <c r="DU13" s="460"/>
      <c r="DV13" s="460"/>
      <c r="DW13" s="460"/>
      <c r="DX13" s="88"/>
      <c r="DY13" s="88"/>
      <c r="DZ13" s="88"/>
      <c r="EA13" s="88"/>
      <c r="EB13" s="88"/>
      <c r="EC13" s="459"/>
      <c r="ED13" s="460"/>
      <c r="EE13" s="460"/>
      <c r="EF13" s="460"/>
    </row>
    <row r="14" spans="1:136">
      <c r="A14" s="60"/>
      <c r="B14" s="51" t="str">
        <f>'CAM Majors'!$B$14</f>
        <v>COMMON AREA EXPENSES</v>
      </c>
      <c r="C14" s="383"/>
      <c r="D14" s="461"/>
      <c r="E14" s="383"/>
      <c r="F14" s="242"/>
      <c r="G14" s="460"/>
      <c r="H14" s="460"/>
      <c r="I14" s="460"/>
      <c r="J14" s="460"/>
      <c r="K14" s="60"/>
      <c r="L14" s="51" t="str">
        <f>'CAM Majors'!$B$14</f>
        <v>COMMON AREA EXPENSES</v>
      </c>
      <c r="M14" s="383"/>
      <c r="N14" s="461"/>
      <c r="O14" s="383"/>
      <c r="P14" s="242"/>
      <c r="Q14" s="460"/>
      <c r="R14" s="460"/>
      <c r="S14" s="460"/>
      <c r="T14" s="60"/>
      <c r="U14" s="51" t="str">
        <f>'CAM Majors'!$B$14</f>
        <v>COMMON AREA EXPENSES</v>
      </c>
      <c r="V14" s="383"/>
      <c r="W14" s="461"/>
      <c r="X14" s="383"/>
      <c r="Y14" s="242"/>
      <c r="Z14" s="460"/>
      <c r="AA14" s="460"/>
      <c r="AB14" s="460"/>
      <c r="AC14" s="60"/>
      <c r="AD14" s="51" t="str">
        <f>'CAM Majors'!$B$14</f>
        <v>COMMON AREA EXPENSES</v>
      </c>
      <c r="AE14" s="383"/>
      <c r="AF14" s="461"/>
      <c r="AG14" s="383"/>
      <c r="AH14" s="242"/>
      <c r="AI14" s="460"/>
      <c r="AJ14" s="460"/>
      <c r="AK14" s="460"/>
      <c r="AL14" s="60"/>
      <c r="AM14" s="51" t="str">
        <f>'CAM Majors'!$B$14</f>
        <v>COMMON AREA EXPENSES</v>
      </c>
      <c r="AN14" s="383"/>
      <c r="AO14" s="461"/>
      <c r="AP14" s="383"/>
      <c r="AQ14" s="242"/>
      <c r="AR14" s="460"/>
      <c r="AS14" s="460"/>
      <c r="AT14" s="460"/>
      <c r="AU14" s="60"/>
      <c r="AV14" s="51" t="str">
        <f>'CAM Majors'!$B$14</f>
        <v>COMMON AREA EXPENSES</v>
      </c>
      <c r="AW14" s="383"/>
      <c r="AX14" s="461"/>
      <c r="AY14" s="383"/>
      <c r="AZ14" s="242"/>
      <c r="BA14" s="460"/>
      <c r="BB14" s="460"/>
      <c r="BC14" s="460"/>
      <c r="BD14" s="60"/>
      <c r="BE14" s="51" t="str">
        <f>'CAM Majors'!$B$14</f>
        <v>COMMON AREA EXPENSES</v>
      </c>
      <c r="BF14" s="383"/>
      <c r="BG14" s="461"/>
      <c r="BH14" s="383"/>
      <c r="BI14" s="242"/>
      <c r="BJ14" s="460"/>
      <c r="BK14" s="460"/>
      <c r="BL14" s="460"/>
      <c r="BM14" s="60"/>
      <c r="BN14" s="51" t="str">
        <f>'CAM Majors'!$B$14</f>
        <v>COMMON AREA EXPENSES</v>
      </c>
      <c r="BO14" s="383"/>
      <c r="BP14" s="461"/>
      <c r="BQ14" s="383"/>
      <c r="BR14" s="242"/>
      <c r="BS14" s="460"/>
      <c r="BT14" s="460"/>
      <c r="BU14" s="460"/>
      <c r="BV14" s="60"/>
      <c r="BW14" s="51" t="str">
        <f>'CAM Majors'!$B$14</f>
        <v>COMMON AREA EXPENSES</v>
      </c>
      <c r="BX14" s="383"/>
      <c r="BY14" s="461"/>
      <c r="BZ14" s="383"/>
      <c r="CA14" s="242"/>
      <c r="CB14" s="460"/>
      <c r="CC14" s="460"/>
      <c r="CD14" s="460"/>
      <c r="CE14" s="60"/>
      <c r="CF14" s="51" t="str">
        <f>'CAM Majors'!$B$14</f>
        <v>COMMON AREA EXPENSES</v>
      </c>
      <c r="CG14" s="383"/>
      <c r="CH14" s="461"/>
      <c r="CI14" s="383"/>
      <c r="CJ14" s="242"/>
      <c r="CK14" s="460"/>
      <c r="CL14" s="460"/>
      <c r="CM14" s="460"/>
      <c r="CN14" s="60"/>
      <c r="CO14" s="51" t="str">
        <f>'CAM Majors'!$B$14</f>
        <v>COMMON AREA EXPENSES</v>
      </c>
      <c r="CP14" s="383"/>
      <c r="CQ14" s="461"/>
      <c r="CR14" s="383"/>
      <c r="CS14" s="242"/>
      <c r="CT14" s="460"/>
      <c r="CU14" s="460"/>
      <c r="CV14" s="460"/>
      <c r="CW14" s="60"/>
      <c r="CX14" s="51" t="str">
        <f>'CAM Majors'!$B$14</f>
        <v>COMMON AREA EXPENSES</v>
      </c>
      <c r="CY14" s="383"/>
      <c r="CZ14" s="461"/>
      <c r="DA14" s="383"/>
      <c r="DB14" s="242"/>
      <c r="DC14" s="460"/>
      <c r="DD14" s="460"/>
      <c r="DE14" s="460"/>
      <c r="DF14" s="60"/>
      <c r="DG14" s="51" t="str">
        <f>'CAM Majors'!$B$14</f>
        <v>COMMON AREA EXPENSES</v>
      </c>
      <c r="DH14" s="383"/>
      <c r="DI14" s="461"/>
      <c r="DJ14" s="383"/>
      <c r="DK14" s="242"/>
      <c r="DL14" s="460"/>
      <c r="DM14" s="460"/>
      <c r="DN14" s="460"/>
      <c r="DO14" s="60"/>
      <c r="DP14" s="51" t="str">
        <f>'CAM Majors'!$B$14</f>
        <v>COMMON AREA EXPENSES</v>
      </c>
      <c r="DQ14" s="383"/>
      <c r="DR14" s="461"/>
      <c r="DS14" s="383"/>
      <c r="DT14" s="242"/>
      <c r="DU14" s="460"/>
      <c r="DV14" s="460"/>
      <c r="DW14" s="460"/>
      <c r="DX14" s="60"/>
      <c r="DY14" s="51" t="str">
        <f>'CAM Majors'!$B$14</f>
        <v>COMMON AREA EXPENSES</v>
      </c>
      <c r="DZ14" s="383"/>
      <c r="EA14" s="461"/>
      <c r="EB14" s="383"/>
      <c r="EC14" s="242"/>
      <c r="ED14" s="460"/>
      <c r="EE14" s="460"/>
      <c r="EF14" s="460"/>
    </row>
    <row r="15" spans="1:136">
      <c r="A15" s="60">
        <f>Summary!A31</f>
        <v>50150</v>
      </c>
      <c r="B15" s="2" t="str">
        <f>'CAM Majors'!B15</f>
        <v>Landscape- Tree Trimming</v>
      </c>
      <c r="C15" s="500">
        <f>'CAM Majors'!C15</f>
        <v>17000</v>
      </c>
      <c r="D15" s="461">
        <v>0</v>
      </c>
      <c r="E15" s="383">
        <f>C15+D15</f>
        <v>17000</v>
      </c>
      <c r="F15" s="242">
        <f>$C$8/'CAM Majors'!D15</f>
        <v>4.4307256051632722E-2</v>
      </c>
      <c r="G15" s="463">
        <f>E15*F15</f>
        <v>753.22335287775627</v>
      </c>
      <c r="H15" s="463">
        <f>G15*$H$12</f>
        <v>75.32233528777563</v>
      </c>
      <c r="I15" s="464">
        <f>G15+H15</f>
        <v>828.54568816553194</v>
      </c>
      <c r="J15" s="464"/>
      <c r="K15" s="60">
        <f>'CAM Majors'!A15</f>
        <v>50150</v>
      </c>
      <c r="L15" s="226" t="str">
        <f>'CAM Majors'!B15</f>
        <v>Landscape- Tree Trimming</v>
      </c>
      <c r="M15" s="500">
        <f>'CAM Majors'!C15</f>
        <v>17000</v>
      </c>
      <c r="N15" s="461">
        <v>0</v>
      </c>
      <c r="O15" s="383">
        <f>M15+N15</f>
        <v>17000</v>
      </c>
      <c r="P15" s="242">
        <f>$M$8/'CAM Majors'!D15</f>
        <v>2.3999763694634392E-2</v>
      </c>
      <c r="Q15" s="463">
        <f>O15*P15</f>
        <v>407.99598280878467</v>
      </c>
      <c r="R15" s="463">
        <f>Q15*$R$12</f>
        <v>16.319839312351387</v>
      </c>
      <c r="S15" s="464">
        <f>Q15+R15</f>
        <v>424.31582212113608</v>
      </c>
      <c r="T15" s="60">
        <f>'CAM Majors'!A15</f>
        <v>50150</v>
      </c>
      <c r="U15" s="2" t="str">
        <f>'CAM Majors'!B15</f>
        <v>Landscape- Tree Trimming</v>
      </c>
      <c r="V15" s="500">
        <f>'CAM Majors'!C15</f>
        <v>17000</v>
      </c>
      <c r="W15" s="461">
        <v>0</v>
      </c>
      <c r="X15" s="383">
        <f>V15+W15</f>
        <v>17000</v>
      </c>
      <c r="Y15" s="242">
        <f>$V$8/'CAM Majors'!D15</f>
        <v>2.0676719490761938E-2</v>
      </c>
      <c r="Z15" s="463">
        <f>X15*Y15</f>
        <v>351.50423134295295</v>
      </c>
      <c r="AA15" s="463">
        <f>Z15*$AA$12</f>
        <v>0</v>
      </c>
      <c r="AB15" s="464">
        <f>Z15+AA15</f>
        <v>351.50423134295295</v>
      </c>
      <c r="AC15" s="60">
        <f>'CAM Majors'!A15</f>
        <v>50150</v>
      </c>
      <c r="AD15" s="2" t="str">
        <f>'CAM Majors'!B15</f>
        <v>Landscape- Tree Trimming</v>
      </c>
      <c r="AE15" s="500">
        <f>'CAM Majors'!C15</f>
        <v>17000</v>
      </c>
      <c r="AF15" s="461">
        <v>0</v>
      </c>
      <c r="AG15" s="383">
        <f>AE15+AF15</f>
        <v>17000</v>
      </c>
      <c r="AH15" s="242">
        <f>$AE$8/'CAM Majors'!D15</f>
        <v>1.6423222909805194E-2</v>
      </c>
      <c r="AI15" s="463">
        <f>AG15*AH15</f>
        <v>279.19478946668829</v>
      </c>
      <c r="AJ15" s="463">
        <f>AI15*$AJ$12</f>
        <v>0</v>
      </c>
      <c r="AK15" s="464">
        <f>AI15+AJ15</f>
        <v>279.19478946668829</v>
      </c>
      <c r="AL15" s="60">
        <f>'CAM Majors'!A15</f>
        <v>50150</v>
      </c>
      <c r="AM15" s="2" t="str">
        <f>'CAM Majors'!B15</f>
        <v>Landscape- Tree Trimming</v>
      </c>
      <c r="AN15" s="500">
        <f>'CAM Majors'!C15</f>
        <v>17000</v>
      </c>
      <c r="AO15" s="461">
        <v>0</v>
      </c>
      <c r="AP15" s="383">
        <f>AN15+AO15</f>
        <v>17000</v>
      </c>
      <c r="AQ15" s="242">
        <f>$AN$8/'CAM Majors'!D15</f>
        <v>3.6834098864257335E-2</v>
      </c>
      <c r="AR15" s="463">
        <f>AP15*AQ15</f>
        <v>626.17968069237475</v>
      </c>
      <c r="AS15" s="463"/>
      <c r="AT15" s="464">
        <f>AR15+AS15</f>
        <v>626.17968069237475</v>
      </c>
      <c r="AU15" s="60">
        <f>'CAM Majors'!A15</f>
        <v>50150</v>
      </c>
      <c r="AV15" s="2" t="str">
        <f>'CAM Majors'!B15</f>
        <v>Landscape- Tree Trimming</v>
      </c>
      <c r="AW15" s="500">
        <f>'CAM Majors'!C15</f>
        <v>17000</v>
      </c>
      <c r="AX15" s="461">
        <v>0</v>
      </c>
      <c r="AY15" s="383">
        <f>AW15+AX15</f>
        <v>17000</v>
      </c>
      <c r="AZ15" s="242">
        <f>$AW$8/'CAM Majors'!$D15</f>
        <v>2.2153628025816361E-2</v>
      </c>
      <c r="BA15" s="463">
        <f>AY15*AZ15</f>
        <v>376.61167643887813</v>
      </c>
      <c r="BB15" s="463">
        <f>BA15*$BB$12</f>
        <v>0</v>
      </c>
      <c r="BC15" s="464">
        <f>BA15+BB15</f>
        <v>376.61167643887813</v>
      </c>
      <c r="BD15" s="60">
        <f>'CAM Majors'!A15</f>
        <v>50150</v>
      </c>
      <c r="BE15" s="2" t="str">
        <f>'CAM Majors'!B15</f>
        <v>Landscape- Tree Trimming</v>
      </c>
      <c r="BF15" s="500">
        <f>'CAM Majors'!C15</f>
        <v>17000</v>
      </c>
      <c r="BG15" s="461">
        <v>0</v>
      </c>
      <c r="BH15" s="383">
        <f>BF15+BG15</f>
        <v>17000</v>
      </c>
      <c r="BI15" s="242">
        <f>$BF$8/'CAM Majors'!$D15</f>
        <v>2.5609593997843714E-2</v>
      </c>
      <c r="BJ15" s="463">
        <f>BH15*BI15</f>
        <v>435.36309796334314</v>
      </c>
      <c r="BK15" s="463">
        <f>BJ15*$BK$12</f>
        <v>21.768154898167158</v>
      </c>
      <c r="BL15" s="464">
        <f>BJ15+BK15</f>
        <v>457.13125286151029</v>
      </c>
      <c r="BM15" s="60">
        <f>'CAM Majors'!A15</f>
        <v>50150</v>
      </c>
      <c r="BN15" s="2" t="str">
        <f>'CAM Majors'!B15</f>
        <v>Landscape- Tree Trimming</v>
      </c>
      <c r="BO15" s="500">
        <f>'CAM Majors'!C15</f>
        <v>17000</v>
      </c>
      <c r="BP15" s="461">
        <v>0</v>
      </c>
      <c r="BQ15" s="383">
        <f>BO15+BP15</f>
        <v>17000</v>
      </c>
      <c r="BR15" s="242">
        <f>$BO$8/'CAM Majors'!$D15</f>
        <v>5.7599432867122539E-2</v>
      </c>
      <c r="BS15" s="463">
        <f>BQ15*BR15</f>
        <v>979.19035874108317</v>
      </c>
      <c r="BT15" s="463">
        <f>BS15*$BT$12</f>
        <v>0</v>
      </c>
      <c r="BU15" s="464">
        <f>BS15+BT15</f>
        <v>979.19035874108317</v>
      </c>
      <c r="BV15" s="60">
        <f>'CAM Majors'!A15</f>
        <v>50150</v>
      </c>
      <c r="BW15" s="2" t="str">
        <f>'CAM Majors'!B15</f>
        <v>Landscape- Tree Trimming</v>
      </c>
      <c r="BX15" s="500">
        <f>'CAM Majors'!C15</f>
        <v>17000</v>
      </c>
      <c r="BY15" s="461">
        <v>0</v>
      </c>
      <c r="BZ15" s="383">
        <f>BX15+BY15</f>
        <v>17000</v>
      </c>
      <c r="CA15" s="242">
        <f>$BX$8/'CAM Majors'!$D15</f>
        <v>1.9007812846150437E-2</v>
      </c>
      <c r="CB15" s="463">
        <f>BZ15*CA15</f>
        <v>323.13281838455742</v>
      </c>
      <c r="CC15" s="463">
        <f>CB15*$CC$12</f>
        <v>0</v>
      </c>
      <c r="CD15" s="464">
        <f>CB15+CC15</f>
        <v>323.13281838455742</v>
      </c>
      <c r="CE15" s="60">
        <f>'CAM Majors'!A15</f>
        <v>50150</v>
      </c>
      <c r="CF15" s="2" t="str">
        <f>'CAM Majors'!B15</f>
        <v>Landscape- Tree Trimming</v>
      </c>
      <c r="CG15" s="500">
        <f>'CAM Majors'!C15</f>
        <v>17000</v>
      </c>
      <c r="CH15" s="461">
        <v>0</v>
      </c>
      <c r="CI15" s="383">
        <f>CG15+CH15</f>
        <v>17000</v>
      </c>
      <c r="CJ15" s="242">
        <f>$CG$8/'CAM Majors'!$D15</f>
        <v>2.420653088954201E-2</v>
      </c>
      <c r="CK15" s="463">
        <f>CI15*CJ15</f>
        <v>411.51102512221416</v>
      </c>
      <c r="CL15" s="463">
        <f>CK15*$CL$12</f>
        <v>0</v>
      </c>
      <c r="CM15" s="464">
        <f>CK15+CL15</f>
        <v>411.51102512221416</v>
      </c>
      <c r="CN15" s="60">
        <f>'CAM Majors'!A15</f>
        <v>50150</v>
      </c>
      <c r="CO15" s="2" t="str">
        <f>'CAM Majors'!B15</f>
        <v>Landscape- Tree Trimming</v>
      </c>
      <c r="CP15" s="500">
        <f>'CAM Majors'!C15</f>
        <v>17000</v>
      </c>
      <c r="CQ15" s="461">
        <v>0</v>
      </c>
      <c r="CR15" s="383">
        <f>CP15+CQ15</f>
        <v>17000</v>
      </c>
      <c r="CS15" s="242">
        <f>$CP$8/'CAM Majors'!$D15</f>
        <v>5.3168707261959269E-2</v>
      </c>
      <c r="CT15" s="463">
        <f>CR15*CS15</f>
        <v>903.86802345330761</v>
      </c>
      <c r="CU15" s="463"/>
      <c r="CV15" s="464">
        <f>CT15+CU15</f>
        <v>903.86802345330761</v>
      </c>
      <c r="CW15" s="60">
        <f>'CAM Majors'!A15</f>
        <v>50150</v>
      </c>
      <c r="CX15" s="2" t="str">
        <f>'CAM Majors'!B15</f>
        <v>Landscape- Tree Trimming</v>
      </c>
      <c r="CY15" s="500">
        <f>'CAM Majors'!C15</f>
        <v>17000</v>
      </c>
      <c r="CZ15" s="461">
        <v>0</v>
      </c>
      <c r="DA15" s="383">
        <f>CY15+CZ15</f>
        <v>17000</v>
      </c>
      <c r="DB15" s="242">
        <f>$CY$8/'CAM Majors'!$D15</f>
        <v>2.343853845131371E-2</v>
      </c>
      <c r="DC15" s="463">
        <f>DA15*DB15</f>
        <v>398.4551536723331</v>
      </c>
      <c r="DD15" s="463">
        <f>DC15*$DD$12</f>
        <v>39.845515367233311</v>
      </c>
      <c r="DE15" s="464">
        <f>DC15+DD15</f>
        <v>438.3006690395664</v>
      </c>
      <c r="DF15" s="60">
        <f>'CAM Majors'!A15</f>
        <v>50150</v>
      </c>
      <c r="DG15" s="2" t="str">
        <f>'CAM Majors'!B15</f>
        <v>Landscape- Tree Trimming</v>
      </c>
      <c r="DH15" s="500">
        <f>'CAM Majors'!C15</f>
        <v>17000</v>
      </c>
      <c r="DI15" s="461">
        <v>0</v>
      </c>
      <c r="DJ15" s="383">
        <f>DH15+DI15</f>
        <v>17000</v>
      </c>
      <c r="DK15" s="242">
        <f>$DH$8/'CAM Majors'!$D15</f>
        <v>1.9199810955707514E-2</v>
      </c>
      <c r="DL15" s="463">
        <f>DJ15*DK15</f>
        <v>326.39678624702776</v>
      </c>
      <c r="DM15" s="463">
        <f>DL15*$DM$12</f>
        <v>48.959517937054166</v>
      </c>
      <c r="DN15" s="464">
        <f>DL15+DM15</f>
        <v>375.35630418408192</v>
      </c>
      <c r="DO15" s="60">
        <f>'CAM Majors'!A15</f>
        <v>50150</v>
      </c>
      <c r="DP15" s="2" t="str">
        <f>'CAM Majors'!B15</f>
        <v>Landscape- Tree Trimming</v>
      </c>
      <c r="DQ15" s="500">
        <f>'CAM Majors'!C15</f>
        <v>17000</v>
      </c>
      <c r="DR15" s="461">
        <v>0</v>
      </c>
      <c r="DS15" s="383">
        <f>DQ15+DR15</f>
        <v>17000</v>
      </c>
      <c r="DT15" s="242">
        <f>$DQ$8/'CAM Majors'!$D15</f>
        <v>5.2046256775317906E-2</v>
      </c>
      <c r="DU15" s="463">
        <f>DS15*DT15</f>
        <v>884.78636518040446</v>
      </c>
      <c r="DV15" s="463">
        <f>DU15*$DV$12</f>
        <v>44.239318259020223</v>
      </c>
      <c r="DW15" s="464">
        <f>DU15+DV15</f>
        <v>929.02568343942471</v>
      </c>
      <c r="DX15" s="60">
        <f>'CAM Majors'!A15</f>
        <v>50150</v>
      </c>
      <c r="DY15" s="2" t="str">
        <f>'CAM Majors'!B15</f>
        <v>Landscape- Tree Trimming</v>
      </c>
      <c r="DZ15" s="500">
        <f>'CAM Majors'!C15</f>
        <v>17000</v>
      </c>
      <c r="EA15" s="461">
        <v>0</v>
      </c>
      <c r="EB15" s="383">
        <f>DZ15+EA15</f>
        <v>17000</v>
      </c>
      <c r="EC15" s="242">
        <f>$DZ$8/'CAM Majors'!$D15</f>
        <v>4.4410639649086529E-2</v>
      </c>
      <c r="ED15" s="463">
        <f>EB15*EC15</f>
        <v>754.98087403447096</v>
      </c>
      <c r="EE15" s="463">
        <f>ED15*$DV$12</f>
        <v>37.749043701723551</v>
      </c>
      <c r="EF15" s="464">
        <f>ED15+EE15</f>
        <v>792.72991773619447</v>
      </c>
    </row>
    <row r="16" spans="1:136">
      <c r="A16" s="60">
        <f>Summary!A32</f>
        <v>50160</v>
      </c>
      <c r="B16" s="2" t="str">
        <f>'CAM Majors'!B16</f>
        <v>Landscape Consumables</v>
      </c>
      <c r="C16" s="500">
        <f>'CAM Majors'!C16</f>
        <v>3000</v>
      </c>
      <c r="D16" s="461">
        <v>0</v>
      </c>
      <c r="E16" s="383">
        <f t="shared" ref="E16:E33" si="0">C16+D16</f>
        <v>3000</v>
      </c>
      <c r="F16" s="242">
        <f>$C$8/'CAM Majors'!D16</f>
        <v>4.4307256051632722E-2</v>
      </c>
      <c r="G16" s="463">
        <f t="shared" ref="G16:G35" si="1">E16*F16</f>
        <v>132.92176815489816</v>
      </c>
      <c r="H16" s="463">
        <f t="shared" ref="H16:H35" si="2">G16*$H$12</f>
        <v>13.292176815489817</v>
      </c>
      <c r="I16" s="464">
        <f t="shared" ref="I16:I35" si="3">G16+H16</f>
        <v>146.21394497038798</v>
      </c>
      <c r="J16" s="464"/>
      <c r="K16" s="60">
        <f>'CAM Majors'!A16</f>
        <v>50160</v>
      </c>
      <c r="L16" s="226" t="str">
        <f>'CAM Majors'!B16</f>
        <v>Landscape Consumables</v>
      </c>
      <c r="M16" s="500">
        <f>'CAM Majors'!C16</f>
        <v>3000</v>
      </c>
      <c r="N16" s="461">
        <v>0</v>
      </c>
      <c r="O16" s="383">
        <f t="shared" ref="O16:O34" si="4">M16+N16</f>
        <v>3000</v>
      </c>
      <c r="P16" s="242">
        <f>$M$8/'CAM Majors'!D16</f>
        <v>2.3999763694634392E-2</v>
      </c>
      <c r="Q16" s="463">
        <f t="shared" ref="Q16:Q35" si="5">O16*P16</f>
        <v>71.999291083903174</v>
      </c>
      <c r="R16" s="463">
        <f t="shared" ref="R16:R35" si="6">Q16*$R$12</f>
        <v>2.8799716433561269</v>
      </c>
      <c r="S16" s="464">
        <f t="shared" ref="S16:S35" si="7">Q16+R16</f>
        <v>74.879262727259302</v>
      </c>
      <c r="T16" s="60">
        <f>'CAM Majors'!A16</f>
        <v>50160</v>
      </c>
      <c r="U16" s="2" t="str">
        <f>'CAM Majors'!B16</f>
        <v>Landscape Consumables</v>
      </c>
      <c r="V16" s="500">
        <f>'CAM Majors'!C16</f>
        <v>3000</v>
      </c>
      <c r="W16" s="461">
        <v>0</v>
      </c>
      <c r="X16" s="383">
        <f t="shared" ref="X16:X27" si="8">V16+W16</f>
        <v>3000</v>
      </c>
      <c r="Y16" s="242">
        <f>$V$8/'CAM Majors'!D16</f>
        <v>2.0676719490761938E-2</v>
      </c>
      <c r="Z16" s="463">
        <f t="shared" ref="Z16:Z35" si="9">X16*Y16</f>
        <v>62.030158472285812</v>
      </c>
      <c r="AA16" s="463">
        <f t="shared" ref="AA16:AA35" si="10">Z16*$AA$12</f>
        <v>0</v>
      </c>
      <c r="AB16" s="464">
        <f t="shared" ref="AB16:AB35" si="11">Z16+AA16</f>
        <v>62.030158472285812</v>
      </c>
      <c r="AC16" s="60">
        <f>'CAM Majors'!A16</f>
        <v>50160</v>
      </c>
      <c r="AD16" s="2" t="str">
        <f>'CAM Majors'!B16</f>
        <v>Landscape Consumables</v>
      </c>
      <c r="AE16" s="500">
        <f>'CAM Majors'!C16</f>
        <v>3000</v>
      </c>
      <c r="AF16" s="461">
        <v>0</v>
      </c>
      <c r="AG16" s="383">
        <f t="shared" ref="AG16:AG27" si="12">AE16+AF16</f>
        <v>3000</v>
      </c>
      <c r="AH16" s="242">
        <f>$AE$8/'CAM Majors'!D16</f>
        <v>1.6423222909805194E-2</v>
      </c>
      <c r="AI16" s="463">
        <f t="shared" ref="AI16:AI35" si="13">AG16*AH16</f>
        <v>49.269668729415585</v>
      </c>
      <c r="AJ16" s="463">
        <f t="shared" ref="AJ16:AJ35" si="14">AI16*$AJ$12</f>
        <v>0</v>
      </c>
      <c r="AK16" s="464">
        <f t="shared" ref="AK16:AK35" si="15">AI16+AJ16</f>
        <v>49.269668729415585</v>
      </c>
      <c r="AL16" s="60">
        <f>'CAM Majors'!A16</f>
        <v>50160</v>
      </c>
      <c r="AM16" s="2" t="str">
        <f>'CAM Majors'!B16</f>
        <v>Landscape Consumables</v>
      </c>
      <c r="AN16" s="500">
        <f>'CAM Majors'!C16</f>
        <v>3000</v>
      </c>
      <c r="AO16" s="461">
        <v>0</v>
      </c>
      <c r="AP16" s="383">
        <f t="shared" ref="AP16:AP27" si="16">AN16+AO16</f>
        <v>3000</v>
      </c>
      <c r="AQ16" s="242">
        <f>$AN$8/'CAM Majors'!D16</f>
        <v>3.6834098864257335E-2</v>
      </c>
      <c r="AR16" s="463">
        <f t="shared" ref="AR16:AR35" si="17">AP16*AQ16</f>
        <v>110.502296592772</v>
      </c>
      <c r="AS16" s="463"/>
      <c r="AT16" s="464">
        <f t="shared" ref="AT16:AT35" si="18">AR16+AS16</f>
        <v>110.502296592772</v>
      </c>
      <c r="AU16" s="60">
        <f>'CAM Majors'!A16</f>
        <v>50160</v>
      </c>
      <c r="AV16" s="2" t="str">
        <f>'CAM Majors'!B16</f>
        <v>Landscape Consumables</v>
      </c>
      <c r="AW16" s="500">
        <f>'CAM Majors'!C16</f>
        <v>3000</v>
      </c>
      <c r="AX16" s="461">
        <v>0</v>
      </c>
      <c r="AY16" s="383">
        <f t="shared" ref="AY16:AY27" si="19">AW16+AX16</f>
        <v>3000</v>
      </c>
      <c r="AZ16" s="242">
        <f>$AW$8/'CAM Majors'!$D16</f>
        <v>2.2153628025816361E-2</v>
      </c>
      <c r="BA16" s="463">
        <f t="shared" ref="BA16:BA35" si="20">AY16*AZ16</f>
        <v>66.46088407744908</v>
      </c>
      <c r="BB16" s="463">
        <f t="shared" ref="BB16:BB35" si="21">BA16*$BB$12</f>
        <v>0</v>
      </c>
      <c r="BC16" s="464">
        <f t="shared" ref="BC16:BC35" si="22">BA16+BB16</f>
        <v>66.46088407744908</v>
      </c>
      <c r="BD16" s="60">
        <f>'CAM Majors'!A16</f>
        <v>50160</v>
      </c>
      <c r="BE16" s="2" t="str">
        <f>'CAM Majors'!B16</f>
        <v>Landscape Consumables</v>
      </c>
      <c r="BF16" s="500">
        <f>'CAM Majors'!C16</f>
        <v>3000</v>
      </c>
      <c r="BG16" s="461">
        <v>0</v>
      </c>
      <c r="BH16" s="383">
        <f t="shared" ref="BH16:BH27" si="23">BF16+BG16</f>
        <v>3000</v>
      </c>
      <c r="BI16" s="242">
        <f>$BF$8/'CAM Majors'!$D16</f>
        <v>2.5609593997843714E-2</v>
      </c>
      <c r="BJ16" s="463">
        <f t="shared" ref="BJ16:BJ35" si="24">BH16*BI16</f>
        <v>76.828781993531138</v>
      </c>
      <c r="BK16" s="463">
        <f t="shared" ref="BK16:BK35" si="25">BJ16*$BK$12</f>
        <v>3.8414390996765571</v>
      </c>
      <c r="BL16" s="464">
        <f t="shared" ref="BL16:BL35" si="26">BJ16+BK16</f>
        <v>80.670221093207701</v>
      </c>
      <c r="BM16" s="60">
        <f>'CAM Majors'!A16</f>
        <v>50160</v>
      </c>
      <c r="BN16" s="2" t="str">
        <f>'CAM Majors'!B16</f>
        <v>Landscape Consumables</v>
      </c>
      <c r="BO16" s="500">
        <f>'CAM Majors'!C16</f>
        <v>3000</v>
      </c>
      <c r="BP16" s="461">
        <v>0</v>
      </c>
      <c r="BQ16" s="383">
        <f t="shared" ref="BQ16:BQ27" si="27">BO16+BP16</f>
        <v>3000</v>
      </c>
      <c r="BR16" s="242">
        <f>$BO$8/'CAM Majors'!$D16</f>
        <v>5.7599432867122539E-2</v>
      </c>
      <c r="BS16" s="463">
        <f t="shared" ref="BS16:BS35" si="28">BQ16*BR16</f>
        <v>172.79829860136761</v>
      </c>
      <c r="BT16" s="463">
        <f t="shared" ref="BT16:BT35" si="29">BS16*$BT$12</f>
        <v>0</v>
      </c>
      <c r="BU16" s="464">
        <f t="shared" ref="BU16:BU35" si="30">BS16+BT16</f>
        <v>172.79829860136761</v>
      </c>
      <c r="BV16" s="60">
        <f>'CAM Majors'!A16</f>
        <v>50160</v>
      </c>
      <c r="BW16" s="2" t="str">
        <f>'CAM Majors'!B16</f>
        <v>Landscape Consumables</v>
      </c>
      <c r="BX16" s="500">
        <f>'CAM Majors'!C16</f>
        <v>3000</v>
      </c>
      <c r="BY16" s="461">
        <v>0</v>
      </c>
      <c r="BZ16" s="383">
        <f t="shared" ref="BZ16:BZ27" si="31">BX16+BY16</f>
        <v>3000</v>
      </c>
      <c r="CA16" s="242">
        <f>$BX$8/'CAM Majors'!$D16</f>
        <v>1.9007812846150437E-2</v>
      </c>
      <c r="CB16" s="463">
        <f t="shared" ref="CB16:CB35" si="32">BZ16*CA16</f>
        <v>57.023438538451309</v>
      </c>
      <c r="CC16" s="463">
        <f t="shared" ref="CC16:CC32" si="33">CB16*$CC$12</f>
        <v>0</v>
      </c>
      <c r="CD16" s="464">
        <f t="shared" ref="CD16:CD35" si="34">CB16+CC16</f>
        <v>57.023438538451309</v>
      </c>
      <c r="CE16" s="60">
        <f>'CAM Majors'!A16</f>
        <v>50160</v>
      </c>
      <c r="CF16" s="2" t="str">
        <f>'CAM Majors'!B16</f>
        <v>Landscape Consumables</v>
      </c>
      <c r="CG16" s="500">
        <f>'CAM Majors'!C16</f>
        <v>3000</v>
      </c>
      <c r="CH16" s="461">
        <v>0</v>
      </c>
      <c r="CI16" s="383">
        <f t="shared" ref="CI16:CI27" si="35">CG16+CH16</f>
        <v>3000</v>
      </c>
      <c r="CJ16" s="242">
        <f>$CG$8/'CAM Majors'!$D16</f>
        <v>2.420653088954201E-2</v>
      </c>
      <c r="CK16" s="463">
        <f t="shared" ref="CK16:CK35" si="36">CI16*CJ16</f>
        <v>72.619592668626026</v>
      </c>
      <c r="CL16" s="463">
        <f t="shared" ref="CL16:CL32" si="37">CK16*$CL$12</f>
        <v>0</v>
      </c>
      <c r="CM16" s="464">
        <f t="shared" ref="CM16:CM35" si="38">CK16+CL16</f>
        <v>72.619592668626026</v>
      </c>
      <c r="CN16" s="60">
        <f>'CAM Majors'!A16</f>
        <v>50160</v>
      </c>
      <c r="CO16" s="2" t="str">
        <f>'CAM Majors'!B16</f>
        <v>Landscape Consumables</v>
      </c>
      <c r="CP16" s="500">
        <f>'CAM Majors'!C16</f>
        <v>3000</v>
      </c>
      <c r="CQ16" s="461">
        <v>0</v>
      </c>
      <c r="CR16" s="383">
        <f t="shared" ref="CR16:CR27" si="39">CP16+CQ16</f>
        <v>3000</v>
      </c>
      <c r="CS16" s="242">
        <f>$CP$8/'CAM Majors'!$D16</f>
        <v>5.3168707261959269E-2</v>
      </c>
      <c r="CT16" s="463">
        <f t="shared" ref="CT16:CT35" si="40">CR16*CS16</f>
        <v>159.50612178587781</v>
      </c>
      <c r="CU16" s="463"/>
      <c r="CV16" s="464">
        <f t="shared" ref="CV16:CV35" si="41">CT16+CU16</f>
        <v>159.50612178587781</v>
      </c>
      <c r="CW16" s="60">
        <f>'CAM Majors'!A16</f>
        <v>50160</v>
      </c>
      <c r="CX16" s="2" t="str">
        <f>'CAM Majors'!B16</f>
        <v>Landscape Consumables</v>
      </c>
      <c r="CY16" s="500">
        <f>'CAM Majors'!C16</f>
        <v>3000</v>
      </c>
      <c r="CZ16" s="461">
        <v>0</v>
      </c>
      <c r="DA16" s="383">
        <f t="shared" ref="DA16:DA27" si="42">CY16+CZ16</f>
        <v>3000</v>
      </c>
      <c r="DB16" s="242">
        <f>$CY$8/'CAM Majors'!$D16</f>
        <v>2.343853845131371E-2</v>
      </c>
      <c r="DC16" s="463">
        <f t="shared" ref="DC16:DC35" si="43">DA16*DB16</f>
        <v>70.315615353941126</v>
      </c>
      <c r="DD16" s="463">
        <f t="shared" ref="DD16:DD35" si="44">DC16*$DD$12</f>
        <v>7.031561535394113</v>
      </c>
      <c r="DE16" s="464">
        <f t="shared" ref="DE16:DE35" si="45">DC16+DD16</f>
        <v>77.347176889335245</v>
      </c>
      <c r="DF16" s="60">
        <f>'CAM Majors'!A16</f>
        <v>50160</v>
      </c>
      <c r="DG16" s="2" t="str">
        <f>'CAM Majors'!B16</f>
        <v>Landscape Consumables</v>
      </c>
      <c r="DH16" s="500">
        <f>'CAM Majors'!C16</f>
        <v>3000</v>
      </c>
      <c r="DI16" s="461">
        <v>0</v>
      </c>
      <c r="DJ16" s="383">
        <f t="shared" ref="DJ16:DJ27" si="46">DH16+DI16</f>
        <v>3000</v>
      </c>
      <c r="DK16" s="242">
        <f>$DH$8/'CAM Majors'!$D16</f>
        <v>1.9199810955707514E-2</v>
      </c>
      <c r="DL16" s="463">
        <f t="shared" ref="DL16:DL35" si="47">DJ16*DK16</f>
        <v>57.599432867122545</v>
      </c>
      <c r="DM16" s="463">
        <f t="shared" ref="DM16:DM35" si="48">DL16*$DM$12</f>
        <v>8.6399149300683806</v>
      </c>
      <c r="DN16" s="464">
        <f t="shared" ref="DN16:DN35" si="49">DL16+DM16</f>
        <v>66.239347797190931</v>
      </c>
      <c r="DO16" s="60">
        <f>'CAM Majors'!A16</f>
        <v>50160</v>
      </c>
      <c r="DP16" s="2" t="str">
        <f>'CAM Majors'!B16</f>
        <v>Landscape Consumables</v>
      </c>
      <c r="DQ16" s="500">
        <f>'CAM Majors'!C16</f>
        <v>3000</v>
      </c>
      <c r="DR16" s="461">
        <v>0</v>
      </c>
      <c r="DS16" s="383">
        <f t="shared" ref="DS16:DS27" si="50">DQ16+DR16</f>
        <v>3000</v>
      </c>
      <c r="DT16" s="242">
        <f>$DQ$8/'CAM Majors'!$D16</f>
        <v>5.2046256775317906E-2</v>
      </c>
      <c r="DU16" s="463">
        <f t="shared" ref="DU16:DU35" si="51">DS16*DT16</f>
        <v>156.13877032595371</v>
      </c>
      <c r="DV16" s="463">
        <f t="shared" ref="DV16:DV35" si="52">DU16*$DV$12</f>
        <v>7.8069385162976861</v>
      </c>
      <c r="DW16" s="464">
        <f t="shared" ref="DW16:DW35" si="53">DU16+DV16</f>
        <v>163.94570884225141</v>
      </c>
      <c r="DX16" s="60">
        <f>'CAM Majors'!A16</f>
        <v>50160</v>
      </c>
      <c r="DY16" s="2" t="str">
        <f>'CAM Majors'!B16</f>
        <v>Landscape Consumables</v>
      </c>
      <c r="DZ16" s="500">
        <f>'CAM Majors'!C16</f>
        <v>3000</v>
      </c>
      <c r="EA16" s="461">
        <v>0</v>
      </c>
      <c r="EB16" s="383">
        <f t="shared" ref="EB16:EB27" si="54">DZ16+EA16</f>
        <v>3000</v>
      </c>
      <c r="EC16" s="242">
        <f>$DZ$8/'CAM Majors'!$D16</f>
        <v>4.4410639649086529E-2</v>
      </c>
      <c r="ED16" s="463">
        <f t="shared" ref="ED16:ED35" si="55">EB16*EC16</f>
        <v>133.2319189472596</v>
      </c>
      <c r="EE16" s="463">
        <f t="shared" ref="EE16:EE35" si="56">ED16*$DV$12</f>
        <v>6.6615959473629802</v>
      </c>
      <c r="EF16" s="464">
        <f t="shared" ref="EF16:EF35" si="57">ED16+EE16</f>
        <v>139.89351489462257</v>
      </c>
    </row>
    <row r="17" spans="1:136">
      <c r="A17" s="60">
        <f>'CAM Majors'!A17</f>
        <v>50190</v>
      </c>
      <c r="B17" s="2" t="str">
        <f>'CAM Majors'!B17</f>
        <v>Sprinkler Repairs</v>
      </c>
      <c r="C17" s="500">
        <f>'CAM Majors'!C17</f>
        <v>1200</v>
      </c>
      <c r="D17" s="461">
        <v>0</v>
      </c>
      <c r="E17" s="383">
        <f t="shared" si="0"/>
        <v>1200</v>
      </c>
      <c r="F17" s="242">
        <f>$C$8/'CAM Majors'!D17</f>
        <v>4.4307256051632722E-2</v>
      </c>
      <c r="G17" s="463">
        <f t="shared" si="1"/>
        <v>53.16870726195927</v>
      </c>
      <c r="H17" s="463">
        <f t="shared" si="2"/>
        <v>5.3168707261959272</v>
      </c>
      <c r="I17" s="464">
        <f t="shared" si="3"/>
        <v>58.4855779881552</v>
      </c>
      <c r="J17" s="464"/>
      <c r="K17" s="60">
        <f>'CAM Majors'!A17</f>
        <v>50190</v>
      </c>
      <c r="L17" s="226" t="str">
        <f>'CAM Majors'!B17</f>
        <v>Sprinkler Repairs</v>
      </c>
      <c r="M17" s="500">
        <f>'CAM Majors'!C17</f>
        <v>1200</v>
      </c>
      <c r="N17" s="461">
        <v>0</v>
      </c>
      <c r="O17" s="383">
        <f t="shared" si="4"/>
        <v>1200</v>
      </c>
      <c r="P17" s="242">
        <f>$M$8/'CAM Majors'!D17</f>
        <v>2.3999763694634392E-2</v>
      </c>
      <c r="Q17" s="463">
        <f t="shared" si="5"/>
        <v>28.799716433561269</v>
      </c>
      <c r="R17" s="463">
        <f t="shared" si="6"/>
        <v>1.1519886573424507</v>
      </c>
      <c r="S17" s="464">
        <f t="shared" si="7"/>
        <v>29.951705090903719</v>
      </c>
      <c r="T17" s="60">
        <f>'CAM Majors'!A17</f>
        <v>50190</v>
      </c>
      <c r="U17" s="2" t="str">
        <f>'CAM Majors'!B17</f>
        <v>Sprinkler Repairs</v>
      </c>
      <c r="V17" s="500">
        <f>'CAM Majors'!C17</f>
        <v>1200</v>
      </c>
      <c r="W17" s="461">
        <v>0</v>
      </c>
      <c r="X17" s="383">
        <f t="shared" si="8"/>
        <v>1200</v>
      </c>
      <c r="Y17" s="242">
        <f>$V$8/'CAM Majors'!D17</f>
        <v>2.0676719490761938E-2</v>
      </c>
      <c r="Z17" s="463">
        <f t="shared" si="9"/>
        <v>24.812063388914325</v>
      </c>
      <c r="AA17" s="463">
        <f t="shared" si="10"/>
        <v>0</v>
      </c>
      <c r="AB17" s="464">
        <f t="shared" si="11"/>
        <v>24.812063388914325</v>
      </c>
      <c r="AC17" s="60">
        <f>'CAM Majors'!A17</f>
        <v>50190</v>
      </c>
      <c r="AD17" s="2" t="str">
        <f>'CAM Majors'!B17</f>
        <v>Sprinkler Repairs</v>
      </c>
      <c r="AE17" s="500">
        <f>'CAM Majors'!C17</f>
        <v>1200</v>
      </c>
      <c r="AF17" s="461">
        <v>0</v>
      </c>
      <c r="AG17" s="383">
        <f t="shared" si="12"/>
        <v>1200</v>
      </c>
      <c r="AH17" s="242">
        <f>$AE$8/'CAM Majors'!D17</f>
        <v>1.6423222909805194E-2</v>
      </c>
      <c r="AI17" s="463">
        <f t="shared" si="13"/>
        <v>19.707867491766233</v>
      </c>
      <c r="AJ17" s="463">
        <f t="shared" si="14"/>
        <v>0</v>
      </c>
      <c r="AK17" s="464">
        <f t="shared" si="15"/>
        <v>19.707867491766233</v>
      </c>
      <c r="AL17" s="60">
        <f>'CAM Majors'!A17</f>
        <v>50190</v>
      </c>
      <c r="AM17" s="2" t="str">
        <f>'CAM Majors'!B17</f>
        <v>Sprinkler Repairs</v>
      </c>
      <c r="AN17" s="500">
        <f>'CAM Majors'!C17</f>
        <v>1200</v>
      </c>
      <c r="AO17" s="461">
        <v>0</v>
      </c>
      <c r="AP17" s="383">
        <f t="shared" si="16"/>
        <v>1200</v>
      </c>
      <c r="AQ17" s="242">
        <f>$AN$8/'CAM Majors'!D17</f>
        <v>3.6834098864257335E-2</v>
      </c>
      <c r="AR17" s="463">
        <f t="shared" si="17"/>
        <v>44.200918637108799</v>
      </c>
      <c r="AS17" s="463"/>
      <c r="AT17" s="464">
        <f t="shared" si="18"/>
        <v>44.200918637108799</v>
      </c>
      <c r="AU17" s="60">
        <f>'CAM Majors'!A17</f>
        <v>50190</v>
      </c>
      <c r="AV17" s="2" t="str">
        <f>'CAM Majors'!B17</f>
        <v>Sprinkler Repairs</v>
      </c>
      <c r="AW17" s="500">
        <f>'CAM Majors'!C17</f>
        <v>1200</v>
      </c>
      <c r="AX17" s="461">
        <v>0</v>
      </c>
      <c r="AY17" s="383">
        <f t="shared" si="19"/>
        <v>1200</v>
      </c>
      <c r="AZ17" s="242">
        <f>$AW$8/'CAM Majors'!$D17</f>
        <v>2.2153628025816361E-2</v>
      </c>
      <c r="BA17" s="463">
        <f t="shared" si="20"/>
        <v>26.584353630979635</v>
      </c>
      <c r="BB17" s="463">
        <f t="shared" si="21"/>
        <v>0</v>
      </c>
      <c r="BC17" s="464">
        <f t="shared" si="22"/>
        <v>26.584353630979635</v>
      </c>
      <c r="BD17" s="60">
        <f>'CAM Majors'!A17</f>
        <v>50190</v>
      </c>
      <c r="BE17" s="2" t="str">
        <f>'CAM Majors'!B17</f>
        <v>Sprinkler Repairs</v>
      </c>
      <c r="BF17" s="500">
        <f>'CAM Majors'!C17</f>
        <v>1200</v>
      </c>
      <c r="BG17" s="461">
        <v>0</v>
      </c>
      <c r="BH17" s="383">
        <f t="shared" si="23"/>
        <v>1200</v>
      </c>
      <c r="BI17" s="242">
        <f>$BF$8/'CAM Majors'!$D17</f>
        <v>2.5609593997843714E-2</v>
      </c>
      <c r="BJ17" s="463">
        <f t="shared" si="24"/>
        <v>30.731512797412456</v>
      </c>
      <c r="BK17" s="463">
        <f t="shared" si="25"/>
        <v>1.536575639870623</v>
      </c>
      <c r="BL17" s="464">
        <f t="shared" si="26"/>
        <v>32.268088437283076</v>
      </c>
      <c r="BM17" s="60">
        <f>'CAM Majors'!A17</f>
        <v>50190</v>
      </c>
      <c r="BN17" s="2" t="str">
        <f>'CAM Majors'!B17</f>
        <v>Sprinkler Repairs</v>
      </c>
      <c r="BO17" s="500">
        <f>'CAM Majors'!C17</f>
        <v>1200</v>
      </c>
      <c r="BP17" s="461">
        <v>0</v>
      </c>
      <c r="BQ17" s="383">
        <f t="shared" si="27"/>
        <v>1200</v>
      </c>
      <c r="BR17" s="242">
        <f>$BO$8/'CAM Majors'!$D17</f>
        <v>5.7599432867122539E-2</v>
      </c>
      <c r="BS17" s="463">
        <f t="shared" si="28"/>
        <v>69.119319440547045</v>
      </c>
      <c r="BT17" s="463">
        <f t="shared" si="29"/>
        <v>0</v>
      </c>
      <c r="BU17" s="464">
        <f t="shared" si="30"/>
        <v>69.119319440547045</v>
      </c>
      <c r="BV17" s="60">
        <f>'CAM Majors'!A17</f>
        <v>50190</v>
      </c>
      <c r="BW17" s="2" t="str">
        <f>'CAM Majors'!B17</f>
        <v>Sprinkler Repairs</v>
      </c>
      <c r="BX17" s="500">
        <f>'CAM Majors'!C17</f>
        <v>1200</v>
      </c>
      <c r="BY17" s="461">
        <v>0</v>
      </c>
      <c r="BZ17" s="383">
        <f t="shared" si="31"/>
        <v>1200</v>
      </c>
      <c r="CA17" s="242">
        <f>$BX$8/'CAM Majors'!$D17</f>
        <v>1.9007812846150437E-2</v>
      </c>
      <c r="CB17" s="463">
        <f t="shared" si="32"/>
        <v>22.809375415380526</v>
      </c>
      <c r="CC17" s="463">
        <f t="shared" si="33"/>
        <v>0</v>
      </c>
      <c r="CD17" s="464">
        <f t="shared" si="34"/>
        <v>22.809375415380526</v>
      </c>
      <c r="CE17" s="60">
        <f>'CAM Majors'!A17</f>
        <v>50190</v>
      </c>
      <c r="CF17" s="2" t="str">
        <f>'CAM Majors'!B17</f>
        <v>Sprinkler Repairs</v>
      </c>
      <c r="CG17" s="500">
        <f>'CAM Majors'!C17</f>
        <v>1200</v>
      </c>
      <c r="CH17" s="461">
        <v>0</v>
      </c>
      <c r="CI17" s="383">
        <f t="shared" si="35"/>
        <v>1200</v>
      </c>
      <c r="CJ17" s="242">
        <f>$CG$8/'CAM Majors'!$D17</f>
        <v>2.420653088954201E-2</v>
      </c>
      <c r="CK17" s="463">
        <f t="shared" si="36"/>
        <v>29.047837067450413</v>
      </c>
      <c r="CL17" s="463">
        <f t="shared" si="37"/>
        <v>0</v>
      </c>
      <c r="CM17" s="464">
        <f t="shared" si="38"/>
        <v>29.047837067450413</v>
      </c>
      <c r="CN17" s="60">
        <f>'CAM Majors'!A17</f>
        <v>50190</v>
      </c>
      <c r="CO17" s="2" t="str">
        <f>'CAM Majors'!B17</f>
        <v>Sprinkler Repairs</v>
      </c>
      <c r="CP17" s="500">
        <f>'CAM Majors'!C17</f>
        <v>1200</v>
      </c>
      <c r="CQ17" s="461">
        <v>0</v>
      </c>
      <c r="CR17" s="383">
        <f t="shared" si="39"/>
        <v>1200</v>
      </c>
      <c r="CS17" s="242">
        <f>$CP$8/'CAM Majors'!$D17</f>
        <v>5.3168707261959269E-2</v>
      </c>
      <c r="CT17" s="463">
        <f t="shared" si="40"/>
        <v>63.802448714351122</v>
      </c>
      <c r="CU17" s="463"/>
      <c r="CV17" s="464">
        <f t="shared" si="41"/>
        <v>63.802448714351122</v>
      </c>
      <c r="CW17" s="60">
        <f>'CAM Majors'!A17</f>
        <v>50190</v>
      </c>
      <c r="CX17" s="2" t="str">
        <f>'CAM Majors'!B17</f>
        <v>Sprinkler Repairs</v>
      </c>
      <c r="CY17" s="500">
        <f>'CAM Majors'!C17</f>
        <v>1200</v>
      </c>
      <c r="CZ17" s="461">
        <v>0</v>
      </c>
      <c r="DA17" s="383">
        <f t="shared" si="42"/>
        <v>1200</v>
      </c>
      <c r="DB17" s="242">
        <f>$CY$8/'CAM Majors'!$D17</f>
        <v>2.343853845131371E-2</v>
      </c>
      <c r="DC17" s="463">
        <f t="shared" si="43"/>
        <v>28.126246141576452</v>
      </c>
      <c r="DD17" s="463">
        <f t="shared" si="44"/>
        <v>2.8126246141576452</v>
      </c>
      <c r="DE17" s="464">
        <f t="shared" si="45"/>
        <v>30.938870755734097</v>
      </c>
      <c r="DF17" s="60">
        <f>'CAM Majors'!A17</f>
        <v>50190</v>
      </c>
      <c r="DG17" s="2" t="str">
        <f>'CAM Majors'!B17</f>
        <v>Sprinkler Repairs</v>
      </c>
      <c r="DH17" s="500">
        <f>'CAM Majors'!C17</f>
        <v>1200</v>
      </c>
      <c r="DI17" s="461">
        <v>0</v>
      </c>
      <c r="DJ17" s="383">
        <f t="shared" si="46"/>
        <v>1200</v>
      </c>
      <c r="DK17" s="242">
        <f>$DH$8/'CAM Majors'!$D17</f>
        <v>1.9199810955707514E-2</v>
      </c>
      <c r="DL17" s="463">
        <f t="shared" si="47"/>
        <v>23.039773146849019</v>
      </c>
      <c r="DM17" s="463">
        <f t="shared" si="48"/>
        <v>3.4559659720273528</v>
      </c>
      <c r="DN17" s="464">
        <f t="shared" si="49"/>
        <v>26.495739118876372</v>
      </c>
      <c r="DO17" s="60">
        <f>'CAM Majors'!A17</f>
        <v>50190</v>
      </c>
      <c r="DP17" s="2" t="str">
        <f>'CAM Majors'!B17</f>
        <v>Sprinkler Repairs</v>
      </c>
      <c r="DQ17" s="500">
        <f>'CAM Majors'!C17</f>
        <v>1200</v>
      </c>
      <c r="DR17" s="461">
        <v>0</v>
      </c>
      <c r="DS17" s="383">
        <f t="shared" si="50"/>
        <v>1200</v>
      </c>
      <c r="DT17" s="242">
        <f>$DQ$8/'CAM Majors'!$D17</f>
        <v>5.2046256775317906E-2</v>
      </c>
      <c r="DU17" s="463">
        <f t="shared" si="51"/>
        <v>62.455508130381489</v>
      </c>
      <c r="DV17" s="463">
        <f t="shared" si="52"/>
        <v>3.1227754065190747</v>
      </c>
      <c r="DW17" s="464">
        <f t="shared" si="53"/>
        <v>65.578283536900557</v>
      </c>
      <c r="DX17" s="60">
        <f>'CAM Majors'!A17</f>
        <v>50190</v>
      </c>
      <c r="DY17" s="2" t="str">
        <f>'CAM Majors'!B17</f>
        <v>Sprinkler Repairs</v>
      </c>
      <c r="DZ17" s="500">
        <f>'CAM Majors'!C17</f>
        <v>1200</v>
      </c>
      <c r="EA17" s="461">
        <v>0</v>
      </c>
      <c r="EB17" s="383">
        <f t="shared" si="54"/>
        <v>1200</v>
      </c>
      <c r="EC17" s="242">
        <f>$DZ$8/'CAM Majors'!$D17</f>
        <v>4.4410639649086529E-2</v>
      </c>
      <c r="ED17" s="463">
        <f t="shared" si="55"/>
        <v>53.292767578903835</v>
      </c>
      <c r="EE17" s="463">
        <f t="shared" si="56"/>
        <v>2.6646383789451917</v>
      </c>
      <c r="EF17" s="464">
        <f t="shared" si="57"/>
        <v>55.957405957849026</v>
      </c>
    </row>
    <row r="18" spans="1:136">
      <c r="A18" s="60">
        <f>'CAM Majors'!A18</f>
        <v>50170</v>
      </c>
      <c r="B18" s="2" t="str">
        <f>'CAM Majors'!B18</f>
        <v>Landscape Maintenance</v>
      </c>
      <c r="C18" s="500">
        <f>'CAM Majors'!C18</f>
        <v>18720</v>
      </c>
      <c r="D18" s="461">
        <v>0</v>
      </c>
      <c r="E18" s="383">
        <f t="shared" si="0"/>
        <v>18720</v>
      </c>
      <c r="F18" s="242">
        <f>$C$8/'CAM Majors'!D18</f>
        <v>4.4307256051632722E-2</v>
      </c>
      <c r="G18" s="463">
        <f t="shared" si="1"/>
        <v>829.4318332865646</v>
      </c>
      <c r="H18" s="463">
        <f t="shared" si="2"/>
        <v>82.94318332865646</v>
      </c>
      <c r="I18" s="464">
        <f t="shared" si="3"/>
        <v>912.37501661522106</v>
      </c>
      <c r="J18" s="464"/>
      <c r="K18" s="60">
        <f>'CAM Majors'!A18</f>
        <v>50170</v>
      </c>
      <c r="L18" s="226" t="str">
        <f>'CAM Majors'!B18</f>
        <v>Landscape Maintenance</v>
      </c>
      <c r="M18" s="500">
        <f>'CAM Majors'!C18</f>
        <v>18720</v>
      </c>
      <c r="N18" s="461">
        <v>0</v>
      </c>
      <c r="O18" s="383">
        <f t="shared" si="4"/>
        <v>18720</v>
      </c>
      <c r="P18" s="242">
        <f>$M$8/'CAM Majors'!D18</f>
        <v>2.3999763694634392E-2</v>
      </c>
      <c r="Q18" s="463">
        <f t="shared" si="5"/>
        <v>449.27557636355584</v>
      </c>
      <c r="R18" s="463">
        <f t="shared" si="6"/>
        <v>17.971023054542233</v>
      </c>
      <c r="S18" s="464">
        <f t="shared" si="7"/>
        <v>467.24659941809807</v>
      </c>
      <c r="T18" s="60">
        <f>'CAM Majors'!A18</f>
        <v>50170</v>
      </c>
      <c r="U18" s="2" t="str">
        <f>'CAM Majors'!B18</f>
        <v>Landscape Maintenance</v>
      </c>
      <c r="V18" s="500">
        <f>'CAM Majors'!C18</f>
        <v>18720</v>
      </c>
      <c r="W18" s="461">
        <v>0</v>
      </c>
      <c r="X18" s="383">
        <f t="shared" si="8"/>
        <v>18720</v>
      </c>
      <c r="Y18" s="242">
        <f>$V$8/'CAM Majors'!D18</f>
        <v>2.0676719490761938E-2</v>
      </c>
      <c r="Z18" s="463">
        <f t="shared" si="9"/>
        <v>387.0681888670635</v>
      </c>
      <c r="AA18" s="463">
        <f t="shared" si="10"/>
        <v>0</v>
      </c>
      <c r="AB18" s="464">
        <f t="shared" si="11"/>
        <v>387.0681888670635</v>
      </c>
      <c r="AC18" s="60">
        <f>'CAM Majors'!A18</f>
        <v>50170</v>
      </c>
      <c r="AD18" s="2" t="str">
        <f>'CAM Majors'!B18</f>
        <v>Landscape Maintenance</v>
      </c>
      <c r="AE18" s="500">
        <f>'CAM Majors'!C18</f>
        <v>18720</v>
      </c>
      <c r="AF18" s="461">
        <v>0</v>
      </c>
      <c r="AG18" s="383">
        <f t="shared" si="12"/>
        <v>18720</v>
      </c>
      <c r="AH18" s="242">
        <f>$AE$8/'CAM Majors'!D18</f>
        <v>1.6423222909805194E-2</v>
      </c>
      <c r="AI18" s="463">
        <f t="shared" si="13"/>
        <v>307.44273287155323</v>
      </c>
      <c r="AJ18" s="463">
        <f t="shared" si="14"/>
        <v>0</v>
      </c>
      <c r="AK18" s="464">
        <f t="shared" si="15"/>
        <v>307.44273287155323</v>
      </c>
      <c r="AL18" s="60">
        <f>'CAM Majors'!A18</f>
        <v>50170</v>
      </c>
      <c r="AM18" s="2" t="str">
        <f>'CAM Majors'!B18</f>
        <v>Landscape Maintenance</v>
      </c>
      <c r="AN18" s="500">
        <f>'CAM Majors'!C18</f>
        <v>18720</v>
      </c>
      <c r="AO18" s="461">
        <v>0</v>
      </c>
      <c r="AP18" s="383">
        <f t="shared" si="16"/>
        <v>18720</v>
      </c>
      <c r="AQ18" s="242">
        <f>$AN$8/'CAM Majors'!D18</f>
        <v>3.6834098864257335E-2</v>
      </c>
      <c r="AR18" s="463">
        <f t="shared" si="17"/>
        <v>689.53433073889732</v>
      </c>
      <c r="AS18" s="463"/>
      <c r="AT18" s="464">
        <f t="shared" si="18"/>
        <v>689.53433073889732</v>
      </c>
      <c r="AU18" s="60">
        <f>'CAM Majors'!A18</f>
        <v>50170</v>
      </c>
      <c r="AV18" s="2" t="str">
        <f>'CAM Majors'!B18</f>
        <v>Landscape Maintenance</v>
      </c>
      <c r="AW18" s="500">
        <f>'CAM Majors'!C18</f>
        <v>18720</v>
      </c>
      <c r="AX18" s="461">
        <v>0</v>
      </c>
      <c r="AY18" s="383">
        <f t="shared" si="19"/>
        <v>18720</v>
      </c>
      <c r="AZ18" s="242">
        <f>$AW$8/'CAM Majors'!$D18</f>
        <v>2.2153628025816361E-2</v>
      </c>
      <c r="BA18" s="463">
        <f t="shared" si="20"/>
        <v>414.7159166432823</v>
      </c>
      <c r="BB18" s="463">
        <f t="shared" si="21"/>
        <v>0</v>
      </c>
      <c r="BC18" s="464">
        <f t="shared" si="22"/>
        <v>414.7159166432823</v>
      </c>
      <c r="BD18" s="60">
        <f>'CAM Majors'!A18</f>
        <v>50170</v>
      </c>
      <c r="BE18" s="2" t="str">
        <f>'CAM Majors'!B18</f>
        <v>Landscape Maintenance</v>
      </c>
      <c r="BF18" s="500">
        <f>'CAM Majors'!C18</f>
        <v>18720</v>
      </c>
      <c r="BG18" s="461">
        <v>0</v>
      </c>
      <c r="BH18" s="383">
        <f t="shared" si="23"/>
        <v>18720</v>
      </c>
      <c r="BI18" s="242">
        <f>$BF$8/'CAM Majors'!$D18</f>
        <v>2.5609593997843714E-2</v>
      </c>
      <c r="BJ18" s="463">
        <f t="shared" si="24"/>
        <v>479.41159963963435</v>
      </c>
      <c r="BK18" s="463">
        <f t="shared" si="25"/>
        <v>23.970579981981718</v>
      </c>
      <c r="BL18" s="464">
        <f t="shared" si="26"/>
        <v>503.38217962161605</v>
      </c>
      <c r="BM18" s="60">
        <f>'CAM Majors'!A18</f>
        <v>50170</v>
      </c>
      <c r="BN18" s="2" t="str">
        <f>'CAM Majors'!B18</f>
        <v>Landscape Maintenance</v>
      </c>
      <c r="BO18" s="500">
        <f>'CAM Majors'!C18</f>
        <v>18720</v>
      </c>
      <c r="BP18" s="461">
        <v>0</v>
      </c>
      <c r="BQ18" s="383">
        <f t="shared" si="27"/>
        <v>18720</v>
      </c>
      <c r="BR18" s="242">
        <f>$BO$8/'CAM Majors'!$D18</f>
        <v>5.7599432867122539E-2</v>
      </c>
      <c r="BS18" s="463">
        <f t="shared" si="28"/>
        <v>1078.261383272534</v>
      </c>
      <c r="BT18" s="463">
        <f t="shared" si="29"/>
        <v>0</v>
      </c>
      <c r="BU18" s="464">
        <f t="shared" si="30"/>
        <v>1078.261383272534</v>
      </c>
      <c r="BV18" s="60">
        <f>'CAM Majors'!A18</f>
        <v>50170</v>
      </c>
      <c r="BW18" s="2" t="str">
        <f>'CAM Majors'!B18</f>
        <v>Landscape Maintenance</v>
      </c>
      <c r="BX18" s="500">
        <f>'CAM Majors'!C18</f>
        <v>18720</v>
      </c>
      <c r="BY18" s="461">
        <v>0</v>
      </c>
      <c r="BZ18" s="383">
        <f t="shared" si="31"/>
        <v>18720</v>
      </c>
      <c r="CA18" s="242">
        <f>$BX$8/'CAM Majors'!$D18</f>
        <v>1.9007812846150437E-2</v>
      </c>
      <c r="CB18" s="463">
        <f t="shared" si="32"/>
        <v>355.82625647993621</v>
      </c>
      <c r="CC18" s="463">
        <f t="shared" si="33"/>
        <v>0</v>
      </c>
      <c r="CD18" s="464">
        <f t="shared" si="34"/>
        <v>355.82625647993621</v>
      </c>
      <c r="CE18" s="60">
        <f>'CAM Majors'!A18</f>
        <v>50170</v>
      </c>
      <c r="CF18" s="2" t="str">
        <f>'CAM Majors'!B18</f>
        <v>Landscape Maintenance</v>
      </c>
      <c r="CG18" s="500">
        <f>'CAM Majors'!C18</f>
        <v>18720</v>
      </c>
      <c r="CH18" s="461">
        <v>0</v>
      </c>
      <c r="CI18" s="383">
        <f t="shared" si="35"/>
        <v>18720</v>
      </c>
      <c r="CJ18" s="242">
        <f>$CG$8/'CAM Majors'!$D18</f>
        <v>2.420653088954201E-2</v>
      </c>
      <c r="CK18" s="463">
        <f t="shared" si="36"/>
        <v>453.1462582522264</v>
      </c>
      <c r="CL18" s="463">
        <f t="shared" si="37"/>
        <v>0</v>
      </c>
      <c r="CM18" s="464">
        <f t="shared" si="38"/>
        <v>453.1462582522264</v>
      </c>
      <c r="CN18" s="60">
        <f>'CAM Majors'!A18</f>
        <v>50170</v>
      </c>
      <c r="CO18" s="2" t="str">
        <f>'CAM Majors'!B18</f>
        <v>Landscape Maintenance</v>
      </c>
      <c r="CP18" s="500">
        <f>'CAM Majors'!C18</f>
        <v>18720</v>
      </c>
      <c r="CQ18" s="461">
        <v>0</v>
      </c>
      <c r="CR18" s="383">
        <f t="shared" si="39"/>
        <v>18720</v>
      </c>
      <c r="CS18" s="242">
        <f>$CP$8/'CAM Majors'!$D18</f>
        <v>5.3168707261959269E-2</v>
      </c>
      <c r="CT18" s="463">
        <f t="shared" si="40"/>
        <v>995.31819994387752</v>
      </c>
      <c r="CU18" s="463"/>
      <c r="CV18" s="464">
        <f t="shared" si="41"/>
        <v>995.31819994387752</v>
      </c>
      <c r="CW18" s="60">
        <f>'CAM Majors'!A18</f>
        <v>50170</v>
      </c>
      <c r="CX18" s="2" t="str">
        <f>'CAM Majors'!B18</f>
        <v>Landscape Maintenance</v>
      </c>
      <c r="CY18" s="500">
        <f>'CAM Majors'!C18</f>
        <v>18720</v>
      </c>
      <c r="CZ18" s="461">
        <v>0</v>
      </c>
      <c r="DA18" s="383">
        <f t="shared" si="42"/>
        <v>18720</v>
      </c>
      <c r="DB18" s="242">
        <f>$CY$8/'CAM Majors'!$D18</f>
        <v>2.343853845131371E-2</v>
      </c>
      <c r="DC18" s="463">
        <f t="shared" si="43"/>
        <v>438.76943980859267</v>
      </c>
      <c r="DD18" s="463">
        <f t="shared" si="44"/>
        <v>43.876943980859267</v>
      </c>
      <c r="DE18" s="464">
        <f t="shared" si="45"/>
        <v>482.64638378945193</v>
      </c>
      <c r="DF18" s="60">
        <f>'CAM Majors'!A18</f>
        <v>50170</v>
      </c>
      <c r="DG18" s="2" t="str">
        <f>'CAM Majors'!B18</f>
        <v>Landscape Maintenance</v>
      </c>
      <c r="DH18" s="500">
        <f>'CAM Majors'!C18</f>
        <v>18720</v>
      </c>
      <c r="DI18" s="461">
        <v>0</v>
      </c>
      <c r="DJ18" s="383">
        <f t="shared" si="46"/>
        <v>18720</v>
      </c>
      <c r="DK18" s="242">
        <f>$DH$8/'CAM Majors'!$D18</f>
        <v>1.9199810955707514E-2</v>
      </c>
      <c r="DL18" s="463">
        <f t="shared" si="47"/>
        <v>359.42046109084464</v>
      </c>
      <c r="DM18" s="463">
        <f t="shared" si="48"/>
        <v>53.913069163626695</v>
      </c>
      <c r="DN18" s="464">
        <f t="shared" si="49"/>
        <v>413.33353025447133</v>
      </c>
      <c r="DO18" s="60">
        <f>'CAM Majors'!A18</f>
        <v>50170</v>
      </c>
      <c r="DP18" s="2" t="str">
        <f>'CAM Majors'!B18</f>
        <v>Landscape Maintenance</v>
      </c>
      <c r="DQ18" s="500">
        <f>'CAM Majors'!C18</f>
        <v>18720</v>
      </c>
      <c r="DR18" s="461">
        <v>0</v>
      </c>
      <c r="DS18" s="383">
        <f t="shared" si="50"/>
        <v>18720</v>
      </c>
      <c r="DT18" s="242">
        <f>$DQ$8/'CAM Majors'!$D18</f>
        <v>5.2046256775317906E-2</v>
      </c>
      <c r="DU18" s="463">
        <f t="shared" si="51"/>
        <v>974.30592683395116</v>
      </c>
      <c r="DV18" s="463">
        <f t="shared" si="52"/>
        <v>48.71529634169756</v>
      </c>
      <c r="DW18" s="464">
        <f t="shared" si="53"/>
        <v>1023.0212231756487</v>
      </c>
      <c r="DX18" s="60">
        <f>'CAM Majors'!A18</f>
        <v>50170</v>
      </c>
      <c r="DY18" s="2" t="str">
        <f>'CAM Majors'!B18</f>
        <v>Landscape Maintenance</v>
      </c>
      <c r="DZ18" s="500">
        <f>'CAM Majors'!C18</f>
        <v>18720</v>
      </c>
      <c r="EA18" s="461">
        <v>0</v>
      </c>
      <c r="EB18" s="383">
        <f t="shared" si="54"/>
        <v>18720</v>
      </c>
      <c r="EC18" s="242">
        <f>$DZ$8/'CAM Majors'!$D18</f>
        <v>4.4410639649086529E-2</v>
      </c>
      <c r="ED18" s="463">
        <f t="shared" si="55"/>
        <v>831.36717423089988</v>
      </c>
      <c r="EE18" s="463">
        <f t="shared" si="56"/>
        <v>41.568358711544995</v>
      </c>
      <c r="EF18" s="464">
        <f t="shared" si="57"/>
        <v>872.93553294244487</v>
      </c>
    </row>
    <row r="19" spans="1:136">
      <c r="A19" s="60">
        <f>'CAM Majors'!A19</f>
        <v>50510</v>
      </c>
      <c r="B19" s="2" t="str">
        <f>'CAM Majors'!B19</f>
        <v>Parking Lot Light Maintenance</v>
      </c>
      <c r="C19" s="500">
        <f>'CAM Majors'!C19</f>
        <v>1500</v>
      </c>
      <c r="D19" s="461">
        <v>0</v>
      </c>
      <c r="E19" s="383">
        <f t="shared" si="0"/>
        <v>1500</v>
      </c>
      <c r="F19" s="242">
        <f>$C$8/'CAM Majors'!D19</f>
        <v>4.4307256051632722E-2</v>
      </c>
      <c r="G19" s="463">
        <f t="shared" si="1"/>
        <v>66.46088407744908</v>
      </c>
      <c r="H19" s="463">
        <f t="shared" si="2"/>
        <v>6.6460884077449087</v>
      </c>
      <c r="I19" s="464">
        <f t="shared" si="3"/>
        <v>73.106972485193992</v>
      </c>
      <c r="J19" s="464"/>
      <c r="K19" s="60">
        <f>'CAM Majors'!A19</f>
        <v>50510</v>
      </c>
      <c r="L19" s="226" t="str">
        <f>'CAM Majors'!B19</f>
        <v>Parking Lot Light Maintenance</v>
      </c>
      <c r="M19" s="500">
        <f>'CAM Majors'!C19</f>
        <v>1500</v>
      </c>
      <c r="N19" s="461">
        <v>0</v>
      </c>
      <c r="O19" s="383">
        <f t="shared" si="4"/>
        <v>1500</v>
      </c>
      <c r="P19" s="242">
        <f>$M$8/'CAM Majors'!D19</f>
        <v>2.3999763694634392E-2</v>
      </c>
      <c r="Q19" s="463">
        <f t="shared" si="5"/>
        <v>35.999645541951587</v>
      </c>
      <c r="R19" s="463">
        <f t="shared" si="6"/>
        <v>1.4399858216780634</v>
      </c>
      <c r="S19" s="464">
        <f t="shared" si="7"/>
        <v>37.439631363629651</v>
      </c>
      <c r="T19" s="60">
        <f>'CAM Majors'!A19</f>
        <v>50510</v>
      </c>
      <c r="U19" s="2" t="str">
        <f>'CAM Majors'!B19</f>
        <v>Parking Lot Light Maintenance</v>
      </c>
      <c r="V19" s="500">
        <f>'CAM Majors'!C19</f>
        <v>1500</v>
      </c>
      <c r="W19" s="461">
        <v>0</v>
      </c>
      <c r="X19" s="383">
        <f t="shared" si="8"/>
        <v>1500</v>
      </c>
      <c r="Y19" s="242">
        <f>$V$8/'CAM Majors'!D19</f>
        <v>2.0676719490761938E-2</v>
      </c>
      <c r="Z19" s="463">
        <f t="shared" si="9"/>
        <v>31.015079236142906</v>
      </c>
      <c r="AA19" s="463">
        <f t="shared" si="10"/>
        <v>0</v>
      </c>
      <c r="AB19" s="464">
        <f t="shared" si="11"/>
        <v>31.015079236142906</v>
      </c>
      <c r="AC19" s="60">
        <f>'CAM Majors'!A19</f>
        <v>50510</v>
      </c>
      <c r="AD19" s="2" t="str">
        <f>'CAM Majors'!B19</f>
        <v>Parking Lot Light Maintenance</v>
      </c>
      <c r="AE19" s="500">
        <f>'CAM Majors'!C19</f>
        <v>1500</v>
      </c>
      <c r="AF19" s="461">
        <v>0</v>
      </c>
      <c r="AG19" s="383">
        <f t="shared" si="12"/>
        <v>1500</v>
      </c>
      <c r="AH19" s="242">
        <f>$AE$8/'CAM Majors'!D19</f>
        <v>1.6423222909805194E-2</v>
      </c>
      <c r="AI19" s="463">
        <f t="shared" si="13"/>
        <v>24.634834364707793</v>
      </c>
      <c r="AJ19" s="463">
        <f t="shared" si="14"/>
        <v>0</v>
      </c>
      <c r="AK19" s="464">
        <f t="shared" si="15"/>
        <v>24.634834364707793</v>
      </c>
      <c r="AL19" s="60">
        <f>'CAM Majors'!A19</f>
        <v>50510</v>
      </c>
      <c r="AM19" s="2" t="str">
        <f>'CAM Majors'!B19</f>
        <v>Parking Lot Light Maintenance</v>
      </c>
      <c r="AN19" s="500">
        <f>'CAM Majors'!C19</f>
        <v>1500</v>
      </c>
      <c r="AO19" s="461">
        <v>0</v>
      </c>
      <c r="AP19" s="383">
        <f t="shared" si="16"/>
        <v>1500</v>
      </c>
      <c r="AQ19" s="242">
        <f>$AN$8/'CAM Majors'!D19</f>
        <v>3.6834098864257335E-2</v>
      </c>
      <c r="AR19" s="463">
        <f t="shared" si="17"/>
        <v>55.251148296385999</v>
      </c>
      <c r="AS19" s="463"/>
      <c r="AT19" s="464">
        <f t="shared" si="18"/>
        <v>55.251148296385999</v>
      </c>
      <c r="AU19" s="60">
        <f>'CAM Majors'!A19</f>
        <v>50510</v>
      </c>
      <c r="AV19" s="2" t="str">
        <f>'CAM Majors'!B19</f>
        <v>Parking Lot Light Maintenance</v>
      </c>
      <c r="AW19" s="500">
        <f>'CAM Majors'!C19</f>
        <v>1500</v>
      </c>
      <c r="AX19" s="461">
        <v>0</v>
      </c>
      <c r="AY19" s="383">
        <f t="shared" si="19"/>
        <v>1500</v>
      </c>
      <c r="AZ19" s="242">
        <f>$AW$8/'CAM Majors'!$D19</f>
        <v>2.2153628025816361E-2</v>
      </c>
      <c r="BA19" s="463">
        <f t="shared" si="20"/>
        <v>33.23044203872454</v>
      </c>
      <c r="BB19" s="463">
        <f t="shared" si="21"/>
        <v>0</v>
      </c>
      <c r="BC19" s="464">
        <f t="shared" si="22"/>
        <v>33.23044203872454</v>
      </c>
      <c r="BD19" s="60">
        <f>'CAM Majors'!A19</f>
        <v>50510</v>
      </c>
      <c r="BE19" s="2" t="str">
        <f>'CAM Majors'!B19</f>
        <v>Parking Lot Light Maintenance</v>
      </c>
      <c r="BF19" s="500">
        <f>'CAM Majors'!C19</f>
        <v>1500</v>
      </c>
      <c r="BG19" s="461">
        <v>0</v>
      </c>
      <c r="BH19" s="383">
        <f t="shared" si="23"/>
        <v>1500</v>
      </c>
      <c r="BI19" s="242">
        <f>$BF$8/'CAM Majors'!$D19</f>
        <v>2.5609593997843714E-2</v>
      </c>
      <c r="BJ19" s="463">
        <f t="shared" si="24"/>
        <v>38.414390996765569</v>
      </c>
      <c r="BK19" s="463">
        <f t="shared" si="25"/>
        <v>1.9207195498382785</v>
      </c>
      <c r="BL19" s="464">
        <f t="shared" si="26"/>
        <v>40.33511054660385</v>
      </c>
      <c r="BM19" s="60">
        <f>'CAM Majors'!A19</f>
        <v>50510</v>
      </c>
      <c r="BN19" s="2" t="str">
        <f>'CAM Majors'!B19</f>
        <v>Parking Lot Light Maintenance</v>
      </c>
      <c r="BO19" s="500">
        <f>'CAM Majors'!C19</f>
        <v>1500</v>
      </c>
      <c r="BP19" s="461">
        <v>0</v>
      </c>
      <c r="BQ19" s="383">
        <f t="shared" si="27"/>
        <v>1500</v>
      </c>
      <c r="BR19" s="242">
        <f>$BO$8/'CAM Majors'!$D19</f>
        <v>5.7599432867122539E-2</v>
      </c>
      <c r="BS19" s="463">
        <f t="shared" si="28"/>
        <v>86.399149300683803</v>
      </c>
      <c r="BT19" s="463">
        <f t="shared" si="29"/>
        <v>0</v>
      </c>
      <c r="BU19" s="464">
        <f t="shared" si="30"/>
        <v>86.399149300683803</v>
      </c>
      <c r="BV19" s="60">
        <f>'CAM Majors'!A19</f>
        <v>50510</v>
      </c>
      <c r="BW19" s="2" t="str">
        <f>'CAM Majors'!B19</f>
        <v>Parking Lot Light Maintenance</v>
      </c>
      <c r="BX19" s="500">
        <f>'CAM Majors'!C19</f>
        <v>1500</v>
      </c>
      <c r="BY19" s="461">
        <v>0</v>
      </c>
      <c r="BZ19" s="383">
        <f t="shared" si="31"/>
        <v>1500</v>
      </c>
      <c r="CA19" s="242">
        <f>$BX$8/'CAM Majors'!$D19</f>
        <v>1.9007812846150437E-2</v>
      </c>
      <c r="CB19" s="463">
        <f t="shared" si="32"/>
        <v>28.511719269225654</v>
      </c>
      <c r="CC19" s="463">
        <f t="shared" si="33"/>
        <v>0</v>
      </c>
      <c r="CD19" s="464">
        <f t="shared" si="34"/>
        <v>28.511719269225654</v>
      </c>
      <c r="CE19" s="60">
        <f>'CAM Majors'!A19</f>
        <v>50510</v>
      </c>
      <c r="CF19" s="2" t="str">
        <f>'CAM Majors'!B19</f>
        <v>Parking Lot Light Maintenance</v>
      </c>
      <c r="CG19" s="500">
        <f>'CAM Majors'!C19</f>
        <v>1500</v>
      </c>
      <c r="CH19" s="461">
        <v>0</v>
      </c>
      <c r="CI19" s="383">
        <f t="shared" si="35"/>
        <v>1500</v>
      </c>
      <c r="CJ19" s="242">
        <f>$CG$8/'CAM Majors'!$D19</f>
        <v>2.420653088954201E-2</v>
      </c>
      <c r="CK19" s="463">
        <f t="shared" si="36"/>
        <v>36.309796334313013</v>
      </c>
      <c r="CL19" s="463">
        <f t="shared" si="37"/>
        <v>0</v>
      </c>
      <c r="CM19" s="464">
        <f t="shared" si="38"/>
        <v>36.309796334313013</v>
      </c>
      <c r="CN19" s="60">
        <f>'CAM Majors'!A19</f>
        <v>50510</v>
      </c>
      <c r="CO19" s="2" t="str">
        <f>'CAM Majors'!B19</f>
        <v>Parking Lot Light Maintenance</v>
      </c>
      <c r="CP19" s="500">
        <f>'CAM Majors'!C19</f>
        <v>1500</v>
      </c>
      <c r="CQ19" s="461">
        <v>0</v>
      </c>
      <c r="CR19" s="383">
        <f t="shared" si="39"/>
        <v>1500</v>
      </c>
      <c r="CS19" s="242">
        <f>$CP$8/'CAM Majors'!$D19</f>
        <v>5.3168707261959269E-2</v>
      </c>
      <c r="CT19" s="463">
        <f t="shared" si="40"/>
        <v>79.753060892938905</v>
      </c>
      <c r="CU19" s="463"/>
      <c r="CV19" s="464">
        <f t="shared" si="41"/>
        <v>79.753060892938905</v>
      </c>
      <c r="CW19" s="60">
        <f>'CAM Majors'!A19</f>
        <v>50510</v>
      </c>
      <c r="CX19" s="2" t="str">
        <f>'CAM Majors'!B19</f>
        <v>Parking Lot Light Maintenance</v>
      </c>
      <c r="CY19" s="500">
        <f>'CAM Majors'!C19</f>
        <v>1500</v>
      </c>
      <c r="CZ19" s="461">
        <v>0</v>
      </c>
      <c r="DA19" s="383">
        <f t="shared" si="42"/>
        <v>1500</v>
      </c>
      <c r="DB19" s="242">
        <f>$CY$8/'CAM Majors'!$D19</f>
        <v>2.343853845131371E-2</v>
      </c>
      <c r="DC19" s="463">
        <f t="shared" si="43"/>
        <v>35.157807676970563</v>
      </c>
      <c r="DD19" s="463">
        <f t="shared" si="44"/>
        <v>3.5157807676970565</v>
      </c>
      <c r="DE19" s="464">
        <f t="shared" si="45"/>
        <v>38.673588444667622</v>
      </c>
      <c r="DF19" s="60">
        <f>'CAM Majors'!A19</f>
        <v>50510</v>
      </c>
      <c r="DG19" s="2" t="str">
        <f>'CAM Majors'!B19</f>
        <v>Parking Lot Light Maintenance</v>
      </c>
      <c r="DH19" s="500">
        <f>'CAM Majors'!C19</f>
        <v>1500</v>
      </c>
      <c r="DI19" s="461">
        <v>0</v>
      </c>
      <c r="DJ19" s="383">
        <f t="shared" si="46"/>
        <v>1500</v>
      </c>
      <c r="DK19" s="242">
        <f>$DH$8/'CAM Majors'!$D19</f>
        <v>1.9199810955707514E-2</v>
      </c>
      <c r="DL19" s="463">
        <f t="shared" si="47"/>
        <v>28.799716433561272</v>
      </c>
      <c r="DM19" s="463">
        <f t="shared" si="48"/>
        <v>4.3199574650341903</v>
      </c>
      <c r="DN19" s="464">
        <f t="shared" si="49"/>
        <v>33.119673898595465</v>
      </c>
      <c r="DO19" s="60">
        <f>'CAM Majors'!A19</f>
        <v>50510</v>
      </c>
      <c r="DP19" s="2" t="str">
        <f>'CAM Majors'!B19</f>
        <v>Parking Lot Light Maintenance</v>
      </c>
      <c r="DQ19" s="500">
        <f>'CAM Majors'!C19</f>
        <v>1500</v>
      </c>
      <c r="DR19" s="461">
        <v>0</v>
      </c>
      <c r="DS19" s="383">
        <f t="shared" si="50"/>
        <v>1500</v>
      </c>
      <c r="DT19" s="242">
        <f>$DQ$8/'CAM Majors'!$D19</f>
        <v>5.2046256775317906E-2</v>
      </c>
      <c r="DU19" s="463">
        <f t="shared" si="51"/>
        <v>78.069385162976857</v>
      </c>
      <c r="DV19" s="463">
        <f t="shared" si="52"/>
        <v>3.903469258148843</v>
      </c>
      <c r="DW19" s="464">
        <f t="shared" si="53"/>
        <v>81.972854421125703</v>
      </c>
      <c r="DX19" s="60">
        <f>'CAM Majors'!A19</f>
        <v>50510</v>
      </c>
      <c r="DY19" s="2" t="str">
        <f>'CAM Majors'!B19</f>
        <v>Parking Lot Light Maintenance</v>
      </c>
      <c r="DZ19" s="500">
        <f>'CAM Majors'!C19</f>
        <v>1500</v>
      </c>
      <c r="EA19" s="461">
        <v>0</v>
      </c>
      <c r="EB19" s="383">
        <f t="shared" si="54"/>
        <v>1500</v>
      </c>
      <c r="EC19" s="242">
        <f>$DZ$8/'CAM Majors'!$D19</f>
        <v>4.4410639649086529E-2</v>
      </c>
      <c r="ED19" s="463">
        <f t="shared" si="55"/>
        <v>66.6159594736298</v>
      </c>
      <c r="EE19" s="463">
        <f t="shared" si="56"/>
        <v>3.3307979736814901</v>
      </c>
      <c r="EF19" s="464">
        <f t="shared" si="57"/>
        <v>69.946757447311285</v>
      </c>
    </row>
    <row r="20" spans="1:136">
      <c r="A20" s="60">
        <f>'CAM Majors'!A20</f>
        <v>50520</v>
      </c>
      <c r="B20" s="2" t="str">
        <f>'CAM Majors'!B20</f>
        <v>Parking Lot Repairs</v>
      </c>
      <c r="C20" s="500">
        <f>'CAM Majors'!C20</f>
        <v>5000</v>
      </c>
      <c r="D20" s="461">
        <v>0</v>
      </c>
      <c r="E20" s="383">
        <f t="shared" si="0"/>
        <v>5000</v>
      </c>
      <c r="F20" s="242">
        <f>$C$8/'CAM Majors'!D20</f>
        <v>4.4307256051632722E-2</v>
      </c>
      <c r="G20" s="463">
        <f t="shared" si="1"/>
        <v>221.5362802581636</v>
      </c>
      <c r="H20" s="463">
        <f t="shared" si="2"/>
        <v>22.15362802581636</v>
      </c>
      <c r="I20" s="464">
        <f t="shared" si="3"/>
        <v>243.68990828397995</v>
      </c>
      <c r="J20" s="464"/>
      <c r="K20" s="60">
        <f>'CAM Majors'!A20</f>
        <v>50520</v>
      </c>
      <c r="L20" s="226" t="str">
        <f>'CAM Majors'!B20</f>
        <v>Parking Lot Repairs</v>
      </c>
      <c r="M20" s="500">
        <f>'CAM Majors'!C20</f>
        <v>5000</v>
      </c>
      <c r="N20" s="461">
        <v>0</v>
      </c>
      <c r="O20" s="383">
        <f t="shared" si="4"/>
        <v>5000</v>
      </c>
      <c r="P20" s="242">
        <f>$M$8/'CAM Majors'!D20</f>
        <v>2.3999763694634392E-2</v>
      </c>
      <c r="Q20" s="463">
        <f t="shared" si="5"/>
        <v>119.99881847317197</v>
      </c>
      <c r="R20" s="463">
        <f t="shared" si="6"/>
        <v>4.799952738926879</v>
      </c>
      <c r="S20" s="464">
        <f t="shared" si="7"/>
        <v>124.79877121209884</v>
      </c>
      <c r="T20" s="60">
        <f>'CAM Majors'!A20</f>
        <v>50520</v>
      </c>
      <c r="U20" s="2" t="str">
        <f>'CAM Majors'!B20</f>
        <v>Parking Lot Repairs</v>
      </c>
      <c r="V20" s="500">
        <f>'CAM Majors'!C20</f>
        <v>5000</v>
      </c>
      <c r="W20" s="461">
        <v>0</v>
      </c>
      <c r="X20" s="383">
        <f t="shared" si="8"/>
        <v>5000</v>
      </c>
      <c r="Y20" s="242">
        <f>$V$8/'CAM Majors'!D20</f>
        <v>2.0676719490761938E-2</v>
      </c>
      <c r="Z20" s="463">
        <f t="shared" si="9"/>
        <v>103.38359745380968</v>
      </c>
      <c r="AA20" s="463">
        <f t="shared" si="10"/>
        <v>0</v>
      </c>
      <c r="AB20" s="464">
        <f t="shared" si="11"/>
        <v>103.38359745380968</v>
      </c>
      <c r="AC20" s="60">
        <f>'CAM Majors'!A20</f>
        <v>50520</v>
      </c>
      <c r="AD20" s="2" t="str">
        <f>'CAM Majors'!B20</f>
        <v>Parking Lot Repairs</v>
      </c>
      <c r="AE20" s="500">
        <f>'CAM Majors'!C20</f>
        <v>5000</v>
      </c>
      <c r="AF20" s="461">
        <v>0</v>
      </c>
      <c r="AG20" s="383">
        <f t="shared" si="12"/>
        <v>5000</v>
      </c>
      <c r="AH20" s="242">
        <f>$AE$8/'CAM Majors'!D20</f>
        <v>1.6423222909805194E-2</v>
      </c>
      <c r="AI20" s="463">
        <f t="shared" si="13"/>
        <v>82.116114549025966</v>
      </c>
      <c r="AJ20" s="463">
        <f t="shared" si="14"/>
        <v>0</v>
      </c>
      <c r="AK20" s="464">
        <f t="shared" si="15"/>
        <v>82.116114549025966</v>
      </c>
      <c r="AL20" s="60">
        <f>'CAM Majors'!A20</f>
        <v>50520</v>
      </c>
      <c r="AM20" s="2" t="str">
        <f>'CAM Majors'!B20</f>
        <v>Parking Lot Repairs</v>
      </c>
      <c r="AN20" s="500">
        <f>'CAM Majors'!C20</f>
        <v>5000</v>
      </c>
      <c r="AO20" s="461">
        <v>0</v>
      </c>
      <c r="AP20" s="383">
        <f t="shared" si="16"/>
        <v>5000</v>
      </c>
      <c r="AQ20" s="242">
        <f>$AN$8/'CAM Majors'!D20</f>
        <v>3.6834098864257335E-2</v>
      </c>
      <c r="AR20" s="463">
        <f t="shared" si="17"/>
        <v>184.17049432128667</v>
      </c>
      <c r="AS20" s="463"/>
      <c r="AT20" s="464">
        <f t="shared" si="18"/>
        <v>184.17049432128667</v>
      </c>
      <c r="AU20" s="60">
        <f>'CAM Majors'!A20</f>
        <v>50520</v>
      </c>
      <c r="AV20" s="2" t="str">
        <f>'CAM Majors'!B20</f>
        <v>Parking Lot Repairs</v>
      </c>
      <c r="AW20" s="500">
        <f>'CAM Majors'!C20</f>
        <v>5000</v>
      </c>
      <c r="AX20" s="461">
        <v>0</v>
      </c>
      <c r="AY20" s="383">
        <f t="shared" si="19"/>
        <v>5000</v>
      </c>
      <c r="AZ20" s="242">
        <f>$AW$8/'CAM Majors'!$D20</f>
        <v>2.2153628025816361E-2</v>
      </c>
      <c r="BA20" s="463">
        <f t="shared" si="20"/>
        <v>110.7681401290818</v>
      </c>
      <c r="BB20" s="463">
        <f t="shared" si="21"/>
        <v>0</v>
      </c>
      <c r="BC20" s="464">
        <f t="shared" si="22"/>
        <v>110.7681401290818</v>
      </c>
      <c r="BD20" s="60">
        <f>'CAM Majors'!A20</f>
        <v>50520</v>
      </c>
      <c r="BE20" s="2" t="str">
        <f>'CAM Majors'!B20</f>
        <v>Parking Lot Repairs</v>
      </c>
      <c r="BF20" s="500">
        <f>'CAM Majors'!C20</f>
        <v>5000</v>
      </c>
      <c r="BG20" s="461">
        <v>0</v>
      </c>
      <c r="BH20" s="383">
        <f t="shared" si="23"/>
        <v>5000</v>
      </c>
      <c r="BI20" s="242">
        <f>$BF$8/'CAM Majors'!$D20</f>
        <v>2.5609593997843714E-2</v>
      </c>
      <c r="BJ20" s="463">
        <f t="shared" si="24"/>
        <v>128.04796998921856</v>
      </c>
      <c r="BK20" s="463">
        <f t="shared" si="25"/>
        <v>6.4023984994609284</v>
      </c>
      <c r="BL20" s="464">
        <f t="shared" si="26"/>
        <v>134.45036848867949</v>
      </c>
      <c r="BM20" s="60">
        <f>'CAM Majors'!A20</f>
        <v>50520</v>
      </c>
      <c r="BN20" s="2" t="str">
        <f>'CAM Majors'!B20</f>
        <v>Parking Lot Repairs</v>
      </c>
      <c r="BO20" s="500">
        <f>'CAM Majors'!C20</f>
        <v>5000</v>
      </c>
      <c r="BP20" s="461">
        <v>0</v>
      </c>
      <c r="BQ20" s="383">
        <f t="shared" si="27"/>
        <v>5000</v>
      </c>
      <c r="BR20" s="242">
        <f>$BO$8/'CAM Majors'!$D20</f>
        <v>5.7599432867122539E-2</v>
      </c>
      <c r="BS20" s="463">
        <f t="shared" si="28"/>
        <v>287.99716433561269</v>
      </c>
      <c r="BT20" s="463">
        <f t="shared" si="29"/>
        <v>0</v>
      </c>
      <c r="BU20" s="464">
        <f t="shared" si="30"/>
        <v>287.99716433561269</v>
      </c>
      <c r="BV20" s="60">
        <f>'CAM Majors'!A20</f>
        <v>50520</v>
      </c>
      <c r="BW20" s="2" t="str">
        <f>'CAM Majors'!B20</f>
        <v>Parking Lot Repairs</v>
      </c>
      <c r="BX20" s="500">
        <f>'CAM Majors'!C20</f>
        <v>5000</v>
      </c>
      <c r="BY20" s="461">
        <v>0</v>
      </c>
      <c r="BZ20" s="383">
        <f t="shared" si="31"/>
        <v>5000</v>
      </c>
      <c r="CA20" s="242">
        <f>$BX$8/'CAM Majors'!$D20</f>
        <v>1.9007812846150437E-2</v>
      </c>
      <c r="CB20" s="463">
        <f t="shared" si="32"/>
        <v>95.039064230752189</v>
      </c>
      <c r="CC20" s="463">
        <f t="shared" si="33"/>
        <v>0</v>
      </c>
      <c r="CD20" s="464">
        <f t="shared" si="34"/>
        <v>95.039064230752189</v>
      </c>
      <c r="CE20" s="60">
        <f>'CAM Majors'!A20</f>
        <v>50520</v>
      </c>
      <c r="CF20" s="2" t="str">
        <f>'CAM Majors'!B20</f>
        <v>Parking Lot Repairs</v>
      </c>
      <c r="CG20" s="500">
        <f>'CAM Majors'!C20</f>
        <v>5000</v>
      </c>
      <c r="CH20" s="461">
        <v>0</v>
      </c>
      <c r="CI20" s="383">
        <f t="shared" si="35"/>
        <v>5000</v>
      </c>
      <c r="CJ20" s="242">
        <f>$CG$8/'CAM Majors'!$D20</f>
        <v>2.420653088954201E-2</v>
      </c>
      <c r="CK20" s="463">
        <f t="shared" si="36"/>
        <v>121.03265444771004</v>
      </c>
      <c r="CL20" s="463">
        <f t="shared" si="37"/>
        <v>0</v>
      </c>
      <c r="CM20" s="464">
        <f t="shared" si="38"/>
        <v>121.03265444771004</v>
      </c>
      <c r="CN20" s="60">
        <f>'CAM Majors'!A20</f>
        <v>50520</v>
      </c>
      <c r="CO20" s="2" t="str">
        <f>'CAM Majors'!B20</f>
        <v>Parking Lot Repairs</v>
      </c>
      <c r="CP20" s="500">
        <f>'CAM Majors'!C20</f>
        <v>5000</v>
      </c>
      <c r="CQ20" s="461">
        <v>0</v>
      </c>
      <c r="CR20" s="383">
        <f t="shared" si="39"/>
        <v>5000</v>
      </c>
      <c r="CS20" s="242">
        <f>$CP$8/'CAM Majors'!$D20</f>
        <v>5.3168707261959269E-2</v>
      </c>
      <c r="CT20" s="463">
        <f t="shared" si="40"/>
        <v>265.84353630979632</v>
      </c>
      <c r="CU20" s="463"/>
      <c r="CV20" s="464">
        <f t="shared" si="41"/>
        <v>265.84353630979632</v>
      </c>
      <c r="CW20" s="60">
        <f>'CAM Majors'!A20</f>
        <v>50520</v>
      </c>
      <c r="CX20" s="2" t="str">
        <f>'CAM Majors'!B20</f>
        <v>Parking Lot Repairs</v>
      </c>
      <c r="CY20" s="500">
        <f>'CAM Majors'!C20</f>
        <v>5000</v>
      </c>
      <c r="CZ20" s="461">
        <v>0</v>
      </c>
      <c r="DA20" s="383">
        <f t="shared" si="42"/>
        <v>5000</v>
      </c>
      <c r="DB20" s="242">
        <f>$CY$8/'CAM Majors'!$D20</f>
        <v>2.343853845131371E-2</v>
      </c>
      <c r="DC20" s="463">
        <f t="shared" si="43"/>
        <v>117.19269225656855</v>
      </c>
      <c r="DD20" s="463">
        <f t="shared" si="44"/>
        <v>11.719269225656856</v>
      </c>
      <c r="DE20" s="464">
        <f t="shared" si="45"/>
        <v>128.91196148222539</v>
      </c>
      <c r="DF20" s="60">
        <f>'CAM Majors'!A20</f>
        <v>50520</v>
      </c>
      <c r="DG20" s="2" t="str">
        <f>'CAM Majors'!B20</f>
        <v>Parking Lot Repairs</v>
      </c>
      <c r="DH20" s="500">
        <f>'CAM Majors'!C20</f>
        <v>5000</v>
      </c>
      <c r="DI20" s="461">
        <v>0</v>
      </c>
      <c r="DJ20" s="383">
        <f t="shared" si="46"/>
        <v>5000</v>
      </c>
      <c r="DK20" s="242">
        <f>$DH$8/'CAM Majors'!$D20</f>
        <v>1.9199810955707514E-2</v>
      </c>
      <c r="DL20" s="463">
        <f t="shared" si="47"/>
        <v>95.99905477853757</v>
      </c>
      <c r="DM20" s="463">
        <f t="shared" si="48"/>
        <v>14.399858216780634</v>
      </c>
      <c r="DN20" s="464">
        <f t="shared" si="49"/>
        <v>110.3989129953182</v>
      </c>
      <c r="DO20" s="60">
        <f>'CAM Majors'!A20</f>
        <v>50520</v>
      </c>
      <c r="DP20" s="2" t="str">
        <f>'CAM Majors'!B20</f>
        <v>Parking Lot Repairs</v>
      </c>
      <c r="DQ20" s="500">
        <f>'CAM Majors'!C20</f>
        <v>5000</v>
      </c>
      <c r="DR20" s="461">
        <v>0</v>
      </c>
      <c r="DS20" s="383">
        <f t="shared" si="50"/>
        <v>5000</v>
      </c>
      <c r="DT20" s="242">
        <f>$DQ$8/'CAM Majors'!$D20</f>
        <v>5.2046256775317906E-2</v>
      </c>
      <c r="DU20" s="463">
        <f t="shared" si="51"/>
        <v>260.23128387658954</v>
      </c>
      <c r="DV20" s="463">
        <f t="shared" si="52"/>
        <v>13.011564193829479</v>
      </c>
      <c r="DW20" s="464">
        <f t="shared" si="53"/>
        <v>273.24284807041903</v>
      </c>
      <c r="DX20" s="60">
        <f>'CAM Majors'!A20</f>
        <v>50520</v>
      </c>
      <c r="DY20" s="2" t="str">
        <f>'CAM Majors'!B20</f>
        <v>Parking Lot Repairs</v>
      </c>
      <c r="DZ20" s="500">
        <f>'CAM Majors'!C20</f>
        <v>5000</v>
      </c>
      <c r="EA20" s="461">
        <v>0</v>
      </c>
      <c r="EB20" s="383">
        <f t="shared" si="54"/>
        <v>5000</v>
      </c>
      <c r="EC20" s="242">
        <f>$DZ$8/'CAM Majors'!$D20</f>
        <v>4.4410639649086529E-2</v>
      </c>
      <c r="ED20" s="463">
        <f t="shared" si="55"/>
        <v>222.05319824543264</v>
      </c>
      <c r="EE20" s="463">
        <f t="shared" si="56"/>
        <v>11.102659912271633</v>
      </c>
      <c r="EF20" s="464">
        <f t="shared" si="57"/>
        <v>233.15585815770427</v>
      </c>
    </row>
    <row r="21" spans="1:136">
      <c r="A21" s="60">
        <f>'CAM Majors'!A21</f>
        <v>50530</v>
      </c>
      <c r="B21" s="2" t="str">
        <f>'CAM Majors'!B21</f>
        <v>Parking Lot Light Repairs</v>
      </c>
      <c r="C21" s="500">
        <f>'CAM Majors'!C21</f>
        <v>3600</v>
      </c>
      <c r="D21" s="461">
        <v>0</v>
      </c>
      <c r="E21" s="383">
        <f t="shared" si="0"/>
        <v>3600</v>
      </c>
      <c r="F21" s="242">
        <f>$C$8/'CAM Majors'!D21</f>
        <v>4.4307256051632722E-2</v>
      </c>
      <c r="G21" s="463">
        <f t="shared" si="1"/>
        <v>159.50612178587781</v>
      </c>
      <c r="H21" s="463">
        <f t="shared" si="2"/>
        <v>15.950612178587782</v>
      </c>
      <c r="I21" s="464">
        <f t="shared" si="3"/>
        <v>175.4567339644656</v>
      </c>
      <c r="J21" s="464"/>
      <c r="K21" s="60">
        <f>'CAM Majors'!A21</f>
        <v>50530</v>
      </c>
      <c r="L21" s="226" t="str">
        <f>'CAM Majors'!B21</f>
        <v>Parking Lot Light Repairs</v>
      </c>
      <c r="M21" s="500">
        <f>'CAM Majors'!C21</f>
        <v>3600</v>
      </c>
      <c r="N21" s="461">
        <v>0</v>
      </c>
      <c r="O21" s="383">
        <f t="shared" si="4"/>
        <v>3600</v>
      </c>
      <c r="P21" s="242">
        <f>$M$8/'CAM Majors'!D21</f>
        <v>2.3999763694634392E-2</v>
      </c>
      <c r="Q21" s="463">
        <f t="shared" si="5"/>
        <v>86.399149300683817</v>
      </c>
      <c r="R21" s="463">
        <f t="shared" si="6"/>
        <v>3.4559659720273528</v>
      </c>
      <c r="S21" s="464">
        <f t="shared" si="7"/>
        <v>89.855115272711174</v>
      </c>
      <c r="T21" s="60">
        <f>'CAM Majors'!A21</f>
        <v>50530</v>
      </c>
      <c r="U21" s="2" t="str">
        <f>'CAM Majors'!B21</f>
        <v>Parking Lot Light Repairs</v>
      </c>
      <c r="V21" s="500">
        <f>'CAM Majors'!C21</f>
        <v>3600</v>
      </c>
      <c r="W21" s="461">
        <v>0</v>
      </c>
      <c r="X21" s="383">
        <f t="shared" si="8"/>
        <v>3600</v>
      </c>
      <c r="Y21" s="242">
        <f>$V$8/'CAM Majors'!D21</f>
        <v>2.0676719490761938E-2</v>
      </c>
      <c r="Z21" s="463">
        <f t="shared" si="9"/>
        <v>74.436190166742975</v>
      </c>
      <c r="AA21" s="463">
        <f t="shared" si="10"/>
        <v>0</v>
      </c>
      <c r="AB21" s="464">
        <f t="shared" si="11"/>
        <v>74.436190166742975</v>
      </c>
      <c r="AC21" s="60">
        <f>'CAM Majors'!A21</f>
        <v>50530</v>
      </c>
      <c r="AD21" s="2" t="str">
        <f>'CAM Majors'!B21</f>
        <v>Parking Lot Light Repairs</v>
      </c>
      <c r="AE21" s="500">
        <f>'CAM Majors'!C21</f>
        <v>3600</v>
      </c>
      <c r="AF21" s="461">
        <v>0</v>
      </c>
      <c r="AG21" s="383">
        <f t="shared" si="12"/>
        <v>3600</v>
      </c>
      <c r="AH21" s="242">
        <f>$AE$8/'CAM Majors'!D21</f>
        <v>1.6423222909805194E-2</v>
      </c>
      <c r="AI21" s="463">
        <f t="shared" si="13"/>
        <v>59.123602475298696</v>
      </c>
      <c r="AJ21" s="463">
        <f t="shared" si="14"/>
        <v>0</v>
      </c>
      <c r="AK21" s="464">
        <f t="shared" si="15"/>
        <v>59.123602475298696</v>
      </c>
      <c r="AL21" s="60">
        <f>'CAM Majors'!A21</f>
        <v>50530</v>
      </c>
      <c r="AM21" s="2" t="str">
        <f>'CAM Majors'!B21</f>
        <v>Parking Lot Light Repairs</v>
      </c>
      <c r="AN21" s="500">
        <f>'CAM Majors'!C21</f>
        <v>3600</v>
      </c>
      <c r="AO21" s="461">
        <v>0</v>
      </c>
      <c r="AP21" s="383">
        <f t="shared" si="16"/>
        <v>3600</v>
      </c>
      <c r="AQ21" s="242">
        <f>$AN$8/'CAM Majors'!D21</f>
        <v>3.6834098864257335E-2</v>
      </c>
      <c r="AR21" s="463">
        <f t="shared" si="17"/>
        <v>132.6027559113264</v>
      </c>
      <c r="AS21" s="463"/>
      <c r="AT21" s="464">
        <f t="shared" si="18"/>
        <v>132.6027559113264</v>
      </c>
      <c r="AU21" s="60">
        <f>'CAM Majors'!A21</f>
        <v>50530</v>
      </c>
      <c r="AV21" s="2" t="str">
        <f>'CAM Majors'!B21</f>
        <v>Parking Lot Light Repairs</v>
      </c>
      <c r="AW21" s="500">
        <f>'CAM Majors'!C21</f>
        <v>3600</v>
      </c>
      <c r="AX21" s="461">
        <v>0</v>
      </c>
      <c r="AY21" s="383">
        <f t="shared" si="19"/>
        <v>3600</v>
      </c>
      <c r="AZ21" s="242">
        <f>$AW$8/'CAM Majors'!$D21</f>
        <v>2.2153628025816361E-2</v>
      </c>
      <c r="BA21" s="463">
        <f t="shared" si="20"/>
        <v>79.753060892938905</v>
      </c>
      <c r="BB21" s="463">
        <f t="shared" si="21"/>
        <v>0</v>
      </c>
      <c r="BC21" s="464">
        <f t="shared" si="22"/>
        <v>79.753060892938905</v>
      </c>
      <c r="BD21" s="60">
        <f>'CAM Majors'!A21</f>
        <v>50530</v>
      </c>
      <c r="BE21" s="2" t="str">
        <f>'CAM Majors'!B21</f>
        <v>Parking Lot Light Repairs</v>
      </c>
      <c r="BF21" s="500">
        <f>'CAM Majors'!C21</f>
        <v>3600</v>
      </c>
      <c r="BG21" s="461">
        <v>0</v>
      </c>
      <c r="BH21" s="383">
        <f t="shared" si="23"/>
        <v>3600</v>
      </c>
      <c r="BI21" s="242">
        <f>$BF$8/'CAM Majors'!$D21</f>
        <v>2.5609593997843714E-2</v>
      </c>
      <c r="BJ21" s="463">
        <f t="shared" si="24"/>
        <v>92.194538392237376</v>
      </c>
      <c r="BK21" s="463">
        <f t="shared" si="25"/>
        <v>4.6097269196118686</v>
      </c>
      <c r="BL21" s="464">
        <f t="shared" si="26"/>
        <v>96.80426531184925</v>
      </c>
      <c r="BM21" s="60">
        <f>'CAM Majors'!A21</f>
        <v>50530</v>
      </c>
      <c r="BN21" s="2" t="str">
        <f>'CAM Majors'!B21</f>
        <v>Parking Lot Light Repairs</v>
      </c>
      <c r="BO21" s="500">
        <f>'CAM Majors'!C21</f>
        <v>3600</v>
      </c>
      <c r="BP21" s="461">
        <v>0</v>
      </c>
      <c r="BQ21" s="383">
        <f t="shared" si="27"/>
        <v>3600</v>
      </c>
      <c r="BR21" s="242">
        <f>$BO$8/'CAM Majors'!$D21</f>
        <v>5.7599432867122539E-2</v>
      </c>
      <c r="BS21" s="463">
        <f t="shared" si="28"/>
        <v>207.35795832164115</v>
      </c>
      <c r="BT21" s="463">
        <f t="shared" si="29"/>
        <v>0</v>
      </c>
      <c r="BU21" s="464">
        <f t="shared" si="30"/>
        <v>207.35795832164115</v>
      </c>
      <c r="BV21" s="60">
        <f>'CAM Majors'!A21</f>
        <v>50530</v>
      </c>
      <c r="BW21" s="2" t="str">
        <f>'CAM Majors'!B21</f>
        <v>Parking Lot Light Repairs</v>
      </c>
      <c r="BX21" s="500">
        <f>'CAM Majors'!C21</f>
        <v>3600</v>
      </c>
      <c r="BY21" s="461">
        <v>0</v>
      </c>
      <c r="BZ21" s="383">
        <f t="shared" si="31"/>
        <v>3600</v>
      </c>
      <c r="CA21" s="242">
        <f>$BX$8/'CAM Majors'!$D21</f>
        <v>1.9007812846150437E-2</v>
      </c>
      <c r="CB21" s="463">
        <f t="shared" si="32"/>
        <v>68.428126246141574</v>
      </c>
      <c r="CC21" s="463">
        <f t="shared" si="33"/>
        <v>0</v>
      </c>
      <c r="CD21" s="464">
        <f t="shared" si="34"/>
        <v>68.428126246141574</v>
      </c>
      <c r="CE21" s="60">
        <f>'CAM Majors'!A21</f>
        <v>50530</v>
      </c>
      <c r="CF21" s="2" t="str">
        <f>'CAM Majors'!B21</f>
        <v>Parking Lot Light Repairs</v>
      </c>
      <c r="CG21" s="500">
        <f>'CAM Majors'!C21</f>
        <v>3600</v>
      </c>
      <c r="CH21" s="461">
        <v>0</v>
      </c>
      <c r="CI21" s="383">
        <f t="shared" si="35"/>
        <v>3600</v>
      </c>
      <c r="CJ21" s="242">
        <f>$CG$8/'CAM Majors'!$D21</f>
        <v>2.420653088954201E-2</v>
      </c>
      <c r="CK21" s="463">
        <f t="shared" si="36"/>
        <v>87.143511202351235</v>
      </c>
      <c r="CL21" s="463">
        <f t="shared" si="37"/>
        <v>0</v>
      </c>
      <c r="CM21" s="464">
        <f t="shared" si="38"/>
        <v>87.143511202351235</v>
      </c>
      <c r="CN21" s="60">
        <f>'CAM Majors'!A21</f>
        <v>50530</v>
      </c>
      <c r="CO21" s="2" t="str">
        <f>'CAM Majors'!B21</f>
        <v>Parking Lot Light Repairs</v>
      </c>
      <c r="CP21" s="500">
        <f>'CAM Majors'!C21</f>
        <v>3600</v>
      </c>
      <c r="CQ21" s="461">
        <v>0</v>
      </c>
      <c r="CR21" s="383">
        <f t="shared" si="39"/>
        <v>3600</v>
      </c>
      <c r="CS21" s="242">
        <f>$CP$8/'CAM Majors'!$D21</f>
        <v>5.3168707261959269E-2</v>
      </c>
      <c r="CT21" s="463">
        <f t="shared" si="40"/>
        <v>191.40734614305336</v>
      </c>
      <c r="CU21" s="463"/>
      <c r="CV21" s="464">
        <f t="shared" si="41"/>
        <v>191.40734614305336</v>
      </c>
      <c r="CW21" s="60">
        <f>'CAM Majors'!A21</f>
        <v>50530</v>
      </c>
      <c r="CX21" s="2" t="str">
        <f>'CAM Majors'!B21</f>
        <v>Parking Lot Light Repairs</v>
      </c>
      <c r="CY21" s="500">
        <f>'CAM Majors'!C21</f>
        <v>3600</v>
      </c>
      <c r="CZ21" s="461">
        <v>0</v>
      </c>
      <c r="DA21" s="383">
        <f t="shared" si="42"/>
        <v>3600</v>
      </c>
      <c r="DB21" s="242">
        <f>$CY$8/'CAM Majors'!$D21</f>
        <v>2.343853845131371E-2</v>
      </c>
      <c r="DC21" s="463">
        <f t="shared" si="43"/>
        <v>84.378738424729363</v>
      </c>
      <c r="DD21" s="463">
        <f t="shared" si="44"/>
        <v>8.4378738424729374</v>
      </c>
      <c r="DE21" s="464">
        <f t="shared" si="45"/>
        <v>92.816612267202302</v>
      </c>
      <c r="DF21" s="60">
        <f>'CAM Majors'!A21</f>
        <v>50530</v>
      </c>
      <c r="DG21" s="2" t="str">
        <f>'CAM Majors'!B21</f>
        <v>Parking Lot Light Repairs</v>
      </c>
      <c r="DH21" s="500">
        <f>'CAM Majors'!C21</f>
        <v>3600</v>
      </c>
      <c r="DI21" s="461">
        <v>0</v>
      </c>
      <c r="DJ21" s="383">
        <f t="shared" si="46"/>
        <v>3600</v>
      </c>
      <c r="DK21" s="242">
        <f>$DH$8/'CAM Majors'!$D21</f>
        <v>1.9199810955707514E-2</v>
      </c>
      <c r="DL21" s="463">
        <f t="shared" si="47"/>
        <v>69.119319440547045</v>
      </c>
      <c r="DM21" s="463">
        <f t="shared" si="48"/>
        <v>10.367897916082056</v>
      </c>
      <c r="DN21" s="464">
        <f t="shared" si="49"/>
        <v>79.487217356629102</v>
      </c>
      <c r="DO21" s="60">
        <f>'CAM Majors'!A21</f>
        <v>50530</v>
      </c>
      <c r="DP21" s="2" t="str">
        <f>'CAM Majors'!B21</f>
        <v>Parking Lot Light Repairs</v>
      </c>
      <c r="DQ21" s="500">
        <f>'CAM Majors'!C21</f>
        <v>3600</v>
      </c>
      <c r="DR21" s="461">
        <v>0</v>
      </c>
      <c r="DS21" s="383">
        <f t="shared" si="50"/>
        <v>3600</v>
      </c>
      <c r="DT21" s="242">
        <f>$DQ$8/'CAM Majors'!$D21</f>
        <v>5.2046256775317906E-2</v>
      </c>
      <c r="DU21" s="463">
        <f t="shared" si="51"/>
        <v>187.36652439114445</v>
      </c>
      <c r="DV21" s="463">
        <f t="shared" si="52"/>
        <v>9.3683262195572237</v>
      </c>
      <c r="DW21" s="464">
        <f t="shared" si="53"/>
        <v>196.73485061070167</v>
      </c>
      <c r="DX21" s="60">
        <f>'CAM Majors'!A21</f>
        <v>50530</v>
      </c>
      <c r="DY21" s="2" t="str">
        <f>'CAM Majors'!B21</f>
        <v>Parking Lot Light Repairs</v>
      </c>
      <c r="DZ21" s="500">
        <f>'CAM Majors'!C21</f>
        <v>3600</v>
      </c>
      <c r="EA21" s="461">
        <v>0</v>
      </c>
      <c r="EB21" s="383">
        <f t="shared" si="54"/>
        <v>3600</v>
      </c>
      <c r="EC21" s="242">
        <f>$DZ$8/'CAM Majors'!$D21</f>
        <v>4.4410639649086529E-2</v>
      </c>
      <c r="ED21" s="463">
        <f t="shared" si="55"/>
        <v>159.8783027367115</v>
      </c>
      <c r="EE21" s="463">
        <f t="shared" si="56"/>
        <v>7.9939151368355752</v>
      </c>
      <c r="EF21" s="464">
        <f t="shared" si="57"/>
        <v>167.87221787354707</v>
      </c>
    </row>
    <row r="22" spans="1:136">
      <c r="A22" s="60">
        <f>'CAM Majors'!A22</f>
        <v>51020</v>
      </c>
      <c r="B22" s="2" t="str">
        <f>'CAM Majors'!B22</f>
        <v>General Maintenance</v>
      </c>
      <c r="C22" s="500">
        <f>'CAM Majors'!C22</f>
        <v>3600</v>
      </c>
      <c r="D22" s="461">
        <v>0</v>
      </c>
      <c r="E22" s="383">
        <f t="shared" si="0"/>
        <v>3600</v>
      </c>
      <c r="F22" s="242">
        <f>$C$8/'CAM Majors'!D22</f>
        <v>4.4307256051632722E-2</v>
      </c>
      <c r="G22" s="463">
        <f t="shared" si="1"/>
        <v>159.50612178587781</v>
      </c>
      <c r="H22" s="463">
        <f t="shared" si="2"/>
        <v>15.950612178587782</v>
      </c>
      <c r="I22" s="464">
        <f t="shared" si="3"/>
        <v>175.4567339644656</v>
      </c>
      <c r="J22" s="464"/>
      <c r="K22" s="60">
        <f>'CAM Majors'!A22</f>
        <v>51020</v>
      </c>
      <c r="L22" s="226" t="str">
        <f>'CAM Majors'!B22</f>
        <v>General Maintenance</v>
      </c>
      <c r="M22" s="500">
        <f>'CAM Majors'!C22</f>
        <v>3600</v>
      </c>
      <c r="N22" s="461">
        <v>0</v>
      </c>
      <c r="O22" s="383">
        <f t="shared" si="4"/>
        <v>3600</v>
      </c>
      <c r="P22" s="242">
        <f>$M$8/'CAM Majors'!D22</f>
        <v>2.3999763694634392E-2</v>
      </c>
      <c r="Q22" s="463">
        <f t="shared" si="5"/>
        <v>86.399149300683817</v>
      </c>
      <c r="R22" s="463">
        <f t="shared" si="6"/>
        <v>3.4559659720273528</v>
      </c>
      <c r="S22" s="464">
        <f t="shared" si="7"/>
        <v>89.855115272711174</v>
      </c>
      <c r="T22" s="60">
        <f>'CAM Majors'!A22</f>
        <v>51020</v>
      </c>
      <c r="U22" s="2" t="str">
        <f>'CAM Majors'!B22</f>
        <v>General Maintenance</v>
      </c>
      <c r="V22" s="500">
        <f>'CAM Majors'!C22</f>
        <v>3600</v>
      </c>
      <c r="W22" s="461">
        <v>0</v>
      </c>
      <c r="X22" s="383">
        <f t="shared" si="8"/>
        <v>3600</v>
      </c>
      <c r="Y22" s="242">
        <f>$V$8/'CAM Majors'!D22</f>
        <v>2.0676719490761938E-2</v>
      </c>
      <c r="Z22" s="463">
        <f t="shared" si="9"/>
        <v>74.436190166742975</v>
      </c>
      <c r="AA22" s="463">
        <f t="shared" si="10"/>
        <v>0</v>
      </c>
      <c r="AB22" s="464">
        <f t="shared" si="11"/>
        <v>74.436190166742975</v>
      </c>
      <c r="AC22" s="60">
        <f>'CAM Majors'!A22</f>
        <v>51020</v>
      </c>
      <c r="AD22" s="2" t="str">
        <f>'CAM Majors'!B22</f>
        <v>General Maintenance</v>
      </c>
      <c r="AE22" s="500">
        <f>'CAM Majors'!C22</f>
        <v>3600</v>
      </c>
      <c r="AF22" s="461">
        <v>0</v>
      </c>
      <c r="AG22" s="383">
        <f t="shared" si="12"/>
        <v>3600</v>
      </c>
      <c r="AH22" s="242">
        <f>$AE$8/'CAM Majors'!D22</f>
        <v>1.6423222909805194E-2</v>
      </c>
      <c r="AI22" s="463">
        <f t="shared" si="13"/>
        <v>59.123602475298696</v>
      </c>
      <c r="AJ22" s="463">
        <f t="shared" si="14"/>
        <v>0</v>
      </c>
      <c r="AK22" s="464">
        <f t="shared" si="15"/>
        <v>59.123602475298696</v>
      </c>
      <c r="AL22" s="60">
        <f>'CAM Majors'!A22</f>
        <v>51020</v>
      </c>
      <c r="AM22" s="2" t="str">
        <f>'CAM Majors'!B22</f>
        <v>General Maintenance</v>
      </c>
      <c r="AN22" s="500">
        <f>'CAM Majors'!C22</f>
        <v>3600</v>
      </c>
      <c r="AO22" s="461">
        <v>0</v>
      </c>
      <c r="AP22" s="383">
        <f t="shared" si="16"/>
        <v>3600</v>
      </c>
      <c r="AQ22" s="242">
        <f>$AN$8/'CAM Majors'!D22</f>
        <v>3.6834098864257335E-2</v>
      </c>
      <c r="AR22" s="463">
        <f t="shared" si="17"/>
        <v>132.6027559113264</v>
      </c>
      <c r="AS22" s="463"/>
      <c r="AT22" s="464">
        <f t="shared" si="18"/>
        <v>132.6027559113264</v>
      </c>
      <c r="AU22" s="60">
        <f>'CAM Majors'!A22</f>
        <v>51020</v>
      </c>
      <c r="AV22" s="2" t="str">
        <f>'CAM Majors'!B22</f>
        <v>General Maintenance</v>
      </c>
      <c r="AW22" s="500">
        <f>'CAM Majors'!C22</f>
        <v>3600</v>
      </c>
      <c r="AX22" s="461">
        <v>0</v>
      </c>
      <c r="AY22" s="383">
        <f t="shared" si="19"/>
        <v>3600</v>
      </c>
      <c r="AZ22" s="242">
        <f>$AW$8/'CAM Majors'!$D22</f>
        <v>2.2153628025816361E-2</v>
      </c>
      <c r="BA22" s="463">
        <f t="shared" si="20"/>
        <v>79.753060892938905</v>
      </c>
      <c r="BB22" s="463">
        <f t="shared" si="21"/>
        <v>0</v>
      </c>
      <c r="BC22" s="464">
        <f t="shared" si="22"/>
        <v>79.753060892938905</v>
      </c>
      <c r="BD22" s="60">
        <f>'CAM Majors'!A22</f>
        <v>51020</v>
      </c>
      <c r="BE22" s="2" t="str">
        <f>'CAM Majors'!B22</f>
        <v>General Maintenance</v>
      </c>
      <c r="BF22" s="500">
        <f>'CAM Majors'!C22</f>
        <v>3600</v>
      </c>
      <c r="BG22" s="461">
        <v>0</v>
      </c>
      <c r="BH22" s="383">
        <f t="shared" si="23"/>
        <v>3600</v>
      </c>
      <c r="BI22" s="242">
        <f>$BF$8/'CAM Majors'!$D22</f>
        <v>2.5609593997843714E-2</v>
      </c>
      <c r="BJ22" s="463">
        <f t="shared" si="24"/>
        <v>92.194538392237376</v>
      </c>
      <c r="BK22" s="463">
        <f t="shared" si="25"/>
        <v>4.6097269196118686</v>
      </c>
      <c r="BL22" s="464">
        <f t="shared" si="26"/>
        <v>96.80426531184925</v>
      </c>
      <c r="BM22" s="60">
        <f>'CAM Majors'!A22</f>
        <v>51020</v>
      </c>
      <c r="BN22" s="2" t="str">
        <f>'CAM Majors'!B22</f>
        <v>General Maintenance</v>
      </c>
      <c r="BO22" s="500">
        <f>'CAM Majors'!C22</f>
        <v>3600</v>
      </c>
      <c r="BP22" s="461">
        <v>0</v>
      </c>
      <c r="BQ22" s="383">
        <f t="shared" si="27"/>
        <v>3600</v>
      </c>
      <c r="BR22" s="242">
        <f>$BO$8/'CAM Majors'!$D22</f>
        <v>5.7599432867122539E-2</v>
      </c>
      <c r="BS22" s="463">
        <f t="shared" si="28"/>
        <v>207.35795832164115</v>
      </c>
      <c r="BT22" s="463">
        <f t="shared" si="29"/>
        <v>0</v>
      </c>
      <c r="BU22" s="464">
        <f t="shared" si="30"/>
        <v>207.35795832164115</v>
      </c>
      <c r="BV22" s="60">
        <f>'CAM Majors'!A22</f>
        <v>51020</v>
      </c>
      <c r="BW22" s="2" t="str">
        <f>'CAM Majors'!B22</f>
        <v>General Maintenance</v>
      </c>
      <c r="BX22" s="500">
        <f>'CAM Majors'!C22</f>
        <v>3600</v>
      </c>
      <c r="BY22" s="461">
        <v>0</v>
      </c>
      <c r="BZ22" s="383">
        <f t="shared" si="31"/>
        <v>3600</v>
      </c>
      <c r="CA22" s="242">
        <f>$BX$8/'CAM Majors'!$D22</f>
        <v>1.9007812846150437E-2</v>
      </c>
      <c r="CB22" s="463">
        <f t="shared" si="32"/>
        <v>68.428126246141574</v>
      </c>
      <c r="CC22" s="463">
        <f t="shared" si="33"/>
        <v>0</v>
      </c>
      <c r="CD22" s="464">
        <f t="shared" si="34"/>
        <v>68.428126246141574</v>
      </c>
      <c r="CE22" s="60">
        <f>'CAM Majors'!A22</f>
        <v>51020</v>
      </c>
      <c r="CF22" s="2" t="str">
        <f>'CAM Majors'!B22</f>
        <v>General Maintenance</v>
      </c>
      <c r="CG22" s="500">
        <f>'CAM Majors'!C22</f>
        <v>3600</v>
      </c>
      <c r="CH22" s="461">
        <v>0</v>
      </c>
      <c r="CI22" s="383">
        <f t="shared" si="35"/>
        <v>3600</v>
      </c>
      <c r="CJ22" s="242">
        <f>$CG$8/'CAM Majors'!$D22</f>
        <v>2.420653088954201E-2</v>
      </c>
      <c r="CK22" s="463">
        <f t="shared" si="36"/>
        <v>87.143511202351235</v>
      </c>
      <c r="CL22" s="463">
        <f t="shared" si="37"/>
        <v>0</v>
      </c>
      <c r="CM22" s="464">
        <f t="shared" si="38"/>
        <v>87.143511202351235</v>
      </c>
      <c r="CN22" s="60">
        <f>'CAM Majors'!A22</f>
        <v>51020</v>
      </c>
      <c r="CO22" s="2" t="str">
        <f>'CAM Majors'!B22</f>
        <v>General Maintenance</v>
      </c>
      <c r="CP22" s="500">
        <f>'CAM Majors'!C22</f>
        <v>3600</v>
      </c>
      <c r="CQ22" s="461">
        <v>0</v>
      </c>
      <c r="CR22" s="383">
        <f t="shared" si="39"/>
        <v>3600</v>
      </c>
      <c r="CS22" s="242">
        <f>$CP$8/'CAM Majors'!$D22</f>
        <v>5.3168707261959269E-2</v>
      </c>
      <c r="CT22" s="463">
        <f t="shared" si="40"/>
        <v>191.40734614305336</v>
      </c>
      <c r="CU22" s="463"/>
      <c r="CV22" s="464">
        <f t="shared" si="41"/>
        <v>191.40734614305336</v>
      </c>
      <c r="CW22" s="60">
        <f>'CAM Majors'!A22</f>
        <v>51020</v>
      </c>
      <c r="CX22" s="2" t="str">
        <f>'CAM Majors'!B22</f>
        <v>General Maintenance</v>
      </c>
      <c r="CY22" s="500">
        <f>'CAM Majors'!C22</f>
        <v>3600</v>
      </c>
      <c r="CZ22" s="461">
        <v>0</v>
      </c>
      <c r="DA22" s="383">
        <f t="shared" si="42"/>
        <v>3600</v>
      </c>
      <c r="DB22" s="242">
        <f>$CY$8/'CAM Majors'!$D22</f>
        <v>2.343853845131371E-2</v>
      </c>
      <c r="DC22" s="463">
        <f t="shared" si="43"/>
        <v>84.378738424729363</v>
      </c>
      <c r="DD22" s="463">
        <f t="shared" si="44"/>
        <v>8.4378738424729374</v>
      </c>
      <c r="DE22" s="464">
        <f t="shared" si="45"/>
        <v>92.816612267202302</v>
      </c>
      <c r="DF22" s="60">
        <f>'CAM Majors'!A22</f>
        <v>51020</v>
      </c>
      <c r="DG22" s="2" t="str">
        <f>'CAM Majors'!B22</f>
        <v>General Maintenance</v>
      </c>
      <c r="DH22" s="500">
        <f>'CAM Majors'!C22</f>
        <v>3600</v>
      </c>
      <c r="DI22" s="461">
        <v>0</v>
      </c>
      <c r="DJ22" s="383">
        <f t="shared" si="46"/>
        <v>3600</v>
      </c>
      <c r="DK22" s="242">
        <f>$DH$8/'CAM Majors'!$D22</f>
        <v>1.9199810955707514E-2</v>
      </c>
      <c r="DL22" s="463">
        <f t="shared" si="47"/>
        <v>69.119319440547045</v>
      </c>
      <c r="DM22" s="463">
        <f t="shared" si="48"/>
        <v>10.367897916082056</v>
      </c>
      <c r="DN22" s="464">
        <f t="shared" si="49"/>
        <v>79.487217356629102</v>
      </c>
      <c r="DO22" s="60">
        <f>'CAM Majors'!A22</f>
        <v>51020</v>
      </c>
      <c r="DP22" s="2" t="str">
        <f>'CAM Majors'!B22</f>
        <v>General Maintenance</v>
      </c>
      <c r="DQ22" s="500">
        <f>'CAM Majors'!C22</f>
        <v>3600</v>
      </c>
      <c r="DR22" s="461">
        <v>0</v>
      </c>
      <c r="DS22" s="383">
        <f t="shared" si="50"/>
        <v>3600</v>
      </c>
      <c r="DT22" s="242">
        <f>$DQ$8/'CAM Majors'!$D22</f>
        <v>5.2046256775317906E-2</v>
      </c>
      <c r="DU22" s="463">
        <f t="shared" si="51"/>
        <v>187.36652439114445</v>
      </c>
      <c r="DV22" s="463">
        <f t="shared" si="52"/>
        <v>9.3683262195572237</v>
      </c>
      <c r="DW22" s="464">
        <f t="shared" si="53"/>
        <v>196.73485061070167</v>
      </c>
      <c r="DX22" s="60">
        <f>'CAM Majors'!A22</f>
        <v>51020</v>
      </c>
      <c r="DY22" s="2" t="str">
        <f>'CAM Majors'!B22</f>
        <v>General Maintenance</v>
      </c>
      <c r="DZ22" s="500">
        <f>'CAM Majors'!C22</f>
        <v>3600</v>
      </c>
      <c r="EA22" s="461">
        <v>0</v>
      </c>
      <c r="EB22" s="383">
        <f t="shared" si="54"/>
        <v>3600</v>
      </c>
      <c r="EC22" s="242">
        <f>$DZ$8/'CAM Majors'!$D22</f>
        <v>4.4410639649086529E-2</v>
      </c>
      <c r="ED22" s="463">
        <f t="shared" si="55"/>
        <v>159.8783027367115</v>
      </c>
      <c r="EE22" s="463">
        <f t="shared" si="56"/>
        <v>7.9939151368355752</v>
      </c>
      <c r="EF22" s="464">
        <f t="shared" si="57"/>
        <v>167.87221787354707</v>
      </c>
    </row>
    <row r="23" spans="1:136">
      <c r="A23" s="60">
        <f>'CAM Majors'!A23</f>
        <v>51040</v>
      </c>
      <c r="B23" s="2" t="str">
        <f>'CAM Majors'!B23</f>
        <v>Day Porter</v>
      </c>
      <c r="C23" s="500">
        <f>'CAM Majors'!C23</f>
        <v>10500</v>
      </c>
      <c r="D23" s="461">
        <v>0</v>
      </c>
      <c r="E23" s="383">
        <f t="shared" si="0"/>
        <v>10500</v>
      </c>
      <c r="F23" s="242">
        <f>$C$8/'CAM Majors'!D23</f>
        <v>4.4307256051632722E-2</v>
      </c>
      <c r="G23" s="463">
        <f t="shared" si="1"/>
        <v>465.22618854214357</v>
      </c>
      <c r="H23" s="463">
        <f t="shared" si="2"/>
        <v>46.522618854214357</v>
      </c>
      <c r="I23" s="464">
        <f t="shared" si="3"/>
        <v>511.74880739635796</v>
      </c>
      <c r="J23" s="464"/>
      <c r="K23" s="60">
        <f>'CAM Majors'!A23</f>
        <v>51040</v>
      </c>
      <c r="L23" s="226" t="str">
        <f>'CAM Majors'!B23</f>
        <v>Day Porter</v>
      </c>
      <c r="M23" s="500">
        <f>'CAM Majors'!C23</f>
        <v>10500</v>
      </c>
      <c r="N23" s="461">
        <v>0</v>
      </c>
      <c r="O23" s="383">
        <f t="shared" si="4"/>
        <v>10500</v>
      </c>
      <c r="P23" s="242">
        <f>$M$8/'CAM Majors'!D23</f>
        <v>2.3999763694634392E-2</v>
      </c>
      <c r="Q23" s="463">
        <f t="shared" si="5"/>
        <v>251.99751879366113</v>
      </c>
      <c r="R23" s="463">
        <f t="shared" si="6"/>
        <v>10.079900751746445</v>
      </c>
      <c r="S23" s="464">
        <f t="shared" si="7"/>
        <v>262.07741954540757</v>
      </c>
      <c r="T23" s="60">
        <f>'CAM Majors'!A23</f>
        <v>51040</v>
      </c>
      <c r="U23" s="2" t="str">
        <f>'CAM Majors'!B23</f>
        <v>Day Porter</v>
      </c>
      <c r="V23" s="500">
        <f>'CAM Majors'!C23</f>
        <v>10500</v>
      </c>
      <c r="W23" s="461">
        <v>0</v>
      </c>
      <c r="X23" s="383">
        <f t="shared" si="8"/>
        <v>10500</v>
      </c>
      <c r="Y23" s="242">
        <f>$V$8/'CAM Majors'!D23</f>
        <v>2.0676719490761938E-2</v>
      </c>
      <c r="Z23" s="463">
        <f t="shared" si="9"/>
        <v>217.10555465300035</v>
      </c>
      <c r="AA23" s="463">
        <f t="shared" si="10"/>
        <v>0</v>
      </c>
      <c r="AB23" s="464">
        <f t="shared" si="11"/>
        <v>217.10555465300035</v>
      </c>
      <c r="AC23" s="60">
        <f>'CAM Majors'!A23</f>
        <v>51040</v>
      </c>
      <c r="AD23" s="2" t="str">
        <f>'CAM Majors'!B23</f>
        <v>Day Porter</v>
      </c>
      <c r="AE23" s="500">
        <f>'CAM Majors'!C23</f>
        <v>10500</v>
      </c>
      <c r="AF23" s="461">
        <v>0</v>
      </c>
      <c r="AG23" s="383">
        <f t="shared" si="12"/>
        <v>10500</v>
      </c>
      <c r="AH23" s="242">
        <f>$AE$8/'CAM Majors'!D23</f>
        <v>1.6423222909805194E-2</v>
      </c>
      <c r="AI23" s="463">
        <f t="shared" si="13"/>
        <v>172.44384055295453</v>
      </c>
      <c r="AJ23" s="463">
        <f t="shared" si="14"/>
        <v>0</v>
      </c>
      <c r="AK23" s="464">
        <f t="shared" si="15"/>
        <v>172.44384055295453</v>
      </c>
      <c r="AL23" s="60">
        <f>'CAM Majors'!A23</f>
        <v>51040</v>
      </c>
      <c r="AM23" s="2" t="str">
        <f>'CAM Majors'!B23</f>
        <v>Day Porter</v>
      </c>
      <c r="AN23" s="500">
        <f>'CAM Majors'!C23</f>
        <v>10500</v>
      </c>
      <c r="AO23" s="461">
        <v>0</v>
      </c>
      <c r="AP23" s="383">
        <f t="shared" si="16"/>
        <v>10500</v>
      </c>
      <c r="AQ23" s="242">
        <f>$AN$8/'CAM Majors'!D23</f>
        <v>3.6834098864257335E-2</v>
      </c>
      <c r="AR23" s="463">
        <f t="shared" si="17"/>
        <v>386.75803807470203</v>
      </c>
      <c r="AS23" s="463"/>
      <c r="AT23" s="464">
        <f t="shared" si="18"/>
        <v>386.75803807470203</v>
      </c>
      <c r="AU23" s="60">
        <f>'CAM Majors'!A23</f>
        <v>51040</v>
      </c>
      <c r="AV23" s="2" t="str">
        <f>'CAM Majors'!B23</f>
        <v>Day Porter</v>
      </c>
      <c r="AW23" s="500">
        <f>'CAM Majors'!C23</f>
        <v>10500</v>
      </c>
      <c r="AX23" s="461">
        <v>0</v>
      </c>
      <c r="AY23" s="383">
        <f t="shared" si="19"/>
        <v>10500</v>
      </c>
      <c r="AZ23" s="242">
        <f>$AW$8/'CAM Majors'!$D23</f>
        <v>2.2153628025816361E-2</v>
      </c>
      <c r="BA23" s="463">
        <f t="shared" si="20"/>
        <v>232.61309427107179</v>
      </c>
      <c r="BB23" s="463">
        <f t="shared" si="21"/>
        <v>0</v>
      </c>
      <c r="BC23" s="464">
        <f t="shared" si="22"/>
        <v>232.61309427107179</v>
      </c>
      <c r="BD23" s="60">
        <f>'CAM Majors'!A23</f>
        <v>51040</v>
      </c>
      <c r="BE23" s="2" t="str">
        <f>'CAM Majors'!B23</f>
        <v>Day Porter</v>
      </c>
      <c r="BF23" s="500">
        <f>'CAM Majors'!C23</f>
        <v>10500</v>
      </c>
      <c r="BG23" s="461">
        <v>0</v>
      </c>
      <c r="BH23" s="383">
        <f t="shared" si="23"/>
        <v>10500</v>
      </c>
      <c r="BI23" s="242">
        <f>$BF$8/'CAM Majors'!$D23</f>
        <v>2.5609593997843714E-2</v>
      </c>
      <c r="BJ23" s="463">
        <f t="shared" si="24"/>
        <v>268.90073697735897</v>
      </c>
      <c r="BK23" s="463">
        <f t="shared" si="25"/>
        <v>13.44503684886795</v>
      </c>
      <c r="BL23" s="464">
        <f t="shared" si="26"/>
        <v>282.34577382622695</v>
      </c>
      <c r="BM23" s="60">
        <f>'CAM Majors'!A23</f>
        <v>51040</v>
      </c>
      <c r="BN23" s="2" t="str">
        <f>'CAM Majors'!B23</f>
        <v>Day Porter</v>
      </c>
      <c r="BO23" s="500">
        <f>'CAM Majors'!C23</f>
        <v>10500</v>
      </c>
      <c r="BP23" s="461">
        <v>0</v>
      </c>
      <c r="BQ23" s="383">
        <f t="shared" si="27"/>
        <v>10500</v>
      </c>
      <c r="BR23" s="242">
        <f>$BO$8/'CAM Majors'!$D23</f>
        <v>5.7599432867122539E-2</v>
      </c>
      <c r="BS23" s="463">
        <f t="shared" si="28"/>
        <v>604.79404510478662</v>
      </c>
      <c r="BT23" s="463">
        <f t="shared" si="29"/>
        <v>0</v>
      </c>
      <c r="BU23" s="464">
        <f t="shared" si="30"/>
        <v>604.79404510478662</v>
      </c>
      <c r="BV23" s="60">
        <f>'CAM Majors'!A23</f>
        <v>51040</v>
      </c>
      <c r="BW23" s="2" t="str">
        <f>'CAM Majors'!B23</f>
        <v>Day Porter</v>
      </c>
      <c r="BX23" s="500">
        <f>'CAM Majors'!C23</f>
        <v>10500</v>
      </c>
      <c r="BY23" s="461">
        <v>0</v>
      </c>
      <c r="BZ23" s="383">
        <f t="shared" si="31"/>
        <v>10500</v>
      </c>
      <c r="CA23" s="242">
        <f>$BX$8/'CAM Majors'!$D23</f>
        <v>1.9007812846150437E-2</v>
      </c>
      <c r="CB23" s="463">
        <f t="shared" si="32"/>
        <v>199.5820348845796</v>
      </c>
      <c r="CC23" s="463">
        <f t="shared" si="33"/>
        <v>0</v>
      </c>
      <c r="CD23" s="464">
        <f t="shared" si="34"/>
        <v>199.5820348845796</v>
      </c>
      <c r="CE23" s="60">
        <f>'CAM Majors'!A23</f>
        <v>51040</v>
      </c>
      <c r="CF23" s="2" t="str">
        <f>'CAM Majors'!B23</f>
        <v>Day Porter</v>
      </c>
      <c r="CG23" s="500">
        <f>'CAM Majors'!C23</f>
        <v>10500</v>
      </c>
      <c r="CH23" s="461">
        <v>0</v>
      </c>
      <c r="CI23" s="383">
        <f t="shared" si="35"/>
        <v>10500</v>
      </c>
      <c r="CJ23" s="242">
        <f>$CG$8/'CAM Majors'!$D23</f>
        <v>2.420653088954201E-2</v>
      </c>
      <c r="CK23" s="463">
        <f t="shared" si="36"/>
        <v>254.1685743401911</v>
      </c>
      <c r="CL23" s="463">
        <f t="shared" si="37"/>
        <v>0</v>
      </c>
      <c r="CM23" s="464">
        <f t="shared" si="38"/>
        <v>254.1685743401911</v>
      </c>
      <c r="CN23" s="60">
        <f>'CAM Majors'!A23</f>
        <v>51040</v>
      </c>
      <c r="CO23" s="2" t="str">
        <f>'CAM Majors'!B23</f>
        <v>Day Porter</v>
      </c>
      <c r="CP23" s="500">
        <f>'CAM Majors'!C23</f>
        <v>10500</v>
      </c>
      <c r="CQ23" s="461">
        <v>0</v>
      </c>
      <c r="CR23" s="383">
        <f t="shared" si="39"/>
        <v>10500</v>
      </c>
      <c r="CS23" s="242">
        <f>$CP$8/'CAM Majors'!$D23</f>
        <v>5.3168707261959269E-2</v>
      </c>
      <c r="CT23" s="463">
        <f t="shared" si="40"/>
        <v>558.27142625057229</v>
      </c>
      <c r="CU23" s="463"/>
      <c r="CV23" s="464">
        <f t="shared" si="41"/>
        <v>558.27142625057229</v>
      </c>
      <c r="CW23" s="60">
        <f>'CAM Majors'!A23</f>
        <v>51040</v>
      </c>
      <c r="CX23" s="2" t="str">
        <f>'CAM Majors'!B23</f>
        <v>Day Porter</v>
      </c>
      <c r="CY23" s="500">
        <f>'CAM Majors'!C23</f>
        <v>10500</v>
      </c>
      <c r="CZ23" s="461">
        <v>0</v>
      </c>
      <c r="DA23" s="383">
        <f t="shared" si="42"/>
        <v>10500</v>
      </c>
      <c r="DB23" s="242">
        <f>$CY$8/'CAM Majors'!$D23</f>
        <v>2.343853845131371E-2</v>
      </c>
      <c r="DC23" s="463">
        <f t="shared" si="43"/>
        <v>246.10465373879396</v>
      </c>
      <c r="DD23" s="463">
        <f t="shared" si="44"/>
        <v>24.610465373879396</v>
      </c>
      <c r="DE23" s="464">
        <f t="shared" si="45"/>
        <v>270.71511911267334</v>
      </c>
      <c r="DF23" s="60">
        <f>'CAM Majors'!A23</f>
        <v>51040</v>
      </c>
      <c r="DG23" s="2" t="str">
        <f>'CAM Majors'!B23</f>
        <v>Day Porter</v>
      </c>
      <c r="DH23" s="500">
        <f>'CAM Majors'!C23</f>
        <v>10500</v>
      </c>
      <c r="DI23" s="461">
        <v>0</v>
      </c>
      <c r="DJ23" s="383">
        <f t="shared" si="46"/>
        <v>10500</v>
      </c>
      <c r="DK23" s="242">
        <f>$DH$8/'CAM Majors'!$D23</f>
        <v>1.9199810955707514E-2</v>
      </c>
      <c r="DL23" s="463">
        <f t="shared" si="47"/>
        <v>201.59801503492889</v>
      </c>
      <c r="DM23" s="463">
        <f t="shared" si="48"/>
        <v>30.239702255239333</v>
      </c>
      <c r="DN23" s="464">
        <f t="shared" si="49"/>
        <v>231.83771729016823</v>
      </c>
      <c r="DO23" s="60">
        <f>'CAM Majors'!A23</f>
        <v>51040</v>
      </c>
      <c r="DP23" s="2" t="str">
        <f>'CAM Majors'!B23</f>
        <v>Day Porter</v>
      </c>
      <c r="DQ23" s="500">
        <f>'CAM Majors'!C23</f>
        <v>10500</v>
      </c>
      <c r="DR23" s="461">
        <v>0</v>
      </c>
      <c r="DS23" s="383">
        <f t="shared" si="50"/>
        <v>10500</v>
      </c>
      <c r="DT23" s="242">
        <f>$DQ$8/'CAM Majors'!$D23</f>
        <v>5.2046256775317906E-2</v>
      </c>
      <c r="DU23" s="463">
        <f t="shared" si="51"/>
        <v>546.48569614083806</v>
      </c>
      <c r="DV23" s="463">
        <f t="shared" si="52"/>
        <v>27.324284807041906</v>
      </c>
      <c r="DW23" s="464">
        <f t="shared" si="53"/>
        <v>573.80998094787992</v>
      </c>
      <c r="DX23" s="60">
        <f>'CAM Majors'!A23</f>
        <v>51040</v>
      </c>
      <c r="DY23" s="2" t="str">
        <f>'CAM Majors'!B23</f>
        <v>Day Porter</v>
      </c>
      <c r="DZ23" s="500">
        <f>'CAM Majors'!C23</f>
        <v>10500</v>
      </c>
      <c r="EA23" s="461">
        <v>0</v>
      </c>
      <c r="EB23" s="383">
        <f t="shared" si="54"/>
        <v>10500</v>
      </c>
      <c r="EC23" s="242">
        <f>$DZ$8/'CAM Majors'!$D23</f>
        <v>4.4410639649086529E-2</v>
      </c>
      <c r="ED23" s="463">
        <f t="shared" si="55"/>
        <v>466.31171631540855</v>
      </c>
      <c r="EE23" s="463">
        <f t="shared" si="56"/>
        <v>23.315585815770429</v>
      </c>
      <c r="EF23" s="464">
        <f t="shared" si="57"/>
        <v>489.62730213117896</v>
      </c>
    </row>
    <row r="24" spans="1:136">
      <c r="A24" s="60">
        <f>'CAM Majors'!A24</f>
        <v>52010</v>
      </c>
      <c r="B24" s="2" t="str">
        <f>'CAM Majors'!B24</f>
        <v>Janitorial Supplies</v>
      </c>
      <c r="C24" s="500">
        <f>'CAM Majors'!C24</f>
        <v>200</v>
      </c>
      <c r="D24" s="461">
        <v>0</v>
      </c>
      <c r="E24" s="383">
        <f t="shared" si="0"/>
        <v>200</v>
      </c>
      <c r="F24" s="242">
        <f>$C$8/'CAM Majors'!D24</f>
        <v>4.4307256051632722E-2</v>
      </c>
      <c r="G24" s="463">
        <f t="shared" si="1"/>
        <v>8.8614512103265444</v>
      </c>
      <c r="H24" s="463">
        <f t="shared" si="2"/>
        <v>0.88614512103265453</v>
      </c>
      <c r="I24" s="464">
        <f t="shared" si="3"/>
        <v>9.7475963313591993</v>
      </c>
      <c r="J24" s="464"/>
      <c r="K24" s="60">
        <f>'CAM Majors'!A24</f>
        <v>52010</v>
      </c>
      <c r="L24" s="226" t="str">
        <f>'CAM Majors'!B24</f>
        <v>Janitorial Supplies</v>
      </c>
      <c r="M24" s="500">
        <f>'CAM Majors'!C24</f>
        <v>200</v>
      </c>
      <c r="N24" s="461">
        <v>0</v>
      </c>
      <c r="O24" s="383">
        <f t="shared" si="4"/>
        <v>200</v>
      </c>
      <c r="P24" s="242">
        <f>$M$8/'CAM Majors'!D24</f>
        <v>2.3999763694634392E-2</v>
      </c>
      <c r="Q24" s="463">
        <f t="shared" si="5"/>
        <v>4.7999527389268781</v>
      </c>
      <c r="R24" s="463">
        <f t="shared" si="6"/>
        <v>0.19199810955707514</v>
      </c>
      <c r="S24" s="464">
        <f t="shared" si="7"/>
        <v>4.9919508484839534</v>
      </c>
      <c r="T24" s="60">
        <f>'CAM Majors'!A24</f>
        <v>52010</v>
      </c>
      <c r="U24" s="2" t="str">
        <f>'CAM Majors'!B24</f>
        <v>Janitorial Supplies</v>
      </c>
      <c r="V24" s="500">
        <f>'CAM Majors'!C24</f>
        <v>200</v>
      </c>
      <c r="W24" s="461">
        <v>0</v>
      </c>
      <c r="X24" s="383">
        <f t="shared" si="8"/>
        <v>200</v>
      </c>
      <c r="Y24" s="242">
        <f>$V$8/'CAM Majors'!D24</f>
        <v>2.0676719490761938E-2</v>
      </c>
      <c r="Z24" s="463">
        <f t="shared" si="9"/>
        <v>4.1353438981523878</v>
      </c>
      <c r="AA24" s="463">
        <f t="shared" si="10"/>
        <v>0</v>
      </c>
      <c r="AB24" s="464">
        <f t="shared" si="11"/>
        <v>4.1353438981523878</v>
      </c>
      <c r="AC24" s="60">
        <f>'CAM Majors'!A24</f>
        <v>52010</v>
      </c>
      <c r="AD24" s="2" t="str">
        <f>'CAM Majors'!B24</f>
        <v>Janitorial Supplies</v>
      </c>
      <c r="AE24" s="500">
        <f>'CAM Majors'!C24</f>
        <v>200</v>
      </c>
      <c r="AF24" s="461">
        <v>0</v>
      </c>
      <c r="AG24" s="383">
        <f t="shared" si="12"/>
        <v>200</v>
      </c>
      <c r="AH24" s="242">
        <f>$AE$8/'CAM Majors'!D24</f>
        <v>1.6423222909805194E-2</v>
      </c>
      <c r="AI24" s="463">
        <f t="shared" si="13"/>
        <v>3.284644581961039</v>
      </c>
      <c r="AJ24" s="463">
        <f t="shared" si="14"/>
        <v>0</v>
      </c>
      <c r="AK24" s="464">
        <f t="shared" si="15"/>
        <v>3.284644581961039</v>
      </c>
      <c r="AL24" s="60">
        <f>'CAM Majors'!A24</f>
        <v>52010</v>
      </c>
      <c r="AM24" s="2" t="str">
        <f>'CAM Majors'!B24</f>
        <v>Janitorial Supplies</v>
      </c>
      <c r="AN24" s="500">
        <f>'CAM Majors'!C24</f>
        <v>200</v>
      </c>
      <c r="AO24" s="461">
        <v>0</v>
      </c>
      <c r="AP24" s="383">
        <f t="shared" si="16"/>
        <v>200</v>
      </c>
      <c r="AQ24" s="242">
        <f>$AN$8/'CAM Majors'!D24</f>
        <v>3.6834098864257335E-2</v>
      </c>
      <c r="AR24" s="463">
        <f t="shared" si="17"/>
        <v>7.3668197728514668</v>
      </c>
      <c r="AS24" s="463"/>
      <c r="AT24" s="464">
        <f t="shared" si="18"/>
        <v>7.3668197728514668</v>
      </c>
      <c r="AU24" s="60">
        <f>'CAM Majors'!A24</f>
        <v>52010</v>
      </c>
      <c r="AV24" s="2" t="str">
        <f>'CAM Majors'!B24</f>
        <v>Janitorial Supplies</v>
      </c>
      <c r="AW24" s="500">
        <f>'CAM Majors'!C24</f>
        <v>200</v>
      </c>
      <c r="AX24" s="461">
        <v>0</v>
      </c>
      <c r="AY24" s="383">
        <f t="shared" si="19"/>
        <v>200</v>
      </c>
      <c r="AZ24" s="242">
        <f>$AW$8/'CAM Majors'!$D24</f>
        <v>2.2153628025816361E-2</v>
      </c>
      <c r="BA24" s="463">
        <f t="shared" si="20"/>
        <v>4.4307256051632722</v>
      </c>
      <c r="BB24" s="463">
        <f t="shared" si="21"/>
        <v>0</v>
      </c>
      <c r="BC24" s="464">
        <f t="shared" si="22"/>
        <v>4.4307256051632722</v>
      </c>
      <c r="BD24" s="60">
        <f>'CAM Majors'!A24</f>
        <v>52010</v>
      </c>
      <c r="BE24" s="2" t="str">
        <f>'CAM Majors'!B24</f>
        <v>Janitorial Supplies</v>
      </c>
      <c r="BF24" s="500">
        <f>'CAM Majors'!C24</f>
        <v>200</v>
      </c>
      <c r="BG24" s="461">
        <v>0</v>
      </c>
      <c r="BH24" s="383">
        <f t="shared" si="23"/>
        <v>200</v>
      </c>
      <c r="BI24" s="242">
        <f>$BF$8/'CAM Majors'!$D24</f>
        <v>2.5609593997843714E-2</v>
      </c>
      <c r="BJ24" s="463">
        <f t="shared" si="24"/>
        <v>5.1219187995687427</v>
      </c>
      <c r="BK24" s="463">
        <f t="shared" si="25"/>
        <v>0.25609593997843716</v>
      </c>
      <c r="BL24" s="464">
        <f t="shared" si="26"/>
        <v>5.3780147395471802</v>
      </c>
      <c r="BM24" s="60">
        <f>'CAM Majors'!A24</f>
        <v>52010</v>
      </c>
      <c r="BN24" s="2" t="str">
        <f>'CAM Majors'!B24</f>
        <v>Janitorial Supplies</v>
      </c>
      <c r="BO24" s="500">
        <f>'CAM Majors'!C24</f>
        <v>200</v>
      </c>
      <c r="BP24" s="461">
        <v>0</v>
      </c>
      <c r="BQ24" s="383">
        <f t="shared" si="27"/>
        <v>200</v>
      </c>
      <c r="BR24" s="242">
        <f>$BO$8/'CAM Majors'!$D24</f>
        <v>5.7599432867122539E-2</v>
      </c>
      <c r="BS24" s="463">
        <f t="shared" si="28"/>
        <v>11.519886573424508</v>
      </c>
      <c r="BT24" s="463">
        <f t="shared" si="29"/>
        <v>0</v>
      </c>
      <c r="BU24" s="464">
        <f t="shared" si="30"/>
        <v>11.519886573424508</v>
      </c>
      <c r="BV24" s="60">
        <f>'CAM Majors'!A24</f>
        <v>52010</v>
      </c>
      <c r="BW24" s="2" t="str">
        <f>'CAM Majors'!B24</f>
        <v>Janitorial Supplies</v>
      </c>
      <c r="BX24" s="500">
        <f>'CAM Majors'!C24</f>
        <v>200</v>
      </c>
      <c r="BY24" s="461">
        <v>0</v>
      </c>
      <c r="BZ24" s="383">
        <f t="shared" si="31"/>
        <v>200</v>
      </c>
      <c r="CA24" s="242">
        <f>$BX$8/'CAM Majors'!$D24</f>
        <v>1.9007812846150437E-2</v>
      </c>
      <c r="CB24" s="463">
        <f t="shared" si="32"/>
        <v>3.8015625692300872</v>
      </c>
      <c r="CC24" s="463">
        <f t="shared" si="33"/>
        <v>0</v>
      </c>
      <c r="CD24" s="464">
        <f t="shared" si="34"/>
        <v>3.8015625692300872</v>
      </c>
      <c r="CE24" s="60">
        <f>'CAM Majors'!A24</f>
        <v>52010</v>
      </c>
      <c r="CF24" s="2" t="str">
        <f>'CAM Majors'!B24</f>
        <v>Janitorial Supplies</v>
      </c>
      <c r="CG24" s="500">
        <f>'CAM Majors'!C24</f>
        <v>200</v>
      </c>
      <c r="CH24" s="461">
        <v>0</v>
      </c>
      <c r="CI24" s="383">
        <f t="shared" si="35"/>
        <v>200</v>
      </c>
      <c r="CJ24" s="242">
        <f>$CG$8/'CAM Majors'!$D24</f>
        <v>2.420653088954201E-2</v>
      </c>
      <c r="CK24" s="463">
        <f t="shared" si="36"/>
        <v>4.8413061779084021</v>
      </c>
      <c r="CL24" s="463">
        <f t="shared" si="37"/>
        <v>0</v>
      </c>
      <c r="CM24" s="464">
        <f t="shared" si="38"/>
        <v>4.8413061779084021</v>
      </c>
      <c r="CN24" s="60">
        <f>'CAM Majors'!A24</f>
        <v>52010</v>
      </c>
      <c r="CO24" s="2" t="str">
        <f>'CAM Majors'!B24</f>
        <v>Janitorial Supplies</v>
      </c>
      <c r="CP24" s="500">
        <f>'CAM Majors'!C24</f>
        <v>200</v>
      </c>
      <c r="CQ24" s="461">
        <v>0</v>
      </c>
      <c r="CR24" s="383">
        <f t="shared" si="39"/>
        <v>200</v>
      </c>
      <c r="CS24" s="242">
        <f>$CP$8/'CAM Majors'!$D24</f>
        <v>5.3168707261959269E-2</v>
      </c>
      <c r="CT24" s="463">
        <f t="shared" si="40"/>
        <v>10.633741452391854</v>
      </c>
      <c r="CU24" s="463"/>
      <c r="CV24" s="464">
        <f t="shared" si="41"/>
        <v>10.633741452391854</v>
      </c>
      <c r="CW24" s="60">
        <f>'CAM Majors'!A24</f>
        <v>52010</v>
      </c>
      <c r="CX24" s="2" t="str">
        <f>'CAM Majors'!B24</f>
        <v>Janitorial Supplies</v>
      </c>
      <c r="CY24" s="500">
        <f>'CAM Majors'!C24</f>
        <v>200</v>
      </c>
      <c r="CZ24" s="461">
        <v>0</v>
      </c>
      <c r="DA24" s="383">
        <f t="shared" si="42"/>
        <v>200</v>
      </c>
      <c r="DB24" s="242">
        <f>$CY$8/'CAM Majors'!$D24</f>
        <v>2.343853845131371E-2</v>
      </c>
      <c r="DC24" s="463">
        <f t="shared" si="43"/>
        <v>4.6877076902627417</v>
      </c>
      <c r="DD24" s="463">
        <f t="shared" si="44"/>
        <v>0.46877076902627418</v>
      </c>
      <c r="DE24" s="464">
        <f t="shared" si="45"/>
        <v>5.1564784592890156</v>
      </c>
      <c r="DF24" s="60">
        <f>'CAM Majors'!A24</f>
        <v>52010</v>
      </c>
      <c r="DG24" s="2" t="str">
        <f>'CAM Majors'!B24</f>
        <v>Janitorial Supplies</v>
      </c>
      <c r="DH24" s="500">
        <f>'CAM Majors'!C24</f>
        <v>200</v>
      </c>
      <c r="DI24" s="461">
        <v>0</v>
      </c>
      <c r="DJ24" s="383">
        <f t="shared" si="46"/>
        <v>200</v>
      </c>
      <c r="DK24" s="242">
        <f>$DH$8/'CAM Majors'!$D24</f>
        <v>1.9199810955707514E-2</v>
      </c>
      <c r="DL24" s="463">
        <f t="shared" si="47"/>
        <v>3.8399621911415029</v>
      </c>
      <c r="DM24" s="463">
        <f t="shared" si="48"/>
        <v>0.57599432867122546</v>
      </c>
      <c r="DN24" s="464">
        <f t="shared" si="49"/>
        <v>4.4159565198127284</v>
      </c>
      <c r="DO24" s="60">
        <f>'CAM Majors'!A24</f>
        <v>52010</v>
      </c>
      <c r="DP24" s="2" t="str">
        <f>'CAM Majors'!B24</f>
        <v>Janitorial Supplies</v>
      </c>
      <c r="DQ24" s="500">
        <f>'CAM Majors'!C24</f>
        <v>200</v>
      </c>
      <c r="DR24" s="461">
        <v>0</v>
      </c>
      <c r="DS24" s="383">
        <f t="shared" si="50"/>
        <v>200</v>
      </c>
      <c r="DT24" s="242">
        <f>$DQ$8/'CAM Majors'!$D24</f>
        <v>5.2046256775317906E-2</v>
      </c>
      <c r="DU24" s="463">
        <f t="shared" si="51"/>
        <v>10.409251355063581</v>
      </c>
      <c r="DV24" s="463">
        <f t="shared" si="52"/>
        <v>0.52046256775317912</v>
      </c>
      <c r="DW24" s="464">
        <f t="shared" si="53"/>
        <v>10.929713922816761</v>
      </c>
      <c r="DX24" s="60">
        <f>'CAM Majors'!A24</f>
        <v>52010</v>
      </c>
      <c r="DY24" s="2" t="str">
        <f>'CAM Majors'!B24</f>
        <v>Janitorial Supplies</v>
      </c>
      <c r="DZ24" s="500">
        <f>'CAM Majors'!C24</f>
        <v>200</v>
      </c>
      <c r="EA24" s="461">
        <v>0</v>
      </c>
      <c r="EB24" s="383">
        <f t="shared" si="54"/>
        <v>200</v>
      </c>
      <c r="EC24" s="242">
        <f>$DZ$8/'CAM Majors'!$D24</f>
        <v>4.4410639649086529E-2</v>
      </c>
      <c r="ED24" s="463">
        <f t="shared" si="55"/>
        <v>8.8821279298173064</v>
      </c>
      <c r="EE24" s="463">
        <f t="shared" si="56"/>
        <v>0.44410639649086536</v>
      </c>
      <c r="EF24" s="464">
        <f t="shared" si="57"/>
        <v>9.3262343263081711</v>
      </c>
    </row>
    <row r="25" spans="1:136">
      <c r="A25" s="60">
        <f>'CAM Majors'!A25</f>
        <v>51050</v>
      </c>
      <c r="B25" s="2" t="str">
        <f>'CAM Majors'!B25</f>
        <v>Pest Control</v>
      </c>
      <c r="C25" s="500">
        <f>'CAM Majors'!C25</f>
        <v>1188</v>
      </c>
      <c r="D25" s="461">
        <v>0</v>
      </c>
      <c r="E25" s="383">
        <f t="shared" si="0"/>
        <v>1188</v>
      </c>
      <c r="F25" s="242">
        <f>$C$8/'CAM Majors'!D25</f>
        <v>4.4307256051632722E-2</v>
      </c>
      <c r="G25" s="463">
        <f t="shared" si="1"/>
        <v>52.637020189339673</v>
      </c>
      <c r="H25" s="463">
        <f t="shared" si="2"/>
        <v>5.2637020189339676</v>
      </c>
      <c r="I25" s="464">
        <f t="shared" si="3"/>
        <v>57.900722208273642</v>
      </c>
      <c r="J25" s="464"/>
      <c r="K25" s="60">
        <f>'CAM Majors'!A25</f>
        <v>51050</v>
      </c>
      <c r="L25" s="226" t="str">
        <f>'CAM Majors'!B25</f>
        <v>Pest Control</v>
      </c>
      <c r="M25" s="500">
        <f>'CAM Majors'!C25</f>
        <v>1188</v>
      </c>
      <c r="N25" s="461">
        <v>0</v>
      </c>
      <c r="O25" s="383">
        <f t="shared" si="4"/>
        <v>1188</v>
      </c>
      <c r="P25" s="242">
        <f>$M$8/'CAM Majors'!D25</f>
        <v>2.3999763694634392E-2</v>
      </c>
      <c r="Q25" s="463">
        <f t="shared" si="5"/>
        <v>28.511719269225658</v>
      </c>
      <c r="R25" s="463">
        <f t="shared" si="6"/>
        <v>1.1404687707690264</v>
      </c>
      <c r="S25" s="464">
        <f t="shared" si="7"/>
        <v>29.652188039994684</v>
      </c>
      <c r="T25" s="60">
        <f>'CAM Majors'!A25</f>
        <v>51050</v>
      </c>
      <c r="U25" s="2" t="str">
        <f>'CAM Majors'!B25</f>
        <v>Pest Control</v>
      </c>
      <c r="V25" s="500">
        <f>'CAM Majors'!C25</f>
        <v>1188</v>
      </c>
      <c r="W25" s="461">
        <v>0</v>
      </c>
      <c r="X25" s="383">
        <f t="shared" si="8"/>
        <v>1188</v>
      </c>
      <c r="Y25" s="242">
        <f>$V$8/'CAM Majors'!D25</f>
        <v>2.0676719490761938E-2</v>
      </c>
      <c r="Z25" s="463">
        <f t="shared" si="9"/>
        <v>24.563942755025181</v>
      </c>
      <c r="AA25" s="463">
        <f t="shared" si="10"/>
        <v>0</v>
      </c>
      <c r="AB25" s="464">
        <f t="shared" si="11"/>
        <v>24.563942755025181</v>
      </c>
      <c r="AC25" s="60">
        <f>'CAM Majors'!A25</f>
        <v>51050</v>
      </c>
      <c r="AD25" s="2" t="str">
        <f>'CAM Majors'!B25</f>
        <v>Pest Control</v>
      </c>
      <c r="AE25" s="500">
        <f>'CAM Majors'!C25</f>
        <v>1188</v>
      </c>
      <c r="AF25" s="461">
        <v>0</v>
      </c>
      <c r="AG25" s="383">
        <f t="shared" si="12"/>
        <v>1188</v>
      </c>
      <c r="AH25" s="242">
        <f>$AE$8/'CAM Majors'!D25</f>
        <v>1.6423222909805194E-2</v>
      </c>
      <c r="AI25" s="463">
        <f t="shared" si="13"/>
        <v>19.510788816848571</v>
      </c>
      <c r="AJ25" s="463">
        <f t="shared" si="14"/>
        <v>0</v>
      </c>
      <c r="AK25" s="464">
        <f t="shared" si="15"/>
        <v>19.510788816848571</v>
      </c>
      <c r="AL25" s="60">
        <f>'CAM Majors'!A25</f>
        <v>51050</v>
      </c>
      <c r="AM25" s="2" t="str">
        <f>'CAM Majors'!B25</f>
        <v>Pest Control</v>
      </c>
      <c r="AN25" s="500">
        <f>'CAM Majors'!C25</f>
        <v>1188</v>
      </c>
      <c r="AO25" s="461">
        <v>0</v>
      </c>
      <c r="AP25" s="383">
        <f t="shared" si="16"/>
        <v>1188</v>
      </c>
      <c r="AQ25" s="242">
        <f>$AN$8/'CAM Majors'!D25</f>
        <v>3.6834098864257335E-2</v>
      </c>
      <c r="AR25" s="463">
        <f t="shared" si="17"/>
        <v>43.758909450737711</v>
      </c>
      <c r="AS25" s="463"/>
      <c r="AT25" s="464">
        <f t="shared" si="18"/>
        <v>43.758909450737711</v>
      </c>
      <c r="AU25" s="60">
        <f>'CAM Majors'!A25</f>
        <v>51050</v>
      </c>
      <c r="AV25" s="2" t="str">
        <f>'CAM Majors'!B25</f>
        <v>Pest Control</v>
      </c>
      <c r="AW25" s="500">
        <f>'CAM Majors'!C25</f>
        <v>1188</v>
      </c>
      <c r="AX25" s="461">
        <v>0</v>
      </c>
      <c r="AY25" s="383">
        <f t="shared" si="19"/>
        <v>1188</v>
      </c>
      <c r="AZ25" s="242">
        <f>$AW$8/'CAM Majors'!$D25</f>
        <v>2.2153628025816361E-2</v>
      </c>
      <c r="BA25" s="463">
        <f t="shared" si="20"/>
        <v>26.318510094669836</v>
      </c>
      <c r="BB25" s="463">
        <f t="shared" si="21"/>
        <v>0</v>
      </c>
      <c r="BC25" s="464">
        <f t="shared" si="22"/>
        <v>26.318510094669836</v>
      </c>
      <c r="BD25" s="60">
        <f>'CAM Majors'!A25</f>
        <v>51050</v>
      </c>
      <c r="BE25" s="2" t="str">
        <f>'CAM Majors'!B25</f>
        <v>Pest Control</v>
      </c>
      <c r="BF25" s="500">
        <f>'CAM Majors'!C25</f>
        <v>1188</v>
      </c>
      <c r="BG25" s="461">
        <v>0</v>
      </c>
      <c r="BH25" s="383">
        <f t="shared" si="23"/>
        <v>1188</v>
      </c>
      <c r="BI25" s="242">
        <f>$BF$8/'CAM Majors'!$D25</f>
        <v>2.5609593997843714E-2</v>
      </c>
      <c r="BJ25" s="463">
        <f t="shared" si="24"/>
        <v>30.424197669438332</v>
      </c>
      <c r="BK25" s="463">
        <f t="shared" si="25"/>
        <v>1.5212098834719168</v>
      </c>
      <c r="BL25" s="464">
        <f t="shared" si="26"/>
        <v>31.945407552910247</v>
      </c>
      <c r="BM25" s="60">
        <f>'CAM Majors'!A25</f>
        <v>51050</v>
      </c>
      <c r="BN25" s="2" t="str">
        <f>'CAM Majors'!B25</f>
        <v>Pest Control</v>
      </c>
      <c r="BO25" s="500">
        <f>'CAM Majors'!C25</f>
        <v>1188</v>
      </c>
      <c r="BP25" s="461">
        <v>0</v>
      </c>
      <c r="BQ25" s="383">
        <f t="shared" si="27"/>
        <v>1188</v>
      </c>
      <c r="BR25" s="242">
        <f>$BO$8/'CAM Majors'!$D25</f>
        <v>5.7599432867122539E-2</v>
      </c>
      <c r="BS25" s="463">
        <f t="shared" si="28"/>
        <v>68.428126246141574</v>
      </c>
      <c r="BT25" s="463">
        <f t="shared" si="29"/>
        <v>0</v>
      </c>
      <c r="BU25" s="464">
        <f t="shared" si="30"/>
        <v>68.428126246141574</v>
      </c>
      <c r="BV25" s="60">
        <f>'CAM Majors'!A25</f>
        <v>51050</v>
      </c>
      <c r="BW25" s="2" t="str">
        <f>'CAM Majors'!B25</f>
        <v>Pest Control</v>
      </c>
      <c r="BX25" s="500">
        <f>'CAM Majors'!C25</f>
        <v>1188</v>
      </c>
      <c r="BY25" s="461">
        <v>0</v>
      </c>
      <c r="BZ25" s="383">
        <f t="shared" si="31"/>
        <v>1188</v>
      </c>
      <c r="CA25" s="242">
        <f>$BX$8/'CAM Majors'!$D25</f>
        <v>1.9007812846150437E-2</v>
      </c>
      <c r="CB25" s="463">
        <f t="shared" si="32"/>
        <v>22.581281661226718</v>
      </c>
      <c r="CC25" s="463">
        <f t="shared" si="33"/>
        <v>0</v>
      </c>
      <c r="CD25" s="464">
        <f t="shared" si="34"/>
        <v>22.581281661226718</v>
      </c>
      <c r="CE25" s="60">
        <f>'CAM Majors'!A25</f>
        <v>51050</v>
      </c>
      <c r="CF25" s="2" t="str">
        <f>'CAM Majors'!B25</f>
        <v>Pest Control</v>
      </c>
      <c r="CG25" s="500">
        <f>'CAM Majors'!C25</f>
        <v>1188</v>
      </c>
      <c r="CH25" s="461">
        <v>0</v>
      </c>
      <c r="CI25" s="383">
        <f t="shared" si="35"/>
        <v>1188</v>
      </c>
      <c r="CJ25" s="242">
        <f>$CG$8/'CAM Majors'!$D25</f>
        <v>2.420653088954201E-2</v>
      </c>
      <c r="CK25" s="463">
        <f t="shared" si="36"/>
        <v>28.757358696775906</v>
      </c>
      <c r="CL25" s="463">
        <f t="shared" si="37"/>
        <v>0</v>
      </c>
      <c r="CM25" s="464">
        <f t="shared" si="38"/>
        <v>28.757358696775906</v>
      </c>
      <c r="CN25" s="60">
        <f>'CAM Majors'!A25</f>
        <v>51050</v>
      </c>
      <c r="CO25" s="2" t="str">
        <f>'CAM Majors'!B25</f>
        <v>Pest Control</v>
      </c>
      <c r="CP25" s="500">
        <f>'CAM Majors'!C25</f>
        <v>1188</v>
      </c>
      <c r="CQ25" s="461">
        <v>0</v>
      </c>
      <c r="CR25" s="383">
        <f t="shared" si="39"/>
        <v>1188</v>
      </c>
      <c r="CS25" s="242">
        <f>$CP$8/'CAM Majors'!$D25</f>
        <v>5.3168707261959269E-2</v>
      </c>
      <c r="CT25" s="463">
        <f t="shared" si="40"/>
        <v>63.164424227207611</v>
      </c>
      <c r="CU25" s="463"/>
      <c r="CV25" s="464">
        <f t="shared" si="41"/>
        <v>63.164424227207611</v>
      </c>
      <c r="CW25" s="60">
        <f>'CAM Majors'!A25</f>
        <v>51050</v>
      </c>
      <c r="CX25" s="2" t="str">
        <f>'CAM Majors'!B25</f>
        <v>Pest Control</v>
      </c>
      <c r="CY25" s="500">
        <f>'CAM Majors'!C25</f>
        <v>1188</v>
      </c>
      <c r="CZ25" s="461">
        <v>0</v>
      </c>
      <c r="DA25" s="383">
        <f t="shared" si="42"/>
        <v>1188</v>
      </c>
      <c r="DB25" s="242">
        <f>$CY$8/'CAM Majors'!$D25</f>
        <v>2.343853845131371E-2</v>
      </c>
      <c r="DC25" s="463">
        <f t="shared" si="43"/>
        <v>27.844983680160688</v>
      </c>
      <c r="DD25" s="463">
        <f t="shared" si="44"/>
        <v>2.7844983680160689</v>
      </c>
      <c r="DE25" s="464">
        <f t="shared" si="45"/>
        <v>30.629482048176758</v>
      </c>
      <c r="DF25" s="60">
        <f>'CAM Majors'!A25</f>
        <v>51050</v>
      </c>
      <c r="DG25" s="2" t="str">
        <f>'CAM Majors'!B25</f>
        <v>Pest Control</v>
      </c>
      <c r="DH25" s="500">
        <f>'CAM Majors'!C25</f>
        <v>1188</v>
      </c>
      <c r="DI25" s="461">
        <v>0</v>
      </c>
      <c r="DJ25" s="383">
        <f t="shared" si="46"/>
        <v>1188</v>
      </c>
      <c r="DK25" s="242">
        <f>$DH$8/'CAM Majors'!$D25</f>
        <v>1.9199810955707514E-2</v>
      </c>
      <c r="DL25" s="463">
        <f t="shared" si="47"/>
        <v>22.809375415380526</v>
      </c>
      <c r="DM25" s="463">
        <f t="shared" si="48"/>
        <v>3.4214063123070786</v>
      </c>
      <c r="DN25" s="464">
        <f t="shared" si="49"/>
        <v>26.230781727687603</v>
      </c>
      <c r="DO25" s="60">
        <f>'CAM Majors'!A25</f>
        <v>51050</v>
      </c>
      <c r="DP25" s="2" t="str">
        <f>'CAM Majors'!B25</f>
        <v>Pest Control</v>
      </c>
      <c r="DQ25" s="500">
        <f>'CAM Majors'!C25</f>
        <v>1188</v>
      </c>
      <c r="DR25" s="461">
        <v>0</v>
      </c>
      <c r="DS25" s="383">
        <f t="shared" si="50"/>
        <v>1188</v>
      </c>
      <c r="DT25" s="242">
        <f>$DQ$8/'CAM Majors'!$D25</f>
        <v>5.2046256775317906E-2</v>
      </c>
      <c r="DU25" s="463">
        <f t="shared" si="51"/>
        <v>61.830953049077671</v>
      </c>
      <c r="DV25" s="463">
        <f t="shared" si="52"/>
        <v>3.0915476524538836</v>
      </c>
      <c r="DW25" s="464">
        <f t="shared" si="53"/>
        <v>64.922500701531561</v>
      </c>
      <c r="DX25" s="60">
        <f>'CAM Majors'!A25</f>
        <v>51050</v>
      </c>
      <c r="DY25" s="2" t="str">
        <f>'CAM Majors'!B25</f>
        <v>Pest Control</v>
      </c>
      <c r="DZ25" s="500">
        <f>'CAM Majors'!C25</f>
        <v>1188</v>
      </c>
      <c r="EA25" s="461">
        <v>0</v>
      </c>
      <c r="EB25" s="383">
        <f t="shared" si="54"/>
        <v>1188</v>
      </c>
      <c r="EC25" s="242">
        <f>$DZ$8/'CAM Majors'!$D25</f>
        <v>4.4410639649086529E-2</v>
      </c>
      <c r="ED25" s="463">
        <f t="shared" si="55"/>
        <v>52.759839903114795</v>
      </c>
      <c r="EE25" s="463">
        <f t="shared" si="56"/>
        <v>2.63799199515574</v>
      </c>
      <c r="EF25" s="464">
        <f t="shared" si="57"/>
        <v>55.397831898270532</v>
      </c>
    </row>
    <row r="26" spans="1:136">
      <c r="A26" s="60">
        <f>'CAM Majors'!A26</f>
        <v>5116</v>
      </c>
      <c r="B26" s="2" t="str">
        <f>'CAM Majors'!B26</f>
        <v xml:space="preserve">Security </v>
      </c>
      <c r="C26" s="500">
        <f>'CAM Majors'!C26</f>
        <v>0</v>
      </c>
      <c r="D26" s="461">
        <v>0</v>
      </c>
      <c r="E26" s="383">
        <f t="shared" si="0"/>
        <v>0</v>
      </c>
      <c r="F26" s="242">
        <f>$C$8/'CAM Majors'!D26</f>
        <v>4.4307256051632722E-2</v>
      </c>
      <c r="G26" s="463">
        <f t="shared" si="1"/>
        <v>0</v>
      </c>
      <c r="H26" s="463">
        <f t="shared" si="2"/>
        <v>0</v>
      </c>
      <c r="I26" s="464">
        <f t="shared" si="3"/>
        <v>0</v>
      </c>
      <c r="J26" s="464"/>
      <c r="K26" s="60">
        <f>'CAM Majors'!A26</f>
        <v>5116</v>
      </c>
      <c r="L26" s="226" t="str">
        <f>'CAM Majors'!B26</f>
        <v xml:space="preserve">Security </v>
      </c>
      <c r="M26" s="500">
        <f>'CAM Majors'!C26</f>
        <v>0</v>
      </c>
      <c r="N26" s="461">
        <v>0</v>
      </c>
      <c r="O26" s="383">
        <f t="shared" si="4"/>
        <v>0</v>
      </c>
      <c r="P26" s="242">
        <f>$M$8/'CAM Majors'!D26</f>
        <v>2.3999763694634392E-2</v>
      </c>
      <c r="Q26" s="463">
        <f t="shared" si="5"/>
        <v>0</v>
      </c>
      <c r="R26" s="463">
        <f t="shared" si="6"/>
        <v>0</v>
      </c>
      <c r="S26" s="464">
        <f t="shared" si="7"/>
        <v>0</v>
      </c>
      <c r="T26" s="60">
        <f>'CAM Majors'!A26</f>
        <v>5116</v>
      </c>
      <c r="U26" s="2" t="str">
        <f>'CAM Majors'!B26</f>
        <v xml:space="preserve">Security </v>
      </c>
      <c r="V26" s="500">
        <f>'CAM Majors'!C26</f>
        <v>0</v>
      </c>
      <c r="W26" s="461">
        <v>0</v>
      </c>
      <c r="X26" s="383">
        <f t="shared" si="8"/>
        <v>0</v>
      </c>
      <c r="Y26" s="242">
        <f>$V$8/'CAM Majors'!D26</f>
        <v>2.0676719490761938E-2</v>
      </c>
      <c r="Z26" s="463">
        <f t="shared" si="9"/>
        <v>0</v>
      </c>
      <c r="AA26" s="463">
        <f t="shared" si="10"/>
        <v>0</v>
      </c>
      <c r="AB26" s="464">
        <f t="shared" si="11"/>
        <v>0</v>
      </c>
      <c r="AC26" s="60">
        <f>'CAM Majors'!A26</f>
        <v>5116</v>
      </c>
      <c r="AD26" s="2" t="str">
        <f>'CAM Majors'!B26</f>
        <v xml:space="preserve">Security </v>
      </c>
      <c r="AE26" s="500">
        <f>'CAM Majors'!C26</f>
        <v>0</v>
      </c>
      <c r="AF26" s="461">
        <v>0</v>
      </c>
      <c r="AG26" s="383">
        <f t="shared" si="12"/>
        <v>0</v>
      </c>
      <c r="AH26" s="242">
        <f>$AE$8/'CAM Majors'!D26</f>
        <v>1.6423222909805194E-2</v>
      </c>
      <c r="AI26" s="463">
        <f t="shared" si="13"/>
        <v>0</v>
      </c>
      <c r="AJ26" s="463">
        <f t="shared" si="14"/>
        <v>0</v>
      </c>
      <c r="AK26" s="464">
        <f t="shared" si="15"/>
        <v>0</v>
      </c>
      <c r="AL26" s="60">
        <f>'CAM Majors'!A26</f>
        <v>5116</v>
      </c>
      <c r="AM26" s="2" t="str">
        <f>'CAM Majors'!B26</f>
        <v xml:space="preserve">Security </v>
      </c>
      <c r="AN26" s="500">
        <f>'CAM Majors'!C26</f>
        <v>0</v>
      </c>
      <c r="AO26" s="461">
        <v>0</v>
      </c>
      <c r="AP26" s="383">
        <f t="shared" si="16"/>
        <v>0</v>
      </c>
      <c r="AQ26" s="242">
        <f>$AN$8/'CAM Majors'!D26</f>
        <v>3.6834098864257335E-2</v>
      </c>
      <c r="AR26" s="463">
        <f t="shared" si="17"/>
        <v>0</v>
      </c>
      <c r="AS26" s="463"/>
      <c r="AT26" s="464">
        <f t="shared" si="18"/>
        <v>0</v>
      </c>
      <c r="AU26" s="60">
        <f>'CAM Majors'!A26</f>
        <v>5116</v>
      </c>
      <c r="AV26" s="2" t="str">
        <f>'CAM Majors'!B26</f>
        <v xml:space="preserve">Security </v>
      </c>
      <c r="AW26" s="500">
        <f>'CAM Majors'!C26</f>
        <v>0</v>
      </c>
      <c r="AX26" s="461">
        <f>-AW26</f>
        <v>0</v>
      </c>
      <c r="AY26" s="383">
        <f t="shared" si="19"/>
        <v>0</v>
      </c>
      <c r="AZ26" s="242">
        <f>$AW$8/'CAM Majors'!$D26</f>
        <v>2.2153628025816361E-2</v>
      </c>
      <c r="BA26" s="463">
        <f t="shared" si="20"/>
        <v>0</v>
      </c>
      <c r="BB26" s="463">
        <f t="shared" si="21"/>
        <v>0</v>
      </c>
      <c r="BC26" s="464">
        <f t="shared" si="22"/>
        <v>0</v>
      </c>
      <c r="BD26" s="60">
        <f>'CAM Majors'!A26</f>
        <v>5116</v>
      </c>
      <c r="BE26" s="2" t="str">
        <f>'CAM Majors'!B26</f>
        <v xml:space="preserve">Security </v>
      </c>
      <c r="BF26" s="500">
        <f>'CAM Majors'!C26</f>
        <v>0</v>
      </c>
      <c r="BG26" s="461">
        <v>0</v>
      </c>
      <c r="BH26" s="383">
        <f t="shared" si="23"/>
        <v>0</v>
      </c>
      <c r="BI26" s="242">
        <f>$BF$8/'CAM Majors'!$D26</f>
        <v>2.5609593997843714E-2</v>
      </c>
      <c r="BJ26" s="463">
        <f t="shared" si="24"/>
        <v>0</v>
      </c>
      <c r="BK26" s="463">
        <f t="shared" si="25"/>
        <v>0</v>
      </c>
      <c r="BL26" s="464">
        <f t="shared" si="26"/>
        <v>0</v>
      </c>
      <c r="BM26" s="60">
        <f>'CAM Majors'!A26</f>
        <v>5116</v>
      </c>
      <c r="BN26" s="2" t="str">
        <f>'CAM Majors'!B26</f>
        <v xml:space="preserve">Security </v>
      </c>
      <c r="BO26" s="500">
        <f>'CAM Majors'!C26</f>
        <v>0</v>
      </c>
      <c r="BP26" s="461">
        <v>0</v>
      </c>
      <c r="BQ26" s="383">
        <f t="shared" si="27"/>
        <v>0</v>
      </c>
      <c r="BR26" s="242">
        <f>$BO$8/'CAM Majors'!$D26</f>
        <v>5.7599432867122539E-2</v>
      </c>
      <c r="BS26" s="463">
        <f t="shared" si="28"/>
        <v>0</v>
      </c>
      <c r="BT26" s="463">
        <f t="shared" si="29"/>
        <v>0</v>
      </c>
      <c r="BU26" s="464">
        <f t="shared" si="30"/>
        <v>0</v>
      </c>
      <c r="BV26" s="60">
        <f>'CAM Majors'!A26</f>
        <v>5116</v>
      </c>
      <c r="BW26" s="2" t="str">
        <f>'CAM Majors'!B26</f>
        <v xml:space="preserve">Security </v>
      </c>
      <c r="BX26" s="500">
        <f>'CAM Majors'!C26</f>
        <v>0</v>
      </c>
      <c r="BY26" s="461">
        <f>-BX26</f>
        <v>0</v>
      </c>
      <c r="BZ26" s="383">
        <f t="shared" si="31"/>
        <v>0</v>
      </c>
      <c r="CA26" s="242">
        <f>$BX$8/'CAM Majors'!$D26</f>
        <v>1.9007812846150437E-2</v>
      </c>
      <c r="CB26" s="463">
        <f t="shared" si="32"/>
        <v>0</v>
      </c>
      <c r="CC26" s="463">
        <f t="shared" si="33"/>
        <v>0</v>
      </c>
      <c r="CD26" s="464">
        <f t="shared" si="34"/>
        <v>0</v>
      </c>
      <c r="CE26" s="60">
        <f>'CAM Majors'!A26</f>
        <v>5116</v>
      </c>
      <c r="CF26" s="2" t="str">
        <f>'CAM Majors'!B26</f>
        <v xml:space="preserve">Security </v>
      </c>
      <c r="CG26" s="500">
        <f>'CAM Majors'!C26</f>
        <v>0</v>
      </c>
      <c r="CH26" s="461">
        <f>-CG26</f>
        <v>0</v>
      </c>
      <c r="CI26" s="383">
        <f t="shared" si="35"/>
        <v>0</v>
      </c>
      <c r="CJ26" s="242">
        <f>$CG$8/'CAM Majors'!$D26</f>
        <v>2.420653088954201E-2</v>
      </c>
      <c r="CK26" s="463">
        <f t="shared" si="36"/>
        <v>0</v>
      </c>
      <c r="CL26" s="463">
        <f t="shared" si="37"/>
        <v>0</v>
      </c>
      <c r="CM26" s="464">
        <f t="shared" si="38"/>
        <v>0</v>
      </c>
      <c r="CN26" s="60">
        <f>'CAM Majors'!A26</f>
        <v>5116</v>
      </c>
      <c r="CO26" s="2" t="str">
        <f>'CAM Majors'!B26</f>
        <v xml:space="preserve">Security </v>
      </c>
      <c r="CP26" s="500">
        <f>'CAM Majors'!C26</f>
        <v>0</v>
      </c>
      <c r="CQ26" s="461">
        <v>0</v>
      </c>
      <c r="CR26" s="383">
        <f t="shared" si="39"/>
        <v>0</v>
      </c>
      <c r="CS26" s="242">
        <f>$CP$8/'CAM Majors'!$D26</f>
        <v>5.3168707261959269E-2</v>
      </c>
      <c r="CT26" s="463">
        <f t="shared" si="40"/>
        <v>0</v>
      </c>
      <c r="CU26" s="463"/>
      <c r="CV26" s="464">
        <f t="shared" si="41"/>
        <v>0</v>
      </c>
      <c r="CW26" s="60">
        <f>'CAM Majors'!A26</f>
        <v>5116</v>
      </c>
      <c r="CX26" s="2" t="str">
        <f>'CAM Majors'!B26</f>
        <v xml:space="preserve">Security </v>
      </c>
      <c r="CY26" s="500">
        <f>'CAM Majors'!C26</f>
        <v>0</v>
      </c>
      <c r="CZ26" s="461">
        <f>-CY26</f>
        <v>0</v>
      </c>
      <c r="DA26" s="383">
        <f t="shared" si="42"/>
        <v>0</v>
      </c>
      <c r="DB26" s="242">
        <f>$CY$8/'CAM Majors'!$D26</f>
        <v>2.343853845131371E-2</v>
      </c>
      <c r="DC26" s="463">
        <f t="shared" si="43"/>
        <v>0</v>
      </c>
      <c r="DD26" s="463">
        <f t="shared" si="44"/>
        <v>0</v>
      </c>
      <c r="DE26" s="464">
        <f t="shared" si="45"/>
        <v>0</v>
      </c>
      <c r="DF26" s="60">
        <f>'CAM Majors'!A26</f>
        <v>5116</v>
      </c>
      <c r="DG26" s="2" t="str">
        <f>'CAM Majors'!B26</f>
        <v xml:space="preserve">Security </v>
      </c>
      <c r="DH26" s="500">
        <f>'CAM Majors'!C26</f>
        <v>0</v>
      </c>
      <c r="DI26" s="461">
        <v>0</v>
      </c>
      <c r="DJ26" s="383">
        <f t="shared" si="46"/>
        <v>0</v>
      </c>
      <c r="DK26" s="242">
        <f>$DH$8/'CAM Majors'!$D26</f>
        <v>1.9199810955707514E-2</v>
      </c>
      <c r="DL26" s="463">
        <f t="shared" si="47"/>
        <v>0</v>
      </c>
      <c r="DM26" s="463">
        <f t="shared" si="48"/>
        <v>0</v>
      </c>
      <c r="DN26" s="464">
        <f t="shared" si="49"/>
        <v>0</v>
      </c>
      <c r="DO26" s="60">
        <f>'CAM Majors'!A26</f>
        <v>5116</v>
      </c>
      <c r="DP26" s="2" t="str">
        <f>'CAM Majors'!B26</f>
        <v xml:space="preserve">Security </v>
      </c>
      <c r="DQ26" s="500">
        <f>'CAM Majors'!C26</f>
        <v>0</v>
      </c>
      <c r="DR26" s="461">
        <v>0</v>
      </c>
      <c r="DS26" s="383">
        <f t="shared" si="50"/>
        <v>0</v>
      </c>
      <c r="DT26" s="242">
        <f>$DQ$8/'CAM Majors'!$D26</f>
        <v>5.2046256775317906E-2</v>
      </c>
      <c r="DU26" s="463">
        <f t="shared" si="51"/>
        <v>0</v>
      </c>
      <c r="DV26" s="463">
        <f t="shared" si="52"/>
        <v>0</v>
      </c>
      <c r="DW26" s="464">
        <f t="shared" si="53"/>
        <v>0</v>
      </c>
      <c r="DX26" s="60">
        <f>'CAM Majors'!A26</f>
        <v>5116</v>
      </c>
      <c r="DY26" s="2" t="str">
        <f>'CAM Majors'!B26</f>
        <v xml:space="preserve">Security </v>
      </c>
      <c r="DZ26" s="500">
        <f>'CAM Majors'!C26</f>
        <v>0</v>
      </c>
      <c r="EA26" s="461">
        <v>0</v>
      </c>
      <c r="EB26" s="383">
        <f t="shared" si="54"/>
        <v>0</v>
      </c>
      <c r="EC26" s="242">
        <f>$DZ$8/'CAM Majors'!$D26</f>
        <v>4.4410639649086529E-2</v>
      </c>
      <c r="ED26" s="463">
        <f t="shared" si="55"/>
        <v>0</v>
      </c>
      <c r="EE26" s="463">
        <f t="shared" si="56"/>
        <v>0</v>
      </c>
      <c r="EF26" s="464">
        <f t="shared" si="57"/>
        <v>0</v>
      </c>
    </row>
    <row r="27" spans="1:136">
      <c r="A27" s="60">
        <f>'CAM Majors'!A27</f>
        <v>51080</v>
      </c>
      <c r="B27" s="2" t="str">
        <f>'CAM Majors'!B27</f>
        <v>Management Fee</v>
      </c>
      <c r="C27" s="500">
        <f>'CAM Majors'!C27</f>
        <v>51359</v>
      </c>
      <c r="D27" s="461">
        <v>0</v>
      </c>
      <c r="E27" s="383">
        <f t="shared" si="0"/>
        <v>51359</v>
      </c>
      <c r="F27" s="242">
        <f>$C$8/'CAM Majors'!D27</f>
        <v>4.4307256051632722E-2</v>
      </c>
      <c r="G27" s="463">
        <f t="shared" si="1"/>
        <v>2275.5763635558051</v>
      </c>
      <c r="H27" s="463">
        <f t="shared" si="2"/>
        <v>227.55763635558051</v>
      </c>
      <c r="I27" s="464">
        <f t="shared" si="3"/>
        <v>2503.1339999113857</v>
      </c>
      <c r="J27" s="464"/>
      <c r="K27" s="60">
        <f>'CAM Majors'!A27</f>
        <v>51080</v>
      </c>
      <c r="L27" s="226" t="str">
        <f>'CAM Majors'!B27</f>
        <v>Management Fee</v>
      </c>
      <c r="M27" s="500">
        <f>'CAM Majors'!C27</f>
        <v>51359</v>
      </c>
      <c r="N27" s="461">
        <f>-M27</f>
        <v>-51359</v>
      </c>
      <c r="O27" s="383">
        <f t="shared" si="4"/>
        <v>0</v>
      </c>
      <c r="P27" s="242">
        <f>$M$8/'CAM Majors'!D27</f>
        <v>2.3999763694634392E-2</v>
      </c>
      <c r="Q27" s="463">
        <f t="shared" si="5"/>
        <v>0</v>
      </c>
      <c r="R27" s="463">
        <f t="shared" si="6"/>
        <v>0</v>
      </c>
      <c r="S27" s="464">
        <f t="shared" si="7"/>
        <v>0</v>
      </c>
      <c r="T27" s="60">
        <f>'CAM Majors'!A27</f>
        <v>51080</v>
      </c>
      <c r="U27" s="2" t="str">
        <f>'CAM Majors'!B27</f>
        <v>Management Fee</v>
      </c>
      <c r="V27" s="500">
        <f>'CAM Majors'!C27</f>
        <v>51359</v>
      </c>
      <c r="W27" s="461">
        <v>0</v>
      </c>
      <c r="X27" s="383">
        <f t="shared" si="8"/>
        <v>51359</v>
      </c>
      <c r="Y27" s="242">
        <f>$V$8/'CAM Majors'!D27</f>
        <v>2.0676719490761938E-2</v>
      </c>
      <c r="Z27" s="463">
        <f t="shared" si="9"/>
        <v>1061.9356363260424</v>
      </c>
      <c r="AA27" s="463">
        <f t="shared" si="10"/>
        <v>0</v>
      </c>
      <c r="AB27" s="464">
        <f t="shared" si="11"/>
        <v>1061.9356363260424</v>
      </c>
      <c r="AC27" s="60">
        <f>'CAM Majors'!A27</f>
        <v>51080</v>
      </c>
      <c r="AD27" s="2" t="str">
        <f>'CAM Majors'!B27</f>
        <v>Management Fee</v>
      </c>
      <c r="AE27" s="500">
        <f>'CAM Majors'!C27</f>
        <v>51359</v>
      </c>
      <c r="AF27" s="461">
        <v>0</v>
      </c>
      <c r="AG27" s="383">
        <f t="shared" si="12"/>
        <v>51359</v>
      </c>
      <c r="AH27" s="242">
        <f>$AE$8/'CAM Majors'!D27</f>
        <v>1.6423222909805194E-2</v>
      </c>
      <c r="AI27" s="463">
        <f t="shared" si="13"/>
        <v>843.48030542468496</v>
      </c>
      <c r="AJ27" s="463">
        <f t="shared" si="14"/>
        <v>0</v>
      </c>
      <c r="AK27" s="464">
        <f t="shared" si="15"/>
        <v>843.48030542468496</v>
      </c>
      <c r="AL27" s="60">
        <f>'CAM Majors'!A27</f>
        <v>51080</v>
      </c>
      <c r="AM27" s="2" t="str">
        <f>'CAM Majors'!B27</f>
        <v>Management Fee</v>
      </c>
      <c r="AN27" s="500">
        <f>'CAM Majors'!C27</f>
        <v>51359</v>
      </c>
      <c r="AO27" s="461">
        <v>0</v>
      </c>
      <c r="AP27" s="383">
        <f t="shared" si="16"/>
        <v>51359</v>
      </c>
      <c r="AQ27" s="242">
        <f>$AN$8/'CAM Majors'!D27</f>
        <v>3.6834098864257335E-2</v>
      </c>
      <c r="AR27" s="463">
        <f t="shared" si="17"/>
        <v>1891.7624835693925</v>
      </c>
      <c r="AS27" s="463"/>
      <c r="AT27" s="464">
        <f t="shared" si="18"/>
        <v>1891.7624835693925</v>
      </c>
      <c r="AU27" s="60">
        <f>'CAM Majors'!A27</f>
        <v>51080</v>
      </c>
      <c r="AV27" s="2" t="str">
        <f>'CAM Majors'!B27</f>
        <v>Management Fee</v>
      </c>
      <c r="AW27" s="500">
        <f>'CAM Majors'!C27</f>
        <v>51359</v>
      </c>
      <c r="AX27" s="461">
        <v>0</v>
      </c>
      <c r="AY27" s="383">
        <f t="shared" si="19"/>
        <v>51359</v>
      </c>
      <c r="AZ27" s="242">
        <f>$AW$8/'CAM Majors'!$D27</f>
        <v>2.2153628025816361E-2</v>
      </c>
      <c r="BA27" s="463">
        <f t="shared" si="20"/>
        <v>1137.7881817779025</v>
      </c>
      <c r="BB27" s="463">
        <f t="shared" si="21"/>
        <v>0</v>
      </c>
      <c r="BC27" s="464">
        <f t="shared" si="22"/>
        <v>1137.7881817779025</v>
      </c>
      <c r="BD27" s="60">
        <f>'CAM Majors'!A27</f>
        <v>51080</v>
      </c>
      <c r="BE27" s="2" t="str">
        <f>'CAM Majors'!B27</f>
        <v>Management Fee</v>
      </c>
      <c r="BF27" s="500">
        <f>'CAM Majors'!C27</f>
        <v>51359</v>
      </c>
      <c r="BG27" s="461">
        <f>-BF27</f>
        <v>-51359</v>
      </c>
      <c r="BH27" s="383">
        <f t="shared" si="23"/>
        <v>0</v>
      </c>
      <c r="BI27" s="242">
        <f>$BF$8/'CAM Majors'!$D27</f>
        <v>2.5609593997843714E-2</v>
      </c>
      <c r="BJ27" s="463">
        <f t="shared" si="24"/>
        <v>0</v>
      </c>
      <c r="BK27" s="463">
        <f t="shared" si="25"/>
        <v>0</v>
      </c>
      <c r="BL27" s="464">
        <f t="shared" si="26"/>
        <v>0</v>
      </c>
      <c r="BM27" s="60">
        <f>'CAM Majors'!A27</f>
        <v>51080</v>
      </c>
      <c r="BN27" s="2" t="str">
        <f>'CAM Majors'!B27</f>
        <v>Management Fee</v>
      </c>
      <c r="BO27" s="500">
        <f>'CAM Majors'!C27</f>
        <v>51359</v>
      </c>
      <c r="BP27" s="461">
        <v>0</v>
      </c>
      <c r="BQ27" s="383">
        <f t="shared" si="27"/>
        <v>51359</v>
      </c>
      <c r="BR27" s="242">
        <f>$BO$8/'CAM Majors'!$D27</f>
        <v>5.7599432867122539E-2</v>
      </c>
      <c r="BS27" s="463">
        <f t="shared" si="28"/>
        <v>2958.2492726225464</v>
      </c>
      <c r="BT27" s="463">
        <f t="shared" si="29"/>
        <v>0</v>
      </c>
      <c r="BU27" s="464">
        <f t="shared" si="30"/>
        <v>2958.2492726225464</v>
      </c>
      <c r="BV27" s="60">
        <f>'CAM Majors'!A27</f>
        <v>51080</v>
      </c>
      <c r="BW27" s="2" t="str">
        <f>'CAM Majors'!B27</f>
        <v>Management Fee</v>
      </c>
      <c r="BX27" s="500">
        <f>'CAM Majors'!C27</f>
        <v>51359</v>
      </c>
      <c r="BY27" s="461">
        <v>0</v>
      </c>
      <c r="BZ27" s="383">
        <f t="shared" si="31"/>
        <v>51359</v>
      </c>
      <c r="CA27" s="242">
        <f>$BX$8/'CAM Majors'!$D27</f>
        <v>1.9007812846150437E-2</v>
      </c>
      <c r="CB27" s="463">
        <f t="shared" si="32"/>
        <v>976.22225996544023</v>
      </c>
      <c r="CC27" s="463">
        <f t="shared" si="33"/>
        <v>0</v>
      </c>
      <c r="CD27" s="464">
        <f t="shared" si="34"/>
        <v>976.22225996544023</v>
      </c>
      <c r="CE27" s="60">
        <f>'CAM Majors'!A27</f>
        <v>51080</v>
      </c>
      <c r="CF27" s="2" t="str">
        <f>'CAM Majors'!B27</f>
        <v>Management Fee</v>
      </c>
      <c r="CG27" s="500">
        <f>'CAM Majors'!C27</f>
        <v>51359</v>
      </c>
      <c r="CH27" s="461">
        <v>0</v>
      </c>
      <c r="CI27" s="383">
        <f t="shared" si="35"/>
        <v>51359</v>
      </c>
      <c r="CJ27" s="242">
        <f>$CG$8/'CAM Majors'!$D27</f>
        <v>2.420653088954201E-2</v>
      </c>
      <c r="CK27" s="463">
        <f t="shared" si="36"/>
        <v>1243.223219955988</v>
      </c>
      <c r="CL27" s="463">
        <f t="shared" si="37"/>
        <v>0</v>
      </c>
      <c r="CM27" s="464">
        <f t="shared" si="38"/>
        <v>1243.223219955988</v>
      </c>
      <c r="CN27" s="60">
        <f>'CAM Majors'!A27</f>
        <v>51080</v>
      </c>
      <c r="CO27" s="2" t="str">
        <f>'CAM Majors'!B27</f>
        <v>Management Fee</v>
      </c>
      <c r="CP27" s="500">
        <f>'CAM Majors'!C27</f>
        <v>51359</v>
      </c>
      <c r="CQ27" s="461">
        <v>0</v>
      </c>
      <c r="CR27" s="383">
        <f t="shared" si="39"/>
        <v>51359</v>
      </c>
      <c r="CS27" s="242">
        <f>$CP$8/'CAM Majors'!$D27</f>
        <v>5.3168707261959269E-2</v>
      </c>
      <c r="CT27" s="463">
        <f t="shared" si="40"/>
        <v>2730.6916362669663</v>
      </c>
      <c r="CU27" s="463"/>
      <c r="CV27" s="464">
        <f t="shared" si="41"/>
        <v>2730.6916362669663</v>
      </c>
      <c r="CW27" s="60">
        <f>'CAM Majors'!A27</f>
        <v>51080</v>
      </c>
      <c r="CX27" s="2" t="str">
        <f>'CAM Majors'!B27</f>
        <v>Management Fee</v>
      </c>
      <c r="CY27" s="500">
        <f>'CAM Majors'!C27</f>
        <v>51359</v>
      </c>
      <c r="CZ27" s="461">
        <v>0</v>
      </c>
      <c r="DA27" s="383">
        <f t="shared" si="42"/>
        <v>51359</v>
      </c>
      <c r="DB27" s="242">
        <f>$CY$8/'CAM Majors'!$D27</f>
        <v>2.343853845131371E-2</v>
      </c>
      <c r="DC27" s="463">
        <f t="shared" si="43"/>
        <v>1203.7798963210209</v>
      </c>
      <c r="DD27" s="463">
        <f t="shared" si="44"/>
        <v>120.3779896321021</v>
      </c>
      <c r="DE27" s="464">
        <f t="shared" si="45"/>
        <v>1324.157885953123</v>
      </c>
      <c r="DF27" s="60">
        <f>'CAM Majors'!A27</f>
        <v>51080</v>
      </c>
      <c r="DG27" s="2" t="str">
        <f>'CAM Majors'!B27</f>
        <v>Management Fee</v>
      </c>
      <c r="DH27" s="500">
        <f>'CAM Majors'!C27</f>
        <v>51359</v>
      </c>
      <c r="DI27" s="461">
        <v>0</v>
      </c>
      <c r="DJ27" s="383">
        <f t="shared" si="46"/>
        <v>51359</v>
      </c>
      <c r="DK27" s="242">
        <f>$DH$8/'CAM Majors'!$D27</f>
        <v>1.9199810955707514E-2</v>
      </c>
      <c r="DL27" s="463">
        <f t="shared" si="47"/>
        <v>986.08309087418218</v>
      </c>
      <c r="DM27" s="463">
        <f t="shared" si="48"/>
        <v>147.91246363112731</v>
      </c>
      <c r="DN27" s="464">
        <f t="shared" si="49"/>
        <v>1133.9955545053094</v>
      </c>
      <c r="DO27" s="60">
        <f>'CAM Majors'!A27</f>
        <v>51080</v>
      </c>
      <c r="DP27" s="2" t="str">
        <f>'CAM Majors'!B27</f>
        <v>Management Fee</v>
      </c>
      <c r="DQ27" s="500">
        <f>'CAM Majors'!C27</f>
        <v>51359</v>
      </c>
      <c r="DR27" s="461">
        <v>0</v>
      </c>
      <c r="DS27" s="383">
        <f t="shared" si="50"/>
        <v>51359</v>
      </c>
      <c r="DT27" s="242">
        <f>$DQ$8/'CAM Majors'!$D27</f>
        <v>5.2046256775317906E-2</v>
      </c>
      <c r="DU27" s="463">
        <f t="shared" si="51"/>
        <v>2673.0437017235522</v>
      </c>
      <c r="DV27" s="463">
        <f t="shared" si="52"/>
        <v>133.65218508617761</v>
      </c>
      <c r="DW27" s="464">
        <f t="shared" si="53"/>
        <v>2806.6958868097299</v>
      </c>
      <c r="DX27" s="60">
        <f>'CAM Majors'!A27</f>
        <v>51080</v>
      </c>
      <c r="DY27" s="2" t="str">
        <f>'CAM Majors'!B27</f>
        <v>Management Fee</v>
      </c>
      <c r="DZ27" s="500">
        <f>'CAM Majors'!C27</f>
        <v>51359</v>
      </c>
      <c r="EA27" s="461">
        <f>-DZ27</f>
        <v>-51359</v>
      </c>
      <c r="EB27" s="383">
        <f t="shared" si="54"/>
        <v>0</v>
      </c>
      <c r="EC27" s="242">
        <f>$DZ$8/'CAM Majors'!$D27</f>
        <v>4.4410639649086529E-2</v>
      </c>
      <c r="ED27" s="463">
        <f t="shared" si="55"/>
        <v>0</v>
      </c>
      <c r="EE27" s="463">
        <f t="shared" si="56"/>
        <v>0</v>
      </c>
      <c r="EF27" s="464">
        <f t="shared" si="57"/>
        <v>0</v>
      </c>
    </row>
    <row r="28" spans="1:136">
      <c r="A28" s="60">
        <f>'CAM Majors'!A28</f>
        <v>51100</v>
      </c>
      <c r="B28" s="2" t="str">
        <f>'CAM Majors'!B28</f>
        <v>Sidewalk Maintenance</v>
      </c>
      <c r="C28" s="500">
        <f>'CAM Majors'!C28</f>
        <v>0</v>
      </c>
      <c r="D28" s="461">
        <v>0</v>
      </c>
      <c r="E28" s="383">
        <f>C28+D28</f>
        <v>0</v>
      </c>
      <c r="F28" s="242">
        <f>$C$8/'CAM Majors'!D28</f>
        <v>4.4307256051632722E-2</v>
      </c>
      <c r="G28" s="463">
        <f t="shared" si="1"/>
        <v>0</v>
      </c>
      <c r="H28" s="463">
        <f t="shared" si="2"/>
        <v>0</v>
      </c>
      <c r="I28" s="464">
        <f t="shared" si="3"/>
        <v>0</v>
      </c>
      <c r="J28" s="464"/>
      <c r="K28" s="60">
        <f>'CAM Majors'!A28</f>
        <v>51100</v>
      </c>
      <c r="L28" s="226" t="str">
        <f>'CAM Majors'!B28</f>
        <v>Sidewalk Maintenance</v>
      </c>
      <c r="M28" s="500">
        <f>'CAM Majors'!C28</f>
        <v>0</v>
      </c>
      <c r="N28" s="461">
        <v>0</v>
      </c>
      <c r="O28" s="383">
        <f t="shared" si="4"/>
        <v>0</v>
      </c>
      <c r="P28" s="242">
        <f>$M$8/'CAM Majors'!D28</f>
        <v>2.3999763694634392E-2</v>
      </c>
      <c r="Q28" s="463">
        <f t="shared" si="5"/>
        <v>0</v>
      </c>
      <c r="R28" s="463">
        <f t="shared" si="6"/>
        <v>0</v>
      </c>
      <c r="S28" s="464">
        <f t="shared" si="7"/>
        <v>0</v>
      </c>
      <c r="T28" s="60">
        <f>'CAM Majors'!A28</f>
        <v>51100</v>
      </c>
      <c r="U28" s="2" t="str">
        <f>'CAM Majors'!B28</f>
        <v>Sidewalk Maintenance</v>
      </c>
      <c r="V28" s="500">
        <f>'CAM Majors'!C28</f>
        <v>0</v>
      </c>
      <c r="W28" s="461">
        <v>0</v>
      </c>
      <c r="X28" s="383">
        <f t="shared" ref="X28:X34" si="58">V28+W28</f>
        <v>0</v>
      </c>
      <c r="Y28" s="242">
        <f>$V$8/'CAM Majors'!D28</f>
        <v>2.0676719490761938E-2</v>
      </c>
      <c r="Z28" s="463">
        <f t="shared" si="9"/>
        <v>0</v>
      </c>
      <c r="AA28" s="463">
        <f t="shared" si="10"/>
        <v>0</v>
      </c>
      <c r="AB28" s="464">
        <f t="shared" si="11"/>
        <v>0</v>
      </c>
      <c r="AC28" s="60">
        <f>'CAM Majors'!A28</f>
        <v>51100</v>
      </c>
      <c r="AD28" s="2" t="str">
        <f>'CAM Majors'!B28</f>
        <v>Sidewalk Maintenance</v>
      </c>
      <c r="AE28" s="500">
        <f>'CAM Majors'!C28</f>
        <v>0</v>
      </c>
      <c r="AF28" s="461">
        <v>0</v>
      </c>
      <c r="AG28" s="383">
        <f t="shared" ref="AG28:AG34" si="59">AE28+AF28</f>
        <v>0</v>
      </c>
      <c r="AH28" s="242">
        <f>$AE$8/'CAM Majors'!D28</f>
        <v>1.6423222909805194E-2</v>
      </c>
      <c r="AI28" s="463">
        <f t="shared" si="13"/>
        <v>0</v>
      </c>
      <c r="AJ28" s="463">
        <f t="shared" si="14"/>
        <v>0</v>
      </c>
      <c r="AK28" s="464">
        <f t="shared" si="15"/>
        <v>0</v>
      </c>
      <c r="AL28" s="60">
        <f>'CAM Majors'!A28</f>
        <v>51100</v>
      </c>
      <c r="AM28" s="2" t="str">
        <f>'CAM Majors'!B28</f>
        <v>Sidewalk Maintenance</v>
      </c>
      <c r="AN28" s="500">
        <f>'CAM Majors'!C28</f>
        <v>0</v>
      </c>
      <c r="AO28" s="461">
        <v>0</v>
      </c>
      <c r="AP28" s="383">
        <f t="shared" ref="AP28:AP34" si="60">AN28+AO28</f>
        <v>0</v>
      </c>
      <c r="AQ28" s="242">
        <f>$AN$8/'CAM Majors'!D28</f>
        <v>3.6834098864257335E-2</v>
      </c>
      <c r="AR28" s="463">
        <f t="shared" si="17"/>
        <v>0</v>
      </c>
      <c r="AS28" s="463"/>
      <c r="AT28" s="464">
        <f t="shared" si="18"/>
        <v>0</v>
      </c>
      <c r="AU28" s="60">
        <f>'CAM Majors'!A28</f>
        <v>51100</v>
      </c>
      <c r="AV28" s="2" t="str">
        <f>'CAM Majors'!B28</f>
        <v>Sidewalk Maintenance</v>
      </c>
      <c r="AW28" s="500">
        <f>'CAM Majors'!C28</f>
        <v>0</v>
      </c>
      <c r="AX28" s="461">
        <v>0</v>
      </c>
      <c r="AY28" s="383">
        <f t="shared" ref="AY28:AY34" si="61">AW28+AX28</f>
        <v>0</v>
      </c>
      <c r="AZ28" s="242">
        <f>$AW$8/'CAM Majors'!$D28</f>
        <v>2.2153628025816361E-2</v>
      </c>
      <c r="BA28" s="463">
        <f t="shared" si="20"/>
        <v>0</v>
      </c>
      <c r="BB28" s="463">
        <f t="shared" si="21"/>
        <v>0</v>
      </c>
      <c r="BC28" s="464">
        <f t="shared" si="22"/>
        <v>0</v>
      </c>
      <c r="BD28" s="60">
        <f>'CAM Majors'!A28</f>
        <v>51100</v>
      </c>
      <c r="BE28" s="2" t="str">
        <f>'CAM Majors'!B28</f>
        <v>Sidewalk Maintenance</v>
      </c>
      <c r="BF28" s="500">
        <f>'CAM Majors'!C28</f>
        <v>0</v>
      </c>
      <c r="BG28" s="461">
        <v>0</v>
      </c>
      <c r="BH28" s="383">
        <f>BF28+BG28</f>
        <v>0</v>
      </c>
      <c r="BI28" s="242">
        <f>$BF$8/'CAM Majors'!$D28</f>
        <v>2.5609593997843714E-2</v>
      </c>
      <c r="BJ28" s="463">
        <f t="shared" si="24"/>
        <v>0</v>
      </c>
      <c r="BK28" s="463">
        <f t="shared" si="25"/>
        <v>0</v>
      </c>
      <c r="BL28" s="464">
        <f t="shared" si="26"/>
        <v>0</v>
      </c>
      <c r="BM28" s="60">
        <f>'CAM Majors'!A28</f>
        <v>51100</v>
      </c>
      <c r="BN28" s="2" t="str">
        <f>'CAM Majors'!B28</f>
        <v>Sidewalk Maintenance</v>
      </c>
      <c r="BO28" s="500">
        <f>'CAM Majors'!C28</f>
        <v>0</v>
      </c>
      <c r="BP28" s="461">
        <v>0</v>
      </c>
      <c r="BQ28" s="383">
        <f>BO28+BP28</f>
        <v>0</v>
      </c>
      <c r="BR28" s="242">
        <f>$BO$8/'CAM Majors'!$D28</f>
        <v>5.7599432867122539E-2</v>
      </c>
      <c r="BS28" s="463">
        <f t="shared" si="28"/>
        <v>0</v>
      </c>
      <c r="BT28" s="463">
        <f t="shared" si="29"/>
        <v>0</v>
      </c>
      <c r="BU28" s="464">
        <f t="shared" si="30"/>
        <v>0</v>
      </c>
      <c r="BV28" s="60">
        <f>'CAM Majors'!A28</f>
        <v>51100</v>
      </c>
      <c r="BW28" s="2" t="str">
        <f>'CAM Majors'!B28</f>
        <v>Sidewalk Maintenance</v>
      </c>
      <c r="BX28" s="500">
        <f>'CAM Majors'!C28</f>
        <v>0</v>
      </c>
      <c r="BY28" s="461">
        <v>0</v>
      </c>
      <c r="BZ28" s="383">
        <f>BX28+BY28</f>
        <v>0</v>
      </c>
      <c r="CA28" s="242">
        <f>$BX$8/'CAM Majors'!$D28</f>
        <v>1.9007812846150437E-2</v>
      </c>
      <c r="CB28" s="463">
        <f t="shared" si="32"/>
        <v>0</v>
      </c>
      <c r="CC28" s="463">
        <f t="shared" si="33"/>
        <v>0</v>
      </c>
      <c r="CD28" s="464">
        <f t="shared" si="34"/>
        <v>0</v>
      </c>
      <c r="CE28" s="60">
        <f>'CAM Majors'!A28</f>
        <v>51100</v>
      </c>
      <c r="CF28" s="2" t="str">
        <f>'CAM Majors'!B28</f>
        <v>Sidewalk Maintenance</v>
      </c>
      <c r="CG28" s="500">
        <f>'CAM Majors'!C28</f>
        <v>0</v>
      </c>
      <c r="CH28" s="461">
        <v>0</v>
      </c>
      <c r="CI28" s="383">
        <f>CG28+CH28</f>
        <v>0</v>
      </c>
      <c r="CJ28" s="242">
        <f>$CG$8/'CAM Majors'!$D28</f>
        <v>2.420653088954201E-2</v>
      </c>
      <c r="CK28" s="463">
        <f t="shared" si="36"/>
        <v>0</v>
      </c>
      <c r="CL28" s="463">
        <f t="shared" si="37"/>
        <v>0</v>
      </c>
      <c r="CM28" s="464">
        <f t="shared" si="38"/>
        <v>0</v>
      </c>
      <c r="CN28" s="60">
        <f>'CAM Majors'!A28</f>
        <v>51100</v>
      </c>
      <c r="CO28" s="2" t="str">
        <f>'CAM Majors'!B28</f>
        <v>Sidewalk Maintenance</v>
      </c>
      <c r="CP28" s="500">
        <f>'CAM Majors'!C28</f>
        <v>0</v>
      </c>
      <c r="CQ28" s="461">
        <v>0</v>
      </c>
      <c r="CR28" s="383">
        <f>CP28+CQ28</f>
        <v>0</v>
      </c>
      <c r="CS28" s="242">
        <f>$CP$8/'CAM Majors'!$D28</f>
        <v>5.3168707261959269E-2</v>
      </c>
      <c r="CT28" s="463">
        <f t="shared" si="40"/>
        <v>0</v>
      </c>
      <c r="CU28" s="463"/>
      <c r="CV28" s="464">
        <f t="shared" si="41"/>
        <v>0</v>
      </c>
      <c r="CW28" s="60">
        <f>'CAM Majors'!A28</f>
        <v>51100</v>
      </c>
      <c r="CX28" s="2" t="str">
        <f>'CAM Majors'!B28</f>
        <v>Sidewalk Maintenance</v>
      </c>
      <c r="CY28" s="500">
        <f>'CAM Majors'!C28</f>
        <v>0</v>
      </c>
      <c r="CZ28" s="461">
        <v>0</v>
      </c>
      <c r="DA28" s="383">
        <f>CY28+CZ28</f>
        <v>0</v>
      </c>
      <c r="DB28" s="242">
        <f>$CY$8/'CAM Majors'!$D28</f>
        <v>2.343853845131371E-2</v>
      </c>
      <c r="DC28" s="463">
        <f t="shared" si="43"/>
        <v>0</v>
      </c>
      <c r="DD28" s="463">
        <f t="shared" si="44"/>
        <v>0</v>
      </c>
      <c r="DE28" s="464">
        <f t="shared" si="45"/>
        <v>0</v>
      </c>
      <c r="DF28" s="60">
        <f>'CAM Majors'!A28</f>
        <v>51100</v>
      </c>
      <c r="DG28" s="2" t="str">
        <f>'CAM Majors'!B28</f>
        <v>Sidewalk Maintenance</v>
      </c>
      <c r="DH28" s="500">
        <f>'CAM Majors'!C28</f>
        <v>0</v>
      </c>
      <c r="DI28" s="461">
        <v>0</v>
      </c>
      <c r="DJ28" s="383">
        <f>DH28+DI28</f>
        <v>0</v>
      </c>
      <c r="DK28" s="242">
        <f>$DH$8/'CAM Majors'!$D28</f>
        <v>1.9199810955707514E-2</v>
      </c>
      <c r="DL28" s="463">
        <f t="shared" si="47"/>
        <v>0</v>
      </c>
      <c r="DM28" s="463">
        <f t="shared" si="48"/>
        <v>0</v>
      </c>
      <c r="DN28" s="464">
        <f t="shared" si="49"/>
        <v>0</v>
      </c>
      <c r="DO28" s="60">
        <f>'CAM Majors'!A28</f>
        <v>51100</v>
      </c>
      <c r="DP28" s="2" t="str">
        <f>'CAM Majors'!B28</f>
        <v>Sidewalk Maintenance</v>
      </c>
      <c r="DQ28" s="500">
        <f>'CAM Majors'!C28</f>
        <v>0</v>
      </c>
      <c r="DR28" s="461">
        <v>0</v>
      </c>
      <c r="DS28" s="383">
        <f>DQ28+DR28</f>
        <v>0</v>
      </c>
      <c r="DT28" s="242">
        <f>$DQ$8/'CAM Majors'!$D28</f>
        <v>5.2046256775317906E-2</v>
      </c>
      <c r="DU28" s="463">
        <f t="shared" si="51"/>
        <v>0</v>
      </c>
      <c r="DV28" s="463">
        <f t="shared" si="52"/>
        <v>0</v>
      </c>
      <c r="DW28" s="464">
        <f t="shared" si="53"/>
        <v>0</v>
      </c>
      <c r="DX28" s="60">
        <f>'CAM Majors'!A28</f>
        <v>51100</v>
      </c>
      <c r="DY28" s="2" t="str">
        <f>'CAM Majors'!B28</f>
        <v>Sidewalk Maintenance</v>
      </c>
      <c r="DZ28" s="500">
        <f>'CAM Majors'!C28</f>
        <v>0</v>
      </c>
      <c r="EA28" s="461">
        <v>0</v>
      </c>
      <c r="EB28" s="383">
        <f>DZ28+EA28</f>
        <v>0</v>
      </c>
      <c r="EC28" s="242">
        <f>$DZ$8/'CAM Majors'!$D28</f>
        <v>4.4410639649086529E-2</v>
      </c>
      <c r="ED28" s="463">
        <f t="shared" si="55"/>
        <v>0</v>
      </c>
      <c r="EE28" s="463">
        <f t="shared" si="56"/>
        <v>0</v>
      </c>
      <c r="EF28" s="464">
        <f t="shared" si="57"/>
        <v>0</v>
      </c>
    </row>
    <row r="29" spans="1:136">
      <c r="A29" s="60">
        <f>'CAM Majors'!A29</f>
        <v>50550</v>
      </c>
      <c r="B29" s="2" t="str">
        <f>'CAM Majors'!B29</f>
        <v xml:space="preserve">Sign Maintenance </v>
      </c>
      <c r="C29" s="500">
        <f>'CAM Majors'!C29</f>
        <v>2460</v>
      </c>
      <c r="D29" s="461">
        <v>0</v>
      </c>
      <c r="E29" s="383">
        <f t="shared" si="0"/>
        <v>2460</v>
      </c>
      <c r="F29" s="242">
        <f>$C$8/'CAM Majors'!D29</f>
        <v>4.4307256051632722E-2</v>
      </c>
      <c r="G29" s="463">
        <f t="shared" si="1"/>
        <v>108.99584988701649</v>
      </c>
      <c r="H29" s="463">
        <f t="shared" si="2"/>
        <v>10.899584988701649</v>
      </c>
      <c r="I29" s="464">
        <f t="shared" si="3"/>
        <v>119.89543487571814</v>
      </c>
      <c r="J29" s="464"/>
      <c r="K29" s="60">
        <f>'CAM Majors'!A29</f>
        <v>50550</v>
      </c>
      <c r="L29" s="226" t="str">
        <f>'CAM Majors'!B29</f>
        <v xml:space="preserve">Sign Maintenance </v>
      </c>
      <c r="M29" s="500">
        <f>'CAM Majors'!C29</f>
        <v>2460</v>
      </c>
      <c r="N29" s="461">
        <v>0</v>
      </c>
      <c r="O29" s="383">
        <f t="shared" si="4"/>
        <v>2460</v>
      </c>
      <c r="P29" s="242">
        <f>$M$8/'CAM Majors'!D29</f>
        <v>2.3999763694634392E-2</v>
      </c>
      <c r="Q29" s="463">
        <f t="shared" si="5"/>
        <v>59.039418688800602</v>
      </c>
      <c r="R29" s="463">
        <f t="shared" si="6"/>
        <v>2.3615767475520242</v>
      </c>
      <c r="S29" s="464">
        <f t="shared" si="7"/>
        <v>61.400995436352623</v>
      </c>
      <c r="T29" s="60">
        <f>'CAM Majors'!A29</f>
        <v>50550</v>
      </c>
      <c r="U29" s="2" t="str">
        <f>'CAM Majors'!B29</f>
        <v xml:space="preserve">Sign Maintenance </v>
      </c>
      <c r="V29" s="500">
        <f>'CAM Majors'!C29</f>
        <v>2460</v>
      </c>
      <c r="W29" s="461">
        <v>0</v>
      </c>
      <c r="X29" s="383">
        <f t="shared" si="58"/>
        <v>2460</v>
      </c>
      <c r="Y29" s="242">
        <f>$V$8/'CAM Majors'!D29</f>
        <v>2.0676719490761938E-2</v>
      </c>
      <c r="Z29" s="463">
        <f t="shared" si="9"/>
        <v>50.86472994727437</v>
      </c>
      <c r="AA29" s="463">
        <f t="shared" si="10"/>
        <v>0</v>
      </c>
      <c r="AB29" s="464">
        <f t="shared" si="11"/>
        <v>50.86472994727437</v>
      </c>
      <c r="AC29" s="60">
        <f>'CAM Majors'!A29</f>
        <v>50550</v>
      </c>
      <c r="AD29" s="2" t="str">
        <f>'CAM Majors'!B29</f>
        <v xml:space="preserve">Sign Maintenance </v>
      </c>
      <c r="AE29" s="500">
        <f>'CAM Majors'!C29</f>
        <v>2460</v>
      </c>
      <c r="AF29" s="461">
        <v>0</v>
      </c>
      <c r="AG29" s="383">
        <f t="shared" si="59"/>
        <v>2460</v>
      </c>
      <c r="AH29" s="242">
        <f>$AE$8/'CAM Majors'!D29</f>
        <v>1.6423222909805194E-2</v>
      </c>
      <c r="AI29" s="463">
        <f t="shared" si="13"/>
        <v>40.401128358120779</v>
      </c>
      <c r="AJ29" s="463">
        <f t="shared" si="14"/>
        <v>0</v>
      </c>
      <c r="AK29" s="464">
        <f t="shared" si="15"/>
        <v>40.401128358120779</v>
      </c>
      <c r="AL29" s="60">
        <f>'CAM Majors'!A29</f>
        <v>50550</v>
      </c>
      <c r="AM29" s="2" t="str">
        <f>'CAM Majors'!B29</f>
        <v xml:space="preserve">Sign Maintenance </v>
      </c>
      <c r="AN29" s="500">
        <f>'CAM Majors'!C29</f>
        <v>2460</v>
      </c>
      <c r="AO29" s="461">
        <v>0</v>
      </c>
      <c r="AP29" s="383">
        <f t="shared" si="60"/>
        <v>2460</v>
      </c>
      <c r="AQ29" s="242">
        <f>$AN$8/'CAM Majors'!D29</f>
        <v>3.6834098864257335E-2</v>
      </c>
      <c r="AR29" s="463">
        <f t="shared" si="17"/>
        <v>90.611883206073045</v>
      </c>
      <c r="AS29" s="463"/>
      <c r="AT29" s="464">
        <f t="shared" si="18"/>
        <v>90.611883206073045</v>
      </c>
      <c r="AU29" s="60">
        <f>'CAM Majors'!A29</f>
        <v>50550</v>
      </c>
      <c r="AV29" s="2" t="str">
        <f>'CAM Majors'!B29</f>
        <v xml:space="preserve">Sign Maintenance </v>
      </c>
      <c r="AW29" s="500">
        <f>'CAM Majors'!C29</f>
        <v>2460</v>
      </c>
      <c r="AX29" s="461">
        <v>0</v>
      </c>
      <c r="AY29" s="383">
        <f t="shared" si="61"/>
        <v>2460</v>
      </c>
      <c r="AZ29" s="242">
        <f>$AW$8/'CAM Majors'!$D29</f>
        <v>2.2153628025816361E-2</v>
      </c>
      <c r="BA29" s="463">
        <f t="shared" si="20"/>
        <v>54.497924943508245</v>
      </c>
      <c r="BB29" s="463">
        <f t="shared" si="21"/>
        <v>0</v>
      </c>
      <c r="BC29" s="464">
        <f t="shared" si="22"/>
        <v>54.497924943508245</v>
      </c>
      <c r="BD29" s="60">
        <f>'CAM Majors'!A29</f>
        <v>50550</v>
      </c>
      <c r="BE29" s="2" t="str">
        <f>'CAM Majors'!B29</f>
        <v xml:space="preserve">Sign Maintenance </v>
      </c>
      <c r="BF29" s="500">
        <f>'CAM Majors'!C29</f>
        <v>2460</v>
      </c>
      <c r="BG29" s="461">
        <v>0</v>
      </c>
      <c r="BH29" s="383">
        <f t="shared" ref="BH29:BH34" si="62">BF29+BG29</f>
        <v>2460</v>
      </c>
      <c r="BI29" s="242">
        <f>$BF$8/'CAM Majors'!$D29</f>
        <v>2.5609593997843714E-2</v>
      </c>
      <c r="BJ29" s="463">
        <f t="shared" si="24"/>
        <v>62.999601234695533</v>
      </c>
      <c r="BK29" s="463">
        <f t="shared" si="25"/>
        <v>3.1499800617347766</v>
      </c>
      <c r="BL29" s="464">
        <f t="shared" si="26"/>
        <v>66.149581296430313</v>
      </c>
      <c r="BM29" s="60">
        <f>'CAM Majors'!A29</f>
        <v>50550</v>
      </c>
      <c r="BN29" s="2" t="str">
        <f>'CAM Majors'!B29</f>
        <v xml:space="preserve">Sign Maintenance </v>
      </c>
      <c r="BO29" s="500">
        <f>'CAM Majors'!C29</f>
        <v>2460</v>
      </c>
      <c r="BP29" s="461">
        <v>0</v>
      </c>
      <c r="BQ29" s="383">
        <f t="shared" ref="BQ29:BQ34" si="63">BO29+BP29</f>
        <v>2460</v>
      </c>
      <c r="BR29" s="242">
        <f>$BO$8/'CAM Majors'!$D29</f>
        <v>5.7599432867122539E-2</v>
      </c>
      <c r="BS29" s="463">
        <f t="shared" si="28"/>
        <v>141.69460485312143</v>
      </c>
      <c r="BT29" s="463">
        <f t="shared" si="29"/>
        <v>0</v>
      </c>
      <c r="BU29" s="464">
        <f t="shared" si="30"/>
        <v>141.69460485312143</v>
      </c>
      <c r="BV29" s="60">
        <f>'CAM Majors'!A29</f>
        <v>50550</v>
      </c>
      <c r="BW29" s="2" t="str">
        <f>'CAM Majors'!B29</f>
        <v xml:space="preserve">Sign Maintenance </v>
      </c>
      <c r="BX29" s="500">
        <f>'CAM Majors'!C29</f>
        <v>2460</v>
      </c>
      <c r="BY29" s="461">
        <v>0</v>
      </c>
      <c r="BZ29" s="383">
        <f t="shared" ref="BZ29:BZ34" si="64">BX29+BY29</f>
        <v>2460</v>
      </c>
      <c r="CA29" s="242">
        <f>$BX$8/'CAM Majors'!$D29</f>
        <v>1.9007812846150437E-2</v>
      </c>
      <c r="CB29" s="463">
        <f t="shared" si="32"/>
        <v>46.759219601530077</v>
      </c>
      <c r="CC29" s="463">
        <f t="shared" si="33"/>
        <v>0</v>
      </c>
      <c r="CD29" s="464">
        <f t="shared" si="34"/>
        <v>46.759219601530077</v>
      </c>
      <c r="CE29" s="60">
        <f>'CAM Majors'!A29</f>
        <v>50550</v>
      </c>
      <c r="CF29" s="2" t="str">
        <f>'CAM Majors'!B29</f>
        <v xml:space="preserve">Sign Maintenance </v>
      </c>
      <c r="CG29" s="500">
        <f>'CAM Majors'!C29</f>
        <v>2460</v>
      </c>
      <c r="CH29" s="461">
        <v>0</v>
      </c>
      <c r="CI29" s="383">
        <f t="shared" ref="CI29:CI34" si="65">CG29+CH29</f>
        <v>2460</v>
      </c>
      <c r="CJ29" s="242">
        <f>$CG$8/'CAM Majors'!$D29</f>
        <v>2.420653088954201E-2</v>
      </c>
      <c r="CK29" s="463">
        <f t="shared" si="36"/>
        <v>59.548065988273343</v>
      </c>
      <c r="CL29" s="463">
        <f t="shared" si="37"/>
        <v>0</v>
      </c>
      <c r="CM29" s="464">
        <f t="shared" si="38"/>
        <v>59.548065988273343</v>
      </c>
      <c r="CN29" s="60">
        <f>'CAM Majors'!A29</f>
        <v>50550</v>
      </c>
      <c r="CO29" s="2" t="str">
        <f>'CAM Majors'!B29</f>
        <v xml:space="preserve">Sign Maintenance </v>
      </c>
      <c r="CP29" s="500">
        <f>'CAM Majors'!C29</f>
        <v>2460</v>
      </c>
      <c r="CQ29" s="461">
        <v>0</v>
      </c>
      <c r="CR29" s="383">
        <f t="shared" ref="CR29:CR34" si="66">CP29+CQ29</f>
        <v>2460</v>
      </c>
      <c r="CS29" s="242">
        <f>$CP$8/'CAM Majors'!$D29</f>
        <v>5.3168707261959269E-2</v>
      </c>
      <c r="CT29" s="463">
        <f t="shared" si="40"/>
        <v>130.7950198644198</v>
      </c>
      <c r="CU29" s="463"/>
      <c r="CV29" s="464">
        <f t="shared" si="41"/>
        <v>130.7950198644198</v>
      </c>
      <c r="CW29" s="60">
        <f>'CAM Majors'!A29</f>
        <v>50550</v>
      </c>
      <c r="CX29" s="2" t="str">
        <f>'CAM Majors'!B29</f>
        <v xml:space="preserve">Sign Maintenance </v>
      </c>
      <c r="CY29" s="500">
        <f>'CAM Majors'!C29</f>
        <v>2460</v>
      </c>
      <c r="CZ29" s="461">
        <v>0</v>
      </c>
      <c r="DA29" s="383">
        <f t="shared" ref="DA29:DA34" si="67">CY29+CZ29</f>
        <v>2460</v>
      </c>
      <c r="DB29" s="242">
        <f>$CY$8/'CAM Majors'!$D29</f>
        <v>2.343853845131371E-2</v>
      </c>
      <c r="DC29" s="463">
        <f t="shared" si="43"/>
        <v>57.658804590231725</v>
      </c>
      <c r="DD29" s="463">
        <f t="shared" si="44"/>
        <v>5.7658804590231725</v>
      </c>
      <c r="DE29" s="464">
        <f t="shared" si="45"/>
        <v>63.424685049254897</v>
      </c>
      <c r="DF29" s="60">
        <f>'CAM Majors'!A29</f>
        <v>50550</v>
      </c>
      <c r="DG29" s="2" t="str">
        <f>'CAM Majors'!B29</f>
        <v xml:space="preserve">Sign Maintenance </v>
      </c>
      <c r="DH29" s="500">
        <f>'CAM Majors'!C29</f>
        <v>2460</v>
      </c>
      <c r="DI29" s="461">
        <v>0</v>
      </c>
      <c r="DJ29" s="383">
        <f t="shared" ref="DJ29:DJ34" si="68">DH29+DI29</f>
        <v>2460</v>
      </c>
      <c r="DK29" s="242">
        <f>$DH$8/'CAM Majors'!$D29</f>
        <v>1.9199810955707514E-2</v>
      </c>
      <c r="DL29" s="463">
        <f t="shared" si="47"/>
        <v>47.231534951040487</v>
      </c>
      <c r="DM29" s="463">
        <f t="shared" si="48"/>
        <v>7.0847302426560725</v>
      </c>
      <c r="DN29" s="464">
        <f t="shared" si="49"/>
        <v>54.316265193696559</v>
      </c>
      <c r="DO29" s="60">
        <f>'CAM Majors'!A29</f>
        <v>50550</v>
      </c>
      <c r="DP29" s="2" t="str">
        <f>'CAM Majors'!B29</f>
        <v xml:space="preserve">Sign Maintenance </v>
      </c>
      <c r="DQ29" s="500">
        <f>'CAM Majors'!C29</f>
        <v>2460</v>
      </c>
      <c r="DR29" s="461">
        <v>0</v>
      </c>
      <c r="DS29" s="383">
        <f t="shared" ref="DS29:DS34" si="69">DQ29+DR29</f>
        <v>2460</v>
      </c>
      <c r="DT29" s="242">
        <f>$DQ$8/'CAM Majors'!$D29</f>
        <v>5.2046256775317906E-2</v>
      </c>
      <c r="DU29" s="463">
        <f t="shared" si="51"/>
        <v>128.03379166728206</v>
      </c>
      <c r="DV29" s="463">
        <f t="shared" si="52"/>
        <v>6.401689583364103</v>
      </c>
      <c r="DW29" s="464">
        <f t="shared" si="53"/>
        <v>134.43548125064615</v>
      </c>
      <c r="DX29" s="60">
        <f>'CAM Majors'!A29</f>
        <v>50550</v>
      </c>
      <c r="DY29" s="2" t="str">
        <f>'CAM Majors'!B29</f>
        <v xml:space="preserve">Sign Maintenance </v>
      </c>
      <c r="DZ29" s="500">
        <f>'CAM Majors'!C29</f>
        <v>2460</v>
      </c>
      <c r="EA29" s="461">
        <v>0</v>
      </c>
      <c r="EB29" s="383">
        <f t="shared" ref="EB29:EB34" si="70">DZ29+EA29</f>
        <v>2460</v>
      </c>
      <c r="EC29" s="242">
        <f>$DZ$8/'CAM Majors'!$D29</f>
        <v>4.4410639649086529E-2</v>
      </c>
      <c r="ED29" s="463">
        <f t="shared" si="55"/>
        <v>109.25017353675287</v>
      </c>
      <c r="EE29" s="463">
        <f t="shared" si="56"/>
        <v>5.4625086768376434</v>
      </c>
      <c r="EF29" s="464">
        <f t="shared" si="57"/>
        <v>114.71268221359051</v>
      </c>
    </row>
    <row r="30" spans="1:136">
      <c r="A30" s="60">
        <f>'CAM Majors'!A30</f>
        <v>51150</v>
      </c>
      <c r="B30" s="2" t="str">
        <f>'CAM Majors'!B30</f>
        <v>Sweeping</v>
      </c>
      <c r="C30" s="500">
        <f>'CAM Majors'!C30</f>
        <v>7080</v>
      </c>
      <c r="D30" s="461">
        <v>0</v>
      </c>
      <c r="E30" s="383">
        <f t="shared" si="0"/>
        <v>7080</v>
      </c>
      <c r="F30" s="242">
        <f>$C$8/'CAM Majors'!D30</f>
        <v>4.4307256051632722E-2</v>
      </c>
      <c r="G30" s="463">
        <f t="shared" si="1"/>
        <v>313.69537284555969</v>
      </c>
      <c r="H30" s="463">
        <f t="shared" si="2"/>
        <v>31.369537284555971</v>
      </c>
      <c r="I30" s="464">
        <f t="shared" si="3"/>
        <v>345.06491013011566</v>
      </c>
      <c r="J30" s="464"/>
      <c r="K30" s="60">
        <f>'CAM Majors'!A30</f>
        <v>51150</v>
      </c>
      <c r="L30" s="226" t="str">
        <f>'CAM Majors'!B30</f>
        <v>Sweeping</v>
      </c>
      <c r="M30" s="500">
        <f>'CAM Majors'!C30</f>
        <v>7080</v>
      </c>
      <c r="N30" s="461">
        <v>0</v>
      </c>
      <c r="O30" s="383">
        <f t="shared" si="4"/>
        <v>7080</v>
      </c>
      <c r="P30" s="242">
        <f>$M$8/'CAM Majors'!D30</f>
        <v>2.3999763694634392E-2</v>
      </c>
      <c r="Q30" s="463">
        <f t="shared" si="5"/>
        <v>169.91832695801151</v>
      </c>
      <c r="R30" s="463">
        <f t="shared" si="6"/>
        <v>6.79673307832046</v>
      </c>
      <c r="S30" s="464">
        <f t="shared" si="7"/>
        <v>176.71506003633198</v>
      </c>
      <c r="T30" s="60">
        <f>'CAM Majors'!A30</f>
        <v>51150</v>
      </c>
      <c r="U30" s="2" t="str">
        <f>'CAM Majors'!B30</f>
        <v>Sweeping</v>
      </c>
      <c r="V30" s="500">
        <f>'CAM Majors'!C30</f>
        <v>7080</v>
      </c>
      <c r="W30" s="461">
        <v>0</v>
      </c>
      <c r="X30" s="383">
        <f t="shared" si="58"/>
        <v>7080</v>
      </c>
      <c r="Y30" s="242">
        <f>$V$8/'CAM Majors'!D30</f>
        <v>2.0676719490761938E-2</v>
      </c>
      <c r="Z30" s="463">
        <f t="shared" si="9"/>
        <v>146.39117399459451</v>
      </c>
      <c r="AA30" s="463">
        <f t="shared" si="10"/>
        <v>0</v>
      </c>
      <c r="AB30" s="464">
        <f t="shared" si="11"/>
        <v>146.39117399459451</v>
      </c>
      <c r="AC30" s="60">
        <f>'CAM Majors'!A30</f>
        <v>51150</v>
      </c>
      <c r="AD30" s="2" t="str">
        <f>'CAM Majors'!B30</f>
        <v>Sweeping</v>
      </c>
      <c r="AE30" s="500">
        <f>'CAM Majors'!C30</f>
        <v>7080</v>
      </c>
      <c r="AF30" s="461">
        <v>0</v>
      </c>
      <c r="AG30" s="383">
        <f t="shared" si="59"/>
        <v>7080</v>
      </c>
      <c r="AH30" s="242">
        <f>$AE$8/'CAM Majors'!D30</f>
        <v>1.6423222909805194E-2</v>
      </c>
      <c r="AI30" s="463">
        <f t="shared" si="13"/>
        <v>116.27641820142078</v>
      </c>
      <c r="AJ30" s="463">
        <f t="shared" si="14"/>
        <v>0</v>
      </c>
      <c r="AK30" s="464">
        <f t="shared" si="15"/>
        <v>116.27641820142078</v>
      </c>
      <c r="AL30" s="60">
        <f>'CAM Majors'!A30</f>
        <v>51150</v>
      </c>
      <c r="AM30" s="2" t="str">
        <f>'CAM Majors'!B30</f>
        <v>Sweeping</v>
      </c>
      <c r="AN30" s="500">
        <f>'CAM Majors'!C30</f>
        <v>7080</v>
      </c>
      <c r="AO30" s="461">
        <v>0</v>
      </c>
      <c r="AP30" s="383">
        <f t="shared" si="60"/>
        <v>7080</v>
      </c>
      <c r="AQ30" s="242">
        <f>$AN$8/'CAM Majors'!D30</f>
        <v>3.6834098864257335E-2</v>
      </c>
      <c r="AR30" s="463">
        <f t="shared" si="17"/>
        <v>260.78541995894193</v>
      </c>
      <c r="AS30" s="463"/>
      <c r="AT30" s="464">
        <f t="shared" si="18"/>
        <v>260.78541995894193</v>
      </c>
      <c r="AU30" s="60">
        <f>'CAM Majors'!A30</f>
        <v>51150</v>
      </c>
      <c r="AV30" s="2" t="str">
        <f>'CAM Majors'!B30</f>
        <v>Sweeping</v>
      </c>
      <c r="AW30" s="500">
        <f>'CAM Majors'!C30</f>
        <v>7080</v>
      </c>
      <c r="AX30" s="461">
        <v>0</v>
      </c>
      <c r="AY30" s="383">
        <f t="shared" si="61"/>
        <v>7080</v>
      </c>
      <c r="AZ30" s="242">
        <f>$AW$8/'CAM Majors'!$D30</f>
        <v>2.2153628025816361E-2</v>
      </c>
      <c r="BA30" s="463">
        <f t="shared" si="20"/>
        <v>156.84768642277984</v>
      </c>
      <c r="BB30" s="463">
        <f t="shared" si="21"/>
        <v>0</v>
      </c>
      <c r="BC30" s="464">
        <f t="shared" si="22"/>
        <v>156.84768642277984</v>
      </c>
      <c r="BD30" s="60">
        <f>'CAM Majors'!A30</f>
        <v>51150</v>
      </c>
      <c r="BE30" s="2" t="str">
        <f>'CAM Majors'!B30</f>
        <v>Sweeping</v>
      </c>
      <c r="BF30" s="500">
        <f>'CAM Majors'!C30</f>
        <v>7080</v>
      </c>
      <c r="BG30" s="461">
        <v>0</v>
      </c>
      <c r="BH30" s="383">
        <f t="shared" si="62"/>
        <v>7080</v>
      </c>
      <c r="BI30" s="242">
        <f>$BF$8/'CAM Majors'!$D30</f>
        <v>2.5609593997843714E-2</v>
      </c>
      <c r="BJ30" s="463">
        <f t="shared" si="24"/>
        <v>181.31592550473349</v>
      </c>
      <c r="BK30" s="463">
        <f t="shared" si="25"/>
        <v>9.065796275236675</v>
      </c>
      <c r="BL30" s="464">
        <f t="shared" si="26"/>
        <v>190.38172177997015</v>
      </c>
      <c r="BM30" s="60">
        <f>'CAM Majors'!A30</f>
        <v>51150</v>
      </c>
      <c r="BN30" s="2" t="str">
        <f>'CAM Majors'!B30</f>
        <v>Sweeping</v>
      </c>
      <c r="BO30" s="500">
        <f>'CAM Majors'!C30</f>
        <v>7080</v>
      </c>
      <c r="BP30" s="461">
        <v>0</v>
      </c>
      <c r="BQ30" s="383">
        <f t="shared" si="63"/>
        <v>7080</v>
      </c>
      <c r="BR30" s="242">
        <f>$BO$8/'CAM Majors'!$D30</f>
        <v>5.7599432867122539E-2</v>
      </c>
      <c r="BS30" s="463">
        <f t="shared" si="28"/>
        <v>407.80398469922756</v>
      </c>
      <c r="BT30" s="463">
        <f t="shared" si="29"/>
        <v>0</v>
      </c>
      <c r="BU30" s="464">
        <f t="shared" si="30"/>
        <v>407.80398469922756</v>
      </c>
      <c r="BV30" s="60">
        <f>'CAM Majors'!A30</f>
        <v>51150</v>
      </c>
      <c r="BW30" s="2" t="str">
        <f>'CAM Majors'!B30</f>
        <v>Sweeping</v>
      </c>
      <c r="BX30" s="500">
        <f>'CAM Majors'!C30</f>
        <v>7080</v>
      </c>
      <c r="BY30" s="461">
        <v>0</v>
      </c>
      <c r="BZ30" s="383">
        <f t="shared" si="64"/>
        <v>7080</v>
      </c>
      <c r="CA30" s="242">
        <f>$BX$8/'CAM Majors'!$D30</f>
        <v>1.9007812846150437E-2</v>
      </c>
      <c r="CB30" s="463">
        <f t="shared" si="32"/>
        <v>134.57531495074508</v>
      </c>
      <c r="CC30" s="463">
        <f t="shared" si="33"/>
        <v>0</v>
      </c>
      <c r="CD30" s="464">
        <f t="shared" si="34"/>
        <v>134.57531495074508</v>
      </c>
      <c r="CE30" s="60">
        <f>'CAM Majors'!A30</f>
        <v>51150</v>
      </c>
      <c r="CF30" s="2" t="str">
        <f>'CAM Majors'!B30</f>
        <v>Sweeping</v>
      </c>
      <c r="CG30" s="500">
        <f>'CAM Majors'!C30</f>
        <v>7080</v>
      </c>
      <c r="CH30" s="461">
        <v>0</v>
      </c>
      <c r="CI30" s="383">
        <f t="shared" si="65"/>
        <v>7080</v>
      </c>
      <c r="CJ30" s="242">
        <f>$CG$8/'CAM Majors'!$D30</f>
        <v>2.420653088954201E-2</v>
      </c>
      <c r="CK30" s="463">
        <f t="shared" si="36"/>
        <v>171.38223869795743</v>
      </c>
      <c r="CL30" s="463">
        <f t="shared" si="37"/>
        <v>0</v>
      </c>
      <c r="CM30" s="464">
        <f t="shared" si="38"/>
        <v>171.38223869795743</v>
      </c>
      <c r="CN30" s="60">
        <f>'CAM Majors'!A30</f>
        <v>51150</v>
      </c>
      <c r="CO30" s="2" t="str">
        <f>'CAM Majors'!B30</f>
        <v>Sweeping</v>
      </c>
      <c r="CP30" s="500">
        <f>'CAM Majors'!C30</f>
        <v>7080</v>
      </c>
      <c r="CQ30" s="461">
        <v>0</v>
      </c>
      <c r="CR30" s="383">
        <f t="shared" si="66"/>
        <v>7080</v>
      </c>
      <c r="CS30" s="242">
        <f>$CP$8/'CAM Majors'!$D30</f>
        <v>5.3168707261959269E-2</v>
      </c>
      <c r="CT30" s="463">
        <f t="shared" si="40"/>
        <v>376.43444741467164</v>
      </c>
      <c r="CU30" s="463"/>
      <c r="CV30" s="464">
        <f t="shared" si="41"/>
        <v>376.43444741467164</v>
      </c>
      <c r="CW30" s="60">
        <f>'CAM Majors'!A30</f>
        <v>51150</v>
      </c>
      <c r="CX30" s="2" t="str">
        <f>'CAM Majors'!B30</f>
        <v>Sweeping</v>
      </c>
      <c r="CY30" s="500">
        <f>'CAM Majors'!C30</f>
        <v>7080</v>
      </c>
      <c r="CZ30" s="461">
        <v>0</v>
      </c>
      <c r="DA30" s="383">
        <f t="shared" si="67"/>
        <v>7080</v>
      </c>
      <c r="DB30" s="242">
        <f>$CY$8/'CAM Majors'!$D30</f>
        <v>2.343853845131371E-2</v>
      </c>
      <c r="DC30" s="463">
        <f t="shared" si="43"/>
        <v>165.94485223530106</v>
      </c>
      <c r="DD30" s="463">
        <f t="shared" si="44"/>
        <v>16.594485223530107</v>
      </c>
      <c r="DE30" s="464">
        <f t="shared" si="45"/>
        <v>182.53933745883117</v>
      </c>
      <c r="DF30" s="60">
        <f>'CAM Majors'!A30</f>
        <v>51150</v>
      </c>
      <c r="DG30" s="2" t="str">
        <f>'CAM Majors'!B30</f>
        <v>Sweeping</v>
      </c>
      <c r="DH30" s="500">
        <f>'CAM Majors'!C30</f>
        <v>7080</v>
      </c>
      <c r="DI30" s="461">
        <v>0</v>
      </c>
      <c r="DJ30" s="383">
        <f t="shared" si="68"/>
        <v>7080</v>
      </c>
      <c r="DK30" s="242">
        <f>$DH$8/'CAM Majors'!$D30</f>
        <v>1.9199810955707514E-2</v>
      </c>
      <c r="DL30" s="463">
        <f t="shared" si="47"/>
        <v>135.9346615664092</v>
      </c>
      <c r="DM30" s="463">
        <f t="shared" si="48"/>
        <v>20.390199234961379</v>
      </c>
      <c r="DN30" s="464">
        <f t="shared" si="49"/>
        <v>156.32486080137059</v>
      </c>
      <c r="DO30" s="60">
        <f>'CAM Majors'!A30</f>
        <v>51150</v>
      </c>
      <c r="DP30" s="2" t="str">
        <f>'CAM Majors'!B30</f>
        <v>Sweeping</v>
      </c>
      <c r="DQ30" s="500">
        <f>'CAM Majors'!C30</f>
        <v>7080</v>
      </c>
      <c r="DR30" s="461">
        <v>0</v>
      </c>
      <c r="DS30" s="383">
        <f t="shared" si="69"/>
        <v>7080</v>
      </c>
      <c r="DT30" s="242">
        <f>$DQ$8/'CAM Majors'!$D30</f>
        <v>5.2046256775317906E-2</v>
      </c>
      <c r="DU30" s="463">
        <f t="shared" si="51"/>
        <v>368.4874979692508</v>
      </c>
      <c r="DV30" s="463">
        <f t="shared" si="52"/>
        <v>18.424374898462542</v>
      </c>
      <c r="DW30" s="464">
        <f t="shared" si="53"/>
        <v>386.91187286771333</v>
      </c>
      <c r="DX30" s="60">
        <f>'CAM Majors'!A30</f>
        <v>51150</v>
      </c>
      <c r="DY30" s="2" t="str">
        <f>'CAM Majors'!B30</f>
        <v>Sweeping</v>
      </c>
      <c r="DZ30" s="500">
        <f>'CAM Majors'!C30</f>
        <v>7080</v>
      </c>
      <c r="EA30" s="461">
        <v>0</v>
      </c>
      <c r="EB30" s="383">
        <f t="shared" si="70"/>
        <v>7080</v>
      </c>
      <c r="EC30" s="242">
        <f>$DZ$8/'CAM Majors'!$D30</f>
        <v>4.4410639649086529E-2</v>
      </c>
      <c r="ED30" s="463">
        <f t="shared" si="55"/>
        <v>314.42732871553261</v>
      </c>
      <c r="EE30" s="463">
        <f t="shared" si="56"/>
        <v>15.721366435776631</v>
      </c>
      <c r="EF30" s="464">
        <f t="shared" si="57"/>
        <v>330.14869515130925</v>
      </c>
    </row>
    <row r="31" spans="1:136" s="114" customFormat="1">
      <c r="A31" s="231">
        <f>'CAM Majors'!A31</f>
        <v>51200</v>
      </c>
      <c r="B31" s="165" t="str">
        <f>'CAM Majors'!B31</f>
        <v>Electrical Repairs/CAM</v>
      </c>
      <c r="C31" s="500">
        <f>'CAM Majors'!C31</f>
        <v>0</v>
      </c>
      <c r="D31" s="501">
        <v>0</v>
      </c>
      <c r="E31" s="500">
        <f t="shared" si="0"/>
        <v>0</v>
      </c>
      <c r="F31" s="408">
        <f>$C$8/'CAM Majors'!D31</f>
        <v>4.4307256051632722E-2</v>
      </c>
      <c r="G31" s="463">
        <f t="shared" si="1"/>
        <v>0</v>
      </c>
      <c r="H31" s="463">
        <f t="shared" si="2"/>
        <v>0</v>
      </c>
      <c r="I31" s="464">
        <f t="shared" si="3"/>
        <v>0</v>
      </c>
      <c r="J31" s="464"/>
      <c r="K31" s="231">
        <f>'CAM Majors'!A31</f>
        <v>51200</v>
      </c>
      <c r="L31" s="502" t="str">
        <f>'CAM Majors'!B31</f>
        <v>Electrical Repairs/CAM</v>
      </c>
      <c r="M31" s="500">
        <f>'CAM Majors'!C31</f>
        <v>0</v>
      </c>
      <c r="N31" s="501">
        <v>0</v>
      </c>
      <c r="O31" s="500">
        <f t="shared" si="4"/>
        <v>0</v>
      </c>
      <c r="P31" s="408">
        <f>$M$8/'CAM Majors'!D31</f>
        <v>2.3999763694634392E-2</v>
      </c>
      <c r="Q31" s="463">
        <f t="shared" si="5"/>
        <v>0</v>
      </c>
      <c r="R31" s="463">
        <f t="shared" si="6"/>
        <v>0</v>
      </c>
      <c r="S31" s="464">
        <f t="shared" si="7"/>
        <v>0</v>
      </c>
      <c r="T31" s="231">
        <f>'CAM Majors'!A31</f>
        <v>51200</v>
      </c>
      <c r="U31" s="165" t="str">
        <f>'CAM Majors'!B31</f>
        <v>Electrical Repairs/CAM</v>
      </c>
      <c r="V31" s="500">
        <f>'CAM Majors'!C31</f>
        <v>0</v>
      </c>
      <c r="W31" s="501">
        <v>0</v>
      </c>
      <c r="X31" s="500">
        <f t="shared" si="58"/>
        <v>0</v>
      </c>
      <c r="Y31" s="408">
        <f>$V$8/'CAM Majors'!D31</f>
        <v>2.0676719490761938E-2</v>
      </c>
      <c r="Z31" s="463">
        <f t="shared" si="9"/>
        <v>0</v>
      </c>
      <c r="AA31" s="463">
        <f t="shared" si="10"/>
        <v>0</v>
      </c>
      <c r="AB31" s="464">
        <f t="shared" si="11"/>
        <v>0</v>
      </c>
      <c r="AC31" s="231">
        <f>'CAM Majors'!A31</f>
        <v>51200</v>
      </c>
      <c r="AD31" s="165" t="str">
        <f>'CAM Majors'!B31</f>
        <v>Electrical Repairs/CAM</v>
      </c>
      <c r="AE31" s="500">
        <f>'CAM Majors'!C31</f>
        <v>0</v>
      </c>
      <c r="AF31" s="501">
        <v>0</v>
      </c>
      <c r="AG31" s="500">
        <f t="shared" si="59"/>
        <v>0</v>
      </c>
      <c r="AH31" s="408">
        <f>$AE$8/'CAM Majors'!D31</f>
        <v>1.6423222909805194E-2</v>
      </c>
      <c r="AI31" s="463">
        <f t="shared" si="13"/>
        <v>0</v>
      </c>
      <c r="AJ31" s="463">
        <f t="shared" si="14"/>
        <v>0</v>
      </c>
      <c r="AK31" s="464">
        <f t="shared" si="15"/>
        <v>0</v>
      </c>
      <c r="AL31" s="231">
        <f>'CAM Majors'!A31</f>
        <v>51200</v>
      </c>
      <c r="AM31" s="165" t="str">
        <f>'CAM Majors'!B31</f>
        <v>Electrical Repairs/CAM</v>
      </c>
      <c r="AN31" s="500">
        <f>'CAM Majors'!C31</f>
        <v>0</v>
      </c>
      <c r="AO31" s="501">
        <v>0</v>
      </c>
      <c r="AP31" s="500">
        <f t="shared" si="60"/>
        <v>0</v>
      </c>
      <c r="AQ31" s="408">
        <f>$AN$8/'CAM Majors'!D31</f>
        <v>3.6834098864257335E-2</v>
      </c>
      <c r="AR31" s="463">
        <f t="shared" si="17"/>
        <v>0</v>
      </c>
      <c r="AS31" s="463"/>
      <c r="AT31" s="464">
        <f t="shared" si="18"/>
        <v>0</v>
      </c>
      <c r="AU31" s="231">
        <f>'CAM Majors'!A31</f>
        <v>51200</v>
      </c>
      <c r="AV31" s="165" t="str">
        <f>'CAM Majors'!B31</f>
        <v>Electrical Repairs/CAM</v>
      </c>
      <c r="AW31" s="500">
        <f>'CAM Majors'!C31</f>
        <v>0</v>
      </c>
      <c r="AX31" s="501">
        <v>0</v>
      </c>
      <c r="AY31" s="500">
        <f t="shared" si="61"/>
        <v>0</v>
      </c>
      <c r="AZ31" s="408">
        <f>$AW$8/'CAM Majors'!$D31</f>
        <v>2.2153628025816361E-2</v>
      </c>
      <c r="BA31" s="463">
        <f t="shared" si="20"/>
        <v>0</v>
      </c>
      <c r="BB31" s="463">
        <f t="shared" si="21"/>
        <v>0</v>
      </c>
      <c r="BC31" s="464">
        <f t="shared" si="22"/>
        <v>0</v>
      </c>
      <c r="BD31" s="231">
        <f>'CAM Majors'!A31</f>
        <v>51200</v>
      </c>
      <c r="BE31" s="165" t="str">
        <f>'CAM Majors'!B31</f>
        <v>Electrical Repairs/CAM</v>
      </c>
      <c r="BF31" s="500">
        <f>'CAM Majors'!C31</f>
        <v>0</v>
      </c>
      <c r="BG31" s="501">
        <v>0</v>
      </c>
      <c r="BH31" s="500">
        <f t="shared" si="62"/>
        <v>0</v>
      </c>
      <c r="BI31" s="408">
        <f>$BF$8/'CAM Majors'!$D31</f>
        <v>2.5609593997843714E-2</v>
      </c>
      <c r="BJ31" s="463">
        <f t="shared" si="24"/>
        <v>0</v>
      </c>
      <c r="BK31" s="463">
        <f t="shared" si="25"/>
        <v>0</v>
      </c>
      <c r="BL31" s="464">
        <f t="shared" si="26"/>
        <v>0</v>
      </c>
      <c r="BM31" s="231">
        <f>'CAM Majors'!A31</f>
        <v>51200</v>
      </c>
      <c r="BN31" s="165" t="str">
        <f>'CAM Majors'!B31</f>
        <v>Electrical Repairs/CAM</v>
      </c>
      <c r="BO31" s="500">
        <f>'CAM Majors'!C31</f>
        <v>0</v>
      </c>
      <c r="BP31" s="501">
        <v>0</v>
      </c>
      <c r="BQ31" s="500">
        <f t="shared" si="63"/>
        <v>0</v>
      </c>
      <c r="BR31" s="408">
        <f>$BO$8/'CAM Majors'!$D31</f>
        <v>5.7599432867122539E-2</v>
      </c>
      <c r="BS31" s="463">
        <f t="shared" si="28"/>
        <v>0</v>
      </c>
      <c r="BT31" s="463">
        <f t="shared" si="29"/>
        <v>0</v>
      </c>
      <c r="BU31" s="464">
        <f t="shared" si="30"/>
        <v>0</v>
      </c>
      <c r="BV31" s="231">
        <f>'CAM Majors'!A31</f>
        <v>51200</v>
      </c>
      <c r="BW31" s="165" t="str">
        <f>'CAM Majors'!B31</f>
        <v>Electrical Repairs/CAM</v>
      </c>
      <c r="BX31" s="500">
        <f>'CAM Majors'!C31</f>
        <v>0</v>
      </c>
      <c r="BY31" s="501">
        <v>0</v>
      </c>
      <c r="BZ31" s="500">
        <f t="shared" si="64"/>
        <v>0</v>
      </c>
      <c r="CA31" s="408">
        <f>$BX$8/'CAM Majors'!$D31</f>
        <v>1.9007812846150437E-2</v>
      </c>
      <c r="CB31" s="463">
        <f t="shared" si="32"/>
        <v>0</v>
      </c>
      <c r="CC31" s="463">
        <f t="shared" si="33"/>
        <v>0</v>
      </c>
      <c r="CD31" s="464">
        <f t="shared" si="34"/>
        <v>0</v>
      </c>
      <c r="CE31" s="231">
        <f>'CAM Majors'!A31</f>
        <v>51200</v>
      </c>
      <c r="CF31" s="165" t="str">
        <f>'CAM Majors'!B31</f>
        <v>Electrical Repairs/CAM</v>
      </c>
      <c r="CG31" s="500">
        <f>'CAM Majors'!C31</f>
        <v>0</v>
      </c>
      <c r="CH31" s="501">
        <v>0</v>
      </c>
      <c r="CI31" s="500">
        <f t="shared" si="65"/>
        <v>0</v>
      </c>
      <c r="CJ31" s="408">
        <f>$CG$8/'CAM Majors'!$D31</f>
        <v>2.420653088954201E-2</v>
      </c>
      <c r="CK31" s="463">
        <f t="shared" si="36"/>
        <v>0</v>
      </c>
      <c r="CL31" s="463">
        <f t="shared" si="37"/>
        <v>0</v>
      </c>
      <c r="CM31" s="464">
        <f t="shared" si="38"/>
        <v>0</v>
      </c>
      <c r="CN31" s="231">
        <f>'CAM Majors'!A31</f>
        <v>51200</v>
      </c>
      <c r="CO31" s="165" t="str">
        <f>'CAM Majors'!B31</f>
        <v>Electrical Repairs/CAM</v>
      </c>
      <c r="CP31" s="500">
        <f>'CAM Majors'!C31</f>
        <v>0</v>
      </c>
      <c r="CQ31" s="501">
        <v>0</v>
      </c>
      <c r="CR31" s="500">
        <f t="shared" si="66"/>
        <v>0</v>
      </c>
      <c r="CS31" s="408">
        <f>$CP$8/'CAM Majors'!$D31</f>
        <v>5.3168707261959269E-2</v>
      </c>
      <c r="CT31" s="463">
        <f t="shared" si="40"/>
        <v>0</v>
      </c>
      <c r="CU31" s="463"/>
      <c r="CV31" s="464">
        <f t="shared" si="41"/>
        <v>0</v>
      </c>
      <c r="CW31" s="231">
        <f>'CAM Majors'!A31</f>
        <v>51200</v>
      </c>
      <c r="CX31" s="165" t="str">
        <f>'CAM Majors'!B31</f>
        <v>Electrical Repairs/CAM</v>
      </c>
      <c r="CY31" s="500">
        <f>'CAM Majors'!C31</f>
        <v>0</v>
      </c>
      <c r="CZ31" s="501">
        <v>0</v>
      </c>
      <c r="DA31" s="500">
        <f t="shared" si="67"/>
        <v>0</v>
      </c>
      <c r="DB31" s="408">
        <f>$CY$8/'CAM Majors'!$D31</f>
        <v>2.343853845131371E-2</v>
      </c>
      <c r="DC31" s="463">
        <f t="shared" si="43"/>
        <v>0</v>
      </c>
      <c r="DD31" s="463">
        <f t="shared" si="44"/>
        <v>0</v>
      </c>
      <c r="DE31" s="464">
        <f t="shared" si="45"/>
        <v>0</v>
      </c>
      <c r="DF31" s="231">
        <f>'CAM Majors'!A31</f>
        <v>51200</v>
      </c>
      <c r="DG31" s="165" t="str">
        <f>'CAM Majors'!B31</f>
        <v>Electrical Repairs/CAM</v>
      </c>
      <c r="DH31" s="500">
        <f>'CAM Majors'!C31</f>
        <v>0</v>
      </c>
      <c r="DI31" s="501">
        <v>0</v>
      </c>
      <c r="DJ31" s="500">
        <f t="shared" si="68"/>
        <v>0</v>
      </c>
      <c r="DK31" s="408">
        <f>$DH$8/'CAM Majors'!$D31</f>
        <v>1.9199810955707514E-2</v>
      </c>
      <c r="DL31" s="463">
        <f t="shared" si="47"/>
        <v>0</v>
      </c>
      <c r="DM31" s="463">
        <f t="shared" si="48"/>
        <v>0</v>
      </c>
      <c r="DN31" s="464">
        <f t="shared" si="49"/>
        <v>0</v>
      </c>
      <c r="DO31" s="231">
        <f>'CAM Majors'!A31</f>
        <v>51200</v>
      </c>
      <c r="DP31" s="165" t="str">
        <f>'CAM Majors'!B31</f>
        <v>Electrical Repairs/CAM</v>
      </c>
      <c r="DQ31" s="500">
        <f>'CAM Majors'!C31</f>
        <v>0</v>
      </c>
      <c r="DR31" s="501">
        <v>0</v>
      </c>
      <c r="DS31" s="500">
        <f t="shared" si="69"/>
        <v>0</v>
      </c>
      <c r="DT31" s="408">
        <f>$DQ$8/'CAM Majors'!$D31</f>
        <v>5.2046256775317906E-2</v>
      </c>
      <c r="DU31" s="463">
        <f t="shared" si="51"/>
        <v>0</v>
      </c>
      <c r="DV31" s="463">
        <f t="shared" si="52"/>
        <v>0</v>
      </c>
      <c r="DW31" s="464">
        <f t="shared" si="53"/>
        <v>0</v>
      </c>
      <c r="DX31" s="60">
        <f>'CAM Majors'!A31</f>
        <v>51200</v>
      </c>
      <c r="DY31" s="2" t="str">
        <f>'CAM Majors'!B31</f>
        <v>Electrical Repairs/CAM</v>
      </c>
      <c r="DZ31" s="500">
        <f>'CAM Majors'!C31</f>
        <v>0</v>
      </c>
      <c r="EA31" s="501">
        <v>0</v>
      </c>
      <c r="EB31" s="500">
        <f t="shared" si="70"/>
        <v>0</v>
      </c>
      <c r="EC31" s="242">
        <f>$DZ$8/'CAM Majors'!$D31</f>
        <v>4.4410639649086529E-2</v>
      </c>
      <c r="ED31" s="463">
        <f t="shared" si="55"/>
        <v>0</v>
      </c>
      <c r="EE31" s="463">
        <f t="shared" si="56"/>
        <v>0</v>
      </c>
      <c r="EF31" s="464">
        <f t="shared" si="57"/>
        <v>0</v>
      </c>
    </row>
    <row r="32" spans="1:136">
      <c r="A32" s="60">
        <f>'CAM Majors'!A32</f>
        <v>51220</v>
      </c>
      <c r="B32" s="2" t="str">
        <f>'CAM Majors'!B32</f>
        <v>Painting</v>
      </c>
      <c r="C32" s="500">
        <f>'CAM Majors'!C32</f>
        <v>0</v>
      </c>
      <c r="D32" s="461">
        <v>0</v>
      </c>
      <c r="E32" s="383">
        <f>C32+D32</f>
        <v>0</v>
      </c>
      <c r="F32" s="242">
        <f>$C$8/'CAM Majors'!D32</f>
        <v>4.4307256051632722E-2</v>
      </c>
      <c r="G32" s="463">
        <f t="shared" si="1"/>
        <v>0</v>
      </c>
      <c r="H32" s="463">
        <f t="shared" si="2"/>
        <v>0</v>
      </c>
      <c r="I32" s="464">
        <f t="shared" si="3"/>
        <v>0</v>
      </c>
      <c r="J32" s="464"/>
      <c r="K32" s="60">
        <f>'CAM Majors'!A32</f>
        <v>51220</v>
      </c>
      <c r="L32" s="226" t="str">
        <f>'CAM Majors'!B32</f>
        <v>Painting</v>
      </c>
      <c r="M32" s="500">
        <f>'CAM Majors'!C32</f>
        <v>0</v>
      </c>
      <c r="N32" s="461">
        <v>0</v>
      </c>
      <c r="O32" s="383">
        <f t="shared" si="4"/>
        <v>0</v>
      </c>
      <c r="P32" s="242">
        <f>$M$8/'CAM Majors'!D32</f>
        <v>2.3999763694634392E-2</v>
      </c>
      <c r="Q32" s="463">
        <f t="shared" si="5"/>
        <v>0</v>
      </c>
      <c r="R32" s="463">
        <f t="shared" si="6"/>
        <v>0</v>
      </c>
      <c r="S32" s="464">
        <f t="shared" si="7"/>
        <v>0</v>
      </c>
      <c r="T32" s="60">
        <f>'CAM Majors'!A32</f>
        <v>51220</v>
      </c>
      <c r="U32" s="2" t="str">
        <f>'CAM Majors'!B32</f>
        <v>Painting</v>
      </c>
      <c r="V32" s="500">
        <f>'CAM Majors'!C32</f>
        <v>0</v>
      </c>
      <c r="W32" s="461">
        <v>0</v>
      </c>
      <c r="X32" s="383">
        <f t="shared" si="58"/>
        <v>0</v>
      </c>
      <c r="Y32" s="242">
        <f>$V$8/'CAM Majors'!D32</f>
        <v>2.0676719490761938E-2</v>
      </c>
      <c r="Z32" s="463">
        <f t="shared" si="9"/>
        <v>0</v>
      </c>
      <c r="AA32" s="463">
        <f t="shared" si="10"/>
        <v>0</v>
      </c>
      <c r="AB32" s="464">
        <f t="shared" si="11"/>
        <v>0</v>
      </c>
      <c r="AC32" s="60">
        <f>'CAM Majors'!A32</f>
        <v>51220</v>
      </c>
      <c r="AD32" s="2" t="str">
        <f>'CAM Majors'!B32</f>
        <v>Painting</v>
      </c>
      <c r="AE32" s="500">
        <f>'CAM Majors'!C32</f>
        <v>0</v>
      </c>
      <c r="AF32" s="461">
        <v>0</v>
      </c>
      <c r="AG32" s="383">
        <f t="shared" si="59"/>
        <v>0</v>
      </c>
      <c r="AH32" s="242">
        <f>$AE$8/'CAM Majors'!D32</f>
        <v>1.6423222909805194E-2</v>
      </c>
      <c r="AI32" s="463">
        <f t="shared" si="13"/>
        <v>0</v>
      </c>
      <c r="AJ32" s="463">
        <f t="shared" si="14"/>
        <v>0</v>
      </c>
      <c r="AK32" s="464">
        <f t="shared" si="15"/>
        <v>0</v>
      </c>
      <c r="AL32" s="60">
        <f>'CAM Majors'!A32</f>
        <v>51220</v>
      </c>
      <c r="AM32" s="2" t="str">
        <f>'CAM Majors'!B32</f>
        <v>Painting</v>
      </c>
      <c r="AN32" s="500">
        <f>'CAM Majors'!C32</f>
        <v>0</v>
      </c>
      <c r="AO32" s="461">
        <v>0</v>
      </c>
      <c r="AP32" s="383">
        <f t="shared" si="60"/>
        <v>0</v>
      </c>
      <c r="AQ32" s="242">
        <f>$AN$8/'CAM Majors'!D32</f>
        <v>3.6834098864257335E-2</v>
      </c>
      <c r="AR32" s="463">
        <f t="shared" si="17"/>
        <v>0</v>
      </c>
      <c r="AS32" s="463"/>
      <c r="AT32" s="464">
        <f t="shared" si="18"/>
        <v>0</v>
      </c>
      <c r="AU32" s="60">
        <f>'CAM Majors'!A32</f>
        <v>51220</v>
      </c>
      <c r="AV32" s="2" t="str">
        <f>'CAM Majors'!B32</f>
        <v>Painting</v>
      </c>
      <c r="AW32" s="500">
        <f>'CAM Majors'!C32</f>
        <v>0</v>
      </c>
      <c r="AX32" s="461">
        <v>0</v>
      </c>
      <c r="AY32" s="383">
        <f t="shared" si="61"/>
        <v>0</v>
      </c>
      <c r="AZ32" s="242">
        <f>$AW$8/'CAM Majors'!$D32</f>
        <v>2.2153628025816361E-2</v>
      </c>
      <c r="BA32" s="463">
        <f t="shared" si="20"/>
        <v>0</v>
      </c>
      <c r="BB32" s="463">
        <f t="shared" si="21"/>
        <v>0</v>
      </c>
      <c r="BC32" s="464">
        <f t="shared" si="22"/>
        <v>0</v>
      </c>
      <c r="BD32" s="60">
        <f>'CAM Majors'!A32</f>
        <v>51220</v>
      </c>
      <c r="BE32" s="2" t="str">
        <f>'CAM Majors'!B32</f>
        <v>Painting</v>
      </c>
      <c r="BF32" s="500">
        <f>'CAM Majors'!C32</f>
        <v>0</v>
      </c>
      <c r="BG32" s="461">
        <v>0</v>
      </c>
      <c r="BH32" s="383">
        <f t="shared" si="62"/>
        <v>0</v>
      </c>
      <c r="BI32" s="242">
        <f>$BF$8/'CAM Majors'!$D32</f>
        <v>2.5609593997843714E-2</v>
      </c>
      <c r="BJ32" s="463">
        <f t="shared" si="24"/>
        <v>0</v>
      </c>
      <c r="BK32" s="463">
        <f t="shared" si="25"/>
        <v>0</v>
      </c>
      <c r="BL32" s="464">
        <f t="shared" si="26"/>
        <v>0</v>
      </c>
      <c r="BM32" s="60">
        <f>'CAM Majors'!A32</f>
        <v>51220</v>
      </c>
      <c r="BN32" s="2" t="str">
        <f>'CAM Majors'!B32</f>
        <v>Painting</v>
      </c>
      <c r="BO32" s="500">
        <f>'CAM Majors'!C32</f>
        <v>0</v>
      </c>
      <c r="BP32" s="461">
        <v>0</v>
      </c>
      <c r="BQ32" s="383">
        <f t="shared" si="63"/>
        <v>0</v>
      </c>
      <c r="BR32" s="242">
        <f>$BO$8/'CAM Majors'!$D32</f>
        <v>5.7599432867122539E-2</v>
      </c>
      <c r="BS32" s="463">
        <f t="shared" si="28"/>
        <v>0</v>
      </c>
      <c r="BT32" s="463">
        <f t="shared" si="29"/>
        <v>0</v>
      </c>
      <c r="BU32" s="464">
        <f t="shared" si="30"/>
        <v>0</v>
      </c>
      <c r="BV32" s="60">
        <f>'CAM Majors'!A32</f>
        <v>51220</v>
      </c>
      <c r="BW32" s="2" t="str">
        <f>'CAM Majors'!B32</f>
        <v>Painting</v>
      </c>
      <c r="BX32" s="500">
        <f>'CAM Majors'!C32</f>
        <v>0</v>
      </c>
      <c r="BY32" s="461">
        <v>0</v>
      </c>
      <c r="BZ32" s="383">
        <f t="shared" si="64"/>
        <v>0</v>
      </c>
      <c r="CA32" s="242">
        <f>$BX$8/'CAM Majors'!$D32</f>
        <v>1.9007812846150437E-2</v>
      </c>
      <c r="CB32" s="463">
        <f t="shared" si="32"/>
        <v>0</v>
      </c>
      <c r="CC32" s="463">
        <f t="shared" si="33"/>
        <v>0</v>
      </c>
      <c r="CD32" s="464">
        <f t="shared" si="34"/>
        <v>0</v>
      </c>
      <c r="CE32" s="60">
        <f>'CAM Majors'!A32</f>
        <v>51220</v>
      </c>
      <c r="CF32" s="2" t="str">
        <f>'CAM Majors'!B32</f>
        <v>Painting</v>
      </c>
      <c r="CG32" s="500">
        <f>'CAM Majors'!C32</f>
        <v>0</v>
      </c>
      <c r="CH32" s="461">
        <v>0</v>
      </c>
      <c r="CI32" s="383">
        <f t="shared" si="65"/>
        <v>0</v>
      </c>
      <c r="CJ32" s="242">
        <f>$CG$8/'CAM Majors'!$D32</f>
        <v>2.420653088954201E-2</v>
      </c>
      <c r="CK32" s="463">
        <f t="shared" si="36"/>
        <v>0</v>
      </c>
      <c r="CL32" s="463">
        <f t="shared" si="37"/>
        <v>0</v>
      </c>
      <c r="CM32" s="464">
        <f t="shared" si="38"/>
        <v>0</v>
      </c>
      <c r="CN32" s="60">
        <f>'CAM Majors'!A32</f>
        <v>51220</v>
      </c>
      <c r="CO32" s="2" t="str">
        <f>'CAM Majors'!B32</f>
        <v>Painting</v>
      </c>
      <c r="CP32" s="500">
        <f>'CAM Majors'!C32</f>
        <v>0</v>
      </c>
      <c r="CQ32" s="461">
        <v>0</v>
      </c>
      <c r="CR32" s="383">
        <f t="shared" si="66"/>
        <v>0</v>
      </c>
      <c r="CS32" s="242">
        <f>$CP$8/'CAM Majors'!$D32</f>
        <v>5.3168707261959269E-2</v>
      </c>
      <c r="CT32" s="463">
        <f t="shared" si="40"/>
        <v>0</v>
      </c>
      <c r="CU32" s="463"/>
      <c r="CV32" s="464">
        <f t="shared" si="41"/>
        <v>0</v>
      </c>
      <c r="CW32" s="60">
        <f>'CAM Majors'!A32</f>
        <v>51220</v>
      </c>
      <c r="CX32" s="2" t="str">
        <f>'CAM Majors'!B32</f>
        <v>Painting</v>
      </c>
      <c r="CY32" s="500">
        <f>'CAM Majors'!C32</f>
        <v>0</v>
      </c>
      <c r="CZ32" s="461">
        <v>0</v>
      </c>
      <c r="DA32" s="383">
        <f t="shared" si="67"/>
        <v>0</v>
      </c>
      <c r="DB32" s="242">
        <f>$CY$8/'CAM Majors'!$D32</f>
        <v>2.343853845131371E-2</v>
      </c>
      <c r="DC32" s="463">
        <f t="shared" si="43"/>
        <v>0</v>
      </c>
      <c r="DD32" s="463">
        <f t="shared" si="44"/>
        <v>0</v>
      </c>
      <c r="DE32" s="464">
        <f t="shared" si="45"/>
        <v>0</v>
      </c>
      <c r="DF32" s="60">
        <f>'CAM Majors'!A32</f>
        <v>51220</v>
      </c>
      <c r="DG32" s="2" t="str">
        <f>'CAM Majors'!B32</f>
        <v>Painting</v>
      </c>
      <c r="DH32" s="500">
        <f>'CAM Majors'!C32</f>
        <v>0</v>
      </c>
      <c r="DI32" s="461">
        <v>0</v>
      </c>
      <c r="DJ32" s="383">
        <f t="shared" si="68"/>
        <v>0</v>
      </c>
      <c r="DK32" s="242">
        <f>$DH$8/'CAM Majors'!$D32</f>
        <v>1.9199810955707514E-2</v>
      </c>
      <c r="DL32" s="463">
        <f t="shared" si="47"/>
        <v>0</v>
      </c>
      <c r="DM32" s="463">
        <f t="shared" si="48"/>
        <v>0</v>
      </c>
      <c r="DN32" s="464">
        <f t="shared" si="49"/>
        <v>0</v>
      </c>
      <c r="DO32" s="60">
        <f>'CAM Majors'!A32</f>
        <v>51220</v>
      </c>
      <c r="DP32" s="2" t="str">
        <f>'CAM Majors'!B32</f>
        <v>Painting</v>
      </c>
      <c r="DQ32" s="500">
        <f>'CAM Majors'!C32</f>
        <v>0</v>
      </c>
      <c r="DR32" s="461">
        <v>0</v>
      </c>
      <c r="DS32" s="383">
        <f t="shared" si="69"/>
        <v>0</v>
      </c>
      <c r="DT32" s="242">
        <f>$DQ$8/'CAM Majors'!$D32</f>
        <v>5.2046256775317906E-2</v>
      </c>
      <c r="DU32" s="463">
        <f t="shared" si="51"/>
        <v>0</v>
      </c>
      <c r="DV32" s="463">
        <f t="shared" si="52"/>
        <v>0</v>
      </c>
      <c r="DW32" s="464">
        <f t="shared" si="53"/>
        <v>0</v>
      </c>
      <c r="DX32" s="60">
        <f>'CAM Majors'!A32</f>
        <v>51220</v>
      </c>
      <c r="DY32" s="2" t="str">
        <f>'CAM Majors'!B32</f>
        <v>Painting</v>
      </c>
      <c r="DZ32" s="500">
        <f>'CAM Majors'!C32</f>
        <v>0</v>
      </c>
      <c r="EA32" s="461">
        <v>0</v>
      </c>
      <c r="EB32" s="383">
        <f t="shared" si="70"/>
        <v>0</v>
      </c>
      <c r="EC32" s="242">
        <f>$DZ$8/'CAM Majors'!$D32</f>
        <v>4.4410639649086529E-2</v>
      </c>
      <c r="ED32" s="463">
        <f t="shared" si="55"/>
        <v>0</v>
      </c>
      <c r="EE32" s="463">
        <f t="shared" si="56"/>
        <v>0</v>
      </c>
      <c r="EF32" s="464">
        <f t="shared" si="57"/>
        <v>0</v>
      </c>
    </row>
    <row r="33" spans="1:136">
      <c r="A33" s="60">
        <f>'CAM Majors'!A33</f>
        <v>55110</v>
      </c>
      <c r="B33" s="2" t="str">
        <f>'CAM Majors'!B33</f>
        <v>Electric/Common Area</v>
      </c>
      <c r="C33" s="500">
        <f>'CAM Majors'!C33</f>
        <v>19714.199999999997</v>
      </c>
      <c r="D33" s="461">
        <v>0</v>
      </c>
      <c r="E33" s="383">
        <f t="shared" si="0"/>
        <v>19714.199999999997</v>
      </c>
      <c r="F33" s="242">
        <f>$C$8/'CAM Majors'!D33</f>
        <v>4.4307256051632722E-2</v>
      </c>
      <c r="G33" s="463">
        <f t="shared" si="1"/>
        <v>873.48210725309764</v>
      </c>
      <c r="H33" s="463">
        <f t="shared" si="2"/>
        <v>87.348210725309769</v>
      </c>
      <c r="I33" s="464">
        <f t="shared" si="3"/>
        <v>960.83031797840738</v>
      </c>
      <c r="J33" s="464"/>
      <c r="K33" s="60">
        <f>'CAM Majors'!A33</f>
        <v>55110</v>
      </c>
      <c r="L33" s="226" t="str">
        <f>'CAM Majors'!B33</f>
        <v>Electric/Common Area</v>
      </c>
      <c r="M33" s="500">
        <f>'CAM Majors'!C33</f>
        <v>19714.199999999997</v>
      </c>
      <c r="N33" s="461">
        <v>0</v>
      </c>
      <c r="O33" s="383">
        <f t="shared" si="4"/>
        <v>19714.199999999997</v>
      </c>
      <c r="P33" s="242">
        <f>$M$8/'CAM Majors'!D33</f>
        <v>2.3999763694634392E-2</v>
      </c>
      <c r="Q33" s="463">
        <f t="shared" si="5"/>
        <v>473.13614142876128</v>
      </c>
      <c r="R33" s="463">
        <f t="shared" si="6"/>
        <v>18.925445657150451</v>
      </c>
      <c r="S33" s="464">
        <f t="shared" si="7"/>
        <v>492.06158708591175</v>
      </c>
      <c r="T33" s="60">
        <f>'CAM Majors'!A33</f>
        <v>55110</v>
      </c>
      <c r="U33" s="2" t="str">
        <f>'CAM Majors'!B33</f>
        <v>Electric/Common Area</v>
      </c>
      <c r="V33" s="500">
        <f>'CAM Majors'!C33</f>
        <v>19714.199999999997</v>
      </c>
      <c r="W33" s="461">
        <v>0</v>
      </c>
      <c r="X33" s="383">
        <f t="shared" si="58"/>
        <v>19714.199999999997</v>
      </c>
      <c r="Y33" s="242">
        <f>$V$8/'CAM Majors'!D33</f>
        <v>2.0676719490761938E-2</v>
      </c>
      <c r="Z33" s="463">
        <f t="shared" si="9"/>
        <v>407.62498338477894</v>
      </c>
      <c r="AA33" s="463">
        <f t="shared" si="10"/>
        <v>0</v>
      </c>
      <c r="AB33" s="464">
        <f t="shared" si="11"/>
        <v>407.62498338477894</v>
      </c>
      <c r="AC33" s="60">
        <f>'CAM Majors'!A33</f>
        <v>55110</v>
      </c>
      <c r="AD33" s="2" t="str">
        <f>'CAM Majors'!B33</f>
        <v>Electric/Common Area</v>
      </c>
      <c r="AE33" s="500">
        <f>'CAM Majors'!C33</f>
        <v>19714.199999999997</v>
      </c>
      <c r="AF33" s="461">
        <v>0</v>
      </c>
      <c r="AG33" s="383">
        <f t="shared" si="59"/>
        <v>19714.199999999997</v>
      </c>
      <c r="AH33" s="242">
        <f>$AE$8/'CAM Majors'!D33</f>
        <v>1.6423222909805194E-2</v>
      </c>
      <c r="AI33" s="463">
        <f t="shared" si="13"/>
        <v>323.77070108848153</v>
      </c>
      <c r="AJ33" s="463">
        <f t="shared" si="14"/>
        <v>0</v>
      </c>
      <c r="AK33" s="464">
        <f t="shared" si="15"/>
        <v>323.77070108848153</v>
      </c>
      <c r="AL33" s="60">
        <f>'CAM Majors'!A33</f>
        <v>55110</v>
      </c>
      <c r="AM33" s="2" t="str">
        <f>'CAM Majors'!B33</f>
        <v>Electric/Common Area</v>
      </c>
      <c r="AN33" s="500">
        <f>'CAM Majors'!C33</f>
        <v>19714.199999999997</v>
      </c>
      <c r="AO33" s="461">
        <v>0</v>
      </c>
      <c r="AP33" s="383">
        <f t="shared" si="60"/>
        <v>19714.199999999997</v>
      </c>
      <c r="AQ33" s="242">
        <f>$AN$8/'CAM Majors'!D33</f>
        <v>3.6834098864257335E-2</v>
      </c>
      <c r="AR33" s="463">
        <f t="shared" si="17"/>
        <v>726.15479182974184</v>
      </c>
      <c r="AS33" s="463"/>
      <c r="AT33" s="464">
        <f t="shared" si="18"/>
        <v>726.15479182974184</v>
      </c>
      <c r="AU33" s="60">
        <f>'CAM Majors'!A33</f>
        <v>55110</v>
      </c>
      <c r="AV33" s="2" t="str">
        <f>'CAM Majors'!B33</f>
        <v>Electric/Common Area</v>
      </c>
      <c r="AW33" s="500">
        <f>'CAM Majors'!C33</f>
        <v>19714.199999999997</v>
      </c>
      <c r="AX33" s="461">
        <v>0</v>
      </c>
      <c r="AY33" s="383">
        <f t="shared" si="61"/>
        <v>19714.199999999997</v>
      </c>
      <c r="AZ33" s="242">
        <f>$AW$8/'CAM Majors'!$D33</f>
        <v>2.2153628025816361E-2</v>
      </c>
      <c r="BA33" s="463">
        <f t="shared" si="20"/>
        <v>436.74105362654882</v>
      </c>
      <c r="BB33" s="463">
        <f t="shared" si="21"/>
        <v>0</v>
      </c>
      <c r="BC33" s="464">
        <f t="shared" si="22"/>
        <v>436.74105362654882</v>
      </c>
      <c r="BD33" s="60">
        <f>'CAM Majors'!A33</f>
        <v>55110</v>
      </c>
      <c r="BE33" s="2" t="str">
        <f>'CAM Majors'!B33</f>
        <v>Electric/Common Area</v>
      </c>
      <c r="BF33" s="500">
        <f>'CAM Majors'!C33</f>
        <v>19714.199999999997</v>
      </c>
      <c r="BG33" s="461">
        <v>0</v>
      </c>
      <c r="BH33" s="383">
        <f t="shared" si="62"/>
        <v>19714.199999999997</v>
      </c>
      <c r="BI33" s="242">
        <f>$BF$8/'CAM Majors'!$D33</f>
        <v>2.5609593997843714E-2</v>
      </c>
      <c r="BJ33" s="463">
        <f t="shared" si="24"/>
        <v>504.87265799229044</v>
      </c>
      <c r="BK33" s="463">
        <f t="shared" si="25"/>
        <v>25.243632899614525</v>
      </c>
      <c r="BL33" s="464">
        <f t="shared" si="26"/>
        <v>530.11629089190501</v>
      </c>
      <c r="BM33" s="60">
        <f>'CAM Majors'!A33</f>
        <v>55110</v>
      </c>
      <c r="BN33" s="2" t="str">
        <f>'CAM Majors'!B33</f>
        <v>Electric/Common Area</v>
      </c>
      <c r="BO33" s="500">
        <f>'CAM Majors'!C33</f>
        <v>19714.199999999997</v>
      </c>
      <c r="BP33" s="461">
        <v>0</v>
      </c>
      <c r="BQ33" s="383">
        <f t="shared" si="63"/>
        <v>19714.199999999997</v>
      </c>
      <c r="BR33" s="242">
        <f>$BO$8/'CAM Majors'!$D33</f>
        <v>5.7599432867122539E-2</v>
      </c>
      <c r="BS33" s="463">
        <f t="shared" si="28"/>
        <v>1135.526739429027</v>
      </c>
      <c r="BT33" s="463">
        <f t="shared" si="29"/>
        <v>0</v>
      </c>
      <c r="BU33" s="464">
        <f t="shared" si="30"/>
        <v>1135.526739429027</v>
      </c>
      <c r="BV33" s="60">
        <f>'CAM Majors'!A33</f>
        <v>55110</v>
      </c>
      <c r="BW33" s="2" t="str">
        <f>'CAM Majors'!B33</f>
        <v>Electric/Common Area</v>
      </c>
      <c r="BX33" s="500">
        <f>'CAM Majors'!C33</f>
        <v>19714.199999999997</v>
      </c>
      <c r="BY33" s="461">
        <v>0</v>
      </c>
      <c r="BZ33" s="383">
        <f t="shared" si="64"/>
        <v>19714.199999999997</v>
      </c>
      <c r="CA33" s="242">
        <f>$BX$8/'CAM Majors'!$D33</f>
        <v>1.9007812846150437E-2</v>
      </c>
      <c r="CB33" s="463">
        <f t="shared" si="32"/>
        <v>374.72382401157887</v>
      </c>
      <c r="CC33" s="463">
        <v>0</v>
      </c>
      <c r="CD33" s="464">
        <f t="shared" si="34"/>
        <v>374.72382401157887</v>
      </c>
      <c r="CE33" s="60">
        <f>'CAM Majors'!A33</f>
        <v>55110</v>
      </c>
      <c r="CF33" s="2" t="str">
        <f>'CAM Majors'!B33</f>
        <v>Electric/Common Area</v>
      </c>
      <c r="CG33" s="500">
        <f>'CAM Majors'!C33</f>
        <v>19714.199999999997</v>
      </c>
      <c r="CH33" s="461">
        <v>0</v>
      </c>
      <c r="CI33" s="383">
        <f t="shared" si="65"/>
        <v>19714.199999999997</v>
      </c>
      <c r="CJ33" s="242">
        <f>$CG$8/'CAM Majors'!$D33</f>
        <v>2.420653088954201E-2</v>
      </c>
      <c r="CK33" s="463">
        <f t="shared" si="36"/>
        <v>477.212391262609</v>
      </c>
      <c r="CL33" s="463">
        <v>0</v>
      </c>
      <c r="CM33" s="464">
        <f t="shared" si="38"/>
        <v>477.212391262609</v>
      </c>
      <c r="CN33" s="60">
        <f>'CAM Majors'!A33</f>
        <v>55110</v>
      </c>
      <c r="CO33" s="2" t="str">
        <f>'CAM Majors'!B33</f>
        <v>Electric/Common Area</v>
      </c>
      <c r="CP33" s="500">
        <f>'CAM Majors'!C33</f>
        <v>19714.199999999997</v>
      </c>
      <c r="CQ33" s="461">
        <v>0</v>
      </c>
      <c r="CR33" s="383">
        <f t="shared" si="66"/>
        <v>19714.199999999997</v>
      </c>
      <c r="CS33" s="242">
        <f>$CP$8/'CAM Majors'!$D33</f>
        <v>5.3168707261959269E-2</v>
      </c>
      <c r="CT33" s="463">
        <f t="shared" si="40"/>
        <v>1048.1785287037173</v>
      </c>
      <c r="CU33" s="463"/>
      <c r="CV33" s="464">
        <f t="shared" si="41"/>
        <v>1048.1785287037173</v>
      </c>
      <c r="CW33" s="60">
        <f>'CAM Majors'!A33</f>
        <v>55110</v>
      </c>
      <c r="CX33" s="2" t="str">
        <f>'CAM Majors'!B33</f>
        <v>Electric/Common Area</v>
      </c>
      <c r="CY33" s="500">
        <f>'CAM Majors'!C33</f>
        <v>19714.199999999997</v>
      </c>
      <c r="CZ33" s="461">
        <v>0</v>
      </c>
      <c r="DA33" s="383">
        <f t="shared" si="67"/>
        <v>19714.199999999997</v>
      </c>
      <c r="DB33" s="242">
        <f>$CY$8/'CAM Majors'!$D33</f>
        <v>2.343853845131371E-2</v>
      </c>
      <c r="DC33" s="463">
        <f t="shared" si="43"/>
        <v>462.07203473688867</v>
      </c>
      <c r="DD33" s="463">
        <f t="shared" si="44"/>
        <v>46.207203473688871</v>
      </c>
      <c r="DE33" s="464">
        <f t="shared" si="45"/>
        <v>508.27923821057755</v>
      </c>
      <c r="DF33" s="60">
        <f>'CAM Majors'!A33</f>
        <v>55110</v>
      </c>
      <c r="DG33" s="2" t="str">
        <f>'CAM Majors'!B33</f>
        <v>Electric/Common Area</v>
      </c>
      <c r="DH33" s="500">
        <f>'CAM Majors'!C33</f>
        <v>19714.199999999997</v>
      </c>
      <c r="DI33" s="461">
        <v>0</v>
      </c>
      <c r="DJ33" s="383">
        <f t="shared" si="68"/>
        <v>19714.199999999997</v>
      </c>
      <c r="DK33" s="242">
        <f>$DH$8/'CAM Majors'!$D33</f>
        <v>1.9199810955707514E-2</v>
      </c>
      <c r="DL33" s="463">
        <f t="shared" si="47"/>
        <v>378.50891314300901</v>
      </c>
      <c r="DM33" s="463">
        <f t="shared" si="48"/>
        <v>56.77633697145135</v>
      </c>
      <c r="DN33" s="464">
        <f t="shared" si="49"/>
        <v>435.28525011446038</v>
      </c>
      <c r="DO33" s="60">
        <f>'CAM Majors'!A33</f>
        <v>55110</v>
      </c>
      <c r="DP33" s="2" t="str">
        <f>'CAM Majors'!B33</f>
        <v>Electric/Common Area</v>
      </c>
      <c r="DQ33" s="500">
        <f>'CAM Majors'!C33</f>
        <v>19714.199999999997</v>
      </c>
      <c r="DR33" s="461">
        <v>0</v>
      </c>
      <c r="DS33" s="383">
        <f t="shared" si="69"/>
        <v>19714.199999999997</v>
      </c>
      <c r="DT33" s="242">
        <f>$DQ$8/'CAM Majors'!$D33</f>
        <v>5.2046256775317906E-2</v>
      </c>
      <c r="DU33" s="463">
        <f t="shared" si="51"/>
        <v>1026.050315319972</v>
      </c>
      <c r="DV33" s="463">
        <f t="shared" si="52"/>
        <v>51.302515765998606</v>
      </c>
      <c r="DW33" s="464">
        <f t="shared" si="53"/>
        <v>1077.3528310859706</v>
      </c>
      <c r="DX33" s="60">
        <f>'CAM Majors'!A33</f>
        <v>55110</v>
      </c>
      <c r="DY33" s="2" t="str">
        <f>'CAM Majors'!B33</f>
        <v>Electric/Common Area</v>
      </c>
      <c r="DZ33" s="500">
        <f>'CAM Majors'!C33</f>
        <v>19714.199999999997</v>
      </c>
      <c r="EA33" s="461">
        <v>0</v>
      </c>
      <c r="EB33" s="383">
        <f t="shared" si="70"/>
        <v>19714.199999999997</v>
      </c>
      <c r="EC33" s="242">
        <f>$DZ$8/'CAM Majors'!$D33</f>
        <v>4.4410639649086529E-2</v>
      </c>
      <c r="ED33" s="463">
        <f t="shared" si="55"/>
        <v>875.52023217002147</v>
      </c>
      <c r="EE33" s="463">
        <f t="shared" si="56"/>
        <v>43.776011608501079</v>
      </c>
      <c r="EF33" s="464">
        <f t="shared" si="57"/>
        <v>919.29624377852258</v>
      </c>
    </row>
    <row r="34" spans="1:136">
      <c r="A34" s="60">
        <f>'CAM Majors'!A34</f>
        <v>55140</v>
      </c>
      <c r="B34" s="2" t="str">
        <f>'CAM Majors'!B34</f>
        <v>Water/Common Area</v>
      </c>
      <c r="C34" s="500">
        <f>'CAM Majors'!C34</f>
        <v>0</v>
      </c>
      <c r="D34" s="461">
        <v>0</v>
      </c>
      <c r="E34" s="383">
        <f>C34+D34</f>
        <v>0</v>
      </c>
      <c r="F34" s="242">
        <f>$C$8/'CAM Majors'!D34</f>
        <v>4.4307256051632722E-2</v>
      </c>
      <c r="G34" s="463">
        <f t="shared" si="1"/>
        <v>0</v>
      </c>
      <c r="H34" s="463">
        <f t="shared" si="2"/>
        <v>0</v>
      </c>
      <c r="I34" s="464">
        <f t="shared" si="3"/>
        <v>0</v>
      </c>
      <c r="J34" s="464"/>
      <c r="K34" s="60">
        <f>'CAM Majors'!A34</f>
        <v>55140</v>
      </c>
      <c r="L34" s="226" t="str">
        <f>'CAM Majors'!B34</f>
        <v>Water/Common Area</v>
      </c>
      <c r="M34" s="500">
        <f>'CAM Majors'!C34</f>
        <v>0</v>
      </c>
      <c r="N34" s="461">
        <v>0</v>
      </c>
      <c r="O34" s="383">
        <f t="shared" si="4"/>
        <v>0</v>
      </c>
      <c r="P34" s="242">
        <f>$M$8/'CAM Majors'!D34</f>
        <v>2.3999763694634392E-2</v>
      </c>
      <c r="Q34" s="463">
        <f t="shared" si="5"/>
        <v>0</v>
      </c>
      <c r="R34" s="463">
        <f t="shared" si="6"/>
        <v>0</v>
      </c>
      <c r="S34" s="464">
        <f t="shared" si="7"/>
        <v>0</v>
      </c>
      <c r="T34" s="60">
        <f>'CAM Majors'!A34</f>
        <v>55140</v>
      </c>
      <c r="U34" s="2" t="str">
        <f>'CAM Majors'!B34</f>
        <v>Water/Common Area</v>
      </c>
      <c r="V34" s="500">
        <f>'CAM Majors'!C34</f>
        <v>0</v>
      </c>
      <c r="W34" s="461">
        <v>0</v>
      </c>
      <c r="X34" s="383">
        <f t="shared" si="58"/>
        <v>0</v>
      </c>
      <c r="Y34" s="242">
        <f>$V$8/'CAM Majors'!D34</f>
        <v>2.0676719490761938E-2</v>
      </c>
      <c r="Z34" s="463">
        <f t="shared" si="9"/>
        <v>0</v>
      </c>
      <c r="AA34" s="463">
        <f t="shared" si="10"/>
        <v>0</v>
      </c>
      <c r="AB34" s="464">
        <f t="shared" si="11"/>
        <v>0</v>
      </c>
      <c r="AC34" s="60">
        <f>'CAM Majors'!A34</f>
        <v>55140</v>
      </c>
      <c r="AD34" s="2" t="str">
        <f>'CAM Majors'!B34</f>
        <v>Water/Common Area</v>
      </c>
      <c r="AE34" s="500">
        <f>'CAM Majors'!C34</f>
        <v>0</v>
      </c>
      <c r="AF34" s="461">
        <v>0</v>
      </c>
      <c r="AG34" s="383">
        <f t="shared" si="59"/>
        <v>0</v>
      </c>
      <c r="AH34" s="242">
        <f>$AE$8/'CAM Majors'!D34</f>
        <v>1.6423222909805194E-2</v>
      </c>
      <c r="AI34" s="463">
        <f t="shared" si="13"/>
        <v>0</v>
      </c>
      <c r="AJ34" s="463">
        <f t="shared" si="14"/>
        <v>0</v>
      </c>
      <c r="AK34" s="464">
        <f t="shared" si="15"/>
        <v>0</v>
      </c>
      <c r="AL34" s="60">
        <f>'CAM Majors'!A34</f>
        <v>55140</v>
      </c>
      <c r="AM34" s="2" t="str">
        <f>'CAM Majors'!B34</f>
        <v>Water/Common Area</v>
      </c>
      <c r="AN34" s="500">
        <f>'CAM Majors'!C34</f>
        <v>0</v>
      </c>
      <c r="AO34" s="461">
        <v>0</v>
      </c>
      <c r="AP34" s="383">
        <f t="shared" si="60"/>
        <v>0</v>
      </c>
      <c r="AQ34" s="242">
        <f>$AN$8/'CAM Majors'!D34</f>
        <v>3.6834098864257335E-2</v>
      </c>
      <c r="AR34" s="463">
        <f t="shared" si="17"/>
        <v>0</v>
      </c>
      <c r="AS34" s="463"/>
      <c r="AT34" s="464">
        <f t="shared" si="18"/>
        <v>0</v>
      </c>
      <c r="AU34" s="60">
        <f>'CAM Majors'!A34</f>
        <v>55140</v>
      </c>
      <c r="AV34" s="2" t="str">
        <f>'CAM Majors'!B34</f>
        <v>Water/Common Area</v>
      </c>
      <c r="AW34" s="500">
        <f>'CAM Majors'!C34</f>
        <v>0</v>
      </c>
      <c r="AX34" s="461">
        <v>0</v>
      </c>
      <c r="AY34" s="383">
        <f t="shared" si="61"/>
        <v>0</v>
      </c>
      <c r="AZ34" s="242">
        <f>$AW$8/'CAM Majors'!$D34</f>
        <v>2.2153628025816361E-2</v>
      </c>
      <c r="BA34" s="463">
        <f t="shared" si="20"/>
        <v>0</v>
      </c>
      <c r="BB34" s="463">
        <f t="shared" si="21"/>
        <v>0</v>
      </c>
      <c r="BC34" s="464">
        <f t="shared" si="22"/>
        <v>0</v>
      </c>
      <c r="BD34" s="60">
        <f>'CAM Majors'!A34</f>
        <v>55140</v>
      </c>
      <c r="BE34" s="2" t="str">
        <f>'CAM Majors'!B34</f>
        <v>Water/Common Area</v>
      </c>
      <c r="BF34" s="500">
        <f>'CAM Majors'!C34</f>
        <v>0</v>
      </c>
      <c r="BG34" s="461">
        <v>0</v>
      </c>
      <c r="BH34" s="383">
        <f t="shared" si="62"/>
        <v>0</v>
      </c>
      <c r="BI34" s="242">
        <f>$BF$8/'CAM Majors'!$D34</f>
        <v>2.5609593997843714E-2</v>
      </c>
      <c r="BJ34" s="463">
        <f t="shared" si="24"/>
        <v>0</v>
      </c>
      <c r="BK34" s="463">
        <f t="shared" si="25"/>
        <v>0</v>
      </c>
      <c r="BL34" s="464">
        <f t="shared" si="26"/>
        <v>0</v>
      </c>
      <c r="BM34" s="60">
        <f>'CAM Majors'!A34</f>
        <v>55140</v>
      </c>
      <c r="BN34" s="2" t="str">
        <f>'CAM Majors'!B34</f>
        <v>Water/Common Area</v>
      </c>
      <c r="BO34" s="500">
        <f>'CAM Majors'!C34</f>
        <v>0</v>
      </c>
      <c r="BP34" s="461">
        <v>0</v>
      </c>
      <c r="BQ34" s="383">
        <f t="shared" si="63"/>
        <v>0</v>
      </c>
      <c r="BR34" s="242">
        <f>$BO$8/'CAM Majors'!$D34</f>
        <v>5.7599432867122539E-2</v>
      </c>
      <c r="BS34" s="463">
        <f t="shared" si="28"/>
        <v>0</v>
      </c>
      <c r="BT34" s="463">
        <f t="shared" si="29"/>
        <v>0</v>
      </c>
      <c r="BU34" s="464">
        <f t="shared" si="30"/>
        <v>0</v>
      </c>
      <c r="BV34" s="60">
        <f>'CAM Majors'!A34</f>
        <v>55140</v>
      </c>
      <c r="BW34" s="2" t="str">
        <f>'CAM Majors'!B34</f>
        <v>Water/Common Area</v>
      </c>
      <c r="BX34" s="500">
        <f>'CAM Majors'!C34</f>
        <v>0</v>
      </c>
      <c r="BY34" s="461">
        <v>0</v>
      </c>
      <c r="BZ34" s="383">
        <f t="shared" si="64"/>
        <v>0</v>
      </c>
      <c r="CA34" s="242">
        <f>$BX$8/'CAM Majors'!$D34</f>
        <v>1.9007812846150437E-2</v>
      </c>
      <c r="CB34" s="463">
        <f t="shared" si="32"/>
        <v>0</v>
      </c>
      <c r="CC34" s="463">
        <v>0</v>
      </c>
      <c r="CD34" s="464">
        <f t="shared" si="34"/>
        <v>0</v>
      </c>
      <c r="CE34" s="60">
        <f>'CAM Majors'!A34</f>
        <v>55140</v>
      </c>
      <c r="CF34" s="2" t="str">
        <f>'CAM Majors'!B34</f>
        <v>Water/Common Area</v>
      </c>
      <c r="CG34" s="500">
        <f>'CAM Majors'!C34</f>
        <v>0</v>
      </c>
      <c r="CH34" s="461">
        <v>0</v>
      </c>
      <c r="CI34" s="383">
        <f t="shared" si="65"/>
        <v>0</v>
      </c>
      <c r="CJ34" s="242">
        <f>$CG$8/'CAM Majors'!$D34</f>
        <v>2.420653088954201E-2</v>
      </c>
      <c r="CK34" s="463">
        <f t="shared" si="36"/>
        <v>0</v>
      </c>
      <c r="CL34" s="463">
        <v>0</v>
      </c>
      <c r="CM34" s="464">
        <f t="shared" si="38"/>
        <v>0</v>
      </c>
      <c r="CN34" s="60">
        <f>'CAM Majors'!A34</f>
        <v>55140</v>
      </c>
      <c r="CO34" s="2" t="str">
        <f>'CAM Majors'!B34</f>
        <v>Water/Common Area</v>
      </c>
      <c r="CP34" s="500">
        <f>'CAM Majors'!C34</f>
        <v>0</v>
      </c>
      <c r="CQ34" s="461">
        <v>0</v>
      </c>
      <c r="CR34" s="383">
        <f t="shared" si="66"/>
        <v>0</v>
      </c>
      <c r="CS34" s="242">
        <f>$CP$8/'CAM Majors'!$D34</f>
        <v>5.3168707261959269E-2</v>
      </c>
      <c r="CT34" s="463">
        <f t="shared" si="40"/>
        <v>0</v>
      </c>
      <c r="CU34" s="463"/>
      <c r="CV34" s="464">
        <f t="shared" si="41"/>
        <v>0</v>
      </c>
      <c r="CW34" s="60">
        <f>'CAM Majors'!A34</f>
        <v>55140</v>
      </c>
      <c r="CX34" s="2" t="str">
        <f>'CAM Majors'!B34</f>
        <v>Water/Common Area</v>
      </c>
      <c r="CY34" s="500">
        <f>'CAM Majors'!C34</f>
        <v>0</v>
      </c>
      <c r="CZ34" s="461">
        <v>0</v>
      </c>
      <c r="DA34" s="383">
        <f t="shared" si="67"/>
        <v>0</v>
      </c>
      <c r="DB34" s="242">
        <f>$CY$8/'CAM Majors'!$D34</f>
        <v>2.343853845131371E-2</v>
      </c>
      <c r="DC34" s="463">
        <f t="shared" si="43"/>
        <v>0</v>
      </c>
      <c r="DD34" s="463">
        <f t="shared" si="44"/>
        <v>0</v>
      </c>
      <c r="DE34" s="464">
        <f t="shared" si="45"/>
        <v>0</v>
      </c>
      <c r="DF34" s="60">
        <f>'CAM Majors'!A34</f>
        <v>55140</v>
      </c>
      <c r="DG34" s="2" t="str">
        <f>'CAM Majors'!B34</f>
        <v>Water/Common Area</v>
      </c>
      <c r="DH34" s="500">
        <f>'CAM Majors'!C34</f>
        <v>0</v>
      </c>
      <c r="DI34" s="461">
        <v>0</v>
      </c>
      <c r="DJ34" s="383">
        <f t="shared" si="68"/>
        <v>0</v>
      </c>
      <c r="DK34" s="242">
        <f>$DH$8/'CAM Majors'!$D34</f>
        <v>1.9199810955707514E-2</v>
      </c>
      <c r="DL34" s="463">
        <f t="shared" si="47"/>
        <v>0</v>
      </c>
      <c r="DM34" s="463">
        <f t="shared" si="48"/>
        <v>0</v>
      </c>
      <c r="DN34" s="464">
        <f t="shared" si="49"/>
        <v>0</v>
      </c>
      <c r="DO34" s="60">
        <f>'CAM Majors'!A34</f>
        <v>55140</v>
      </c>
      <c r="DP34" s="2" t="str">
        <f>'CAM Majors'!B34</f>
        <v>Water/Common Area</v>
      </c>
      <c r="DQ34" s="500">
        <f>'CAM Majors'!C34</f>
        <v>0</v>
      </c>
      <c r="DR34" s="461">
        <v>0</v>
      </c>
      <c r="DS34" s="383">
        <f t="shared" si="69"/>
        <v>0</v>
      </c>
      <c r="DT34" s="242">
        <f>$DQ$8/'CAM Majors'!$D34</f>
        <v>5.2046256775317906E-2</v>
      </c>
      <c r="DU34" s="463">
        <f t="shared" si="51"/>
        <v>0</v>
      </c>
      <c r="DV34" s="463">
        <f t="shared" si="52"/>
        <v>0</v>
      </c>
      <c r="DW34" s="464">
        <f t="shared" si="53"/>
        <v>0</v>
      </c>
      <c r="DX34" s="60">
        <f>'CAM Majors'!A34</f>
        <v>55140</v>
      </c>
      <c r="DY34" s="2" t="str">
        <f>'CAM Majors'!B34</f>
        <v>Water/Common Area</v>
      </c>
      <c r="DZ34" s="500">
        <f>'CAM Majors'!C34</f>
        <v>0</v>
      </c>
      <c r="EA34" s="461">
        <v>0</v>
      </c>
      <c r="EB34" s="383">
        <f t="shared" si="70"/>
        <v>0</v>
      </c>
      <c r="EC34" s="242">
        <f>$DZ$8/'CAM Majors'!$D34</f>
        <v>4.4410639649086529E-2</v>
      </c>
      <c r="ED34" s="463">
        <f t="shared" si="55"/>
        <v>0</v>
      </c>
      <c r="EE34" s="463">
        <f t="shared" si="56"/>
        <v>0</v>
      </c>
      <c r="EF34" s="464">
        <f t="shared" si="57"/>
        <v>0</v>
      </c>
    </row>
    <row r="35" spans="1:136">
      <c r="A35" s="60">
        <f>'CAM Majors'!A35</f>
        <v>55150</v>
      </c>
      <c r="B35" s="2" t="str">
        <f>'CAM Majors'!B35</f>
        <v>Water/Fire Department</v>
      </c>
      <c r="C35" s="500">
        <f>'CAM Majors'!C35</f>
        <v>0</v>
      </c>
      <c r="D35" s="461">
        <f>-C35</f>
        <v>0</v>
      </c>
      <c r="E35" s="383">
        <f>C35+D35</f>
        <v>0</v>
      </c>
      <c r="F35" s="242">
        <f>$C$8/'CAM Majors'!D35</f>
        <v>4.4307256051632722E-2</v>
      </c>
      <c r="G35" s="463">
        <f t="shared" si="1"/>
        <v>0</v>
      </c>
      <c r="H35" s="463">
        <f t="shared" si="2"/>
        <v>0</v>
      </c>
      <c r="I35" s="464">
        <f t="shared" si="3"/>
        <v>0</v>
      </c>
      <c r="J35" s="464"/>
      <c r="K35" s="60">
        <f>'CAM Majors'!A35</f>
        <v>55150</v>
      </c>
      <c r="L35" s="226" t="str">
        <f>'CAM Majors'!B35</f>
        <v>Water/Fire Department</v>
      </c>
      <c r="M35" s="500">
        <f>'CAM Majors'!C35</f>
        <v>0</v>
      </c>
      <c r="N35" s="461">
        <f>-M35</f>
        <v>0</v>
      </c>
      <c r="O35" s="383">
        <f>M35+N35</f>
        <v>0</v>
      </c>
      <c r="P35" s="242">
        <f>$M$8/'CAM Majors'!D35</f>
        <v>2.3999763694634392E-2</v>
      </c>
      <c r="Q35" s="463">
        <f t="shared" si="5"/>
        <v>0</v>
      </c>
      <c r="R35" s="463">
        <f t="shared" si="6"/>
        <v>0</v>
      </c>
      <c r="S35" s="464">
        <f t="shared" si="7"/>
        <v>0</v>
      </c>
      <c r="T35" s="60">
        <f>'CAM Majors'!A35</f>
        <v>55150</v>
      </c>
      <c r="U35" s="2" t="str">
        <f>'CAM Majors'!B35</f>
        <v>Water/Fire Department</v>
      </c>
      <c r="V35" s="500">
        <f>'CAM Majors'!C35</f>
        <v>0</v>
      </c>
      <c r="W35" s="461">
        <f>-V35</f>
        <v>0</v>
      </c>
      <c r="X35" s="383">
        <f>V35+W35</f>
        <v>0</v>
      </c>
      <c r="Y35" s="242">
        <f>$V$8/'CAM Majors'!D35</f>
        <v>2.0676719490761938E-2</v>
      </c>
      <c r="Z35" s="463">
        <f t="shared" si="9"/>
        <v>0</v>
      </c>
      <c r="AA35" s="463">
        <f t="shared" si="10"/>
        <v>0</v>
      </c>
      <c r="AB35" s="464">
        <f t="shared" si="11"/>
        <v>0</v>
      </c>
      <c r="AC35" s="60">
        <f>'CAM Majors'!A35</f>
        <v>55150</v>
      </c>
      <c r="AD35" s="2" t="str">
        <f>'CAM Majors'!B35</f>
        <v>Water/Fire Department</v>
      </c>
      <c r="AE35" s="500">
        <f>'CAM Majors'!C35</f>
        <v>0</v>
      </c>
      <c r="AF35" s="461">
        <f>-AE35</f>
        <v>0</v>
      </c>
      <c r="AG35" s="383">
        <f>AE35+AF35</f>
        <v>0</v>
      </c>
      <c r="AH35" s="242">
        <f>$AE$8/'CAM Majors'!D35</f>
        <v>1.6423222909805194E-2</v>
      </c>
      <c r="AI35" s="463">
        <f t="shared" si="13"/>
        <v>0</v>
      </c>
      <c r="AJ35" s="463">
        <f t="shared" si="14"/>
        <v>0</v>
      </c>
      <c r="AK35" s="464">
        <f t="shared" si="15"/>
        <v>0</v>
      </c>
      <c r="AL35" s="60">
        <f>'CAM Majors'!A35</f>
        <v>55150</v>
      </c>
      <c r="AM35" s="2" t="str">
        <f>'CAM Majors'!B35</f>
        <v>Water/Fire Department</v>
      </c>
      <c r="AN35" s="500">
        <f>'CAM Majors'!C35</f>
        <v>0</v>
      </c>
      <c r="AO35" s="461">
        <f>-AN35</f>
        <v>0</v>
      </c>
      <c r="AP35" s="383">
        <f>AN35+AO35</f>
        <v>0</v>
      </c>
      <c r="AQ35" s="242">
        <f>$AN$8/'CAM Majors'!D35</f>
        <v>3.6834098864257335E-2</v>
      </c>
      <c r="AR35" s="463">
        <f t="shared" si="17"/>
        <v>0</v>
      </c>
      <c r="AS35" s="463"/>
      <c r="AT35" s="464">
        <f t="shared" si="18"/>
        <v>0</v>
      </c>
      <c r="AU35" s="60">
        <f>'CAM Majors'!A35</f>
        <v>55150</v>
      </c>
      <c r="AV35" s="2" t="str">
        <f>'CAM Majors'!B35</f>
        <v>Water/Fire Department</v>
      </c>
      <c r="AW35" s="500">
        <f>'CAM Majors'!C35</f>
        <v>0</v>
      </c>
      <c r="AX35" s="461">
        <f>-AW35</f>
        <v>0</v>
      </c>
      <c r="AY35" s="383">
        <f>AW35+AX35</f>
        <v>0</v>
      </c>
      <c r="AZ35" s="242">
        <f>$AW$8/'CAM Majors'!$D35</f>
        <v>2.2153628025816361E-2</v>
      </c>
      <c r="BA35" s="463">
        <f t="shared" si="20"/>
        <v>0</v>
      </c>
      <c r="BB35" s="463">
        <f t="shared" si="21"/>
        <v>0</v>
      </c>
      <c r="BC35" s="464">
        <f t="shared" si="22"/>
        <v>0</v>
      </c>
      <c r="BD35" s="60">
        <f>'CAM Majors'!A35</f>
        <v>55150</v>
      </c>
      <c r="BE35" s="2" t="str">
        <f>'CAM Majors'!B35</f>
        <v>Water/Fire Department</v>
      </c>
      <c r="BF35" s="500">
        <f>'CAM Majors'!C35</f>
        <v>0</v>
      </c>
      <c r="BG35" s="461">
        <f>-BF35</f>
        <v>0</v>
      </c>
      <c r="BH35" s="383">
        <f>BF35+BG35</f>
        <v>0</v>
      </c>
      <c r="BI35" s="242">
        <f>$BF$8/'CAM Majors'!$D35</f>
        <v>2.5609593997843714E-2</v>
      </c>
      <c r="BJ35" s="463">
        <f t="shared" si="24"/>
        <v>0</v>
      </c>
      <c r="BK35" s="463">
        <f t="shared" si="25"/>
        <v>0</v>
      </c>
      <c r="BL35" s="464">
        <f t="shared" si="26"/>
        <v>0</v>
      </c>
      <c r="BM35" s="60">
        <f>'CAM Majors'!A35</f>
        <v>55150</v>
      </c>
      <c r="BN35" s="2" t="str">
        <f>'CAM Majors'!B35</f>
        <v>Water/Fire Department</v>
      </c>
      <c r="BO35" s="500">
        <f>'CAM Majors'!C35</f>
        <v>0</v>
      </c>
      <c r="BP35" s="461">
        <f>-BO35</f>
        <v>0</v>
      </c>
      <c r="BQ35" s="383">
        <f>BO35+BP35</f>
        <v>0</v>
      </c>
      <c r="BR35" s="242">
        <f>$BO$8/'CAM Majors'!$D35</f>
        <v>5.7599432867122539E-2</v>
      </c>
      <c r="BS35" s="463">
        <f t="shared" si="28"/>
        <v>0</v>
      </c>
      <c r="BT35" s="463">
        <f t="shared" si="29"/>
        <v>0</v>
      </c>
      <c r="BU35" s="464">
        <f t="shared" si="30"/>
        <v>0</v>
      </c>
      <c r="BV35" s="60">
        <f>'CAM Majors'!A35</f>
        <v>55150</v>
      </c>
      <c r="BW35" s="2" t="str">
        <f>'CAM Majors'!B35</f>
        <v>Water/Fire Department</v>
      </c>
      <c r="BX35" s="500">
        <f>'CAM Majors'!C35</f>
        <v>0</v>
      </c>
      <c r="BY35" s="461">
        <v>0</v>
      </c>
      <c r="BZ35" s="383">
        <f>BX35+BY35</f>
        <v>0</v>
      </c>
      <c r="CA35" s="242">
        <f>$BX$8/'CAM Majors'!$D35</f>
        <v>1.9007812846150437E-2</v>
      </c>
      <c r="CB35" s="463">
        <f t="shared" si="32"/>
        <v>0</v>
      </c>
      <c r="CC35" s="463">
        <v>0</v>
      </c>
      <c r="CD35" s="464">
        <f t="shared" si="34"/>
        <v>0</v>
      </c>
      <c r="CE35" s="60">
        <f>'CAM Majors'!A35</f>
        <v>55150</v>
      </c>
      <c r="CF35" s="2" t="str">
        <f>'CAM Majors'!B35</f>
        <v>Water/Fire Department</v>
      </c>
      <c r="CG35" s="500">
        <f>'CAM Majors'!C35</f>
        <v>0</v>
      </c>
      <c r="CH35" s="461">
        <v>0</v>
      </c>
      <c r="CI35" s="383">
        <f>CG35+CH35</f>
        <v>0</v>
      </c>
      <c r="CJ35" s="242">
        <f>$CG$8/'CAM Majors'!$D35</f>
        <v>2.420653088954201E-2</v>
      </c>
      <c r="CK35" s="463">
        <f t="shared" si="36"/>
        <v>0</v>
      </c>
      <c r="CL35" s="463">
        <v>0</v>
      </c>
      <c r="CM35" s="464">
        <f t="shared" si="38"/>
        <v>0</v>
      </c>
      <c r="CN35" s="60">
        <f>'CAM Majors'!A35</f>
        <v>55150</v>
      </c>
      <c r="CO35" s="2" t="str">
        <f>'CAM Majors'!B35</f>
        <v>Water/Fire Department</v>
      </c>
      <c r="CP35" s="500">
        <f>'CAM Majors'!C35</f>
        <v>0</v>
      </c>
      <c r="CQ35" s="461">
        <f>-CP35</f>
        <v>0</v>
      </c>
      <c r="CR35" s="383">
        <f>CP35+CQ35</f>
        <v>0</v>
      </c>
      <c r="CS35" s="242">
        <f>$CP$8/'CAM Majors'!$D35</f>
        <v>5.3168707261959269E-2</v>
      </c>
      <c r="CT35" s="463">
        <f t="shared" si="40"/>
        <v>0</v>
      </c>
      <c r="CU35" s="463"/>
      <c r="CV35" s="464">
        <f t="shared" si="41"/>
        <v>0</v>
      </c>
      <c r="CW35" s="60">
        <f>'CAM Majors'!A35</f>
        <v>55150</v>
      </c>
      <c r="CX35" s="2" t="str">
        <f>'CAM Majors'!B35</f>
        <v>Water/Fire Department</v>
      </c>
      <c r="CY35" s="500">
        <f>'CAM Majors'!C35</f>
        <v>0</v>
      </c>
      <c r="CZ35" s="461">
        <f>-CY35</f>
        <v>0</v>
      </c>
      <c r="DA35" s="383">
        <f>CY35+CZ35</f>
        <v>0</v>
      </c>
      <c r="DB35" s="242">
        <f>$CY$8/'CAM Majors'!$D35</f>
        <v>2.343853845131371E-2</v>
      </c>
      <c r="DC35" s="463">
        <f t="shared" si="43"/>
        <v>0</v>
      </c>
      <c r="DD35" s="463">
        <f t="shared" si="44"/>
        <v>0</v>
      </c>
      <c r="DE35" s="464">
        <f t="shared" si="45"/>
        <v>0</v>
      </c>
      <c r="DF35" s="60">
        <f>'CAM Majors'!A35</f>
        <v>55150</v>
      </c>
      <c r="DG35" s="2" t="str">
        <f>'CAM Majors'!B35</f>
        <v>Water/Fire Department</v>
      </c>
      <c r="DH35" s="500">
        <f>'CAM Majors'!C35</f>
        <v>0</v>
      </c>
      <c r="DI35" s="461">
        <f>-DH35</f>
        <v>0</v>
      </c>
      <c r="DJ35" s="383">
        <f>DH35+DI35</f>
        <v>0</v>
      </c>
      <c r="DK35" s="242">
        <f>$DH$8/'CAM Majors'!$D35</f>
        <v>1.9199810955707514E-2</v>
      </c>
      <c r="DL35" s="463">
        <f t="shared" si="47"/>
        <v>0</v>
      </c>
      <c r="DM35" s="463">
        <f t="shared" si="48"/>
        <v>0</v>
      </c>
      <c r="DN35" s="464">
        <f t="shared" si="49"/>
        <v>0</v>
      </c>
      <c r="DO35" s="60">
        <f>'CAM Majors'!A35</f>
        <v>55150</v>
      </c>
      <c r="DP35" s="2" t="str">
        <f>'CAM Majors'!B35</f>
        <v>Water/Fire Department</v>
      </c>
      <c r="DQ35" s="500">
        <f>'CAM Majors'!C35</f>
        <v>0</v>
      </c>
      <c r="DR35" s="461">
        <f>-DQ35</f>
        <v>0</v>
      </c>
      <c r="DS35" s="383">
        <f>DQ35+DR35</f>
        <v>0</v>
      </c>
      <c r="DT35" s="242">
        <f>$DQ$8/'CAM Majors'!$D35</f>
        <v>5.2046256775317906E-2</v>
      </c>
      <c r="DU35" s="463">
        <f t="shared" si="51"/>
        <v>0</v>
      </c>
      <c r="DV35" s="463">
        <f t="shared" si="52"/>
        <v>0</v>
      </c>
      <c r="DW35" s="464">
        <f t="shared" si="53"/>
        <v>0</v>
      </c>
      <c r="DX35" s="60">
        <f>'CAM Majors'!A35</f>
        <v>55150</v>
      </c>
      <c r="DY35" s="2" t="str">
        <f>'CAM Majors'!B35</f>
        <v>Water/Fire Department</v>
      </c>
      <c r="DZ35" s="500">
        <f>'CAM Majors'!C35</f>
        <v>0</v>
      </c>
      <c r="EA35" s="461">
        <f>-DZ35</f>
        <v>0</v>
      </c>
      <c r="EB35" s="383">
        <f>DZ35+EA35</f>
        <v>0</v>
      </c>
      <c r="EC35" s="242">
        <f>$DZ$8/'CAM Majors'!$D35</f>
        <v>4.4410639649086529E-2</v>
      </c>
      <c r="ED35" s="463">
        <f t="shared" si="55"/>
        <v>0</v>
      </c>
      <c r="EE35" s="463">
        <f t="shared" si="56"/>
        <v>0</v>
      </c>
      <c r="EF35" s="464">
        <f t="shared" si="57"/>
        <v>0</v>
      </c>
    </row>
    <row r="36" spans="1:136">
      <c r="A36" s="60"/>
      <c r="B36" s="2" t="str">
        <f>'CAM Majors'!B36</f>
        <v>Roof Repairs - AMORTIZATION</v>
      </c>
      <c r="C36" s="500">
        <f>'CAM Majors'!C36</f>
        <v>11918.625</v>
      </c>
      <c r="D36" s="461">
        <v>0</v>
      </c>
      <c r="E36" s="383">
        <f>C36+D36</f>
        <v>11918.625</v>
      </c>
      <c r="F36" s="242">
        <f>$C$8/'CAM Majors'!D36</f>
        <v>4.4307256051632722E-2</v>
      </c>
      <c r="G36" s="463">
        <f t="shared" ref="G36" si="71">E36*F36</f>
        <v>528.081569658391</v>
      </c>
      <c r="H36" s="463">
        <f t="shared" ref="H36" si="72">G36*$H$12</f>
        <v>52.808156965839103</v>
      </c>
      <c r="I36" s="464">
        <f t="shared" ref="I36" si="73">G36+H36</f>
        <v>580.88972662423009</v>
      </c>
      <c r="J36" s="464"/>
      <c r="K36" s="60">
        <f>'CAM Majors'!A36</f>
        <v>51070</v>
      </c>
      <c r="L36" s="226" t="str">
        <f>'CAM Majors'!B36</f>
        <v>Roof Repairs - AMORTIZATION</v>
      </c>
      <c r="M36" s="500">
        <f>'CAM Majors'!C36</f>
        <v>11918.625</v>
      </c>
      <c r="N36" s="461"/>
      <c r="O36" s="383">
        <f>M36+N36</f>
        <v>11918.625</v>
      </c>
      <c r="P36" s="242">
        <f>$M$8/'CAM Majors'!D36</f>
        <v>2.3999763694634392E-2</v>
      </c>
      <c r="Q36" s="463">
        <f t="shared" ref="Q36" si="74">O36*P36</f>
        <v>286.04418356496183</v>
      </c>
      <c r="R36" s="463">
        <f t="shared" ref="R36" si="75">Q36*$R$12</f>
        <v>11.441767342598473</v>
      </c>
      <c r="S36" s="464">
        <f t="shared" ref="S36" si="76">Q36+R36</f>
        <v>297.48595090756032</v>
      </c>
      <c r="T36" s="60">
        <f>'CAM Majors'!A36</f>
        <v>51070</v>
      </c>
      <c r="U36" s="2" t="str">
        <f>'CAM Majors'!B36</f>
        <v>Roof Repairs - AMORTIZATION</v>
      </c>
      <c r="V36" s="500">
        <f>'CAM Majors'!C36</f>
        <v>11918.625</v>
      </c>
      <c r="W36" s="461">
        <v>0</v>
      </c>
      <c r="X36" s="383">
        <f>V36+W36</f>
        <v>11918.625</v>
      </c>
      <c r="Y36" s="242">
        <f>$V$8/'CAM Majors'!D36</f>
        <v>2.0676719490761938E-2</v>
      </c>
      <c r="Z36" s="463">
        <f t="shared" ref="Z36" si="77">X36*Y36</f>
        <v>246.43806584058251</v>
      </c>
      <c r="AA36" s="463">
        <f t="shared" ref="AA36" si="78">Z36*$AA$12</f>
        <v>0</v>
      </c>
      <c r="AB36" s="464">
        <f t="shared" ref="AB36" si="79">Z36+AA36</f>
        <v>246.43806584058251</v>
      </c>
      <c r="AC36" s="60">
        <f>'CAM Majors'!A36</f>
        <v>51070</v>
      </c>
      <c r="AD36" s="2" t="str">
        <f>'CAM Majors'!B36</f>
        <v>Roof Repairs - AMORTIZATION</v>
      </c>
      <c r="AE36" s="500">
        <f>'CAM Majors'!C36</f>
        <v>11918.625</v>
      </c>
      <c r="AF36" s="461">
        <v>0</v>
      </c>
      <c r="AG36" s="383">
        <f>AE36+AF36</f>
        <v>11918.625</v>
      </c>
      <c r="AH36" s="242">
        <f>$AE$8/'CAM Majors'!D36</f>
        <v>1.6423222909805194E-2</v>
      </c>
      <c r="AI36" s="463">
        <f t="shared" ref="AI36" si="80">AG36*AH36</f>
        <v>195.74223515337692</v>
      </c>
      <c r="AJ36" s="463">
        <f t="shared" ref="AJ36" si="81">AI36*$AJ$12</f>
        <v>0</v>
      </c>
      <c r="AK36" s="464">
        <f t="shared" ref="AK36" si="82">AI36+AJ36</f>
        <v>195.74223515337692</v>
      </c>
      <c r="AL36" s="60">
        <f>'CAM Majors'!A36</f>
        <v>51070</v>
      </c>
      <c r="AM36" s="2" t="str">
        <f>'CAM Majors'!B36</f>
        <v>Roof Repairs - AMORTIZATION</v>
      </c>
      <c r="AN36" s="500">
        <f>'CAM Majors'!C36</f>
        <v>11918.625</v>
      </c>
      <c r="AO36" s="461">
        <v>0</v>
      </c>
      <c r="AP36" s="383">
        <f>AN36+AO36</f>
        <v>11918.625</v>
      </c>
      <c r="AQ36" s="242">
        <f>$AN$8/'CAM Majors'!D36</f>
        <v>3.6834098864257335E-2</v>
      </c>
      <c r="AR36" s="463">
        <f t="shared" ref="AR36" si="83">AP36*AQ36</f>
        <v>439.01181157600905</v>
      </c>
      <c r="AS36" s="463"/>
      <c r="AT36" s="464">
        <f t="shared" ref="AT36" si="84">AR36+AS36</f>
        <v>439.01181157600905</v>
      </c>
      <c r="AU36" s="60">
        <f>'CAM Majors'!A36</f>
        <v>51070</v>
      </c>
      <c r="AV36" s="2" t="str">
        <f>'CAM Majors'!B36</f>
        <v>Roof Repairs - AMORTIZATION</v>
      </c>
      <c r="AW36" s="500">
        <f>'CAM Majors'!C36</f>
        <v>11918.625</v>
      </c>
      <c r="AX36" s="461">
        <v>0</v>
      </c>
      <c r="AY36" s="383">
        <f>AW36+AX36</f>
        <v>11918.625</v>
      </c>
      <c r="AZ36" s="242">
        <f>$AW$8/'CAM Majors'!$D36</f>
        <v>2.2153628025816361E-2</v>
      </c>
      <c r="BA36" s="463">
        <f t="shared" ref="BA36" si="85">AY36*AZ36</f>
        <v>264.0407848291955</v>
      </c>
      <c r="BB36" s="463">
        <f t="shared" ref="BB36" si="86">BA36*$BB$12</f>
        <v>0</v>
      </c>
      <c r="BC36" s="464">
        <f t="shared" ref="BC36" si="87">BA36+BB36</f>
        <v>264.0407848291955</v>
      </c>
      <c r="BD36" s="60">
        <f>'CAM Majors'!A36</f>
        <v>51070</v>
      </c>
      <c r="BE36" s="2" t="str">
        <f>'CAM Majors'!B36</f>
        <v>Roof Repairs - AMORTIZATION</v>
      </c>
      <c r="BF36" s="500">
        <f>'CAM Majors'!C36</f>
        <v>11918.625</v>
      </c>
      <c r="BG36" s="461">
        <v>0</v>
      </c>
      <c r="BH36" s="383">
        <f>BF36+BG36</f>
        <v>11918.625</v>
      </c>
      <c r="BI36" s="242">
        <f>$BF$8/'CAM Majors'!$D36</f>
        <v>2.5609593997843714E-2</v>
      </c>
      <c r="BJ36" s="463">
        <f t="shared" ref="BJ36" si="88">BH36*BI36</f>
        <v>305.23114726255005</v>
      </c>
      <c r="BK36" s="463">
        <f t="shared" ref="BK36" si="89">BJ36*$BK$12</f>
        <v>15.261557363127503</v>
      </c>
      <c r="BL36" s="464">
        <f t="shared" ref="BL36" si="90">BJ36+BK36</f>
        <v>320.49270462567756</v>
      </c>
      <c r="BM36" s="60">
        <f>'CAM Majors'!A36</f>
        <v>51070</v>
      </c>
      <c r="BN36" s="2" t="str">
        <f>'CAM Majors'!B36</f>
        <v>Roof Repairs - AMORTIZATION</v>
      </c>
      <c r="BO36" s="500">
        <f>'CAM Majors'!C36</f>
        <v>11918.625</v>
      </c>
      <c r="BP36" s="461">
        <v>0</v>
      </c>
      <c r="BQ36" s="383">
        <f>BO36+BP36</f>
        <v>11918.625</v>
      </c>
      <c r="BR36" s="242">
        <f>$BO$8/'CAM Majors'!$D36</f>
        <v>5.7599432867122539E-2</v>
      </c>
      <c r="BS36" s="463">
        <f t="shared" ref="BS36" si="91">BQ36*BR36</f>
        <v>686.50604055590838</v>
      </c>
      <c r="BT36" s="463">
        <f t="shared" ref="BT36" si="92">BS36*$BT$12</f>
        <v>0</v>
      </c>
      <c r="BU36" s="464">
        <f t="shared" ref="BU36" si="93">BS36+BT36</f>
        <v>686.50604055590838</v>
      </c>
      <c r="BV36" s="60">
        <f>'CAM Majors'!A36</f>
        <v>51070</v>
      </c>
      <c r="BW36" s="2" t="str">
        <f>'CAM Majors'!B36</f>
        <v>Roof Repairs - AMORTIZATION</v>
      </c>
      <c r="BX36" s="500">
        <f>'CAM Majors'!C36</f>
        <v>11918.625</v>
      </c>
      <c r="BY36" s="461">
        <v>0</v>
      </c>
      <c r="BZ36" s="383">
        <f>BX36+BY36</f>
        <v>11918.625</v>
      </c>
      <c r="CA36" s="242">
        <f>$BX$8/'CAM Majors'!$D36</f>
        <v>1.9007812846150437E-2</v>
      </c>
      <c r="CB36" s="463">
        <f t="shared" ref="CB36" si="94">BZ36*CA36</f>
        <v>226.54699338344975</v>
      </c>
      <c r="CC36" s="463">
        <v>1</v>
      </c>
      <c r="CD36" s="464">
        <f t="shared" ref="CD36" si="95">CB36+CC36</f>
        <v>227.54699338344975</v>
      </c>
      <c r="CE36" s="60">
        <f>'CAM Majors'!A36</f>
        <v>51070</v>
      </c>
      <c r="CF36" s="2" t="str">
        <f>'CAM Majors'!B36</f>
        <v>Roof Repairs - AMORTIZATION</v>
      </c>
      <c r="CG36" s="500">
        <f>'CAM Majors'!C36</f>
        <v>11918.625</v>
      </c>
      <c r="CH36" s="461">
        <v>0</v>
      </c>
      <c r="CI36" s="383">
        <f>CG36+CH36</f>
        <v>11918.625</v>
      </c>
      <c r="CJ36" s="242">
        <f>$CG$8/'CAM Majors'!$D36</f>
        <v>2.420653088954201E-2</v>
      </c>
      <c r="CK36" s="463">
        <f t="shared" ref="CK36" si="96">CI36*CJ36</f>
        <v>288.50856422336761</v>
      </c>
      <c r="CL36" s="463">
        <v>1</v>
      </c>
      <c r="CM36" s="464">
        <f t="shared" ref="CM36" si="97">CK36+CL36</f>
        <v>289.50856422336761</v>
      </c>
      <c r="CN36" s="60">
        <f>'CAM Majors'!A36</f>
        <v>51070</v>
      </c>
      <c r="CO36" s="2" t="str">
        <f>'CAM Majors'!B36</f>
        <v>Roof Repairs - AMORTIZATION</v>
      </c>
      <c r="CP36" s="500">
        <f>'CAM Majors'!C36</f>
        <v>11918.625</v>
      </c>
      <c r="CQ36" s="461">
        <v>0</v>
      </c>
      <c r="CR36" s="383">
        <f>CP36+CQ36</f>
        <v>11918.625</v>
      </c>
      <c r="CS36" s="242">
        <f>$CP$8/'CAM Majors'!$D36</f>
        <v>5.3168707261959269E-2</v>
      </c>
      <c r="CT36" s="463">
        <f t="shared" ref="CT36" si="98">CR36*CS36</f>
        <v>633.6978835900693</v>
      </c>
      <c r="CU36" s="463"/>
      <c r="CV36" s="464">
        <f t="shared" ref="CV36" si="99">CT36+CU36</f>
        <v>633.6978835900693</v>
      </c>
      <c r="CW36" s="60">
        <f>'CAM Majors'!A36</f>
        <v>51070</v>
      </c>
      <c r="CX36" s="2" t="str">
        <f>'CAM Majors'!B36</f>
        <v>Roof Repairs - AMORTIZATION</v>
      </c>
      <c r="CY36" s="500">
        <f>'CAM Majors'!C36</f>
        <v>11918.625</v>
      </c>
      <c r="CZ36" s="461">
        <v>0</v>
      </c>
      <c r="DA36" s="383">
        <f>CY36+CZ36</f>
        <v>11918.625</v>
      </c>
      <c r="DB36" s="242">
        <f>$CY$8/'CAM Majors'!$D36</f>
        <v>2.343853845131371E-2</v>
      </c>
      <c r="DC36" s="463">
        <f t="shared" ref="DC36" si="100">DA36*DB36</f>
        <v>279.35515034928886</v>
      </c>
      <c r="DD36" s="463">
        <f t="shared" ref="DD36" si="101">DC36*$DD$12</f>
        <v>27.935515034928887</v>
      </c>
      <c r="DE36" s="464">
        <f t="shared" ref="DE36" si="102">DC36+DD36</f>
        <v>307.29066538421773</v>
      </c>
      <c r="DF36" s="60">
        <f>'CAM Majors'!A36</f>
        <v>51070</v>
      </c>
      <c r="DG36" s="2" t="str">
        <f>'CAM Majors'!B36</f>
        <v>Roof Repairs - AMORTIZATION</v>
      </c>
      <c r="DH36" s="500">
        <f>'CAM Majors'!C36</f>
        <v>11918.625</v>
      </c>
      <c r="DI36" s="461">
        <v>0</v>
      </c>
      <c r="DJ36" s="383">
        <f>DH36+DI36</f>
        <v>11918.625</v>
      </c>
      <c r="DK36" s="242">
        <f>$DH$8/'CAM Majors'!$D36</f>
        <v>1.9199810955707514E-2</v>
      </c>
      <c r="DL36" s="463">
        <f t="shared" ref="DL36" si="103">DJ36*DK36</f>
        <v>228.83534685196946</v>
      </c>
      <c r="DM36" s="463">
        <f t="shared" ref="DM36" si="104">DL36*$DM$12</f>
        <v>34.325302027795416</v>
      </c>
      <c r="DN36" s="464">
        <f t="shared" ref="DN36" si="105">DL36+DM36</f>
        <v>263.16064887976489</v>
      </c>
      <c r="DO36" s="60">
        <f>'CAM Majors'!A36</f>
        <v>51070</v>
      </c>
      <c r="DP36" s="2" t="str">
        <f>'CAM Majors'!B36</f>
        <v>Roof Repairs - AMORTIZATION</v>
      </c>
      <c r="DQ36" s="500">
        <f>'CAM Majors'!C36</f>
        <v>11918.625</v>
      </c>
      <c r="DR36" s="461">
        <v>0</v>
      </c>
      <c r="DS36" s="383">
        <f>DQ36+DR36</f>
        <v>11918.625</v>
      </c>
      <c r="DT36" s="242">
        <f>$DQ$8/'CAM Majors'!$D36</f>
        <v>5.2046256775317906E-2</v>
      </c>
      <c r="DU36" s="463">
        <f t="shared" ref="DU36" si="106">DS36*DT36</f>
        <v>620.31981715872337</v>
      </c>
      <c r="DV36" s="463">
        <f t="shared" ref="DV36" si="107">DU36*$DV$12</f>
        <v>31.01599085793617</v>
      </c>
      <c r="DW36" s="464">
        <f t="shared" ref="DW36" si="108">DU36+DV36</f>
        <v>651.33580801665948</v>
      </c>
      <c r="DX36" s="60">
        <f>'CAM Majors'!A36</f>
        <v>51070</v>
      </c>
      <c r="DY36" s="2" t="str">
        <f>'CAM Majors'!B36</f>
        <v>Roof Repairs - AMORTIZATION</v>
      </c>
      <c r="DZ36" s="500">
        <f>'CAM Majors'!C36</f>
        <v>11918.625</v>
      </c>
      <c r="EA36" s="461">
        <v>0</v>
      </c>
      <c r="EB36" s="383">
        <f>DZ36+EA36</f>
        <v>11918.625</v>
      </c>
      <c r="EC36" s="242">
        <f>$DZ$8/'CAM Majors'!$D36</f>
        <v>4.4410639649086529E-2</v>
      </c>
      <c r="ED36" s="463">
        <f t="shared" ref="ED36" si="109">EB36*EC36</f>
        <v>529.31375998759393</v>
      </c>
      <c r="EE36" s="463">
        <f t="shared" ref="EE36" si="110">ED36*$DV$12</f>
        <v>26.465687999379696</v>
      </c>
      <c r="EF36" s="464">
        <f t="shared" ref="EF36" si="111">ED36+EE36</f>
        <v>555.77944798697365</v>
      </c>
    </row>
    <row r="37" spans="1:136">
      <c r="A37" s="60"/>
      <c r="B37" s="51"/>
      <c r="C37" s="500" t="s">
        <v>47</v>
      </c>
      <c r="D37" s="461" t="s">
        <v>47</v>
      </c>
      <c r="E37" s="383" t="s">
        <v>47</v>
      </c>
      <c r="F37" s="242" t="s">
        <v>47</v>
      </c>
      <c r="G37" s="383"/>
      <c r="H37" s="2"/>
      <c r="I37" s="148"/>
      <c r="J37" s="148"/>
      <c r="K37" s="60"/>
      <c r="L37" s="51"/>
      <c r="M37" s="500" t="s">
        <v>47</v>
      </c>
      <c r="N37" s="461"/>
      <c r="O37" s="383" t="s">
        <v>47</v>
      </c>
      <c r="P37" s="242" t="s">
        <v>47</v>
      </c>
      <c r="Q37" s="383"/>
      <c r="R37" s="2"/>
      <c r="S37" s="148"/>
      <c r="T37" s="60"/>
      <c r="U37" s="51"/>
      <c r="V37" s="500" t="s">
        <v>47</v>
      </c>
      <c r="W37" s="461" t="s">
        <v>47</v>
      </c>
      <c r="X37" s="383" t="s">
        <v>47</v>
      </c>
      <c r="Y37" s="242" t="s">
        <v>47</v>
      </c>
      <c r="Z37" s="383"/>
      <c r="AA37" s="2"/>
      <c r="AB37" s="148"/>
      <c r="AC37" s="60"/>
      <c r="AD37" s="51"/>
      <c r="AE37" s="500" t="s">
        <v>47</v>
      </c>
      <c r="AF37" s="461" t="s">
        <v>47</v>
      </c>
      <c r="AG37" s="383" t="s">
        <v>47</v>
      </c>
      <c r="AH37" s="242" t="s">
        <v>47</v>
      </c>
      <c r="AI37" s="383"/>
      <c r="AJ37" s="2"/>
      <c r="AK37" s="148"/>
      <c r="AL37" s="60"/>
      <c r="AM37" s="51"/>
      <c r="AN37" s="500" t="s">
        <v>47</v>
      </c>
      <c r="AO37" s="461" t="s">
        <v>47</v>
      </c>
      <c r="AP37" s="383" t="s">
        <v>47</v>
      </c>
      <c r="AQ37" s="242" t="s">
        <v>47</v>
      </c>
      <c r="AR37" s="383"/>
      <c r="AS37" s="2"/>
      <c r="AT37" s="148"/>
      <c r="AU37" s="60"/>
      <c r="AV37" s="51"/>
      <c r="AW37" s="500" t="s">
        <v>47</v>
      </c>
      <c r="AX37" s="461" t="s">
        <v>47</v>
      </c>
      <c r="AY37" s="383" t="s">
        <v>47</v>
      </c>
      <c r="AZ37" s="242" t="s">
        <v>47</v>
      </c>
      <c r="BA37" s="383"/>
      <c r="BB37" s="2"/>
      <c r="BC37" s="148"/>
      <c r="BD37" s="60"/>
      <c r="BE37" s="51"/>
      <c r="BF37" s="500" t="s">
        <v>47</v>
      </c>
      <c r="BG37" s="461" t="s">
        <v>47</v>
      </c>
      <c r="BH37" s="383" t="s">
        <v>47</v>
      </c>
      <c r="BI37" s="242" t="s">
        <v>47</v>
      </c>
      <c r="BJ37" s="383"/>
      <c r="BK37" s="2"/>
      <c r="BL37" s="148"/>
      <c r="BM37" s="60"/>
      <c r="BN37" s="51"/>
      <c r="BO37" s="500" t="s">
        <v>47</v>
      </c>
      <c r="BP37" s="461" t="s">
        <v>47</v>
      </c>
      <c r="BQ37" s="383" t="s">
        <v>47</v>
      </c>
      <c r="BR37" s="242" t="s">
        <v>47</v>
      </c>
      <c r="BS37" s="383"/>
      <c r="BT37" s="2"/>
      <c r="BU37" s="148"/>
      <c r="BV37" s="60"/>
      <c r="BW37" s="51"/>
      <c r="BX37" s="500" t="s">
        <v>47</v>
      </c>
      <c r="BY37" s="461" t="s">
        <v>47</v>
      </c>
      <c r="BZ37" s="383" t="s">
        <v>47</v>
      </c>
      <c r="CA37" s="242" t="s">
        <v>47</v>
      </c>
      <c r="CB37" s="383"/>
      <c r="CC37" s="2"/>
      <c r="CD37" s="148"/>
      <c r="CE37" s="60"/>
      <c r="CF37" s="51"/>
      <c r="CG37" s="500" t="s">
        <v>47</v>
      </c>
      <c r="CH37" s="461" t="s">
        <v>47</v>
      </c>
      <c r="CI37" s="383" t="s">
        <v>47</v>
      </c>
      <c r="CJ37" s="242" t="s">
        <v>47</v>
      </c>
      <c r="CK37" s="383"/>
      <c r="CL37" s="2"/>
      <c r="CM37" s="148"/>
      <c r="CN37" s="60"/>
      <c r="CO37" s="51"/>
      <c r="CP37" s="500" t="s">
        <v>47</v>
      </c>
      <c r="CQ37" s="461" t="s">
        <v>47</v>
      </c>
      <c r="CR37" s="383" t="s">
        <v>47</v>
      </c>
      <c r="CS37" s="242" t="s">
        <v>47</v>
      </c>
      <c r="CT37" s="383"/>
      <c r="CU37" s="2"/>
      <c r="CV37" s="148"/>
      <c r="CW37" s="60"/>
      <c r="CX37" s="51"/>
      <c r="CY37" s="500" t="s">
        <v>47</v>
      </c>
      <c r="CZ37" s="461" t="s">
        <v>47</v>
      </c>
      <c r="DA37" s="383" t="s">
        <v>47</v>
      </c>
      <c r="DB37" s="242" t="s">
        <v>47</v>
      </c>
      <c r="DC37" s="383"/>
      <c r="DD37" s="2"/>
      <c r="DE37" s="148"/>
      <c r="DF37" s="60"/>
      <c r="DG37" s="51"/>
      <c r="DH37" s="500" t="s">
        <v>47</v>
      </c>
      <c r="DI37" s="461" t="s">
        <v>47</v>
      </c>
      <c r="DJ37" s="383" t="s">
        <v>47</v>
      </c>
      <c r="DK37" s="242" t="s">
        <v>47</v>
      </c>
      <c r="DL37" s="383"/>
      <c r="DM37" s="2"/>
      <c r="DN37" s="148"/>
      <c r="DO37" s="60"/>
      <c r="DP37" s="51"/>
      <c r="DQ37" s="500" t="s">
        <v>47</v>
      </c>
      <c r="DR37" s="461" t="s">
        <v>47</v>
      </c>
      <c r="DS37" s="383" t="s">
        <v>47</v>
      </c>
      <c r="DT37" s="242" t="s">
        <v>47</v>
      </c>
      <c r="DU37" s="383"/>
      <c r="DV37" s="2"/>
      <c r="DW37" s="148"/>
      <c r="DX37" s="60"/>
      <c r="DY37" s="51"/>
      <c r="DZ37" s="500" t="s">
        <v>47</v>
      </c>
      <c r="EA37" s="461" t="s">
        <v>47</v>
      </c>
      <c r="EB37" s="383" t="s">
        <v>47</v>
      </c>
      <c r="EC37" s="242" t="s">
        <v>47</v>
      </c>
      <c r="ED37" s="383"/>
      <c r="EE37" s="2"/>
      <c r="EF37" s="148"/>
    </row>
    <row r="38" spans="1:136">
      <c r="A38" s="60"/>
      <c r="B38" s="471" t="str">
        <f>'CAM Majors'!$B$38</f>
        <v>SUBTOTAL COMMON AREA</v>
      </c>
      <c r="C38" s="503">
        <f>SUM(C15:C36)</f>
        <v>158039.82500000001</v>
      </c>
      <c r="D38" s="503">
        <f t="shared" ref="D38:I38" si="112">SUM(D15:D36)</f>
        <v>0</v>
      </c>
      <c r="E38" s="503">
        <f t="shared" si="112"/>
        <v>158039.82500000001</v>
      </c>
      <c r="F38" s="503">
        <f t="shared" si="112"/>
        <v>0.9747596331359204</v>
      </c>
      <c r="G38" s="503">
        <f t="shared" si="112"/>
        <v>7002.3109926302268</v>
      </c>
      <c r="H38" s="503">
        <f t="shared" si="112"/>
        <v>700.23109926302254</v>
      </c>
      <c r="I38" s="503">
        <f t="shared" si="112"/>
        <v>7702.5420918932487</v>
      </c>
      <c r="J38" s="504">
        <f>I38/C8</f>
        <v>2.5675140306310831</v>
      </c>
      <c r="K38" s="60"/>
      <c r="L38" s="471" t="str">
        <f>'CAM Majors'!$B$38</f>
        <v>SUBTOTAL COMMON AREA</v>
      </c>
      <c r="M38" s="503">
        <f t="shared" ref="M38:R38" si="113">SUM(M15:M36)</f>
        <v>158039.82500000001</v>
      </c>
      <c r="N38" s="503">
        <f t="shared" si="113"/>
        <v>-51359</v>
      </c>
      <c r="O38" s="503">
        <f t="shared" si="113"/>
        <v>106680.825</v>
      </c>
      <c r="P38" s="503">
        <f t="shared" si="113"/>
        <v>0.52799480128195675</v>
      </c>
      <c r="Q38" s="503">
        <f t="shared" si="113"/>
        <v>2560.3145907486451</v>
      </c>
      <c r="R38" s="503">
        <f t="shared" si="113"/>
        <v>102.41258362994577</v>
      </c>
      <c r="S38" s="503">
        <f>SUM(S15:S36)</f>
        <v>2662.7271743785909</v>
      </c>
      <c r="T38" s="60"/>
      <c r="U38" s="471" t="str">
        <f>'CAM Majors'!$B$38</f>
        <v>SUBTOTAL COMMON AREA</v>
      </c>
      <c r="V38" s="503">
        <f>SUM(V15:V36)</f>
        <v>158039.82500000001</v>
      </c>
      <c r="W38" s="503">
        <f t="shared" ref="W38:AB38" si="114">SUM(W15:W36)</f>
        <v>0</v>
      </c>
      <c r="X38" s="503">
        <f t="shared" si="114"/>
        <v>158039.82500000001</v>
      </c>
      <c r="Y38" s="503">
        <f t="shared" si="114"/>
        <v>0.45488782879676265</v>
      </c>
      <c r="Z38" s="503">
        <f t="shared" si="114"/>
        <v>3267.745129894106</v>
      </c>
      <c r="AA38" s="503">
        <f t="shared" si="114"/>
        <v>0</v>
      </c>
      <c r="AB38" s="503">
        <f t="shared" si="114"/>
        <v>3267.745129894106</v>
      </c>
      <c r="AC38" s="60"/>
      <c r="AD38" s="471" t="str">
        <f>'CAM Majors'!$B$38</f>
        <v>SUBTOTAL COMMON AREA</v>
      </c>
      <c r="AE38" s="503">
        <f t="shared" ref="AE38:AK38" si="115">SUM(AE15:AE36)</f>
        <v>158039.82500000001</v>
      </c>
      <c r="AF38" s="503">
        <f t="shared" si="115"/>
        <v>0</v>
      </c>
      <c r="AG38" s="503">
        <f t="shared" si="115"/>
        <v>158039.82500000001</v>
      </c>
      <c r="AH38" s="503">
        <f t="shared" si="115"/>
        <v>0.36131090401571425</v>
      </c>
      <c r="AI38" s="503">
        <f t="shared" si="115"/>
        <v>2595.5232746016036</v>
      </c>
      <c r="AJ38" s="503">
        <f t="shared" si="115"/>
        <v>0</v>
      </c>
      <c r="AK38" s="503">
        <f t="shared" si="115"/>
        <v>2595.5232746016036</v>
      </c>
      <c r="AL38" s="60"/>
      <c r="AM38" s="471" t="str">
        <f>'CAM Majors'!$B$38</f>
        <v>SUBTOTAL COMMON AREA</v>
      </c>
      <c r="AN38" s="503">
        <f t="shared" ref="AN38:AT38" si="116">SUM(AN15:AN36)</f>
        <v>158039.82500000001</v>
      </c>
      <c r="AO38" s="503">
        <f t="shared" si="116"/>
        <v>0</v>
      </c>
      <c r="AP38" s="503">
        <f t="shared" si="116"/>
        <v>158039.82500000001</v>
      </c>
      <c r="AQ38" s="503">
        <f t="shared" si="116"/>
        <v>0.81035017501366158</v>
      </c>
      <c r="AR38" s="503">
        <f t="shared" si="116"/>
        <v>5821.2545385399271</v>
      </c>
      <c r="AS38" s="503">
        <f t="shared" si="116"/>
        <v>0</v>
      </c>
      <c r="AT38" s="503">
        <f t="shared" si="116"/>
        <v>5821.2545385399271</v>
      </c>
      <c r="AU38" s="60"/>
      <c r="AV38" s="471" t="str">
        <f>'CAM Majors'!$B$38</f>
        <v>SUBTOTAL COMMON AREA</v>
      </c>
      <c r="AW38" s="503">
        <f t="shared" ref="AW38:BC38" si="117">SUM(AW15:AW36)</f>
        <v>158039.82500000001</v>
      </c>
      <c r="AX38" s="503">
        <f t="shared" si="117"/>
        <v>0</v>
      </c>
      <c r="AY38" s="503">
        <f t="shared" si="117"/>
        <v>158039.82500000001</v>
      </c>
      <c r="AZ38" s="503">
        <f t="shared" si="117"/>
        <v>0.4873798165679602</v>
      </c>
      <c r="BA38" s="503">
        <f t="shared" si="117"/>
        <v>3501.1554963151134</v>
      </c>
      <c r="BB38" s="503">
        <f t="shared" si="117"/>
        <v>0</v>
      </c>
      <c r="BC38" s="503">
        <f t="shared" si="117"/>
        <v>3501.1554963151134</v>
      </c>
      <c r="BD38" s="60"/>
      <c r="BE38" s="471" t="str">
        <f>'CAM Majors'!$B$38</f>
        <v>SUBTOTAL COMMON AREA</v>
      </c>
      <c r="BF38" s="503">
        <f t="shared" ref="BF38:BL38" si="118">SUM(BF15:BF36)</f>
        <v>158039.82500000001</v>
      </c>
      <c r="BG38" s="503">
        <f t="shared" si="118"/>
        <v>-51359</v>
      </c>
      <c r="BH38" s="503">
        <f t="shared" si="118"/>
        <v>106680.825</v>
      </c>
      <c r="BI38" s="503">
        <f t="shared" si="118"/>
        <v>0.56341106795256191</v>
      </c>
      <c r="BJ38" s="503">
        <f t="shared" si="118"/>
        <v>2732.0526156050155</v>
      </c>
      <c r="BK38" s="503">
        <f t="shared" si="118"/>
        <v>136.60263078025079</v>
      </c>
      <c r="BL38" s="503">
        <f t="shared" si="118"/>
        <v>2868.6552463852663</v>
      </c>
      <c r="BM38" s="60"/>
      <c r="BN38" s="471" t="str">
        <f>'CAM Majors'!$B$38</f>
        <v>SUBTOTAL COMMON AREA</v>
      </c>
      <c r="BO38" s="503">
        <f t="shared" ref="BO38:BU38" si="119">SUM(BO15:BO36)</f>
        <v>158039.82500000001</v>
      </c>
      <c r="BP38" s="503">
        <f t="shared" si="119"/>
        <v>0</v>
      </c>
      <c r="BQ38" s="503">
        <f t="shared" si="119"/>
        <v>158039.82500000001</v>
      </c>
      <c r="BR38" s="503">
        <f t="shared" si="119"/>
        <v>1.2671875230766958</v>
      </c>
      <c r="BS38" s="503">
        <f t="shared" si="119"/>
        <v>9103.0042904192942</v>
      </c>
      <c r="BT38" s="503">
        <f t="shared" si="119"/>
        <v>0</v>
      </c>
      <c r="BU38" s="503">
        <f t="shared" si="119"/>
        <v>9103.0042904192942</v>
      </c>
      <c r="BV38" s="60"/>
      <c r="BW38" s="471" t="str">
        <f>'CAM Majors'!$B$38</f>
        <v>SUBTOTAL COMMON AREA</v>
      </c>
      <c r="BX38" s="503">
        <f t="shared" ref="BX38:CD38" si="120">SUM(BX15:BX36)</f>
        <v>158039.82500000001</v>
      </c>
      <c r="BY38" s="503">
        <f t="shared" si="120"/>
        <v>0</v>
      </c>
      <c r="BZ38" s="503">
        <f t="shared" si="120"/>
        <v>158039.82500000001</v>
      </c>
      <c r="CA38" s="503">
        <f t="shared" si="120"/>
        <v>0.41817188261530963</v>
      </c>
      <c r="CB38" s="503">
        <f t="shared" si="120"/>
        <v>3003.9914158383672</v>
      </c>
      <c r="CC38" s="503">
        <f t="shared" si="120"/>
        <v>1</v>
      </c>
      <c r="CD38" s="503">
        <f t="shared" si="120"/>
        <v>3004.9914158383672</v>
      </c>
      <c r="CE38" s="60"/>
      <c r="CF38" s="471" t="str">
        <f>'CAM Majors'!$B$38</f>
        <v>SUBTOTAL COMMON AREA</v>
      </c>
      <c r="CG38" s="503">
        <f t="shared" ref="CG38:CM38" si="121">SUM(CG15:CG36)</f>
        <v>158039.82500000001</v>
      </c>
      <c r="CH38" s="503">
        <f t="shared" si="121"/>
        <v>0</v>
      </c>
      <c r="CI38" s="503">
        <f t="shared" si="121"/>
        <v>158039.82500000001</v>
      </c>
      <c r="CJ38" s="503">
        <f t="shared" si="121"/>
        <v>0.5325436795699241</v>
      </c>
      <c r="CK38" s="503">
        <f t="shared" si="121"/>
        <v>3825.5959056403126</v>
      </c>
      <c r="CL38" s="503">
        <f t="shared" si="121"/>
        <v>1</v>
      </c>
      <c r="CM38" s="503">
        <f t="shared" si="121"/>
        <v>3826.5959056403126</v>
      </c>
      <c r="CN38" s="60"/>
      <c r="CO38" s="471" t="str">
        <f>'CAM Majors'!$B$38</f>
        <v>SUBTOTAL COMMON AREA</v>
      </c>
      <c r="CP38" s="503">
        <f t="shared" ref="CP38:CV38" si="122">SUM(CP15:CP36)</f>
        <v>158039.82500000001</v>
      </c>
      <c r="CQ38" s="503">
        <f t="shared" si="122"/>
        <v>0</v>
      </c>
      <c r="CR38" s="503">
        <f t="shared" si="122"/>
        <v>158039.82500000001</v>
      </c>
      <c r="CS38" s="503">
        <f t="shared" si="122"/>
        <v>1.1697115597631045</v>
      </c>
      <c r="CT38" s="503">
        <f t="shared" si="122"/>
        <v>8402.7731911562732</v>
      </c>
      <c r="CU38" s="503">
        <f t="shared" si="122"/>
        <v>0</v>
      </c>
      <c r="CV38" s="503">
        <f t="shared" si="122"/>
        <v>8402.7731911562732</v>
      </c>
      <c r="CW38" s="60"/>
      <c r="CX38" s="471" t="str">
        <f>'CAM Majors'!$B$38</f>
        <v>SUBTOTAL COMMON AREA</v>
      </c>
      <c r="CY38" s="503">
        <f t="shared" ref="CY38:DE38" si="123">SUM(CY15:CY36)</f>
        <v>158039.82500000001</v>
      </c>
      <c r="CZ38" s="503">
        <f t="shared" si="123"/>
        <v>0</v>
      </c>
      <c r="DA38" s="503">
        <f t="shared" si="123"/>
        <v>158039.82500000001</v>
      </c>
      <c r="DB38" s="503">
        <f t="shared" si="123"/>
        <v>0.51564784592890167</v>
      </c>
      <c r="DC38" s="503">
        <f t="shared" si="123"/>
        <v>3704.2225151013904</v>
      </c>
      <c r="DD38" s="503">
        <f t="shared" si="123"/>
        <v>370.42225151013901</v>
      </c>
      <c r="DE38" s="503">
        <f t="shared" si="123"/>
        <v>4074.6447666115291</v>
      </c>
      <c r="DF38" s="60"/>
      <c r="DG38" s="471" t="str">
        <f>'CAM Majors'!$B$38</f>
        <v>SUBTOTAL COMMON AREA</v>
      </c>
      <c r="DH38" s="503">
        <f t="shared" ref="DH38:DN38" si="124">SUM(DH15:DH36)</f>
        <v>158039.82500000001</v>
      </c>
      <c r="DI38" s="503">
        <f t="shared" si="124"/>
        <v>0</v>
      </c>
      <c r="DJ38" s="503">
        <f t="shared" si="124"/>
        <v>158039.82500000001</v>
      </c>
      <c r="DK38" s="503">
        <f t="shared" si="124"/>
        <v>0.42239584102556521</v>
      </c>
      <c r="DL38" s="503">
        <f t="shared" si="124"/>
        <v>3034.3347634730981</v>
      </c>
      <c r="DM38" s="503">
        <f t="shared" si="124"/>
        <v>455.15021452096471</v>
      </c>
      <c r="DN38" s="503">
        <f t="shared" si="124"/>
        <v>3489.4849779940623</v>
      </c>
      <c r="DO38" s="60"/>
      <c r="DP38" s="471" t="str">
        <f>'CAM Majors'!$B$38</f>
        <v>SUBTOTAL COMMON AREA</v>
      </c>
      <c r="DQ38" s="503">
        <f t="shared" ref="DQ38:DW38" si="125">SUM(DQ15:DQ36)</f>
        <v>158039.82500000001</v>
      </c>
      <c r="DR38" s="503">
        <f t="shared" si="125"/>
        <v>0</v>
      </c>
      <c r="DS38" s="503">
        <f t="shared" si="125"/>
        <v>158039.82500000001</v>
      </c>
      <c r="DT38" s="503">
        <f t="shared" si="125"/>
        <v>1.1450176490569943</v>
      </c>
      <c r="DU38" s="503">
        <f t="shared" si="125"/>
        <v>8225.3813126763052</v>
      </c>
      <c r="DV38" s="503">
        <f t="shared" si="125"/>
        <v>411.26906563381527</v>
      </c>
      <c r="DW38" s="503">
        <f t="shared" si="125"/>
        <v>8636.6503783101216</v>
      </c>
      <c r="DX38" s="60"/>
      <c r="DY38" s="471" t="str">
        <f>'CAM Majors'!$B$38</f>
        <v>SUBTOTAL COMMON AREA</v>
      </c>
      <c r="DZ38" s="503">
        <f t="shared" ref="DZ38:EF38" si="126">SUM(DZ15:DZ36)</f>
        <v>158039.82500000001</v>
      </c>
      <c r="EA38" s="503">
        <f t="shared" si="126"/>
        <v>-51359</v>
      </c>
      <c r="EB38" s="503">
        <f t="shared" si="126"/>
        <v>106680.825</v>
      </c>
      <c r="EC38" s="503">
        <f t="shared" si="126"/>
        <v>0.97703407227990369</v>
      </c>
      <c r="ED38" s="503">
        <f t="shared" si="126"/>
        <v>4737.7636765422603</v>
      </c>
      <c r="EE38" s="503">
        <f t="shared" si="126"/>
        <v>236.88818382711304</v>
      </c>
      <c r="EF38" s="503">
        <f t="shared" si="126"/>
        <v>4974.6518603693739</v>
      </c>
    </row>
    <row r="39" spans="1:136">
      <c r="A39" s="60"/>
      <c r="B39" s="51"/>
      <c r="C39" s="473"/>
      <c r="D39" s="144"/>
      <c r="E39" s="144"/>
      <c r="F39" s="404"/>
      <c r="G39" s="2"/>
      <c r="H39" s="2"/>
      <c r="I39" s="2"/>
      <c r="J39" s="2"/>
      <c r="K39" s="60"/>
      <c r="L39" s="51"/>
      <c r="M39" s="473"/>
      <c r="N39" s="144"/>
      <c r="O39" s="144"/>
      <c r="P39" s="404"/>
      <c r="Q39" s="2"/>
      <c r="R39" s="2"/>
      <c r="S39" s="2"/>
      <c r="T39" s="60"/>
      <c r="U39" s="51"/>
      <c r="V39" s="473"/>
      <c r="W39" s="144"/>
      <c r="X39" s="144"/>
      <c r="Y39" s="404"/>
      <c r="Z39" s="2"/>
      <c r="AA39" s="2"/>
      <c r="AB39" s="2"/>
      <c r="AC39" s="60"/>
      <c r="AD39" s="51"/>
      <c r="AE39" s="473"/>
      <c r="AF39" s="144"/>
      <c r="AG39" s="144"/>
      <c r="AH39" s="404"/>
      <c r="AI39" s="2"/>
      <c r="AJ39" s="2"/>
      <c r="AK39" s="2"/>
      <c r="AL39" s="60"/>
      <c r="AM39" s="51"/>
      <c r="AN39" s="473"/>
      <c r="AO39" s="144"/>
      <c r="AP39" s="144"/>
      <c r="AQ39" s="404"/>
      <c r="AR39" s="2"/>
      <c r="AS39" s="2"/>
      <c r="AT39" s="2"/>
      <c r="AU39" s="60"/>
      <c r="AV39" s="51"/>
      <c r="AW39" s="473"/>
      <c r="AX39" s="144"/>
      <c r="AY39" s="144"/>
      <c r="AZ39" s="404"/>
      <c r="BA39" s="2"/>
      <c r="BB39" s="2"/>
      <c r="BC39" s="2"/>
      <c r="BD39" s="60"/>
      <c r="BE39" s="51"/>
      <c r="BF39" s="473"/>
      <c r="BG39" s="144"/>
      <c r="BH39" s="144"/>
      <c r="BI39" s="404"/>
      <c r="BJ39" s="2"/>
      <c r="BK39" s="2"/>
      <c r="BL39" s="2"/>
      <c r="BM39" s="60"/>
      <c r="BN39" s="51"/>
      <c r="BO39" s="473"/>
      <c r="BP39" s="144"/>
      <c r="BQ39" s="144"/>
      <c r="BR39" s="404"/>
      <c r="BS39" s="2"/>
      <c r="BT39" s="2"/>
      <c r="BU39" s="2"/>
      <c r="BV39" s="60"/>
      <c r="BW39" s="51"/>
      <c r="BX39" s="473"/>
      <c r="BY39" s="144"/>
      <c r="BZ39" s="144"/>
      <c r="CA39" s="404"/>
      <c r="CB39" s="2"/>
      <c r="CC39" s="2"/>
      <c r="CD39" s="2"/>
      <c r="CE39" s="60"/>
      <c r="CF39" s="51"/>
      <c r="CG39" s="473"/>
      <c r="CH39" s="144"/>
      <c r="CI39" s="144"/>
      <c r="CJ39" s="404"/>
      <c r="CK39" s="2"/>
      <c r="CL39" s="2"/>
      <c r="CM39" s="2"/>
      <c r="CN39" s="60"/>
      <c r="CO39" s="51"/>
      <c r="CP39" s="473"/>
      <c r="CQ39" s="144"/>
      <c r="CR39" s="144"/>
      <c r="CS39" s="404"/>
      <c r="CT39" s="2"/>
      <c r="CU39" s="2"/>
      <c r="CV39" s="2"/>
      <c r="CW39" s="60"/>
      <c r="CX39" s="51"/>
      <c r="CY39" s="473"/>
      <c r="CZ39" s="144"/>
      <c r="DA39" s="144"/>
      <c r="DB39" s="404"/>
      <c r="DC39" s="2"/>
      <c r="DD39" s="2"/>
      <c r="DE39" s="2"/>
      <c r="DF39" s="60"/>
      <c r="DG39" s="51"/>
      <c r="DH39" s="473"/>
      <c r="DI39" s="144"/>
      <c r="DJ39" s="144"/>
      <c r="DK39" s="404"/>
      <c r="DL39" s="2"/>
      <c r="DM39" s="2"/>
      <c r="DN39" s="2"/>
      <c r="DO39" s="60"/>
      <c r="DP39" s="51"/>
      <c r="DQ39" s="473"/>
      <c r="DR39" s="144"/>
      <c r="DS39" s="144"/>
      <c r="DT39" s="404"/>
      <c r="DU39" s="2"/>
      <c r="DV39" s="2"/>
      <c r="DW39" s="2"/>
      <c r="DX39" s="60"/>
      <c r="DY39" s="51"/>
      <c r="DZ39" s="473"/>
      <c r="EA39" s="144"/>
      <c r="EB39" s="144"/>
      <c r="EC39" s="404"/>
      <c r="ED39" s="2"/>
      <c r="EE39" s="2"/>
      <c r="EF39" s="2"/>
    </row>
    <row r="40" spans="1:136">
      <c r="A40" s="60"/>
      <c r="B40" s="51" t="str">
        <f>'CAM Majors'!$B$40</f>
        <v>BUILDING EXPENSE</v>
      </c>
      <c r="C40" s="473"/>
      <c r="D40" s="144"/>
      <c r="E40" s="144"/>
      <c r="F40" s="404"/>
      <c r="G40" s="144"/>
      <c r="H40" s="2"/>
      <c r="I40" s="144"/>
      <c r="J40" s="144"/>
      <c r="K40" s="60"/>
      <c r="L40" s="51" t="str">
        <f>'CAM Majors'!$B$40</f>
        <v>BUILDING EXPENSE</v>
      </c>
      <c r="M40" s="473"/>
      <c r="N40" s="144"/>
      <c r="O40" s="144"/>
      <c r="P40" s="404"/>
      <c r="Q40" s="144"/>
      <c r="R40" s="2"/>
      <c r="S40" s="144"/>
      <c r="T40" s="60"/>
      <c r="U40" s="51" t="str">
        <f>'CAM Majors'!$B$40</f>
        <v>BUILDING EXPENSE</v>
      </c>
      <c r="V40" s="473"/>
      <c r="W40" s="144"/>
      <c r="X40" s="144"/>
      <c r="Y40" s="404"/>
      <c r="Z40" s="144"/>
      <c r="AA40" s="2"/>
      <c r="AB40" s="144"/>
      <c r="AC40" s="60"/>
      <c r="AD40" s="51" t="str">
        <f>'CAM Majors'!$B$40</f>
        <v>BUILDING EXPENSE</v>
      </c>
      <c r="AE40" s="473"/>
      <c r="AF40" s="144"/>
      <c r="AG40" s="144"/>
      <c r="AH40" s="404"/>
      <c r="AI40" s="144"/>
      <c r="AJ40" s="2"/>
      <c r="AK40" s="144"/>
      <c r="AL40" s="60"/>
      <c r="AM40" s="51" t="str">
        <f>'CAM Majors'!$B$40</f>
        <v>BUILDING EXPENSE</v>
      </c>
      <c r="AN40" s="473"/>
      <c r="AO40" s="144"/>
      <c r="AP40" s="144"/>
      <c r="AQ40" s="404"/>
      <c r="AR40" s="144"/>
      <c r="AS40" s="2"/>
      <c r="AT40" s="144"/>
      <c r="AU40" s="60"/>
      <c r="AV40" s="51" t="str">
        <f>'CAM Majors'!$B$40</f>
        <v>BUILDING EXPENSE</v>
      </c>
      <c r="AW40" s="473"/>
      <c r="AX40" s="144"/>
      <c r="AY40" s="144"/>
      <c r="AZ40" s="404"/>
      <c r="BA40" s="144"/>
      <c r="BB40" s="2"/>
      <c r="BC40" s="144"/>
      <c r="BD40" s="60"/>
      <c r="BE40" s="51" t="str">
        <f>'CAM Majors'!$B$40</f>
        <v>BUILDING EXPENSE</v>
      </c>
      <c r="BF40" s="473"/>
      <c r="BG40" s="144"/>
      <c r="BH40" s="144"/>
      <c r="BI40" s="404"/>
      <c r="BJ40" s="144"/>
      <c r="BK40" s="2"/>
      <c r="BL40" s="144"/>
      <c r="BM40" s="60"/>
      <c r="BN40" s="51" t="str">
        <f>'CAM Majors'!$B$40</f>
        <v>BUILDING EXPENSE</v>
      </c>
      <c r="BO40" s="473"/>
      <c r="BP40" s="144"/>
      <c r="BQ40" s="144"/>
      <c r="BR40" s="404"/>
      <c r="BS40" s="144"/>
      <c r="BT40" s="2"/>
      <c r="BU40" s="144"/>
      <c r="BV40" s="60"/>
      <c r="BW40" s="51" t="str">
        <f>'CAM Majors'!$B$40</f>
        <v>BUILDING EXPENSE</v>
      </c>
      <c r="BX40" s="473"/>
      <c r="BY40" s="144"/>
      <c r="BZ40" s="144"/>
      <c r="CA40" s="404"/>
      <c r="CB40" s="144"/>
      <c r="CC40" s="2"/>
      <c r="CD40" s="144"/>
      <c r="CE40" s="60"/>
      <c r="CF40" s="51" t="str">
        <f>'CAM Majors'!$B$40</f>
        <v>BUILDING EXPENSE</v>
      </c>
      <c r="CG40" s="473"/>
      <c r="CH40" s="144"/>
      <c r="CI40" s="144"/>
      <c r="CJ40" s="404"/>
      <c r="CK40" s="144"/>
      <c r="CL40" s="2"/>
      <c r="CM40" s="144"/>
      <c r="CN40" s="60"/>
      <c r="CO40" s="51" t="str">
        <f>'CAM Majors'!$B$40</f>
        <v>BUILDING EXPENSE</v>
      </c>
      <c r="CP40" s="473"/>
      <c r="CQ40" s="144"/>
      <c r="CR40" s="144"/>
      <c r="CS40" s="404"/>
      <c r="CT40" s="144"/>
      <c r="CU40" s="2"/>
      <c r="CV40" s="144"/>
      <c r="CW40" s="60"/>
      <c r="CX40" s="51" t="str">
        <f>'CAM Majors'!$B$40</f>
        <v>BUILDING EXPENSE</v>
      </c>
      <c r="CY40" s="473"/>
      <c r="CZ40" s="144"/>
      <c r="DA40" s="144"/>
      <c r="DB40" s="404"/>
      <c r="DC40" s="144"/>
      <c r="DD40" s="2"/>
      <c r="DE40" s="144"/>
      <c r="DF40" s="60"/>
      <c r="DG40" s="51" t="str">
        <f>'CAM Majors'!$B$40</f>
        <v>BUILDING EXPENSE</v>
      </c>
      <c r="DH40" s="473"/>
      <c r="DI40" s="144"/>
      <c r="DJ40" s="144"/>
      <c r="DK40" s="404"/>
      <c r="DL40" s="144"/>
      <c r="DM40" s="2"/>
      <c r="DN40" s="144"/>
      <c r="DO40" s="60"/>
      <c r="DP40" s="51" t="str">
        <f>'CAM Majors'!$B$40</f>
        <v>BUILDING EXPENSE</v>
      </c>
      <c r="DQ40" s="473"/>
      <c r="DR40" s="144"/>
      <c r="DS40" s="144"/>
      <c r="DT40" s="404"/>
      <c r="DU40" s="144"/>
      <c r="DV40" s="2"/>
      <c r="DW40" s="144"/>
      <c r="DX40" s="60"/>
      <c r="DY40" s="51" t="str">
        <f>'CAM Majors'!$B$40</f>
        <v>BUILDING EXPENSE</v>
      </c>
      <c r="DZ40" s="473"/>
      <c r="EA40" s="144"/>
      <c r="EB40" s="144"/>
      <c r="EC40" s="404"/>
      <c r="ED40" s="144"/>
      <c r="EE40" s="2"/>
      <c r="EF40" s="144"/>
    </row>
    <row r="41" spans="1:136">
      <c r="A41" s="60">
        <f>'CAM Majors'!$A$41</f>
        <v>51060</v>
      </c>
      <c r="B41" s="2" t="str">
        <f>'CAM Majors'!$B$41</f>
        <v>Roof Maintenance</v>
      </c>
      <c r="C41" s="500">
        <f>'CAM Majors'!$C$41</f>
        <v>10000</v>
      </c>
      <c r="D41" s="461">
        <v>0</v>
      </c>
      <c r="E41" s="383">
        <f>C41+D41</f>
        <v>10000</v>
      </c>
      <c r="F41" s="242">
        <f>$C$8/'CAM Majors'!D41</f>
        <v>9.1717875813996153E-2</v>
      </c>
      <c r="G41" s="463">
        <f t="shared" ref="G41:G48" si="127">E41*F41</f>
        <v>917.17875813996147</v>
      </c>
      <c r="H41" s="463">
        <f t="shared" ref="H41:H48" si="128">G41*$H$12</f>
        <v>91.717875813996159</v>
      </c>
      <c r="I41" s="464">
        <f t="shared" ref="I41:I48" si="129">G41+H41</f>
        <v>1008.8966339539577</v>
      </c>
      <c r="J41" s="464"/>
      <c r="K41" s="60">
        <f>'CAM Majors'!$A$41</f>
        <v>51060</v>
      </c>
      <c r="L41" s="2" t="str">
        <f>'CAM Majors'!$B$41</f>
        <v>Roof Maintenance</v>
      </c>
      <c r="M41" s="500">
        <f>'CAM Majors'!$C$41</f>
        <v>10000</v>
      </c>
      <c r="N41" s="461">
        <v>0</v>
      </c>
      <c r="O41" s="383">
        <f>M41+N41</f>
        <v>10000</v>
      </c>
      <c r="P41" s="242">
        <f>$M$8/'CAM Majors'!$D$41</f>
        <v>4.968051606591458E-2</v>
      </c>
      <c r="Q41" s="463">
        <f t="shared" ref="Q41:Q48" si="130">O41*P41</f>
        <v>496.80516065914583</v>
      </c>
      <c r="R41" s="463">
        <f t="shared" ref="R41:R48" si="131">Q41*$R$12</f>
        <v>19.872206426365832</v>
      </c>
      <c r="S41" s="464">
        <f t="shared" ref="S41:S48" si="132">Q41+R41</f>
        <v>516.67736708551161</v>
      </c>
      <c r="T41" s="60">
        <f>'CAM Majors'!$A$41</f>
        <v>51060</v>
      </c>
      <c r="U41" s="2" t="str">
        <f>'CAM Majors'!$B$41</f>
        <v>Roof Maintenance</v>
      </c>
      <c r="V41" s="500">
        <f>'CAM Majors'!$C$41</f>
        <v>10000</v>
      </c>
      <c r="W41" s="461">
        <v>0</v>
      </c>
      <c r="X41" s="383">
        <f>V41+W41</f>
        <v>10000</v>
      </c>
      <c r="Y41" s="242">
        <f>$V$8/'CAM Majors'!D41</f>
        <v>4.2801675379864866E-2</v>
      </c>
      <c r="Z41" s="463">
        <f t="shared" ref="Z41:Z48" si="133">X41*Y41</f>
        <v>428.01675379864866</v>
      </c>
      <c r="AA41" s="463">
        <f t="shared" ref="AA41:AA48" si="134">Z41*$AA$12</f>
        <v>0</v>
      </c>
      <c r="AB41" s="464">
        <f t="shared" ref="AB41:AB48" si="135">Z41+AA41</f>
        <v>428.01675379864866</v>
      </c>
      <c r="AC41" s="60">
        <f>'CAM Majors'!$A$41</f>
        <v>51060</v>
      </c>
      <c r="AD41" s="2" t="str">
        <f>'CAM Majors'!$B$41</f>
        <v>Roof Maintenance</v>
      </c>
      <c r="AE41" s="500">
        <f>'CAM Majors'!$C$41</f>
        <v>10000</v>
      </c>
      <c r="AF41" s="461">
        <v>0</v>
      </c>
      <c r="AG41" s="383">
        <f>AE41+AF41</f>
        <v>10000</v>
      </c>
      <c r="AH41" s="242">
        <f>$AE$8/'CAM Majors'!D41</f>
        <v>3.399675930172124E-2</v>
      </c>
      <c r="AI41" s="463">
        <f t="shared" ref="AI41:AI48" si="136">AG41*AH41</f>
        <v>339.96759301721238</v>
      </c>
      <c r="AJ41" s="463">
        <f t="shared" ref="AJ41:AJ48" si="137">AI41*$AJ$12</f>
        <v>0</v>
      </c>
      <c r="AK41" s="464">
        <f t="shared" ref="AK41:AK48" si="138">AI41+AJ41</f>
        <v>339.96759301721238</v>
      </c>
      <c r="AL41" s="60">
        <f>'CAM Majors'!$A$41</f>
        <v>51060</v>
      </c>
      <c r="AM41" s="2" t="str">
        <f>'CAM Majors'!$B$41</f>
        <v>Roof Maintenance</v>
      </c>
      <c r="AN41" s="500">
        <f>'CAM Majors'!$C$41</f>
        <v>10000</v>
      </c>
      <c r="AO41" s="461">
        <v>0</v>
      </c>
      <c r="AP41" s="383">
        <f>AN41+AO41</f>
        <v>10000</v>
      </c>
      <c r="AQ41" s="242">
        <f>$AN$8/'CAM Majors'!D41</f>
        <v>7.6248127426702131E-2</v>
      </c>
      <c r="AR41" s="463">
        <f t="shared" ref="AR41:AR48" si="139">AP41*AQ41</f>
        <v>762.48127426702126</v>
      </c>
      <c r="AS41" s="463"/>
      <c r="AT41" s="464">
        <f t="shared" ref="AT41:AT48" si="140">AR41+AS41</f>
        <v>762.48127426702126</v>
      </c>
      <c r="AU41" s="60">
        <f>'CAM Majors'!$A$41</f>
        <v>51060</v>
      </c>
      <c r="AV41" s="2" t="str">
        <f>'CAM Majors'!$B$41</f>
        <v>Roof Maintenance</v>
      </c>
      <c r="AW41" s="500">
        <f>'CAM Majors'!$C$41</f>
        <v>10000</v>
      </c>
      <c r="AX41" s="461">
        <v>0</v>
      </c>
      <c r="AY41" s="383">
        <f>AW41+AX41</f>
        <v>10000</v>
      </c>
      <c r="AZ41" s="242">
        <f>$AW$8/'CAM Majors'!$D41</f>
        <v>4.5858937906998076E-2</v>
      </c>
      <c r="BA41" s="463">
        <f t="shared" ref="BA41:BA48" si="141">AY41*AZ41</f>
        <v>458.58937906998074</v>
      </c>
      <c r="BB41" s="463">
        <f t="shared" ref="BB41:BB48" si="142">BA41*$BB$12</f>
        <v>0</v>
      </c>
      <c r="BC41" s="464">
        <f t="shared" ref="BC41:BC48" si="143">BA41+BB41</f>
        <v>458.58937906998074</v>
      </c>
      <c r="BD41" s="60">
        <f>'CAM Majors'!$A$41</f>
        <v>51060</v>
      </c>
      <c r="BE41" s="2" t="str">
        <f>'CAM Majors'!$B$41</f>
        <v>Roof Maintenance</v>
      </c>
      <c r="BF41" s="500">
        <f>'CAM Majors'!$C$41</f>
        <v>10000</v>
      </c>
      <c r="BG41" s="461">
        <v>0</v>
      </c>
      <c r="BH41" s="383">
        <f>BF41+BG41</f>
        <v>10000</v>
      </c>
      <c r="BI41" s="242">
        <f>$BF$8/'CAM Majors'!$D41</f>
        <v>5.3012932220489771E-2</v>
      </c>
      <c r="BJ41" s="463">
        <f t="shared" ref="BJ41:BJ48" si="144">BH41*BI41</f>
        <v>530.12932220489768</v>
      </c>
      <c r="BK41" s="463">
        <f t="shared" ref="BK41:BK48" si="145">BJ41*$BK$12</f>
        <v>26.506466110244887</v>
      </c>
      <c r="BL41" s="464">
        <f t="shared" ref="BL41:BL48" si="146">BJ41+BK41</f>
        <v>556.63578831514258</v>
      </c>
      <c r="BM41" s="60">
        <f>'CAM Majors'!$A$41</f>
        <v>51060</v>
      </c>
      <c r="BN41" s="2" t="str">
        <f>'CAM Majors'!$B$41</f>
        <v>Roof Maintenance</v>
      </c>
      <c r="BO41" s="500">
        <f>'CAM Majors'!$C$41</f>
        <v>10000</v>
      </c>
      <c r="BP41" s="461">
        <v>0</v>
      </c>
      <c r="BQ41" s="383">
        <f>BO41+BP41</f>
        <v>10000</v>
      </c>
      <c r="BR41" s="242">
        <f>$BO$8/'CAM Majors'!$D41</f>
        <v>0.119233238558195</v>
      </c>
      <c r="BS41" s="463">
        <f t="shared" ref="BS41:BS48" si="147">BQ41*BR41</f>
        <v>1192.3323855819499</v>
      </c>
      <c r="BT41" s="463">
        <f t="shared" ref="BT41:BT48" si="148">BS41*$BT$12</f>
        <v>0</v>
      </c>
      <c r="BU41" s="464">
        <f t="shared" ref="BU41:BU48" si="149">BS41+BT41</f>
        <v>1192.3323855819499</v>
      </c>
      <c r="BV41" s="60">
        <f>'CAM Majors'!$A$41</f>
        <v>51060</v>
      </c>
      <c r="BW41" s="2" t="str">
        <f>'CAM Majors'!$B$41</f>
        <v>Roof Maintenance</v>
      </c>
      <c r="BX41" s="500">
        <f>'CAM Majors'!$C$41</f>
        <v>10000</v>
      </c>
      <c r="BY41" s="461">
        <v>0</v>
      </c>
      <c r="BZ41" s="383">
        <f>BX41+BY41</f>
        <v>10000</v>
      </c>
      <c r="CA41" s="242">
        <f>$BX$8/'CAM Majors'!$D41</f>
        <v>3.9346968724204345E-2</v>
      </c>
      <c r="CB41" s="463">
        <f t="shared" ref="CB41:CB48" si="150">BZ41*CA41</f>
        <v>393.46968724204345</v>
      </c>
      <c r="CC41" s="463">
        <f t="shared" ref="CC41:CC47" si="151">CB41*$CC$12</f>
        <v>0</v>
      </c>
      <c r="CD41" s="464">
        <f t="shared" ref="CD41:CD48" si="152">CB41+CC41</f>
        <v>393.46968724204345</v>
      </c>
      <c r="CE41" s="60">
        <f>'CAM Majors'!$A$41</f>
        <v>51060</v>
      </c>
      <c r="CF41" s="2" t="str">
        <f>'CAM Majors'!$B$41</f>
        <v>Roof Maintenance</v>
      </c>
      <c r="CG41" s="500">
        <f>'CAM Majors'!$C$41</f>
        <v>10000</v>
      </c>
      <c r="CH41" s="461">
        <v>0</v>
      </c>
      <c r="CI41" s="383">
        <f>CG41+CH41</f>
        <v>10000</v>
      </c>
      <c r="CJ41" s="242">
        <f>$CG$8/'CAM Majors'!$D41</f>
        <v>5.0108532819713232E-2</v>
      </c>
      <c r="CK41" s="463">
        <f t="shared" ref="CK41:CK48" si="153">CI41*CJ41</f>
        <v>501.0853281971323</v>
      </c>
      <c r="CL41" s="463">
        <f t="shared" ref="CL41:CL48" si="154">CK41*$CL$12</f>
        <v>0</v>
      </c>
      <c r="CM41" s="464">
        <f t="shared" ref="CM41:CM48" si="155">CK41+CL41</f>
        <v>501.0853281971323</v>
      </c>
      <c r="CN41" s="60">
        <f>'CAM Majors'!$A$41</f>
        <v>51060</v>
      </c>
      <c r="CO41" s="2" t="str">
        <f>'CAM Majors'!$B$41</f>
        <v>Roof Maintenance</v>
      </c>
      <c r="CP41" s="500">
        <f>'CAM Majors'!$C$41</f>
        <v>10000</v>
      </c>
      <c r="CQ41" s="461">
        <v>0</v>
      </c>
      <c r="CR41" s="383">
        <f>CP41+CQ41</f>
        <v>10000</v>
      </c>
      <c r="CS41" s="242">
        <f>$CP$8/'CAM Majors'!$D41</f>
        <v>0.11006145097679537</v>
      </c>
      <c r="CT41" s="463">
        <f t="shared" ref="CT41:CT48" si="156">CR41*CS41</f>
        <v>1100.6145097679537</v>
      </c>
      <c r="CU41" s="463"/>
      <c r="CV41" s="464">
        <f t="shared" ref="CV41:CV48" si="157">CT41+CU41</f>
        <v>1100.6145097679537</v>
      </c>
      <c r="CW41" s="60">
        <f>'CAM Majors'!$A$41</f>
        <v>51060</v>
      </c>
      <c r="CX41" s="2" t="str">
        <f>'CAM Majors'!$B$41</f>
        <v>Roof Maintenance</v>
      </c>
      <c r="CY41" s="500">
        <f>'CAM Majors'!$C$41</f>
        <v>10000</v>
      </c>
      <c r="CZ41" s="461">
        <v>0</v>
      </c>
      <c r="DA41" s="383">
        <f>CY41+CZ41</f>
        <v>10000</v>
      </c>
      <c r="DB41" s="242">
        <f>$CY$8/'CAM Majors'!$D41</f>
        <v>4.8518756305603962E-2</v>
      </c>
      <c r="DC41" s="463">
        <f t="shared" ref="DC41:DC48" si="158">DA41*DB41</f>
        <v>485.18756305603961</v>
      </c>
      <c r="DD41" s="463">
        <f t="shared" ref="DD41:DD48" si="159">DC41*$DD$12</f>
        <v>48.518756305603965</v>
      </c>
      <c r="DE41" s="464">
        <f t="shared" ref="DE41:DE48" si="160">DC41+DD41</f>
        <v>533.70631936164352</v>
      </c>
      <c r="DF41" s="60">
        <f>'CAM Majors'!$A$41</f>
        <v>51060</v>
      </c>
      <c r="DG41" s="2" t="str">
        <f>'CAM Majors'!$B$41</f>
        <v>Roof Maintenance</v>
      </c>
      <c r="DH41" s="500">
        <f>'CAM Majors'!$C$41</f>
        <v>10000</v>
      </c>
      <c r="DI41" s="461">
        <v>0</v>
      </c>
      <c r="DJ41" s="383">
        <f>DH41+DI41</f>
        <v>10000</v>
      </c>
      <c r="DK41" s="242">
        <f>$DH$8/'CAM Majors'!$D41</f>
        <v>3.9744412852731663E-2</v>
      </c>
      <c r="DL41" s="463">
        <f t="shared" ref="DL41:DL48" si="161">DJ41*DK41</f>
        <v>397.44412852731665</v>
      </c>
      <c r="DM41" s="463">
        <f t="shared" ref="DM41:DM48" si="162">DL41*$DM$12</f>
        <v>59.616619279097492</v>
      </c>
      <c r="DN41" s="464">
        <f t="shared" ref="DN41:DN48" si="163">DL41+DM41</f>
        <v>457.06074780641416</v>
      </c>
      <c r="DO41" s="60">
        <f>'CAM Majors'!$A$41</f>
        <v>51060</v>
      </c>
      <c r="DP41" s="2" t="str">
        <f>'CAM Majors'!$B$41</f>
        <v>Roof Maintenance</v>
      </c>
      <c r="DQ41" s="500">
        <f>'CAM Majors'!$C$41</f>
        <v>10000</v>
      </c>
      <c r="DR41" s="461">
        <v>0</v>
      </c>
      <c r="DS41" s="383">
        <f>DQ41+DR41</f>
        <v>10000</v>
      </c>
      <c r="DT41" s="242">
        <f>$DQ$8/'CAM Majors'!$D41</f>
        <v>0.10773793145617414</v>
      </c>
      <c r="DU41" s="463">
        <f t="shared" ref="DU41:DU48" si="164">DS41*DT41</f>
        <v>1077.3793145617412</v>
      </c>
      <c r="DV41" s="463">
        <f t="shared" ref="DV41:DV48" si="165">DU41*$DV$12</f>
        <v>53.868965728087062</v>
      </c>
      <c r="DW41" s="464">
        <f t="shared" ref="DW41:DW48" si="166">DU41+DV41</f>
        <v>1131.2482802898282</v>
      </c>
      <c r="DX41" s="60">
        <f>'CAM Majors'!$A$41</f>
        <v>51060</v>
      </c>
      <c r="DY41" s="2" t="str">
        <f>'CAM Majors'!$B$41</f>
        <v>Roof Maintenance</v>
      </c>
      <c r="DZ41" s="500">
        <f>'CAM Majors'!$C$41</f>
        <v>10000</v>
      </c>
      <c r="EA41" s="461">
        <v>0</v>
      </c>
      <c r="EB41" s="383">
        <f>DZ41+EA41</f>
        <v>10000</v>
      </c>
      <c r="EC41" s="242">
        <f>$DZ$8/'CAM Majors'!$D41</f>
        <v>9.1931884190895471E-2</v>
      </c>
      <c r="ED41" s="463">
        <f t="shared" ref="ED41:ED48" si="167">EB41*EC41</f>
        <v>919.31884190895471</v>
      </c>
      <c r="EE41" s="463">
        <f t="shared" ref="EE41:EE48" si="168">ED41*$DV$12</f>
        <v>45.965942095447737</v>
      </c>
      <c r="EF41" s="464">
        <f t="shared" ref="EF41:EF48" si="169">ED41+EE41</f>
        <v>965.28478400440247</v>
      </c>
    </row>
    <row r="42" spans="1:136">
      <c r="A42" s="60">
        <f>'CAM Majors'!$A$42</f>
        <v>51070</v>
      </c>
      <c r="B42" s="2" t="str">
        <f>'CAM Majors'!$B$42</f>
        <v>Roof Repairs</v>
      </c>
      <c r="C42" s="500">
        <f>'CAM Majors'!$C$42</f>
        <v>0</v>
      </c>
      <c r="D42" s="461">
        <v>0</v>
      </c>
      <c r="E42" s="383">
        <f t="shared" ref="E42:E48" si="170">C42+D42</f>
        <v>0</v>
      </c>
      <c r="F42" s="242">
        <f>$C$8/'CAM Majors'!D42</f>
        <v>9.1717875813996153E-2</v>
      </c>
      <c r="G42" s="463">
        <f t="shared" si="127"/>
        <v>0</v>
      </c>
      <c r="H42" s="463">
        <f t="shared" si="128"/>
        <v>0</v>
      </c>
      <c r="I42" s="464">
        <f t="shared" si="129"/>
        <v>0</v>
      </c>
      <c r="J42" s="464">
        <f>I42/C$8</f>
        <v>0</v>
      </c>
      <c r="K42" s="60">
        <f>'CAM Majors'!$A$42</f>
        <v>51070</v>
      </c>
      <c r="L42" s="2" t="str">
        <f>'CAM Majors'!$B$42</f>
        <v>Roof Repairs</v>
      </c>
      <c r="M42" s="500">
        <f>'CAM Majors'!$C$42</f>
        <v>0</v>
      </c>
      <c r="N42" s="461">
        <v>0</v>
      </c>
      <c r="O42" s="383">
        <f t="shared" ref="O42:O48" si="171">M42+N42</f>
        <v>0</v>
      </c>
      <c r="P42" s="242">
        <f>$M$8/'CAM Majors'!$D$41</f>
        <v>4.968051606591458E-2</v>
      </c>
      <c r="Q42" s="463">
        <f t="shared" si="130"/>
        <v>0</v>
      </c>
      <c r="R42" s="463">
        <f t="shared" si="131"/>
        <v>0</v>
      </c>
      <c r="S42" s="464">
        <f t="shared" si="132"/>
        <v>0</v>
      </c>
      <c r="T42" s="60">
        <f>'CAM Majors'!$A$42</f>
        <v>51070</v>
      </c>
      <c r="U42" s="2" t="str">
        <f>'CAM Majors'!$B$42</f>
        <v>Roof Repairs</v>
      </c>
      <c r="V42" s="500">
        <f>'CAM Majors'!$C$42</f>
        <v>0</v>
      </c>
      <c r="W42" s="461">
        <v>0</v>
      </c>
      <c r="X42" s="383">
        <f t="shared" ref="X42:X48" si="172">V42+W42</f>
        <v>0</v>
      </c>
      <c r="Y42" s="242">
        <f>$V$8/'CAM Majors'!D42</f>
        <v>4.2801675379864866E-2</v>
      </c>
      <c r="Z42" s="463">
        <f t="shared" si="133"/>
        <v>0</v>
      </c>
      <c r="AA42" s="463">
        <f t="shared" si="134"/>
        <v>0</v>
      </c>
      <c r="AB42" s="464">
        <f t="shared" si="135"/>
        <v>0</v>
      </c>
      <c r="AC42" s="60">
        <f>'CAM Majors'!$A$42</f>
        <v>51070</v>
      </c>
      <c r="AD42" s="2" t="str">
        <f>'CAM Majors'!$B$42</f>
        <v>Roof Repairs</v>
      </c>
      <c r="AE42" s="500">
        <f>'CAM Majors'!$C$42</f>
        <v>0</v>
      </c>
      <c r="AF42" s="461">
        <v>0</v>
      </c>
      <c r="AG42" s="383">
        <f t="shared" ref="AG42:AG48" si="173">AE42+AF42</f>
        <v>0</v>
      </c>
      <c r="AH42" s="242">
        <f>$AE$8/'CAM Majors'!D42</f>
        <v>3.399675930172124E-2</v>
      </c>
      <c r="AI42" s="463">
        <f t="shared" si="136"/>
        <v>0</v>
      </c>
      <c r="AJ42" s="463">
        <f t="shared" si="137"/>
        <v>0</v>
      </c>
      <c r="AK42" s="464">
        <f t="shared" si="138"/>
        <v>0</v>
      </c>
      <c r="AL42" s="60">
        <f>'CAM Majors'!$A$42</f>
        <v>51070</v>
      </c>
      <c r="AM42" s="2" t="str">
        <f>'CAM Majors'!$B$42</f>
        <v>Roof Repairs</v>
      </c>
      <c r="AN42" s="500">
        <f>'CAM Majors'!$C$42</f>
        <v>0</v>
      </c>
      <c r="AO42" s="461">
        <v>0</v>
      </c>
      <c r="AP42" s="383">
        <f t="shared" ref="AP42:AP48" si="174">AN42+AO42</f>
        <v>0</v>
      </c>
      <c r="AQ42" s="242">
        <f>$AN$8/'CAM Majors'!D42</f>
        <v>7.6248127426702131E-2</v>
      </c>
      <c r="AR42" s="463">
        <f t="shared" si="139"/>
        <v>0</v>
      </c>
      <c r="AS42" s="463"/>
      <c r="AT42" s="464">
        <f t="shared" si="140"/>
        <v>0</v>
      </c>
      <c r="AU42" s="60">
        <f>'CAM Majors'!$A$42</f>
        <v>51070</v>
      </c>
      <c r="AV42" s="2" t="str">
        <f>'CAM Majors'!$B$42</f>
        <v>Roof Repairs</v>
      </c>
      <c r="AW42" s="500">
        <f>'CAM Majors'!$C$42</f>
        <v>0</v>
      </c>
      <c r="AX42" s="461">
        <v>0</v>
      </c>
      <c r="AY42" s="383">
        <f t="shared" ref="AY42:AY48" si="175">AW42+AX42</f>
        <v>0</v>
      </c>
      <c r="AZ42" s="242">
        <f>$AW$8/'CAM Majors'!$D42</f>
        <v>4.5858937906998076E-2</v>
      </c>
      <c r="BA42" s="463">
        <f t="shared" si="141"/>
        <v>0</v>
      </c>
      <c r="BB42" s="463">
        <f t="shared" si="142"/>
        <v>0</v>
      </c>
      <c r="BC42" s="464">
        <f t="shared" si="143"/>
        <v>0</v>
      </c>
      <c r="BD42" s="60">
        <f>'CAM Majors'!$A$42</f>
        <v>51070</v>
      </c>
      <c r="BE42" s="2" t="str">
        <f>'CAM Majors'!$B$42</f>
        <v>Roof Repairs</v>
      </c>
      <c r="BF42" s="500">
        <f>'CAM Majors'!$C$42</f>
        <v>0</v>
      </c>
      <c r="BG42" s="461">
        <v>0</v>
      </c>
      <c r="BH42" s="383">
        <f t="shared" ref="BH42:BH48" si="176">BF42+BG42</f>
        <v>0</v>
      </c>
      <c r="BI42" s="242">
        <f>$BF$8/'CAM Majors'!$D42</f>
        <v>5.3012932220489771E-2</v>
      </c>
      <c r="BJ42" s="463">
        <f t="shared" si="144"/>
        <v>0</v>
      </c>
      <c r="BK42" s="463">
        <f t="shared" si="145"/>
        <v>0</v>
      </c>
      <c r="BL42" s="464">
        <f t="shared" si="146"/>
        <v>0</v>
      </c>
      <c r="BM42" s="60">
        <f>'CAM Majors'!$A$42</f>
        <v>51070</v>
      </c>
      <c r="BN42" s="2" t="str">
        <f>'CAM Majors'!$B$42</f>
        <v>Roof Repairs</v>
      </c>
      <c r="BO42" s="500">
        <f>'CAM Majors'!$C$42</f>
        <v>0</v>
      </c>
      <c r="BP42" s="461">
        <v>0</v>
      </c>
      <c r="BQ42" s="383">
        <f t="shared" ref="BQ42:BQ48" si="177">BO42+BP42</f>
        <v>0</v>
      </c>
      <c r="BR42" s="242">
        <f>$BO$8/'CAM Majors'!$D42</f>
        <v>0.119233238558195</v>
      </c>
      <c r="BS42" s="463">
        <f t="shared" si="147"/>
        <v>0</v>
      </c>
      <c r="BT42" s="463">
        <f t="shared" si="148"/>
        <v>0</v>
      </c>
      <c r="BU42" s="464">
        <f t="shared" si="149"/>
        <v>0</v>
      </c>
      <c r="BV42" s="60">
        <f>'CAM Majors'!$A$42</f>
        <v>51070</v>
      </c>
      <c r="BW42" s="2" t="str">
        <f>'CAM Majors'!$B$42</f>
        <v>Roof Repairs</v>
      </c>
      <c r="BX42" s="500">
        <f>'CAM Majors'!$C$42</f>
        <v>0</v>
      </c>
      <c r="BY42" s="461">
        <v>0</v>
      </c>
      <c r="BZ42" s="383">
        <f t="shared" ref="BZ42:BZ48" si="178">BX42+BY42</f>
        <v>0</v>
      </c>
      <c r="CA42" s="242">
        <f>$BX$8/'CAM Majors'!$D42</f>
        <v>3.9346968724204345E-2</v>
      </c>
      <c r="CB42" s="463">
        <f t="shared" si="150"/>
        <v>0</v>
      </c>
      <c r="CC42" s="463">
        <f t="shared" si="151"/>
        <v>0</v>
      </c>
      <c r="CD42" s="464">
        <f t="shared" si="152"/>
        <v>0</v>
      </c>
      <c r="CE42" s="60">
        <f>'CAM Majors'!$A$42</f>
        <v>51070</v>
      </c>
      <c r="CF42" s="2" t="str">
        <f>'CAM Majors'!$B$42</f>
        <v>Roof Repairs</v>
      </c>
      <c r="CG42" s="500">
        <f>'CAM Majors'!$C$42</f>
        <v>0</v>
      </c>
      <c r="CH42" s="461">
        <v>0</v>
      </c>
      <c r="CI42" s="383">
        <f t="shared" ref="CI42:CI48" si="179">CG42+CH42</f>
        <v>0</v>
      </c>
      <c r="CJ42" s="242">
        <f>$CG$8/'CAM Majors'!$D42</f>
        <v>5.0108532819713232E-2</v>
      </c>
      <c r="CK42" s="463">
        <f t="shared" si="153"/>
        <v>0</v>
      </c>
      <c r="CL42" s="463">
        <f t="shared" si="154"/>
        <v>0</v>
      </c>
      <c r="CM42" s="464">
        <f t="shared" si="155"/>
        <v>0</v>
      </c>
      <c r="CN42" s="60">
        <f>'CAM Majors'!$A$42</f>
        <v>51070</v>
      </c>
      <c r="CO42" s="2" t="str">
        <f>'CAM Majors'!$B$42</f>
        <v>Roof Repairs</v>
      </c>
      <c r="CP42" s="500">
        <f>'CAM Majors'!$C$42</f>
        <v>0</v>
      </c>
      <c r="CQ42" s="461">
        <v>0</v>
      </c>
      <c r="CR42" s="383">
        <f t="shared" ref="CR42:CR48" si="180">CP42+CQ42</f>
        <v>0</v>
      </c>
      <c r="CS42" s="242">
        <f>$CP$8/'CAM Majors'!$D42</f>
        <v>0.11006145097679537</v>
      </c>
      <c r="CT42" s="463">
        <f t="shared" si="156"/>
        <v>0</v>
      </c>
      <c r="CU42" s="463"/>
      <c r="CV42" s="464">
        <f t="shared" si="157"/>
        <v>0</v>
      </c>
      <c r="CW42" s="60">
        <f>'CAM Majors'!$A$42</f>
        <v>51070</v>
      </c>
      <c r="CX42" s="2" t="str">
        <f>'CAM Majors'!$B$42</f>
        <v>Roof Repairs</v>
      </c>
      <c r="CY42" s="500">
        <f>'CAM Majors'!$C$42</f>
        <v>0</v>
      </c>
      <c r="CZ42" s="461">
        <v>0</v>
      </c>
      <c r="DA42" s="383">
        <f t="shared" ref="DA42:DA48" si="181">CY42+CZ42</f>
        <v>0</v>
      </c>
      <c r="DB42" s="242">
        <f>$CY$8/'CAM Majors'!$D42</f>
        <v>4.8518756305603962E-2</v>
      </c>
      <c r="DC42" s="463">
        <f t="shared" si="158"/>
        <v>0</v>
      </c>
      <c r="DD42" s="463">
        <f t="shared" si="159"/>
        <v>0</v>
      </c>
      <c r="DE42" s="464">
        <f t="shared" si="160"/>
        <v>0</v>
      </c>
      <c r="DF42" s="60">
        <f>'CAM Majors'!$A$42</f>
        <v>51070</v>
      </c>
      <c r="DG42" s="2" t="str">
        <f>'CAM Majors'!$B$42</f>
        <v>Roof Repairs</v>
      </c>
      <c r="DH42" s="500">
        <f>'CAM Majors'!$C$42</f>
        <v>0</v>
      </c>
      <c r="DI42" s="461">
        <v>0</v>
      </c>
      <c r="DJ42" s="383">
        <f t="shared" ref="DJ42:DJ48" si="182">DH42+DI42</f>
        <v>0</v>
      </c>
      <c r="DK42" s="242">
        <f>$DH$8/'CAM Majors'!$D42</f>
        <v>3.9744412852731663E-2</v>
      </c>
      <c r="DL42" s="463">
        <f t="shared" si="161"/>
        <v>0</v>
      </c>
      <c r="DM42" s="463">
        <f t="shared" si="162"/>
        <v>0</v>
      </c>
      <c r="DN42" s="464">
        <f t="shared" si="163"/>
        <v>0</v>
      </c>
      <c r="DO42" s="60">
        <f>'CAM Majors'!$A$42</f>
        <v>51070</v>
      </c>
      <c r="DP42" s="2" t="str">
        <f>'CAM Majors'!$B$42</f>
        <v>Roof Repairs</v>
      </c>
      <c r="DQ42" s="500">
        <f>'CAM Majors'!$C$42</f>
        <v>0</v>
      </c>
      <c r="DR42" s="461">
        <v>0</v>
      </c>
      <c r="DS42" s="383">
        <f t="shared" ref="DS42:DS48" si="183">DQ42+DR42</f>
        <v>0</v>
      </c>
      <c r="DT42" s="242">
        <f>$DQ$8/'CAM Majors'!$D42</f>
        <v>0.10773793145617414</v>
      </c>
      <c r="DU42" s="463">
        <f t="shared" si="164"/>
        <v>0</v>
      </c>
      <c r="DV42" s="463">
        <f t="shared" si="165"/>
        <v>0</v>
      </c>
      <c r="DW42" s="464">
        <f t="shared" si="166"/>
        <v>0</v>
      </c>
      <c r="DX42" s="60">
        <f>'CAM Majors'!$A$42</f>
        <v>51070</v>
      </c>
      <c r="DY42" s="2" t="str">
        <f>'CAM Majors'!$B$42</f>
        <v>Roof Repairs</v>
      </c>
      <c r="DZ42" s="500">
        <f>'CAM Majors'!$C$42</f>
        <v>0</v>
      </c>
      <c r="EA42" s="461">
        <v>0</v>
      </c>
      <c r="EB42" s="383">
        <f t="shared" ref="EB42:EB48" si="184">DZ42+EA42</f>
        <v>0</v>
      </c>
      <c r="EC42" s="242">
        <f>$DZ$8/'CAM Majors'!$D42</f>
        <v>9.1931884190895471E-2</v>
      </c>
      <c r="ED42" s="463">
        <f t="shared" si="167"/>
        <v>0</v>
      </c>
      <c r="EE42" s="463">
        <f t="shared" si="168"/>
        <v>0</v>
      </c>
      <c r="EF42" s="464">
        <f t="shared" si="169"/>
        <v>0</v>
      </c>
    </row>
    <row r="43" spans="1:136">
      <c r="A43" s="60">
        <f>'CAM Majors'!$A$43</f>
        <v>51110</v>
      </c>
      <c r="B43" s="2" t="str">
        <f>'CAM Majors'!$B$43</f>
        <v>Monitor Fire Sprinklers</v>
      </c>
      <c r="C43" s="500">
        <f>'CAM Majors'!$C$43</f>
        <v>2148</v>
      </c>
      <c r="D43" s="461">
        <v>0</v>
      </c>
      <c r="E43" s="383">
        <f t="shared" si="170"/>
        <v>2148</v>
      </c>
      <c r="F43" s="242">
        <f>$C$8/'CAM Majors'!D43</f>
        <v>9.1717875813996153E-2</v>
      </c>
      <c r="G43" s="463">
        <f t="shared" si="127"/>
        <v>197.00999724846375</v>
      </c>
      <c r="H43" s="463">
        <f t="shared" si="128"/>
        <v>19.700999724846376</v>
      </c>
      <c r="I43" s="464">
        <f t="shared" si="129"/>
        <v>216.71099697331013</v>
      </c>
      <c r="J43" s="464">
        <f t="shared" ref="J43:J48" si="185">I43/C$8</f>
        <v>7.2236998991103377E-2</v>
      </c>
      <c r="K43" s="60">
        <f>'CAM Majors'!$A$43</f>
        <v>51110</v>
      </c>
      <c r="L43" s="2" t="str">
        <f>'CAM Majors'!$B$43</f>
        <v>Monitor Fire Sprinklers</v>
      </c>
      <c r="M43" s="500">
        <f>'CAM Majors'!$C$43</f>
        <v>2148</v>
      </c>
      <c r="N43" s="461">
        <v>0</v>
      </c>
      <c r="O43" s="383">
        <f t="shared" si="171"/>
        <v>2148</v>
      </c>
      <c r="P43" s="242">
        <f>$M$8/'CAM Majors'!$D$41</f>
        <v>4.968051606591458E-2</v>
      </c>
      <c r="Q43" s="463">
        <f t="shared" si="130"/>
        <v>106.71374850958452</v>
      </c>
      <c r="R43" s="463">
        <f t="shared" si="131"/>
        <v>4.2685499403833811</v>
      </c>
      <c r="S43" s="464">
        <f t="shared" si="132"/>
        <v>110.9822984499679</v>
      </c>
      <c r="T43" s="60">
        <f>'CAM Majors'!$A$43</f>
        <v>51110</v>
      </c>
      <c r="U43" s="2" t="str">
        <f>'CAM Majors'!$B$43</f>
        <v>Monitor Fire Sprinklers</v>
      </c>
      <c r="V43" s="500">
        <f>'CAM Majors'!$C$43</f>
        <v>2148</v>
      </c>
      <c r="W43" s="461">
        <v>0</v>
      </c>
      <c r="X43" s="383">
        <f t="shared" si="172"/>
        <v>2148</v>
      </c>
      <c r="Y43" s="242">
        <f>$V$8/'CAM Majors'!D43</f>
        <v>4.2801675379864866E-2</v>
      </c>
      <c r="Z43" s="463">
        <f t="shared" si="133"/>
        <v>91.937998715949732</v>
      </c>
      <c r="AA43" s="463">
        <f t="shared" si="134"/>
        <v>0</v>
      </c>
      <c r="AB43" s="464">
        <f t="shared" si="135"/>
        <v>91.937998715949732</v>
      </c>
      <c r="AC43" s="60">
        <f>'CAM Majors'!$A$43</f>
        <v>51110</v>
      </c>
      <c r="AD43" s="2" t="str">
        <f>'CAM Majors'!$B$43</f>
        <v>Monitor Fire Sprinklers</v>
      </c>
      <c r="AE43" s="500">
        <f>'CAM Majors'!$C$43</f>
        <v>2148</v>
      </c>
      <c r="AF43" s="461">
        <v>0</v>
      </c>
      <c r="AG43" s="383">
        <f t="shared" si="173"/>
        <v>2148</v>
      </c>
      <c r="AH43" s="242">
        <f>$AE$8/'CAM Majors'!D43</f>
        <v>3.399675930172124E-2</v>
      </c>
      <c r="AI43" s="463">
        <f t="shared" si="136"/>
        <v>73.025038980097221</v>
      </c>
      <c r="AJ43" s="463">
        <f t="shared" si="137"/>
        <v>0</v>
      </c>
      <c r="AK43" s="464">
        <f t="shared" si="138"/>
        <v>73.025038980097221</v>
      </c>
      <c r="AL43" s="60">
        <f>'CAM Majors'!$A$43</f>
        <v>51110</v>
      </c>
      <c r="AM43" s="2" t="str">
        <f>'CAM Majors'!$B$43</f>
        <v>Monitor Fire Sprinklers</v>
      </c>
      <c r="AN43" s="500">
        <f>'CAM Majors'!$C$43</f>
        <v>2148</v>
      </c>
      <c r="AO43" s="461">
        <v>0</v>
      </c>
      <c r="AP43" s="383">
        <f t="shared" si="174"/>
        <v>2148</v>
      </c>
      <c r="AQ43" s="242">
        <f>$AN$8/'CAM Majors'!D43</f>
        <v>7.6248127426702131E-2</v>
      </c>
      <c r="AR43" s="463">
        <f t="shared" si="139"/>
        <v>163.78097771255617</v>
      </c>
      <c r="AS43" s="463"/>
      <c r="AT43" s="464">
        <f t="shared" si="140"/>
        <v>163.78097771255617</v>
      </c>
      <c r="AU43" s="60">
        <f>'CAM Majors'!$A$43</f>
        <v>51110</v>
      </c>
      <c r="AV43" s="2" t="str">
        <f>'CAM Majors'!$B$43</f>
        <v>Monitor Fire Sprinklers</v>
      </c>
      <c r="AW43" s="500">
        <f>'CAM Majors'!$C$43</f>
        <v>2148</v>
      </c>
      <c r="AX43" s="461">
        <v>0</v>
      </c>
      <c r="AY43" s="383">
        <f t="shared" si="175"/>
        <v>2148</v>
      </c>
      <c r="AZ43" s="242">
        <f>$AW$8/'CAM Majors'!$D43</f>
        <v>4.5858937906998076E-2</v>
      </c>
      <c r="BA43" s="463">
        <f t="shared" si="141"/>
        <v>98.504998624231874</v>
      </c>
      <c r="BB43" s="463">
        <f t="shared" si="142"/>
        <v>0</v>
      </c>
      <c r="BC43" s="464">
        <f t="shared" si="143"/>
        <v>98.504998624231874</v>
      </c>
      <c r="BD43" s="60">
        <f>'CAM Majors'!$A$43</f>
        <v>51110</v>
      </c>
      <c r="BE43" s="2" t="str">
        <f>'CAM Majors'!$B$43</f>
        <v>Monitor Fire Sprinklers</v>
      </c>
      <c r="BF43" s="500">
        <f>'CAM Majors'!$C$43</f>
        <v>2148</v>
      </c>
      <c r="BG43" s="461">
        <v>0</v>
      </c>
      <c r="BH43" s="383">
        <f t="shared" si="176"/>
        <v>2148</v>
      </c>
      <c r="BI43" s="242">
        <f>$BF$8/'CAM Majors'!$D43</f>
        <v>5.3012932220489771E-2</v>
      </c>
      <c r="BJ43" s="463">
        <f t="shared" si="144"/>
        <v>113.87177840961203</v>
      </c>
      <c r="BK43" s="463">
        <f t="shared" si="145"/>
        <v>5.6935889204806021</v>
      </c>
      <c r="BL43" s="464">
        <f t="shared" si="146"/>
        <v>119.56536733009264</v>
      </c>
      <c r="BM43" s="60">
        <f>'CAM Majors'!$A$43</f>
        <v>51110</v>
      </c>
      <c r="BN43" s="2" t="str">
        <f>'CAM Majors'!$B$43</f>
        <v>Monitor Fire Sprinklers</v>
      </c>
      <c r="BO43" s="500">
        <f>'CAM Majors'!$C$43</f>
        <v>2148</v>
      </c>
      <c r="BP43" s="461">
        <v>0</v>
      </c>
      <c r="BQ43" s="383">
        <f t="shared" si="177"/>
        <v>2148</v>
      </c>
      <c r="BR43" s="242">
        <f>$BO$8/'CAM Majors'!$D43</f>
        <v>0.119233238558195</v>
      </c>
      <c r="BS43" s="463">
        <f t="shared" si="147"/>
        <v>256.11299642300287</v>
      </c>
      <c r="BT43" s="463">
        <f t="shared" si="148"/>
        <v>0</v>
      </c>
      <c r="BU43" s="464">
        <f t="shared" si="149"/>
        <v>256.11299642300287</v>
      </c>
      <c r="BV43" s="60">
        <f>'CAM Majors'!$A$43</f>
        <v>51110</v>
      </c>
      <c r="BW43" s="2" t="str">
        <f>'CAM Majors'!$B$43</f>
        <v>Monitor Fire Sprinklers</v>
      </c>
      <c r="BX43" s="500">
        <f>'CAM Majors'!$C$43</f>
        <v>2148</v>
      </c>
      <c r="BY43" s="461">
        <v>0</v>
      </c>
      <c r="BZ43" s="383">
        <f t="shared" si="178"/>
        <v>2148</v>
      </c>
      <c r="CA43" s="242">
        <f>$BX$8/'CAM Majors'!$D43</f>
        <v>3.9346968724204345E-2</v>
      </c>
      <c r="CB43" s="463">
        <f t="shared" si="150"/>
        <v>84.517288819590931</v>
      </c>
      <c r="CC43" s="463">
        <f t="shared" si="151"/>
        <v>0</v>
      </c>
      <c r="CD43" s="464">
        <f t="shared" si="152"/>
        <v>84.517288819590931</v>
      </c>
      <c r="CE43" s="60">
        <f>'CAM Majors'!$A$43</f>
        <v>51110</v>
      </c>
      <c r="CF43" s="2" t="str">
        <f>'CAM Majors'!$B$43</f>
        <v>Monitor Fire Sprinklers</v>
      </c>
      <c r="CG43" s="500">
        <f>'CAM Majors'!$C$43</f>
        <v>2148</v>
      </c>
      <c r="CH43" s="461">
        <v>0</v>
      </c>
      <c r="CI43" s="383">
        <f t="shared" si="179"/>
        <v>2148</v>
      </c>
      <c r="CJ43" s="242">
        <f>$CG$8/'CAM Majors'!$D43</f>
        <v>5.0108532819713232E-2</v>
      </c>
      <c r="CK43" s="463">
        <f t="shared" si="153"/>
        <v>107.63312849674402</v>
      </c>
      <c r="CL43" s="463">
        <f t="shared" si="154"/>
        <v>0</v>
      </c>
      <c r="CM43" s="464">
        <f t="shared" si="155"/>
        <v>107.63312849674402</v>
      </c>
      <c r="CN43" s="60">
        <f>'CAM Majors'!$A$43</f>
        <v>51110</v>
      </c>
      <c r="CO43" s="2" t="str">
        <f>'CAM Majors'!$B$43</f>
        <v>Monitor Fire Sprinklers</v>
      </c>
      <c r="CP43" s="500">
        <f>'CAM Majors'!$C$43</f>
        <v>2148</v>
      </c>
      <c r="CQ43" s="461">
        <v>0</v>
      </c>
      <c r="CR43" s="383">
        <f t="shared" si="180"/>
        <v>2148</v>
      </c>
      <c r="CS43" s="242">
        <f>$CP$8/'CAM Majors'!$D43</f>
        <v>0.11006145097679537</v>
      </c>
      <c r="CT43" s="463">
        <f t="shared" si="156"/>
        <v>236.41199669815646</v>
      </c>
      <c r="CU43" s="463"/>
      <c r="CV43" s="464">
        <f t="shared" si="157"/>
        <v>236.41199669815646</v>
      </c>
      <c r="CW43" s="60">
        <f>'CAM Majors'!$A$43</f>
        <v>51110</v>
      </c>
      <c r="CX43" s="2" t="str">
        <f>'CAM Majors'!$B$43</f>
        <v>Monitor Fire Sprinklers</v>
      </c>
      <c r="CY43" s="500">
        <f>'CAM Majors'!$C$43</f>
        <v>2148</v>
      </c>
      <c r="CZ43" s="461">
        <v>0</v>
      </c>
      <c r="DA43" s="383">
        <f t="shared" si="181"/>
        <v>2148</v>
      </c>
      <c r="DB43" s="242">
        <f>$CY$8/'CAM Majors'!$D43</f>
        <v>4.8518756305603962E-2</v>
      </c>
      <c r="DC43" s="463">
        <f t="shared" si="158"/>
        <v>104.21828854443731</v>
      </c>
      <c r="DD43" s="463">
        <f t="shared" si="159"/>
        <v>10.421828854443731</v>
      </c>
      <c r="DE43" s="464">
        <f t="shared" si="160"/>
        <v>114.64011739888105</v>
      </c>
      <c r="DF43" s="60">
        <f>'CAM Majors'!$A$43</f>
        <v>51110</v>
      </c>
      <c r="DG43" s="2" t="str">
        <f>'CAM Majors'!$B$43</f>
        <v>Monitor Fire Sprinklers</v>
      </c>
      <c r="DH43" s="500">
        <f>'CAM Majors'!$C$43</f>
        <v>2148</v>
      </c>
      <c r="DI43" s="461">
        <v>0</v>
      </c>
      <c r="DJ43" s="383">
        <f t="shared" si="182"/>
        <v>2148</v>
      </c>
      <c r="DK43" s="242">
        <f>$DH$8/'CAM Majors'!$D43</f>
        <v>3.9744412852731663E-2</v>
      </c>
      <c r="DL43" s="463">
        <f t="shared" si="161"/>
        <v>85.370998807667618</v>
      </c>
      <c r="DM43" s="463">
        <f t="shared" si="162"/>
        <v>12.805649821150142</v>
      </c>
      <c r="DN43" s="464">
        <f t="shared" si="163"/>
        <v>98.176648628817759</v>
      </c>
      <c r="DO43" s="60">
        <f>'CAM Majors'!$A$43</f>
        <v>51110</v>
      </c>
      <c r="DP43" s="2" t="str">
        <f>'CAM Majors'!$B$43</f>
        <v>Monitor Fire Sprinklers</v>
      </c>
      <c r="DQ43" s="500">
        <f>'CAM Majors'!$C$43</f>
        <v>2148</v>
      </c>
      <c r="DR43" s="461">
        <v>0</v>
      </c>
      <c r="DS43" s="383">
        <f t="shared" si="183"/>
        <v>2148</v>
      </c>
      <c r="DT43" s="242">
        <f>$DQ$8/'CAM Majors'!$D43</f>
        <v>0.10773793145617414</v>
      </c>
      <c r="DU43" s="463">
        <f t="shared" si="164"/>
        <v>231.42107676786205</v>
      </c>
      <c r="DV43" s="463">
        <f t="shared" si="165"/>
        <v>11.571053838393103</v>
      </c>
      <c r="DW43" s="464">
        <f t="shared" si="166"/>
        <v>242.99213060625516</v>
      </c>
      <c r="DX43" s="60">
        <f>'CAM Majors'!$A$43</f>
        <v>51110</v>
      </c>
      <c r="DY43" s="2" t="str">
        <f>'CAM Majors'!$B$43</f>
        <v>Monitor Fire Sprinklers</v>
      </c>
      <c r="DZ43" s="500">
        <f>'CAM Majors'!$C$43</f>
        <v>2148</v>
      </c>
      <c r="EA43" s="461">
        <v>0</v>
      </c>
      <c r="EB43" s="383">
        <f t="shared" si="184"/>
        <v>2148</v>
      </c>
      <c r="EC43" s="242">
        <f>$DZ$8/'CAM Majors'!$D43</f>
        <v>9.1931884190895471E-2</v>
      </c>
      <c r="ED43" s="463">
        <f t="shared" si="167"/>
        <v>197.46968724204348</v>
      </c>
      <c r="EE43" s="463">
        <f t="shared" si="168"/>
        <v>9.8734843621021753</v>
      </c>
      <c r="EF43" s="464">
        <f t="shared" si="169"/>
        <v>207.34317160414565</v>
      </c>
    </row>
    <row r="44" spans="1:136">
      <c r="A44" s="60">
        <f>'CAM Majors'!$A$44</f>
        <v>51120</v>
      </c>
      <c r="B44" s="2" t="str">
        <f>'CAM Majors'!$B$44</f>
        <v>Fire Protection Repairs</v>
      </c>
      <c r="C44" s="500">
        <f>'CAM Majors'!$C$44</f>
        <v>3400</v>
      </c>
      <c r="D44" s="461">
        <v>0</v>
      </c>
      <c r="E44" s="383">
        <f t="shared" si="170"/>
        <v>3400</v>
      </c>
      <c r="F44" s="242">
        <f>$C$8/'CAM Majors'!D44</f>
        <v>9.1717875813996153E-2</v>
      </c>
      <c r="G44" s="463">
        <f t="shared" si="127"/>
        <v>311.84077776758693</v>
      </c>
      <c r="H44" s="463">
        <f t="shared" si="128"/>
        <v>31.184077776758695</v>
      </c>
      <c r="I44" s="464">
        <f t="shared" si="129"/>
        <v>343.0248555443456</v>
      </c>
      <c r="J44" s="464">
        <f t="shared" si="185"/>
        <v>0.11434161851478186</v>
      </c>
      <c r="K44" s="60">
        <f>'CAM Majors'!$A$44</f>
        <v>51120</v>
      </c>
      <c r="L44" s="2" t="str">
        <f>'CAM Majors'!$B$44</f>
        <v>Fire Protection Repairs</v>
      </c>
      <c r="M44" s="500">
        <f>'CAM Majors'!$C$44</f>
        <v>3400</v>
      </c>
      <c r="N44" s="461">
        <v>0</v>
      </c>
      <c r="O44" s="383">
        <f t="shared" si="171"/>
        <v>3400</v>
      </c>
      <c r="P44" s="242">
        <f>$M$8/'CAM Majors'!$D$41</f>
        <v>4.968051606591458E-2</v>
      </c>
      <c r="Q44" s="463">
        <f t="shared" si="130"/>
        <v>168.91375462410957</v>
      </c>
      <c r="R44" s="463">
        <f t="shared" si="131"/>
        <v>6.7565501849643832</v>
      </c>
      <c r="S44" s="464">
        <f t="shared" si="132"/>
        <v>175.67030480907397</v>
      </c>
      <c r="T44" s="60">
        <f>'CAM Majors'!$A$44</f>
        <v>51120</v>
      </c>
      <c r="U44" s="2" t="str">
        <f>'CAM Majors'!$B$44</f>
        <v>Fire Protection Repairs</v>
      </c>
      <c r="V44" s="500">
        <f>'CAM Majors'!$C$44</f>
        <v>3400</v>
      </c>
      <c r="W44" s="461">
        <v>0</v>
      </c>
      <c r="X44" s="383">
        <f t="shared" si="172"/>
        <v>3400</v>
      </c>
      <c r="Y44" s="242">
        <f>$V$8/'CAM Majors'!D44</f>
        <v>4.2801675379864866E-2</v>
      </c>
      <c r="Z44" s="463">
        <f t="shared" si="133"/>
        <v>145.52569629154056</v>
      </c>
      <c r="AA44" s="463">
        <f t="shared" si="134"/>
        <v>0</v>
      </c>
      <c r="AB44" s="464">
        <f t="shared" si="135"/>
        <v>145.52569629154056</v>
      </c>
      <c r="AC44" s="60">
        <f>'CAM Majors'!$A$44</f>
        <v>51120</v>
      </c>
      <c r="AD44" s="2" t="str">
        <f>'CAM Majors'!$B$44</f>
        <v>Fire Protection Repairs</v>
      </c>
      <c r="AE44" s="500">
        <f>'CAM Majors'!$C$44</f>
        <v>3400</v>
      </c>
      <c r="AF44" s="461">
        <v>0</v>
      </c>
      <c r="AG44" s="383">
        <f t="shared" si="173"/>
        <v>3400</v>
      </c>
      <c r="AH44" s="242">
        <f>$AE$8/'CAM Majors'!D44</f>
        <v>3.399675930172124E-2</v>
      </c>
      <c r="AI44" s="463">
        <f t="shared" si="136"/>
        <v>115.58898162585221</v>
      </c>
      <c r="AJ44" s="463">
        <f t="shared" si="137"/>
        <v>0</v>
      </c>
      <c r="AK44" s="464">
        <f t="shared" si="138"/>
        <v>115.58898162585221</v>
      </c>
      <c r="AL44" s="60">
        <f>'CAM Majors'!$A$44</f>
        <v>51120</v>
      </c>
      <c r="AM44" s="2" t="str">
        <f>'CAM Majors'!$B$44</f>
        <v>Fire Protection Repairs</v>
      </c>
      <c r="AN44" s="500">
        <f>'CAM Majors'!$C$44</f>
        <v>3400</v>
      </c>
      <c r="AO44" s="461">
        <v>0</v>
      </c>
      <c r="AP44" s="383">
        <f t="shared" si="174"/>
        <v>3400</v>
      </c>
      <c r="AQ44" s="242">
        <f>$AN$8/'CAM Majors'!D44</f>
        <v>7.6248127426702131E-2</v>
      </c>
      <c r="AR44" s="463">
        <f t="shared" si="139"/>
        <v>259.24363325078724</v>
      </c>
      <c r="AS44" s="463"/>
      <c r="AT44" s="464">
        <f t="shared" si="140"/>
        <v>259.24363325078724</v>
      </c>
      <c r="AU44" s="60">
        <f>'CAM Majors'!$A$44</f>
        <v>51120</v>
      </c>
      <c r="AV44" s="2" t="str">
        <f>'CAM Majors'!$B$44</f>
        <v>Fire Protection Repairs</v>
      </c>
      <c r="AW44" s="500">
        <f>'CAM Majors'!$C$44</f>
        <v>3400</v>
      </c>
      <c r="AX44" s="461">
        <v>0</v>
      </c>
      <c r="AY44" s="383">
        <f t="shared" si="175"/>
        <v>3400</v>
      </c>
      <c r="AZ44" s="242">
        <f>$AW$8/'CAM Majors'!$D44</f>
        <v>4.5858937906998076E-2</v>
      </c>
      <c r="BA44" s="463">
        <f t="shared" si="141"/>
        <v>155.92038888379346</v>
      </c>
      <c r="BB44" s="463">
        <f t="shared" si="142"/>
        <v>0</v>
      </c>
      <c r="BC44" s="464">
        <f t="shared" si="143"/>
        <v>155.92038888379346</v>
      </c>
      <c r="BD44" s="60">
        <f>'CAM Majors'!$A$44</f>
        <v>51120</v>
      </c>
      <c r="BE44" s="2" t="str">
        <f>'CAM Majors'!$B$44</f>
        <v>Fire Protection Repairs</v>
      </c>
      <c r="BF44" s="500">
        <f>'CAM Majors'!$C$44</f>
        <v>3400</v>
      </c>
      <c r="BG44" s="461">
        <v>0</v>
      </c>
      <c r="BH44" s="383">
        <f t="shared" si="176"/>
        <v>3400</v>
      </c>
      <c r="BI44" s="242">
        <f>$BF$8/'CAM Majors'!$D44</f>
        <v>5.3012932220489771E-2</v>
      </c>
      <c r="BJ44" s="463">
        <f t="shared" si="144"/>
        <v>180.24396954966522</v>
      </c>
      <c r="BK44" s="463">
        <f t="shared" si="145"/>
        <v>9.0121984774832615</v>
      </c>
      <c r="BL44" s="464">
        <f t="shared" si="146"/>
        <v>189.25616802714848</v>
      </c>
      <c r="BM44" s="60">
        <f>'CAM Majors'!$A$44</f>
        <v>51120</v>
      </c>
      <c r="BN44" s="2" t="str">
        <f>'CAM Majors'!$B$44</f>
        <v>Fire Protection Repairs</v>
      </c>
      <c r="BO44" s="500">
        <f>'CAM Majors'!$C$44</f>
        <v>3400</v>
      </c>
      <c r="BP44" s="461">
        <v>0</v>
      </c>
      <c r="BQ44" s="383">
        <f t="shared" si="177"/>
        <v>3400</v>
      </c>
      <c r="BR44" s="242">
        <f>$BO$8/'CAM Majors'!$D44</f>
        <v>0.119233238558195</v>
      </c>
      <c r="BS44" s="463">
        <f t="shared" si="147"/>
        <v>405.393011097863</v>
      </c>
      <c r="BT44" s="463">
        <f t="shared" si="148"/>
        <v>0</v>
      </c>
      <c r="BU44" s="464">
        <f t="shared" si="149"/>
        <v>405.393011097863</v>
      </c>
      <c r="BV44" s="60">
        <f>'CAM Majors'!$A$44</f>
        <v>51120</v>
      </c>
      <c r="BW44" s="2" t="str">
        <f>'CAM Majors'!$B$44</f>
        <v>Fire Protection Repairs</v>
      </c>
      <c r="BX44" s="500">
        <f>'CAM Majors'!$C$44</f>
        <v>3400</v>
      </c>
      <c r="BY44" s="461">
        <v>0</v>
      </c>
      <c r="BZ44" s="383">
        <f t="shared" si="178"/>
        <v>3400</v>
      </c>
      <c r="CA44" s="242">
        <f>$BX$8/'CAM Majors'!$D44</f>
        <v>3.9346968724204345E-2</v>
      </c>
      <c r="CB44" s="463">
        <f t="shared" si="150"/>
        <v>133.77969366229476</v>
      </c>
      <c r="CC44" s="463">
        <f t="shared" si="151"/>
        <v>0</v>
      </c>
      <c r="CD44" s="464">
        <f t="shared" si="152"/>
        <v>133.77969366229476</v>
      </c>
      <c r="CE44" s="60">
        <f>'CAM Majors'!$A$44</f>
        <v>51120</v>
      </c>
      <c r="CF44" s="2" t="str">
        <f>'CAM Majors'!$B$44</f>
        <v>Fire Protection Repairs</v>
      </c>
      <c r="CG44" s="500">
        <f>'CAM Majors'!$C$44</f>
        <v>3400</v>
      </c>
      <c r="CH44" s="461">
        <v>0</v>
      </c>
      <c r="CI44" s="383">
        <f t="shared" si="179"/>
        <v>3400</v>
      </c>
      <c r="CJ44" s="242">
        <f>$CG$8/'CAM Majors'!$D44</f>
        <v>5.0108532819713232E-2</v>
      </c>
      <c r="CK44" s="463">
        <f t="shared" si="153"/>
        <v>170.369011587025</v>
      </c>
      <c r="CL44" s="463">
        <f t="shared" si="154"/>
        <v>0</v>
      </c>
      <c r="CM44" s="464">
        <f t="shared" si="155"/>
        <v>170.369011587025</v>
      </c>
      <c r="CN44" s="60">
        <f>'CAM Majors'!$A$44</f>
        <v>51120</v>
      </c>
      <c r="CO44" s="2" t="str">
        <f>'CAM Majors'!$B$44</f>
        <v>Fire Protection Repairs</v>
      </c>
      <c r="CP44" s="500">
        <f>'CAM Majors'!$C$44</f>
        <v>3400</v>
      </c>
      <c r="CQ44" s="461">
        <v>0</v>
      </c>
      <c r="CR44" s="383">
        <f t="shared" si="180"/>
        <v>3400</v>
      </c>
      <c r="CS44" s="242">
        <f>$CP$8/'CAM Majors'!$D44</f>
        <v>0.11006145097679537</v>
      </c>
      <c r="CT44" s="463">
        <f t="shared" si="156"/>
        <v>374.20893332110427</v>
      </c>
      <c r="CU44" s="463"/>
      <c r="CV44" s="464">
        <f t="shared" si="157"/>
        <v>374.20893332110427</v>
      </c>
      <c r="CW44" s="60">
        <f>'CAM Majors'!$A$44</f>
        <v>51120</v>
      </c>
      <c r="CX44" s="2" t="str">
        <f>'CAM Majors'!$B$44</f>
        <v>Fire Protection Repairs</v>
      </c>
      <c r="CY44" s="500">
        <f>'CAM Majors'!$C$44</f>
        <v>3400</v>
      </c>
      <c r="CZ44" s="461">
        <v>0</v>
      </c>
      <c r="DA44" s="383">
        <f t="shared" si="181"/>
        <v>3400</v>
      </c>
      <c r="DB44" s="242">
        <f>$CY$8/'CAM Majors'!$D44</f>
        <v>4.8518756305603962E-2</v>
      </c>
      <c r="DC44" s="463">
        <f t="shared" si="158"/>
        <v>164.96377143905346</v>
      </c>
      <c r="DD44" s="463">
        <f t="shared" si="159"/>
        <v>16.496377143905345</v>
      </c>
      <c r="DE44" s="464">
        <f t="shared" si="160"/>
        <v>181.46014858295879</v>
      </c>
      <c r="DF44" s="60">
        <f>'CAM Majors'!$A$44</f>
        <v>51120</v>
      </c>
      <c r="DG44" s="2" t="str">
        <f>'CAM Majors'!$B$44</f>
        <v>Fire Protection Repairs</v>
      </c>
      <c r="DH44" s="500">
        <f>'CAM Majors'!$C$44</f>
        <v>3400</v>
      </c>
      <c r="DI44" s="461">
        <v>0</v>
      </c>
      <c r="DJ44" s="383">
        <f t="shared" si="182"/>
        <v>3400</v>
      </c>
      <c r="DK44" s="242">
        <f>$DH$8/'CAM Majors'!$D44</f>
        <v>3.9744412852731663E-2</v>
      </c>
      <c r="DL44" s="463">
        <f t="shared" si="161"/>
        <v>135.13100369928765</v>
      </c>
      <c r="DM44" s="463">
        <f t="shared" si="162"/>
        <v>20.269650554893147</v>
      </c>
      <c r="DN44" s="464">
        <f t="shared" si="163"/>
        <v>155.40065425418078</v>
      </c>
      <c r="DO44" s="60">
        <f>'CAM Majors'!$A$44</f>
        <v>51120</v>
      </c>
      <c r="DP44" s="2" t="str">
        <f>'CAM Majors'!$B$44</f>
        <v>Fire Protection Repairs</v>
      </c>
      <c r="DQ44" s="500">
        <f>'CAM Majors'!$C$44</f>
        <v>3400</v>
      </c>
      <c r="DR44" s="461">
        <v>0</v>
      </c>
      <c r="DS44" s="383">
        <f t="shared" si="183"/>
        <v>3400</v>
      </c>
      <c r="DT44" s="242">
        <f>$DQ$8/'CAM Majors'!$D44</f>
        <v>0.10773793145617414</v>
      </c>
      <c r="DU44" s="463">
        <f t="shared" si="164"/>
        <v>366.30896695099204</v>
      </c>
      <c r="DV44" s="463">
        <f t="shared" si="165"/>
        <v>18.315448347549601</v>
      </c>
      <c r="DW44" s="464">
        <f t="shared" si="166"/>
        <v>384.62441529854163</v>
      </c>
      <c r="DX44" s="60">
        <f>'CAM Majors'!$A$44</f>
        <v>51120</v>
      </c>
      <c r="DY44" s="2" t="str">
        <f>'CAM Majors'!$B$44</f>
        <v>Fire Protection Repairs</v>
      </c>
      <c r="DZ44" s="500">
        <f>'CAM Majors'!$C$44</f>
        <v>3400</v>
      </c>
      <c r="EA44" s="461">
        <v>0</v>
      </c>
      <c r="EB44" s="383">
        <f t="shared" si="184"/>
        <v>3400</v>
      </c>
      <c r="EC44" s="242">
        <f>$DZ$8/'CAM Majors'!$D44</f>
        <v>9.1931884190895471E-2</v>
      </c>
      <c r="ED44" s="463">
        <f t="shared" si="167"/>
        <v>312.56840624904459</v>
      </c>
      <c r="EE44" s="463">
        <f t="shared" si="168"/>
        <v>15.62842031245223</v>
      </c>
      <c r="EF44" s="464">
        <f t="shared" si="169"/>
        <v>328.19682656149683</v>
      </c>
    </row>
    <row r="45" spans="1:136">
      <c r="A45" s="60">
        <f>'CAM Majors'!$A$45</f>
        <v>52020</v>
      </c>
      <c r="B45" s="2" t="str">
        <f>'CAM Majors'!$B$45</f>
        <v>Backflow Maintenance</v>
      </c>
      <c r="C45" s="500">
        <f>'CAM Majors'!$C$45</f>
        <v>1000</v>
      </c>
      <c r="D45" s="461">
        <v>0</v>
      </c>
      <c r="E45" s="383">
        <f t="shared" si="170"/>
        <v>1000</v>
      </c>
      <c r="F45" s="242">
        <f>$C$8/'CAM Majors'!D45</f>
        <v>9.1717875813996153E-2</v>
      </c>
      <c r="G45" s="463">
        <f t="shared" si="127"/>
        <v>91.717875813996159</v>
      </c>
      <c r="H45" s="463">
        <f t="shared" si="128"/>
        <v>9.1717875813996166</v>
      </c>
      <c r="I45" s="464">
        <f t="shared" si="129"/>
        <v>100.88966339539577</v>
      </c>
      <c r="J45" s="464">
        <f t="shared" si="185"/>
        <v>3.3629887798465256E-2</v>
      </c>
      <c r="K45" s="60">
        <f>'CAM Majors'!$A$45</f>
        <v>52020</v>
      </c>
      <c r="L45" s="2" t="str">
        <f>'CAM Majors'!$B$45</f>
        <v>Backflow Maintenance</v>
      </c>
      <c r="M45" s="500">
        <f>'CAM Majors'!$C$45</f>
        <v>1000</v>
      </c>
      <c r="N45" s="461">
        <v>0</v>
      </c>
      <c r="O45" s="383">
        <f t="shared" si="171"/>
        <v>1000</v>
      </c>
      <c r="P45" s="242">
        <f>$M$8/'CAM Majors'!$D$41</f>
        <v>4.968051606591458E-2</v>
      </c>
      <c r="Q45" s="463">
        <f t="shared" si="130"/>
        <v>49.680516065914581</v>
      </c>
      <c r="R45" s="463">
        <f t="shared" si="131"/>
        <v>1.9872206426365833</v>
      </c>
      <c r="S45" s="464">
        <f t="shared" si="132"/>
        <v>51.667736708551168</v>
      </c>
      <c r="T45" s="60">
        <f>'CAM Majors'!$A$45</f>
        <v>52020</v>
      </c>
      <c r="U45" s="2" t="str">
        <f>'CAM Majors'!$B$45</f>
        <v>Backflow Maintenance</v>
      </c>
      <c r="V45" s="500">
        <f>'CAM Majors'!$C$45</f>
        <v>1000</v>
      </c>
      <c r="W45" s="461">
        <v>0</v>
      </c>
      <c r="X45" s="383">
        <f t="shared" si="172"/>
        <v>1000</v>
      </c>
      <c r="Y45" s="242">
        <f>$V$8/'CAM Majors'!D45</f>
        <v>4.2801675379864866E-2</v>
      </c>
      <c r="Z45" s="463">
        <f t="shared" si="133"/>
        <v>42.801675379864868</v>
      </c>
      <c r="AA45" s="463">
        <f t="shared" si="134"/>
        <v>0</v>
      </c>
      <c r="AB45" s="464">
        <f t="shared" si="135"/>
        <v>42.801675379864868</v>
      </c>
      <c r="AC45" s="60">
        <f>'CAM Majors'!$A$45</f>
        <v>52020</v>
      </c>
      <c r="AD45" s="2" t="str">
        <f>'CAM Majors'!$B$45</f>
        <v>Backflow Maintenance</v>
      </c>
      <c r="AE45" s="500">
        <f>'CAM Majors'!$C$45</f>
        <v>1000</v>
      </c>
      <c r="AF45" s="461">
        <v>0</v>
      </c>
      <c r="AG45" s="383">
        <f t="shared" si="173"/>
        <v>1000</v>
      </c>
      <c r="AH45" s="242">
        <f>$AE$8/'CAM Majors'!D45</f>
        <v>3.399675930172124E-2</v>
      </c>
      <c r="AI45" s="463">
        <f t="shared" si="136"/>
        <v>33.996759301721241</v>
      </c>
      <c r="AJ45" s="463">
        <f t="shared" si="137"/>
        <v>0</v>
      </c>
      <c r="AK45" s="464">
        <f t="shared" si="138"/>
        <v>33.996759301721241</v>
      </c>
      <c r="AL45" s="60">
        <f>'CAM Majors'!$A$45</f>
        <v>52020</v>
      </c>
      <c r="AM45" s="2" t="str">
        <f>'CAM Majors'!$B$45</f>
        <v>Backflow Maintenance</v>
      </c>
      <c r="AN45" s="500">
        <f>'CAM Majors'!$C$45</f>
        <v>1000</v>
      </c>
      <c r="AO45" s="461">
        <v>0</v>
      </c>
      <c r="AP45" s="383">
        <f t="shared" si="174"/>
        <v>1000</v>
      </c>
      <c r="AQ45" s="242">
        <f>$AN$8/'CAM Majors'!D45</f>
        <v>7.6248127426702131E-2</v>
      </c>
      <c r="AR45" s="463">
        <f t="shared" si="139"/>
        <v>76.248127426702126</v>
      </c>
      <c r="AS45" s="463"/>
      <c r="AT45" s="464">
        <f t="shared" si="140"/>
        <v>76.248127426702126</v>
      </c>
      <c r="AU45" s="60">
        <f>'CAM Majors'!$A$45</f>
        <v>52020</v>
      </c>
      <c r="AV45" s="2" t="str">
        <f>'CAM Majors'!$B$45</f>
        <v>Backflow Maintenance</v>
      </c>
      <c r="AW45" s="500">
        <f>'CAM Majors'!$C$45</f>
        <v>1000</v>
      </c>
      <c r="AX45" s="461">
        <v>0</v>
      </c>
      <c r="AY45" s="383">
        <f t="shared" si="175"/>
        <v>1000</v>
      </c>
      <c r="AZ45" s="242">
        <f>$AW$8/'CAM Majors'!$D45</f>
        <v>4.5858937906998076E-2</v>
      </c>
      <c r="BA45" s="463">
        <f t="shared" si="141"/>
        <v>45.858937906998079</v>
      </c>
      <c r="BB45" s="463">
        <f t="shared" si="142"/>
        <v>0</v>
      </c>
      <c r="BC45" s="464">
        <f t="shared" si="143"/>
        <v>45.858937906998079</v>
      </c>
      <c r="BD45" s="60">
        <f>'CAM Majors'!$A$45</f>
        <v>52020</v>
      </c>
      <c r="BE45" s="2" t="str">
        <f>'CAM Majors'!$B$45</f>
        <v>Backflow Maintenance</v>
      </c>
      <c r="BF45" s="500">
        <f>'CAM Majors'!$C$45</f>
        <v>1000</v>
      </c>
      <c r="BG45" s="461">
        <v>0</v>
      </c>
      <c r="BH45" s="383">
        <f t="shared" si="176"/>
        <v>1000</v>
      </c>
      <c r="BI45" s="242">
        <f>$BF$8/'CAM Majors'!$D45</f>
        <v>5.3012932220489771E-2</v>
      </c>
      <c r="BJ45" s="463">
        <f t="shared" si="144"/>
        <v>53.012932220489773</v>
      </c>
      <c r="BK45" s="463">
        <f t="shared" si="145"/>
        <v>2.6506466110244888</v>
      </c>
      <c r="BL45" s="464">
        <f t="shared" si="146"/>
        <v>55.663578831514265</v>
      </c>
      <c r="BM45" s="60">
        <f>'CAM Majors'!$A$45</f>
        <v>52020</v>
      </c>
      <c r="BN45" s="2" t="str">
        <f>'CAM Majors'!$B$45</f>
        <v>Backflow Maintenance</v>
      </c>
      <c r="BO45" s="500">
        <f>'CAM Majors'!$C$45</f>
        <v>1000</v>
      </c>
      <c r="BP45" s="461">
        <v>0</v>
      </c>
      <c r="BQ45" s="383">
        <f t="shared" si="177"/>
        <v>1000</v>
      </c>
      <c r="BR45" s="242">
        <f>$BO$8/'CAM Majors'!$D45</f>
        <v>0.119233238558195</v>
      </c>
      <c r="BS45" s="463">
        <f t="shared" si="147"/>
        <v>119.233238558195</v>
      </c>
      <c r="BT45" s="463">
        <f t="shared" si="148"/>
        <v>0</v>
      </c>
      <c r="BU45" s="464">
        <f t="shared" si="149"/>
        <v>119.233238558195</v>
      </c>
      <c r="BV45" s="60">
        <f>'CAM Majors'!$A$45</f>
        <v>52020</v>
      </c>
      <c r="BW45" s="2" t="str">
        <f>'CAM Majors'!$B$45</f>
        <v>Backflow Maintenance</v>
      </c>
      <c r="BX45" s="500">
        <f>'CAM Majors'!$C$45</f>
        <v>1000</v>
      </c>
      <c r="BY45" s="461">
        <v>0</v>
      </c>
      <c r="BZ45" s="383">
        <f t="shared" si="178"/>
        <v>1000</v>
      </c>
      <c r="CA45" s="242">
        <f>$BX$8/'CAM Majors'!$D45</f>
        <v>3.9346968724204345E-2</v>
      </c>
      <c r="CB45" s="463">
        <f t="shared" si="150"/>
        <v>39.346968724204345</v>
      </c>
      <c r="CC45" s="463">
        <f t="shared" si="151"/>
        <v>0</v>
      </c>
      <c r="CD45" s="464">
        <f t="shared" si="152"/>
        <v>39.346968724204345</v>
      </c>
      <c r="CE45" s="60">
        <f>'CAM Majors'!$A$45</f>
        <v>52020</v>
      </c>
      <c r="CF45" s="2" t="str">
        <f>'CAM Majors'!$B$45</f>
        <v>Backflow Maintenance</v>
      </c>
      <c r="CG45" s="500">
        <f>'CAM Majors'!$C$45</f>
        <v>1000</v>
      </c>
      <c r="CH45" s="461">
        <v>0</v>
      </c>
      <c r="CI45" s="383">
        <f t="shared" si="179"/>
        <v>1000</v>
      </c>
      <c r="CJ45" s="242">
        <f>$CG$8/'CAM Majors'!$D45</f>
        <v>5.0108532819713232E-2</v>
      </c>
      <c r="CK45" s="463">
        <f t="shared" si="153"/>
        <v>50.108532819713233</v>
      </c>
      <c r="CL45" s="463">
        <f t="shared" si="154"/>
        <v>0</v>
      </c>
      <c r="CM45" s="464">
        <f t="shared" si="155"/>
        <v>50.108532819713233</v>
      </c>
      <c r="CN45" s="60">
        <f>'CAM Majors'!$A$45</f>
        <v>52020</v>
      </c>
      <c r="CO45" s="2" t="str">
        <f>'CAM Majors'!$B$45</f>
        <v>Backflow Maintenance</v>
      </c>
      <c r="CP45" s="500">
        <f>'CAM Majors'!$C$45</f>
        <v>1000</v>
      </c>
      <c r="CQ45" s="461">
        <v>0</v>
      </c>
      <c r="CR45" s="383">
        <f t="shared" si="180"/>
        <v>1000</v>
      </c>
      <c r="CS45" s="242">
        <f>$CP$8/'CAM Majors'!$D45</f>
        <v>0.11006145097679537</v>
      </c>
      <c r="CT45" s="463">
        <f t="shared" si="156"/>
        <v>110.06145097679537</v>
      </c>
      <c r="CU45" s="463"/>
      <c r="CV45" s="464">
        <f t="shared" si="157"/>
        <v>110.06145097679537</v>
      </c>
      <c r="CW45" s="60">
        <f>'CAM Majors'!$A$45</f>
        <v>52020</v>
      </c>
      <c r="CX45" s="2" t="str">
        <f>'CAM Majors'!$B$45</f>
        <v>Backflow Maintenance</v>
      </c>
      <c r="CY45" s="500">
        <f>'CAM Majors'!$C$45</f>
        <v>1000</v>
      </c>
      <c r="CZ45" s="461">
        <v>0</v>
      </c>
      <c r="DA45" s="383">
        <f t="shared" si="181"/>
        <v>1000</v>
      </c>
      <c r="DB45" s="242">
        <f>$CY$8/'CAM Majors'!$D45</f>
        <v>4.8518756305603962E-2</v>
      </c>
      <c r="DC45" s="463">
        <f t="shared" si="158"/>
        <v>48.518756305603965</v>
      </c>
      <c r="DD45" s="463">
        <f t="shared" si="159"/>
        <v>4.8518756305603965</v>
      </c>
      <c r="DE45" s="464">
        <f t="shared" si="160"/>
        <v>53.370631936164358</v>
      </c>
      <c r="DF45" s="60">
        <f>'CAM Majors'!$A$45</f>
        <v>52020</v>
      </c>
      <c r="DG45" s="2" t="str">
        <f>'CAM Majors'!$B$45</f>
        <v>Backflow Maintenance</v>
      </c>
      <c r="DH45" s="500">
        <f>'CAM Majors'!$C$45</f>
        <v>1000</v>
      </c>
      <c r="DI45" s="461">
        <v>0</v>
      </c>
      <c r="DJ45" s="383">
        <f t="shared" si="182"/>
        <v>1000</v>
      </c>
      <c r="DK45" s="242">
        <f>$DH$8/'CAM Majors'!$D45</f>
        <v>3.9744412852731663E-2</v>
      </c>
      <c r="DL45" s="463">
        <f t="shared" si="161"/>
        <v>39.744412852731664</v>
      </c>
      <c r="DM45" s="463">
        <f t="shared" si="162"/>
        <v>5.9616619279097494</v>
      </c>
      <c r="DN45" s="464">
        <f t="shared" si="163"/>
        <v>45.706074780641416</v>
      </c>
      <c r="DO45" s="60">
        <f>'CAM Majors'!$A$45</f>
        <v>52020</v>
      </c>
      <c r="DP45" s="2" t="str">
        <f>'CAM Majors'!$B$45</f>
        <v>Backflow Maintenance</v>
      </c>
      <c r="DQ45" s="500">
        <f>'CAM Majors'!$C$45</f>
        <v>1000</v>
      </c>
      <c r="DR45" s="461">
        <v>0</v>
      </c>
      <c r="DS45" s="383">
        <f t="shared" si="183"/>
        <v>1000</v>
      </c>
      <c r="DT45" s="242">
        <f>$DQ$8/'CAM Majors'!$D45</f>
        <v>0.10773793145617414</v>
      </c>
      <c r="DU45" s="463">
        <f t="shared" si="164"/>
        <v>107.73793145617414</v>
      </c>
      <c r="DV45" s="463">
        <f t="shared" si="165"/>
        <v>5.3868965728087073</v>
      </c>
      <c r="DW45" s="464">
        <f t="shared" si="166"/>
        <v>113.12482802898285</v>
      </c>
      <c r="DX45" s="60">
        <f>'CAM Majors'!$A$45</f>
        <v>52020</v>
      </c>
      <c r="DY45" s="2" t="str">
        <f>'CAM Majors'!$B$45</f>
        <v>Backflow Maintenance</v>
      </c>
      <c r="DZ45" s="500">
        <f>'CAM Majors'!$C$45</f>
        <v>1000</v>
      </c>
      <c r="EA45" s="461">
        <v>0</v>
      </c>
      <c r="EB45" s="383">
        <f t="shared" si="184"/>
        <v>1000</v>
      </c>
      <c r="EC45" s="242">
        <f>$DZ$8/'CAM Majors'!$D45</f>
        <v>9.1931884190895471E-2</v>
      </c>
      <c r="ED45" s="463">
        <f t="shared" si="167"/>
        <v>91.931884190895474</v>
      </c>
      <c r="EE45" s="463">
        <f t="shared" si="168"/>
        <v>4.596594209544774</v>
      </c>
      <c r="EF45" s="464">
        <f t="shared" si="169"/>
        <v>96.52847840044025</v>
      </c>
    </row>
    <row r="46" spans="1:136">
      <c r="A46" s="60">
        <f>'CAM Majors'!$A$46</f>
        <v>52030</v>
      </c>
      <c r="B46" s="2" t="str">
        <f>'CAM Majors'!$B$46</f>
        <v>Backflow Repairs</v>
      </c>
      <c r="C46" s="500">
        <f>'CAM Majors'!$C$46</f>
        <v>500</v>
      </c>
      <c r="D46" s="461">
        <v>0</v>
      </c>
      <c r="E46" s="383">
        <f t="shared" si="170"/>
        <v>500</v>
      </c>
      <c r="F46" s="242">
        <f>$C$8/'CAM Majors'!D46</f>
        <v>9.1717875813996153E-2</v>
      </c>
      <c r="G46" s="463">
        <f t="shared" si="127"/>
        <v>45.858937906998079</v>
      </c>
      <c r="H46" s="463">
        <f t="shared" si="128"/>
        <v>4.5858937906998083</v>
      </c>
      <c r="I46" s="464">
        <f t="shared" si="129"/>
        <v>50.444831697697886</v>
      </c>
      <c r="J46" s="464">
        <f t="shared" si="185"/>
        <v>1.6814943899232628E-2</v>
      </c>
      <c r="K46" s="60">
        <f>'CAM Majors'!$A$46</f>
        <v>52030</v>
      </c>
      <c r="L46" s="2" t="str">
        <f>'CAM Majors'!$B$46</f>
        <v>Backflow Repairs</v>
      </c>
      <c r="M46" s="500">
        <f>'CAM Majors'!$C$46</f>
        <v>500</v>
      </c>
      <c r="N46" s="461">
        <v>0</v>
      </c>
      <c r="O46" s="383">
        <f t="shared" si="171"/>
        <v>500</v>
      </c>
      <c r="P46" s="242">
        <f>$M$8/'CAM Majors'!$D$41</f>
        <v>4.968051606591458E-2</v>
      </c>
      <c r="Q46" s="463">
        <f t="shared" si="130"/>
        <v>24.840258032957291</v>
      </c>
      <c r="R46" s="463">
        <f t="shared" si="131"/>
        <v>0.99361032131829163</v>
      </c>
      <c r="S46" s="464">
        <f t="shared" si="132"/>
        <v>25.833868354275584</v>
      </c>
      <c r="T46" s="60">
        <f>'CAM Majors'!$A$46</f>
        <v>52030</v>
      </c>
      <c r="U46" s="2" t="str">
        <f>'CAM Majors'!$B$46</f>
        <v>Backflow Repairs</v>
      </c>
      <c r="V46" s="500">
        <f>'CAM Majors'!$C$46</f>
        <v>500</v>
      </c>
      <c r="W46" s="461">
        <v>0</v>
      </c>
      <c r="X46" s="383">
        <f t="shared" si="172"/>
        <v>500</v>
      </c>
      <c r="Y46" s="242">
        <f>$V$8/'CAM Majors'!D46</f>
        <v>4.2801675379864866E-2</v>
      </c>
      <c r="Z46" s="463">
        <f t="shared" si="133"/>
        <v>21.400837689932434</v>
      </c>
      <c r="AA46" s="463">
        <f t="shared" si="134"/>
        <v>0</v>
      </c>
      <c r="AB46" s="464">
        <f t="shared" si="135"/>
        <v>21.400837689932434</v>
      </c>
      <c r="AC46" s="60">
        <f>'CAM Majors'!$A$46</f>
        <v>52030</v>
      </c>
      <c r="AD46" s="2" t="str">
        <f>'CAM Majors'!$B$46</f>
        <v>Backflow Repairs</v>
      </c>
      <c r="AE46" s="500">
        <f>'CAM Majors'!$C$46</f>
        <v>500</v>
      </c>
      <c r="AF46" s="461">
        <v>0</v>
      </c>
      <c r="AG46" s="383">
        <f t="shared" si="173"/>
        <v>500</v>
      </c>
      <c r="AH46" s="242">
        <f>$AE$8/'CAM Majors'!D46</f>
        <v>3.399675930172124E-2</v>
      </c>
      <c r="AI46" s="463">
        <f t="shared" si="136"/>
        <v>16.99837965086062</v>
      </c>
      <c r="AJ46" s="463">
        <f t="shared" si="137"/>
        <v>0</v>
      </c>
      <c r="AK46" s="464">
        <f t="shared" si="138"/>
        <v>16.99837965086062</v>
      </c>
      <c r="AL46" s="60">
        <f>'CAM Majors'!$A$46</f>
        <v>52030</v>
      </c>
      <c r="AM46" s="2" t="str">
        <f>'CAM Majors'!$B$46</f>
        <v>Backflow Repairs</v>
      </c>
      <c r="AN46" s="500">
        <f>'CAM Majors'!$C$46</f>
        <v>500</v>
      </c>
      <c r="AO46" s="461">
        <v>0</v>
      </c>
      <c r="AP46" s="383">
        <f t="shared" si="174"/>
        <v>500</v>
      </c>
      <c r="AQ46" s="242">
        <f>$AN$8/'CAM Majors'!D46</f>
        <v>7.6248127426702131E-2</v>
      </c>
      <c r="AR46" s="463">
        <f t="shared" si="139"/>
        <v>38.124063713351063</v>
      </c>
      <c r="AS46" s="463"/>
      <c r="AT46" s="464">
        <f t="shared" si="140"/>
        <v>38.124063713351063</v>
      </c>
      <c r="AU46" s="60">
        <f>'CAM Majors'!$A$46</f>
        <v>52030</v>
      </c>
      <c r="AV46" s="2" t="str">
        <f>'CAM Majors'!$B$46</f>
        <v>Backflow Repairs</v>
      </c>
      <c r="AW46" s="500">
        <f>'CAM Majors'!$C$46</f>
        <v>500</v>
      </c>
      <c r="AX46" s="461">
        <v>0</v>
      </c>
      <c r="AY46" s="383">
        <f t="shared" si="175"/>
        <v>500</v>
      </c>
      <c r="AZ46" s="242">
        <f>$AW$8/'CAM Majors'!$D46</f>
        <v>4.5858937906998076E-2</v>
      </c>
      <c r="BA46" s="463">
        <f t="shared" si="141"/>
        <v>22.92946895349904</v>
      </c>
      <c r="BB46" s="463">
        <f t="shared" si="142"/>
        <v>0</v>
      </c>
      <c r="BC46" s="464">
        <f t="shared" si="143"/>
        <v>22.92946895349904</v>
      </c>
      <c r="BD46" s="60">
        <f>'CAM Majors'!$A$46</f>
        <v>52030</v>
      </c>
      <c r="BE46" s="2" t="str">
        <f>'CAM Majors'!$B$46</f>
        <v>Backflow Repairs</v>
      </c>
      <c r="BF46" s="500">
        <f>'CAM Majors'!$C$46</f>
        <v>500</v>
      </c>
      <c r="BG46" s="461">
        <v>0</v>
      </c>
      <c r="BH46" s="383">
        <f t="shared" si="176"/>
        <v>500</v>
      </c>
      <c r="BI46" s="242">
        <f>$BF$8/'CAM Majors'!$D46</f>
        <v>5.3012932220489771E-2</v>
      </c>
      <c r="BJ46" s="463">
        <f t="shared" si="144"/>
        <v>26.506466110244887</v>
      </c>
      <c r="BK46" s="463">
        <f t="shared" si="145"/>
        <v>1.3253233055122444</v>
      </c>
      <c r="BL46" s="464">
        <f t="shared" si="146"/>
        <v>27.831789415757132</v>
      </c>
      <c r="BM46" s="60">
        <f>'CAM Majors'!$A$46</f>
        <v>52030</v>
      </c>
      <c r="BN46" s="2" t="str">
        <f>'CAM Majors'!$B$46</f>
        <v>Backflow Repairs</v>
      </c>
      <c r="BO46" s="500">
        <f>'CAM Majors'!$C$46</f>
        <v>500</v>
      </c>
      <c r="BP46" s="461">
        <v>0</v>
      </c>
      <c r="BQ46" s="383">
        <f t="shared" si="177"/>
        <v>500</v>
      </c>
      <c r="BR46" s="242">
        <f>$BO$8/'CAM Majors'!$D46</f>
        <v>0.119233238558195</v>
      </c>
      <c r="BS46" s="463">
        <f t="shared" si="147"/>
        <v>59.616619279097499</v>
      </c>
      <c r="BT46" s="463">
        <f t="shared" si="148"/>
        <v>0</v>
      </c>
      <c r="BU46" s="464">
        <f t="shared" si="149"/>
        <v>59.616619279097499</v>
      </c>
      <c r="BV46" s="60">
        <f>'CAM Majors'!$A$46</f>
        <v>52030</v>
      </c>
      <c r="BW46" s="2" t="str">
        <f>'CAM Majors'!$B$46</f>
        <v>Backflow Repairs</v>
      </c>
      <c r="BX46" s="500">
        <f>'CAM Majors'!$C$46</f>
        <v>500</v>
      </c>
      <c r="BY46" s="461">
        <v>0</v>
      </c>
      <c r="BZ46" s="383">
        <f t="shared" si="178"/>
        <v>500</v>
      </c>
      <c r="CA46" s="242">
        <f>$BX$8/'CAM Majors'!$D46</f>
        <v>3.9346968724204345E-2</v>
      </c>
      <c r="CB46" s="463">
        <f t="shared" si="150"/>
        <v>19.673484362102172</v>
      </c>
      <c r="CC46" s="463">
        <f t="shared" si="151"/>
        <v>0</v>
      </c>
      <c r="CD46" s="464">
        <f t="shared" si="152"/>
        <v>19.673484362102172</v>
      </c>
      <c r="CE46" s="60">
        <f>'CAM Majors'!$A$46</f>
        <v>52030</v>
      </c>
      <c r="CF46" s="2" t="str">
        <f>'CAM Majors'!$B$46</f>
        <v>Backflow Repairs</v>
      </c>
      <c r="CG46" s="500">
        <f>'CAM Majors'!$C$46</f>
        <v>500</v>
      </c>
      <c r="CH46" s="461">
        <v>0</v>
      </c>
      <c r="CI46" s="383">
        <f t="shared" si="179"/>
        <v>500</v>
      </c>
      <c r="CJ46" s="242">
        <f>$CG$8/'CAM Majors'!$D46</f>
        <v>5.0108532819713232E-2</v>
      </c>
      <c r="CK46" s="463">
        <f t="shared" si="153"/>
        <v>25.054266409856616</v>
      </c>
      <c r="CL46" s="463">
        <f t="shared" si="154"/>
        <v>0</v>
      </c>
      <c r="CM46" s="464">
        <f t="shared" si="155"/>
        <v>25.054266409856616</v>
      </c>
      <c r="CN46" s="60">
        <f>'CAM Majors'!$A$46</f>
        <v>52030</v>
      </c>
      <c r="CO46" s="2" t="str">
        <f>'CAM Majors'!$B$46</f>
        <v>Backflow Repairs</v>
      </c>
      <c r="CP46" s="500">
        <f>'CAM Majors'!$C$46</f>
        <v>500</v>
      </c>
      <c r="CQ46" s="461">
        <v>0</v>
      </c>
      <c r="CR46" s="383">
        <f t="shared" si="180"/>
        <v>500</v>
      </c>
      <c r="CS46" s="242">
        <f>$CP$8/'CAM Majors'!$D46</f>
        <v>0.11006145097679537</v>
      </c>
      <c r="CT46" s="463">
        <f t="shared" si="156"/>
        <v>55.030725488397685</v>
      </c>
      <c r="CU46" s="463"/>
      <c r="CV46" s="464">
        <f t="shared" si="157"/>
        <v>55.030725488397685</v>
      </c>
      <c r="CW46" s="60">
        <f>'CAM Majors'!$A$46</f>
        <v>52030</v>
      </c>
      <c r="CX46" s="2" t="str">
        <f>'CAM Majors'!$B$46</f>
        <v>Backflow Repairs</v>
      </c>
      <c r="CY46" s="500">
        <f>'CAM Majors'!$C$46</f>
        <v>500</v>
      </c>
      <c r="CZ46" s="461">
        <v>0</v>
      </c>
      <c r="DA46" s="383">
        <f t="shared" si="181"/>
        <v>500</v>
      </c>
      <c r="DB46" s="242">
        <f>$CY$8/'CAM Majors'!$D46</f>
        <v>4.8518756305603962E-2</v>
      </c>
      <c r="DC46" s="463">
        <f t="shared" si="158"/>
        <v>24.259378152801983</v>
      </c>
      <c r="DD46" s="463">
        <f t="shared" si="159"/>
        <v>2.4259378152801983</v>
      </c>
      <c r="DE46" s="464">
        <f t="shared" si="160"/>
        <v>26.685315968082179</v>
      </c>
      <c r="DF46" s="60">
        <f>'CAM Majors'!$A$46</f>
        <v>52030</v>
      </c>
      <c r="DG46" s="2" t="str">
        <f>'CAM Majors'!$B$46</f>
        <v>Backflow Repairs</v>
      </c>
      <c r="DH46" s="500">
        <f>'CAM Majors'!$C$46</f>
        <v>500</v>
      </c>
      <c r="DI46" s="461">
        <v>0</v>
      </c>
      <c r="DJ46" s="383">
        <f t="shared" si="182"/>
        <v>500</v>
      </c>
      <c r="DK46" s="242">
        <f>$DH$8/'CAM Majors'!$D46</f>
        <v>3.9744412852731663E-2</v>
      </c>
      <c r="DL46" s="463">
        <f t="shared" si="161"/>
        <v>19.872206426365832</v>
      </c>
      <c r="DM46" s="463">
        <f t="shared" si="162"/>
        <v>2.9808309639548747</v>
      </c>
      <c r="DN46" s="464">
        <f t="shared" si="163"/>
        <v>22.853037390320708</v>
      </c>
      <c r="DO46" s="60">
        <f>'CAM Majors'!$A$46</f>
        <v>52030</v>
      </c>
      <c r="DP46" s="2" t="str">
        <f>'CAM Majors'!$B$46</f>
        <v>Backflow Repairs</v>
      </c>
      <c r="DQ46" s="500">
        <f>'CAM Majors'!$C$46</f>
        <v>500</v>
      </c>
      <c r="DR46" s="461">
        <v>0</v>
      </c>
      <c r="DS46" s="383">
        <f t="shared" si="183"/>
        <v>500</v>
      </c>
      <c r="DT46" s="242">
        <f>$DQ$8/'CAM Majors'!$D46</f>
        <v>0.10773793145617414</v>
      </c>
      <c r="DU46" s="463">
        <f t="shared" si="164"/>
        <v>53.868965728087069</v>
      </c>
      <c r="DV46" s="463">
        <f t="shared" si="165"/>
        <v>2.6934482864043536</v>
      </c>
      <c r="DW46" s="464">
        <f t="shared" si="166"/>
        <v>56.562414014491424</v>
      </c>
      <c r="DX46" s="60">
        <f>'CAM Majors'!$A$46</f>
        <v>52030</v>
      </c>
      <c r="DY46" s="2" t="str">
        <f>'CAM Majors'!$B$46</f>
        <v>Backflow Repairs</v>
      </c>
      <c r="DZ46" s="500">
        <f>'CAM Majors'!$C$46</f>
        <v>500</v>
      </c>
      <c r="EA46" s="461">
        <v>0</v>
      </c>
      <c r="EB46" s="383">
        <f t="shared" si="184"/>
        <v>500</v>
      </c>
      <c r="EC46" s="242">
        <f>$DZ$8/'CAM Majors'!$D46</f>
        <v>9.1931884190895471E-2</v>
      </c>
      <c r="ED46" s="463">
        <f t="shared" si="167"/>
        <v>45.965942095447737</v>
      </c>
      <c r="EE46" s="463">
        <f t="shared" si="168"/>
        <v>2.298297104772387</v>
      </c>
      <c r="EF46" s="464">
        <f t="shared" si="169"/>
        <v>48.264239200220125</v>
      </c>
    </row>
    <row r="47" spans="1:136">
      <c r="A47" s="329">
        <f>'CAM Majors'!$A$47</f>
        <v>55120</v>
      </c>
      <c r="B47" s="247" t="str">
        <f>'CAM Majors'!$B$47</f>
        <v>Trash Removal</v>
      </c>
      <c r="C47" s="505">
        <f>'CAM Majors'!$C$47</f>
        <v>13781.400000000003</v>
      </c>
      <c r="D47" s="506">
        <v>0</v>
      </c>
      <c r="E47" s="505">
        <f t="shared" si="170"/>
        <v>13781.400000000003</v>
      </c>
      <c r="F47" s="507">
        <f>$C$8/'CAM Majors'!D47</f>
        <v>9.1717875813996153E-2</v>
      </c>
      <c r="G47" s="508">
        <f t="shared" si="127"/>
        <v>1264.0007337430068</v>
      </c>
      <c r="H47" s="508">
        <f t="shared" si="128"/>
        <v>126.40007337430069</v>
      </c>
      <c r="I47" s="509">
        <f t="shared" si="129"/>
        <v>1390.4008071173075</v>
      </c>
      <c r="J47" s="509">
        <f t="shared" si="185"/>
        <v>0.46346693570576919</v>
      </c>
      <c r="K47" s="60">
        <f>'CAM Majors'!$A$47</f>
        <v>55120</v>
      </c>
      <c r="L47" s="2" t="str">
        <f>'CAM Majors'!$B$47</f>
        <v>Trash Removal</v>
      </c>
      <c r="M47" s="500">
        <f>'CAM Majors'!$C$47</f>
        <v>13781.400000000003</v>
      </c>
      <c r="N47" s="461">
        <v>0</v>
      </c>
      <c r="O47" s="383">
        <f t="shared" si="171"/>
        <v>13781.400000000003</v>
      </c>
      <c r="P47" s="242">
        <f>$M$8/'CAM Majors'!$D$41</f>
        <v>4.968051606591458E-2</v>
      </c>
      <c r="Q47" s="463">
        <f t="shared" si="130"/>
        <v>684.66706411079531</v>
      </c>
      <c r="R47" s="463">
        <f t="shared" si="131"/>
        <v>27.386682564431812</v>
      </c>
      <c r="S47" s="464">
        <f t="shared" si="132"/>
        <v>712.0537466752271</v>
      </c>
      <c r="T47" s="60">
        <f>'CAM Majors'!$A$47</f>
        <v>55120</v>
      </c>
      <c r="U47" s="2" t="str">
        <f>'CAM Majors'!$B$47</f>
        <v>Trash Removal</v>
      </c>
      <c r="V47" s="500">
        <f>'CAM Majors'!$C$47</f>
        <v>13781.400000000003</v>
      </c>
      <c r="W47" s="461">
        <v>0</v>
      </c>
      <c r="X47" s="383">
        <f t="shared" si="172"/>
        <v>13781.400000000003</v>
      </c>
      <c r="Y47" s="242">
        <f>$V$8/'CAM Majors'!D47</f>
        <v>4.2801675379864866E-2</v>
      </c>
      <c r="Z47" s="463">
        <f t="shared" si="133"/>
        <v>589.86700908006981</v>
      </c>
      <c r="AA47" s="463">
        <f t="shared" si="134"/>
        <v>0</v>
      </c>
      <c r="AB47" s="464">
        <f t="shared" si="135"/>
        <v>589.86700908006981</v>
      </c>
      <c r="AC47" s="60">
        <f>'CAM Majors'!$A$47</f>
        <v>55120</v>
      </c>
      <c r="AD47" s="2" t="str">
        <f>'CAM Majors'!$B$47</f>
        <v>Trash Removal</v>
      </c>
      <c r="AE47" s="500">
        <f>'CAM Majors'!$C$47</f>
        <v>13781.400000000003</v>
      </c>
      <c r="AF47" s="461">
        <v>0</v>
      </c>
      <c r="AG47" s="383">
        <f t="shared" si="173"/>
        <v>13781.400000000003</v>
      </c>
      <c r="AH47" s="242">
        <f>$AE$8/'CAM Majors'!D47</f>
        <v>3.399675930172124E-2</v>
      </c>
      <c r="AI47" s="463">
        <f t="shared" si="136"/>
        <v>468.52293864074119</v>
      </c>
      <c r="AJ47" s="463">
        <f t="shared" si="137"/>
        <v>0</v>
      </c>
      <c r="AK47" s="464">
        <f t="shared" si="138"/>
        <v>468.52293864074119</v>
      </c>
      <c r="AL47" s="60">
        <f>'CAM Majors'!$A$47</f>
        <v>55120</v>
      </c>
      <c r="AM47" s="2" t="str">
        <f>'CAM Majors'!$B$47</f>
        <v>Trash Removal</v>
      </c>
      <c r="AN47" s="500">
        <f>'CAM Majors'!$C$47</f>
        <v>13781.400000000003</v>
      </c>
      <c r="AO47" s="461">
        <v>0</v>
      </c>
      <c r="AP47" s="383">
        <f t="shared" si="174"/>
        <v>13781.400000000003</v>
      </c>
      <c r="AQ47" s="242">
        <f>$AN$8/'CAM Majors'!D47</f>
        <v>7.6248127426702131E-2</v>
      </c>
      <c r="AR47" s="463">
        <f t="shared" si="139"/>
        <v>1050.805943318353</v>
      </c>
      <c r="AS47" s="463"/>
      <c r="AT47" s="464">
        <f t="shared" si="140"/>
        <v>1050.805943318353</v>
      </c>
      <c r="AU47" s="60">
        <f>'CAM Majors'!$A$47</f>
        <v>55120</v>
      </c>
      <c r="AV47" s="2" t="str">
        <f>'CAM Majors'!$B$47</f>
        <v>Trash Removal</v>
      </c>
      <c r="AW47" s="500">
        <f>'CAM Majors'!$C$47</f>
        <v>13781.400000000003</v>
      </c>
      <c r="AX47" s="461">
        <v>0</v>
      </c>
      <c r="AY47" s="383">
        <f t="shared" si="175"/>
        <v>13781.400000000003</v>
      </c>
      <c r="AZ47" s="242">
        <f>$AW$8/'CAM Majors'!$D47</f>
        <v>4.5858937906998076E-2</v>
      </c>
      <c r="BA47" s="463">
        <f t="shared" si="141"/>
        <v>632.00036687150339</v>
      </c>
      <c r="BB47" s="463">
        <f t="shared" si="142"/>
        <v>0</v>
      </c>
      <c r="BC47" s="464">
        <f t="shared" si="143"/>
        <v>632.00036687150339</v>
      </c>
      <c r="BD47" s="60">
        <f>'CAM Majors'!$A$47</f>
        <v>55120</v>
      </c>
      <c r="BE47" s="2" t="str">
        <f>'CAM Majors'!$B$47</f>
        <v>Trash Removal</v>
      </c>
      <c r="BF47" s="500">
        <f>'CAM Majors'!$C$47</f>
        <v>13781.400000000003</v>
      </c>
      <c r="BG47" s="461">
        <v>0</v>
      </c>
      <c r="BH47" s="383">
        <f t="shared" si="176"/>
        <v>13781.400000000003</v>
      </c>
      <c r="BI47" s="242">
        <f>$BF$8/'CAM Majors'!$D47</f>
        <v>5.3012932220489771E-2</v>
      </c>
      <c r="BJ47" s="463">
        <f t="shared" si="144"/>
        <v>730.59242410345792</v>
      </c>
      <c r="BK47" s="463">
        <f t="shared" si="145"/>
        <v>36.529621205172894</v>
      </c>
      <c r="BL47" s="464">
        <f t="shared" si="146"/>
        <v>767.12204530863085</v>
      </c>
      <c r="BM47" s="60">
        <f>'CAM Majors'!$A$47</f>
        <v>55120</v>
      </c>
      <c r="BN47" s="2" t="str">
        <f>'CAM Majors'!$B$47</f>
        <v>Trash Removal</v>
      </c>
      <c r="BO47" s="500">
        <f>'CAM Majors'!$C$47</f>
        <v>13781.400000000003</v>
      </c>
      <c r="BP47" s="461">
        <v>0</v>
      </c>
      <c r="BQ47" s="383">
        <f t="shared" si="177"/>
        <v>13781.400000000003</v>
      </c>
      <c r="BR47" s="242">
        <f>$BO$8/'CAM Majors'!$D47</f>
        <v>0.119233238558195</v>
      </c>
      <c r="BS47" s="463">
        <f t="shared" si="147"/>
        <v>1643.200953865909</v>
      </c>
      <c r="BT47" s="463">
        <f t="shared" si="148"/>
        <v>0</v>
      </c>
      <c r="BU47" s="464">
        <f t="shared" si="149"/>
        <v>1643.200953865909</v>
      </c>
      <c r="BV47" s="60">
        <f>'CAM Majors'!$A$47</f>
        <v>55120</v>
      </c>
      <c r="BW47" s="2" t="str">
        <f>'CAM Majors'!$B$47</f>
        <v>Trash Removal</v>
      </c>
      <c r="BX47" s="500">
        <f>'CAM Majors'!$C$47</f>
        <v>13781.400000000003</v>
      </c>
      <c r="BY47" s="461">
        <v>0</v>
      </c>
      <c r="BZ47" s="383">
        <f t="shared" si="178"/>
        <v>13781.400000000003</v>
      </c>
      <c r="CA47" s="242">
        <f>$BX$8/'CAM Majors'!$D47</f>
        <v>3.9346968724204345E-2</v>
      </c>
      <c r="CB47" s="463">
        <f t="shared" si="150"/>
        <v>542.25631477574984</v>
      </c>
      <c r="CC47" s="463">
        <f t="shared" si="151"/>
        <v>0</v>
      </c>
      <c r="CD47" s="464">
        <f t="shared" si="152"/>
        <v>542.25631477574984</v>
      </c>
      <c r="CE47" s="60">
        <f>'CAM Majors'!$A$47</f>
        <v>55120</v>
      </c>
      <c r="CF47" s="2" t="str">
        <f>'CAM Majors'!$B$47</f>
        <v>Trash Removal</v>
      </c>
      <c r="CG47" s="500">
        <f>'CAM Majors'!$C$47</f>
        <v>13781.400000000003</v>
      </c>
      <c r="CH47" s="461">
        <v>0</v>
      </c>
      <c r="CI47" s="383">
        <f t="shared" si="179"/>
        <v>13781.400000000003</v>
      </c>
      <c r="CJ47" s="242">
        <f>$CG$8/'CAM Majors'!$D47</f>
        <v>5.0108532819713232E-2</v>
      </c>
      <c r="CK47" s="463">
        <f t="shared" si="153"/>
        <v>690.56573420159611</v>
      </c>
      <c r="CL47" s="463">
        <f t="shared" si="154"/>
        <v>0</v>
      </c>
      <c r="CM47" s="464">
        <f t="shared" si="155"/>
        <v>690.56573420159611</v>
      </c>
      <c r="CN47" s="60">
        <f>'CAM Majors'!$A$47</f>
        <v>55120</v>
      </c>
      <c r="CO47" s="2" t="str">
        <f>'CAM Majors'!$B$47</f>
        <v>Trash Removal</v>
      </c>
      <c r="CP47" s="500">
        <f>'CAM Majors'!$C$47</f>
        <v>13781.400000000003</v>
      </c>
      <c r="CQ47" s="461">
        <v>0</v>
      </c>
      <c r="CR47" s="383">
        <f t="shared" si="180"/>
        <v>13781.400000000003</v>
      </c>
      <c r="CS47" s="242">
        <f>$CP$8/'CAM Majors'!$D47</f>
        <v>0.11006145097679537</v>
      </c>
      <c r="CT47" s="463">
        <f t="shared" si="156"/>
        <v>1516.800880491608</v>
      </c>
      <c r="CU47" s="463"/>
      <c r="CV47" s="464">
        <f t="shared" si="157"/>
        <v>1516.800880491608</v>
      </c>
      <c r="CW47" s="60">
        <f>'CAM Majors'!$A$47</f>
        <v>55120</v>
      </c>
      <c r="CX47" s="2" t="str">
        <f>'CAM Majors'!$B$47</f>
        <v>Trash Removal</v>
      </c>
      <c r="CY47" s="500">
        <f>'CAM Majors'!$C$47</f>
        <v>13781.400000000003</v>
      </c>
      <c r="CZ47" s="461">
        <v>0</v>
      </c>
      <c r="DA47" s="383">
        <f t="shared" si="181"/>
        <v>13781.400000000003</v>
      </c>
      <c r="DB47" s="242">
        <f>$CY$8/'CAM Majors'!$D47</f>
        <v>4.8518756305603962E-2</v>
      </c>
      <c r="DC47" s="463">
        <f t="shared" si="158"/>
        <v>668.65638815005059</v>
      </c>
      <c r="DD47" s="463">
        <f t="shared" si="159"/>
        <v>66.865638815005056</v>
      </c>
      <c r="DE47" s="464">
        <f t="shared" si="160"/>
        <v>735.5220269650556</v>
      </c>
      <c r="DF47" s="60">
        <f>'CAM Majors'!$A$47</f>
        <v>55120</v>
      </c>
      <c r="DG47" s="2" t="str">
        <f>'CAM Majors'!$B$47</f>
        <v>Trash Removal</v>
      </c>
      <c r="DH47" s="500">
        <f>'CAM Majors'!$C$47</f>
        <v>13781.400000000003</v>
      </c>
      <c r="DI47" s="461">
        <v>0</v>
      </c>
      <c r="DJ47" s="383">
        <f t="shared" si="182"/>
        <v>13781.400000000003</v>
      </c>
      <c r="DK47" s="242">
        <f>$DH$8/'CAM Majors'!$D47</f>
        <v>3.9744412852731663E-2</v>
      </c>
      <c r="DL47" s="463">
        <f t="shared" si="161"/>
        <v>547.73365128863622</v>
      </c>
      <c r="DM47" s="463">
        <f t="shared" si="162"/>
        <v>82.160047693295425</v>
      </c>
      <c r="DN47" s="464">
        <f t="shared" si="163"/>
        <v>629.89369898193161</v>
      </c>
      <c r="DO47" s="60">
        <f>'CAM Majors'!$A$47</f>
        <v>55120</v>
      </c>
      <c r="DP47" s="2" t="str">
        <f>'CAM Majors'!$B$47</f>
        <v>Trash Removal</v>
      </c>
      <c r="DQ47" s="500">
        <f>'CAM Majors'!$C$47</f>
        <v>13781.400000000003</v>
      </c>
      <c r="DR47" s="461">
        <v>0</v>
      </c>
      <c r="DS47" s="383">
        <f t="shared" si="183"/>
        <v>13781.400000000003</v>
      </c>
      <c r="DT47" s="242">
        <f>$DQ$8/'CAM Majors'!$D47</f>
        <v>0.10773793145617414</v>
      </c>
      <c r="DU47" s="463">
        <f t="shared" si="164"/>
        <v>1484.7795285701186</v>
      </c>
      <c r="DV47" s="463">
        <f t="shared" si="165"/>
        <v>74.238976428505936</v>
      </c>
      <c r="DW47" s="464">
        <f t="shared" si="166"/>
        <v>1559.0185049986246</v>
      </c>
      <c r="DX47" s="60">
        <f>'CAM Majors'!$A$47</f>
        <v>55120</v>
      </c>
      <c r="DY47" s="2" t="str">
        <f>'CAM Majors'!$B$47</f>
        <v>Trash Removal</v>
      </c>
      <c r="DZ47" s="500">
        <f>'CAM Majors'!$C$47</f>
        <v>13781.400000000003</v>
      </c>
      <c r="EA47" s="461">
        <v>0</v>
      </c>
      <c r="EB47" s="383">
        <f t="shared" si="184"/>
        <v>13781.400000000003</v>
      </c>
      <c r="EC47" s="242">
        <f>$DZ$8/'CAM Majors'!$D47</f>
        <v>9.1931884190895471E-2</v>
      </c>
      <c r="ED47" s="463">
        <f t="shared" si="167"/>
        <v>1266.9500687884072</v>
      </c>
      <c r="EE47" s="463">
        <f t="shared" si="168"/>
        <v>63.347503439420365</v>
      </c>
      <c r="EF47" s="464">
        <f t="shared" si="169"/>
        <v>1330.2975722278275</v>
      </c>
    </row>
    <row r="48" spans="1:136">
      <c r="A48" s="329">
        <f>'CAM Majors'!$A$48</f>
        <v>55130</v>
      </c>
      <c r="B48" s="247" t="str">
        <f>'CAM Majors'!$B$48</f>
        <v>Water/Building</v>
      </c>
      <c r="C48" s="505">
        <f>'CAM Majors'!$C$48</f>
        <v>33495.599999999999</v>
      </c>
      <c r="D48" s="506">
        <v>0</v>
      </c>
      <c r="E48" s="505">
        <f t="shared" si="170"/>
        <v>33495.599999999999</v>
      </c>
      <c r="F48" s="507">
        <f>$C$8/'CAM Majors'!D48</f>
        <v>9.1717875813996153E-2</v>
      </c>
      <c r="G48" s="508">
        <f t="shared" si="127"/>
        <v>3072.1452811152894</v>
      </c>
      <c r="H48" s="508">
        <f t="shared" si="128"/>
        <v>307.21452811152898</v>
      </c>
      <c r="I48" s="509">
        <f t="shared" si="129"/>
        <v>3379.3598092268185</v>
      </c>
      <c r="J48" s="509">
        <f t="shared" si="185"/>
        <v>1.1264532697422729</v>
      </c>
      <c r="K48" s="60">
        <f>'CAM Majors'!$A$48</f>
        <v>55130</v>
      </c>
      <c r="L48" s="2" t="str">
        <f>'CAM Majors'!$B$48</f>
        <v>Water/Building</v>
      </c>
      <c r="M48" s="500">
        <f>'CAM Majors'!$C$48</f>
        <v>33495.599999999999</v>
      </c>
      <c r="N48" s="461">
        <v>0</v>
      </c>
      <c r="O48" s="383">
        <f t="shared" si="171"/>
        <v>33495.599999999999</v>
      </c>
      <c r="P48" s="242">
        <f>$M$8/'CAM Majors'!$D$41</f>
        <v>4.968051606591458E-2</v>
      </c>
      <c r="Q48" s="463">
        <f t="shared" si="130"/>
        <v>1664.0786939374484</v>
      </c>
      <c r="R48" s="463">
        <f t="shared" si="131"/>
        <v>66.563147757497944</v>
      </c>
      <c r="S48" s="464">
        <f t="shared" si="132"/>
        <v>1730.6418416949464</v>
      </c>
      <c r="T48" s="60">
        <f>'CAM Majors'!$A$48</f>
        <v>55130</v>
      </c>
      <c r="U48" s="2" t="str">
        <f>'CAM Majors'!$B$48</f>
        <v>Water/Building</v>
      </c>
      <c r="V48" s="500">
        <f>'CAM Majors'!$C$48</f>
        <v>33495.599999999999</v>
      </c>
      <c r="W48" s="461">
        <v>0</v>
      </c>
      <c r="X48" s="383">
        <f t="shared" si="172"/>
        <v>33495.599999999999</v>
      </c>
      <c r="Y48" s="242">
        <f>$V$8/'CAM Majors'!D48</f>
        <v>4.2801675379864866E-2</v>
      </c>
      <c r="Z48" s="463">
        <f t="shared" si="133"/>
        <v>1433.6677978538016</v>
      </c>
      <c r="AA48" s="463">
        <f t="shared" si="134"/>
        <v>0</v>
      </c>
      <c r="AB48" s="464">
        <f t="shared" si="135"/>
        <v>1433.6677978538016</v>
      </c>
      <c r="AC48" s="60">
        <f>'CAM Majors'!$A$48</f>
        <v>55130</v>
      </c>
      <c r="AD48" s="2" t="str">
        <f>'CAM Majors'!$B$48</f>
        <v>Water/Building</v>
      </c>
      <c r="AE48" s="500">
        <f>'CAM Majors'!$C$48</f>
        <v>33495.599999999999</v>
      </c>
      <c r="AF48" s="461">
        <v>0</v>
      </c>
      <c r="AG48" s="383">
        <f t="shared" si="173"/>
        <v>33495.599999999999</v>
      </c>
      <c r="AH48" s="242">
        <f>$AE$8/'CAM Majors'!D48</f>
        <v>3.399675930172124E-2</v>
      </c>
      <c r="AI48" s="463">
        <f t="shared" si="136"/>
        <v>1138.741850866734</v>
      </c>
      <c r="AJ48" s="463">
        <f t="shared" si="137"/>
        <v>0</v>
      </c>
      <c r="AK48" s="464">
        <f t="shared" si="138"/>
        <v>1138.741850866734</v>
      </c>
      <c r="AL48" s="60">
        <f>'CAM Majors'!$A$48</f>
        <v>55130</v>
      </c>
      <c r="AM48" s="2" t="str">
        <f>'CAM Majors'!$B$48</f>
        <v>Water/Building</v>
      </c>
      <c r="AN48" s="500">
        <f>'CAM Majors'!$C$48</f>
        <v>33495.599999999999</v>
      </c>
      <c r="AO48" s="461">
        <v>0</v>
      </c>
      <c r="AP48" s="383">
        <f t="shared" si="174"/>
        <v>33495.599999999999</v>
      </c>
      <c r="AQ48" s="242">
        <f>$AN$8/'CAM Majors'!D48</f>
        <v>7.6248127426702131E-2</v>
      </c>
      <c r="AR48" s="463">
        <f t="shared" si="139"/>
        <v>2553.976777033844</v>
      </c>
      <c r="AS48" s="463"/>
      <c r="AT48" s="464">
        <f t="shared" si="140"/>
        <v>2553.976777033844</v>
      </c>
      <c r="AU48" s="60">
        <f>'CAM Majors'!$A$48</f>
        <v>55130</v>
      </c>
      <c r="AV48" s="2" t="str">
        <f>'CAM Majors'!$B$48</f>
        <v>Water/Building</v>
      </c>
      <c r="AW48" s="500">
        <f>'CAM Majors'!$C$48</f>
        <v>33495.599999999999</v>
      </c>
      <c r="AX48" s="461">
        <v>0</v>
      </c>
      <c r="AY48" s="383">
        <f t="shared" si="175"/>
        <v>33495.599999999999</v>
      </c>
      <c r="AZ48" s="242">
        <f>$AW$8/'CAM Majors'!$D48</f>
        <v>4.5858937906998076E-2</v>
      </c>
      <c r="BA48" s="463">
        <f t="shared" si="141"/>
        <v>1536.0726405576447</v>
      </c>
      <c r="BB48" s="463">
        <f t="shared" si="142"/>
        <v>0</v>
      </c>
      <c r="BC48" s="464">
        <f t="shared" si="143"/>
        <v>1536.0726405576447</v>
      </c>
      <c r="BD48" s="60">
        <f>'CAM Majors'!$A$48</f>
        <v>55130</v>
      </c>
      <c r="BE48" s="2" t="str">
        <f>'CAM Majors'!$B$48</f>
        <v>Water/Building</v>
      </c>
      <c r="BF48" s="500">
        <f>'CAM Majors'!$C$48</f>
        <v>33495.599999999999</v>
      </c>
      <c r="BG48" s="461">
        <v>0</v>
      </c>
      <c r="BH48" s="383">
        <f t="shared" si="176"/>
        <v>33495.599999999999</v>
      </c>
      <c r="BI48" s="242">
        <f>$BF$8/'CAM Majors'!$D48</f>
        <v>5.3012932220489771E-2</v>
      </c>
      <c r="BJ48" s="463">
        <f t="shared" si="144"/>
        <v>1775.6999724846371</v>
      </c>
      <c r="BK48" s="463">
        <f t="shared" si="145"/>
        <v>88.784998624231861</v>
      </c>
      <c r="BL48" s="464">
        <f t="shared" si="146"/>
        <v>1864.4849711088689</v>
      </c>
      <c r="BM48" s="60">
        <f>'CAM Majors'!$A$48</f>
        <v>55130</v>
      </c>
      <c r="BN48" s="2" t="str">
        <f>'CAM Majors'!$B$48</f>
        <v>Water/Building</v>
      </c>
      <c r="BO48" s="500">
        <f>'CAM Majors'!$C$48</f>
        <v>33495.599999999999</v>
      </c>
      <c r="BP48" s="461">
        <v>0</v>
      </c>
      <c r="BQ48" s="383">
        <f t="shared" si="177"/>
        <v>33495.599999999999</v>
      </c>
      <c r="BR48" s="242">
        <f>$BO$8/'CAM Majors'!$D48</f>
        <v>0.119233238558195</v>
      </c>
      <c r="BS48" s="463">
        <f t="shared" si="147"/>
        <v>3993.7888654498761</v>
      </c>
      <c r="BT48" s="463">
        <f t="shared" si="148"/>
        <v>0</v>
      </c>
      <c r="BU48" s="464">
        <f t="shared" si="149"/>
        <v>3993.7888654498761</v>
      </c>
      <c r="BV48" s="60">
        <f>'CAM Majors'!$A$48</f>
        <v>55130</v>
      </c>
      <c r="BW48" s="2" t="str">
        <f>'CAM Majors'!$B$48</f>
        <v>Water/Building</v>
      </c>
      <c r="BX48" s="500">
        <f>'CAM Majors'!$C$48</f>
        <v>33495.599999999999</v>
      </c>
      <c r="BY48" s="461">
        <v>0</v>
      </c>
      <c r="BZ48" s="383">
        <f t="shared" si="178"/>
        <v>33495.599999999999</v>
      </c>
      <c r="CA48" s="242">
        <f>$BX$8/'CAM Majors'!$D48</f>
        <v>3.9346968724204345E-2</v>
      </c>
      <c r="CB48" s="463">
        <f t="shared" si="150"/>
        <v>1317.9503255984589</v>
      </c>
      <c r="CC48" s="463">
        <v>0</v>
      </c>
      <c r="CD48" s="464">
        <f t="shared" si="152"/>
        <v>1317.9503255984589</v>
      </c>
      <c r="CE48" s="60">
        <f>'CAM Majors'!$A$48</f>
        <v>55130</v>
      </c>
      <c r="CF48" s="2" t="str">
        <f>'CAM Majors'!$B$48</f>
        <v>Water/Building</v>
      </c>
      <c r="CG48" s="500">
        <f>'CAM Majors'!$C$48</f>
        <v>33495.599999999999</v>
      </c>
      <c r="CH48" s="461">
        <v>0</v>
      </c>
      <c r="CI48" s="383">
        <f t="shared" si="179"/>
        <v>33495.599999999999</v>
      </c>
      <c r="CJ48" s="242">
        <f>$CG$8/'CAM Majors'!$D48</f>
        <v>5.0108532819713232E-2</v>
      </c>
      <c r="CK48" s="463">
        <f t="shared" si="153"/>
        <v>1678.4153719159865</v>
      </c>
      <c r="CL48" s="463">
        <f t="shared" si="154"/>
        <v>0</v>
      </c>
      <c r="CM48" s="464">
        <f t="shared" si="155"/>
        <v>1678.4153719159865</v>
      </c>
      <c r="CN48" s="60">
        <f>'CAM Majors'!$A$48</f>
        <v>55130</v>
      </c>
      <c r="CO48" s="2" t="str">
        <f>'CAM Majors'!$B$48</f>
        <v>Water/Building</v>
      </c>
      <c r="CP48" s="500">
        <f>'CAM Majors'!$C$48</f>
        <v>33495.599999999999</v>
      </c>
      <c r="CQ48" s="461">
        <v>0</v>
      </c>
      <c r="CR48" s="383">
        <f t="shared" si="180"/>
        <v>33495.599999999999</v>
      </c>
      <c r="CS48" s="242">
        <f>$CP$8/'CAM Majors'!$D48</f>
        <v>0.11006145097679537</v>
      </c>
      <c r="CT48" s="463">
        <f t="shared" si="156"/>
        <v>3686.574337338347</v>
      </c>
      <c r="CU48" s="463"/>
      <c r="CV48" s="464">
        <f t="shared" si="157"/>
        <v>3686.574337338347</v>
      </c>
      <c r="CW48" s="60">
        <f>'CAM Majors'!$A$48</f>
        <v>55130</v>
      </c>
      <c r="CX48" s="2" t="str">
        <f>'CAM Majors'!$B$48</f>
        <v>Water/Building</v>
      </c>
      <c r="CY48" s="500">
        <f>'CAM Majors'!$C$48</f>
        <v>33495.599999999999</v>
      </c>
      <c r="CZ48" s="461">
        <v>0</v>
      </c>
      <c r="DA48" s="383">
        <f t="shared" si="181"/>
        <v>33495.599999999999</v>
      </c>
      <c r="DB48" s="242">
        <f>$CY$8/'CAM Majors'!$D48</f>
        <v>4.8518756305603962E-2</v>
      </c>
      <c r="DC48" s="463">
        <f t="shared" si="158"/>
        <v>1625.1648537099879</v>
      </c>
      <c r="DD48" s="463">
        <f t="shared" si="159"/>
        <v>162.51648537099879</v>
      </c>
      <c r="DE48" s="464">
        <f t="shared" si="160"/>
        <v>1787.6813390809866</v>
      </c>
      <c r="DF48" s="60">
        <f>'CAM Majors'!$A$48</f>
        <v>55130</v>
      </c>
      <c r="DG48" s="2" t="str">
        <f>'CAM Majors'!$B$48</f>
        <v>Water/Building</v>
      </c>
      <c r="DH48" s="500">
        <f>'CAM Majors'!$C$48</f>
        <v>33495.599999999999</v>
      </c>
      <c r="DI48" s="461">
        <v>0</v>
      </c>
      <c r="DJ48" s="383">
        <f t="shared" si="182"/>
        <v>33495.599999999999</v>
      </c>
      <c r="DK48" s="242">
        <f>$DH$8/'CAM Majors'!$D48</f>
        <v>3.9744412852731663E-2</v>
      </c>
      <c r="DL48" s="463">
        <f t="shared" si="161"/>
        <v>1331.2629551499585</v>
      </c>
      <c r="DM48" s="463">
        <f t="shared" si="162"/>
        <v>199.68944327249378</v>
      </c>
      <c r="DN48" s="464">
        <f t="shared" si="163"/>
        <v>1530.9523984224522</v>
      </c>
      <c r="DO48" s="60">
        <f>'CAM Majors'!$A$48</f>
        <v>55130</v>
      </c>
      <c r="DP48" s="2" t="str">
        <f>'CAM Majors'!$B$48</f>
        <v>Water/Building</v>
      </c>
      <c r="DQ48" s="500">
        <f>'CAM Majors'!$C$48</f>
        <v>33495.599999999999</v>
      </c>
      <c r="DR48" s="461">
        <v>0</v>
      </c>
      <c r="DS48" s="383">
        <f t="shared" si="183"/>
        <v>33495.599999999999</v>
      </c>
      <c r="DT48" s="242">
        <f>$DQ$8/'CAM Majors'!$D48</f>
        <v>0.10773793145617414</v>
      </c>
      <c r="DU48" s="463">
        <f t="shared" si="164"/>
        <v>3608.7466568834261</v>
      </c>
      <c r="DV48" s="463">
        <f t="shared" si="165"/>
        <v>180.43733284417132</v>
      </c>
      <c r="DW48" s="464">
        <f t="shared" si="166"/>
        <v>3789.1839897275972</v>
      </c>
      <c r="DX48" s="60">
        <f>'CAM Majors'!$A$48</f>
        <v>55130</v>
      </c>
      <c r="DY48" s="2" t="str">
        <f>'CAM Majors'!$B$48</f>
        <v>Water/Building</v>
      </c>
      <c r="DZ48" s="500">
        <f>'CAM Majors'!$C$48</f>
        <v>33495.599999999999</v>
      </c>
      <c r="EA48" s="461">
        <v>0</v>
      </c>
      <c r="EB48" s="383">
        <f t="shared" si="184"/>
        <v>33495.599999999999</v>
      </c>
      <c r="EC48" s="242">
        <f>$DZ$8/'CAM Majors'!$D48</f>
        <v>9.1931884190895471E-2</v>
      </c>
      <c r="ED48" s="463">
        <f t="shared" si="167"/>
        <v>3079.3136201045581</v>
      </c>
      <c r="EE48" s="463">
        <f t="shared" si="168"/>
        <v>153.96568100522791</v>
      </c>
      <c r="EF48" s="464">
        <f t="shared" si="169"/>
        <v>3233.279301109786</v>
      </c>
    </row>
    <row r="49" spans="1:136">
      <c r="A49" s="60"/>
      <c r="B49" s="51"/>
      <c r="C49" s="500"/>
      <c r="D49" s="144"/>
      <c r="E49" s="144"/>
      <c r="F49" s="404"/>
      <c r="G49" s="144"/>
      <c r="H49" s="2"/>
      <c r="I49" s="144"/>
      <c r="J49" s="144"/>
      <c r="K49" s="60"/>
      <c r="L49" s="51"/>
      <c r="M49" s="500"/>
      <c r="N49" s="144"/>
      <c r="O49" s="144"/>
      <c r="P49" s="404"/>
      <c r="Q49" s="144"/>
      <c r="R49" s="2"/>
      <c r="S49" s="144"/>
      <c r="T49" s="60"/>
      <c r="U49" s="51"/>
      <c r="V49" s="500"/>
      <c r="W49" s="144"/>
      <c r="X49" s="144"/>
      <c r="Y49" s="404"/>
      <c r="Z49" s="144"/>
      <c r="AA49" s="2"/>
      <c r="AB49" s="144"/>
      <c r="AC49" s="60"/>
      <c r="AD49" s="51"/>
      <c r="AE49" s="500"/>
      <c r="AF49" s="144"/>
      <c r="AG49" s="144"/>
      <c r="AH49" s="404"/>
      <c r="AI49" s="144"/>
      <c r="AJ49" s="2"/>
      <c r="AK49" s="144"/>
      <c r="AL49" s="60"/>
      <c r="AM49" s="51"/>
      <c r="AN49" s="500"/>
      <c r="AO49" s="144"/>
      <c r="AP49" s="144"/>
      <c r="AQ49" s="404"/>
      <c r="AR49" s="144"/>
      <c r="AS49" s="2"/>
      <c r="AT49" s="144"/>
      <c r="AU49" s="60"/>
      <c r="AV49" s="51"/>
      <c r="AW49" s="500"/>
      <c r="AX49" s="144"/>
      <c r="AY49" s="144"/>
      <c r="AZ49" s="404"/>
      <c r="BA49" s="144"/>
      <c r="BB49" s="2"/>
      <c r="BC49" s="144"/>
      <c r="BD49" s="60"/>
      <c r="BE49" s="51"/>
      <c r="BF49" s="500"/>
      <c r="BG49" s="144"/>
      <c r="BH49" s="144"/>
      <c r="BI49" s="404"/>
      <c r="BJ49" s="144"/>
      <c r="BK49" s="2"/>
      <c r="BL49" s="144"/>
      <c r="BM49" s="60"/>
      <c r="BN49" s="51"/>
      <c r="BO49" s="500"/>
      <c r="BP49" s="144"/>
      <c r="BQ49" s="144"/>
      <c r="BR49" s="404"/>
      <c r="BS49" s="144"/>
      <c r="BT49" s="2"/>
      <c r="BU49" s="144"/>
      <c r="BV49" s="60"/>
      <c r="BW49" s="51"/>
      <c r="BX49" s="500"/>
      <c r="BY49" s="144"/>
      <c r="BZ49" s="144"/>
      <c r="CA49" s="404"/>
      <c r="CB49" s="144"/>
      <c r="CC49" s="2"/>
      <c r="CD49" s="144"/>
      <c r="CE49" s="60"/>
      <c r="CF49" s="51"/>
      <c r="CG49" s="500"/>
      <c r="CH49" s="144"/>
      <c r="CI49" s="144"/>
      <c r="CJ49" s="404"/>
      <c r="CK49" s="144"/>
      <c r="CL49" s="2"/>
      <c r="CM49" s="144"/>
      <c r="CN49" s="60"/>
      <c r="CO49" s="51"/>
      <c r="CP49" s="500"/>
      <c r="CQ49" s="144"/>
      <c r="CR49" s="144"/>
      <c r="CS49" s="404"/>
      <c r="CT49" s="144"/>
      <c r="CU49" s="2"/>
      <c r="CV49" s="144"/>
      <c r="CW49" s="60"/>
      <c r="CX49" s="51"/>
      <c r="CY49" s="500"/>
      <c r="CZ49" s="144"/>
      <c r="DA49" s="144"/>
      <c r="DB49" s="404"/>
      <c r="DC49" s="144"/>
      <c r="DD49" s="2"/>
      <c r="DE49" s="144"/>
      <c r="DF49" s="60"/>
      <c r="DG49" s="51"/>
      <c r="DH49" s="500"/>
      <c r="DI49" s="144"/>
      <c r="DJ49" s="144"/>
      <c r="DK49" s="404"/>
      <c r="DL49" s="144"/>
      <c r="DM49" s="2"/>
      <c r="DN49" s="144"/>
      <c r="DO49" s="60"/>
      <c r="DP49" s="51"/>
      <c r="DQ49" s="500"/>
      <c r="DR49" s="144"/>
      <c r="DS49" s="144"/>
      <c r="DT49" s="404"/>
      <c r="DU49" s="144"/>
      <c r="DV49" s="2"/>
      <c r="DW49" s="144"/>
      <c r="DX49" s="60"/>
      <c r="DY49" s="51"/>
      <c r="DZ49" s="500"/>
      <c r="EA49" s="144"/>
      <c r="EB49" s="144"/>
      <c r="EC49" s="404"/>
      <c r="ED49" s="144"/>
      <c r="EE49" s="2"/>
      <c r="EF49" s="144"/>
    </row>
    <row r="50" spans="1:136">
      <c r="A50" s="60"/>
      <c r="B50" s="471" t="str">
        <f>'CAM Majors'!$B$50</f>
        <v>SUBTOTAL BUILDING EXP.</v>
      </c>
      <c r="C50" s="503">
        <f>SUM(C41:C48)</f>
        <v>64325</v>
      </c>
      <c r="D50" s="503">
        <f t="shared" ref="D50:E50" si="186">SUM(D41:D48)</f>
        <v>0</v>
      </c>
      <c r="E50" s="503">
        <f t="shared" si="186"/>
        <v>64325</v>
      </c>
      <c r="F50" s="503"/>
      <c r="G50" s="472">
        <f t="shared" ref="G50:I50" si="187">SUM(G41:G48)</f>
        <v>5899.7523617353027</v>
      </c>
      <c r="H50" s="472">
        <f t="shared" si="187"/>
        <v>589.97523617353033</v>
      </c>
      <c r="I50" s="472">
        <f t="shared" si="187"/>
        <v>6489.7275979088336</v>
      </c>
      <c r="J50" s="504">
        <f>I50/C8</f>
        <v>2.1632425326362776</v>
      </c>
      <c r="K50" s="60"/>
      <c r="L50" s="471" t="str">
        <f>'CAM Majors'!$B$50</f>
        <v>SUBTOTAL BUILDING EXP.</v>
      </c>
      <c r="M50" s="503">
        <f>SUM(M41:M48)</f>
        <v>64325</v>
      </c>
      <c r="N50" s="503">
        <f t="shared" ref="N50:O50" si="188">SUM(N41:N48)</f>
        <v>0</v>
      </c>
      <c r="O50" s="503">
        <f t="shared" si="188"/>
        <v>64325</v>
      </c>
      <c r="P50" s="503"/>
      <c r="Q50" s="472">
        <f t="shared" ref="Q50:S50" si="189">SUM(Q41:Q48)</f>
        <v>3195.6991959399556</v>
      </c>
      <c r="R50" s="472">
        <f t="shared" si="189"/>
        <v>127.82796783759822</v>
      </c>
      <c r="S50" s="472">
        <f t="shared" si="189"/>
        <v>3323.5271637775536</v>
      </c>
      <c r="T50" s="60"/>
      <c r="U50" s="471" t="str">
        <f>'CAM Majors'!$B$50</f>
        <v>SUBTOTAL BUILDING EXP.</v>
      </c>
      <c r="V50" s="503">
        <f>SUM(V41:V48)</f>
        <v>64325</v>
      </c>
      <c r="W50" s="503">
        <f>SUM(W41:W48)</f>
        <v>0</v>
      </c>
      <c r="X50" s="503">
        <f>SUM(X41:X48)</f>
        <v>64325</v>
      </c>
      <c r="Y50" s="476"/>
      <c r="Z50" s="472">
        <f t="shared" ref="Z50:AB50" si="190">SUM(Z41:Z48)</f>
        <v>2753.2177688098072</v>
      </c>
      <c r="AA50" s="472">
        <f t="shared" si="190"/>
        <v>0</v>
      </c>
      <c r="AB50" s="472">
        <f t="shared" si="190"/>
        <v>2753.2177688098072</v>
      </c>
      <c r="AC50" s="60"/>
      <c r="AD50" s="471" t="str">
        <f>'CAM Majors'!$B$50</f>
        <v>SUBTOTAL BUILDING EXP.</v>
      </c>
      <c r="AE50" s="503">
        <f>SUM(AE41:AE48)</f>
        <v>64325</v>
      </c>
      <c r="AF50" s="503">
        <f t="shared" ref="AF50:AG50" si="191">SUM(AF41:AF48)</f>
        <v>0</v>
      </c>
      <c r="AG50" s="503">
        <f t="shared" si="191"/>
        <v>64325</v>
      </c>
      <c r="AH50" s="503"/>
      <c r="AI50" s="472">
        <f t="shared" ref="AI50:AK50" si="192">SUM(AI41:AI48)</f>
        <v>2186.8415420832189</v>
      </c>
      <c r="AJ50" s="472">
        <f t="shared" si="192"/>
        <v>0</v>
      </c>
      <c r="AK50" s="472">
        <f t="shared" si="192"/>
        <v>2186.8415420832189</v>
      </c>
      <c r="AL50" s="60"/>
      <c r="AM50" s="471" t="str">
        <f>'CAM Majors'!$B$50</f>
        <v>SUBTOTAL BUILDING EXP.</v>
      </c>
      <c r="AN50" s="503">
        <f>SUM(AN41:AN48)</f>
        <v>64325</v>
      </c>
      <c r="AO50" s="503">
        <f t="shared" ref="AO50:AP50" si="193">SUM(AO41:AO48)</f>
        <v>0</v>
      </c>
      <c r="AP50" s="503">
        <f t="shared" si="193"/>
        <v>64325</v>
      </c>
      <c r="AQ50" s="503"/>
      <c r="AR50" s="472">
        <f t="shared" ref="AR50:AT50" si="194">SUM(AR41:AR48)</f>
        <v>4904.6607967226146</v>
      </c>
      <c r="AS50" s="472">
        <f t="shared" si="194"/>
        <v>0</v>
      </c>
      <c r="AT50" s="472">
        <f t="shared" si="194"/>
        <v>4904.6607967226146</v>
      </c>
      <c r="AU50" s="60"/>
      <c r="AV50" s="471" t="str">
        <f>'CAM Majors'!$B$50</f>
        <v>SUBTOTAL BUILDING EXP.</v>
      </c>
      <c r="AW50" s="503">
        <f>SUM(AW41:AW48)</f>
        <v>64325</v>
      </c>
      <c r="AX50" s="503">
        <f t="shared" ref="AX50:AY50" si="195">SUM(AX41:AX48)</f>
        <v>0</v>
      </c>
      <c r="AY50" s="503">
        <f t="shared" si="195"/>
        <v>64325</v>
      </c>
      <c r="AZ50" s="503"/>
      <c r="BA50" s="472">
        <f t="shared" ref="BA50:BC50" si="196">SUM(BA41:BA48)</f>
        <v>2949.8761808676513</v>
      </c>
      <c r="BB50" s="472">
        <f t="shared" si="196"/>
        <v>0</v>
      </c>
      <c r="BC50" s="472">
        <f t="shared" si="196"/>
        <v>2949.8761808676513</v>
      </c>
      <c r="BD50" s="60"/>
      <c r="BE50" s="471" t="str">
        <f>'CAM Majors'!$B$50</f>
        <v>SUBTOTAL BUILDING EXP.</v>
      </c>
      <c r="BF50" s="503">
        <f>SUM(BF41:BF48)</f>
        <v>64325</v>
      </c>
      <c r="BG50" s="503">
        <f>SUM(BG41:BG48)</f>
        <v>0</v>
      </c>
      <c r="BH50" s="503">
        <f>SUM(BH41:BH48)</f>
        <v>64325</v>
      </c>
      <c r="BI50" s="476"/>
      <c r="BJ50" s="472">
        <f t="shared" ref="BJ50:BL50" si="197">SUM(BJ41:BJ48)</f>
        <v>3410.0568650830046</v>
      </c>
      <c r="BK50" s="472">
        <f t="shared" si="197"/>
        <v>170.50284325415024</v>
      </c>
      <c r="BL50" s="472">
        <f t="shared" si="197"/>
        <v>3580.5597083371549</v>
      </c>
      <c r="BM50" s="60"/>
      <c r="BN50" s="471" t="str">
        <f>'CAM Majors'!$B$50</f>
        <v>SUBTOTAL BUILDING EXP.</v>
      </c>
      <c r="BO50" s="503">
        <f>SUM(BO41:BO48)</f>
        <v>64325</v>
      </c>
      <c r="BP50" s="503">
        <f>SUM(BP41:BP48)</f>
        <v>0</v>
      </c>
      <c r="BQ50" s="503">
        <f>SUM(BQ41:BQ48)</f>
        <v>64325</v>
      </c>
      <c r="BR50" s="476"/>
      <c r="BS50" s="472">
        <f t="shared" ref="BS50:BU50" si="198">SUM(BS41:BS48)</f>
        <v>7669.6780702558935</v>
      </c>
      <c r="BT50" s="472">
        <f t="shared" si="198"/>
        <v>0</v>
      </c>
      <c r="BU50" s="472">
        <f t="shared" si="198"/>
        <v>7669.6780702558935</v>
      </c>
      <c r="BV50" s="60"/>
      <c r="BW50" s="471" t="str">
        <f>'CAM Majors'!$B$50</f>
        <v>SUBTOTAL BUILDING EXP.</v>
      </c>
      <c r="BX50" s="503">
        <f>SUM(BX41:BX48)</f>
        <v>64325</v>
      </c>
      <c r="BY50" s="503">
        <f>SUM(BY41:BY48)</f>
        <v>0</v>
      </c>
      <c r="BZ50" s="503">
        <f>SUM(BZ41:BZ48)</f>
        <v>64325</v>
      </c>
      <c r="CA50" s="476"/>
      <c r="CB50" s="472">
        <f t="shared" ref="CB50:CD50" si="199">SUM(CB41:CB48)</f>
        <v>2530.9937631844441</v>
      </c>
      <c r="CC50" s="472">
        <f t="shared" si="199"/>
        <v>0</v>
      </c>
      <c r="CD50" s="472">
        <f t="shared" si="199"/>
        <v>2530.9937631844441</v>
      </c>
      <c r="CE50" s="60"/>
      <c r="CF50" s="471" t="str">
        <f>'CAM Majors'!$B$50</f>
        <v>SUBTOTAL BUILDING EXP.</v>
      </c>
      <c r="CG50" s="503">
        <f>SUM(CG41:CG48)</f>
        <v>64325</v>
      </c>
      <c r="CH50" s="503">
        <f t="shared" ref="CH50:CI50" si="200">SUM(CH41:CH48)</f>
        <v>0</v>
      </c>
      <c r="CI50" s="503">
        <f t="shared" si="200"/>
        <v>64325</v>
      </c>
      <c r="CJ50" s="503"/>
      <c r="CK50" s="472">
        <f t="shared" ref="CK50:CM50" si="201">SUM(CK41:CK48)</f>
        <v>3223.2313736280539</v>
      </c>
      <c r="CL50" s="472">
        <f t="shared" si="201"/>
        <v>0</v>
      </c>
      <c r="CM50" s="472">
        <f t="shared" si="201"/>
        <v>3223.2313736280539</v>
      </c>
      <c r="CN50" s="60"/>
      <c r="CO50" s="471" t="str">
        <f>'CAM Majors'!$B$50</f>
        <v>SUBTOTAL BUILDING EXP.</v>
      </c>
      <c r="CP50" s="503">
        <f>SUM(CP41:CP48)</f>
        <v>64325</v>
      </c>
      <c r="CQ50" s="503">
        <f t="shared" ref="CQ50:CR50" si="202">SUM(CQ41:CQ48)</f>
        <v>0</v>
      </c>
      <c r="CR50" s="503">
        <f t="shared" si="202"/>
        <v>64325</v>
      </c>
      <c r="CS50" s="503"/>
      <c r="CT50" s="472">
        <f t="shared" ref="CT50:CV50" si="203">SUM(CT41:CT48)</f>
        <v>7079.7028340823617</v>
      </c>
      <c r="CU50" s="472">
        <f t="shared" si="203"/>
        <v>0</v>
      </c>
      <c r="CV50" s="472">
        <f t="shared" si="203"/>
        <v>7079.7028340823617</v>
      </c>
      <c r="CW50" s="60"/>
      <c r="CX50" s="471" t="str">
        <f>'CAM Majors'!$B$50</f>
        <v>SUBTOTAL BUILDING EXP.</v>
      </c>
      <c r="CY50" s="503">
        <f>SUM(CY41:CY48)</f>
        <v>64325</v>
      </c>
      <c r="CZ50" s="503">
        <f>SUM(CZ41:CZ48)</f>
        <v>0</v>
      </c>
      <c r="DA50" s="503">
        <f>SUM(DA41:DA48)</f>
        <v>64325</v>
      </c>
      <c r="DB50" s="476"/>
      <c r="DC50" s="472">
        <f t="shared" ref="DC50:DE50" si="204">SUM(DC41:DC48)</f>
        <v>3120.968999357975</v>
      </c>
      <c r="DD50" s="472">
        <f t="shared" si="204"/>
        <v>312.09689993579747</v>
      </c>
      <c r="DE50" s="472">
        <f t="shared" si="204"/>
        <v>3433.065899293772</v>
      </c>
      <c r="DF50" s="60"/>
      <c r="DG50" s="471" t="str">
        <f>'CAM Majors'!$B$50</f>
        <v>SUBTOTAL BUILDING EXP.</v>
      </c>
      <c r="DH50" s="503">
        <f>SUM(DH41:DH48)</f>
        <v>64325</v>
      </c>
      <c r="DI50" s="503">
        <f>SUM(DI41:DI48)</f>
        <v>0</v>
      </c>
      <c r="DJ50" s="503">
        <f>SUM(DJ41:DJ48)</f>
        <v>64325</v>
      </c>
      <c r="DK50" s="476"/>
      <c r="DL50" s="472">
        <f t="shared" ref="DL50:DN50" si="205">SUM(DL41:DL48)</f>
        <v>2556.5593567519641</v>
      </c>
      <c r="DM50" s="472">
        <f t="shared" si="205"/>
        <v>383.4839035127946</v>
      </c>
      <c r="DN50" s="472">
        <f t="shared" si="205"/>
        <v>2940.0432602647588</v>
      </c>
      <c r="DO50" s="60"/>
      <c r="DP50" s="471" t="str">
        <f>'CAM Majors'!$B$50</f>
        <v>SUBTOTAL BUILDING EXP.</v>
      </c>
      <c r="DQ50" s="503">
        <f>SUM(DQ41:DQ48)</f>
        <v>64325</v>
      </c>
      <c r="DR50" s="503">
        <f>SUM(DR41:DR48)</f>
        <v>0</v>
      </c>
      <c r="DS50" s="503">
        <f>SUM(DS41:DS48)</f>
        <v>64325</v>
      </c>
      <c r="DT50" s="476"/>
      <c r="DU50" s="472">
        <f t="shared" ref="DU50:DW50" si="206">SUM(DU41:DU48)</f>
        <v>6930.2424409184014</v>
      </c>
      <c r="DV50" s="472">
        <f t="shared" si="206"/>
        <v>346.51212204592008</v>
      </c>
      <c r="DW50" s="472">
        <f t="shared" si="206"/>
        <v>7276.7545629643209</v>
      </c>
      <c r="DX50" s="60"/>
      <c r="DY50" s="471" t="str">
        <f>'CAM Majors'!$B$50</f>
        <v>SUBTOTAL BUILDING EXP.</v>
      </c>
      <c r="DZ50" s="503">
        <f>SUM(DZ41:DZ48)</f>
        <v>64325</v>
      </c>
      <c r="EA50" s="503">
        <f>SUM(EA41:EA48)</f>
        <v>0</v>
      </c>
      <c r="EB50" s="503">
        <f>SUM(EB41:EB48)</f>
        <v>64325</v>
      </c>
      <c r="EC50" s="476"/>
      <c r="ED50" s="472">
        <f t="shared" ref="ED50:EF50" si="207">SUM(ED41:ED48)</f>
        <v>5913.5184505793513</v>
      </c>
      <c r="EE50" s="472">
        <f t="shared" si="207"/>
        <v>295.67592252896759</v>
      </c>
      <c r="EF50" s="472">
        <f t="shared" si="207"/>
        <v>6209.1943731083193</v>
      </c>
    </row>
    <row r="51" spans="1:136">
      <c r="A51" s="60"/>
      <c r="B51" s="51"/>
      <c r="C51" s="500"/>
      <c r="D51" s="144"/>
      <c r="E51" s="144"/>
      <c r="F51" s="404"/>
      <c r="G51" s="144"/>
      <c r="H51" s="2"/>
      <c r="I51" s="144"/>
      <c r="J51" s="144">
        <f>J50-J48-J47</f>
        <v>0.5733223271882355</v>
      </c>
      <c r="K51" s="60"/>
      <c r="L51" s="51"/>
      <c r="M51" s="500"/>
      <c r="N51" s="144"/>
      <c r="O51" s="144"/>
      <c r="P51" s="404"/>
      <c r="Q51" s="144"/>
      <c r="R51" s="2"/>
      <c r="S51" s="144"/>
      <c r="T51" s="60"/>
      <c r="U51" s="51"/>
      <c r="V51" s="500"/>
      <c r="W51" s="144"/>
      <c r="X51" s="144"/>
      <c r="Y51" s="404"/>
      <c r="Z51" s="144"/>
      <c r="AA51" s="2"/>
      <c r="AB51" s="144"/>
      <c r="AC51" s="60"/>
      <c r="AD51" s="51"/>
      <c r="AE51" s="500"/>
      <c r="AF51" s="144"/>
      <c r="AG51" s="144"/>
      <c r="AH51" s="404"/>
      <c r="AI51" s="144"/>
      <c r="AJ51" s="2"/>
      <c r="AK51" s="144"/>
      <c r="AL51" s="60"/>
      <c r="AM51" s="51"/>
      <c r="AN51" s="500"/>
      <c r="AO51" s="144"/>
      <c r="AP51" s="144"/>
      <c r="AQ51" s="404"/>
      <c r="AR51" s="144"/>
      <c r="AS51" s="2"/>
      <c r="AT51" s="144"/>
      <c r="AU51" s="60"/>
      <c r="AV51" s="51"/>
      <c r="AW51" s="500"/>
      <c r="AX51" s="144"/>
      <c r="AY51" s="144"/>
      <c r="AZ51" s="404"/>
      <c r="BA51" s="144"/>
      <c r="BB51" s="2"/>
      <c r="BC51" s="144"/>
      <c r="BD51" s="60"/>
      <c r="BE51" s="51"/>
      <c r="BF51" s="500"/>
      <c r="BG51" s="144"/>
      <c r="BH51" s="144"/>
      <c r="BI51" s="404"/>
      <c r="BJ51" s="144"/>
      <c r="BK51" s="2"/>
      <c r="BL51" s="144"/>
      <c r="BM51" s="60"/>
      <c r="BN51" s="51"/>
      <c r="BO51" s="500"/>
      <c r="BP51" s="144"/>
      <c r="BQ51" s="144"/>
      <c r="BR51" s="404"/>
      <c r="BS51" s="144"/>
      <c r="BT51" s="2"/>
      <c r="BU51" s="144"/>
      <c r="BV51" s="60"/>
      <c r="BW51" s="51"/>
      <c r="BX51" s="500"/>
      <c r="BY51" s="144"/>
      <c r="BZ51" s="144"/>
      <c r="CA51" s="404"/>
      <c r="CB51" s="144"/>
      <c r="CC51" s="2"/>
      <c r="CD51" s="144"/>
      <c r="CE51" s="60"/>
      <c r="CF51" s="51"/>
      <c r="CG51" s="500"/>
      <c r="CH51" s="144"/>
      <c r="CI51" s="144"/>
      <c r="CJ51" s="404"/>
      <c r="CK51" s="144"/>
      <c r="CL51" s="2"/>
      <c r="CM51" s="144"/>
      <c r="CN51" s="60"/>
      <c r="CO51" s="51"/>
      <c r="CP51" s="500"/>
      <c r="CQ51" s="144"/>
      <c r="CR51" s="144"/>
      <c r="CS51" s="404"/>
      <c r="CT51" s="144"/>
      <c r="CU51" s="2"/>
      <c r="CV51" s="144"/>
      <c r="CW51" s="60"/>
      <c r="CX51" s="51"/>
      <c r="CY51" s="500"/>
      <c r="CZ51" s="144"/>
      <c r="DA51" s="144"/>
      <c r="DB51" s="404"/>
      <c r="DC51" s="144"/>
      <c r="DD51" s="2"/>
      <c r="DE51" s="144"/>
      <c r="DF51" s="60"/>
      <c r="DG51" s="51"/>
      <c r="DH51" s="500"/>
      <c r="DI51" s="144"/>
      <c r="DJ51" s="144"/>
      <c r="DK51" s="404"/>
      <c r="DL51" s="144"/>
      <c r="DM51" s="2"/>
      <c r="DN51" s="144"/>
      <c r="DO51" s="60"/>
      <c r="DP51" s="51"/>
      <c r="DQ51" s="500"/>
      <c r="DR51" s="144"/>
      <c r="DS51" s="144"/>
      <c r="DT51" s="404"/>
      <c r="DU51" s="144"/>
      <c r="DV51" s="2"/>
      <c r="DW51" s="144"/>
      <c r="DX51" s="60"/>
      <c r="DY51" s="51"/>
      <c r="DZ51" s="500"/>
      <c r="EA51" s="144"/>
      <c r="EB51" s="144"/>
      <c r="EC51" s="404"/>
      <c r="ED51" s="144"/>
      <c r="EE51" s="2"/>
      <c r="EF51" s="144"/>
    </row>
    <row r="52" spans="1:136">
      <c r="A52" s="60"/>
      <c r="B52" s="51" t="str">
        <f>'CAM Majors'!$B$52</f>
        <v>INSURANCE</v>
      </c>
      <c r="C52" s="165"/>
      <c r="D52" s="2"/>
      <c r="E52" s="2"/>
      <c r="F52" s="242"/>
      <c r="G52" s="2"/>
      <c r="H52" s="2"/>
      <c r="I52" s="2"/>
      <c r="J52" s="2"/>
      <c r="K52" s="60"/>
      <c r="L52" s="51" t="str">
        <f>'CAM Majors'!$B$52</f>
        <v>INSURANCE</v>
      </c>
      <c r="M52" s="165"/>
      <c r="N52" s="2"/>
      <c r="O52" s="2"/>
      <c r="P52" s="242"/>
      <c r="Q52" s="2"/>
      <c r="R52" s="2"/>
      <c r="S52" s="2"/>
      <c r="T52" s="60"/>
      <c r="U52" s="51" t="str">
        <f>'CAM Majors'!$B$52</f>
        <v>INSURANCE</v>
      </c>
      <c r="V52" s="165"/>
      <c r="W52" s="2"/>
      <c r="X52" s="2"/>
      <c r="Y52" s="242"/>
      <c r="Z52" s="2"/>
      <c r="AA52" s="2"/>
      <c r="AB52" s="2"/>
      <c r="AC52" s="60"/>
      <c r="AD52" s="51" t="str">
        <f>'CAM Majors'!$B$52</f>
        <v>INSURANCE</v>
      </c>
      <c r="AE52" s="165"/>
      <c r="AF52" s="2"/>
      <c r="AG52" s="2"/>
      <c r="AH52" s="242"/>
      <c r="AI52" s="2"/>
      <c r="AJ52" s="2"/>
      <c r="AK52" s="2"/>
      <c r="AL52" s="60"/>
      <c r="AM52" s="51" t="str">
        <f>'CAM Majors'!$B$52</f>
        <v>INSURANCE</v>
      </c>
      <c r="AN52" s="165"/>
      <c r="AO52" s="2"/>
      <c r="AP52" s="2"/>
      <c r="AQ52" s="242"/>
      <c r="AR52" s="2"/>
      <c r="AS52" s="2"/>
      <c r="AT52" s="2"/>
      <c r="AU52" s="60"/>
      <c r="AV52" s="51" t="str">
        <f>'CAM Majors'!$B$52</f>
        <v>INSURANCE</v>
      </c>
      <c r="AW52" s="165"/>
      <c r="AX52" s="2"/>
      <c r="AY52" s="2"/>
      <c r="AZ52" s="242"/>
      <c r="BA52" s="2"/>
      <c r="BB52" s="2"/>
      <c r="BC52" s="2"/>
      <c r="BD52" s="60"/>
      <c r="BE52" s="51" t="str">
        <f>'CAM Majors'!$B$52</f>
        <v>INSURANCE</v>
      </c>
      <c r="BF52" s="165"/>
      <c r="BG52" s="2"/>
      <c r="BH52" s="2"/>
      <c r="BI52" s="242"/>
      <c r="BJ52" s="2"/>
      <c r="BK52" s="2"/>
      <c r="BL52" s="2"/>
      <c r="BM52" s="60"/>
      <c r="BN52" s="51" t="str">
        <f>'CAM Majors'!$B$52</f>
        <v>INSURANCE</v>
      </c>
      <c r="BO52" s="165"/>
      <c r="BP52" s="2"/>
      <c r="BQ52" s="2"/>
      <c r="BR52" s="242"/>
      <c r="BS52" s="2"/>
      <c r="BT52" s="2"/>
      <c r="BU52" s="2"/>
      <c r="BV52" s="60"/>
      <c r="BW52" s="51" t="str">
        <f>'CAM Majors'!$B$52</f>
        <v>INSURANCE</v>
      </c>
      <c r="BX52" s="165"/>
      <c r="BY52" s="2"/>
      <c r="BZ52" s="2"/>
      <c r="CA52" s="242"/>
      <c r="CB52" s="2"/>
      <c r="CC52" s="2"/>
      <c r="CD52" s="2"/>
      <c r="CE52" s="60"/>
      <c r="CF52" s="51" t="str">
        <f>'CAM Majors'!$B$52</f>
        <v>INSURANCE</v>
      </c>
      <c r="CG52" s="165"/>
      <c r="CH52" s="2"/>
      <c r="CI52" s="2"/>
      <c r="CJ52" s="242"/>
      <c r="CK52" s="2"/>
      <c r="CL52" s="2"/>
      <c r="CM52" s="2"/>
      <c r="CN52" s="60"/>
      <c r="CO52" s="51" t="str">
        <f>'CAM Majors'!$B$52</f>
        <v>INSURANCE</v>
      </c>
      <c r="CP52" s="165"/>
      <c r="CQ52" s="2"/>
      <c r="CR52" s="2"/>
      <c r="CS52" s="242"/>
      <c r="CT52" s="2"/>
      <c r="CU52" s="2"/>
      <c r="CV52" s="2"/>
      <c r="CW52" s="60"/>
      <c r="CX52" s="51" t="str">
        <f>'CAM Majors'!$B$52</f>
        <v>INSURANCE</v>
      </c>
      <c r="CY52" s="165"/>
      <c r="CZ52" s="2"/>
      <c r="DA52" s="2"/>
      <c r="DB52" s="242"/>
      <c r="DC52" s="2"/>
      <c r="DD52" s="2"/>
      <c r="DE52" s="2"/>
      <c r="DF52" s="60"/>
      <c r="DG52" s="51" t="str">
        <f>'CAM Majors'!$B$52</f>
        <v>INSURANCE</v>
      </c>
      <c r="DH52" s="165"/>
      <c r="DI52" s="2"/>
      <c r="DJ52" s="2"/>
      <c r="DK52" s="242"/>
      <c r="DL52" s="2"/>
      <c r="DM52" s="2"/>
      <c r="DN52" s="2"/>
      <c r="DO52" s="60"/>
      <c r="DP52" s="51" t="str">
        <f>'CAM Majors'!$B$52</f>
        <v>INSURANCE</v>
      </c>
      <c r="DQ52" s="165"/>
      <c r="DR52" s="2"/>
      <c r="DS52" s="2"/>
      <c r="DT52" s="242"/>
      <c r="DU52" s="2"/>
      <c r="DV52" s="2"/>
      <c r="DW52" s="2"/>
      <c r="DX52" s="60"/>
      <c r="DY52" s="51" t="str">
        <f>'CAM Majors'!$B$52</f>
        <v>INSURANCE</v>
      </c>
      <c r="DZ52" s="165"/>
      <c r="EA52" s="2"/>
      <c r="EB52" s="2"/>
      <c r="EC52" s="242"/>
      <c r="ED52" s="2"/>
      <c r="EE52" s="2"/>
      <c r="EF52" s="2"/>
    </row>
    <row r="53" spans="1:136">
      <c r="A53" s="60">
        <f>'CAM Majors'!$A$53</f>
        <v>50111</v>
      </c>
      <c r="B53" s="2" t="str">
        <f>'CAM Majors'!$B$53</f>
        <v>Insurance - Property</v>
      </c>
      <c r="C53" s="500">
        <f>'CAM Majors'!$C$53</f>
        <v>28129.200000000001</v>
      </c>
      <c r="D53" s="461">
        <v>0</v>
      </c>
      <c r="E53" s="383">
        <f>C53+D53</f>
        <v>28129.200000000001</v>
      </c>
      <c r="F53" s="242">
        <f>$C$8/'CAM Majors'!D53</f>
        <v>4.4307256051632722E-2</v>
      </c>
      <c r="G53" s="463">
        <f t="shared" ref="G53:G56" si="208">E53*F53</f>
        <v>1246.3276669275872</v>
      </c>
      <c r="H53" s="463">
        <v>0</v>
      </c>
      <c r="I53" s="464">
        <f t="shared" ref="I53:I56" si="209">G53+H53</f>
        <v>1246.3276669275872</v>
      </c>
      <c r="J53" s="464"/>
      <c r="K53" s="60">
        <f>'CAM Majors'!$A$53</f>
        <v>50111</v>
      </c>
      <c r="L53" s="2" t="str">
        <f>'CAM Majors'!$B$53</f>
        <v>Insurance - Property</v>
      </c>
      <c r="M53" s="500">
        <f>'CAM Majors'!$C$53</f>
        <v>28129.200000000001</v>
      </c>
      <c r="N53" s="461">
        <v>0</v>
      </c>
      <c r="O53" s="383">
        <f>M53+N53</f>
        <v>28129.200000000001</v>
      </c>
      <c r="P53" s="242">
        <f>$M$8/'CAM Majors'!$D$53</f>
        <v>2.3999763694634392E-2</v>
      </c>
      <c r="Q53" s="463">
        <f t="shared" ref="Q53:Q56" si="210">O53*P53</f>
        <v>675.09415291910977</v>
      </c>
      <c r="R53" s="463">
        <v>0</v>
      </c>
      <c r="S53" s="464">
        <f t="shared" ref="S53:S56" si="211">Q53+R53</f>
        <v>675.09415291910977</v>
      </c>
      <c r="T53" s="60">
        <f>'CAM Majors'!$A$53</f>
        <v>50111</v>
      </c>
      <c r="U53" s="2" t="str">
        <f>'CAM Majors'!$B$53</f>
        <v>Insurance - Property</v>
      </c>
      <c r="V53" s="500">
        <f>'CAM Majors'!$C$53</f>
        <v>28129.200000000001</v>
      </c>
      <c r="W53" s="461">
        <v>0</v>
      </c>
      <c r="X53" s="383">
        <f>V53+W53</f>
        <v>28129.200000000001</v>
      </c>
      <c r="Y53" s="242">
        <f>$V$8/'CAM Majors'!D53</f>
        <v>2.0676719490761938E-2</v>
      </c>
      <c r="Z53" s="463">
        <f t="shared" ref="Z53:Z56" si="212">X53*Y53</f>
        <v>581.61957789954067</v>
      </c>
      <c r="AA53" s="463">
        <v>0</v>
      </c>
      <c r="AB53" s="464">
        <f t="shared" ref="AB53:AB56" si="213">Z53+AA53</f>
        <v>581.61957789954067</v>
      </c>
      <c r="AC53" s="60">
        <f>'CAM Majors'!$A$53</f>
        <v>50111</v>
      </c>
      <c r="AD53" s="2" t="str">
        <f>'CAM Majors'!$B$53</f>
        <v>Insurance - Property</v>
      </c>
      <c r="AE53" s="500">
        <f>'CAM Majors'!$C$53</f>
        <v>28129.200000000001</v>
      </c>
      <c r="AF53" s="461">
        <v>0</v>
      </c>
      <c r="AG53" s="383">
        <f>AE53+AF53</f>
        <v>28129.200000000001</v>
      </c>
      <c r="AH53" s="242">
        <f>$AE$8/'CAM Majors'!D53</f>
        <v>1.6423222909805194E-2</v>
      </c>
      <c r="AI53" s="463">
        <f t="shared" ref="AI53:AI56" si="214">AG53*AH53</f>
        <v>461.9721218744923</v>
      </c>
      <c r="AJ53" s="463">
        <v>0</v>
      </c>
      <c r="AK53" s="464">
        <f t="shared" ref="AK53:AK56" si="215">AI53+AJ53</f>
        <v>461.9721218744923</v>
      </c>
      <c r="AL53" s="60">
        <f>'CAM Majors'!$A$53</f>
        <v>50111</v>
      </c>
      <c r="AM53" s="2" t="str">
        <f>'CAM Majors'!$B$53</f>
        <v>Insurance - Property</v>
      </c>
      <c r="AN53" s="500">
        <f>'CAM Majors'!$C$53</f>
        <v>28129.200000000001</v>
      </c>
      <c r="AO53" s="461">
        <v>0</v>
      </c>
      <c r="AP53" s="383">
        <f>AN53+AO53</f>
        <v>28129.200000000001</v>
      </c>
      <c r="AQ53" s="242">
        <f>$AN$8/'CAM Majors'!D53</f>
        <v>3.6834098864257335E-2</v>
      </c>
      <c r="AR53" s="463">
        <f t="shared" ref="AR53:AR56" si="216">AP53*AQ53</f>
        <v>1036.1137337724674</v>
      </c>
      <c r="AS53" s="463"/>
      <c r="AT53" s="464">
        <f t="shared" ref="AT53:AT56" si="217">AR53+AS53</f>
        <v>1036.1137337724674</v>
      </c>
      <c r="AU53" s="60">
        <f>'CAM Majors'!$A$53</f>
        <v>50111</v>
      </c>
      <c r="AV53" s="2" t="str">
        <f>'CAM Majors'!$B$53</f>
        <v>Insurance - Property</v>
      </c>
      <c r="AW53" s="500">
        <f>'CAM Majors'!$C$53</f>
        <v>28129.200000000001</v>
      </c>
      <c r="AX53" s="461">
        <v>0</v>
      </c>
      <c r="AY53" s="383">
        <f>AW53+AX53</f>
        <v>28129.200000000001</v>
      </c>
      <c r="AZ53" s="242">
        <f>$AW$8/'CAM Majors'!$D53</f>
        <v>2.2153628025816361E-2</v>
      </c>
      <c r="BA53" s="463">
        <f t="shared" ref="BA53:BA56" si="218">AY53*AZ53</f>
        <v>623.16383346379359</v>
      </c>
      <c r="BB53" s="463">
        <v>0</v>
      </c>
      <c r="BC53" s="464">
        <f t="shared" ref="BC53:BC56" si="219">BA53+BB53</f>
        <v>623.16383346379359</v>
      </c>
      <c r="BD53" s="60">
        <f>'CAM Majors'!$A$53</f>
        <v>50111</v>
      </c>
      <c r="BE53" s="2" t="str">
        <f>'CAM Majors'!$B$53</f>
        <v>Insurance - Property</v>
      </c>
      <c r="BF53" s="500">
        <f>'CAM Majors'!$C$53</f>
        <v>28129.200000000001</v>
      </c>
      <c r="BG53" s="461">
        <v>0</v>
      </c>
      <c r="BH53" s="383">
        <f>BF53+BG53</f>
        <v>28129.200000000001</v>
      </c>
      <c r="BI53" s="242">
        <f>$BF$8/'CAM Majors'!$D53</f>
        <v>2.5609593997843714E-2</v>
      </c>
      <c r="BJ53" s="463">
        <f t="shared" ref="BJ53:BJ56" si="220">BH53*BI53</f>
        <v>720.37739148414539</v>
      </c>
      <c r="BK53" s="463">
        <v>0</v>
      </c>
      <c r="BL53" s="464">
        <f t="shared" ref="BL53:BL56" si="221">BJ53+BK53</f>
        <v>720.37739148414539</v>
      </c>
      <c r="BM53" s="60">
        <f>'CAM Majors'!$A$53</f>
        <v>50111</v>
      </c>
      <c r="BN53" s="2" t="str">
        <f>'CAM Majors'!$B$53</f>
        <v>Insurance - Property</v>
      </c>
      <c r="BO53" s="500">
        <f>'CAM Majors'!$C$53</f>
        <v>28129.200000000001</v>
      </c>
      <c r="BP53" s="461">
        <v>0</v>
      </c>
      <c r="BQ53" s="383">
        <f>BO53+BP53</f>
        <v>28129.200000000001</v>
      </c>
      <c r="BR53" s="242">
        <f>$BO$8/'CAM Majors'!$D53</f>
        <v>5.7599432867122539E-2</v>
      </c>
      <c r="BS53" s="463">
        <f t="shared" ref="BS53:BS56" si="222">BQ53*BR53</f>
        <v>1620.2259670058634</v>
      </c>
      <c r="BT53" s="463">
        <v>0</v>
      </c>
      <c r="BU53" s="464">
        <f t="shared" ref="BU53:BU56" si="223">BS53+BT53</f>
        <v>1620.2259670058634</v>
      </c>
      <c r="BV53" s="60">
        <f>'CAM Majors'!$A$53</f>
        <v>50111</v>
      </c>
      <c r="BW53" s="2" t="str">
        <f>'CAM Majors'!$B$53</f>
        <v>Insurance - Property</v>
      </c>
      <c r="BX53" s="500">
        <f>'CAM Majors'!$C$53</f>
        <v>28129.200000000001</v>
      </c>
      <c r="BY53" s="461">
        <v>0</v>
      </c>
      <c r="BZ53" s="383">
        <f>BX53+BY53</f>
        <v>28129.200000000001</v>
      </c>
      <c r="CA53" s="242">
        <f>$BX$8/'CAM Majors'!$D53</f>
        <v>1.9007812846150437E-2</v>
      </c>
      <c r="CB53" s="463">
        <f t="shared" ref="CB53:CB56" si="224">BZ53*CA53</f>
        <v>534.67456911193483</v>
      </c>
      <c r="CC53" s="463">
        <v>0</v>
      </c>
      <c r="CD53" s="464">
        <f t="shared" ref="CD53:CD56" si="225">CB53+CC53</f>
        <v>534.67456911193483</v>
      </c>
      <c r="CE53" s="60">
        <f>'CAM Majors'!$A$53</f>
        <v>50111</v>
      </c>
      <c r="CF53" s="2" t="str">
        <f>'CAM Majors'!$B$53</f>
        <v>Insurance - Property</v>
      </c>
      <c r="CG53" s="500">
        <f>'CAM Majors'!$C$53</f>
        <v>28129.200000000001</v>
      </c>
      <c r="CH53" s="461">
        <v>0</v>
      </c>
      <c r="CI53" s="383">
        <f>CG53+CH53</f>
        <v>28129.200000000001</v>
      </c>
      <c r="CJ53" s="242">
        <f>$CG$8/'CAM Majors'!$D53</f>
        <v>2.420653088954201E-2</v>
      </c>
      <c r="CK53" s="463">
        <f t="shared" ref="CK53:CK56" si="226">CI53*CJ53</f>
        <v>680.91034869810517</v>
      </c>
      <c r="CL53" s="463">
        <v>0</v>
      </c>
      <c r="CM53" s="464">
        <f t="shared" ref="CM53:CM56" si="227">CK53+CL53</f>
        <v>680.91034869810517</v>
      </c>
      <c r="CN53" s="60">
        <f>'CAM Majors'!$A$53</f>
        <v>50111</v>
      </c>
      <c r="CO53" s="2" t="str">
        <f>'CAM Majors'!$B$53</f>
        <v>Insurance - Property</v>
      </c>
      <c r="CP53" s="500">
        <f>'CAM Majors'!$C$53</f>
        <v>28129.200000000001</v>
      </c>
      <c r="CQ53" s="461">
        <v>0</v>
      </c>
      <c r="CR53" s="383">
        <f>CP53+CQ53</f>
        <v>28129.200000000001</v>
      </c>
      <c r="CS53" s="242">
        <f>$CP$8/'CAM Majors'!$D53</f>
        <v>5.3168707261959269E-2</v>
      </c>
      <c r="CT53" s="463">
        <f t="shared" ref="CT53:CT56" si="228">CR53*CS53</f>
        <v>1495.5932003131047</v>
      </c>
      <c r="CU53" s="463"/>
      <c r="CV53" s="464">
        <f t="shared" ref="CV53:CV56" si="229">CT53+CU53</f>
        <v>1495.5932003131047</v>
      </c>
      <c r="CW53" s="60">
        <f>'CAM Majors'!$A$53</f>
        <v>50111</v>
      </c>
      <c r="CX53" s="2" t="str">
        <f>'CAM Majors'!$B$53</f>
        <v>Insurance - Property</v>
      </c>
      <c r="CY53" s="500">
        <f>'CAM Majors'!$C$53</f>
        <v>28129.200000000001</v>
      </c>
      <c r="CZ53" s="461">
        <v>0</v>
      </c>
      <c r="DA53" s="383">
        <f>CY53+CZ53</f>
        <v>28129.200000000001</v>
      </c>
      <c r="DB53" s="242">
        <f>$CY$8/'CAM Majors'!$D53</f>
        <v>2.343853845131371E-2</v>
      </c>
      <c r="DC53" s="463">
        <f t="shared" ref="DC53:DC56" si="230">DA53*DB53</f>
        <v>659.30733580469359</v>
      </c>
      <c r="DD53" s="463">
        <v>0</v>
      </c>
      <c r="DE53" s="464">
        <f t="shared" ref="DE53:DE56" si="231">DC53+DD53</f>
        <v>659.30733580469359</v>
      </c>
      <c r="DF53" s="60">
        <f>'CAM Majors'!$A$53</f>
        <v>50111</v>
      </c>
      <c r="DG53" s="2" t="str">
        <f>'CAM Majors'!$B$53</f>
        <v>Insurance - Property</v>
      </c>
      <c r="DH53" s="500">
        <f>'CAM Majors'!$C$53</f>
        <v>28129.200000000001</v>
      </c>
      <c r="DI53" s="461">
        <v>0</v>
      </c>
      <c r="DJ53" s="383">
        <f>DH53+DI53</f>
        <v>28129.200000000001</v>
      </c>
      <c r="DK53" s="242">
        <f>$DH$8/'CAM Majors'!$D53</f>
        <v>1.9199810955707514E-2</v>
      </c>
      <c r="DL53" s="463">
        <f t="shared" ref="DL53:DL56" si="232">DJ53*DK53</f>
        <v>540.07532233528786</v>
      </c>
      <c r="DM53" s="463">
        <v>0</v>
      </c>
      <c r="DN53" s="464">
        <f t="shared" ref="DN53:DN56" si="233">DL53+DM53</f>
        <v>540.07532233528786</v>
      </c>
      <c r="DO53" s="60">
        <f>'CAM Majors'!$A$53</f>
        <v>50111</v>
      </c>
      <c r="DP53" s="2" t="str">
        <f>'CAM Majors'!$B$53</f>
        <v>Insurance - Property</v>
      </c>
      <c r="DQ53" s="500">
        <f>'CAM Majors'!$C$53</f>
        <v>28129.200000000001</v>
      </c>
      <c r="DR53" s="461">
        <v>0</v>
      </c>
      <c r="DS53" s="383">
        <f>DQ53+DR53</f>
        <v>28129.200000000001</v>
      </c>
      <c r="DT53" s="242">
        <f>$DQ$8/'CAM Majors'!$D53</f>
        <v>5.2046256775317906E-2</v>
      </c>
      <c r="DU53" s="463">
        <f t="shared" ref="DU53:DU56" si="234">DS53*DT53</f>
        <v>1464.0195660842726</v>
      </c>
      <c r="DV53" s="463">
        <v>0</v>
      </c>
      <c r="DW53" s="464">
        <f t="shared" ref="DW53:DW56" si="235">DU53+DV53</f>
        <v>1464.0195660842726</v>
      </c>
      <c r="DX53" s="60">
        <f>'CAM Majors'!$A$53</f>
        <v>50111</v>
      </c>
      <c r="DY53" s="2" t="str">
        <f>'CAM Majors'!$B$53</f>
        <v>Insurance - Property</v>
      </c>
      <c r="DZ53" s="500">
        <f>'CAM Majors'!$C$53</f>
        <v>28129.200000000001</v>
      </c>
      <c r="EA53" s="461">
        <v>0</v>
      </c>
      <c r="EB53" s="383">
        <f>DZ53+EA53</f>
        <v>28129.200000000001</v>
      </c>
      <c r="EC53" s="242">
        <f>$DZ$8/'CAM Majors'!$D53</f>
        <v>4.4410639649086529E-2</v>
      </c>
      <c r="ED53" s="463">
        <f t="shared" ref="ED53:ED56" si="236">EB53*EC53</f>
        <v>1249.2357648170848</v>
      </c>
      <c r="EE53" s="463">
        <v>0</v>
      </c>
      <c r="EF53" s="464">
        <f t="shared" ref="EF53:EF56" si="237">ED53+EE53</f>
        <v>1249.2357648170848</v>
      </c>
    </row>
    <row r="54" spans="1:136">
      <c r="A54" s="60">
        <f>'CAM Majors'!$A$54</f>
        <v>50112</v>
      </c>
      <c r="B54" s="2" t="str">
        <f>'CAM Majors'!$B$54</f>
        <v>Insurance - Liability</v>
      </c>
      <c r="C54" s="500">
        <f>'CAM Majors'!$C$54</f>
        <v>0</v>
      </c>
      <c r="D54" s="461">
        <v>0</v>
      </c>
      <c r="E54" s="383">
        <f>C54+D54</f>
        <v>0</v>
      </c>
      <c r="F54" s="242">
        <f>$C$8/'CAM Majors'!D54</f>
        <v>4.4307256051632722E-2</v>
      </c>
      <c r="G54" s="463">
        <f t="shared" si="208"/>
        <v>0</v>
      </c>
      <c r="H54" s="463">
        <f t="shared" ref="H54:H56" si="238">G54*$H$12</f>
        <v>0</v>
      </c>
      <c r="I54" s="464">
        <f t="shared" si="209"/>
        <v>0</v>
      </c>
      <c r="J54" s="464"/>
      <c r="K54" s="60">
        <f>'CAM Majors'!$A$54</f>
        <v>50112</v>
      </c>
      <c r="L54" s="2" t="str">
        <f>'CAM Majors'!$B$54</f>
        <v>Insurance - Liability</v>
      </c>
      <c r="M54" s="500">
        <f>'CAM Majors'!$C$54</f>
        <v>0</v>
      </c>
      <c r="N54" s="461">
        <v>0</v>
      </c>
      <c r="O54" s="383">
        <f>M54+N54</f>
        <v>0</v>
      </c>
      <c r="P54" s="242">
        <f>$M$8/'CAM Majors'!$D$53</f>
        <v>2.3999763694634392E-2</v>
      </c>
      <c r="Q54" s="463">
        <f t="shared" si="210"/>
        <v>0</v>
      </c>
      <c r="R54" s="463">
        <f t="shared" ref="R54" si="239">Q54*$R$12</f>
        <v>0</v>
      </c>
      <c r="S54" s="464">
        <f t="shared" si="211"/>
        <v>0</v>
      </c>
      <c r="T54" s="60">
        <f>'CAM Majors'!$A$54</f>
        <v>50112</v>
      </c>
      <c r="U54" s="2" t="str">
        <f>'CAM Majors'!$B$54</f>
        <v>Insurance - Liability</v>
      </c>
      <c r="V54" s="500">
        <f>'CAM Majors'!$C$54</f>
        <v>0</v>
      </c>
      <c r="W54" s="461">
        <v>0</v>
      </c>
      <c r="X54" s="383">
        <f>V54+W54</f>
        <v>0</v>
      </c>
      <c r="Y54" s="242">
        <f>$V$8/'CAM Majors'!D54</f>
        <v>2.0676719490761938E-2</v>
      </c>
      <c r="Z54" s="463">
        <f t="shared" si="212"/>
        <v>0</v>
      </c>
      <c r="AA54" s="463">
        <f t="shared" ref="AA54" si="240">Z54*$AA$12</f>
        <v>0</v>
      </c>
      <c r="AB54" s="464">
        <f t="shared" si="213"/>
        <v>0</v>
      </c>
      <c r="AC54" s="60">
        <f>'CAM Majors'!$A$54</f>
        <v>50112</v>
      </c>
      <c r="AD54" s="2" t="str">
        <f>'CAM Majors'!$B$54</f>
        <v>Insurance - Liability</v>
      </c>
      <c r="AE54" s="500">
        <f>'CAM Majors'!$C$54</f>
        <v>0</v>
      </c>
      <c r="AF54" s="461">
        <v>0</v>
      </c>
      <c r="AG54" s="383">
        <f>AE54+AF54</f>
        <v>0</v>
      </c>
      <c r="AH54" s="242">
        <f>$AE$8/'CAM Majors'!D54</f>
        <v>1.6423222909805194E-2</v>
      </c>
      <c r="AI54" s="463">
        <f t="shared" si="214"/>
        <v>0</v>
      </c>
      <c r="AJ54" s="463">
        <f t="shared" ref="AJ54" si="241">AI54*$AJ$12</f>
        <v>0</v>
      </c>
      <c r="AK54" s="464">
        <f t="shared" si="215"/>
        <v>0</v>
      </c>
      <c r="AL54" s="60">
        <f>'CAM Majors'!$A$54</f>
        <v>50112</v>
      </c>
      <c r="AM54" s="2" t="str">
        <f>'CAM Majors'!$B$54</f>
        <v>Insurance - Liability</v>
      </c>
      <c r="AN54" s="500">
        <f>'CAM Majors'!$C$54</f>
        <v>0</v>
      </c>
      <c r="AO54" s="461">
        <v>0</v>
      </c>
      <c r="AP54" s="383">
        <f>AN54+AO54</f>
        <v>0</v>
      </c>
      <c r="AQ54" s="242">
        <f>$AN$8/'CAM Majors'!D54</f>
        <v>3.6834098864257335E-2</v>
      </c>
      <c r="AR54" s="463">
        <f t="shared" si="216"/>
        <v>0</v>
      </c>
      <c r="AS54" s="463"/>
      <c r="AT54" s="464">
        <f t="shared" si="217"/>
        <v>0</v>
      </c>
      <c r="AU54" s="60">
        <f>'CAM Majors'!$A$54</f>
        <v>50112</v>
      </c>
      <c r="AV54" s="2" t="str">
        <f>'CAM Majors'!$B$54</f>
        <v>Insurance - Liability</v>
      </c>
      <c r="AW54" s="500">
        <f>'CAM Majors'!$C$54</f>
        <v>0</v>
      </c>
      <c r="AX54" s="461">
        <v>0</v>
      </c>
      <c r="AY54" s="383">
        <f>AW54+AX54</f>
        <v>0</v>
      </c>
      <c r="AZ54" s="242">
        <f>$AW$8/'CAM Majors'!$D54</f>
        <v>2.2153628025816361E-2</v>
      </c>
      <c r="BA54" s="463">
        <f t="shared" si="218"/>
        <v>0</v>
      </c>
      <c r="BB54" s="463">
        <f t="shared" ref="BB54" si="242">BA54*$BB$12</f>
        <v>0</v>
      </c>
      <c r="BC54" s="464">
        <f t="shared" si="219"/>
        <v>0</v>
      </c>
      <c r="BD54" s="60">
        <f>'CAM Majors'!$A$54</f>
        <v>50112</v>
      </c>
      <c r="BE54" s="2" t="str">
        <f>'CAM Majors'!$B$54</f>
        <v>Insurance - Liability</v>
      </c>
      <c r="BF54" s="500">
        <f>'CAM Majors'!$C$54</f>
        <v>0</v>
      </c>
      <c r="BG54" s="461">
        <v>0</v>
      </c>
      <c r="BH54" s="383">
        <f>BF54+BG54</f>
        <v>0</v>
      </c>
      <c r="BI54" s="242">
        <f>$BF$8/'CAM Majors'!$D54</f>
        <v>2.5609593997843714E-2</v>
      </c>
      <c r="BJ54" s="463">
        <f t="shared" si="220"/>
        <v>0</v>
      </c>
      <c r="BK54" s="463">
        <f t="shared" ref="BK54" si="243">BJ54*$BK$12</f>
        <v>0</v>
      </c>
      <c r="BL54" s="464">
        <f t="shared" si="221"/>
        <v>0</v>
      </c>
      <c r="BM54" s="60">
        <f>'CAM Majors'!$A$54</f>
        <v>50112</v>
      </c>
      <c r="BN54" s="2" t="str">
        <f>'CAM Majors'!$B$54</f>
        <v>Insurance - Liability</v>
      </c>
      <c r="BO54" s="500">
        <f>'CAM Majors'!$C$54</f>
        <v>0</v>
      </c>
      <c r="BP54" s="461">
        <v>0</v>
      </c>
      <c r="BQ54" s="383">
        <f>BO54+BP54</f>
        <v>0</v>
      </c>
      <c r="BR54" s="242">
        <f>$BO$8/'CAM Majors'!$D54</f>
        <v>5.7599432867122539E-2</v>
      </c>
      <c r="BS54" s="463">
        <f t="shared" si="222"/>
        <v>0</v>
      </c>
      <c r="BT54" s="463">
        <v>0</v>
      </c>
      <c r="BU54" s="464">
        <f t="shared" si="223"/>
        <v>0</v>
      </c>
      <c r="BV54" s="60">
        <f>'CAM Majors'!$A$54</f>
        <v>50112</v>
      </c>
      <c r="BW54" s="2" t="str">
        <f>'CAM Majors'!$B$54</f>
        <v>Insurance - Liability</v>
      </c>
      <c r="BX54" s="500">
        <f>'CAM Majors'!$C$54</f>
        <v>0</v>
      </c>
      <c r="BY54" s="461">
        <v>0</v>
      </c>
      <c r="BZ54" s="383">
        <f>BX54+BY54</f>
        <v>0</v>
      </c>
      <c r="CA54" s="242">
        <f>$BX$8/'CAM Majors'!$D54</f>
        <v>1.9007812846150437E-2</v>
      </c>
      <c r="CB54" s="463">
        <f t="shared" si="224"/>
        <v>0</v>
      </c>
      <c r="CC54" s="463">
        <v>0</v>
      </c>
      <c r="CD54" s="464">
        <f t="shared" si="225"/>
        <v>0</v>
      </c>
      <c r="CE54" s="60">
        <f>'CAM Majors'!$A$54</f>
        <v>50112</v>
      </c>
      <c r="CF54" s="2" t="str">
        <f>'CAM Majors'!$B$54</f>
        <v>Insurance - Liability</v>
      </c>
      <c r="CG54" s="500">
        <f>'CAM Majors'!$C$54</f>
        <v>0</v>
      </c>
      <c r="CH54" s="461">
        <v>0</v>
      </c>
      <c r="CI54" s="383">
        <f>CG54+CH54</f>
        <v>0</v>
      </c>
      <c r="CJ54" s="242">
        <f>$CG$8/'CAM Majors'!$D54</f>
        <v>2.420653088954201E-2</v>
      </c>
      <c r="CK54" s="463">
        <f t="shared" si="226"/>
        <v>0</v>
      </c>
      <c r="CL54" s="463">
        <v>0</v>
      </c>
      <c r="CM54" s="464">
        <f t="shared" si="227"/>
        <v>0</v>
      </c>
      <c r="CN54" s="60">
        <f>'CAM Majors'!$A$54</f>
        <v>50112</v>
      </c>
      <c r="CO54" s="2" t="str">
        <f>'CAM Majors'!$B$54</f>
        <v>Insurance - Liability</v>
      </c>
      <c r="CP54" s="500">
        <f>'CAM Majors'!$C$54</f>
        <v>0</v>
      </c>
      <c r="CQ54" s="461">
        <v>0</v>
      </c>
      <c r="CR54" s="383">
        <f>CP54+CQ54</f>
        <v>0</v>
      </c>
      <c r="CS54" s="242">
        <f>$CP$8/'CAM Majors'!$D54</f>
        <v>5.3168707261959269E-2</v>
      </c>
      <c r="CT54" s="463">
        <f t="shared" si="228"/>
        <v>0</v>
      </c>
      <c r="CU54" s="463"/>
      <c r="CV54" s="464">
        <f t="shared" si="229"/>
        <v>0</v>
      </c>
      <c r="CW54" s="60">
        <f>'CAM Majors'!$A$54</f>
        <v>50112</v>
      </c>
      <c r="CX54" s="2" t="str">
        <f>'CAM Majors'!$B$54</f>
        <v>Insurance - Liability</v>
      </c>
      <c r="CY54" s="500">
        <f>'CAM Majors'!$C$54</f>
        <v>0</v>
      </c>
      <c r="CZ54" s="461">
        <v>0</v>
      </c>
      <c r="DA54" s="383">
        <f>CY54+CZ54</f>
        <v>0</v>
      </c>
      <c r="DB54" s="242">
        <f>$CY$8/'CAM Majors'!$D54</f>
        <v>2.343853845131371E-2</v>
      </c>
      <c r="DC54" s="463">
        <f t="shared" si="230"/>
        <v>0</v>
      </c>
      <c r="DD54" s="463">
        <v>0</v>
      </c>
      <c r="DE54" s="464">
        <f t="shared" si="231"/>
        <v>0</v>
      </c>
      <c r="DF54" s="60">
        <f>'CAM Majors'!$A$54</f>
        <v>50112</v>
      </c>
      <c r="DG54" s="2" t="str">
        <f>'CAM Majors'!$B$54</f>
        <v>Insurance - Liability</v>
      </c>
      <c r="DH54" s="500">
        <f>'CAM Majors'!$C$54</f>
        <v>0</v>
      </c>
      <c r="DI54" s="461">
        <v>0</v>
      </c>
      <c r="DJ54" s="383">
        <f>DH54+DI54</f>
        <v>0</v>
      </c>
      <c r="DK54" s="242">
        <f>$DH$8/'CAM Majors'!$D54</f>
        <v>1.9199810955707514E-2</v>
      </c>
      <c r="DL54" s="463">
        <f t="shared" si="232"/>
        <v>0</v>
      </c>
      <c r="DM54" s="463">
        <v>0</v>
      </c>
      <c r="DN54" s="464">
        <f t="shared" si="233"/>
        <v>0</v>
      </c>
      <c r="DO54" s="60">
        <f>'CAM Majors'!$A$54</f>
        <v>50112</v>
      </c>
      <c r="DP54" s="2" t="str">
        <f>'CAM Majors'!$B$54</f>
        <v>Insurance - Liability</v>
      </c>
      <c r="DQ54" s="500">
        <f>'CAM Majors'!$C$54</f>
        <v>0</v>
      </c>
      <c r="DR54" s="461">
        <v>0</v>
      </c>
      <c r="DS54" s="383">
        <f>DQ54+DR54</f>
        <v>0</v>
      </c>
      <c r="DT54" s="242">
        <f>$DQ$8/'CAM Majors'!$D54</f>
        <v>5.2046256775317906E-2</v>
      </c>
      <c r="DU54" s="463">
        <f t="shared" si="234"/>
        <v>0</v>
      </c>
      <c r="DV54" s="463">
        <v>0</v>
      </c>
      <c r="DW54" s="464">
        <f t="shared" si="235"/>
        <v>0</v>
      </c>
      <c r="DX54" s="60">
        <f>'CAM Majors'!$A$54</f>
        <v>50112</v>
      </c>
      <c r="DY54" s="2" t="str">
        <f>'CAM Majors'!$B$54</f>
        <v>Insurance - Liability</v>
      </c>
      <c r="DZ54" s="500">
        <f>'CAM Majors'!$C$54</f>
        <v>0</v>
      </c>
      <c r="EA54" s="461">
        <v>0</v>
      </c>
      <c r="EB54" s="383">
        <f>DZ54+EA54</f>
        <v>0</v>
      </c>
      <c r="EC54" s="242">
        <f>$DZ$8/'CAM Majors'!$D54</f>
        <v>4.4410639649086529E-2</v>
      </c>
      <c r="ED54" s="463">
        <f t="shared" si="236"/>
        <v>0</v>
      </c>
      <c r="EE54" s="463">
        <v>0</v>
      </c>
      <c r="EF54" s="464">
        <f t="shared" si="237"/>
        <v>0</v>
      </c>
    </row>
    <row r="55" spans="1:136">
      <c r="A55" s="60">
        <f>'CAM Majors'!$A$55</f>
        <v>50130</v>
      </c>
      <c r="B55" s="2" t="str">
        <f>'CAM Majors'!$B$55</f>
        <v>Insurance - Umbrella</v>
      </c>
      <c r="C55" s="500">
        <f>'CAM Majors'!$C$55</f>
        <v>3831.3</v>
      </c>
      <c r="D55" s="461">
        <v>0</v>
      </c>
      <c r="E55" s="383">
        <f>C55+D55</f>
        <v>3831.3</v>
      </c>
      <c r="F55" s="242">
        <f>$C$8/'CAM Majors'!D55</f>
        <v>4.4307256051632722E-2</v>
      </c>
      <c r="G55" s="463">
        <f t="shared" si="208"/>
        <v>169.75439011062045</v>
      </c>
      <c r="H55" s="463">
        <v>0</v>
      </c>
      <c r="I55" s="464">
        <f t="shared" si="209"/>
        <v>169.75439011062045</v>
      </c>
      <c r="J55" s="464"/>
      <c r="K55" s="60">
        <f>'CAM Majors'!$A$55</f>
        <v>50130</v>
      </c>
      <c r="L55" s="2" t="str">
        <f>'CAM Majors'!$B$55</f>
        <v>Insurance - Umbrella</v>
      </c>
      <c r="M55" s="500">
        <f>'CAM Majors'!$C$55</f>
        <v>3831.3</v>
      </c>
      <c r="N55" s="461">
        <v>0</v>
      </c>
      <c r="O55" s="383">
        <f>M55+N55</f>
        <v>3831.3</v>
      </c>
      <c r="P55" s="242">
        <f>$M$8/'CAM Majors'!$D$53</f>
        <v>2.3999763694634392E-2</v>
      </c>
      <c r="Q55" s="463">
        <f t="shared" si="210"/>
        <v>91.950294643252747</v>
      </c>
      <c r="R55" s="463">
        <v>0</v>
      </c>
      <c r="S55" s="464">
        <f t="shared" si="211"/>
        <v>91.950294643252747</v>
      </c>
      <c r="T55" s="60">
        <f>'CAM Majors'!$A$55</f>
        <v>50130</v>
      </c>
      <c r="U55" s="2" t="str">
        <f>'CAM Majors'!$B$55</f>
        <v>Insurance - Umbrella</v>
      </c>
      <c r="V55" s="500">
        <f>'CAM Majors'!$C$55</f>
        <v>3831.3</v>
      </c>
      <c r="W55" s="461">
        <v>0</v>
      </c>
      <c r="X55" s="383">
        <f>V55+W55</f>
        <v>3831.3</v>
      </c>
      <c r="Y55" s="242">
        <f>$V$8/'CAM Majors'!D55</f>
        <v>2.0676719490761938E-2</v>
      </c>
      <c r="Z55" s="463">
        <f t="shared" si="212"/>
        <v>79.218715384956212</v>
      </c>
      <c r="AA55" s="463">
        <v>0</v>
      </c>
      <c r="AB55" s="464">
        <f t="shared" si="213"/>
        <v>79.218715384956212</v>
      </c>
      <c r="AC55" s="60">
        <f>'CAM Majors'!$A$55</f>
        <v>50130</v>
      </c>
      <c r="AD55" s="2" t="str">
        <f>'CAM Majors'!$B$55</f>
        <v>Insurance - Umbrella</v>
      </c>
      <c r="AE55" s="500">
        <f>'CAM Majors'!$C$55</f>
        <v>3831.3</v>
      </c>
      <c r="AF55" s="461">
        <v>0</v>
      </c>
      <c r="AG55" s="383">
        <f>AE55+AF55</f>
        <v>3831.3</v>
      </c>
      <c r="AH55" s="242">
        <f>$AE$8/'CAM Majors'!D55</f>
        <v>1.6423222909805194E-2</v>
      </c>
      <c r="AI55" s="463">
        <f t="shared" si="214"/>
        <v>62.922293934336643</v>
      </c>
      <c r="AJ55" s="463">
        <v>0</v>
      </c>
      <c r="AK55" s="464">
        <f t="shared" si="215"/>
        <v>62.922293934336643</v>
      </c>
      <c r="AL55" s="60">
        <f>'CAM Majors'!$A$55</f>
        <v>50130</v>
      </c>
      <c r="AM55" s="2" t="str">
        <f>'CAM Majors'!$B$55</f>
        <v>Insurance - Umbrella</v>
      </c>
      <c r="AN55" s="500">
        <f>'CAM Majors'!$C$55</f>
        <v>3831.3</v>
      </c>
      <c r="AO55" s="461">
        <v>0</v>
      </c>
      <c r="AP55" s="383">
        <f>AN55+AO55</f>
        <v>3831.3</v>
      </c>
      <c r="AQ55" s="242">
        <f>$AN$8/'CAM Majors'!D55</f>
        <v>3.6834098864257335E-2</v>
      </c>
      <c r="AR55" s="463">
        <f t="shared" si="216"/>
        <v>141.12248297862914</v>
      </c>
      <c r="AS55" s="463"/>
      <c r="AT55" s="464">
        <f t="shared" si="217"/>
        <v>141.12248297862914</v>
      </c>
      <c r="AU55" s="60">
        <f>'CAM Majors'!$A$55</f>
        <v>50130</v>
      </c>
      <c r="AV55" s="2" t="str">
        <f>'CAM Majors'!$B$55</f>
        <v>Insurance - Umbrella</v>
      </c>
      <c r="AW55" s="500">
        <f>'CAM Majors'!$C$55</f>
        <v>3831.3</v>
      </c>
      <c r="AX55" s="461">
        <v>0</v>
      </c>
      <c r="AY55" s="383">
        <f>AW55+AX55</f>
        <v>3831.3</v>
      </c>
      <c r="AZ55" s="242">
        <f>$AW$8/'CAM Majors'!$D55</f>
        <v>2.2153628025816361E-2</v>
      </c>
      <c r="BA55" s="463">
        <f t="shared" si="218"/>
        <v>84.877195055310224</v>
      </c>
      <c r="BB55" s="463">
        <v>0</v>
      </c>
      <c r="BC55" s="464">
        <f t="shared" si="219"/>
        <v>84.877195055310224</v>
      </c>
      <c r="BD55" s="60">
        <f>'CAM Majors'!$A$55</f>
        <v>50130</v>
      </c>
      <c r="BE55" s="2" t="str">
        <f>'CAM Majors'!$B$55</f>
        <v>Insurance - Umbrella</v>
      </c>
      <c r="BF55" s="500">
        <f>'CAM Majors'!$C$55</f>
        <v>3831.3</v>
      </c>
      <c r="BG55" s="461">
        <v>0</v>
      </c>
      <c r="BH55" s="383">
        <f>BF55+BG55</f>
        <v>3831.3</v>
      </c>
      <c r="BI55" s="242">
        <f>$BF$8/'CAM Majors'!$D55</f>
        <v>2.5609593997843714E-2</v>
      </c>
      <c r="BJ55" s="463">
        <f t="shared" si="220"/>
        <v>98.118037483938622</v>
      </c>
      <c r="BK55" s="463">
        <v>0</v>
      </c>
      <c r="BL55" s="464">
        <f t="shared" si="221"/>
        <v>98.118037483938622</v>
      </c>
      <c r="BM55" s="60">
        <f>'CAM Majors'!$A$55</f>
        <v>50130</v>
      </c>
      <c r="BN55" s="2" t="str">
        <f>'CAM Majors'!$B$55</f>
        <v>Insurance - Umbrella</v>
      </c>
      <c r="BO55" s="500">
        <f>'CAM Majors'!$C$55</f>
        <v>3831.3</v>
      </c>
      <c r="BP55" s="461">
        <v>0</v>
      </c>
      <c r="BQ55" s="383">
        <f>BO55+BP55</f>
        <v>3831.3</v>
      </c>
      <c r="BR55" s="242">
        <f>$BO$8/'CAM Majors'!$D55</f>
        <v>5.7599432867122539E-2</v>
      </c>
      <c r="BS55" s="463">
        <f t="shared" si="222"/>
        <v>220.68070714380659</v>
      </c>
      <c r="BT55" s="463">
        <v>0</v>
      </c>
      <c r="BU55" s="464">
        <f t="shared" si="223"/>
        <v>220.68070714380659</v>
      </c>
      <c r="BV55" s="60">
        <f>'CAM Majors'!$A$55</f>
        <v>50130</v>
      </c>
      <c r="BW55" s="2" t="str">
        <f>'CAM Majors'!$B$55</f>
        <v>Insurance - Umbrella</v>
      </c>
      <c r="BX55" s="500">
        <f>'CAM Majors'!$C$55</f>
        <v>3831.3</v>
      </c>
      <c r="BY55" s="461">
        <v>0</v>
      </c>
      <c r="BZ55" s="383">
        <f>BX55+BY55</f>
        <v>3831.3</v>
      </c>
      <c r="CA55" s="242">
        <f>$BX$8/'CAM Majors'!$D55</f>
        <v>1.9007812846150437E-2</v>
      </c>
      <c r="CB55" s="463">
        <f t="shared" si="224"/>
        <v>72.824633357456179</v>
      </c>
      <c r="CC55" s="463">
        <v>0</v>
      </c>
      <c r="CD55" s="464">
        <f t="shared" si="225"/>
        <v>72.824633357456179</v>
      </c>
      <c r="CE55" s="60">
        <f>'CAM Majors'!$A$55</f>
        <v>50130</v>
      </c>
      <c r="CF55" s="2" t="str">
        <f>'CAM Majors'!$B$55</f>
        <v>Insurance - Umbrella</v>
      </c>
      <c r="CG55" s="500">
        <f>'CAM Majors'!$C$55</f>
        <v>3831.3</v>
      </c>
      <c r="CH55" s="461">
        <v>0</v>
      </c>
      <c r="CI55" s="383">
        <f>CG55+CH55</f>
        <v>3831.3</v>
      </c>
      <c r="CJ55" s="242">
        <f>$CG$8/'CAM Majors'!$D55</f>
        <v>2.420653088954201E-2</v>
      </c>
      <c r="CK55" s="463">
        <f t="shared" si="226"/>
        <v>92.7424817971023</v>
      </c>
      <c r="CL55" s="463">
        <v>0</v>
      </c>
      <c r="CM55" s="464">
        <f t="shared" si="227"/>
        <v>92.7424817971023</v>
      </c>
      <c r="CN55" s="60">
        <f>'CAM Majors'!$A$55</f>
        <v>50130</v>
      </c>
      <c r="CO55" s="2" t="str">
        <f>'CAM Majors'!$B$55</f>
        <v>Insurance - Umbrella</v>
      </c>
      <c r="CP55" s="500">
        <f>'CAM Majors'!$C$55</f>
        <v>3831.3</v>
      </c>
      <c r="CQ55" s="461">
        <v>0</v>
      </c>
      <c r="CR55" s="383">
        <f>CP55+CQ55</f>
        <v>3831.3</v>
      </c>
      <c r="CS55" s="242">
        <f>$CP$8/'CAM Majors'!$D55</f>
        <v>5.3168707261959269E-2</v>
      </c>
      <c r="CT55" s="463">
        <f t="shared" si="228"/>
        <v>203.70526813274455</v>
      </c>
      <c r="CU55" s="463"/>
      <c r="CV55" s="464">
        <f t="shared" si="229"/>
        <v>203.70526813274455</v>
      </c>
      <c r="CW55" s="60">
        <f>'CAM Majors'!$A$55</f>
        <v>50130</v>
      </c>
      <c r="CX55" s="2" t="str">
        <f>'CAM Majors'!$B$55</f>
        <v>Insurance - Umbrella</v>
      </c>
      <c r="CY55" s="500">
        <f>'CAM Majors'!$C$55</f>
        <v>3831.3</v>
      </c>
      <c r="CZ55" s="461">
        <v>0</v>
      </c>
      <c r="DA55" s="383">
        <f>CY55+CZ55</f>
        <v>3831.3</v>
      </c>
      <c r="DB55" s="242">
        <f>$CY$8/'CAM Majors'!$D55</f>
        <v>2.343853845131371E-2</v>
      </c>
      <c r="DC55" s="463">
        <f t="shared" si="230"/>
        <v>89.800072368518229</v>
      </c>
      <c r="DD55" s="463">
        <v>0</v>
      </c>
      <c r="DE55" s="464">
        <f t="shared" si="231"/>
        <v>89.800072368518229</v>
      </c>
      <c r="DF55" s="60">
        <f>'CAM Majors'!$A$55</f>
        <v>50130</v>
      </c>
      <c r="DG55" s="2" t="str">
        <f>'CAM Majors'!$B$55</f>
        <v>Insurance - Umbrella</v>
      </c>
      <c r="DH55" s="500">
        <f>'CAM Majors'!$C$55</f>
        <v>3831.3</v>
      </c>
      <c r="DI55" s="461">
        <v>0</v>
      </c>
      <c r="DJ55" s="383">
        <f>DH55+DI55</f>
        <v>3831.3</v>
      </c>
      <c r="DK55" s="242">
        <f>$DH$8/'CAM Majors'!$D55</f>
        <v>1.9199810955707514E-2</v>
      </c>
      <c r="DL55" s="463">
        <f t="shared" si="232"/>
        <v>73.5602357146022</v>
      </c>
      <c r="DM55" s="463">
        <v>0</v>
      </c>
      <c r="DN55" s="464">
        <f t="shared" si="233"/>
        <v>73.5602357146022</v>
      </c>
      <c r="DO55" s="60">
        <f>'CAM Majors'!$A$55</f>
        <v>50130</v>
      </c>
      <c r="DP55" s="2" t="str">
        <f>'CAM Majors'!$B$55</f>
        <v>Insurance - Umbrella</v>
      </c>
      <c r="DQ55" s="500">
        <f>'CAM Majors'!$C$55</f>
        <v>3831.3</v>
      </c>
      <c r="DR55" s="461">
        <v>0</v>
      </c>
      <c r="DS55" s="383">
        <f>DQ55+DR55</f>
        <v>3831.3</v>
      </c>
      <c r="DT55" s="242">
        <f>$DQ$8/'CAM Majors'!$D55</f>
        <v>5.2046256775317906E-2</v>
      </c>
      <c r="DU55" s="463">
        <f t="shared" si="234"/>
        <v>199.40482358327552</v>
      </c>
      <c r="DV55" s="463">
        <v>0</v>
      </c>
      <c r="DW55" s="464">
        <f t="shared" si="235"/>
        <v>199.40482358327552</v>
      </c>
      <c r="DX55" s="60">
        <f>'CAM Majors'!$A$55</f>
        <v>50130</v>
      </c>
      <c r="DY55" s="2" t="str">
        <f>'CAM Majors'!$B$55</f>
        <v>Insurance - Umbrella</v>
      </c>
      <c r="DZ55" s="500">
        <f>'CAM Majors'!$C$55</f>
        <v>3831.3</v>
      </c>
      <c r="EA55" s="461">
        <v>0</v>
      </c>
      <c r="EB55" s="383">
        <f>DZ55+EA55</f>
        <v>3831.3</v>
      </c>
      <c r="EC55" s="242">
        <f>$DZ$8/'CAM Majors'!$D55</f>
        <v>4.4410639649086529E-2</v>
      </c>
      <c r="ED55" s="463">
        <f t="shared" si="236"/>
        <v>170.15048368754523</v>
      </c>
      <c r="EE55" s="463">
        <v>0</v>
      </c>
      <c r="EF55" s="464">
        <f t="shared" si="237"/>
        <v>170.15048368754523</v>
      </c>
    </row>
    <row r="56" spans="1:136" s="114" customFormat="1">
      <c r="A56" s="231">
        <f>'CAM Majors'!$A$56</f>
        <v>50140</v>
      </c>
      <c r="B56" s="165" t="str">
        <f>'CAM Majors'!$B$56</f>
        <v>Insurance - Flood &amp; Earthquake</v>
      </c>
      <c r="C56" s="500">
        <f>'CAM Majors'!$C$56</f>
        <v>0</v>
      </c>
      <c r="D56" s="501">
        <f>-C56</f>
        <v>0</v>
      </c>
      <c r="E56" s="500">
        <f>C56+D56</f>
        <v>0</v>
      </c>
      <c r="F56" s="408">
        <f>$C$8/'CAM Majors'!D56</f>
        <v>4.4307256051632722E-2</v>
      </c>
      <c r="G56" s="463">
        <f t="shared" si="208"/>
        <v>0</v>
      </c>
      <c r="H56" s="463">
        <f t="shared" si="238"/>
        <v>0</v>
      </c>
      <c r="I56" s="464">
        <f t="shared" si="209"/>
        <v>0</v>
      </c>
      <c r="J56" s="464"/>
      <c r="K56" s="231">
        <f>'CAM Majors'!$A$56</f>
        <v>50140</v>
      </c>
      <c r="L56" s="165" t="str">
        <f>'CAM Majors'!$B$56</f>
        <v>Insurance - Flood &amp; Earthquake</v>
      </c>
      <c r="M56" s="500">
        <f>'CAM Majors'!$C$56</f>
        <v>0</v>
      </c>
      <c r="N56" s="501">
        <f>-M56</f>
        <v>0</v>
      </c>
      <c r="O56" s="500">
        <f>M56+N56</f>
        <v>0</v>
      </c>
      <c r="P56" s="408">
        <f>$M$8/'CAM Majors'!$D$53</f>
        <v>2.3999763694634392E-2</v>
      </c>
      <c r="Q56" s="463">
        <f t="shared" si="210"/>
        <v>0</v>
      </c>
      <c r="R56" s="463">
        <v>0</v>
      </c>
      <c r="S56" s="464">
        <f t="shared" si="211"/>
        <v>0</v>
      </c>
      <c r="T56" s="231">
        <f>'CAM Majors'!$A$56</f>
        <v>50140</v>
      </c>
      <c r="U56" s="165" t="str">
        <f>'CAM Majors'!$B$56</f>
        <v>Insurance - Flood &amp; Earthquake</v>
      </c>
      <c r="V56" s="500">
        <f>'CAM Majors'!$C$56</f>
        <v>0</v>
      </c>
      <c r="W56" s="501">
        <f>-V56</f>
        <v>0</v>
      </c>
      <c r="X56" s="500">
        <f>V56+W56</f>
        <v>0</v>
      </c>
      <c r="Y56" s="408">
        <f>$V$8/'CAM Majors'!D56</f>
        <v>2.0676719490761938E-2</v>
      </c>
      <c r="Z56" s="463">
        <f t="shared" si="212"/>
        <v>0</v>
      </c>
      <c r="AA56" s="463">
        <f t="shared" ref="AA56" si="244">Z56*$AA$12</f>
        <v>0</v>
      </c>
      <c r="AB56" s="464">
        <f t="shared" si="213"/>
        <v>0</v>
      </c>
      <c r="AC56" s="231">
        <f>'CAM Majors'!$A$56</f>
        <v>50140</v>
      </c>
      <c r="AD56" s="165" t="str">
        <f>'CAM Majors'!$B$56</f>
        <v>Insurance - Flood &amp; Earthquake</v>
      </c>
      <c r="AE56" s="500">
        <f>'CAM Majors'!$C$56</f>
        <v>0</v>
      </c>
      <c r="AF56" s="501">
        <f>-AE56</f>
        <v>0</v>
      </c>
      <c r="AG56" s="500">
        <f>AE56+AF56</f>
        <v>0</v>
      </c>
      <c r="AH56" s="408">
        <f>$AE$8/'CAM Majors'!D56</f>
        <v>1.6423222909805194E-2</v>
      </c>
      <c r="AI56" s="463">
        <f t="shared" si="214"/>
        <v>0</v>
      </c>
      <c r="AJ56" s="463">
        <f t="shared" ref="AJ56" si="245">AI56*$AJ$12</f>
        <v>0</v>
      </c>
      <c r="AK56" s="464">
        <f t="shared" si="215"/>
        <v>0</v>
      </c>
      <c r="AL56" s="231">
        <f>'CAM Majors'!$A$56</f>
        <v>50140</v>
      </c>
      <c r="AM56" s="165" t="str">
        <f>'CAM Majors'!$B$56</f>
        <v>Insurance - Flood &amp; Earthquake</v>
      </c>
      <c r="AN56" s="500">
        <f>'CAM Majors'!$C$56</f>
        <v>0</v>
      </c>
      <c r="AO56" s="501">
        <f>-AN56</f>
        <v>0</v>
      </c>
      <c r="AP56" s="500">
        <f>AN56+AO56</f>
        <v>0</v>
      </c>
      <c r="AQ56" s="408">
        <f>$AN$8/'CAM Majors'!D56</f>
        <v>3.6834098864257335E-2</v>
      </c>
      <c r="AR56" s="463">
        <f t="shared" si="216"/>
        <v>0</v>
      </c>
      <c r="AS56" s="463"/>
      <c r="AT56" s="464">
        <f t="shared" si="217"/>
        <v>0</v>
      </c>
      <c r="AU56" s="231">
        <f>'CAM Majors'!$A$56</f>
        <v>50140</v>
      </c>
      <c r="AV56" s="165" t="str">
        <f>'CAM Majors'!$B$56</f>
        <v>Insurance - Flood &amp; Earthquake</v>
      </c>
      <c r="AW56" s="500">
        <f>'CAM Majors'!$C$56</f>
        <v>0</v>
      </c>
      <c r="AX56" s="501">
        <f>-AW56</f>
        <v>0</v>
      </c>
      <c r="AY56" s="500">
        <f>AW56+AX56</f>
        <v>0</v>
      </c>
      <c r="AZ56" s="408">
        <f>$AW$8/'CAM Majors'!$D56</f>
        <v>2.2153628025816361E-2</v>
      </c>
      <c r="BA56" s="463">
        <f t="shared" si="218"/>
        <v>0</v>
      </c>
      <c r="BB56" s="463">
        <f t="shared" ref="BB56" si="246">BA56*$BB$12</f>
        <v>0</v>
      </c>
      <c r="BC56" s="464">
        <f t="shared" si="219"/>
        <v>0</v>
      </c>
      <c r="BD56" s="231">
        <f>'CAM Majors'!$A$56</f>
        <v>50140</v>
      </c>
      <c r="BE56" s="165" t="str">
        <f>'CAM Majors'!$B$56</f>
        <v>Insurance - Flood &amp; Earthquake</v>
      </c>
      <c r="BF56" s="500">
        <f>'CAM Majors'!$C$56</f>
        <v>0</v>
      </c>
      <c r="BG56" s="501">
        <f>-BF56</f>
        <v>0</v>
      </c>
      <c r="BH56" s="500">
        <f>BF56+BG56</f>
        <v>0</v>
      </c>
      <c r="BI56" s="408">
        <f>$BF$8/'CAM Majors'!$D56</f>
        <v>2.5609593997843714E-2</v>
      </c>
      <c r="BJ56" s="463">
        <f t="shared" si="220"/>
        <v>0</v>
      </c>
      <c r="BK56" s="463">
        <f t="shared" ref="BK56" si="247">BJ56*$BB$12</f>
        <v>0</v>
      </c>
      <c r="BL56" s="464">
        <f t="shared" si="221"/>
        <v>0</v>
      </c>
      <c r="BM56" s="231">
        <f>'CAM Majors'!$A$56</f>
        <v>50140</v>
      </c>
      <c r="BN56" s="165" t="str">
        <f>'CAM Majors'!$B$56</f>
        <v>Insurance - Flood &amp; Earthquake</v>
      </c>
      <c r="BO56" s="500">
        <f>'CAM Majors'!$C$56</f>
        <v>0</v>
      </c>
      <c r="BP56" s="501">
        <f>-BO56</f>
        <v>0</v>
      </c>
      <c r="BQ56" s="500">
        <f>BO56+BP56</f>
        <v>0</v>
      </c>
      <c r="BR56" s="408">
        <f>$BO$8/'CAM Majors'!$D56</f>
        <v>5.7599432867122539E-2</v>
      </c>
      <c r="BS56" s="463">
        <f t="shared" si="222"/>
        <v>0</v>
      </c>
      <c r="BT56" s="463">
        <v>0</v>
      </c>
      <c r="BU56" s="464">
        <f t="shared" si="223"/>
        <v>0</v>
      </c>
      <c r="BV56" s="231">
        <f>'CAM Majors'!$A$56</f>
        <v>50140</v>
      </c>
      <c r="BW56" s="165" t="str">
        <f>'CAM Majors'!$B$56</f>
        <v>Insurance - Flood &amp; Earthquake</v>
      </c>
      <c r="BX56" s="500">
        <f>'CAM Majors'!$C$56</f>
        <v>0</v>
      </c>
      <c r="BY56" s="501">
        <f>-BX56</f>
        <v>0</v>
      </c>
      <c r="BZ56" s="500">
        <f>BX56+BY56</f>
        <v>0</v>
      </c>
      <c r="CA56" s="408">
        <f>$BX$8/'CAM Majors'!$D56</f>
        <v>1.9007812846150437E-2</v>
      </c>
      <c r="CB56" s="463">
        <f t="shared" si="224"/>
        <v>0</v>
      </c>
      <c r="CC56" s="463">
        <v>0</v>
      </c>
      <c r="CD56" s="464">
        <f t="shared" si="225"/>
        <v>0</v>
      </c>
      <c r="CE56" s="231">
        <f>'CAM Majors'!$A$56</f>
        <v>50140</v>
      </c>
      <c r="CF56" s="165" t="str">
        <f>'CAM Majors'!$B$56</f>
        <v>Insurance - Flood &amp; Earthquake</v>
      </c>
      <c r="CG56" s="500">
        <f>'CAM Majors'!$C$56</f>
        <v>0</v>
      </c>
      <c r="CH56" s="501">
        <f>-CG56</f>
        <v>0</v>
      </c>
      <c r="CI56" s="500">
        <f>CG56+CH56</f>
        <v>0</v>
      </c>
      <c r="CJ56" s="408">
        <f>$CG$8/'CAM Majors'!$D56</f>
        <v>2.420653088954201E-2</v>
      </c>
      <c r="CK56" s="463">
        <f t="shared" si="226"/>
        <v>0</v>
      </c>
      <c r="CL56" s="463">
        <f t="shared" ref="CL56" si="248">CK56*$BT$12</f>
        <v>0</v>
      </c>
      <c r="CM56" s="464">
        <f t="shared" si="227"/>
        <v>0</v>
      </c>
      <c r="CN56" s="231">
        <f>'CAM Majors'!$A$56</f>
        <v>50140</v>
      </c>
      <c r="CO56" s="165" t="str">
        <f>'CAM Majors'!$B$56</f>
        <v>Insurance - Flood &amp; Earthquake</v>
      </c>
      <c r="CP56" s="500">
        <f>'CAM Majors'!$C$56</f>
        <v>0</v>
      </c>
      <c r="CQ56" s="501">
        <f>-CP56</f>
        <v>0</v>
      </c>
      <c r="CR56" s="500">
        <f>CP56+CQ56</f>
        <v>0</v>
      </c>
      <c r="CS56" s="408">
        <f>$CP$8/'CAM Majors'!$D56</f>
        <v>5.3168707261959269E-2</v>
      </c>
      <c r="CT56" s="463">
        <f t="shared" si="228"/>
        <v>0</v>
      </c>
      <c r="CU56" s="463"/>
      <c r="CV56" s="464">
        <f t="shared" si="229"/>
        <v>0</v>
      </c>
      <c r="CW56" s="231">
        <f>'CAM Majors'!$A$56</f>
        <v>50140</v>
      </c>
      <c r="CX56" s="165" t="str">
        <f>'CAM Majors'!$B$56</f>
        <v>Insurance - Flood &amp; Earthquake</v>
      </c>
      <c r="CY56" s="500">
        <f>'CAM Majors'!$C$56</f>
        <v>0</v>
      </c>
      <c r="CZ56" s="501">
        <f>-CY56</f>
        <v>0</v>
      </c>
      <c r="DA56" s="500">
        <f>CY56+CZ56</f>
        <v>0</v>
      </c>
      <c r="DB56" s="408">
        <f>$CY$8/'CAM Majors'!$D56</f>
        <v>2.343853845131371E-2</v>
      </c>
      <c r="DC56" s="463">
        <f t="shared" si="230"/>
        <v>0</v>
      </c>
      <c r="DD56" s="463">
        <v>0</v>
      </c>
      <c r="DE56" s="464">
        <f t="shared" si="231"/>
        <v>0</v>
      </c>
      <c r="DF56" s="231">
        <f>'CAM Majors'!$A$56</f>
        <v>50140</v>
      </c>
      <c r="DG56" s="165" t="str">
        <f>'CAM Majors'!$B$56</f>
        <v>Insurance - Flood &amp; Earthquake</v>
      </c>
      <c r="DH56" s="500">
        <f>'CAM Majors'!$C$56</f>
        <v>0</v>
      </c>
      <c r="DI56" s="501">
        <f>-DH56</f>
        <v>0</v>
      </c>
      <c r="DJ56" s="500">
        <f>DH56+DI56</f>
        <v>0</v>
      </c>
      <c r="DK56" s="408">
        <f>$DH$8/'CAM Majors'!$D56</f>
        <v>1.9199810955707514E-2</v>
      </c>
      <c r="DL56" s="463">
        <f t="shared" si="232"/>
        <v>0</v>
      </c>
      <c r="DM56" s="463">
        <v>0</v>
      </c>
      <c r="DN56" s="464">
        <f t="shared" si="233"/>
        <v>0</v>
      </c>
      <c r="DO56" s="231">
        <f>'CAM Majors'!$A$56</f>
        <v>50140</v>
      </c>
      <c r="DP56" s="165" t="str">
        <f>'CAM Majors'!$B$56</f>
        <v>Insurance - Flood &amp; Earthquake</v>
      </c>
      <c r="DQ56" s="500">
        <f>'CAM Majors'!$C$56</f>
        <v>0</v>
      </c>
      <c r="DR56" s="501">
        <f>-DQ56</f>
        <v>0</v>
      </c>
      <c r="DS56" s="500">
        <f>DQ56+DR56</f>
        <v>0</v>
      </c>
      <c r="DT56" s="408">
        <f>$DQ$8/'CAM Majors'!$D56</f>
        <v>5.2046256775317906E-2</v>
      </c>
      <c r="DU56" s="463">
        <f t="shared" si="234"/>
        <v>0</v>
      </c>
      <c r="DV56" s="463">
        <v>0</v>
      </c>
      <c r="DW56" s="464">
        <f t="shared" si="235"/>
        <v>0</v>
      </c>
      <c r="DX56" s="231">
        <f>'CAM Majors'!$A$56</f>
        <v>50140</v>
      </c>
      <c r="DY56" s="165" t="str">
        <f>'CAM Majors'!$B$56</f>
        <v>Insurance - Flood &amp; Earthquake</v>
      </c>
      <c r="DZ56" s="500">
        <f>'CAM Majors'!$C$56</f>
        <v>0</v>
      </c>
      <c r="EA56" s="501">
        <f>-DZ56</f>
        <v>0</v>
      </c>
      <c r="EB56" s="500">
        <f>DZ56+EA56</f>
        <v>0</v>
      </c>
      <c r="EC56" s="242">
        <f>$DZ$8/'CAM Majors'!$D56</f>
        <v>4.4410639649086529E-2</v>
      </c>
      <c r="ED56" s="463">
        <f t="shared" si="236"/>
        <v>0</v>
      </c>
      <c r="EE56" s="463">
        <v>0</v>
      </c>
      <c r="EF56" s="464">
        <f t="shared" si="237"/>
        <v>0</v>
      </c>
    </row>
    <row r="57" spans="1:136">
      <c r="A57" s="60"/>
      <c r="B57" s="51"/>
      <c r="C57" s="500"/>
      <c r="D57" s="461"/>
      <c r="E57" s="383"/>
      <c r="F57" s="242"/>
      <c r="G57" s="383"/>
      <c r="H57" s="242"/>
      <c r="I57" s="148"/>
      <c r="J57" s="148"/>
      <c r="K57" s="60"/>
      <c r="L57" s="51"/>
      <c r="M57" s="500"/>
      <c r="N57" s="461"/>
      <c r="O57" s="383"/>
      <c r="P57" s="242"/>
      <c r="Q57" s="383"/>
      <c r="R57" s="242"/>
      <c r="S57" s="148"/>
      <c r="T57" s="60"/>
      <c r="U57" s="51"/>
      <c r="V57" s="500"/>
      <c r="W57" s="461"/>
      <c r="X57" s="383"/>
      <c r="Y57" s="242"/>
      <c r="Z57" s="383"/>
      <c r="AA57" s="242"/>
      <c r="AB57" s="148"/>
      <c r="AC57" s="60"/>
      <c r="AD57" s="51"/>
      <c r="AE57" s="500"/>
      <c r="AF57" s="461"/>
      <c r="AG57" s="383"/>
      <c r="AH57" s="242"/>
      <c r="AI57" s="383"/>
      <c r="AJ57" s="242"/>
      <c r="AK57" s="148"/>
      <c r="AL57" s="60"/>
      <c r="AM57" s="51"/>
      <c r="AN57" s="500"/>
      <c r="AO57" s="461"/>
      <c r="AP57" s="383"/>
      <c r="AQ57" s="242"/>
      <c r="AR57" s="383"/>
      <c r="AS57" s="242"/>
      <c r="AT57" s="148"/>
      <c r="AU57" s="60"/>
      <c r="AV57" s="51"/>
      <c r="AW57" s="500"/>
      <c r="AX57" s="461"/>
      <c r="AY57" s="383"/>
      <c r="AZ57" s="242"/>
      <c r="BA57" s="383"/>
      <c r="BB57" s="242"/>
      <c r="BC57" s="148"/>
      <c r="BD57" s="60"/>
      <c r="BE57" s="51"/>
      <c r="BF57" s="500"/>
      <c r="BG57" s="461"/>
      <c r="BH57" s="383"/>
      <c r="BI57" s="242"/>
      <c r="BJ57" s="383"/>
      <c r="BK57" s="242"/>
      <c r="BL57" s="148"/>
      <c r="BM57" s="60"/>
      <c r="BN57" s="51"/>
      <c r="BO57" s="500"/>
      <c r="BP57" s="461"/>
      <c r="BQ57" s="383"/>
      <c r="BR57" s="242"/>
      <c r="BS57" s="383"/>
      <c r="BT57" s="242"/>
      <c r="BU57" s="148"/>
      <c r="BV57" s="60"/>
      <c r="BW57" s="51"/>
      <c r="BX57" s="500"/>
      <c r="BY57" s="461"/>
      <c r="BZ57" s="383"/>
      <c r="CA57" s="242"/>
      <c r="CB57" s="383"/>
      <c r="CC57" s="242"/>
      <c r="CD57" s="148"/>
      <c r="CE57" s="60"/>
      <c r="CF57" s="51"/>
      <c r="CG57" s="500"/>
      <c r="CH57" s="461"/>
      <c r="CI57" s="383"/>
      <c r="CJ57" s="242"/>
      <c r="CK57" s="383"/>
      <c r="CL57" s="242"/>
      <c r="CM57" s="148"/>
      <c r="CN57" s="60"/>
      <c r="CO57" s="51"/>
      <c r="CP57" s="500"/>
      <c r="CQ57" s="461"/>
      <c r="CR57" s="383"/>
      <c r="CS57" s="242"/>
      <c r="CT57" s="383"/>
      <c r="CU57" s="242"/>
      <c r="CV57" s="148"/>
      <c r="CW57" s="60"/>
      <c r="CX57" s="51"/>
      <c r="CY57" s="500"/>
      <c r="CZ57" s="461"/>
      <c r="DA57" s="383"/>
      <c r="DB57" s="242"/>
      <c r="DC57" s="383"/>
      <c r="DD57" s="242"/>
      <c r="DE57" s="148"/>
      <c r="DF57" s="60"/>
      <c r="DG57" s="51"/>
      <c r="DH57" s="500"/>
      <c r="DI57" s="461"/>
      <c r="DJ57" s="383"/>
      <c r="DK57" s="242"/>
      <c r="DL57" s="383"/>
      <c r="DM57" s="242"/>
      <c r="DN57" s="148"/>
      <c r="DO57" s="60"/>
      <c r="DP57" s="51"/>
      <c r="DQ57" s="500"/>
      <c r="DR57" s="461"/>
      <c r="DS57" s="383"/>
      <c r="DT57" s="242"/>
      <c r="DU57" s="383"/>
      <c r="DV57" s="242"/>
      <c r="DW57" s="148"/>
      <c r="DX57" s="60"/>
      <c r="DY57" s="51"/>
      <c r="DZ57" s="500"/>
      <c r="EA57" s="461"/>
      <c r="EB57" s="383"/>
      <c r="EC57" s="242"/>
      <c r="ED57" s="383"/>
      <c r="EE57" s="242"/>
      <c r="EF57" s="148"/>
    </row>
    <row r="58" spans="1:136">
      <c r="A58" s="60"/>
      <c r="B58" s="471" t="str">
        <f>'CAM Majors'!$B$58</f>
        <v>SUBTOTAL INSURANCE</v>
      </c>
      <c r="C58" s="503">
        <f>SUM(C53:C56)</f>
        <v>31960.5</v>
      </c>
      <c r="D58" s="503">
        <f t="shared" ref="D58:E58" si="249">SUM(D53:D56)</f>
        <v>0</v>
      </c>
      <c r="E58" s="503">
        <f t="shared" si="249"/>
        <v>31960.5</v>
      </c>
      <c r="F58" s="503"/>
      <c r="G58" s="472">
        <f t="shared" ref="G58:I58" si="250">SUM(G53:G56)</f>
        <v>1416.0820570382077</v>
      </c>
      <c r="H58" s="472">
        <f t="shared" si="250"/>
        <v>0</v>
      </c>
      <c r="I58" s="472">
        <f t="shared" si="250"/>
        <v>1416.0820570382077</v>
      </c>
      <c r="J58" s="504">
        <f>I58/C8</f>
        <v>0.47202735234606924</v>
      </c>
      <c r="K58" s="60"/>
      <c r="L58" s="471" t="str">
        <f>'CAM Majors'!$B$58</f>
        <v>SUBTOTAL INSURANCE</v>
      </c>
      <c r="M58" s="503">
        <f>SUM(M53:M56)</f>
        <v>31960.5</v>
      </c>
      <c r="N58" s="503">
        <f t="shared" ref="N58:O58" si="251">SUM(N53:N56)</f>
        <v>0</v>
      </c>
      <c r="O58" s="503">
        <f t="shared" si="251"/>
        <v>31960.5</v>
      </c>
      <c r="P58" s="503"/>
      <c r="Q58" s="472">
        <f t="shared" ref="Q58:S58" si="252">SUM(Q53:Q56)</f>
        <v>767.04444756236251</v>
      </c>
      <c r="R58" s="472">
        <f t="shared" si="252"/>
        <v>0</v>
      </c>
      <c r="S58" s="472">
        <f t="shared" si="252"/>
        <v>767.04444756236251</v>
      </c>
      <c r="T58" s="60"/>
      <c r="U58" s="471" t="str">
        <f>'CAM Majors'!$B$58</f>
        <v>SUBTOTAL INSURANCE</v>
      </c>
      <c r="V58" s="503">
        <f>SUM(V53:V56)</f>
        <v>31960.5</v>
      </c>
      <c r="W58" s="503">
        <f>SUM(W53:W56)</f>
        <v>0</v>
      </c>
      <c r="X58" s="503">
        <f>SUM(X53:X56)</f>
        <v>31960.5</v>
      </c>
      <c r="Y58" s="476"/>
      <c r="Z58" s="472">
        <f t="shared" ref="Z58:AB58" si="253">SUM(Z53:Z56)</f>
        <v>660.8382932844969</v>
      </c>
      <c r="AA58" s="472">
        <f t="shared" si="253"/>
        <v>0</v>
      </c>
      <c r="AB58" s="472">
        <f t="shared" si="253"/>
        <v>660.8382932844969</v>
      </c>
      <c r="AC58" s="60"/>
      <c r="AD58" s="471" t="str">
        <f>'CAM Majors'!$B$58</f>
        <v>SUBTOTAL INSURANCE</v>
      </c>
      <c r="AE58" s="503">
        <f>SUM(AE53:AE56)</f>
        <v>31960.5</v>
      </c>
      <c r="AF58" s="503">
        <f t="shared" ref="AF58:AG58" si="254">SUM(AF53:AF56)</f>
        <v>0</v>
      </c>
      <c r="AG58" s="503">
        <f t="shared" si="254"/>
        <v>31960.5</v>
      </c>
      <c r="AH58" s="503"/>
      <c r="AI58" s="472">
        <f t="shared" ref="AI58:AK58" si="255">SUM(AI53:AI56)</f>
        <v>524.89441580882897</v>
      </c>
      <c r="AJ58" s="472">
        <f t="shared" si="255"/>
        <v>0</v>
      </c>
      <c r="AK58" s="472">
        <f t="shared" si="255"/>
        <v>524.89441580882897</v>
      </c>
      <c r="AL58" s="60"/>
      <c r="AM58" s="471" t="str">
        <f>'CAM Majors'!$B$58</f>
        <v>SUBTOTAL INSURANCE</v>
      </c>
      <c r="AN58" s="503">
        <f>SUM(AN53:AN56)</f>
        <v>31960.5</v>
      </c>
      <c r="AO58" s="503">
        <f t="shared" ref="AO58:AP58" si="256">SUM(AO53:AO56)</f>
        <v>0</v>
      </c>
      <c r="AP58" s="503">
        <f t="shared" si="256"/>
        <v>31960.5</v>
      </c>
      <c r="AQ58" s="503"/>
      <c r="AR58" s="472">
        <f t="shared" ref="AR58:AT58" si="257">SUM(AR53:AR56)</f>
        <v>1177.2362167510964</v>
      </c>
      <c r="AS58" s="472">
        <f t="shared" si="257"/>
        <v>0</v>
      </c>
      <c r="AT58" s="472">
        <f t="shared" si="257"/>
        <v>1177.2362167510964</v>
      </c>
      <c r="AU58" s="60"/>
      <c r="AV58" s="471" t="str">
        <f>'CAM Majors'!$B$58</f>
        <v>SUBTOTAL INSURANCE</v>
      </c>
      <c r="AW58" s="503">
        <f>SUM(AW53:AW56)</f>
        <v>31960.5</v>
      </c>
      <c r="AX58" s="503">
        <f t="shared" ref="AX58:AY58" si="258">SUM(AX53:AX56)</f>
        <v>0</v>
      </c>
      <c r="AY58" s="503">
        <f t="shared" si="258"/>
        <v>31960.5</v>
      </c>
      <c r="AZ58" s="503"/>
      <c r="BA58" s="472">
        <f t="shared" ref="BA58:BC58" si="259">SUM(BA53:BA56)</f>
        <v>708.04102851910386</v>
      </c>
      <c r="BB58" s="472">
        <f t="shared" si="259"/>
        <v>0</v>
      </c>
      <c r="BC58" s="472">
        <f t="shared" si="259"/>
        <v>708.04102851910386</v>
      </c>
      <c r="BD58" s="60"/>
      <c r="BE58" s="471" t="str">
        <f>'CAM Majors'!$B$58</f>
        <v>SUBTOTAL INSURANCE</v>
      </c>
      <c r="BF58" s="503">
        <f>SUM(BF53:BF56)</f>
        <v>31960.5</v>
      </c>
      <c r="BG58" s="503">
        <f>SUM(BG53:BG56)</f>
        <v>0</v>
      </c>
      <c r="BH58" s="503">
        <f>SUM(BH53:BH56)</f>
        <v>31960.5</v>
      </c>
      <c r="BI58" s="476"/>
      <c r="BJ58" s="472">
        <f t="shared" ref="BJ58:BL58" si="260">SUM(BJ53:BJ56)</f>
        <v>818.49542896808407</v>
      </c>
      <c r="BK58" s="472">
        <f t="shared" si="260"/>
        <v>0</v>
      </c>
      <c r="BL58" s="472">
        <f t="shared" si="260"/>
        <v>818.49542896808407</v>
      </c>
      <c r="BM58" s="60"/>
      <c r="BN58" s="471" t="str">
        <f>'CAM Majors'!$B$58</f>
        <v>SUBTOTAL INSURANCE</v>
      </c>
      <c r="BO58" s="503">
        <f>SUM(BO53:BO56)</f>
        <v>31960.5</v>
      </c>
      <c r="BP58" s="503">
        <f t="shared" ref="BP58:BQ58" si="261">SUM(BP53:BP56)</f>
        <v>0</v>
      </c>
      <c r="BQ58" s="503">
        <f t="shared" si="261"/>
        <v>31960.5</v>
      </c>
      <c r="BR58" s="503"/>
      <c r="BS58" s="472">
        <f t="shared" ref="BS58:BU58" si="262">SUM(BS53:BS56)</f>
        <v>1840.9066741496699</v>
      </c>
      <c r="BT58" s="472">
        <f t="shared" si="262"/>
        <v>0</v>
      </c>
      <c r="BU58" s="472">
        <f t="shared" si="262"/>
        <v>1840.9066741496699</v>
      </c>
      <c r="BV58" s="60"/>
      <c r="BW58" s="471" t="str">
        <f>'CAM Majors'!$B$58</f>
        <v>SUBTOTAL INSURANCE</v>
      </c>
      <c r="BX58" s="503">
        <f>SUM(BX53:BX56)</f>
        <v>31960.5</v>
      </c>
      <c r="BY58" s="503">
        <f>SUM(BY53:BY56)</f>
        <v>0</v>
      </c>
      <c r="BZ58" s="503">
        <f>SUM(BZ53:BZ56)</f>
        <v>31960.5</v>
      </c>
      <c r="CA58" s="476"/>
      <c r="CB58" s="472">
        <f t="shared" ref="CB58:CD58" si="263">SUM(CB53:CB56)</f>
        <v>607.49920246939098</v>
      </c>
      <c r="CC58" s="472">
        <f t="shared" si="263"/>
        <v>0</v>
      </c>
      <c r="CD58" s="472">
        <f t="shared" si="263"/>
        <v>607.49920246939098</v>
      </c>
      <c r="CE58" s="60"/>
      <c r="CF58" s="471" t="str">
        <f>'CAM Majors'!$B$58</f>
        <v>SUBTOTAL INSURANCE</v>
      </c>
      <c r="CG58" s="503">
        <f>SUM(CG53:CG56)</f>
        <v>31960.5</v>
      </c>
      <c r="CH58" s="503">
        <f t="shared" ref="CH58:CI58" si="264">SUM(CH53:CH56)</f>
        <v>0</v>
      </c>
      <c r="CI58" s="503">
        <f t="shared" si="264"/>
        <v>31960.5</v>
      </c>
      <c r="CJ58" s="503"/>
      <c r="CK58" s="472">
        <f t="shared" ref="CK58:CM58" si="265">SUM(CK53:CK56)</f>
        <v>773.65283049520747</v>
      </c>
      <c r="CL58" s="472">
        <f t="shared" si="265"/>
        <v>0</v>
      </c>
      <c r="CM58" s="472">
        <f t="shared" si="265"/>
        <v>773.65283049520747</v>
      </c>
      <c r="CN58" s="60"/>
      <c r="CO58" s="471" t="str">
        <f>'CAM Majors'!$B$58</f>
        <v>SUBTOTAL INSURANCE</v>
      </c>
      <c r="CP58" s="503">
        <f>SUM(CP53:CP56)</f>
        <v>31960.5</v>
      </c>
      <c r="CQ58" s="503">
        <f t="shared" ref="CQ58:CR58" si="266">SUM(CQ53:CQ56)</f>
        <v>0</v>
      </c>
      <c r="CR58" s="503">
        <f t="shared" si="266"/>
        <v>31960.5</v>
      </c>
      <c r="CS58" s="503"/>
      <c r="CT58" s="472">
        <f t="shared" ref="CT58:CV58" si="267">SUM(CT53:CT56)</f>
        <v>1699.2984684458493</v>
      </c>
      <c r="CU58" s="472">
        <f t="shared" si="267"/>
        <v>0</v>
      </c>
      <c r="CV58" s="472">
        <f t="shared" si="267"/>
        <v>1699.2984684458493</v>
      </c>
      <c r="CW58" s="60"/>
      <c r="CX58" s="471" t="str">
        <f>'CAM Majors'!$B$58</f>
        <v>SUBTOTAL INSURANCE</v>
      </c>
      <c r="CY58" s="503">
        <f>SUM(CY53:CY56)</f>
        <v>31960.5</v>
      </c>
      <c r="CZ58" s="503">
        <f>SUM(CZ53:CZ56)</f>
        <v>0</v>
      </c>
      <c r="DA58" s="503">
        <f>SUM(DA53:DA56)</f>
        <v>31960.5</v>
      </c>
      <c r="DB58" s="476"/>
      <c r="DC58" s="472">
        <f t="shared" ref="DC58:DE58" si="268">SUM(DC53:DC56)</f>
        <v>749.10740817321187</v>
      </c>
      <c r="DD58" s="472">
        <f t="shared" si="268"/>
        <v>0</v>
      </c>
      <c r="DE58" s="472">
        <f t="shared" si="268"/>
        <v>749.10740817321187</v>
      </c>
      <c r="DF58" s="60"/>
      <c r="DG58" s="471" t="str">
        <f>'CAM Majors'!$B$58</f>
        <v>SUBTOTAL INSURANCE</v>
      </c>
      <c r="DH58" s="503">
        <f>SUM(DH53:DH56)</f>
        <v>31960.5</v>
      </c>
      <c r="DI58" s="503">
        <f>SUM(DI53:DI56)</f>
        <v>0</v>
      </c>
      <c r="DJ58" s="503">
        <f>SUM(DJ53:DJ56)</f>
        <v>31960.5</v>
      </c>
      <c r="DK58" s="476"/>
      <c r="DL58" s="472">
        <f t="shared" ref="DL58:DN58" si="269">SUM(DL53:DL56)</f>
        <v>613.63555804989005</v>
      </c>
      <c r="DM58" s="472">
        <f t="shared" si="269"/>
        <v>0</v>
      </c>
      <c r="DN58" s="472">
        <f t="shared" si="269"/>
        <v>613.63555804989005</v>
      </c>
      <c r="DO58" s="60"/>
      <c r="DP58" s="471" t="str">
        <f>'CAM Majors'!$B$58</f>
        <v>SUBTOTAL INSURANCE</v>
      </c>
      <c r="DQ58" s="503">
        <f>SUM(DQ53:DQ56)</f>
        <v>31960.5</v>
      </c>
      <c r="DR58" s="503">
        <f t="shared" ref="DR58:DS58" si="270">SUM(DR53:DR56)</f>
        <v>0</v>
      </c>
      <c r="DS58" s="503">
        <f t="shared" si="270"/>
        <v>31960.5</v>
      </c>
      <c r="DT58" s="503"/>
      <c r="DU58" s="472">
        <f t="shared" ref="DU58:DW58" si="271">SUM(DU53:DU56)</f>
        <v>1663.424389667548</v>
      </c>
      <c r="DV58" s="472">
        <f t="shared" si="271"/>
        <v>0</v>
      </c>
      <c r="DW58" s="472">
        <f t="shared" si="271"/>
        <v>1663.424389667548</v>
      </c>
      <c r="DX58" s="60"/>
      <c r="DY58" s="471" t="str">
        <f>'CAM Majors'!$B$58</f>
        <v>SUBTOTAL INSURANCE</v>
      </c>
      <c r="DZ58" s="503">
        <f>SUM(DZ53:DZ56)</f>
        <v>31960.5</v>
      </c>
      <c r="EA58" s="503">
        <f t="shared" ref="EA58:EB58" si="272">SUM(EA53:EA56)</f>
        <v>0</v>
      </c>
      <c r="EB58" s="503">
        <f t="shared" si="272"/>
        <v>31960.5</v>
      </c>
      <c r="EC58" s="503"/>
      <c r="ED58" s="472">
        <f t="shared" ref="ED58:EF58" si="273">SUM(ED53:ED56)</f>
        <v>1419.38624850463</v>
      </c>
      <c r="EE58" s="472">
        <f t="shared" si="273"/>
        <v>0</v>
      </c>
      <c r="EF58" s="472">
        <f t="shared" si="273"/>
        <v>1419.38624850463</v>
      </c>
    </row>
    <row r="59" spans="1:136">
      <c r="A59" s="60"/>
      <c r="B59" s="51"/>
      <c r="C59" s="500"/>
      <c r="D59" s="461"/>
      <c r="E59" s="383"/>
      <c r="F59" s="242"/>
      <c r="G59" s="2"/>
      <c r="H59" s="2"/>
      <c r="I59" s="2"/>
      <c r="J59" s="2"/>
      <c r="K59" s="60"/>
      <c r="L59" s="51"/>
      <c r="M59" s="500"/>
      <c r="N59" s="461"/>
      <c r="O59" s="383"/>
      <c r="P59" s="242"/>
      <c r="Q59" s="2"/>
      <c r="R59" s="2"/>
      <c r="S59" s="2"/>
      <c r="T59" s="60"/>
      <c r="U59" s="51"/>
      <c r="V59" s="500"/>
      <c r="W59" s="461"/>
      <c r="X59" s="383"/>
      <c r="Y59" s="242"/>
      <c r="Z59" s="2"/>
      <c r="AA59" s="2"/>
      <c r="AB59" s="2"/>
      <c r="AC59" s="60"/>
      <c r="AD59" s="51"/>
      <c r="AE59" s="500"/>
      <c r="AF59" s="461"/>
      <c r="AG59" s="383"/>
      <c r="AH59" s="242"/>
      <c r="AI59" s="2"/>
      <c r="AJ59" s="2"/>
      <c r="AK59" s="2"/>
      <c r="AL59" s="60"/>
      <c r="AM59" s="51"/>
      <c r="AN59" s="500"/>
      <c r="AO59" s="461"/>
      <c r="AP59" s="383"/>
      <c r="AQ59" s="242"/>
      <c r="AR59" s="2"/>
      <c r="AS59" s="2"/>
      <c r="AT59" s="2"/>
      <c r="AU59" s="60"/>
      <c r="AV59" s="51"/>
      <c r="AW59" s="500"/>
      <c r="AX59" s="461"/>
      <c r="AY59" s="383"/>
      <c r="AZ59" s="242"/>
      <c r="BA59" s="2"/>
      <c r="BB59" s="2"/>
      <c r="BC59" s="2"/>
      <c r="BD59" s="60"/>
      <c r="BE59" s="51"/>
      <c r="BF59" s="500"/>
      <c r="BG59" s="461"/>
      <c r="BH59" s="383"/>
      <c r="BI59" s="242"/>
      <c r="BJ59" s="2"/>
      <c r="BK59" s="2"/>
      <c r="BL59" s="2"/>
      <c r="BM59" s="60"/>
      <c r="BN59" s="51"/>
      <c r="BO59" s="500"/>
      <c r="BP59" s="461"/>
      <c r="BQ59" s="383"/>
      <c r="BR59" s="242"/>
      <c r="BS59" s="2"/>
      <c r="BT59" s="2"/>
      <c r="BU59" s="2"/>
      <c r="BV59" s="60"/>
      <c r="BW59" s="51"/>
      <c r="BX59" s="500"/>
      <c r="BY59" s="461"/>
      <c r="BZ59" s="383"/>
      <c r="CA59" s="242"/>
      <c r="CB59" s="2"/>
      <c r="CC59" s="2"/>
      <c r="CD59" s="2"/>
      <c r="CE59" s="60"/>
      <c r="CF59" s="51"/>
      <c r="CG59" s="500"/>
      <c r="CH59" s="461"/>
      <c r="CI59" s="383"/>
      <c r="CJ59" s="242"/>
      <c r="CK59" s="2"/>
      <c r="CL59" s="2"/>
      <c r="CM59" s="2"/>
      <c r="CN59" s="60"/>
      <c r="CO59" s="51"/>
      <c r="CP59" s="500"/>
      <c r="CQ59" s="461"/>
      <c r="CR59" s="383"/>
      <c r="CS59" s="242"/>
      <c r="CT59" s="2"/>
      <c r="CU59" s="2"/>
      <c r="CV59" s="2"/>
      <c r="CW59" s="60"/>
      <c r="CX59" s="51"/>
      <c r="CY59" s="500"/>
      <c r="CZ59" s="461"/>
      <c r="DA59" s="383"/>
      <c r="DB59" s="242"/>
      <c r="DC59" s="2"/>
      <c r="DD59" s="2"/>
      <c r="DE59" s="2"/>
      <c r="DF59" s="60"/>
      <c r="DG59" s="51"/>
      <c r="DH59" s="500"/>
      <c r="DI59" s="461"/>
      <c r="DJ59" s="383"/>
      <c r="DK59" s="242"/>
      <c r="DL59" s="2"/>
      <c r="DM59" s="2"/>
      <c r="DN59" s="2"/>
      <c r="DO59" s="60"/>
      <c r="DP59" s="51"/>
      <c r="DQ59" s="500"/>
      <c r="DR59" s="461"/>
      <c r="DS59" s="383"/>
      <c r="DT59" s="242"/>
      <c r="DU59" s="2"/>
      <c r="DV59" s="2"/>
      <c r="DW59" s="2"/>
      <c r="DX59" s="60"/>
      <c r="DY59" s="51"/>
      <c r="DZ59" s="500"/>
      <c r="EA59" s="461"/>
      <c r="EB59" s="383"/>
      <c r="EC59" s="242"/>
      <c r="ED59" s="2"/>
      <c r="EE59" s="2"/>
      <c r="EF59" s="2"/>
    </row>
    <row r="60" spans="1:136">
      <c r="A60" s="60"/>
      <c r="B60" s="51" t="str">
        <f>'CAM Majors'!$B$60</f>
        <v>PROPERTY TAXES</v>
      </c>
      <c r="C60" s="500" t="s">
        <v>47</v>
      </c>
      <c r="D60" s="461" t="s">
        <v>47</v>
      </c>
      <c r="E60" s="383" t="s">
        <v>47</v>
      </c>
      <c r="F60" s="242" t="s">
        <v>47</v>
      </c>
      <c r="G60" s="383" t="s">
        <v>47</v>
      </c>
      <c r="H60" s="2"/>
      <c r="I60" s="148" t="s">
        <v>47</v>
      </c>
      <c r="J60" s="148"/>
      <c r="K60" s="60"/>
      <c r="L60" s="51" t="str">
        <f>'CAM Majors'!$B$60</f>
        <v>PROPERTY TAXES</v>
      </c>
      <c r="M60" s="500" t="s">
        <v>47</v>
      </c>
      <c r="N60" s="461" t="s">
        <v>47</v>
      </c>
      <c r="O60" s="383" t="s">
        <v>47</v>
      </c>
      <c r="P60" s="242" t="s">
        <v>47</v>
      </c>
      <c r="Q60" s="383" t="s">
        <v>47</v>
      </c>
      <c r="R60" s="2"/>
      <c r="S60" s="148" t="s">
        <v>47</v>
      </c>
      <c r="T60" s="60"/>
      <c r="U60" s="51" t="str">
        <f>'CAM Majors'!$B$60</f>
        <v>PROPERTY TAXES</v>
      </c>
      <c r="V60" s="500" t="s">
        <v>47</v>
      </c>
      <c r="W60" s="461" t="s">
        <v>47</v>
      </c>
      <c r="X60" s="383" t="s">
        <v>47</v>
      </c>
      <c r="Y60" s="242" t="s">
        <v>47</v>
      </c>
      <c r="Z60" s="383" t="s">
        <v>47</v>
      </c>
      <c r="AA60" s="2"/>
      <c r="AB60" s="148" t="s">
        <v>47</v>
      </c>
      <c r="AC60" s="60"/>
      <c r="AD60" s="51" t="str">
        <f>'CAM Majors'!$B$60</f>
        <v>PROPERTY TAXES</v>
      </c>
      <c r="AE60" s="500" t="s">
        <v>47</v>
      </c>
      <c r="AF60" s="461" t="s">
        <v>47</v>
      </c>
      <c r="AG60" s="383" t="s">
        <v>47</v>
      </c>
      <c r="AH60" s="242" t="s">
        <v>47</v>
      </c>
      <c r="AI60" s="383" t="s">
        <v>47</v>
      </c>
      <c r="AJ60" s="2"/>
      <c r="AK60" s="148" t="s">
        <v>47</v>
      </c>
      <c r="AL60" s="60"/>
      <c r="AM60" s="51" t="str">
        <f>'CAM Majors'!$B$60</f>
        <v>PROPERTY TAXES</v>
      </c>
      <c r="AN60" s="500" t="s">
        <v>47</v>
      </c>
      <c r="AO60" s="461" t="s">
        <v>47</v>
      </c>
      <c r="AP60" s="383" t="s">
        <v>47</v>
      </c>
      <c r="AQ60" s="242" t="s">
        <v>47</v>
      </c>
      <c r="AR60" s="383" t="s">
        <v>47</v>
      </c>
      <c r="AS60" s="2"/>
      <c r="AT60" s="148" t="s">
        <v>47</v>
      </c>
      <c r="AU60" s="60"/>
      <c r="AV60" s="51" t="str">
        <f>'CAM Majors'!$B$60</f>
        <v>PROPERTY TAXES</v>
      </c>
      <c r="AW60" s="500" t="s">
        <v>47</v>
      </c>
      <c r="AX60" s="461" t="s">
        <v>47</v>
      </c>
      <c r="AY60" s="383" t="s">
        <v>47</v>
      </c>
      <c r="AZ60" s="242" t="s">
        <v>47</v>
      </c>
      <c r="BA60" s="383" t="s">
        <v>47</v>
      </c>
      <c r="BB60" s="2"/>
      <c r="BC60" s="148" t="s">
        <v>47</v>
      </c>
      <c r="BD60" s="60"/>
      <c r="BE60" s="51" t="str">
        <f>'CAM Majors'!$B$60</f>
        <v>PROPERTY TAXES</v>
      </c>
      <c r="BF60" s="500" t="s">
        <v>47</v>
      </c>
      <c r="BG60" s="461" t="s">
        <v>47</v>
      </c>
      <c r="BH60" s="383" t="s">
        <v>47</v>
      </c>
      <c r="BI60" s="242" t="s">
        <v>47</v>
      </c>
      <c r="BJ60" s="383" t="s">
        <v>47</v>
      </c>
      <c r="BK60" s="2"/>
      <c r="BL60" s="148" t="s">
        <v>47</v>
      </c>
      <c r="BM60" s="60"/>
      <c r="BN60" s="51" t="str">
        <f>'CAM Majors'!$B$60</f>
        <v>PROPERTY TAXES</v>
      </c>
      <c r="BO60" s="500" t="s">
        <v>47</v>
      </c>
      <c r="BP60" s="461" t="s">
        <v>47</v>
      </c>
      <c r="BQ60" s="383" t="s">
        <v>47</v>
      </c>
      <c r="BR60" s="242" t="s">
        <v>47</v>
      </c>
      <c r="BS60" s="383" t="s">
        <v>47</v>
      </c>
      <c r="BT60" s="2"/>
      <c r="BU60" s="148" t="s">
        <v>47</v>
      </c>
      <c r="BV60" s="60"/>
      <c r="BW60" s="51" t="str">
        <f>'CAM Majors'!$B$60</f>
        <v>PROPERTY TAXES</v>
      </c>
      <c r="BX60" s="500" t="s">
        <v>47</v>
      </c>
      <c r="BY60" s="461" t="s">
        <v>47</v>
      </c>
      <c r="BZ60" s="383" t="s">
        <v>47</v>
      </c>
      <c r="CA60" s="242" t="s">
        <v>47</v>
      </c>
      <c r="CB60" s="383" t="s">
        <v>47</v>
      </c>
      <c r="CC60" s="2"/>
      <c r="CD60" s="148" t="s">
        <v>47</v>
      </c>
      <c r="CE60" s="60"/>
      <c r="CF60" s="51" t="str">
        <f>'CAM Majors'!$B$60</f>
        <v>PROPERTY TAXES</v>
      </c>
      <c r="CG60" s="500" t="s">
        <v>47</v>
      </c>
      <c r="CH60" s="461" t="s">
        <v>47</v>
      </c>
      <c r="CI60" s="383" t="s">
        <v>47</v>
      </c>
      <c r="CJ60" s="242" t="s">
        <v>47</v>
      </c>
      <c r="CK60" s="383" t="s">
        <v>47</v>
      </c>
      <c r="CL60" s="2"/>
      <c r="CM60" s="148" t="s">
        <v>47</v>
      </c>
      <c r="CN60" s="60"/>
      <c r="CO60" s="51" t="str">
        <f>'CAM Majors'!$B$60</f>
        <v>PROPERTY TAXES</v>
      </c>
      <c r="CP60" s="500" t="s">
        <v>47</v>
      </c>
      <c r="CQ60" s="461" t="s">
        <v>47</v>
      </c>
      <c r="CR60" s="383" t="s">
        <v>47</v>
      </c>
      <c r="CS60" s="242" t="s">
        <v>47</v>
      </c>
      <c r="CT60" s="383" t="s">
        <v>47</v>
      </c>
      <c r="CU60" s="2"/>
      <c r="CV60" s="148" t="s">
        <v>47</v>
      </c>
      <c r="CW60" s="60"/>
      <c r="CX60" s="51" t="str">
        <f>'CAM Majors'!$B$60</f>
        <v>PROPERTY TAXES</v>
      </c>
      <c r="CY60" s="500" t="s">
        <v>47</v>
      </c>
      <c r="CZ60" s="461" t="s">
        <v>47</v>
      </c>
      <c r="DA60" s="383" t="s">
        <v>47</v>
      </c>
      <c r="DB60" s="242" t="s">
        <v>47</v>
      </c>
      <c r="DC60" s="383" t="s">
        <v>47</v>
      </c>
      <c r="DD60" s="2"/>
      <c r="DE60" s="148" t="s">
        <v>47</v>
      </c>
      <c r="DF60" s="60"/>
      <c r="DG60" s="51" t="str">
        <f>'CAM Majors'!$B$60</f>
        <v>PROPERTY TAXES</v>
      </c>
      <c r="DH60" s="500" t="s">
        <v>47</v>
      </c>
      <c r="DI60" s="461" t="s">
        <v>47</v>
      </c>
      <c r="DJ60" s="383" t="s">
        <v>47</v>
      </c>
      <c r="DK60" s="242" t="s">
        <v>47</v>
      </c>
      <c r="DL60" s="383" t="s">
        <v>47</v>
      </c>
      <c r="DM60" s="2"/>
      <c r="DN60" s="148" t="s">
        <v>47</v>
      </c>
      <c r="DO60" s="60"/>
      <c r="DP60" s="51" t="str">
        <f>'CAM Majors'!$B$60</f>
        <v>PROPERTY TAXES</v>
      </c>
      <c r="DQ60" s="500" t="s">
        <v>47</v>
      </c>
      <c r="DR60" s="461" t="s">
        <v>47</v>
      </c>
      <c r="DS60" s="383" t="s">
        <v>47</v>
      </c>
      <c r="DT60" s="242" t="s">
        <v>47</v>
      </c>
      <c r="DU60" s="383" t="s">
        <v>47</v>
      </c>
      <c r="DV60" s="2"/>
      <c r="DW60" s="148" t="s">
        <v>47</v>
      </c>
      <c r="DX60" s="60"/>
      <c r="DY60" s="51" t="str">
        <f>'CAM Majors'!$B$60</f>
        <v>PROPERTY TAXES</v>
      </c>
      <c r="DZ60" s="500" t="s">
        <v>47</v>
      </c>
      <c r="EA60" s="461" t="s">
        <v>47</v>
      </c>
      <c r="EB60" s="383" t="s">
        <v>47</v>
      </c>
      <c r="EC60" s="242" t="s">
        <v>47</v>
      </c>
      <c r="ED60" s="383" t="s">
        <v>47</v>
      </c>
      <c r="EE60" s="2"/>
      <c r="EF60" s="148" t="s">
        <v>47</v>
      </c>
    </row>
    <row r="61" spans="1:136">
      <c r="A61" s="60">
        <f>'CAM Majors'!$A$61</f>
        <v>54000</v>
      </c>
      <c r="B61" s="2" t="str">
        <f>'CAM Majors'!$B$61</f>
        <v>Property Tax</v>
      </c>
      <c r="C61" s="500">
        <f>'CAM Majors'!$C$61</f>
        <v>144492.76140000002</v>
      </c>
      <c r="D61" s="461">
        <v>0</v>
      </c>
      <c r="E61" s="383">
        <f>+C61+D61</f>
        <v>144492.76140000002</v>
      </c>
      <c r="F61" s="242">
        <f>$C$8/'CAM Majors'!D61</f>
        <v>4.4307256051632722E-2</v>
      </c>
      <c r="G61" s="463">
        <f t="shared" ref="G61" si="274">E61*F61</f>
        <v>6402.0777769572742</v>
      </c>
      <c r="H61" s="463">
        <v>0</v>
      </c>
      <c r="I61" s="464">
        <f t="shared" ref="I61" si="275">G61+H61</f>
        <v>6402.0777769572742</v>
      </c>
      <c r="J61" s="464"/>
      <c r="K61" s="60">
        <f>'CAM Majors'!$A$61</f>
        <v>54000</v>
      </c>
      <c r="L61" s="2" t="str">
        <f>'CAM Majors'!$B$61</f>
        <v>Property Tax</v>
      </c>
      <c r="M61" s="500">
        <f>'CAM Majors'!$C$61</f>
        <v>144492.76140000002</v>
      </c>
      <c r="N61" s="461">
        <v>0</v>
      </c>
      <c r="O61" s="383">
        <f>+M61+N61</f>
        <v>144492.76140000002</v>
      </c>
      <c r="P61" s="242">
        <f>$M$8/'CAM Majors'!D61</f>
        <v>2.3999763694634392E-2</v>
      </c>
      <c r="Q61" s="463">
        <f t="shared" ref="Q61" si="276">O61*P61</f>
        <v>3467.7921291851899</v>
      </c>
      <c r="R61" s="463">
        <v>0</v>
      </c>
      <c r="S61" s="464">
        <f t="shared" ref="S61" si="277">Q61+R61</f>
        <v>3467.7921291851899</v>
      </c>
      <c r="T61" s="60">
        <f>'CAM Majors'!$A$61</f>
        <v>54000</v>
      </c>
      <c r="U61" s="2" t="str">
        <f>'CAM Majors'!$B$61</f>
        <v>Property Tax</v>
      </c>
      <c r="V61" s="500">
        <f>'CAM Majors'!$C$61</f>
        <v>144492.76140000002</v>
      </c>
      <c r="W61" s="461">
        <v>0</v>
      </c>
      <c r="X61" s="383">
        <f>+V61+W61</f>
        <v>144492.76140000002</v>
      </c>
      <c r="Y61" s="242">
        <f>$V$8/'CAM Majors'!D61</f>
        <v>2.0676719490761938E-2</v>
      </c>
      <c r="Z61" s="463">
        <f t="shared" ref="Z61" si="278">X61*Y61</f>
        <v>2987.6362959133944</v>
      </c>
      <c r="AA61" s="463">
        <v>0</v>
      </c>
      <c r="AB61" s="464">
        <f t="shared" ref="AB61" si="279">Z61+AA61</f>
        <v>2987.6362959133944</v>
      </c>
      <c r="AC61" s="60">
        <f>'CAM Majors'!$A$61</f>
        <v>54000</v>
      </c>
      <c r="AD61" s="2" t="str">
        <f>'CAM Majors'!$B$61</f>
        <v>Property Tax</v>
      </c>
      <c r="AE61" s="500">
        <f>'CAM Majors'!$C$61</f>
        <v>144492.76140000002</v>
      </c>
      <c r="AF61" s="461">
        <v>0</v>
      </c>
      <c r="AG61" s="383">
        <f>+AE61+AF61</f>
        <v>144492.76140000002</v>
      </c>
      <c r="AH61" s="242">
        <f>$AE$8/'CAM Majors'!D61</f>
        <v>1.6423222909805194E-2</v>
      </c>
      <c r="AI61" s="463">
        <f t="shared" ref="AI61" si="280">AG61*AH61</f>
        <v>2373.036829325496</v>
      </c>
      <c r="AJ61" s="463">
        <v>0</v>
      </c>
      <c r="AK61" s="464">
        <f t="shared" ref="AK61" si="281">AI61+AJ61</f>
        <v>2373.036829325496</v>
      </c>
      <c r="AL61" s="60">
        <f>'CAM Majors'!$A$61</f>
        <v>54000</v>
      </c>
      <c r="AM61" s="2" t="str">
        <f>'CAM Majors'!$B$61</f>
        <v>Property Tax</v>
      </c>
      <c r="AN61" s="500">
        <f>'CAM Majors'!$C$61</f>
        <v>144492.76140000002</v>
      </c>
      <c r="AO61" s="461">
        <v>0</v>
      </c>
      <c r="AP61" s="383">
        <f>+AN61+AO61</f>
        <v>144492.76140000002</v>
      </c>
      <c r="AQ61" s="242">
        <f>$AN$8/'CAM Majors'!D61</f>
        <v>3.6834098864257335E-2</v>
      </c>
      <c r="AR61" s="463">
        <f t="shared" ref="AR61" si="282">AP61*AQ61</f>
        <v>5322.2606585771464</v>
      </c>
      <c r="AS61" s="463"/>
      <c r="AT61" s="464">
        <f t="shared" ref="AT61" si="283">AR61+AS61</f>
        <v>5322.2606585771464</v>
      </c>
      <c r="AU61" s="60">
        <f>'CAM Majors'!$A$61</f>
        <v>54000</v>
      </c>
      <c r="AV61" s="2" t="str">
        <f>'CAM Majors'!$B$61</f>
        <v>Property Tax</v>
      </c>
      <c r="AW61" s="500">
        <f>'CAM Majors'!$C$61</f>
        <v>144492.76140000002</v>
      </c>
      <c r="AX61" s="461">
        <v>0</v>
      </c>
      <c r="AY61" s="383">
        <f>+AW61+AX61</f>
        <v>144492.76140000002</v>
      </c>
      <c r="AZ61" s="242">
        <f>$AW$8/'CAM Majors'!$D61</f>
        <v>2.2153628025816361E-2</v>
      </c>
      <c r="BA61" s="463">
        <f t="shared" ref="BA61" si="284">AY61*AZ61</f>
        <v>3201.0388884786371</v>
      </c>
      <c r="BB61" s="463">
        <v>0</v>
      </c>
      <c r="BC61" s="464">
        <f t="shared" ref="BC61" si="285">BA61+BB61</f>
        <v>3201.0388884786371</v>
      </c>
      <c r="BD61" s="60">
        <f>'CAM Majors'!$A$61</f>
        <v>54000</v>
      </c>
      <c r="BE61" s="2" t="str">
        <f>'CAM Majors'!$B$61</f>
        <v>Property Tax</v>
      </c>
      <c r="BF61" s="500">
        <f>'CAM Majors'!$C$61</f>
        <v>144492.76140000002</v>
      </c>
      <c r="BG61" s="461">
        <v>0</v>
      </c>
      <c r="BH61" s="383">
        <f>+BF61+BG61</f>
        <v>144492.76140000002</v>
      </c>
      <c r="BI61" s="242">
        <f>$BF$8/'CAM Majors'!$D61</f>
        <v>2.5609593997843714E-2</v>
      </c>
      <c r="BJ61" s="463">
        <f t="shared" ref="BJ61" si="286">BH61*BI61</f>
        <v>3700.4009550813043</v>
      </c>
      <c r="BK61" s="463">
        <v>0</v>
      </c>
      <c r="BL61" s="464">
        <f t="shared" ref="BL61" si="287">BJ61+BK61</f>
        <v>3700.4009550813043</v>
      </c>
      <c r="BM61" s="60">
        <f>'CAM Majors'!$A$61</f>
        <v>54000</v>
      </c>
      <c r="BN61" s="2" t="str">
        <f>'CAM Majors'!$B$61</f>
        <v>Property Tax</v>
      </c>
      <c r="BO61" s="500">
        <f>'CAM Majors'!$C$61</f>
        <v>144492.76140000002</v>
      </c>
      <c r="BP61" s="461">
        <v>0</v>
      </c>
      <c r="BQ61" s="383">
        <f>+BO61+BP61</f>
        <v>144492.76140000002</v>
      </c>
      <c r="BR61" s="242">
        <f>$BO$8/'CAM Majors'!$D61</f>
        <v>5.7599432867122539E-2</v>
      </c>
      <c r="BS61" s="463">
        <f t="shared" ref="BS61" si="288">BQ61*BR61</f>
        <v>8322.7011100444561</v>
      </c>
      <c r="BT61" s="463">
        <v>0</v>
      </c>
      <c r="BU61" s="464">
        <f t="shared" ref="BU61" si="289">BS61+BT61</f>
        <v>8322.7011100444561</v>
      </c>
      <c r="BV61" s="60">
        <f>'CAM Majors'!$A$61</f>
        <v>54000</v>
      </c>
      <c r="BW61" s="2" t="str">
        <f>'CAM Majors'!$B$61</f>
        <v>Property Tax</v>
      </c>
      <c r="BX61" s="500">
        <f>'CAM Majors'!$C$61</f>
        <v>144492.76140000002</v>
      </c>
      <c r="BY61" s="461">
        <v>0</v>
      </c>
      <c r="BZ61" s="383">
        <f>+BX61+BY61</f>
        <v>144492.76140000002</v>
      </c>
      <c r="CA61" s="242">
        <f>$BX$8/'CAM Majors'!$D61</f>
        <v>1.9007812846150437E-2</v>
      </c>
      <c r="CB61" s="463">
        <f t="shared" ref="CB61" si="290">BZ61*CA61</f>
        <v>2746.4913663146704</v>
      </c>
      <c r="CC61" s="463">
        <v>0</v>
      </c>
      <c r="CD61" s="464">
        <f t="shared" ref="CD61" si="291">CB61+CC61</f>
        <v>2746.4913663146704</v>
      </c>
      <c r="CE61" s="60">
        <f>'CAM Majors'!$A$61</f>
        <v>54000</v>
      </c>
      <c r="CF61" s="2" t="str">
        <f>'CAM Majors'!$B$61</f>
        <v>Property Tax</v>
      </c>
      <c r="CG61" s="500">
        <f>'CAM Majors'!$C$61</f>
        <v>144492.76140000002</v>
      </c>
      <c r="CH61" s="461">
        <v>0</v>
      </c>
      <c r="CI61" s="383">
        <f>+CG61+CH61</f>
        <v>144492.76140000002</v>
      </c>
      <c r="CJ61" s="242">
        <f>$CG$8/'CAM Majors'!$D61</f>
        <v>2.420653088954201E-2</v>
      </c>
      <c r="CK61" s="463">
        <f t="shared" ref="CK61" si="292">CI61*CJ61</f>
        <v>3497.6684921443239</v>
      </c>
      <c r="CL61" s="463">
        <v>0</v>
      </c>
      <c r="CM61" s="464">
        <f t="shared" ref="CM61" si="293">CK61+CL61</f>
        <v>3497.6684921443239</v>
      </c>
      <c r="CN61" s="60">
        <f>'CAM Majors'!$A$61</f>
        <v>54000</v>
      </c>
      <c r="CO61" s="2" t="str">
        <f>'CAM Majors'!$B$61</f>
        <v>Property Tax</v>
      </c>
      <c r="CP61" s="500">
        <f>'CAM Majors'!$C$61</f>
        <v>144492.76140000002</v>
      </c>
      <c r="CQ61" s="461">
        <v>0</v>
      </c>
      <c r="CR61" s="383">
        <f>+CP61+CQ61</f>
        <v>144492.76140000002</v>
      </c>
      <c r="CS61" s="242">
        <f>$CP$8/'CAM Majors'!$D61</f>
        <v>5.3168707261959269E-2</v>
      </c>
      <c r="CT61" s="463">
        <f t="shared" ref="CT61" si="294">CR61*CS61</f>
        <v>7682.4933323487294</v>
      </c>
      <c r="CU61" s="463"/>
      <c r="CV61" s="464">
        <f t="shared" ref="CV61" si="295">CT61+CU61</f>
        <v>7682.4933323487294</v>
      </c>
      <c r="CW61" s="60">
        <f>'CAM Majors'!$A$61</f>
        <v>54000</v>
      </c>
      <c r="CX61" s="2" t="str">
        <f>'CAM Majors'!$B$61</f>
        <v>Property Tax</v>
      </c>
      <c r="CY61" s="500">
        <f>'CAM Majors'!$C$61</f>
        <v>144492.76140000002</v>
      </c>
      <c r="CZ61" s="461">
        <v>0</v>
      </c>
      <c r="DA61" s="383">
        <f>+CY61+CZ61</f>
        <v>144492.76140000002</v>
      </c>
      <c r="DB61" s="242">
        <f>$CY$8/'CAM Majors'!$D61</f>
        <v>2.343853845131371E-2</v>
      </c>
      <c r="DC61" s="463">
        <f t="shared" ref="DC61" si="296">DA61*DB61</f>
        <v>3386.699144010398</v>
      </c>
      <c r="DD61" s="463">
        <v>0</v>
      </c>
      <c r="DE61" s="464">
        <f t="shared" ref="DE61" si="297">DC61+DD61</f>
        <v>3386.699144010398</v>
      </c>
      <c r="DF61" s="60">
        <f>'CAM Majors'!$A$61</f>
        <v>54000</v>
      </c>
      <c r="DG61" s="2" t="str">
        <f>'CAM Majors'!$B$61</f>
        <v>Property Tax</v>
      </c>
      <c r="DH61" s="500">
        <f>'CAM Majors'!$C$61</f>
        <v>144492.76140000002</v>
      </c>
      <c r="DI61" s="461">
        <v>0</v>
      </c>
      <c r="DJ61" s="383">
        <f>+DH61+DI61</f>
        <v>144492.76140000002</v>
      </c>
      <c r="DK61" s="242">
        <f>$DH$8/'CAM Majors'!$D61</f>
        <v>1.9199810955707514E-2</v>
      </c>
      <c r="DL61" s="463">
        <f t="shared" ref="DL61" si="298">DJ61*DK61</f>
        <v>2774.2337033481522</v>
      </c>
      <c r="DM61" s="463">
        <v>0</v>
      </c>
      <c r="DN61" s="464">
        <f t="shared" ref="DN61" si="299">DL61+DM61</f>
        <v>2774.2337033481522</v>
      </c>
      <c r="DO61" s="60">
        <f>'CAM Majors'!$A$61</f>
        <v>54000</v>
      </c>
      <c r="DP61" s="2" t="str">
        <f>'CAM Majors'!$B$61</f>
        <v>Property Tax</v>
      </c>
      <c r="DQ61" s="500">
        <f>'CAM Majors'!$C$61</f>
        <v>144492.76140000002</v>
      </c>
      <c r="DR61" s="461">
        <v>0</v>
      </c>
      <c r="DS61" s="383">
        <f>+DQ61+DR61</f>
        <v>144492.76140000002</v>
      </c>
      <c r="DT61" s="242">
        <f>$DQ$8/'CAM Majors'!$D61</f>
        <v>5.2046256775317906E-2</v>
      </c>
      <c r="DU61" s="463">
        <f t="shared" ref="DU61" si="300">DS61*DT61</f>
        <v>7520.3073619991446</v>
      </c>
      <c r="DV61" s="463">
        <v>0</v>
      </c>
      <c r="DW61" s="464">
        <f t="shared" ref="DW61" si="301">DU61+DV61</f>
        <v>7520.3073619991446</v>
      </c>
      <c r="DX61" s="60">
        <f>'CAM Majors'!$A$61</f>
        <v>54000</v>
      </c>
      <c r="DY61" s="2" t="str">
        <f>'CAM Majors'!$B$61</f>
        <v>Property Tax</v>
      </c>
      <c r="DZ61" s="500">
        <f>'CAM Majors'!$C$61</f>
        <v>144492.76140000002</v>
      </c>
      <c r="EA61" s="461">
        <v>0</v>
      </c>
      <c r="EB61" s="383">
        <f>+DZ61+EA61</f>
        <v>144492.76140000002</v>
      </c>
      <c r="EC61" s="242">
        <f>$DZ$8/'CAM Majors'!$D61</f>
        <v>4.4410639649086529E-2</v>
      </c>
      <c r="ED61" s="463">
        <f t="shared" ref="ED61" si="302">EB61*EC61</f>
        <v>6417.0159584368403</v>
      </c>
      <c r="EE61" s="463">
        <v>0</v>
      </c>
      <c r="EF61" s="464">
        <f t="shared" ref="EF61" si="303">ED61+EE61</f>
        <v>6417.0159584368403</v>
      </c>
    </row>
    <row r="62" spans="1:136">
      <c r="A62" s="60"/>
      <c r="B62" s="51"/>
      <c r="C62" s="500"/>
      <c r="D62" s="461"/>
      <c r="E62" s="383"/>
      <c r="F62" s="383"/>
      <c r="G62" s="383"/>
      <c r="H62" s="242"/>
      <c r="I62" s="148"/>
      <c r="J62" s="148"/>
      <c r="K62" s="60"/>
      <c r="L62" s="51"/>
      <c r="M62" s="383"/>
      <c r="N62" s="461"/>
      <c r="O62" s="383"/>
      <c r="P62" s="383"/>
      <c r="Q62" s="383"/>
      <c r="R62" s="242"/>
      <c r="S62" s="148"/>
      <c r="T62" s="60"/>
      <c r="U62" s="51"/>
      <c r="V62" s="383"/>
      <c r="W62" s="461"/>
      <c r="X62" s="383"/>
      <c r="Y62" s="383"/>
      <c r="Z62" s="383"/>
      <c r="AA62" s="242"/>
      <c r="AB62" s="148"/>
      <c r="AC62" s="60"/>
      <c r="AD62" s="51"/>
      <c r="AE62" s="383"/>
      <c r="AF62" s="461"/>
      <c r="AG62" s="383"/>
      <c r="AH62" s="383"/>
      <c r="AI62" s="383"/>
      <c r="AJ62" s="242"/>
      <c r="AK62" s="148"/>
      <c r="AL62" s="60"/>
      <c r="AM62" s="51"/>
      <c r="AN62" s="383"/>
      <c r="AO62" s="461"/>
      <c r="AP62" s="383"/>
      <c r="AQ62" s="383"/>
      <c r="AR62" s="383"/>
      <c r="AS62" s="242"/>
      <c r="AT62" s="148"/>
      <c r="AU62" s="60"/>
      <c r="AV62" s="51"/>
      <c r="AW62" s="383"/>
      <c r="AX62" s="461"/>
      <c r="AY62" s="383"/>
      <c r="AZ62" s="383"/>
      <c r="BA62" s="383"/>
      <c r="BB62" s="242"/>
      <c r="BC62" s="148"/>
      <c r="BD62" s="60"/>
      <c r="BE62" s="51"/>
      <c r="BF62" s="383"/>
      <c r="BG62" s="461"/>
      <c r="BH62" s="383"/>
      <c r="BI62" s="383"/>
      <c r="BJ62" s="383"/>
      <c r="BK62" s="242"/>
      <c r="BL62" s="148"/>
      <c r="BM62" s="60"/>
      <c r="BN62" s="51"/>
      <c r="BO62" s="383"/>
      <c r="BP62" s="461"/>
      <c r="BQ62" s="383"/>
      <c r="BR62" s="383"/>
      <c r="BS62" s="383"/>
      <c r="BT62" s="242"/>
      <c r="BU62" s="148"/>
      <c r="BV62" s="60"/>
      <c r="BW62" s="51"/>
      <c r="BX62" s="383"/>
      <c r="BY62" s="461"/>
      <c r="BZ62" s="383"/>
      <c r="CA62" s="383"/>
      <c r="CB62" s="383"/>
      <c r="CC62" s="242"/>
      <c r="CD62" s="148"/>
      <c r="CE62" s="60"/>
      <c r="CF62" s="51"/>
      <c r="CG62" s="383"/>
      <c r="CH62" s="461"/>
      <c r="CI62" s="383"/>
      <c r="CJ62" s="383"/>
      <c r="CK62" s="383"/>
      <c r="CL62" s="242"/>
      <c r="CM62" s="148"/>
      <c r="CN62" s="60"/>
      <c r="CO62" s="51"/>
      <c r="CP62" s="383"/>
      <c r="CQ62" s="461"/>
      <c r="CR62" s="383"/>
      <c r="CS62" s="383"/>
      <c r="CT62" s="383"/>
      <c r="CU62" s="242"/>
      <c r="CV62" s="148"/>
      <c r="CW62" s="60"/>
      <c r="CX62" s="51"/>
      <c r="CY62" s="383"/>
      <c r="CZ62" s="461"/>
      <c r="DA62" s="383"/>
      <c r="DB62" s="383"/>
      <c r="DC62" s="383"/>
      <c r="DD62" s="242"/>
      <c r="DE62" s="148"/>
      <c r="DF62" s="60"/>
      <c r="DG62" s="51"/>
      <c r="DH62" s="383"/>
      <c r="DI62" s="461"/>
      <c r="DJ62" s="383"/>
      <c r="DK62" s="383"/>
      <c r="DL62" s="383"/>
      <c r="DM62" s="242"/>
      <c r="DN62" s="148"/>
      <c r="DO62" s="60"/>
      <c r="DP62" s="51"/>
      <c r="DQ62" s="383"/>
      <c r="DR62" s="461"/>
      <c r="DS62" s="383"/>
      <c r="DT62" s="383"/>
      <c r="DU62" s="383"/>
      <c r="DV62" s="242"/>
      <c r="DW62" s="148"/>
      <c r="DX62" s="60"/>
      <c r="DY62" s="51"/>
      <c r="DZ62" s="383"/>
      <c r="EA62" s="461"/>
      <c r="EB62" s="383"/>
      <c r="EC62" s="383"/>
      <c r="ED62" s="383"/>
      <c r="EE62" s="242"/>
      <c r="EF62" s="148"/>
    </row>
    <row r="63" spans="1:136">
      <c r="A63" s="60"/>
      <c r="B63" s="471" t="str">
        <f>'CAM Majors'!$B$63</f>
        <v>SUBTOTAL TAXES</v>
      </c>
      <c r="C63" s="503">
        <f>SUM(C61)</f>
        <v>144492.76140000002</v>
      </c>
      <c r="D63" s="503">
        <f t="shared" ref="D63:E63" si="304">SUM(D61)</f>
        <v>0</v>
      </c>
      <c r="E63" s="503">
        <f t="shared" si="304"/>
        <v>144492.76140000002</v>
      </c>
      <c r="F63" s="503"/>
      <c r="G63" s="472">
        <f>SUM(G61)</f>
        <v>6402.0777769572742</v>
      </c>
      <c r="H63" s="472">
        <f>SUM(H61)</f>
        <v>0</v>
      </c>
      <c r="I63" s="472">
        <f>SUM(I61)</f>
        <v>6402.0777769572742</v>
      </c>
      <c r="J63" s="504">
        <f>I63/C8</f>
        <v>2.1340259256524248</v>
      </c>
      <c r="K63" s="60"/>
      <c r="L63" s="471" t="str">
        <f>$B$63</f>
        <v>SUBTOTAL TAXES</v>
      </c>
      <c r="M63" s="472">
        <f>SUM(M61)</f>
        <v>144492.76140000002</v>
      </c>
      <c r="N63" s="472">
        <f t="shared" ref="N63:O63" si="305">SUM(N61)</f>
        <v>0</v>
      </c>
      <c r="O63" s="472">
        <f t="shared" si="305"/>
        <v>144492.76140000002</v>
      </c>
      <c r="P63" s="472"/>
      <c r="Q63" s="472">
        <f>SUM(Q61)</f>
        <v>3467.7921291851899</v>
      </c>
      <c r="R63" s="472">
        <f>SUM(R61)</f>
        <v>0</v>
      </c>
      <c r="S63" s="472">
        <f>SUM(S61)</f>
        <v>3467.7921291851899</v>
      </c>
      <c r="T63" s="60"/>
      <c r="U63" s="471" t="str">
        <f>$B$63</f>
        <v>SUBTOTAL TAXES</v>
      </c>
      <c r="V63" s="472">
        <f>SUM(V61)</f>
        <v>144492.76140000002</v>
      </c>
      <c r="W63" s="472">
        <f t="shared" ref="W63:X63" si="306">SUM(W61)</f>
        <v>0</v>
      </c>
      <c r="X63" s="472">
        <f t="shared" si="306"/>
        <v>144492.76140000002</v>
      </c>
      <c r="Y63" s="472"/>
      <c r="Z63" s="472">
        <f>SUM(Z61)</f>
        <v>2987.6362959133944</v>
      </c>
      <c r="AA63" s="472">
        <f>SUM(AA61)</f>
        <v>0</v>
      </c>
      <c r="AB63" s="472">
        <f>SUM(AB61)</f>
        <v>2987.6362959133944</v>
      </c>
      <c r="AC63" s="60"/>
      <c r="AD63" s="471" t="str">
        <f>$B$63</f>
        <v>SUBTOTAL TAXES</v>
      </c>
      <c r="AE63" s="472">
        <f>SUM(AE61)</f>
        <v>144492.76140000002</v>
      </c>
      <c r="AF63" s="472">
        <f t="shared" ref="AF63:AG63" si="307">SUM(AF61)</f>
        <v>0</v>
      </c>
      <c r="AG63" s="472">
        <f t="shared" si="307"/>
        <v>144492.76140000002</v>
      </c>
      <c r="AH63" s="472"/>
      <c r="AI63" s="472">
        <f>SUM(AI61)</f>
        <v>2373.036829325496</v>
      </c>
      <c r="AJ63" s="472">
        <f>SUM(AJ61)</f>
        <v>0</v>
      </c>
      <c r="AK63" s="472">
        <f>SUM(AK61)</f>
        <v>2373.036829325496</v>
      </c>
      <c r="AL63" s="60"/>
      <c r="AM63" s="471" t="str">
        <f>$B$63</f>
        <v>SUBTOTAL TAXES</v>
      </c>
      <c r="AN63" s="472">
        <f>SUM(AN61:AN61)</f>
        <v>144492.76140000002</v>
      </c>
      <c r="AO63" s="472">
        <f>SUM(AO61:AO61)</f>
        <v>0</v>
      </c>
      <c r="AP63" s="472">
        <f>SUM(AP61:AP61)</f>
        <v>144492.76140000002</v>
      </c>
      <c r="AQ63" s="472"/>
      <c r="AR63" s="472">
        <f>SUM(AR61)</f>
        <v>5322.2606585771464</v>
      </c>
      <c r="AS63" s="472">
        <f>SUM(AS61)</f>
        <v>0</v>
      </c>
      <c r="AT63" s="472">
        <f>SUM(AT61)</f>
        <v>5322.2606585771464</v>
      </c>
      <c r="AU63" s="60"/>
      <c r="AV63" s="471" t="str">
        <f>$B$63</f>
        <v>SUBTOTAL TAXES</v>
      </c>
      <c r="AW63" s="472">
        <f>SUM(AW61:AW61)</f>
        <v>144492.76140000002</v>
      </c>
      <c r="AX63" s="472">
        <f>SUM(AX61:AX61)</f>
        <v>0</v>
      </c>
      <c r="AY63" s="472">
        <f>SUM(AY61:AY61)</f>
        <v>144492.76140000002</v>
      </c>
      <c r="AZ63" s="472"/>
      <c r="BA63" s="472">
        <f>SUM(BA61)</f>
        <v>3201.0388884786371</v>
      </c>
      <c r="BB63" s="472">
        <f>SUM(BB61)</f>
        <v>0</v>
      </c>
      <c r="BC63" s="472">
        <f>SUM(BC61)</f>
        <v>3201.0388884786371</v>
      </c>
      <c r="BD63" s="60"/>
      <c r="BE63" s="471" t="str">
        <f>$B$63</f>
        <v>SUBTOTAL TAXES</v>
      </c>
      <c r="BF63" s="472">
        <f>SUM(BF61:BF61)</f>
        <v>144492.76140000002</v>
      </c>
      <c r="BG63" s="472">
        <f>SUM(BG61:BG61)</f>
        <v>0</v>
      </c>
      <c r="BH63" s="472">
        <f>SUM(BH61:BH61)</f>
        <v>144492.76140000002</v>
      </c>
      <c r="BI63" s="472"/>
      <c r="BJ63" s="472">
        <f>SUM(BJ61)</f>
        <v>3700.4009550813043</v>
      </c>
      <c r="BK63" s="472">
        <f>SUM(BK61)</f>
        <v>0</v>
      </c>
      <c r="BL63" s="472">
        <f>SUM(BL61)</f>
        <v>3700.4009550813043</v>
      </c>
      <c r="BM63" s="60"/>
      <c r="BN63" s="471" t="str">
        <f>$B$63</f>
        <v>SUBTOTAL TAXES</v>
      </c>
      <c r="BO63" s="472">
        <f>SUM(BO61:BO61)</f>
        <v>144492.76140000002</v>
      </c>
      <c r="BP63" s="472">
        <f>SUM(BP61:BP61)</f>
        <v>0</v>
      </c>
      <c r="BQ63" s="472">
        <f>SUM(BQ61:BQ61)</f>
        <v>144492.76140000002</v>
      </c>
      <c r="BR63" s="472"/>
      <c r="BS63" s="472">
        <f>SUM(BS61)</f>
        <v>8322.7011100444561</v>
      </c>
      <c r="BT63" s="472">
        <f>SUM(BT61)</f>
        <v>0</v>
      </c>
      <c r="BU63" s="472">
        <f>SUM(BU61)</f>
        <v>8322.7011100444561</v>
      </c>
      <c r="BV63" s="60"/>
      <c r="BW63" s="471" t="str">
        <f>$B$63</f>
        <v>SUBTOTAL TAXES</v>
      </c>
      <c r="BX63" s="472">
        <f>SUM(BX61:BX61)</f>
        <v>144492.76140000002</v>
      </c>
      <c r="BY63" s="472">
        <f>SUM(BY61:BY61)</f>
        <v>0</v>
      </c>
      <c r="BZ63" s="472">
        <f>SUM(BZ61:BZ61)</f>
        <v>144492.76140000002</v>
      </c>
      <c r="CA63" s="472"/>
      <c r="CB63" s="472">
        <f>SUM(CB61)</f>
        <v>2746.4913663146704</v>
      </c>
      <c r="CC63" s="472">
        <f>SUM(CC61)</f>
        <v>0</v>
      </c>
      <c r="CD63" s="472">
        <f>SUM(CD61)</f>
        <v>2746.4913663146704</v>
      </c>
      <c r="CE63" s="60"/>
      <c r="CF63" s="471" t="str">
        <f>$B$63</f>
        <v>SUBTOTAL TAXES</v>
      </c>
      <c r="CG63" s="472">
        <f>SUM(CG61:CG61)</f>
        <v>144492.76140000002</v>
      </c>
      <c r="CH63" s="472">
        <f>SUM(CH61:CH61)</f>
        <v>0</v>
      </c>
      <c r="CI63" s="472">
        <f>SUM(CI61:CI61)</f>
        <v>144492.76140000002</v>
      </c>
      <c r="CJ63" s="472"/>
      <c r="CK63" s="472">
        <f>SUM(CK61)</f>
        <v>3497.6684921443239</v>
      </c>
      <c r="CL63" s="472">
        <f>SUM(CL61)</f>
        <v>0</v>
      </c>
      <c r="CM63" s="472">
        <f>SUM(CM61)</f>
        <v>3497.6684921443239</v>
      </c>
      <c r="CN63" s="60"/>
      <c r="CO63" s="471" t="str">
        <f>$B$63</f>
        <v>SUBTOTAL TAXES</v>
      </c>
      <c r="CP63" s="472">
        <f>SUM(CP61:CP61)</f>
        <v>144492.76140000002</v>
      </c>
      <c r="CQ63" s="472">
        <f>SUM(CQ61:CQ61)</f>
        <v>0</v>
      </c>
      <c r="CR63" s="472">
        <f>SUM(CR61:CR61)</f>
        <v>144492.76140000002</v>
      </c>
      <c r="CS63" s="472"/>
      <c r="CT63" s="472">
        <f>SUM(CT61)</f>
        <v>7682.4933323487294</v>
      </c>
      <c r="CU63" s="472">
        <f>SUM(CU61)</f>
        <v>0</v>
      </c>
      <c r="CV63" s="472">
        <f>SUM(CV61)</f>
        <v>7682.4933323487294</v>
      </c>
      <c r="CW63" s="60"/>
      <c r="CX63" s="471" t="str">
        <f>$B$63</f>
        <v>SUBTOTAL TAXES</v>
      </c>
      <c r="CY63" s="472">
        <f>SUM(CY61:CY61)</f>
        <v>144492.76140000002</v>
      </c>
      <c r="CZ63" s="472">
        <f>SUM(CZ61:CZ61)</f>
        <v>0</v>
      </c>
      <c r="DA63" s="472">
        <f>SUM(DA61:DA61)</f>
        <v>144492.76140000002</v>
      </c>
      <c r="DB63" s="472"/>
      <c r="DC63" s="472">
        <f>SUM(DC61)</f>
        <v>3386.699144010398</v>
      </c>
      <c r="DD63" s="472">
        <f>SUM(DD61)</f>
        <v>0</v>
      </c>
      <c r="DE63" s="472">
        <f>SUM(DE61)</f>
        <v>3386.699144010398</v>
      </c>
      <c r="DF63" s="60"/>
      <c r="DG63" s="471" t="str">
        <f>$B$63</f>
        <v>SUBTOTAL TAXES</v>
      </c>
      <c r="DH63" s="472">
        <f>SUM(DH61:DH61)</f>
        <v>144492.76140000002</v>
      </c>
      <c r="DI63" s="472">
        <f>SUM(DI61:DI61)</f>
        <v>0</v>
      </c>
      <c r="DJ63" s="472">
        <f>SUM(DJ61:DJ61)</f>
        <v>144492.76140000002</v>
      </c>
      <c r="DK63" s="472"/>
      <c r="DL63" s="472">
        <f>SUM(DL61)</f>
        <v>2774.2337033481522</v>
      </c>
      <c r="DM63" s="472">
        <f>SUM(DM61)</f>
        <v>0</v>
      </c>
      <c r="DN63" s="472">
        <f>SUM(DN61)</f>
        <v>2774.2337033481522</v>
      </c>
      <c r="DO63" s="60"/>
      <c r="DP63" s="471" t="str">
        <f>$B$63</f>
        <v>SUBTOTAL TAXES</v>
      </c>
      <c r="DQ63" s="472">
        <f>SUM(DQ61:DQ61)</f>
        <v>144492.76140000002</v>
      </c>
      <c r="DR63" s="472">
        <f>SUM(DR61:DR61)</f>
        <v>0</v>
      </c>
      <c r="DS63" s="472">
        <f>SUM(DS61:DS61)</f>
        <v>144492.76140000002</v>
      </c>
      <c r="DT63" s="472"/>
      <c r="DU63" s="472">
        <f>SUM(DU61)</f>
        <v>7520.3073619991446</v>
      </c>
      <c r="DV63" s="472">
        <f>SUM(DV61)</f>
        <v>0</v>
      </c>
      <c r="DW63" s="472">
        <f>SUM(DW61)</f>
        <v>7520.3073619991446</v>
      </c>
      <c r="DX63" s="60"/>
      <c r="DY63" s="471" t="str">
        <f>$B$63</f>
        <v>SUBTOTAL TAXES</v>
      </c>
      <c r="DZ63" s="472">
        <f>SUM(DZ61:DZ61)</f>
        <v>144492.76140000002</v>
      </c>
      <c r="EA63" s="472">
        <f>SUM(EA61:EA61)</f>
        <v>0</v>
      </c>
      <c r="EB63" s="472">
        <f>SUM(EB61:EB61)</f>
        <v>144492.76140000002</v>
      </c>
      <c r="EC63" s="472"/>
      <c r="ED63" s="472">
        <f>SUM(ED61)</f>
        <v>6417.0159584368403</v>
      </c>
      <c r="EE63" s="472">
        <f>SUM(EE61)</f>
        <v>0</v>
      </c>
      <c r="EF63" s="472">
        <f>SUM(EF61)</f>
        <v>6417.0159584368403</v>
      </c>
    </row>
    <row r="64" spans="1:136">
      <c r="A64" s="60"/>
      <c r="B64" s="51"/>
      <c r="C64" s="500"/>
      <c r="D64" s="461"/>
      <c r="E64" s="383"/>
      <c r="F64" s="383"/>
      <c r="G64" s="383"/>
      <c r="H64" s="242"/>
      <c r="I64" s="148"/>
      <c r="J64" s="148"/>
      <c r="K64" s="60"/>
      <c r="L64" s="51"/>
      <c r="M64" s="383"/>
      <c r="N64" s="461"/>
      <c r="O64" s="383"/>
      <c r="P64" s="383"/>
      <c r="Q64" s="383"/>
      <c r="R64" s="242"/>
      <c r="S64" s="148"/>
      <c r="T64" s="60"/>
      <c r="U64" s="51"/>
      <c r="V64" s="383"/>
      <c r="W64" s="461"/>
      <c r="X64" s="383"/>
      <c r="Y64" s="383"/>
      <c r="Z64" s="383"/>
      <c r="AA64" s="242"/>
      <c r="AB64" s="148"/>
      <c r="AC64" s="60"/>
      <c r="AD64" s="51"/>
      <c r="AE64" s="383"/>
      <c r="AF64" s="461"/>
      <c r="AG64" s="383"/>
      <c r="AH64" s="383"/>
      <c r="AI64" s="383"/>
      <c r="AJ64" s="242"/>
      <c r="AK64" s="148"/>
      <c r="AL64" s="60"/>
      <c r="AM64" s="51"/>
      <c r="AN64" s="383"/>
      <c r="AO64" s="461"/>
      <c r="AP64" s="383"/>
      <c r="AQ64" s="383"/>
      <c r="AR64" s="383"/>
      <c r="AS64" s="242"/>
      <c r="AT64" s="148"/>
      <c r="AU64" s="60"/>
      <c r="AV64" s="51"/>
      <c r="AW64" s="383"/>
      <c r="AX64" s="461"/>
      <c r="AY64" s="383"/>
      <c r="AZ64" s="383"/>
      <c r="BA64" s="383"/>
      <c r="BB64" s="242"/>
      <c r="BC64" s="148"/>
      <c r="BD64" s="60"/>
      <c r="BE64" s="51"/>
      <c r="BF64" s="383"/>
      <c r="BG64" s="461"/>
      <c r="BH64" s="383"/>
      <c r="BI64" s="383"/>
      <c r="BJ64" s="383"/>
      <c r="BK64" s="242"/>
      <c r="BL64" s="148"/>
      <c r="BM64" s="60"/>
      <c r="BN64" s="51"/>
      <c r="BO64" s="383"/>
      <c r="BP64" s="461"/>
      <c r="BQ64" s="383"/>
      <c r="BR64" s="383"/>
      <c r="BS64" s="383"/>
      <c r="BT64" s="242"/>
      <c r="BU64" s="148"/>
      <c r="BV64" s="60"/>
      <c r="BW64" s="51"/>
      <c r="BX64" s="383"/>
      <c r="BY64" s="461"/>
      <c r="BZ64" s="383"/>
      <c r="CA64" s="383"/>
      <c r="CB64" s="383"/>
      <c r="CC64" s="242"/>
      <c r="CD64" s="148"/>
      <c r="CE64" s="60"/>
      <c r="CF64" s="51"/>
      <c r="CG64" s="383"/>
      <c r="CH64" s="461"/>
      <c r="CI64" s="383"/>
      <c r="CJ64" s="383"/>
      <c r="CK64" s="383"/>
      <c r="CL64" s="242"/>
      <c r="CM64" s="148"/>
      <c r="CN64" s="60"/>
      <c r="CO64" s="51"/>
      <c r="CP64" s="383"/>
      <c r="CQ64" s="461"/>
      <c r="CR64" s="383"/>
      <c r="CS64" s="383"/>
      <c r="CT64" s="383"/>
      <c r="CU64" s="242"/>
      <c r="CV64" s="148"/>
      <c r="CW64" s="60"/>
      <c r="CX64" s="51"/>
      <c r="CY64" s="383"/>
      <c r="CZ64" s="461"/>
      <c r="DA64" s="383"/>
      <c r="DB64" s="383"/>
      <c r="DC64" s="383"/>
      <c r="DD64" s="242"/>
      <c r="DE64" s="148"/>
      <c r="DF64" s="60"/>
      <c r="DG64" s="51"/>
      <c r="DH64" s="383"/>
      <c r="DI64" s="461"/>
      <c r="DJ64" s="383"/>
      <c r="DK64" s="383"/>
      <c r="DL64" s="383"/>
      <c r="DM64" s="242"/>
      <c r="DN64" s="148"/>
      <c r="DO64" s="60"/>
      <c r="DP64" s="51"/>
      <c r="DQ64" s="383"/>
      <c r="DR64" s="461"/>
      <c r="DS64" s="383"/>
      <c r="DT64" s="383"/>
      <c r="DU64" s="383"/>
      <c r="DV64" s="242"/>
      <c r="DW64" s="148"/>
      <c r="DX64" s="60"/>
      <c r="DY64" s="51"/>
      <c r="DZ64" s="383"/>
      <c r="EA64" s="461"/>
      <c r="EB64" s="383"/>
      <c r="EC64" s="383"/>
      <c r="ED64" s="383"/>
      <c r="EE64" s="242"/>
      <c r="EF64" s="148"/>
    </row>
    <row r="65" spans="1:136">
      <c r="A65" s="60"/>
      <c r="B65" s="471" t="str">
        <f>'CAM Majors'!$B$65</f>
        <v>TOTAL COMMON AREA</v>
      </c>
      <c r="C65" s="503">
        <f>C38+C50+C58+C63</f>
        <v>398818.08640000003</v>
      </c>
      <c r="D65" s="472">
        <f>D38+D50+D58+D63</f>
        <v>0</v>
      </c>
      <c r="E65" s="472">
        <f>E38+E50+E58+E63</f>
        <v>398818.08640000003</v>
      </c>
      <c r="F65" s="472"/>
      <c r="G65" s="472">
        <f>SUM(G63,G58,G50,G38)</f>
        <v>20720.223188361011</v>
      </c>
      <c r="H65" s="472">
        <f>SUM(H63,H58,H50,H38)</f>
        <v>1290.2063354365528</v>
      </c>
      <c r="I65" s="472">
        <f>I63+I58+I50+I38</f>
        <v>22010.429523797564</v>
      </c>
      <c r="J65" s="504">
        <f>I65/C8</f>
        <v>7.3368098412658549</v>
      </c>
      <c r="K65" s="60"/>
      <c r="L65" s="471" t="str">
        <f>$B$65</f>
        <v>TOTAL COMMON AREA</v>
      </c>
      <c r="M65" s="472">
        <f>M38+M50+M58+M63</f>
        <v>398818.08640000003</v>
      </c>
      <c r="N65" s="472">
        <f>N38+N50+N58+N63</f>
        <v>-51359</v>
      </c>
      <c r="O65" s="472">
        <f>O38+O50+O58+O63</f>
        <v>347459.08640000003</v>
      </c>
      <c r="P65" s="472"/>
      <c r="Q65" s="472">
        <f>SUM(Q63,Q58,Q50,Q38)</f>
        <v>9990.8503634361532</v>
      </c>
      <c r="R65" s="472">
        <f>SUM(R63,R58,R50,R38)</f>
        <v>230.24055146754398</v>
      </c>
      <c r="S65" s="472">
        <f>S63+S58+S50+S38</f>
        <v>10221.090914903698</v>
      </c>
      <c r="T65" s="60"/>
      <c r="U65" s="471" t="str">
        <f>$B$65</f>
        <v>TOTAL COMMON AREA</v>
      </c>
      <c r="V65" s="472">
        <f>V38+V50+V58+V63</f>
        <v>398818.08640000003</v>
      </c>
      <c r="W65" s="472">
        <f>W38+W50+W58+W63</f>
        <v>0</v>
      </c>
      <c r="X65" s="472">
        <f>X38+X50+X58+X63</f>
        <v>398818.08640000003</v>
      </c>
      <c r="Y65" s="472"/>
      <c r="Z65" s="472">
        <f>SUM(Z63,Z58,Z50,Z38)</f>
        <v>9669.4374879018033</v>
      </c>
      <c r="AA65" s="472">
        <f>SUM(AA63,AA58,AA50,AA38)</f>
        <v>0</v>
      </c>
      <c r="AB65" s="472">
        <f>AB63+AB58+AB50+AB38</f>
        <v>9669.4374879018033</v>
      </c>
      <c r="AC65" s="60"/>
      <c r="AD65" s="471" t="str">
        <f>$B$65</f>
        <v>TOTAL COMMON AREA</v>
      </c>
      <c r="AE65" s="472">
        <f>AE38+AE50+AE58+AE63</f>
        <v>398818.08640000003</v>
      </c>
      <c r="AF65" s="472">
        <f>AF38+AF50+AF58+AF63</f>
        <v>0</v>
      </c>
      <c r="AG65" s="472">
        <f>AG38+AG50+AG58+AG63</f>
        <v>398818.08640000003</v>
      </c>
      <c r="AH65" s="472"/>
      <c r="AI65" s="472">
        <f>SUM(AI63,AI58,AI50,AI38)</f>
        <v>7680.2960618191473</v>
      </c>
      <c r="AJ65" s="472">
        <f>SUM(AJ63,AJ58,AJ50,AJ38)</f>
        <v>0</v>
      </c>
      <c r="AK65" s="472">
        <f>AK63+AK58+AK50+AK38</f>
        <v>7680.2960618191473</v>
      </c>
      <c r="AL65" s="60"/>
      <c r="AM65" s="471" t="str">
        <f>$B$65</f>
        <v>TOTAL COMMON AREA</v>
      </c>
      <c r="AN65" s="472">
        <f>AN38+AN50+AN58+AN63</f>
        <v>398818.08640000003</v>
      </c>
      <c r="AO65" s="472">
        <f>AO38+AO50+AO58+AO63</f>
        <v>0</v>
      </c>
      <c r="AP65" s="472">
        <f>AP38+AP50+AP58+AP63</f>
        <v>398818.08640000003</v>
      </c>
      <c r="AQ65" s="472"/>
      <c r="AR65" s="472">
        <f>SUM(AR63,AR58,AR50,AR38)</f>
        <v>17225.412210590785</v>
      </c>
      <c r="AS65" s="510">
        <f>Rent!Q19*'CAM Shops'!AS12</f>
        <v>1935.1440000000002</v>
      </c>
      <c r="AT65" s="472">
        <f>AT63+AT58+AT50+AT38+AS65</f>
        <v>19160.556210590785</v>
      </c>
      <c r="AU65" s="60"/>
      <c r="AV65" s="471" t="str">
        <f>$B$65</f>
        <v>TOTAL COMMON AREA</v>
      </c>
      <c r="AW65" s="472">
        <f>AW38+AW50+AW58+AW63</f>
        <v>398818.08640000003</v>
      </c>
      <c r="AX65" s="472">
        <f>AX38+AX50+AX58+AX63</f>
        <v>0</v>
      </c>
      <c r="AY65" s="472">
        <f>AY38+AY50+AY58+AY63</f>
        <v>398818.08640000003</v>
      </c>
      <c r="AZ65" s="472"/>
      <c r="BA65" s="472">
        <f>SUM(BA63,BA58,BA50,BA38)</f>
        <v>10360.111594180506</v>
      </c>
      <c r="BB65" s="472">
        <f>SUM(BB63,BB58,BB50,BB38)</f>
        <v>0</v>
      </c>
      <c r="BC65" s="472">
        <f>BC63+BC58+BC50+BC38</f>
        <v>10360.111594180506</v>
      </c>
      <c r="BD65" s="60"/>
      <c r="BE65" s="471" t="str">
        <f>$B$65</f>
        <v>TOTAL COMMON AREA</v>
      </c>
      <c r="BF65" s="472">
        <f>BF38+BF50+BF58+BF63</f>
        <v>398818.08640000003</v>
      </c>
      <c r="BG65" s="472">
        <f>BG38+BG50+BG58+BG63</f>
        <v>-51359</v>
      </c>
      <c r="BH65" s="472">
        <f>BH38+BH50+BH58+BH63</f>
        <v>347459.08640000003</v>
      </c>
      <c r="BI65" s="472"/>
      <c r="BJ65" s="472">
        <f>SUM(BJ63,BJ58,BJ50,BJ38)</f>
        <v>10661.00586473741</v>
      </c>
      <c r="BK65" s="472">
        <f>SUM(BK63,BK58,BK50,BK38)</f>
        <v>307.10547403440103</v>
      </c>
      <c r="BL65" s="472">
        <f>BL63+BL58+BL50+BL38</f>
        <v>10968.111338771811</v>
      </c>
      <c r="BM65" s="60"/>
      <c r="BN65" s="471" t="str">
        <f>$B$65</f>
        <v>TOTAL COMMON AREA</v>
      </c>
      <c r="BO65" s="472">
        <f>BO38+BO50+BO58+BO63</f>
        <v>398818.08640000003</v>
      </c>
      <c r="BP65" s="472">
        <f>BP38+BP50+BP58+BP63</f>
        <v>0</v>
      </c>
      <c r="BQ65" s="472">
        <f>BQ38+BQ50+BQ58+BQ63</f>
        <v>398818.08640000003</v>
      </c>
      <c r="BR65" s="472"/>
      <c r="BS65" s="472">
        <f>SUM(BS63,BS58,BS50,BS38)</f>
        <v>26936.290144869316</v>
      </c>
      <c r="BT65" s="472">
        <f>SUM(BT63,BT58,BT50,BT38)</f>
        <v>0</v>
      </c>
      <c r="BU65" s="472">
        <f>BU63+BU58+BU50+BU38</f>
        <v>26936.290144869316</v>
      </c>
      <c r="BV65" s="60"/>
      <c r="BW65" s="471" t="str">
        <f>$B$65</f>
        <v>TOTAL COMMON AREA</v>
      </c>
      <c r="BX65" s="472">
        <f>BX38+BX50+BX58+BX63</f>
        <v>398818.08640000003</v>
      </c>
      <c r="BY65" s="472">
        <f>BY38+BY50+BY58+BY63</f>
        <v>0</v>
      </c>
      <c r="BZ65" s="472">
        <f>BZ38+BZ50+BZ58+BZ63</f>
        <v>398818.08640000003</v>
      </c>
      <c r="CA65" s="472"/>
      <c r="CB65" s="472">
        <f>SUM(CB63,CB58,CB50,CB38)</f>
        <v>8888.9757478068732</v>
      </c>
      <c r="CC65" s="472">
        <f>SUM(CC63,CC58,CC50,CC38)</f>
        <v>1</v>
      </c>
      <c r="CD65" s="472">
        <f>CD63+CD58+CD50+CD38</f>
        <v>8889.9757478068732</v>
      </c>
      <c r="CE65" s="60"/>
      <c r="CF65" s="471" t="str">
        <f>$B$65</f>
        <v>TOTAL COMMON AREA</v>
      </c>
      <c r="CG65" s="472">
        <f>CG38+CG50+CG58+CG63</f>
        <v>398818.08640000003</v>
      </c>
      <c r="CH65" s="472">
        <f>CH38+CH50+CH58+CH63</f>
        <v>0</v>
      </c>
      <c r="CI65" s="472">
        <f>CI38+CI50+CI58+CI63</f>
        <v>398818.08640000003</v>
      </c>
      <c r="CJ65" s="472"/>
      <c r="CK65" s="472">
        <f>SUM(CK63,CK58,CK50,CK38)</f>
        <v>11320.148601907898</v>
      </c>
      <c r="CL65" s="472">
        <f>SUM(CL63,CL58,CL50,CL38)</f>
        <v>1</v>
      </c>
      <c r="CM65" s="472">
        <f>CM63+CM58+CM50+CM38</f>
        <v>11321.148601907898</v>
      </c>
      <c r="CN65" s="60"/>
      <c r="CO65" s="471" t="str">
        <f>$B$65</f>
        <v>TOTAL COMMON AREA</v>
      </c>
      <c r="CP65" s="472">
        <f>CP38+CP50+CP58+CP63</f>
        <v>398818.08640000003</v>
      </c>
      <c r="CQ65" s="472">
        <f>CQ38+CQ50+CQ58+CQ63</f>
        <v>0</v>
      </c>
      <c r="CR65" s="472">
        <f>CR38+CR50+CR58+CR63</f>
        <v>398818.08640000003</v>
      </c>
      <c r="CS65" s="472"/>
      <c r="CT65" s="472">
        <f>SUM(CT63,CT58,CT50,CT38)</f>
        <v>24864.267826033214</v>
      </c>
      <c r="CU65" s="510">
        <f>Rent!Q25*'CAM Shops'!CU12</f>
        <v>3456</v>
      </c>
      <c r="CV65" s="472">
        <f>CV63+CV58+CV50+CV38+CU65</f>
        <v>28320.267826033214</v>
      </c>
      <c r="CW65" s="60"/>
      <c r="CX65" s="471" t="str">
        <f>$B$65</f>
        <v>TOTAL COMMON AREA</v>
      </c>
      <c r="CY65" s="472">
        <f>CY38+CY50+CY58+CY63</f>
        <v>398818.08640000003</v>
      </c>
      <c r="CZ65" s="472">
        <f>CZ38+CZ50+CZ58+CZ63</f>
        <v>0</v>
      </c>
      <c r="DA65" s="472">
        <f>DA38+DA50+DA58+DA63</f>
        <v>398818.08640000003</v>
      </c>
      <c r="DB65" s="472"/>
      <c r="DC65" s="472">
        <f>SUM(DC63,DC58,DC50,DC38)</f>
        <v>10960.998066642975</v>
      </c>
      <c r="DD65" s="472">
        <f>SUM(DD63,DD58,DD50,DD38)</f>
        <v>682.51915144593647</v>
      </c>
      <c r="DE65" s="472">
        <f>DE63+DE58+DE50+DE38</f>
        <v>11643.517218088911</v>
      </c>
      <c r="DF65" s="60"/>
      <c r="DG65" s="471" t="str">
        <f>$B$65</f>
        <v>TOTAL COMMON AREA</v>
      </c>
      <c r="DH65" s="472">
        <f>DH38+DH50+DH58+DH63</f>
        <v>398818.08640000003</v>
      </c>
      <c r="DI65" s="472">
        <f>DI38+DI50+DI58+DI63</f>
        <v>0</v>
      </c>
      <c r="DJ65" s="472">
        <f>DJ38+DJ50+DJ58+DJ63</f>
        <v>398818.08640000003</v>
      </c>
      <c r="DK65" s="472"/>
      <c r="DL65" s="472">
        <f>SUM(DL63,DL58,DL50,DL38)</f>
        <v>8978.7633816231046</v>
      </c>
      <c r="DM65" s="472">
        <f>SUM(DM63,DM58,DM50,DM38)</f>
        <v>838.63411803375925</v>
      </c>
      <c r="DN65" s="472">
        <f>DN63+DN58+DN50+DN38</f>
        <v>9817.3974996568631</v>
      </c>
      <c r="DO65" s="60"/>
      <c r="DP65" s="471" t="str">
        <f>$B$65</f>
        <v>TOTAL COMMON AREA</v>
      </c>
      <c r="DQ65" s="472">
        <f>DQ38+DQ50+DQ58+DQ63</f>
        <v>398818.08640000003</v>
      </c>
      <c r="DR65" s="472">
        <f>DR38+DR50+DR58+DR63</f>
        <v>0</v>
      </c>
      <c r="DS65" s="472">
        <f>DS38+DS50+DS58+DS63</f>
        <v>398818.08640000003</v>
      </c>
      <c r="DT65" s="472"/>
      <c r="DU65" s="472">
        <f>SUM(DU63,DU58,DU50,DU38)</f>
        <v>24339.355505261399</v>
      </c>
      <c r="DV65" s="472">
        <f>SUM(DV63,DV58,DV50,DV38)</f>
        <v>757.78118767973535</v>
      </c>
      <c r="DW65" s="472">
        <f>DW63+DW58+DW50+DW38</f>
        <v>25097.136692941134</v>
      </c>
      <c r="DX65" s="60"/>
      <c r="DY65" s="471" t="str">
        <f>$B$65</f>
        <v>TOTAL COMMON AREA</v>
      </c>
      <c r="DZ65" s="472">
        <f>DZ38+DZ50+DZ58+DZ63</f>
        <v>398818.08640000003</v>
      </c>
      <c r="EA65" s="472">
        <f>EA38+EA50+EA58+EA63</f>
        <v>-51359</v>
      </c>
      <c r="EB65" s="472">
        <f>EB38+EB50+EB58+EB63</f>
        <v>347459.08640000003</v>
      </c>
      <c r="EC65" s="472"/>
      <c r="ED65" s="472">
        <f>SUM(ED63,ED58,ED50,ED38)</f>
        <v>18487.684334063084</v>
      </c>
      <c r="EE65" s="472">
        <f>SUM(EE63,EE58,EE50,EE38)</f>
        <v>532.56410635608063</v>
      </c>
      <c r="EF65" s="472">
        <f>EF63+EF58+EF50+EF38</f>
        <v>19020.248440419164</v>
      </c>
    </row>
    <row r="66" spans="1:136">
      <c r="A66" s="60"/>
      <c r="B66" s="51"/>
      <c r="C66" s="473"/>
      <c r="D66" s="474"/>
      <c r="E66" s="473"/>
      <c r="F66" s="473"/>
      <c r="G66" s="473"/>
      <c r="H66" s="473"/>
      <c r="I66" s="473"/>
      <c r="J66" s="473">
        <f>J65-J48-J47</f>
        <v>5.746889635817813</v>
      </c>
      <c r="K66" s="60"/>
      <c r="L66" s="51"/>
      <c r="M66" s="473"/>
      <c r="N66" s="474"/>
      <c r="O66" s="473"/>
      <c r="P66" s="473"/>
      <c r="Q66" s="473"/>
      <c r="R66" s="473"/>
      <c r="S66" s="473"/>
      <c r="T66" s="60"/>
      <c r="U66" s="51"/>
      <c r="V66" s="473"/>
      <c r="W66" s="474"/>
      <c r="X66" s="473"/>
      <c r="Y66" s="473"/>
      <c r="Z66" s="473"/>
      <c r="AA66" s="473"/>
      <c r="AB66" s="473"/>
      <c r="AC66" s="60"/>
      <c r="AD66" s="51"/>
      <c r="AE66" s="473"/>
      <c r="AF66" s="474"/>
      <c r="AG66" s="473"/>
      <c r="AH66" s="473"/>
      <c r="AI66" s="473"/>
      <c r="AJ66" s="473"/>
      <c r="AK66" s="473"/>
      <c r="AL66" s="60"/>
      <c r="AM66" s="51"/>
      <c r="AN66" s="473"/>
      <c r="AO66" s="474"/>
      <c r="AP66" s="473"/>
      <c r="AQ66" s="473"/>
      <c r="AR66" s="473"/>
      <c r="AS66" s="473"/>
      <c r="AT66" s="473"/>
      <c r="AU66" s="60"/>
      <c r="AV66" s="51"/>
      <c r="AW66" s="473"/>
      <c r="AX66" s="474"/>
      <c r="AY66" s="473"/>
      <c r="AZ66" s="473"/>
      <c r="BA66" s="473"/>
      <c r="BB66" s="473"/>
      <c r="BC66" s="473"/>
      <c r="BD66" s="60"/>
      <c r="BE66" s="51"/>
      <c r="BF66" s="473"/>
      <c r="BG66" s="474"/>
      <c r="BH66" s="473"/>
      <c r="BI66" s="473"/>
      <c r="BJ66" s="473"/>
      <c r="BK66" s="473"/>
      <c r="BL66" s="473"/>
      <c r="BM66" s="60"/>
      <c r="BN66" s="51"/>
      <c r="BO66" s="473"/>
      <c r="BP66" s="474"/>
      <c r="BQ66" s="473"/>
      <c r="BR66" s="473"/>
      <c r="BS66" s="473"/>
      <c r="BT66" s="473"/>
      <c r="BU66" s="473"/>
      <c r="BV66" s="60"/>
      <c r="BW66" s="51"/>
      <c r="BX66" s="473"/>
      <c r="BY66" s="474"/>
      <c r="BZ66" s="473"/>
      <c r="CA66" s="473"/>
      <c r="CB66" s="473"/>
      <c r="CC66" s="473"/>
      <c r="CD66" s="473"/>
      <c r="CE66" s="60"/>
      <c r="CF66" s="51"/>
      <c r="CG66" s="473"/>
      <c r="CH66" s="474"/>
      <c r="CI66" s="473"/>
      <c r="CJ66" s="473"/>
      <c r="CK66" s="473"/>
      <c r="CL66" s="473"/>
      <c r="CM66" s="473"/>
      <c r="CN66" s="60"/>
      <c r="CO66" s="51"/>
      <c r="CP66" s="473"/>
      <c r="CQ66" s="474"/>
      <c r="CR66" s="473"/>
      <c r="CS66" s="473"/>
      <c r="CT66" s="473"/>
      <c r="CU66" s="473"/>
      <c r="CV66" s="473"/>
      <c r="CW66" s="60"/>
      <c r="CX66" s="51"/>
      <c r="CY66" s="473"/>
      <c r="CZ66" s="474"/>
      <c r="DA66" s="473"/>
      <c r="DB66" s="473"/>
      <c r="DC66" s="473"/>
      <c r="DD66" s="473"/>
      <c r="DE66" s="473"/>
      <c r="DF66" s="60"/>
      <c r="DG66" s="51"/>
      <c r="DH66" s="473"/>
      <c r="DI66" s="474"/>
      <c r="DJ66" s="473"/>
      <c r="DK66" s="473"/>
      <c r="DL66" s="473"/>
      <c r="DM66" s="473"/>
      <c r="DN66" s="473"/>
      <c r="DO66" s="60"/>
      <c r="DP66" s="51"/>
      <c r="DQ66" s="473"/>
      <c r="DR66" s="474"/>
      <c r="DS66" s="473"/>
      <c r="DT66" s="473"/>
      <c r="DU66" s="473"/>
      <c r="DV66" s="473"/>
      <c r="DW66" s="473"/>
      <c r="DX66" s="60"/>
      <c r="DY66" s="51"/>
      <c r="DZ66" s="473"/>
      <c r="EA66" s="474"/>
      <c r="EB66" s="473"/>
      <c r="EC66" s="473"/>
      <c r="ED66" s="473"/>
      <c r="EE66" s="473"/>
      <c r="EF66" s="473"/>
    </row>
    <row r="67" spans="1:136">
      <c r="A67" s="60"/>
      <c r="B67" s="2"/>
      <c r="C67" s="2"/>
      <c r="D67" s="2"/>
      <c r="E67" s="2"/>
      <c r="F67" s="2"/>
      <c r="G67" s="2"/>
      <c r="H67" s="242"/>
      <c r="I67" s="148"/>
      <c r="J67" s="148"/>
      <c r="K67" s="60"/>
      <c r="L67" s="2"/>
      <c r="M67" s="2"/>
      <c r="N67" s="2"/>
      <c r="O67" s="2"/>
      <c r="P67" s="2"/>
      <c r="Q67" s="2"/>
      <c r="R67" s="242"/>
      <c r="S67" s="148"/>
      <c r="T67" s="60"/>
      <c r="U67" s="2"/>
      <c r="V67" s="2"/>
      <c r="W67" s="2"/>
      <c r="X67" s="2"/>
      <c r="Y67" s="2"/>
      <c r="Z67" s="2"/>
      <c r="AA67" s="242"/>
      <c r="AB67" s="148"/>
      <c r="AC67" s="60"/>
      <c r="AD67" s="2"/>
      <c r="AE67" s="2"/>
      <c r="AF67" s="2"/>
      <c r="AG67" s="2"/>
      <c r="AH67" s="2"/>
      <c r="AI67" s="2"/>
      <c r="AJ67" s="242"/>
      <c r="AK67" s="148"/>
      <c r="AL67" s="60"/>
      <c r="AM67" s="2"/>
      <c r="AN67" s="2"/>
      <c r="AO67" s="2"/>
      <c r="AP67" s="2"/>
      <c r="AQ67" s="2"/>
      <c r="AR67" s="2"/>
      <c r="AS67" s="242"/>
      <c r="AT67" s="148"/>
      <c r="AU67" s="60"/>
      <c r="AV67" s="2"/>
      <c r="AW67" s="2"/>
      <c r="AX67" s="2"/>
      <c r="AY67" s="2"/>
      <c r="AZ67" s="2"/>
      <c r="BA67" s="2"/>
      <c r="BB67" s="242"/>
      <c r="BC67" s="148"/>
      <c r="BD67" s="60"/>
      <c r="BE67" s="2"/>
      <c r="BF67" s="2"/>
      <c r="BG67" s="2"/>
      <c r="BH67" s="2"/>
      <c r="BI67" s="2"/>
      <c r="BJ67" s="2"/>
      <c r="BK67" s="242"/>
      <c r="BL67" s="148"/>
      <c r="BM67" s="60"/>
      <c r="BN67" s="2"/>
      <c r="BO67" s="2"/>
      <c r="BP67" s="2"/>
      <c r="BQ67" s="2"/>
      <c r="BR67" s="2"/>
      <c r="BS67" s="2"/>
      <c r="BT67" s="242"/>
      <c r="BU67" s="148"/>
      <c r="BV67" s="60"/>
      <c r="BW67" s="2"/>
      <c r="BX67" s="2"/>
      <c r="BY67" s="2"/>
      <c r="BZ67" s="2"/>
      <c r="CA67" s="2"/>
      <c r="CB67" s="2"/>
      <c r="CC67" s="242"/>
      <c r="CD67" s="148"/>
      <c r="CE67" s="60"/>
      <c r="CF67" s="2"/>
      <c r="CG67" s="2"/>
      <c r="CH67" s="2"/>
      <c r="CI67" s="2"/>
      <c r="CJ67" s="2"/>
      <c r="CK67" s="2"/>
      <c r="CL67" s="242"/>
      <c r="CM67" s="148"/>
      <c r="CN67" s="60"/>
      <c r="CO67" s="2"/>
      <c r="CP67" s="2"/>
      <c r="CQ67" s="2"/>
      <c r="CR67" s="2"/>
      <c r="CS67" s="2"/>
      <c r="CT67" s="2"/>
      <c r="CU67" s="242"/>
      <c r="CV67" s="148"/>
      <c r="CW67" s="60"/>
      <c r="CX67" s="2"/>
      <c r="CY67" s="2"/>
      <c r="CZ67" s="2"/>
      <c r="DA67" s="2"/>
      <c r="DB67" s="2"/>
      <c r="DC67" s="2"/>
      <c r="DD67" s="242"/>
      <c r="DE67" s="148"/>
      <c r="DF67" s="60"/>
      <c r="DG67" s="2"/>
      <c r="DH67" s="2"/>
      <c r="DI67" s="2"/>
      <c r="DJ67" s="2"/>
      <c r="DK67" s="2"/>
      <c r="DL67" s="2"/>
      <c r="DM67" s="242"/>
      <c r="DN67" s="148"/>
      <c r="DO67" s="60"/>
      <c r="DP67" s="2"/>
      <c r="DQ67" s="2"/>
      <c r="DR67" s="2"/>
      <c r="DS67" s="2"/>
      <c r="DT67" s="2"/>
      <c r="DU67" s="2"/>
      <c r="DV67" s="242"/>
      <c r="DW67" s="148"/>
      <c r="DX67" s="60"/>
      <c r="DY67" s="2"/>
      <c r="DZ67" s="2"/>
      <c r="EA67" s="2"/>
      <c r="EB67" s="2"/>
      <c r="EC67" s="2"/>
      <c r="ED67" s="2"/>
      <c r="EE67" s="242"/>
      <c r="EF67" s="148"/>
    </row>
    <row r="68" spans="1:136">
      <c r="A68" s="60"/>
      <c r="B68" s="234" t="s">
        <v>441</v>
      </c>
      <c r="C68" s="472"/>
      <c r="D68" s="475"/>
      <c r="E68" s="472"/>
      <c r="F68" s="472"/>
      <c r="G68" s="472"/>
      <c r="H68" s="476"/>
      <c r="I68" s="477">
        <f>I65</f>
        <v>22010.429523797564</v>
      </c>
      <c r="J68" s="511"/>
      <c r="K68" s="60"/>
      <c r="L68" s="234" t="s">
        <v>441</v>
      </c>
      <c r="M68" s="472"/>
      <c r="N68" s="475"/>
      <c r="O68" s="472"/>
      <c r="P68" s="472"/>
      <c r="Q68" s="472"/>
      <c r="R68" s="476"/>
      <c r="S68" s="477">
        <f>S65</f>
        <v>10221.090914903698</v>
      </c>
      <c r="T68" s="60"/>
      <c r="U68" s="234" t="s">
        <v>441</v>
      </c>
      <c r="V68" s="472"/>
      <c r="W68" s="475"/>
      <c r="X68" s="472"/>
      <c r="Y68" s="472"/>
      <c r="Z68" s="472"/>
      <c r="AA68" s="476"/>
      <c r="AB68" s="477">
        <f>AB65</f>
        <v>9669.4374879018033</v>
      </c>
      <c r="AC68" s="60"/>
      <c r="AD68" s="234" t="s">
        <v>441</v>
      </c>
      <c r="AE68" s="472"/>
      <c r="AF68" s="475"/>
      <c r="AG68" s="472"/>
      <c r="AH68" s="472"/>
      <c r="AI68" s="472"/>
      <c r="AJ68" s="476"/>
      <c r="AK68" s="477">
        <f>AK65</f>
        <v>7680.2960618191473</v>
      </c>
      <c r="AL68" s="60"/>
      <c r="AM68" s="234" t="s">
        <v>441</v>
      </c>
      <c r="AN68" s="472"/>
      <c r="AO68" s="475"/>
      <c r="AP68" s="472"/>
      <c r="AQ68" s="472"/>
      <c r="AR68" s="472"/>
      <c r="AS68" s="476"/>
      <c r="AT68" s="477">
        <f>AT65</f>
        <v>19160.556210590785</v>
      </c>
      <c r="AU68" s="60"/>
      <c r="AV68" s="234" t="s">
        <v>441</v>
      </c>
      <c r="AW68" s="472"/>
      <c r="AX68" s="475"/>
      <c r="AY68" s="472"/>
      <c r="AZ68" s="472"/>
      <c r="BA68" s="472"/>
      <c r="BB68" s="476"/>
      <c r="BC68" s="477">
        <f>BC65</f>
        <v>10360.111594180506</v>
      </c>
      <c r="BD68" s="60"/>
      <c r="BE68" s="234" t="s">
        <v>441</v>
      </c>
      <c r="BF68" s="472"/>
      <c r="BG68" s="475"/>
      <c r="BH68" s="472"/>
      <c r="BI68" s="472"/>
      <c r="BJ68" s="472"/>
      <c r="BK68" s="476"/>
      <c r="BL68" s="477">
        <f>BL65</f>
        <v>10968.111338771811</v>
      </c>
      <c r="BM68" s="60"/>
      <c r="BN68" s="234" t="s">
        <v>441</v>
      </c>
      <c r="BO68" s="472"/>
      <c r="BP68" s="475"/>
      <c r="BQ68" s="472"/>
      <c r="BR68" s="472"/>
      <c r="BS68" s="472"/>
      <c r="BT68" s="476"/>
      <c r="BU68" s="477">
        <f>BU65</f>
        <v>26936.290144869316</v>
      </c>
      <c r="BV68" s="60"/>
      <c r="BW68" s="234" t="s">
        <v>441</v>
      </c>
      <c r="BX68" s="472"/>
      <c r="BY68" s="475"/>
      <c r="BZ68" s="472"/>
      <c r="CA68" s="472"/>
      <c r="CB68" s="472"/>
      <c r="CC68" s="476"/>
      <c r="CD68" s="477">
        <f>CD65</f>
        <v>8889.9757478068732</v>
      </c>
      <c r="CE68" s="60"/>
      <c r="CF68" s="234" t="s">
        <v>441</v>
      </c>
      <c r="CG68" s="472"/>
      <c r="CH68" s="475"/>
      <c r="CI68" s="472"/>
      <c r="CJ68" s="472"/>
      <c r="CK68" s="472"/>
      <c r="CL68" s="476"/>
      <c r="CM68" s="477">
        <f>CM65</f>
        <v>11321.148601907898</v>
      </c>
      <c r="CN68" s="60"/>
      <c r="CO68" s="234" t="s">
        <v>441</v>
      </c>
      <c r="CP68" s="472"/>
      <c r="CQ68" s="475"/>
      <c r="CR68" s="472"/>
      <c r="CS68" s="472"/>
      <c r="CT68" s="472"/>
      <c r="CU68" s="476"/>
      <c r="CV68" s="477">
        <f>CV65</f>
        <v>28320.267826033214</v>
      </c>
      <c r="CW68" s="60"/>
      <c r="CX68" s="234" t="s">
        <v>441</v>
      </c>
      <c r="CY68" s="472"/>
      <c r="CZ68" s="475"/>
      <c r="DA68" s="472"/>
      <c r="DB68" s="472"/>
      <c r="DC68" s="472"/>
      <c r="DD68" s="476"/>
      <c r="DE68" s="477">
        <f>DE65</f>
        <v>11643.517218088911</v>
      </c>
      <c r="DF68" s="60"/>
      <c r="DG68" s="234" t="s">
        <v>441</v>
      </c>
      <c r="DH68" s="472"/>
      <c r="DI68" s="475"/>
      <c r="DJ68" s="472"/>
      <c r="DK68" s="472"/>
      <c r="DL68" s="472"/>
      <c r="DM68" s="476"/>
      <c r="DN68" s="477">
        <f>DN65</f>
        <v>9817.3974996568631</v>
      </c>
      <c r="DO68" s="60"/>
      <c r="DP68" s="234" t="s">
        <v>441</v>
      </c>
      <c r="DQ68" s="472"/>
      <c r="DR68" s="475"/>
      <c r="DS68" s="472"/>
      <c r="DT68" s="472"/>
      <c r="DU68" s="472"/>
      <c r="DV68" s="476"/>
      <c r="DW68" s="477">
        <f>DW65</f>
        <v>25097.136692941134</v>
      </c>
      <c r="DX68" s="60"/>
      <c r="DY68" s="234" t="s">
        <v>441</v>
      </c>
      <c r="DZ68" s="472"/>
      <c r="EA68" s="475"/>
      <c r="EB68" s="472"/>
      <c r="EC68" s="472"/>
      <c r="ED68" s="472"/>
      <c r="EE68" s="476"/>
      <c r="EF68" s="477">
        <f>EF65</f>
        <v>19020.248440419164</v>
      </c>
    </row>
    <row r="69" spans="1:136">
      <c r="A69" s="60"/>
      <c r="B69" s="2"/>
      <c r="C69" s="2"/>
      <c r="D69" s="2"/>
      <c r="E69" s="2"/>
      <c r="F69" s="2"/>
      <c r="G69" s="2"/>
      <c r="H69" s="242"/>
      <c r="I69" s="148"/>
      <c r="J69" s="148"/>
      <c r="K69" s="60"/>
      <c r="L69" s="2"/>
      <c r="M69" s="2"/>
      <c r="N69" s="2"/>
      <c r="O69" s="2"/>
      <c r="P69" s="2"/>
      <c r="Q69" s="2"/>
      <c r="R69" s="242"/>
      <c r="S69" s="148"/>
      <c r="T69" s="60"/>
      <c r="U69" s="2"/>
      <c r="V69" s="2"/>
      <c r="W69" s="2"/>
      <c r="X69" s="2"/>
      <c r="Y69" s="2"/>
      <c r="Z69" s="2"/>
      <c r="AA69" s="242"/>
      <c r="AB69" s="148"/>
      <c r="AC69" s="60"/>
      <c r="AD69" s="2"/>
      <c r="AE69" s="2"/>
      <c r="AF69" s="2"/>
      <c r="AG69" s="2"/>
      <c r="AH69" s="2"/>
      <c r="AI69" s="2"/>
      <c r="AJ69" s="242"/>
      <c r="AK69" s="148"/>
      <c r="AL69" s="60"/>
      <c r="AM69" s="2"/>
      <c r="AN69" s="2"/>
      <c r="AO69" s="2"/>
      <c r="AP69" s="2"/>
      <c r="AQ69" s="2"/>
      <c r="AR69" s="2"/>
      <c r="AS69" s="242"/>
      <c r="AT69" s="148"/>
      <c r="AU69" s="60"/>
      <c r="AV69" s="2"/>
      <c r="AW69" s="2"/>
      <c r="AX69" s="2"/>
      <c r="AY69" s="2"/>
      <c r="AZ69" s="2"/>
      <c r="BA69" s="2"/>
      <c r="BB69" s="242"/>
      <c r="BC69" s="148"/>
      <c r="BD69" s="60"/>
      <c r="BE69" s="2"/>
      <c r="BF69" s="2"/>
      <c r="BG69" s="2"/>
      <c r="BH69" s="2"/>
      <c r="BI69" s="2"/>
      <c r="BJ69" s="2"/>
      <c r="BK69" s="242"/>
      <c r="BL69" s="148"/>
      <c r="BM69" s="60"/>
      <c r="BN69" s="2"/>
      <c r="BO69" s="2"/>
      <c r="BP69" s="2"/>
      <c r="BQ69" s="2"/>
      <c r="BR69" s="2"/>
      <c r="BS69" s="2"/>
      <c r="BT69" s="242"/>
      <c r="BU69" s="148"/>
      <c r="BV69" s="60"/>
      <c r="BW69" s="2"/>
      <c r="BX69" s="2"/>
      <c r="BY69" s="2"/>
      <c r="BZ69" s="2"/>
      <c r="CA69" s="2"/>
      <c r="CB69" s="2"/>
      <c r="CC69" s="242"/>
      <c r="CD69" s="148"/>
      <c r="CE69" s="60"/>
      <c r="CF69" s="2"/>
      <c r="CG69" s="2"/>
      <c r="CH69" s="2"/>
      <c r="CI69" s="2"/>
      <c r="CJ69" s="2"/>
      <c r="CK69" s="2"/>
      <c r="CL69" s="242"/>
      <c r="CM69" s="148"/>
      <c r="CN69" s="60"/>
      <c r="CO69" s="2"/>
      <c r="CP69" s="2"/>
      <c r="CQ69" s="2"/>
      <c r="CR69" s="2"/>
      <c r="CS69" s="2"/>
      <c r="CT69" s="2"/>
      <c r="CU69" s="242"/>
      <c r="CV69" s="148"/>
      <c r="CW69" s="60"/>
      <c r="CX69" s="2"/>
      <c r="CY69" s="2"/>
      <c r="CZ69" s="2"/>
      <c r="DA69" s="2"/>
      <c r="DB69" s="2"/>
      <c r="DC69" s="2"/>
      <c r="DD69" s="242"/>
      <c r="DE69" s="148"/>
      <c r="DF69" s="60"/>
      <c r="DG69" s="2"/>
      <c r="DH69" s="2"/>
      <c r="DI69" s="2"/>
      <c r="DJ69" s="2"/>
      <c r="DK69" s="2"/>
      <c r="DL69" s="2"/>
      <c r="DM69" s="242"/>
      <c r="DN69" s="148"/>
      <c r="DO69" s="60"/>
      <c r="DP69" s="2"/>
      <c r="DQ69" s="2"/>
      <c r="DR69" s="2"/>
      <c r="DS69" s="2"/>
      <c r="DT69" s="2"/>
      <c r="DU69" s="2"/>
      <c r="DV69" s="242"/>
      <c r="DW69" s="148"/>
      <c r="DX69" s="60"/>
      <c r="DY69" s="2"/>
      <c r="DZ69" s="2"/>
      <c r="EA69" s="2"/>
      <c r="EB69" s="2"/>
      <c r="EC69" s="2"/>
      <c r="ED69" s="2"/>
      <c r="EE69" s="242"/>
      <c r="EF69" s="148"/>
    </row>
    <row r="70" spans="1:136">
      <c r="A70" s="60"/>
      <c r="B70" s="360"/>
      <c r="C70" s="478"/>
      <c r="D70" s="479" t="s">
        <v>442</v>
      </c>
      <c r="E70" s="478" t="s">
        <v>443</v>
      </c>
      <c r="F70" s="478" t="s">
        <v>444</v>
      </c>
      <c r="G70" s="478"/>
      <c r="H70" s="480"/>
      <c r="I70" s="481"/>
      <c r="J70" s="511"/>
      <c r="K70" s="60"/>
      <c r="L70" s="360"/>
      <c r="M70" s="478"/>
      <c r="N70" s="479" t="s">
        <v>442</v>
      </c>
      <c r="O70" s="478" t="s">
        <v>443</v>
      </c>
      <c r="P70" s="478" t="s">
        <v>444</v>
      </c>
      <c r="Q70" s="478"/>
      <c r="R70" s="480"/>
      <c r="S70" s="481"/>
      <c r="T70" s="60"/>
      <c r="U70" s="360"/>
      <c r="V70" s="478"/>
      <c r="W70" s="479" t="s">
        <v>442</v>
      </c>
      <c r="X70" s="478" t="s">
        <v>443</v>
      </c>
      <c r="Y70" s="478" t="s">
        <v>444</v>
      </c>
      <c r="Z70" s="478"/>
      <c r="AA70" s="480"/>
      <c r="AB70" s="481"/>
      <c r="AC70" s="60"/>
      <c r="AD70" s="360"/>
      <c r="AE70" s="478"/>
      <c r="AF70" s="479" t="s">
        <v>442</v>
      </c>
      <c r="AG70" s="478" t="s">
        <v>443</v>
      </c>
      <c r="AH70" s="478" t="s">
        <v>444</v>
      </c>
      <c r="AI70" s="478"/>
      <c r="AJ70" s="480"/>
      <c r="AK70" s="481"/>
      <c r="AL70" s="60"/>
      <c r="AM70" s="360"/>
      <c r="AN70" s="478"/>
      <c r="AO70" s="479" t="s">
        <v>442</v>
      </c>
      <c r="AP70" s="478" t="s">
        <v>443</v>
      </c>
      <c r="AQ70" s="478" t="s">
        <v>444</v>
      </c>
      <c r="AR70" s="478"/>
      <c r="AS70" s="480"/>
      <c r="AT70" s="481"/>
      <c r="AU70" s="60"/>
      <c r="AV70" s="360"/>
      <c r="AW70" s="478"/>
      <c r="AX70" s="479" t="s">
        <v>442</v>
      </c>
      <c r="AY70" s="478" t="s">
        <v>443</v>
      </c>
      <c r="AZ70" s="478" t="s">
        <v>444</v>
      </c>
      <c r="BA70" s="478"/>
      <c r="BB70" s="480"/>
      <c r="BC70" s="481"/>
      <c r="BD70" s="60"/>
      <c r="BE70" s="360"/>
      <c r="BF70" s="478"/>
      <c r="BG70" s="479" t="s">
        <v>442</v>
      </c>
      <c r="BH70" s="478" t="s">
        <v>443</v>
      </c>
      <c r="BI70" s="478" t="s">
        <v>444</v>
      </c>
      <c r="BJ70" s="478"/>
      <c r="BK70" s="480"/>
      <c r="BL70" s="481"/>
      <c r="BM70" s="60"/>
      <c r="BN70" s="360"/>
      <c r="BO70" s="478"/>
      <c r="BP70" s="479" t="s">
        <v>442</v>
      </c>
      <c r="BQ70" s="478" t="s">
        <v>443</v>
      </c>
      <c r="BR70" s="478" t="s">
        <v>444</v>
      </c>
      <c r="BS70" s="478"/>
      <c r="BT70" s="480"/>
      <c r="BU70" s="481"/>
      <c r="BV70" s="60"/>
      <c r="BW70" s="360"/>
      <c r="BX70" s="478"/>
      <c r="BY70" s="479" t="s">
        <v>442</v>
      </c>
      <c r="BZ70" s="478" t="s">
        <v>443</v>
      </c>
      <c r="CA70" s="478" t="s">
        <v>444</v>
      </c>
      <c r="CB70" s="478"/>
      <c r="CC70" s="480"/>
      <c r="CD70" s="481"/>
      <c r="CE70" s="60"/>
      <c r="CF70" s="360"/>
      <c r="CG70" s="478"/>
      <c r="CH70" s="479" t="s">
        <v>442</v>
      </c>
      <c r="CI70" s="478" t="s">
        <v>443</v>
      </c>
      <c r="CJ70" s="478" t="s">
        <v>444</v>
      </c>
      <c r="CK70" s="478"/>
      <c r="CL70" s="480"/>
      <c r="CM70" s="481"/>
      <c r="CN70" s="60"/>
      <c r="CO70" s="360"/>
      <c r="CP70" s="478"/>
      <c r="CQ70" s="479" t="s">
        <v>442</v>
      </c>
      <c r="CR70" s="478" t="s">
        <v>443</v>
      </c>
      <c r="CS70" s="478" t="s">
        <v>444</v>
      </c>
      <c r="CT70" s="478"/>
      <c r="CU70" s="480"/>
      <c r="CV70" s="481"/>
      <c r="CW70" s="60"/>
      <c r="CX70" s="360"/>
      <c r="CY70" s="478"/>
      <c r="CZ70" s="479" t="s">
        <v>442</v>
      </c>
      <c r="DA70" s="478" t="s">
        <v>443</v>
      </c>
      <c r="DB70" s="478" t="s">
        <v>444</v>
      </c>
      <c r="DC70" s="478"/>
      <c r="DD70" s="480"/>
      <c r="DE70" s="481"/>
      <c r="DF70" s="60"/>
      <c r="DG70" s="360"/>
      <c r="DH70" s="478"/>
      <c r="DI70" s="479" t="s">
        <v>442</v>
      </c>
      <c r="DJ70" s="478" t="s">
        <v>443</v>
      </c>
      <c r="DK70" s="478" t="s">
        <v>444</v>
      </c>
      <c r="DL70" s="478"/>
      <c r="DM70" s="480"/>
      <c r="DN70" s="481"/>
      <c r="DO70" s="60"/>
      <c r="DP70" s="360"/>
      <c r="DQ70" s="478"/>
      <c r="DR70" s="479" t="s">
        <v>442</v>
      </c>
      <c r="DS70" s="478" t="s">
        <v>443</v>
      </c>
      <c r="DT70" s="478" t="s">
        <v>444</v>
      </c>
      <c r="DU70" s="478"/>
      <c r="DV70" s="480"/>
      <c r="DW70" s="481"/>
      <c r="DX70" s="60"/>
      <c r="DY70" s="360"/>
      <c r="DZ70" s="478"/>
      <c r="EA70" s="479" t="s">
        <v>442</v>
      </c>
      <c r="EB70" s="478" t="s">
        <v>443</v>
      </c>
      <c r="EC70" s="478" t="s">
        <v>444</v>
      </c>
      <c r="ED70" s="478"/>
      <c r="EE70" s="480"/>
      <c r="EF70" s="481"/>
    </row>
    <row r="71" spans="1:136">
      <c r="A71" s="60"/>
      <c r="B71" s="370" t="s">
        <v>445</v>
      </c>
      <c r="C71" s="482"/>
      <c r="D71" s="483">
        <v>365</v>
      </c>
      <c r="E71" s="483">
        <v>365</v>
      </c>
      <c r="F71" s="484">
        <v>1</v>
      </c>
      <c r="G71" s="482"/>
      <c r="H71" s="484"/>
      <c r="I71" s="485">
        <f>I68*F71</f>
        <v>22010.429523797564</v>
      </c>
      <c r="J71" s="511"/>
      <c r="K71" s="60"/>
      <c r="L71" s="370" t="s">
        <v>445</v>
      </c>
      <c r="M71" s="482"/>
      <c r="N71" s="483">
        <v>365</v>
      </c>
      <c r="O71" s="483">
        <v>365</v>
      </c>
      <c r="P71" s="484">
        <v>1</v>
      </c>
      <c r="Q71" s="482"/>
      <c r="R71" s="484"/>
      <c r="S71" s="485">
        <f>S68*P71</f>
        <v>10221.090914903698</v>
      </c>
      <c r="T71" s="60"/>
      <c r="U71" s="370" t="s">
        <v>445</v>
      </c>
      <c r="V71" s="482"/>
      <c r="W71" s="483">
        <v>365</v>
      </c>
      <c r="X71" s="483">
        <v>365</v>
      </c>
      <c r="Y71" s="484">
        <v>1</v>
      </c>
      <c r="Z71" s="482"/>
      <c r="AA71" s="484"/>
      <c r="AB71" s="485">
        <f>AB68*Y71</f>
        <v>9669.4374879018033</v>
      </c>
      <c r="AC71" s="60"/>
      <c r="AD71" s="370" t="s">
        <v>445</v>
      </c>
      <c r="AE71" s="482"/>
      <c r="AF71" s="483">
        <v>365</v>
      </c>
      <c r="AG71" s="483">
        <v>365</v>
      </c>
      <c r="AH71" s="484">
        <v>1</v>
      </c>
      <c r="AI71" s="482"/>
      <c r="AJ71" s="484"/>
      <c r="AK71" s="485">
        <f>AK68*AH71</f>
        <v>7680.2960618191473</v>
      </c>
      <c r="AL71" s="60"/>
      <c r="AM71" s="370" t="s">
        <v>445</v>
      </c>
      <c r="AN71" s="482"/>
      <c r="AO71" s="483">
        <v>365</v>
      </c>
      <c r="AP71" s="483">
        <v>365</v>
      </c>
      <c r="AQ71" s="484">
        <v>1</v>
      </c>
      <c r="AR71" s="482"/>
      <c r="AS71" s="484"/>
      <c r="AT71" s="485">
        <f>AT68*AQ71</f>
        <v>19160.556210590785</v>
      </c>
      <c r="AU71" s="60"/>
      <c r="AV71" s="370" t="s">
        <v>445</v>
      </c>
      <c r="AW71" s="482"/>
      <c r="AX71" s="483">
        <v>365</v>
      </c>
      <c r="AY71" s="483">
        <v>365</v>
      </c>
      <c r="AZ71" s="484">
        <v>1</v>
      </c>
      <c r="BA71" s="482"/>
      <c r="BB71" s="484"/>
      <c r="BC71" s="485">
        <f>BC68*AZ71</f>
        <v>10360.111594180506</v>
      </c>
      <c r="BD71" s="60"/>
      <c r="BE71" s="370" t="s">
        <v>445</v>
      </c>
      <c r="BF71" s="482"/>
      <c r="BG71" s="483">
        <v>365</v>
      </c>
      <c r="BH71" s="483">
        <v>365</v>
      </c>
      <c r="BI71" s="484">
        <v>1</v>
      </c>
      <c r="BJ71" s="482"/>
      <c r="BK71" s="484"/>
      <c r="BL71" s="485">
        <f>BL68*BI71</f>
        <v>10968.111338771811</v>
      </c>
      <c r="BM71" s="60"/>
      <c r="BN71" s="370" t="s">
        <v>445</v>
      </c>
      <c r="BO71" s="482"/>
      <c r="BP71" s="483">
        <v>365</v>
      </c>
      <c r="BQ71" s="483">
        <v>365</v>
      </c>
      <c r="BR71" s="484">
        <v>1</v>
      </c>
      <c r="BS71" s="482"/>
      <c r="BT71" s="484"/>
      <c r="BU71" s="485">
        <f>BU68*BR71</f>
        <v>26936.290144869316</v>
      </c>
      <c r="BV71" s="60"/>
      <c r="BW71" s="370" t="s">
        <v>445</v>
      </c>
      <c r="BX71" s="482"/>
      <c r="BY71" s="483">
        <v>365</v>
      </c>
      <c r="BZ71" s="483">
        <v>365</v>
      </c>
      <c r="CA71" s="484">
        <v>1</v>
      </c>
      <c r="CB71" s="482"/>
      <c r="CC71" s="484"/>
      <c r="CD71" s="485">
        <f>CD68*CA71</f>
        <v>8889.9757478068732</v>
      </c>
      <c r="CE71" s="60"/>
      <c r="CF71" s="370" t="s">
        <v>445</v>
      </c>
      <c r="CG71" s="482"/>
      <c r="CH71" s="483">
        <v>365</v>
      </c>
      <c r="CI71" s="483">
        <v>365</v>
      </c>
      <c r="CJ71" s="484">
        <v>1</v>
      </c>
      <c r="CK71" s="482"/>
      <c r="CL71" s="484"/>
      <c r="CM71" s="485">
        <f>CM68*CJ71</f>
        <v>11321.148601907898</v>
      </c>
      <c r="CN71" s="60"/>
      <c r="CO71" s="370" t="s">
        <v>445</v>
      </c>
      <c r="CP71" s="482"/>
      <c r="CQ71" s="483">
        <v>365</v>
      </c>
      <c r="CR71" s="483">
        <v>365</v>
      </c>
      <c r="CS71" s="484">
        <v>1</v>
      </c>
      <c r="CT71" s="482"/>
      <c r="CU71" s="484"/>
      <c r="CV71" s="485">
        <f>CV68*CS71</f>
        <v>28320.267826033214</v>
      </c>
      <c r="CW71" s="60"/>
      <c r="CX71" s="370" t="s">
        <v>445</v>
      </c>
      <c r="CY71" s="482"/>
      <c r="CZ71" s="483">
        <v>365</v>
      </c>
      <c r="DA71" s="483">
        <v>365</v>
      </c>
      <c r="DB71" s="484">
        <v>1</v>
      </c>
      <c r="DC71" s="482"/>
      <c r="DD71" s="484"/>
      <c r="DE71" s="485">
        <f>DE68*DB71</f>
        <v>11643.517218088911</v>
      </c>
      <c r="DF71" s="60"/>
      <c r="DG71" s="370" t="s">
        <v>445</v>
      </c>
      <c r="DH71" s="482"/>
      <c r="DI71" s="483">
        <v>365</v>
      </c>
      <c r="DJ71" s="483">
        <v>365</v>
      </c>
      <c r="DK71" s="484">
        <v>1</v>
      </c>
      <c r="DL71" s="482"/>
      <c r="DM71" s="484"/>
      <c r="DN71" s="485">
        <f>DN68*DK71</f>
        <v>9817.3974996568631</v>
      </c>
      <c r="DO71" s="60"/>
      <c r="DP71" s="370" t="s">
        <v>445</v>
      </c>
      <c r="DQ71" s="482"/>
      <c r="DR71" s="483">
        <v>365</v>
      </c>
      <c r="DS71" s="483">
        <v>365</v>
      </c>
      <c r="DT71" s="484">
        <v>1</v>
      </c>
      <c r="DU71" s="482"/>
      <c r="DV71" s="484"/>
      <c r="DW71" s="485">
        <f>DW68*DT71</f>
        <v>25097.136692941134</v>
      </c>
      <c r="DX71" s="60"/>
      <c r="DY71" s="370" t="s">
        <v>445</v>
      </c>
      <c r="DZ71" s="482"/>
      <c r="EA71" s="483">
        <v>365</v>
      </c>
      <c r="EB71" s="483">
        <v>365</v>
      </c>
      <c r="EC71" s="484">
        <v>1</v>
      </c>
      <c r="ED71" s="482"/>
      <c r="EE71" s="484"/>
      <c r="EF71" s="485">
        <f>EF68*EC71</f>
        <v>19020.248440419164</v>
      </c>
    </row>
    <row r="72" spans="1:136">
      <c r="A72" s="60"/>
      <c r="B72" s="2"/>
      <c r="C72" s="2"/>
      <c r="D72" s="2" t="s">
        <v>47</v>
      </c>
      <c r="E72" s="2"/>
      <c r="F72" s="2"/>
      <c r="G72" s="2"/>
      <c r="H72" s="242"/>
      <c r="I72" s="148"/>
      <c r="J72" s="148"/>
      <c r="K72" s="60"/>
      <c r="L72" s="2"/>
      <c r="M72" s="2"/>
      <c r="N72" s="2" t="s">
        <v>47</v>
      </c>
      <c r="O72" s="2"/>
      <c r="P72" s="2"/>
      <c r="Q72" s="2"/>
      <c r="R72" s="242"/>
      <c r="S72" s="148"/>
      <c r="T72" s="60"/>
      <c r="U72" s="2"/>
      <c r="V72" s="2"/>
      <c r="W72" s="2" t="s">
        <v>47</v>
      </c>
      <c r="X72" s="2"/>
      <c r="Y72" s="2"/>
      <c r="Z72" s="2"/>
      <c r="AA72" s="242"/>
      <c r="AB72" s="148"/>
      <c r="AC72" s="60"/>
      <c r="AD72" s="2"/>
      <c r="AE72" s="2"/>
      <c r="AF72" s="2" t="s">
        <v>47</v>
      </c>
      <c r="AG72" s="2"/>
      <c r="AH72" s="2"/>
      <c r="AI72" s="2"/>
      <c r="AJ72" s="242"/>
      <c r="AK72" s="148"/>
      <c r="AL72" s="60"/>
      <c r="AM72" s="2"/>
      <c r="AN72" s="2"/>
      <c r="AO72" s="2" t="s">
        <v>47</v>
      </c>
      <c r="AP72" s="2"/>
      <c r="AQ72" s="2"/>
      <c r="AR72" s="2"/>
      <c r="AS72" s="242"/>
      <c r="AT72" s="148"/>
      <c r="AU72" s="60"/>
      <c r="AV72" s="2"/>
      <c r="AW72" s="2"/>
      <c r="AX72" s="2" t="s">
        <v>47</v>
      </c>
      <c r="AY72" s="2"/>
      <c r="AZ72" s="2"/>
      <c r="BA72" s="2"/>
      <c r="BB72" s="242"/>
      <c r="BC72" s="148"/>
      <c r="BD72" s="60"/>
      <c r="BE72" s="2"/>
      <c r="BF72" s="2"/>
      <c r="BG72" s="2" t="s">
        <v>47</v>
      </c>
      <c r="BH72" s="2"/>
      <c r="BI72" s="2"/>
      <c r="BJ72" s="2"/>
      <c r="BK72" s="242"/>
      <c r="BL72" s="148"/>
      <c r="BM72" s="60"/>
      <c r="BN72" s="2"/>
      <c r="BO72" s="2"/>
      <c r="BP72" s="2" t="s">
        <v>47</v>
      </c>
      <c r="BQ72" s="2"/>
      <c r="BR72" s="2"/>
      <c r="BS72" s="2"/>
      <c r="BT72" s="242"/>
      <c r="BU72" s="148"/>
      <c r="BV72" s="60"/>
      <c r="BW72" s="2"/>
      <c r="BX72" s="2"/>
      <c r="BY72" s="2" t="s">
        <v>47</v>
      </c>
      <c r="BZ72" s="2"/>
      <c r="CA72" s="2"/>
      <c r="CB72" s="2"/>
      <c r="CC72" s="242"/>
      <c r="CD72" s="148"/>
      <c r="CE72" s="60"/>
      <c r="CF72" s="2"/>
      <c r="CG72" s="2"/>
      <c r="CH72" s="2" t="s">
        <v>47</v>
      </c>
      <c r="CI72" s="2"/>
      <c r="CJ72" s="2"/>
      <c r="CK72" s="2"/>
      <c r="CL72" s="242"/>
      <c r="CM72" s="148"/>
      <c r="CN72" s="60"/>
      <c r="CO72" s="2"/>
      <c r="CP72" s="2"/>
      <c r="CQ72" s="2" t="s">
        <v>47</v>
      </c>
      <c r="CR72" s="2"/>
      <c r="CS72" s="2"/>
      <c r="CT72" s="2"/>
      <c r="CU72" s="242"/>
      <c r="CV72" s="148"/>
      <c r="CW72" s="60"/>
      <c r="CX72" s="2"/>
      <c r="CY72" s="2"/>
      <c r="CZ72" s="2" t="s">
        <v>47</v>
      </c>
      <c r="DA72" s="2"/>
      <c r="DB72" s="2"/>
      <c r="DC72" s="2"/>
      <c r="DD72" s="242"/>
      <c r="DE72" s="148"/>
      <c r="DF72" s="60"/>
      <c r="DG72" s="2"/>
      <c r="DH72" s="2"/>
      <c r="DI72" s="2" t="s">
        <v>47</v>
      </c>
      <c r="DJ72" s="2"/>
      <c r="DK72" s="2"/>
      <c r="DL72" s="2"/>
      <c r="DM72" s="242"/>
      <c r="DN72" s="148"/>
      <c r="DO72" s="60"/>
      <c r="DP72" s="2"/>
      <c r="DQ72" s="2"/>
      <c r="DR72" s="2" t="s">
        <v>47</v>
      </c>
      <c r="DS72" s="2"/>
      <c r="DT72" s="2"/>
      <c r="DU72" s="2"/>
      <c r="DV72" s="242"/>
      <c r="DW72" s="148"/>
      <c r="DX72" s="60"/>
      <c r="DY72" s="2"/>
      <c r="DZ72" s="2"/>
      <c r="EA72" s="2" t="s">
        <v>47</v>
      </c>
      <c r="EB72" s="2"/>
      <c r="EC72" s="2"/>
      <c r="ED72" s="2"/>
      <c r="EE72" s="242"/>
      <c r="EF72" s="148"/>
    </row>
    <row r="73" spans="1:136">
      <c r="A73" s="60"/>
      <c r="B73" s="2"/>
      <c r="C73" s="2"/>
      <c r="D73" s="2"/>
      <c r="E73" s="2"/>
      <c r="F73" s="2"/>
      <c r="G73" s="2"/>
      <c r="H73" s="242"/>
      <c r="I73" s="148"/>
      <c r="J73" s="148"/>
      <c r="K73" s="60"/>
      <c r="L73" s="2" t="s">
        <v>446</v>
      </c>
      <c r="M73" s="60" t="s">
        <v>447</v>
      </c>
      <c r="N73" s="88" t="s">
        <v>456</v>
      </c>
      <c r="O73" s="2"/>
      <c r="P73" s="2"/>
      <c r="Q73" s="2"/>
      <c r="R73" s="362" t="s">
        <v>449</v>
      </c>
      <c r="S73" s="148">
        <f>S71-S63-S58</f>
        <v>5986.2543381561454</v>
      </c>
      <c r="T73" s="60"/>
      <c r="U73" s="2"/>
      <c r="V73" s="2"/>
      <c r="W73" s="2"/>
      <c r="X73" s="2"/>
      <c r="Y73" s="2"/>
      <c r="Z73" s="2"/>
      <c r="AA73" s="242"/>
      <c r="AB73" s="148"/>
      <c r="AC73" s="60"/>
      <c r="AD73" s="2"/>
      <c r="AE73" s="2"/>
      <c r="AF73" s="2"/>
      <c r="AG73" s="2"/>
      <c r="AH73" s="2"/>
      <c r="AI73" s="2"/>
      <c r="AJ73" s="242"/>
      <c r="AK73" s="148"/>
      <c r="AL73" s="60"/>
      <c r="AM73" s="2" t="s">
        <v>446</v>
      </c>
      <c r="AN73" s="60" t="s">
        <v>447</v>
      </c>
      <c r="AO73" s="88" t="s">
        <v>458</v>
      </c>
      <c r="AP73" s="2"/>
      <c r="AQ73" s="2"/>
      <c r="AR73" s="2"/>
      <c r="AS73" s="362" t="s">
        <v>449</v>
      </c>
      <c r="AT73" s="148">
        <f>AT71-AT63-AT58-AT34-AT33-AT35-AT48-AT47</f>
        <v>8330.1218230806026</v>
      </c>
      <c r="AU73" s="60"/>
      <c r="AV73" s="2"/>
      <c r="AW73" s="2"/>
      <c r="AX73" s="2"/>
      <c r="AY73" s="2"/>
      <c r="AZ73" s="2"/>
      <c r="BA73" s="2"/>
      <c r="BB73" s="242"/>
      <c r="BC73" s="148"/>
      <c r="BD73" s="60"/>
      <c r="BE73" s="2" t="s">
        <v>446</v>
      </c>
      <c r="BF73" s="60" t="s">
        <v>447</v>
      </c>
      <c r="BG73" s="88" t="s">
        <v>456</v>
      </c>
      <c r="BH73" s="2"/>
      <c r="BI73" s="2"/>
      <c r="BJ73" s="2"/>
      <c r="BK73" s="362" t="s">
        <v>449</v>
      </c>
      <c r="BL73" s="148">
        <f>BL71-BL63-BL58-BL34-BL33-BL35-BL48-BL47</f>
        <v>3287.4916474130168</v>
      </c>
      <c r="BM73" s="60"/>
      <c r="BN73" s="2"/>
      <c r="BO73" s="2"/>
      <c r="BP73" s="2"/>
      <c r="BQ73" s="2"/>
      <c r="BR73" s="2"/>
      <c r="BS73" s="2"/>
      <c r="BT73" s="242"/>
      <c r="BU73" s="148"/>
      <c r="BV73" s="60"/>
      <c r="BW73" s="2"/>
      <c r="BX73" s="2"/>
      <c r="BY73" s="2"/>
      <c r="BZ73" s="2"/>
      <c r="CA73" s="2"/>
      <c r="CB73" s="2"/>
      <c r="CC73" s="242"/>
      <c r="CD73" s="148"/>
      <c r="CE73" s="60"/>
      <c r="CF73" s="2"/>
      <c r="CG73" s="2"/>
      <c r="CH73" s="2"/>
      <c r="CI73" s="2"/>
      <c r="CJ73" s="2"/>
      <c r="CK73" s="2"/>
      <c r="CL73" s="242"/>
      <c r="CM73" s="148"/>
      <c r="CN73" s="60"/>
      <c r="CO73" s="2" t="s">
        <v>446</v>
      </c>
      <c r="CP73" s="60" t="s">
        <v>447</v>
      </c>
      <c r="CQ73" s="88" t="s">
        <v>456</v>
      </c>
      <c r="CR73" s="2"/>
      <c r="CS73" s="2"/>
      <c r="CT73" s="2"/>
      <c r="CU73" s="362" t="s">
        <v>449</v>
      </c>
      <c r="CV73" s="148">
        <f>CV71-CV74</f>
        <v>14116.544666836646</v>
      </c>
      <c r="CW73" s="60"/>
      <c r="CX73" s="2" t="s">
        <v>446</v>
      </c>
      <c r="CY73" s="60" t="s">
        <v>447</v>
      </c>
      <c r="CZ73" s="88" t="s">
        <v>456</v>
      </c>
      <c r="DA73" s="2"/>
      <c r="DB73" s="2"/>
      <c r="DC73" s="2"/>
      <c r="DD73" s="362" t="s">
        <v>449</v>
      </c>
      <c r="DE73" s="148">
        <f>DE71-DE63-DE58-DE34-DE33-DE35-DE48-DE47-DE26</f>
        <v>4476.2280616486823</v>
      </c>
      <c r="DF73" s="60"/>
      <c r="DG73" s="2" t="s">
        <v>459</v>
      </c>
      <c r="DH73" s="60" t="s">
        <v>447</v>
      </c>
      <c r="DI73" s="88" t="s">
        <v>456</v>
      </c>
      <c r="DJ73" s="2"/>
      <c r="DK73" s="2"/>
      <c r="DL73" s="2"/>
      <c r="DM73" s="362" t="s">
        <v>449</v>
      </c>
      <c r="DN73" s="148">
        <f>DN71-DN63-DN58</f>
        <v>6429.5282382588202</v>
      </c>
      <c r="DO73" s="60"/>
      <c r="DP73" s="2"/>
      <c r="DQ73" s="60"/>
      <c r="DR73" s="88"/>
      <c r="DS73" s="2"/>
      <c r="DT73" s="2"/>
      <c r="DU73" s="2"/>
      <c r="DV73" s="362"/>
      <c r="DW73" s="148"/>
      <c r="DX73" s="60"/>
      <c r="DY73" s="2"/>
      <c r="DZ73" s="2"/>
      <c r="EA73" s="2"/>
      <c r="EB73" s="2"/>
      <c r="EC73" s="2"/>
      <c r="ED73" s="2"/>
      <c r="EE73" s="242"/>
      <c r="EF73" s="148"/>
    </row>
    <row r="74" spans="1:136">
      <c r="A74" s="60"/>
      <c r="B74" s="2"/>
      <c r="C74" s="2"/>
      <c r="D74" s="2"/>
      <c r="E74" s="2"/>
      <c r="F74" s="2"/>
      <c r="G74" s="2"/>
      <c r="H74" s="242"/>
      <c r="I74" s="461"/>
      <c r="J74" s="461"/>
      <c r="K74" s="60"/>
      <c r="L74" s="2"/>
      <c r="M74" s="486">
        <f>M81</f>
        <v>2204.4377250000002</v>
      </c>
      <c r="N74" s="487">
        <f>M74*105%</f>
        <v>2314.6596112500001</v>
      </c>
      <c r="O74" s="2"/>
      <c r="P74" s="2"/>
      <c r="Q74" s="2"/>
      <c r="R74" s="362" t="s">
        <v>450</v>
      </c>
      <c r="S74" s="461">
        <f>S71-S73</f>
        <v>4234.8365767475525</v>
      </c>
      <c r="T74" s="60"/>
      <c r="U74" s="2"/>
      <c r="V74" s="2"/>
      <c r="W74" s="2"/>
      <c r="X74" s="2"/>
      <c r="Y74" s="2"/>
      <c r="Z74" s="2"/>
      <c r="AA74" s="242"/>
      <c r="AB74" s="461"/>
      <c r="AC74" s="60"/>
      <c r="AD74" s="2"/>
      <c r="AE74" s="2"/>
      <c r="AF74" s="2"/>
      <c r="AG74" s="2"/>
      <c r="AH74" s="2"/>
      <c r="AI74" s="2"/>
      <c r="AJ74" s="242"/>
      <c r="AK74" s="461"/>
      <c r="AL74" s="60"/>
      <c r="AM74" s="2"/>
      <c r="AN74" s="486">
        <f>AN81</f>
        <v>3402.4142250000004</v>
      </c>
      <c r="AO74" s="487">
        <f>AN74*105%</f>
        <v>3572.5349362500006</v>
      </c>
      <c r="AP74" s="2"/>
      <c r="AQ74" s="2"/>
      <c r="AR74" s="2"/>
      <c r="AS74" s="362" t="s">
        <v>450</v>
      </c>
      <c r="AT74" s="461">
        <f>AT71-AT73</f>
        <v>10830.434387510182</v>
      </c>
      <c r="AU74" s="60"/>
      <c r="AV74" s="2"/>
      <c r="AW74" s="2"/>
      <c r="AX74" s="2"/>
      <c r="AY74" s="2"/>
      <c r="AZ74" s="2"/>
      <c r="BA74" s="2"/>
      <c r="BB74" s="242"/>
      <c r="BC74" s="461"/>
      <c r="BD74" s="60"/>
      <c r="BE74" s="2"/>
      <c r="BF74" s="486">
        <f>BF81</f>
        <v>2378.6106749999999</v>
      </c>
      <c r="BG74" s="487">
        <f>BF74*105%</f>
        <v>2497.5412087499999</v>
      </c>
      <c r="BH74" s="2"/>
      <c r="BI74" s="2"/>
      <c r="BJ74" s="2"/>
      <c r="BK74" s="362" t="s">
        <v>450</v>
      </c>
      <c r="BL74" s="461">
        <f>BL71-BL73</f>
        <v>7680.6196913587937</v>
      </c>
      <c r="BM74" s="60"/>
      <c r="BN74" s="2"/>
      <c r="BO74" s="2"/>
      <c r="BP74" s="2"/>
      <c r="BQ74" s="2"/>
      <c r="BR74" s="2"/>
      <c r="BS74" s="2"/>
      <c r="BT74" s="242"/>
      <c r="BU74" s="461"/>
      <c r="BV74" s="60"/>
      <c r="BW74" s="2"/>
      <c r="BX74" s="2"/>
      <c r="BY74" s="2"/>
      <c r="BZ74" s="2"/>
      <c r="CA74" s="2"/>
      <c r="CB74" s="2"/>
      <c r="CC74" s="242"/>
      <c r="CD74" s="461"/>
      <c r="CE74" s="60"/>
      <c r="CF74" s="2"/>
      <c r="CG74" s="2"/>
      <c r="CH74" s="2"/>
      <c r="CI74" s="2"/>
      <c r="CJ74" s="2"/>
      <c r="CK74" s="2"/>
      <c r="CL74" s="242"/>
      <c r="CM74" s="461"/>
      <c r="CN74" s="60"/>
      <c r="CO74" s="2"/>
      <c r="CP74" s="486">
        <f>CP81</f>
        <v>4608.3618000000006</v>
      </c>
      <c r="CQ74" s="487">
        <f>CP74*105%</f>
        <v>4838.7798900000007</v>
      </c>
      <c r="CR74" s="2"/>
      <c r="CS74" s="2"/>
      <c r="CT74" s="2"/>
      <c r="CU74" s="362" t="s">
        <v>450</v>
      </c>
      <c r="CV74" s="461">
        <f>CV71-CV63-CV58-CV48-CV35-CV34-CV33-CV26</f>
        <v>14203.723159196568</v>
      </c>
      <c r="CW74" s="60"/>
      <c r="CX74" s="2"/>
      <c r="CY74" s="486">
        <f>CY81</f>
        <v>1965.0849750000002</v>
      </c>
      <c r="CZ74" s="487">
        <f>CY74*105%</f>
        <v>2063.3392237500002</v>
      </c>
      <c r="DA74" s="2"/>
      <c r="DB74" s="2"/>
      <c r="DC74" s="2"/>
      <c r="DD74" s="362" t="s">
        <v>450</v>
      </c>
      <c r="DE74" s="461">
        <f>DE71-DE73</f>
        <v>7167.2891564402289</v>
      </c>
      <c r="DF74" s="60"/>
      <c r="DG74" s="2"/>
      <c r="DH74" s="486">
        <f>DH81</f>
        <v>1860.7138000000004</v>
      </c>
      <c r="DI74" s="487">
        <f>DH74*110%</f>
        <v>2046.7851800000008</v>
      </c>
      <c r="DJ74" s="2"/>
      <c r="DK74" s="2"/>
      <c r="DL74" s="2"/>
      <c r="DM74" s="362" t="s">
        <v>450</v>
      </c>
      <c r="DN74" s="461">
        <f>DN71-DN73</f>
        <v>3387.8692613980429</v>
      </c>
      <c r="DO74" s="60"/>
      <c r="DP74" s="2"/>
      <c r="DQ74" s="486"/>
      <c r="DR74" s="487"/>
      <c r="DS74" s="2"/>
      <c r="DT74" s="2"/>
      <c r="DU74" s="2"/>
      <c r="DV74" s="362"/>
      <c r="DW74" s="461"/>
      <c r="DX74" s="60"/>
      <c r="DY74" s="2"/>
      <c r="DZ74" s="2"/>
      <c r="EA74" s="2"/>
      <c r="EB74" s="2"/>
      <c r="EC74" s="2"/>
      <c r="ED74" s="2"/>
      <c r="EE74" s="242"/>
      <c r="EF74" s="461"/>
    </row>
    <row r="75" spans="1:136">
      <c r="A75" s="60"/>
      <c r="B75" s="2"/>
      <c r="C75" s="2"/>
      <c r="D75" s="2"/>
      <c r="E75" s="2"/>
      <c r="F75" s="2"/>
      <c r="G75" s="2"/>
      <c r="H75" s="242"/>
      <c r="I75" s="148"/>
      <c r="J75" s="148"/>
      <c r="K75" s="60"/>
      <c r="L75" s="2"/>
      <c r="M75" s="2"/>
      <c r="N75" s="2"/>
      <c r="O75" s="2"/>
      <c r="P75" s="2"/>
      <c r="Q75" s="2"/>
      <c r="R75" s="242"/>
      <c r="S75" s="148"/>
      <c r="T75" s="60"/>
      <c r="U75" s="2"/>
      <c r="V75" s="2"/>
      <c r="W75" s="2"/>
      <c r="X75" s="2"/>
      <c r="Y75" s="2"/>
      <c r="Z75" s="2"/>
      <c r="AA75" s="242"/>
      <c r="AB75" s="148"/>
      <c r="AC75" s="60"/>
      <c r="AD75" s="2"/>
      <c r="AE75" s="2"/>
      <c r="AF75" s="2"/>
      <c r="AG75" s="2"/>
      <c r="AH75" s="2"/>
      <c r="AI75" s="2"/>
      <c r="AJ75" s="242"/>
      <c r="AK75" s="148"/>
      <c r="AL75" s="60"/>
      <c r="AM75" s="2"/>
      <c r="AN75" s="2"/>
      <c r="AO75" s="2"/>
      <c r="AP75" s="2"/>
      <c r="AQ75" s="2"/>
      <c r="AR75" s="2"/>
      <c r="AS75" s="242"/>
      <c r="AT75" s="148"/>
      <c r="AU75" s="60"/>
      <c r="AV75" s="2"/>
      <c r="AW75" s="2"/>
      <c r="AX75" s="2"/>
      <c r="AY75" s="2"/>
      <c r="AZ75" s="2"/>
      <c r="BA75" s="2"/>
      <c r="BB75" s="242"/>
      <c r="BC75" s="148"/>
      <c r="BD75" s="60"/>
      <c r="BE75" s="2"/>
      <c r="BF75" s="2"/>
      <c r="BG75" s="2"/>
      <c r="BH75" s="2"/>
      <c r="BI75" s="2"/>
      <c r="BJ75" s="2"/>
      <c r="BK75" s="242"/>
      <c r="BL75" s="148"/>
      <c r="BM75" s="60"/>
      <c r="BN75" s="2"/>
      <c r="BO75" s="2"/>
      <c r="BP75" s="2"/>
      <c r="BQ75" s="2"/>
      <c r="BR75" s="2"/>
      <c r="BS75" s="2"/>
      <c r="BT75" s="242"/>
      <c r="BU75" s="148"/>
      <c r="BV75" s="60"/>
      <c r="BW75" s="2"/>
      <c r="BX75" s="2"/>
      <c r="BY75" s="2"/>
      <c r="BZ75" s="2"/>
      <c r="CA75" s="2"/>
      <c r="CB75" s="2"/>
      <c r="CC75" s="242"/>
      <c r="CD75" s="148"/>
      <c r="CE75" s="60"/>
      <c r="CF75" s="2"/>
      <c r="CG75" s="2"/>
      <c r="CH75" s="2"/>
      <c r="CI75" s="2"/>
      <c r="CJ75" s="2"/>
      <c r="CK75" s="2"/>
      <c r="CL75" s="242"/>
      <c r="CM75" s="148"/>
      <c r="CN75" s="60"/>
      <c r="CO75" s="2"/>
      <c r="CP75" s="2"/>
      <c r="CQ75" s="2"/>
      <c r="CR75" s="2"/>
      <c r="CS75" s="2"/>
      <c r="CT75" s="2"/>
      <c r="CU75" s="242"/>
      <c r="CV75" s="148"/>
      <c r="CW75" s="60"/>
      <c r="CX75" s="2"/>
      <c r="CY75" s="2"/>
      <c r="CZ75" s="2"/>
      <c r="DA75" s="2"/>
      <c r="DB75" s="2"/>
      <c r="DC75" s="2"/>
      <c r="DD75" s="242"/>
      <c r="DE75" s="148"/>
      <c r="DF75" s="60"/>
      <c r="DG75" s="2"/>
      <c r="DH75" s="2"/>
      <c r="DI75" s="2"/>
      <c r="DJ75" s="2"/>
      <c r="DK75" s="2"/>
      <c r="DL75" s="2"/>
      <c r="DM75" s="242"/>
      <c r="DN75" s="148"/>
      <c r="DO75" s="60"/>
      <c r="DP75" s="2"/>
      <c r="DQ75" s="2"/>
      <c r="DR75" s="2"/>
      <c r="DS75" s="2"/>
      <c r="DT75" s="2"/>
      <c r="DU75" s="2"/>
      <c r="DV75" s="242"/>
      <c r="DW75" s="148"/>
      <c r="DX75" s="60"/>
      <c r="DY75" s="2"/>
      <c r="DZ75" s="2"/>
      <c r="EA75" s="2"/>
      <c r="EB75" s="2"/>
      <c r="EC75" s="2"/>
      <c r="ED75" s="2"/>
      <c r="EE75" s="242"/>
      <c r="EF75" s="148"/>
    </row>
    <row r="76" spans="1:136">
      <c r="A76" s="60"/>
      <c r="B76" s="234" t="s">
        <v>451</v>
      </c>
      <c r="C76" s="488"/>
      <c r="D76" s="475"/>
      <c r="E76" s="472"/>
      <c r="F76" s="472"/>
      <c r="G76" s="472"/>
      <c r="H76" s="476"/>
      <c r="I76" s="477">
        <f>I71</f>
        <v>22010.429523797564</v>
      </c>
      <c r="J76" s="511"/>
      <c r="K76" s="60"/>
      <c r="L76" s="234" t="s">
        <v>451</v>
      </c>
      <c r="M76" s="488"/>
      <c r="N76" s="475"/>
      <c r="O76" s="472"/>
      <c r="P76" s="472"/>
      <c r="Q76" s="472"/>
      <c r="R76" s="476"/>
      <c r="S76" s="477">
        <f>(IF(S74&lt;N74,S74,N74)+S73)</f>
        <v>8300.9139494061455</v>
      </c>
      <c r="T76" s="60"/>
      <c r="U76" s="234" t="s">
        <v>451</v>
      </c>
      <c r="V76" s="488"/>
      <c r="W76" s="475"/>
      <c r="X76" s="472"/>
      <c r="Y76" s="472"/>
      <c r="Z76" s="472"/>
      <c r="AA76" s="476"/>
      <c r="AB76" s="477">
        <f>AB71</f>
        <v>9669.4374879018033</v>
      </c>
      <c r="AC76" s="60"/>
      <c r="AD76" s="234" t="s">
        <v>451</v>
      </c>
      <c r="AE76" s="488"/>
      <c r="AF76" s="475"/>
      <c r="AG76" s="472"/>
      <c r="AH76" s="472"/>
      <c r="AI76" s="472"/>
      <c r="AJ76" s="476"/>
      <c r="AK76" s="477">
        <f>AK71</f>
        <v>7680.2960618191473</v>
      </c>
      <c r="AL76" s="60"/>
      <c r="AM76" s="234" t="s">
        <v>451</v>
      </c>
      <c r="AN76" s="488"/>
      <c r="AO76" s="475"/>
      <c r="AP76" s="472"/>
      <c r="AQ76" s="472"/>
      <c r="AR76" s="472"/>
      <c r="AS76" s="476"/>
      <c r="AT76" s="477">
        <f>(IF(AT74&lt;AO74,AT74,AO74)+AT73)</f>
        <v>11902.656759330603</v>
      </c>
      <c r="AU76" s="60"/>
      <c r="AV76" s="234" t="s">
        <v>451</v>
      </c>
      <c r="AW76" s="488"/>
      <c r="AX76" s="475"/>
      <c r="AY76" s="472"/>
      <c r="AZ76" s="472"/>
      <c r="BA76" s="472"/>
      <c r="BB76" s="476"/>
      <c r="BC76" s="477">
        <f>BC71</f>
        <v>10360.111594180506</v>
      </c>
      <c r="BD76" s="60"/>
      <c r="BE76" s="234" t="s">
        <v>451</v>
      </c>
      <c r="BF76" s="488"/>
      <c r="BG76" s="475"/>
      <c r="BH76" s="472"/>
      <c r="BI76" s="472"/>
      <c r="BJ76" s="472"/>
      <c r="BK76" s="476"/>
      <c r="BL76" s="477">
        <f>(IF(BL74&lt;BG74,BL74,BG74)+BL73)</f>
        <v>5785.0328561630167</v>
      </c>
      <c r="BM76" s="60"/>
      <c r="BN76" s="234" t="s">
        <v>451</v>
      </c>
      <c r="BO76" s="488"/>
      <c r="BP76" s="475"/>
      <c r="BQ76" s="472"/>
      <c r="BR76" s="472"/>
      <c r="BS76" s="472"/>
      <c r="BT76" s="476"/>
      <c r="BU76" s="477">
        <f>BU71</f>
        <v>26936.290144869316</v>
      </c>
      <c r="BV76" s="60"/>
      <c r="BW76" s="234" t="s">
        <v>451</v>
      </c>
      <c r="BX76" s="488"/>
      <c r="BY76" s="475"/>
      <c r="BZ76" s="472"/>
      <c r="CA76" s="472"/>
      <c r="CB76" s="472"/>
      <c r="CC76" s="476"/>
      <c r="CD76" s="477">
        <f>CD71</f>
        <v>8889.9757478068732</v>
      </c>
      <c r="CE76" s="60"/>
      <c r="CF76" s="234" t="s">
        <v>451</v>
      </c>
      <c r="CG76" s="488"/>
      <c r="CH76" s="475"/>
      <c r="CI76" s="472"/>
      <c r="CJ76" s="472"/>
      <c r="CK76" s="472"/>
      <c r="CL76" s="476"/>
      <c r="CM76" s="477">
        <f>CM71</f>
        <v>11321.148601907898</v>
      </c>
      <c r="CN76" s="60"/>
      <c r="CO76" s="234" t="s">
        <v>451</v>
      </c>
      <c r="CP76" s="488"/>
      <c r="CQ76" s="475"/>
      <c r="CR76" s="472"/>
      <c r="CS76" s="472"/>
      <c r="CT76" s="472"/>
      <c r="CU76" s="476"/>
      <c r="CV76" s="477">
        <f>(IF(CV74&lt;CQ74,CV74,CQ74)+CV73)</f>
        <v>18955.324556836647</v>
      </c>
      <c r="CW76" s="60"/>
      <c r="CX76" s="234" t="s">
        <v>451</v>
      </c>
      <c r="CY76" s="488"/>
      <c r="CZ76" s="475"/>
      <c r="DA76" s="472"/>
      <c r="DB76" s="472"/>
      <c r="DC76" s="472"/>
      <c r="DD76" s="476"/>
      <c r="DE76" s="477">
        <f>(IF(DE74&lt;CZ74,DE74,CZ74)+DE73)</f>
        <v>6539.5672853986825</v>
      </c>
      <c r="DF76" s="60"/>
      <c r="DG76" s="234" t="s">
        <v>451</v>
      </c>
      <c r="DH76" s="488"/>
      <c r="DI76" s="475"/>
      <c r="DJ76" s="472"/>
      <c r="DK76" s="472"/>
      <c r="DL76" s="472"/>
      <c r="DM76" s="476"/>
      <c r="DN76" s="477">
        <f>(IF(DN74&lt;DI74,DN74,DI74)+DN73)</f>
        <v>8476.3134182588219</v>
      </c>
      <c r="DO76" s="60"/>
      <c r="DP76" s="234" t="s">
        <v>451</v>
      </c>
      <c r="DQ76" s="488"/>
      <c r="DR76" s="475"/>
      <c r="DS76" s="472"/>
      <c r="DT76" s="472"/>
      <c r="DU76" s="472"/>
      <c r="DV76" s="476"/>
      <c r="DW76" s="477">
        <f>DW71</f>
        <v>25097.136692941134</v>
      </c>
      <c r="DX76" s="60"/>
      <c r="DY76" s="234" t="s">
        <v>451</v>
      </c>
      <c r="DZ76" s="488"/>
      <c r="EA76" s="475"/>
      <c r="EB76" s="472"/>
      <c r="EC76" s="472"/>
      <c r="ED76" s="472"/>
      <c r="EE76" s="476"/>
      <c r="EF76" s="477">
        <f>EF71</f>
        <v>19020.248440419164</v>
      </c>
    </row>
    <row r="77" spans="1:136">
      <c r="A77" s="60"/>
      <c r="B77" s="2"/>
      <c r="C77" s="2"/>
      <c r="D77" s="2"/>
      <c r="E77" s="2"/>
      <c r="F77" s="2"/>
      <c r="G77" s="2"/>
      <c r="H77" s="507" t="s">
        <v>460</v>
      </c>
      <c r="I77" s="512">
        <f>I76/12</f>
        <v>1834.2024603164637</v>
      </c>
      <c r="J77" s="512"/>
      <c r="K77" s="60"/>
      <c r="L77" s="2"/>
      <c r="M77" s="2"/>
      <c r="N77" s="2"/>
      <c r="O77" s="2"/>
      <c r="P77" s="2"/>
      <c r="Q77" s="2"/>
      <c r="R77" s="507" t="s">
        <v>460</v>
      </c>
      <c r="S77" s="512">
        <f>S76/12</f>
        <v>691.74282911717876</v>
      </c>
      <c r="T77" s="60"/>
      <c r="U77" s="2"/>
      <c r="V77" s="2"/>
      <c r="W77" s="2"/>
      <c r="X77" s="2"/>
      <c r="Y77" s="2"/>
      <c r="Z77" s="2"/>
      <c r="AA77" s="507" t="s">
        <v>460</v>
      </c>
      <c r="AB77" s="512">
        <f>AB76/12</f>
        <v>805.78645732515031</v>
      </c>
      <c r="AC77" s="60"/>
      <c r="AD77" s="2"/>
      <c r="AE77" s="2"/>
      <c r="AF77" s="2"/>
      <c r="AG77" s="2"/>
      <c r="AH77" s="2"/>
      <c r="AI77" s="2"/>
      <c r="AJ77" s="507" t="s">
        <v>460</v>
      </c>
      <c r="AK77" s="512">
        <f>AK76/12</f>
        <v>640.02467181826228</v>
      </c>
      <c r="AL77" s="60"/>
      <c r="AM77" s="2"/>
      <c r="AN77" s="2"/>
      <c r="AO77" s="2"/>
      <c r="AP77" s="2"/>
      <c r="AQ77" s="2"/>
      <c r="AR77" s="2"/>
      <c r="AS77" s="507" t="s">
        <v>460</v>
      </c>
      <c r="AT77" s="512">
        <f>(IF(AT74&lt;AO74,AT74,AO74)+AT73)</f>
        <v>11902.656759330603</v>
      </c>
      <c r="AU77" s="60"/>
      <c r="AV77" s="2"/>
      <c r="AW77" s="2"/>
      <c r="AX77" s="2"/>
      <c r="AY77" s="2"/>
      <c r="AZ77" s="2"/>
      <c r="BA77" s="2"/>
      <c r="BB77" s="507" t="s">
        <v>460</v>
      </c>
      <c r="BC77" s="512">
        <f>BC76/12</f>
        <v>863.3426328483755</v>
      </c>
      <c r="BD77" s="60"/>
      <c r="BE77" s="2"/>
      <c r="BF77" s="2"/>
      <c r="BG77" s="2"/>
      <c r="BH77" s="2"/>
      <c r="BI77" s="2"/>
      <c r="BJ77" s="2"/>
      <c r="BK77" s="507" t="s">
        <v>460</v>
      </c>
      <c r="BL77" s="512">
        <f>BL76/12</f>
        <v>482.08607134691806</v>
      </c>
      <c r="BM77" s="60"/>
      <c r="BN77" s="2"/>
      <c r="BO77" s="2"/>
      <c r="BP77" s="2"/>
      <c r="BQ77" s="2"/>
      <c r="BR77" s="2"/>
      <c r="BS77" s="2"/>
      <c r="BT77" s="507" t="s">
        <v>460</v>
      </c>
      <c r="BU77" s="512">
        <f>BU76/12</f>
        <v>2244.6908454057761</v>
      </c>
      <c r="BV77" s="60"/>
      <c r="BW77" s="2"/>
      <c r="BX77" s="2"/>
      <c r="BY77" s="2"/>
      <c r="BZ77" s="2"/>
      <c r="CA77" s="2"/>
      <c r="CB77" s="2"/>
      <c r="CC77" s="507" t="s">
        <v>460</v>
      </c>
      <c r="CD77" s="512">
        <f>CD76/12</f>
        <v>740.83131231723939</v>
      </c>
      <c r="CE77" s="60"/>
      <c r="CF77" s="2"/>
      <c r="CG77" s="2"/>
      <c r="CH77" s="2"/>
      <c r="CI77" s="2"/>
      <c r="CJ77" s="2"/>
      <c r="CK77" s="2"/>
      <c r="CL77" s="507" t="s">
        <v>460</v>
      </c>
      <c r="CM77" s="512">
        <f>CM76/12</f>
        <v>943.42905015899157</v>
      </c>
      <c r="CN77" s="60"/>
      <c r="CO77" s="2"/>
      <c r="CP77" s="2"/>
      <c r="CQ77" s="2"/>
      <c r="CR77" s="2"/>
      <c r="CS77" s="2"/>
      <c r="CT77" s="2"/>
      <c r="CU77" s="507" t="s">
        <v>460</v>
      </c>
      <c r="CV77" s="512">
        <f>CV76/12</f>
        <v>1579.6103797363874</v>
      </c>
      <c r="CW77" s="60"/>
      <c r="CX77" s="2"/>
      <c r="CY77" s="2"/>
      <c r="CZ77" s="2"/>
      <c r="DA77" s="2"/>
      <c r="DB77" s="2"/>
      <c r="DC77" s="2"/>
      <c r="DD77" s="507" t="s">
        <v>460</v>
      </c>
      <c r="DE77" s="512">
        <f>DE76/12</f>
        <v>544.96394044989017</v>
      </c>
      <c r="DF77" s="60"/>
      <c r="DG77" s="2"/>
      <c r="DH77" s="2"/>
      <c r="DI77" s="2"/>
      <c r="DJ77" s="2"/>
      <c r="DK77" s="2"/>
      <c r="DL77" s="2"/>
      <c r="DM77" s="507" t="s">
        <v>460</v>
      </c>
      <c r="DN77" s="512">
        <f>DN76/12</f>
        <v>706.35945152156853</v>
      </c>
      <c r="DO77" s="60"/>
      <c r="DP77" s="2"/>
      <c r="DQ77" s="2"/>
      <c r="DR77" s="2"/>
      <c r="DS77" s="2"/>
      <c r="DT77" s="2"/>
      <c r="DU77" s="2"/>
      <c r="DV77" s="507" t="s">
        <v>460</v>
      </c>
      <c r="DW77" s="512">
        <f>DW76/12</f>
        <v>2091.4280577450945</v>
      </c>
      <c r="DX77" s="60"/>
      <c r="DY77" s="2"/>
      <c r="DZ77" s="2"/>
      <c r="EA77" s="2"/>
      <c r="EB77" s="2"/>
      <c r="EC77" s="2"/>
      <c r="ED77" s="2"/>
      <c r="EE77" s="507" t="s">
        <v>460</v>
      </c>
      <c r="EF77" s="512">
        <f>EF76/12</f>
        <v>1585.0207033682636</v>
      </c>
    </row>
    <row r="78" spans="1:136">
      <c r="A78" s="60"/>
      <c r="B78" s="2"/>
      <c r="C78" s="2"/>
      <c r="D78" s="2"/>
      <c r="E78" s="2"/>
      <c r="F78" s="2"/>
      <c r="G78" s="2"/>
      <c r="H78" s="242"/>
      <c r="I78" s="148"/>
      <c r="J78" s="148"/>
      <c r="K78" s="60"/>
      <c r="L78" s="2"/>
      <c r="M78" s="2"/>
      <c r="N78" s="2"/>
      <c r="O78" s="2"/>
      <c r="P78" s="2"/>
      <c r="Q78" s="2"/>
      <c r="R78" s="242"/>
      <c r="S78" s="148"/>
      <c r="T78" s="60"/>
      <c r="U78" s="2"/>
      <c r="V78" s="2"/>
      <c r="W78" s="2"/>
      <c r="X78" s="2"/>
      <c r="Y78" s="2"/>
      <c r="Z78" s="2"/>
      <c r="AA78" s="242"/>
      <c r="AB78" s="148"/>
      <c r="AC78" s="60"/>
      <c r="AD78" s="2"/>
      <c r="AE78" s="2"/>
      <c r="AF78" s="2"/>
      <c r="AG78" s="2"/>
      <c r="AH78" s="2"/>
      <c r="AI78" s="2"/>
      <c r="AJ78" s="242"/>
      <c r="AK78" s="148"/>
      <c r="AL78" s="60"/>
      <c r="AM78" s="2"/>
      <c r="AN78" s="2"/>
      <c r="AO78" s="2"/>
      <c r="AP78" s="2"/>
      <c r="AQ78" s="2"/>
      <c r="AR78" s="2"/>
      <c r="AS78" s="242"/>
      <c r="AT78" s="148"/>
      <c r="AU78" s="60"/>
      <c r="AV78" s="2"/>
      <c r="AW78" s="2"/>
      <c r="AX78" s="2"/>
      <c r="AY78" s="212"/>
      <c r="AZ78" s="2"/>
      <c r="BA78" s="2"/>
      <c r="BB78" s="212"/>
      <c r="BC78" s="148"/>
      <c r="BD78" s="60"/>
      <c r="BE78" s="2"/>
      <c r="BF78" s="2"/>
      <c r="BG78" s="2"/>
      <c r="BH78" s="2"/>
      <c r="BI78" s="2"/>
      <c r="BJ78" s="2"/>
      <c r="BK78" s="242"/>
      <c r="BL78" s="148"/>
      <c r="BM78" s="60"/>
      <c r="BN78" s="2"/>
      <c r="BO78" s="2"/>
      <c r="BP78" s="2"/>
      <c r="BQ78" s="2"/>
      <c r="BR78" s="2"/>
      <c r="BS78" s="2"/>
      <c r="BT78" s="242"/>
      <c r="BU78" s="148"/>
      <c r="BV78" s="60"/>
      <c r="BW78" s="2"/>
      <c r="BX78" s="2"/>
      <c r="BY78" s="2"/>
      <c r="BZ78" s="2"/>
      <c r="CA78" s="2"/>
      <c r="CB78" s="2"/>
      <c r="CC78" s="242"/>
      <c r="CD78" s="148"/>
      <c r="CE78" s="60"/>
      <c r="CF78" s="2"/>
      <c r="CG78" s="2"/>
      <c r="CH78" s="2"/>
      <c r="CI78" s="2"/>
      <c r="CJ78" s="2"/>
      <c r="CK78" s="2"/>
      <c r="CL78" s="242"/>
      <c r="CM78" s="148"/>
      <c r="CN78" s="60"/>
      <c r="CO78" s="2"/>
      <c r="CP78" s="2"/>
      <c r="CQ78" s="2"/>
      <c r="CR78" s="2"/>
      <c r="CS78" s="148"/>
      <c r="CT78" s="2"/>
      <c r="CU78" s="242"/>
      <c r="CV78" s="148"/>
      <c r="CW78" s="60"/>
      <c r="CX78" s="2"/>
      <c r="CY78" s="2"/>
      <c r="CZ78" s="2"/>
      <c r="DA78" s="2"/>
      <c r="DB78" s="2"/>
      <c r="DC78" s="2"/>
      <c r="DD78" s="242"/>
      <c r="DE78" s="148"/>
      <c r="DF78" s="60"/>
      <c r="DG78" s="2"/>
      <c r="DH78" s="2"/>
      <c r="DI78" s="2"/>
      <c r="DJ78" s="2"/>
      <c r="DK78" s="2"/>
      <c r="DL78" s="2"/>
      <c r="DM78" s="242"/>
      <c r="DN78" s="148"/>
      <c r="DO78" s="60"/>
      <c r="DP78" s="2"/>
      <c r="DQ78" s="2"/>
      <c r="DR78" s="2"/>
      <c r="DS78" s="2"/>
      <c r="DT78" s="2"/>
      <c r="DU78" s="2"/>
      <c r="DV78" s="242"/>
      <c r="DW78" s="148"/>
      <c r="DX78" s="60"/>
      <c r="DY78" s="2"/>
      <c r="DZ78" s="2"/>
      <c r="EA78" s="2"/>
      <c r="EB78" s="2"/>
      <c r="EC78" s="2"/>
      <c r="ED78" s="2"/>
      <c r="EE78" s="242"/>
      <c r="EF78" s="148"/>
    </row>
    <row r="79" spans="1:136">
      <c r="A79" s="60"/>
      <c r="B79" s="2"/>
      <c r="C79" s="2"/>
      <c r="D79" s="2"/>
      <c r="E79" s="2"/>
      <c r="F79" s="2"/>
      <c r="G79" s="2"/>
      <c r="H79" s="242"/>
      <c r="I79" s="148">
        <f>I76/12</f>
        <v>1834.2024603164637</v>
      </c>
      <c r="J79" s="148"/>
      <c r="K79" s="60"/>
      <c r="L79" s="51" t="s">
        <v>452</v>
      </c>
      <c r="M79" s="51">
        <v>1999.49</v>
      </c>
      <c r="N79" s="2"/>
      <c r="O79" s="2"/>
      <c r="P79" s="2"/>
      <c r="Q79" s="2"/>
      <c r="R79" s="242"/>
      <c r="S79" s="148">
        <f>S76/12</f>
        <v>691.74282911717876</v>
      </c>
      <c r="T79" s="60"/>
      <c r="U79" s="2"/>
      <c r="V79" s="2"/>
      <c r="W79" s="2"/>
      <c r="X79" s="2"/>
      <c r="Y79" s="2"/>
      <c r="Z79" s="2"/>
      <c r="AA79" s="242"/>
      <c r="AB79" s="148">
        <f>AB76/12</f>
        <v>805.78645732515031</v>
      </c>
      <c r="AC79" s="60"/>
      <c r="AD79" s="2"/>
      <c r="AE79" s="2"/>
      <c r="AF79" s="2"/>
      <c r="AG79" s="2"/>
      <c r="AH79" s="2"/>
      <c r="AI79" s="2"/>
      <c r="AJ79" s="242"/>
      <c r="AK79" s="148">
        <f>AK76/12</f>
        <v>640.02467181826228</v>
      </c>
      <c r="AL79" s="60"/>
      <c r="AM79" s="51" t="s">
        <v>452</v>
      </c>
      <c r="AN79" s="51">
        <v>3086.09</v>
      </c>
      <c r="AO79" s="2"/>
      <c r="AP79" s="2"/>
      <c r="AQ79" s="2"/>
      <c r="AR79" s="2"/>
      <c r="AS79" s="242"/>
      <c r="AT79" s="148">
        <f>AT76/12</f>
        <v>991.88806327755026</v>
      </c>
      <c r="AU79" s="60"/>
      <c r="AV79" s="2"/>
      <c r="AW79" s="2"/>
      <c r="AX79" s="2"/>
      <c r="AY79" s="212"/>
      <c r="AZ79" s="2"/>
      <c r="BA79" s="2"/>
      <c r="BB79" s="212"/>
      <c r="BC79" s="148"/>
      <c r="BD79" s="60"/>
      <c r="BE79" s="51" t="s">
        <v>452</v>
      </c>
      <c r="BF79" s="51">
        <v>2157.4699999999998</v>
      </c>
      <c r="BG79" s="2"/>
      <c r="BH79" s="2"/>
      <c r="BI79" s="2"/>
      <c r="BJ79" s="2"/>
      <c r="BK79" s="242"/>
      <c r="BL79" s="148">
        <f>BL76/12</f>
        <v>482.08607134691806</v>
      </c>
      <c r="BM79" s="60"/>
      <c r="BN79" s="2"/>
      <c r="BO79" s="2"/>
      <c r="BP79" s="2"/>
      <c r="BQ79" s="2"/>
      <c r="BR79" s="2"/>
      <c r="BS79" s="2"/>
      <c r="BT79" s="242"/>
      <c r="BU79" s="148">
        <f>BU76/12</f>
        <v>2244.6908454057761</v>
      </c>
      <c r="BV79" s="60"/>
      <c r="BW79" s="2"/>
      <c r="BX79" s="2"/>
      <c r="BY79" s="2"/>
      <c r="BZ79" s="2"/>
      <c r="CA79" s="2"/>
      <c r="CB79" s="2"/>
      <c r="CC79" s="242"/>
      <c r="CD79" s="148">
        <f>CD76/12</f>
        <v>740.83131231723939</v>
      </c>
      <c r="CE79" s="60"/>
      <c r="CF79" s="2"/>
      <c r="CG79" s="2"/>
      <c r="CH79" s="2"/>
      <c r="CI79" s="2"/>
      <c r="CJ79" s="2"/>
      <c r="CK79" s="2"/>
      <c r="CL79" s="242"/>
      <c r="CM79" s="148">
        <f>CM76/12</f>
        <v>943.42905015899157</v>
      </c>
      <c r="CN79" s="60"/>
      <c r="CO79" s="51" t="s">
        <v>452</v>
      </c>
      <c r="CP79" s="51">
        <v>4179.92</v>
      </c>
      <c r="CQ79" s="2"/>
      <c r="CR79" s="2"/>
      <c r="CS79" s="2"/>
      <c r="CT79" s="2"/>
      <c r="CU79" s="242"/>
      <c r="CV79" s="148">
        <f>CV76/12</f>
        <v>1579.6103797363874</v>
      </c>
      <c r="CW79" s="60"/>
      <c r="CX79" s="51" t="s">
        <v>452</v>
      </c>
      <c r="CY79" s="51">
        <v>1782.39</v>
      </c>
      <c r="CZ79" s="2"/>
      <c r="DA79" s="2"/>
      <c r="DB79" s="2"/>
      <c r="DC79" s="2"/>
      <c r="DD79" s="242"/>
      <c r="DE79" s="148">
        <f>DE76/12</f>
        <v>544.96394044989017</v>
      </c>
      <c r="DF79" s="60"/>
      <c r="DG79" s="51" t="s">
        <v>452</v>
      </c>
      <c r="DH79" s="51">
        <v>1537.78</v>
      </c>
      <c r="DI79" s="2"/>
      <c r="DJ79" s="2"/>
      <c r="DK79" s="2"/>
      <c r="DL79" s="2"/>
      <c r="DM79" s="242"/>
      <c r="DN79" s="148">
        <f>DN76/12</f>
        <v>706.35945152156853</v>
      </c>
      <c r="DO79" s="60"/>
      <c r="DP79" s="51" t="s">
        <v>452</v>
      </c>
      <c r="DQ79" s="51">
        <v>4452.07</v>
      </c>
      <c r="DR79" s="2"/>
      <c r="DS79" s="2"/>
      <c r="DT79" s="2"/>
      <c r="DU79" s="2"/>
      <c r="DV79" s="242"/>
      <c r="DW79" s="148">
        <f>DW76/12</f>
        <v>2091.4280577450945</v>
      </c>
      <c r="DX79" s="60"/>
      <c r="DY79" s="2"/>
      <c r="DZ79" s="2"/>
      <c r="EA79" s="2"/>
      <c r="EB79" s="2"/>
      <c r="EC79" s="2"/>
      <c r="ED79" s="2"/>
      <c r="EE79" s="242"/>
      <c r="EF79" s="148">
        <f>EF76/12</f>
        <v>1585.0207033682636</v>
      </c>
    </row>
    <row r="80" spans="1:136">
      <c r="A80" s="60"/>
      <c r="B80" s="2"/>
      <c r="C80" s="2"/>
      <c r="D80" s="2"/>
      <c r="E80" s="2"/>
      <c r="F80" s="2"/>
      <c r="G80" s="2"/>
      <c r="H80" s="2"/>
      <c r="I80" s="148"/>
      <c r="J80" s="148"/>
      <c r="K80" s="60"/>
      <c r="L80" s="2" t="s">
        <v>454</v>
      </c>
      <c r="M80" s="489">
        <f>M79*105%</f>
        <v>2099.4645</v>
      </c>
      <c r="N80" s="2" t="s">
        <v>455</v>
      </c>
      <c r="O80" s="2"/>
      <c r="P80" s="2"/>
      <c r="Q80" s="2"/>
      <c r="R80" s="2" t="s">
        <v>453</v>
      </c>
      <c r="S80" s="148">
        <f>S76-S71</f>
        <v>-1920.1769654975524</v>
      </c>
      <c r="T80" s="60"/>
      <c r="U80" s="2"/>
      <c r="V80" s="2"/>
      <c r="W80" s="2"/>
      <c r="X80" s="2"/>
      <c r="Y80" s="2"/>
      <c r="Z80" s="2"/>
      <c r="AA80" s="2"/>
      <c r="AB80" s="148"/>
      <c r="AC80" s="60"/>
      <c r="AD80" s="2"/>
      <c r="AE80" s="2"/>
      <c r="AF80" s="2"/>
      <c r="AG80" s="2"/>
      <c r="AH80" s="2"/>
      <c r="AI80" s="2"/>
      <c r="AJ80" s="2"/>
      <c r="AK80" s="148"/>
      <c r="AL80" s="60"/>
      <c r="AM80" s="2" t="s">
        <v>454</v>
      </c>
      <c r="AN80" s="489">
        <f>AN79*105%</f>
        <v>3240.3945000000003</v>
      </c>
      <c r="AO80" s="2" t="s">
        <v>455</v>
      </c>
      <c r="AP80" s="2"/>
      <c r="AQ80" s="2"/>
      <c r="AR80" s="2"/>
      <c r="AS80" s="362" t="s">
        <v>453</v>
      </c>
      <c r="AT80" s="148">
        <f>AT76-AT71</f>
        <v>-7257.8994512601821</v>
      </c>
      <c r="AU80" s="60"/>
      <c r="AV80" s="2"/>
      <c r="AW80" s="2"/>
      <c r="AX80" s="2"/>
      <c r="AY80" s="212"/>
      <c r="AZ80" s="2"/>
      <c r="BA80" s="2"/>
      <c r="BB80" s="513"/>
      <c r="BC80" s="148">
        <f>BC76/12</f>
        <v>863.3426328483755</v>
      </c>
      <c r="BD80" s="60"/>
      <c r="BE80" s="2" t="s">
        <v>454</v>
      </c>
      <c r="BF80" s="489">
        <f>BF79*105%</f>
        <v>2265.3434999999999</v>
      </c>
      <c r="BG80" s="2" t="s">
        <v>455</v>
      </c>
      <c r="BH80" s="2"/>
      <c r="BI80" s="2"/>
      <c r="BJ80" s="2"/>
      <c r="BK80" s="2"/>
      <c r="BL80" s="148"/>
      <c r="BM80" s="60"/>
      <c r="BN80" s="2"/>
      <c r="BO80" s="2"/>
      <c r="BP80" s="2"/>
      <c r="BQ80" s="2"/>
      <c r="BR80" s="2"/>
      <c r="BS80" s="2"/>
      <c r="BT80" s="2"/>
      <c r="BU80" s="148"/>
      <c r="BV80" s="60"/>
      <c r="BW80" s="2"/>
      <c r="BX80" s="2"/>
      <c r="BY80" s="2"/>
      <c r="BZ80" s="2"/>
      <c r="CA80" s="2"/>
      <c r="CB80" s="2"/>
      <c r="CC80" s="2"/>
      <c r="CD80" s="148"/>
      <c r="CE80" s="60"/>
      <c r="CF80" s="2"/>
      <c r="CG80" s="2"/>
      <c r="CH80" s="2"/>
      <c r="CI80" s="2"/>
      <c r="CJ80" s="2"/>
      <c r="CK80" s="2"/>
      <c r="CL80" s="2"/>
      <c r="CM80" s="148"/>
      <c r="CN80" s="60"/>
      <c r="CO80" s="2" t="s">
        <v>454</v>
      </c>
      <c r="CP80" s="489">
        <f>CP79*105%</f>
        <v>4388.9160000000002</v>
      </c>
      <c r="CQ80" s="2" t="s">
        <v>455</v>
      </c>
      <c r="CR80" s="2"/>
      <c r="CS80" s="2"/>
      <c r="CT80" s="2"/>
      <c r="CU80" s="2"/>
      <c r="CV80" s="148"/>
      <c r="CW80" s="60"/>
      <c r="CX80" s="2" t="s">
        <v>454</v>
      </c>
      <c r="CY80" s="489">
        <f>CY79*105%</f>
        <v>1871.5095000000001</v>
      </c>
      <c r="CZ80" s="2" t="s">
        <v>455</v>
      </c>
      <c r="DA80" s="2"/>
      <c r="DB80" s="2"/>
      <c r="DC80" s="2"/>
      <c r="DD80" s="2"/>
      <c r="DE80" s="148"/>
      <c r="DF80" s="60"/>
      <c r="DG80" s="2" t="s">
        <v>454</v>
      </c>
      <c r="DH80" s="489">
        <f>DH79*110%</f>
        <v>1691.5580000000002</v>
      </c>
      <c r="DI80" s="2" t="s">
        <v>455</v>
      </c>
      <c r="DJ80" s="2"/>
      <c r="DK80" s="2"/>
      <c r="DL80" s="2"/>
      <c r="DM80" s="2"/>
      <c r="DN80" s="148"/>
      <c r="DO80" s="60"/>
      <c r="DP80" s="2" t="s">
        <v>454</v>
      </c>
      <c r="DQ80" s="489">
        <f>DQ79*105%</f>
        <v>4674.6734999999999</v>
      </c>
      <c r="DR80" s="2" t="s">
        <v>455</v>
      </c>
      <c r="DS80" s="2"/>
      <c r="DT80" s="2"/>
      <c r="DU80" s="2"/>
      <c r="DV80" s="2"/>
      <c r="DW80" s="148"/>
      <c r="DX80" s="60"/>
      <c r="DY80" s="2"/>
      <c r="DZ80" s="2"/>
      <c r="EA80" s="2"/>
      <c r="EB80" s="2"/>
      <c r="EC80" s="2"/>
      <c r="ED80" s="2"/>
      <c r="EE80" s="2"/>
      <c r="EF80" s="148"/>
    </row>
    <row r="81" spans="1:128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s">
        <v>447</v>
      </c>
      <c r="M81" s="489">
        <f t="shared" ref="M81:M82" si="308">M80*105%</f>
        <v>2204.4377250000002</v>
      </c>
      <c r="N81" s="2" t="s">
        <v>455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s">
        <v>447</v>
      </c>
      <c r="AN81" s="489">
        <f t="shared" ref="AN81:AN82" si="309">AN80*105%</f>
        <v>3402.4142250000004</v>
      </c>
      <c r="AO81" s="2" t="s">
        <v>455</v>
      </c>
      <c r="AP81" s="2"/>
      <c r="AQ81" s="2"/>
      <c r="AR81" s="2"/>
      <c r="AS81" s="362"/>
      <c r="AT81" s="461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 t="s">
        <v>447</v>
      </c>
      <c r="BF81" s="489">
        <f t="shared" ref="BF81:BF82" si="310">BF80*105%</f>
        <v>2378.6106749999999</v>
      </c>
      <c r="BG81" s="2" t="s">
        <v>455</v>
      </c>
      <c r="BH81" s="2"/>
      <c r="BI81" s="2"/>
      <c r="BJ81" s="2"/>
      <c r="BK81" s="2" t="s">
        <v>453</v>
      </c>
      <c r="BL81" s="148">
        <f>BL76-BL71</f>
        <v>-5183.0784826087938</v>
      </c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 t="s">
        <v>447</v>
      </c>
      <c r="CP81" s="489">
        <f t="shared" ref="CP81:CP82" si="311">CP80*105%</f>
        <v>4608.3618000000006</v>
      </c>
      <c r="CQ81" s="2" t="s">
        <v>455</v>
      </c>
      <c r="CR81" s="2"/>
      <c r="CS81" s="2"/>
      <c r="CT81" s="2"/>
      <c r="CU81" s="2" t="s">
        <v>453</v>
      </c>
      <c r="CV81" s="148">
        <f>CV76-CV71</f>
        <v>-9364.9432691965667</v>
      </c>
      <c r="CW81" s="2"/>
      <c r="CX81" s="2" t="s">
        <v>447</v>
      </c>
      <c r="CY81" s="489">
        <f t="shared" ref="CY81:CY82" si="312">CY80*105%</f>
        <v>1965.0849750000002</v>
      </c>
      <c r="CZ81" s="2" t="s">
        <v>455</v>
      </c>
      <c r="DA81" s="2"/>
      <c r="DB81" s="2"/>
      <c r="DC81" s="2"/>
      <c r="DD81" s="2" t="s">
        <v>453</v>
      </c>
      <c r="DE81" s="148">
        <f>DE76-DE71</f>
        <v>-5103.9499326902287</v>
      </c>
      <c r="DF81" s="2"/>
      <c r="DG81" s="2" t="s">
        <v>447</v>
      </c>
      <c r="DH81" s="489">
        <f t="shared" ref="DH81:DH82" si="313">DH80*110%</f>
        <v>1860.7138000000004</v>
      </c>
      <c r="DI81" s="2" t="s">
        <v>455</v>
      </c>
      <c r="DJ81" s="2"/>
      <c r="DK81" s="2"/>
      <c r="DL81" s="2"/>
      <c r="DM81" s="2" t="s">
        <v>453</v>
      </c>
      <c r="DN81" s="148">
        <f>DN76-DN71</f>
        <v>-1341.0840813980412</v>
      </c>
      <c r="DO81" s="2"/>
      <c r="DP81" s="2" t="s">
        <v>447</v>
      </c>
      <c r="DQ81" s="489">
        <f t="shared" ref="DQ81:DQ82" si="314">DQ80*105%</f>
        <v>4908.4071750000003</v>
      </c>
      <c r="DR81" s="2" t="s">
        <v>455</v>
      </c>
      <c r="DS81" s="2"/>
      <c r="DT81" s="2"/>
      <c r="DU81" s="2"/>
      <c r="DV81" s="2" t="s">
        <v>453</v>
      </c>
      <c r="DW81" s="148">
        <f>DW76-DW71</f>
        <v>0</v>
      </c>
      <c r="DX81" s="2"/>
    </row>
    <row r="82" spans="1:128">
      <c r="A82" s="60"/>
      <c r="B82" s="2"/>
      <c r="C82" s="2"/>
      <c r="D82" s="2"/>
      <c r="E82" s="2"/>
      <c r="F82" s="2"/>
      <c r="G82" s="2"/>
      <c r="H82" s="2"/>
      <c r="I82" s="2"/>
      <c r="J82" s="2"/>
      <c r="K82" s="60"/>
      <c r="L82" s="2" t="s">
        <v>456</v>
      </c>
      <c r="M82" s="489">
        <f t="shared" si="308"/>
        <v>2314.6596112500001</v>
      </c>
      <c r="N82" s="2" t="s">
        <v>455</v>
      </c>
      <c r="O82" s="2"/>
      <c r="P82" s="2"/>
      <c r="Q82" s="2"/>
      <c r="R82" s="148"/>
      <c r="S82" s="148"/>
      <c r="T82" s="60"/>
      <c r="U82" s="2"/>
      <c r="V82" s="2"/>
      <c r="W82" s="2"/>
      <c r="X82" s="2"/>
      <c r="Y82" s="2"/>
      <c r="Z82" s="2"/>
      <c r="AA82" s="2"/>
      <c r="AB82" s="2"/>
      <c r="AC82" s="60"/>
      <c r="AD82" s="2"/>
      <c r="AE82" s="2"/>
      <c r="AF82" s="2"/>
      <c r="AG82" s="2"/>
      <c r="AH82" s="2"/>
      <c r="AI82" s="2"/>
      <c r="AJ82" s="2"/>
      <c r="AK82" s="2"/>
      <c r="AL82" s="60"/>
      <c r="AM82" s="2" t="s">
        <v>456</v>
      </c>
      <c r="AN82" s="489">
        <f t="shared" si="309"/>
        <v>3572.5349362500006</v>
      </c>
      <c r="AO82" s="2" t="s">
        <v>455</v>
      </c>
      <c r="AP82" s="2"/>
      <c r="AQ82" s="2"/>
      <c r="AR82" s="2"/>
      <c r="AS82" s="2"/>
      <c r="AT82" s="2"/>
      <c r="AU82" s="60"/>
      <c r="AV82" s="2"/>
      <c r="AW82" s="2"/>
      <c r="AX82" s="2"/>
      <c r="AY82" s="2"/>
      <c r="AZ82" s="2"/>
      <c r="BA82" s="2"/>
      <c r="BB82" s="2"/>
      <c r="BC82" s="2"/>
      <c r="BD82" s="60"/>
      <c r="BE82" s="2" t="s">
        <v>456</v>
      </c>
      <c r="BF82" s="489">
        <f t="shared" si="310"/>
        <v>2497.5412087499999</v>
      </c>
      <c r="BG82" s="2" t="s">
        <v>455</v>
      </c>
      <c r="BH82" s="2"/>
      <c r="BI82" s="2"/>
      <c r="BJ82" s="2"/>
      <c r="BK82" s="2"/>
      <c r="BL82" s="2"/>
      <c r="BM82" s="60"/>
      <c r="BN82" s="2"/>
      <c r="BO82" s="2"/>
      <c r="BP82" s="2"/>
      <c r="BQ82" s="2"/>
      <c r="BR82" s="2"/>
      <c r="BS82" s="2"/>
      <c r="BT82" s="2"/>
      <c r="BU82" s="2"/>
      <c r="BV82" s="60"/>
      <c r="BW82" s="2"/>
      <c r="BX82" s="2"/>
      <c r="BY82" s="2"/>
      <c r="BZ82" s="2"/>
      <c r="CA82" s="2"/>
      <c r="CB82" s="2"/>
      <c r="CC82" s="2"/>
      <c r="CD82" s="2"/>
      <c r="CE82" s="60"/>
      <c r="CF82" s="2"/>
      <c r="CG82" s="2"/>
      <c r="CH82" s="2"/>
      <c r="CI82" s="2"/>
      <c r="CJ82" s="2"/>
      <c r="CK82" s="2"/>
      <c r="CL82" s="2"/>
      <c r="CM82" s="2"/>
      <c r="CN82" s="60"/>
      <c r="CO82" s="2" t="s">
        <v>456</v>
      </c>
      <c r="CP82" s="489">
        <f t="shared" si="311"/>
        <v>4838.7798900000007</v>
      </c>
      <c r="CQ82" s="2" t="s">
        <v>455</v>
      </c>
      <c r="CR82" s="2"/>
      <c r="CS82" s="2"/>
      <c r="CT82" s="2"/>
      <c r="CU82" s="2"/>
      <c r="CV82" s="2"/>
      <c r="CW82" s="60"/>
      <c r="CX82" s="2" t="s">
        <v>456</v>
      </c>
      <c r="CY82" s="489">
        <f t="shared" si="312"/>
        <v>2063.3392237500002</v>
      </c>
      <c r="CZ82" s="2" t="s">
        <v>455</v>
      </c>
      <c r="DA82" s="2"/>
      <c r="DB82" s="2"/>
      <c r="DC82" s="2"/>
      <c r="DD82" s="2"/>
      <c r="DE82" s="2"/>
      <c r="DF82" s="60"/>
      <c r="DG82" s="2" t="s">
        <v>456</v>
      </c>
      <c r="DH82" s="489">
        <f t="shared" si="313"/>
        <v>2046.7851800000008</v>
      </c>
      <c r="DI82" s="2" t="s">
        <v>455</v>
      </c>
      <c r="DJ82" s="2"/>
      <c r="DK82" s="2"/>
      <c r="DL82" s="2"/>
      <c r="DM82" s="2"/>
      <c r="DN82" s="2"/>
      <c r="DO82" s="60"/>
      <c r="DP82" s="2" t="s">
        <v>456</v>
      </c>
      <c r="DQ82" s="489">
        <f t="shared" si="314"/>
        <v>5153.8275337500008</v>
      </c>
      <c r="DR82" s="2" t="s">
        <v>455</v>
      </c>
      <c r="DS82" s="2"/>
      <c r="DT82" s="2"/>
      <c r="DU82" s="2"/>
      <c r="DV82" s="2"/>
      <c r="DW82" s="2"/>
      <c r="DX82" s="60"/>
    </row>
    <row r="83" spans="1:128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148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</row>
    <row r="84" spans="1:128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148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643" t="s">
        <v>461</v>
      </c>
      <c r="DQ84" s="643"/>
      <c r="DR84" s="643"/>
      <c r="DS84" s="2"/>
      <c r="DT84" s="2"/>
      <c r="DU84" s="2"/>
      <c r="DV84" s="2"/>
      <c r="DW84" s="2"/>
      <c r="DX84" s="2"/>
    </row>
    <row r="85" spans="1:128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186" t="s">
        <v>462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</row>
    <row r="86" spans="1:128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186" t="s">
        <v>463</v>
      </c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</row>
    <row r="87" spans="1:128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186" t="s">
        <v>464</v>
      </c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</row>
    <row r="89" spans="1:128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186" t="s">
        <v>465</v>
      </c>
      <c r="DH89" s="2"/>
      <c r="DI89" s="2"/>
      <c r="DJ89" s="2"/>
      <c r="DK89" s="2"/>
      <c r="DL89" s="2"/>
      <c r="DM89" s="2"/>
      <c r="DN89" s="2"/>
      <c r="DO89" s="2"/>
      <c r="DP89" s="186"/>
      <c r="DQ89" s="2"/>
      <c r="DR89" s="2"/>
      <c r="DS89" s="2"/>
      <c r="DT89" s="2"/>
      <c r="DU89" s="2"/>
      <c r="DV89" s="2"/>
      <c r="DW89" s="2"/>
      <c r="DX89" s="2"/>
    </row>
  </sheetData>
  <mergeCells count="46">
    <mergeCell ref="DP84:DR84"/>
    <mergeCell ref="DX2:EF2"/>
    <mergeCell ref="DX3:EF3"/>
    <mergeCell ref="DX4:EF4"/>
    <mergeCell ref="DF2:DN2"/>
    <mergeCell ref="DF3:DN3"/>
    <mergeCell ref="DF4:DN4"/>
    <mergeCell ref="DO2:DW2"/>
    <mergeCell ref="DO3:DW3"/>
    <mergeCell ref="DO4:DW4"/>
    <mergeCell ref="CN2:CV2"/>
    <mergeCell ref="CN3:CV3"/>
    <mergeCell ref="CN4:CV4"/>
    <mergeCell ref="CW2:DE2"/>
    <mergeCell ref="CW3:DE3"/>
    <mergeCell ref="CW4:DE4"/>
    <mergeCell ref="BM2:BU2"/>
    <mergeCell ref="BM3:BU3"/>
    <mergeCell ref="BM4:BU4"/>
    <mergeCell ref="CE2:CM2"/>
    <mergeCell ref="CE3:CM3"/>
    <mergeCell ref="CE4:CM4"/>
    <mergeCell ref="BV2:CD2"/>
    <mergeCell ref="BV3:CD3"/>
    <mergeCell ref="BV4:CD4"/>
    <mergeCell ref="AU2:BC2"/>
    <mergeCell ref="AU3:BC3"/>
    <mergeCell ref="AU4:BC4"/>
    <mergeCell ref="BD2:BL2"/>
    <mergeCell ref="BD3:BL3"/>
    <mergeCell ref="BD4:BL4"/>
    <mergeCell ref="AC2:AK2"/>
    <mergeCell ref="AC3:AK3"/>
    <mergeCell ref="AC4:AK4"/>
    <mergeCell ref="AL2:AT2"/>
    <mergeCell ref="AL3:AT3"/>
    <mergeCell ref="AL4:AT4"/>
    <mergeCell ref="A2:I2"/>
    <mergeCell ref="A3:I3"/>
    <mergeCell ref="A4:I4"/>
    <mergeCell ref="T2:AB2"/>
    <mergeCell ref="T3:AB3"/>
    <mergeCell ref="T4:AB4"/>
    <mergeCell ref="K2:S2"/>
    <mergeCell ref="K3:S3"/>
    <mergeCell ref="K4:S4"/>
  </mergeCells>
  <pageMargins left="0.7" right="0.7" top="0.75" bottom="0.75" header="0.3" footer="0.3"/>
  <pageSetup scale="52" fitToWidth="0" fitToHeight="0" orientation="portrait" r:id="rId1"/>
  <colBreaks count="13" manualBreakCount="13">
    <brk id="10" max="77" man="1"/>
    <brk id="19" max="76" man="1"/>
    <brk id="28" max="77" man="1"/>
    <brk id="37" max="77" man="1"/>
    <brk id="46" max="77" man="1"/>
    <brk id="55" max="77" man="1"/>
    <brk id="64" max="77" man="1"/>
    <brk id="73" max="77" man="1"/>
    <brk id="82" max="77" man="1"/>
    <brk id="91" max="77" man="1"/>
    <brk id="100" max="77" man="1"/>
    <brk id="109" max="77" man="1"/>
    <brk id="118" max="77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FD71-A959-4F23-BB08-D5108AD2E92C}">
  <sheetPr codeName="Sheet18"/>
  <dimension ref="A1:E13"/>
  <sheetViews>
    <sheetView workbookViewId="0">
      <selection activeCell="D7" sqref="D7"/>
    </sheetView>
  </sheetViews>
  <sheetFormatPr defaultColWidth="9.42578125" defaultRowHeight="15.4"/>
  <cols>
    <col min="1" max="1" width="16.42578125" style="89" customWidth="1"/>
    <col min="2" max="2" width="15.42578125" style="89" customWidth="1"/>
    <col min="3" max="3" width="14.42578125" style="89" customWidth="1"/>
    <col min="4" max="4" width="17.42578125" style="89" customWidth="1"/>
    <col min="5" max="16384" width="9.42578125" style="89"/>
  </cols>
  <sheetData>
    <row r="1" spans="1:5">
      <c r="A1" s="614" t="s">
        <v>466</v>
      </c>
      <c r="B1" s="614"/>
      <c r="C1" s="614"/>
      <c r="D1" s="614"/>
      <c r="E1" s="614"/>
    </row>
    <row r="2" spans="1:5">
      <c r="A2" s="614"/>
      <c r="B2" s="614"/>
      <c r="C2" s="614"/>
      <c r="D2" s="614"/>
      <c r="E2" s="614"/>
    </row>
    <row r="4" spans="1:5">
      <c r="A4" s="51" t="s">
        <v>467</v>
      </c>
      <c r="B4" s="51"/>
      <c r="C4" s="51"/>
      <c r="D4" s="51"/>
      <c r="E4" s="51"/>
    </row>
    <row r="5" spans="1:5">
      <c r="A5" s="51"/>
      <c r="B5" s="51" t="s">
        <v>125</v>
      </c>
      <c r="C5" s="51" t="s">
        <v>468</v>
      </c>
      <c r="D5" s="51" t="s">
        <v>469</v>
      </c>
      <c r="E5" s="51"/>
    </row>
    <row r="6" spans="1:5">
      <c r="A6" s="2" t="s">
        <v>470</v>
      </c>
      <c r="B6" s="383">
        <f>Summary!C13</f>
        <v>105478.31999999998</v>
      </c>
      <c r="C6" s="383">
        <f>Rent!E34</f>
        <v>105478.31999999998</v>
      </c>
      <c r="D6" s="383">
        <f>'Tenant Charges'!E31</f>
        <v>105478.31999999998</v>
      </c>
      <c r="E6" s="2" t="b" cm="1">
        <f t="array" ref="E6">AND(EXACT(B6:D6,B6))</f>
        <v>1</v>
      </c>
    </row>
    <row r="7" spans="1:5">
      <c r="A7" s="2" t="s">
        <v>142</v>
      </c>
      <c r="B7" s="383">
        <f>Summary!C14</f>
        <v>9715.6351823256518</v>
      </c>
      <c r="C7" s="383">
        <f>CAM!E35</f>
        <v>9715.6351823256518</v>
      </c>
      <c r="D7" s="383">
        <f>'Tenant Charges'!F31</f>
        <v>10110.448822037506</v>
      </c>
      <c r="E7" s="2" t="b" cm="1">
        <f t="array" ref="E7">AND(EXACT(B7:D7,B7))</f>
        <v>0</v>
      </c>
    </row>
    <row r="8" spans="1:5">
      <c r="A8" s="2" t="s">
        <v>471</v>
      </c>
      <c r="B8" s="383">
        <f>Summary!C17</f>
        <v>2845.3194584568973</v>
      </c>
      <c r="C8" s="383">
        <f>'Building Expenses'!E35</f>
        <v>2845.3194584568973</v>
      </c>
      <c r="D8" s="383">
        <f>'Tenant Charges'!G31</f>
        <v>3338.1126626718433</v>
      </c>
      <c r="E8" s="2" t="b" cm="1">
        <f t="array" ref="E8">AND(EXACT(B8:D8,B8))</f>
        <v>0</v>
      </c>
    </row>
    <row r="9" spans="1:5">
      <c r="A9" s="2" t="s">
        <v>472</v>
      </c>
      <c r="B9" s="383">
        <f>Summary!C18</f>
        <v>2545.0928126246135</v>
      </c>
      <c r="C9" s="383">
        <f>Ins.!E35</f>
        <v>2545.0928126246135</v>
      </c>
      <c r="D9" s="383">
        <f>'Tenant Charges'!J31</f>
        <v>2663.3749999999995</v>
      </c>
      <c r="E9" s="2" t="b" cm="1">
        <f t="array" ref="E9">AND(EXACT(B9:D9,B9))</f>
        <v>0</v>
      </c>
    </row>
    <row r="10" spans="1:5">
      <c r="A10" s="2" t="s">
        <v>473</v>
      </c>
      <c r="B10" s="383">
        <f>Summary!C19</f>
        <v>11506.312120130264</v>
      </c>
      <c r="C10" s="383">
        <f>'RE Tax'!E37</f>
        <v>11506.312120130264</v>
      </c>
      <c r="D10" s="383">
        <f>'Tenant Charges'!I31</f>
        <v>12041.06345</v>
      </c>
      <c r="E10" s="2" t="b" cm="1">
        <f t="array" ref="E10">AND(EXACT(B10:D10,B10))</f>
        <v>0</v>
      </c>
    </row>
    <row r="11" spans="1:5">
      <c r="A11" s="2" t="s">
        <v>145</v>
      </c>
      <c r="B11" s="383">
        <f>Summary!C21</f>
        <v>170.83229359302399</v>
      </c>
      <c r="C11" s="383">
        <f>'Admin Fee'!E34</f>
        <v>170.83229359302399</v>
      </c>
      <c r="D11" s="383">
        <f>'Tenant Charges'!H31</f>
        <v>215.21263578936404</v>
      </c>
      <c r="E11" s="2" t="b" cm="1">
        <f t="array" ref="E11">AND(EXACT(B11:D11,B11))</f>
        <v>0</v>
      </c>
    </row>
    <row r="13" spans="1:5">
      <c r="A13" s="514"/>
      <c r="B13" s="515"/>
      <c r="C13" s="515"/>
      <c r="D13" s="515" t="s">
        <v>474</v>
      </c>
      <c r="E13" s="516" t="b">
        <f>COUNTIF(E6:E11,FALSE)=0</f>
        <v>0</v>
      </c>
    </row>
  </sheetData>
  <mergeCells count="1">
    <mergeCell ref="A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2CF68C055114DA97EF8D138719082" ma:contentTypeVersion="20" ma:contentTypeDescription="Create a new document." ma:contentTypeScope="" ma:versionID="b5c0750b72c46c851de52cf1d6b36029">
  <xsd:schema xmlns:xsd="http://www.w3.org/2001/XMLSchema" xmlns:xs="http://www.w3.org/2001/XMLSchema" xmlns:p="http://schemas.microsoft.com/office/2006/metadata/properties" xmlns:ns2="069880a5-8f46-414f-ac65-5519fcf06b35" xmlns:ns3="3f9c4c49-468b-4537-8750-498022e10f14" targetNamespace="http://schemas.microsoft.com/office/2006/metadata/properties" ma:root="true" ma:fieldsID="5f9bc3218f61d724115d45943e1be625" ns2:_="" ns3:_="">
    <xsd:import namespace="069880a5-8f46-414f-ac65-5519fcf06b35"/>
    <xsd:import namespace="3f9c4c49-468b-4537-8750-498022e10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880a5-8f46-414f-ac65-5519fcf06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71a3b6-96de-4df1-a824-c11b637850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4c49-468b-4537-8750-498022e10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055440-4ea0-421c-ac8c-ae1343c94cdc}" ma:internalName="TaxCatchAll" ma:showField="CatchAllData" ma:web="3f9c4c49-468b-4537-8750-498022e10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9880a5-8f46-414f-ac65-5519fcf06b35">
      <Terms xmlns="http://schemas.microsoft.com/office/infopath/2007/PartnerControls"/>
    </lcf76f155ced4ddcb4097134ff3c332f>
    <TaxCatchAll xmlns="3f9c4c49-468b-4537-8750-498022e10f14" xsi:nil="true"/>
  </documentManagement>
</p:properties>
</file>

<file path=customXml/itemProps1.xml><?xml version="1.0" encoding="utf-8"?>
<ds:datastoreItem xmlns:ds="http://schemas.openxmlformats.org/officeDocument/2006/customXml" ds:itemID="{6CD91E25-53FC-4D37-AB96-3B5886888B21}"/>
</file>

<file path=customXml/itemProps2.xml><?xml version="1.0" encoding="utf-8"?>
<ds:datastoreItem xmlns:ds="http://schemas.openxmlformats.org/officeDocument/2006/customXml" ds:itemID="{91DF24F7-000C-4A3F-967C-E8D234E1E9DC}"/>
</file>

<file path=customXml/itemProps3.xml><?xml version="1.0" encoding="utf-8"?>
<ds:datastoreItem xmlns:ds="http://schemas.openxmlformats.org/officeDocument/2006/customXml" ds:itemID="{3141A09A-5033-45A8-B0E6-FF2816921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Garner</dc:creator>
  <cp:keywords/>
  <dc:description/>
  <cp:lastModifiedBy>Emma Bogardus</cp:lastModifiedBy>
  <cp:revision/>
  <dcterms:created xsi:type="dcterms:W3CDTF">1998-08-21T21:44:49Z</dcterms:created>
  <dcterms:modified xsi:type="dcterms:W3CDTF">2026-09-04T16:53:00Z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0x010100E822CF68C055114DA97EF8D138719082</vt:lpwstr>
  </property>
  <property fmtid="{D5CDD505-2E9C-101B-9397-08002B2CF9AE}" pid="3" name="Order">
    <vt:r8>1658200</vt:r8>
  </property>
  <property fmtid="{D5CDD505-2E9C-101B-9397-08002B2CF9AE}" pid="4" name="AuthorIds_UIVersion_512">
    <vt:lpwstr>31</vt:lpwstr>
  </property>
  <property fmtid="{D5CDD505-2E9C-101B-9397-08002B2CF9AE}" pid="5" name="AuthorIds_UIVersion_3584">
    <vt:lpwstr>24</vt:lpwstr>
  </property>
  <property fmtid="{D5CDD505-2E9C-101B-9397-08002B2CF9AE}" pid="6" name="MediaServiceImageTags">
    <vt:lpwstr/>
  </property>
</Properties>
</file>