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athenapropertymanagement.sharepoint.com/sites/athenasharepoint/Shared Documents/VARIANCE/2026/Newmark/08.26/"/>
    </mc:Choice>
  </mc:AlternateContent>
  <xr:revisionPtr revIDLastSave="12" documentId="8_{BA284A86-9FDC-4348-8046-D7967B1E8C90}" xr6:coauthVersionLast="47" xr6:coauthVersionMax="47" xr10:uidLastSave="{92E2394F-BDF0-4E92-BAFA-1358EC717B9A}"/>
  <bookViews>
    <workbookView xWindow="25480" yWindow="-120" windowWidth="25840" windowHeight="13920" tabRatio="738" xr2:uid="{91C0B930-4023-4B94-87E4-97FB1D2B32EC}"/>
  </bookViews>
  <sheets>
    <sheet name="Variance Analysis" sheetId="8" r:id="rId1"/>
    <sheet name="Final Data" sheetId="7" r:id="rId2"/>
    <sheet name="Base Rent" sheetId="1" r:id="rId3"/>
    <sheet name="CAM" sheetId="2" r:id="rId4"/>
    <sheet name="Fixed CAM" sheetId="3" r:id="rId5"/>
    <sheet name="INS" sheetId="4" r:id="rId6"/>
    <sheet name="TAX" sheetId="5" r:id="rId7"/>
    <sheet name="data" sheetId="6" r:id="rId8"/>
  </sheets>
  <definedNames>
    <definedName name="_xlnm._FilterDatabase" localSheetId="7" hidden="1">data!$A$2:$P$67</definedName>
    <definedName name="_xlnm._FilterDatabase" localSheetId="1" hidden="1">'Final Data'!$A$1:$M$14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5" i="8" l="1"/>
  <c r="AL21" i="8"/>
  <c r="AN21" i="8" s="1"/>
  <c r="AM21" i="8"/>
  <c r="AL24" i="8"/>
  <c r="AM24" i="8"/>
  <c r="AM25" i="8"/>
  <c r="AJ24" i="8"/>
  <c r="AJ25" i="8"/>
  <c r="AI27" i="8"/>
  <c r="AM10" i="8"/>
  <c r="AM11" i="8"/>
  <c r="AM12" i="8"/>
  <c r="AM13" i="8"/>
  <c r="AM14" i="8"/>
  <c r="AM15" i="8"/>
  <c r="AM16" i="8"/>
  <c r="AM17" i="8"/>
  <c r="AM18" i="8"/>
  <c r="AM19" i="8"/>
  <c r="AM20" i="8"/>
  <c r="AM9" i="8"/>
  <c r="AL25" i="8" l="1"/>
  <c r="AN24" i="8"/>
  <c r="AJ21" i="8"/>
  <c r="AJ26" i="8"/>
  <c r="AH10" i="8"/>
  <c r="AL10" i="8" s="1"/>
  <c r="AN10" i="8" s="1"/>
  <c r="AH11" i="8"/>
  <c r="AL11" i="8" s="1"/>
  <c r="AN11" i="8" s="1"/>
  <c r="AH12" i="8"/>
  <c r="AL12" i="8" s="1"/>
  <c r="AN12" i="8" s="1"/>
  <c r="AH13" i="8"/>
  <c r="AL13" i="8" s="1"/>
  <c r="AN13" i="8" s="1"/>
  <c r="AH14" i="8"/>
  <c r="AL14" i="8" s="1"/>
  <c r="AN14" i="8" s="1"/>
  <c r="AH15" i="8"/>
  <c r="AL15" i="8" s="1"/>
  <c r="AN15" i="8" s="1"/>
  <c r="AH16" i="8"/>
  <c r="AL16" i="8" s="1"/>
  <c r="AN16" i="8" s="1"/>
  <c r="AH17" i="8"/>
  <c r="AL17" i="8" s="1"/>
  <c r="AN17" i="8" s="1"/>
  <c r="AH18" i="8"/>
  <c r="AL18" i="8" s="1"/>
  <c r="AN18" i="8" s="1"/>
  <c r="AH19" i="8"/>
  <c r="AL19" i="8" s="1"/>
  <c r="AN19" i="8" s="1"/>
  <c r="AH20" i="8"/>
  <c r="AL20" i="8" s="1"/>
  <c r="AN20" i="8" s="1"/>
  <c r="AH9" i="8"/>
  <c r="C16" i="7"/>
  <c r="D16" i="7"/>
  <c r="E16" i="7"/>
  <c r="F16" i="7"/>
  <c r="G16" i="7"/>
  <c r="H16" i="7"/>
  <c r="I16" i="7"/>
  <c r="J16" i="7"/>
  <c r="K16" i="7"/>
  <c r="L16" i="7"/>
  <c r="M16" i="7"/>
  <c r="B16" i="7"/>
  <c r="AE27" i="8"/>
  <c r="AD27" i="8"/>
  <c r="AC27" i="8"/>
  <c r="Z27" i="8"/>
  <c r="Y27" i="8"/>
  <c r="X27" i="8"/>
  <c r="V27" i="8"/>
  <c r="U27" i="8"/>
  <c r="T27" i="8"/>
  <c r="Q27" i="8"/>
  <c r="P27" i="8"/>
  <c r="O27" i="8"/>
  <c r="M27" i="8"/>
  <c r="L27" i="8"/>
  <c r="K27" i="8"/>
  <c r="I27" i="8"/>
  <c r="H27" i="8"/>
  <c r="G27" i="8"/>
  <c r="E27" i="8"/>
  <c r="D27" i="8"/>
  <c r="D33" i="8" s="1"/>
  <c r="C27" i="8"/>
  <c r="AI8" i="8"/>
  <c r="AJ8" i="8" s="1"/>
  <c r="AK8" i="8" s="1"/>
  <c r="AD8" i="8"/>
  <c r="AE8" i="8" s="1"/>
  <c r="AF8" i="8" s="1"/>
  <c r="Y8" i="8"/>
  <c r="Z8" i="8" s="1"/>
  <c r="AA8" i="8" s="1"/>
  <c r="U8" i="8"/>
  <c r="V8" i="8" s="1"/>
  <c r="W8" i="8" s="1"/>
  <c r="AN25" i="8" l="1"/>
  <c r="AN27" i="8" s="1"/>
  <c r="AL27" i="8"/>
  <c r="AL9" i="8"/>
  <c r="AN9" i="8" s="1"/>
  <c r="AH27" i="8"/>
  <c r="AH29" i="8" s="1"/>
  <c r="AJ12" i="8"/>
  <c r="AJ9" i="8"/>
  <c r="AJ11" i="8"/>
  <c r="AJ10" i="8"/>
  <c r="AJ20" i="8"/>
  <c r="AJ19" i="8"/>
  <c r="AJ18" i="8"/>
  <c r="AJ17" i="8"/>
  <c r="AJ16" i="8"/>
  <c r="AJ15" i="8"/>
  <c r="AJ14" i="8"/>
  <c r="AJ13" i="8"/>
  <c r="AM27" i="8"/>
  <c r="AM29" i="8" s="1"/>
  <c r="AI29" i="8"/>
  <c r="AJ27" i="8" l="1"/>
  <c r="AJ29" i="8"/>
  <c r="AL29" i="8" l="1"/>
  <c r="AN29" i="8"/>
  <c r="F21" i="5" l="1"/>
  <c r="G21" i="5"/>
  <c r="H21" i="5"/>
  <c r="I21" i="5"/>
  <c r="J21" i="5"/>
  <c r="K21" i="5"/>
  <c r="L21" i="5"/>
  <c r="M21" i="5"/>
  <c r="N21" i="5"/>
  <c r="O21" i="5"/>
  <c r="P21" i="5"/>
  <c r="Q21" i="5"/>
  <c r="E21" i="5"/>
  <c r="F18" i="4"/>
  <c r="G18" i="4"/>
  <c r="H18" i="4"/>
  <c r="I18" i="4"/>
  <c r="J18" i="4"/>
  <c r="K18" i="4"/>
  <c r="L18" i="4"/>
  <c r="M18" i="4"/>
  <c r="N18" i="4"/>
  <c r="O18" i="4"/>
  <c r="P18" i="4"/>
  <c r="Q18" i="4"/>
  <c r="E18" i="4"/>
  <c r="F22" i="3"/>
  <c r="G22" i="3"/>
  <c r="H22" i="3"/>
  <c r="I22" i="3"/>
  <c r="J22" i="3"/>
  <c r="K22" i="3"/>
  <c r="L22" i="3"/>
  <c r="M22" i="3"/>
  <c r="N22" i="3"/>
  <c r="O22" i="3"/>
  <c r="P22" i="3"/>
  <c r="Q22" i="3"/>
  <c r="E22" i="3"/>
  <c r="Q18" i="2"/>
  <c r="F18" i="2"/>
  <c r="G18" i="2"/>
  <c r="H18" i="2"/>
  <c r="I18" i="2"/>
  <c r="J18" i="2"/>
  <c r="K18" i="2"/>
  <c r="L18" i="2"/>
  <c r="M18" i="2"/>
  <c r="N18" i="2"/>
  <c r="O18" i="2"/>
  <c r="P18" i="2"/>
  <c r="E18" i="2"/>
  <c r="G21" i="1"/>
  <c r="H21" i="1"/>
  <c r="I21" i="1"/>
  <c r="J21" i="1"/>
  <c r="K21" i="1"/>
  <c r="L21" i="1"/>
  <c r="M21" i="1"/>
  <c r="N21" i="1"/>
  <c r="O21" i="1"/>
  <c r="P21" i="1"/>
  <c r="Q21" i="1"/>
  <c r="F21" i="1"/>
  <c r="E21" i="1"/>
</calcChain>
</file>

<file path=xl/sharedStrings.xml><?xml version="1.0" encoding="utf-8"?>
<sst xmlns="http://schemas.openxmlformats.org/spreadsheetml/2006/main" count="562" uniqueCount="109">
  <si>
    <t>ATHENA PROPERTY MANAGEMENT</t>
  </si>
  <si>
    <t>ABI PROPERTIES</t>
  </si>
  <si>
    <t>01/01/26  TO 12/31/26</t>
  </si>
  <si>
    <t>OPERATING BUDGET</t>
  </si>
  <si>
    <t>Monthly</t>
  </si>
  <si>
    <t>Particulars</t>
  </si>
  <si>
    <t>Budget</t>
  </si>
  <si>
    <t>Charges</t>
  </si>
  <si>
    <t>Variance</t>
  </si>
  <si>
    <t>Comments</t>
  </si>
  <si>
    <t>Receipts</t>
  </si>
  <si>
    <t>YTD as of 2026</t>
  </si>
  <si>
    <t xml:space="preserve">YTD </t>
  </si>
  <si>
    <t>Tenant ID</t>
  </si>
  <si>
    <t>Tenant</t>
  </si>
  <si>
    <t>Desert Financial Credit Union</t>
  </si>
  <si>
    <t>STX $619.22 Budget vs Pmt
CAM ($3.97) Budget vs Pmt</t>
  </si>
  <si>
    <t>Dip Nail Bar</t>
  </si>
  <si>
    <t>STX $283.85 Budget vs Pmt
CAM ($740.97) Budget vs Pmt</t>
  </si>
  <si>
    <t>First Watch</t>
  </si>
  <si>
    <t>STX $955.42 Budget vs Pmt
BAS $16,833.33 past due paid
NNN $ 2,275.00 past due paid</t>
  </si>
  <si>
    <t>Goodwill</t>
  </si>
  <si>
    <t>STX $1705.73 Budget vs Pmt
CAM $186.38 Budget vs Pmt
INS ($53.01) Budget vs Pmt</t>
  </si>
  <si>
    <t>Heartland Dental</t>
  </si>
  <si>
    <t>STX $855.84 Budget vs Pmt
BAS $15,595.83 past due paid
NNN $5.34 Budget vs Pmt</t>
  </si>
  <si>
    <t>Mattress Firm</t>
  </si>
  <si>
    <t>STX $901.78 Budget vs Pmt
NNN $3,152.41 past due paid
NNN $139.57 Budget vs Pmt
BAS $14,883.33 past due paid</t>
  </si>
  <si>
    <t>McDonald's</t>
  </si>
  <si>
    <t>BAS $11667.67 Short Pmt
NNN $1,044.12 Short Pmt</t>
  </si>
  <si>
    <t>Panda Express</t>
  </si>
  <si>
    <t>Budget vs Pmt</t>
  </si>
  <si>
    <t>Pita Kitchen</t>
  </si>
  <si>
    <t>STX $225.40 Budget vs Pmt
NNN ($45.25) Budget vs Pmt</t>
  </si>
  <si>
    <t>Port of Subs</t>
  </si>
  <si>
    <t>STX $143.25 Budget vs Pmt
NNN ($1.43) Budget vs Pmt</t>
  </si>
  <si>
    <t>Someburros</t>
  </si>
  <si>
    <t>STX $422.53 Budget vs Pmt
NNN ($218.17) Budget vs Pmt</t>
  </si>
  <si>
    <t>The Buffalo Spot</t>
  </si>
  <si>
    <t>BAS $7437.75 Budget vs Pmt
NNN $ 1,624.32 Budget vs Pmt</t>
  </si>
  <si>
    <t xml:space="preserve">BAS $65,993.75 Budget vs Pmt untill July
NNN $ 25,793.99 Budget vs Pmt untill July </t>
  </si>
  <si>
    <t xml:space="preserve">Budget vs MRI </t>
  </si>
  <si>
    <t xml:space="preserve"> </t>
  </si>
  <si>
    <t>Row Labels</t>
  </si>
  <si>
    <t>Sum of Jan 2026</t>
  </si>
  <si>
    <t>Sum of Feb 2026</t>
  </si>
  <si>
    <t>Sum of Mar 2026</t>
  </si>
  <si>
    <t>Sum of Apr 2026</t>
  </si>
  <si>
    <t>Sum of May 2026</t>
  </si>
  <si>
    <t>Sum of Jun 2026</t>
  </si>
  <si>
    <t>Sum of Jul 2026</t>
  </si>
  <si>
    <t>Sum of Aug 2026</t>
  </si>
  <si>
    <t>Sum of Sep 2026</t>
  </si>
  <si>
    <t>Sum of Oct 2026</t>
  </si>
  <si>
    <t>Sum of Nov 2026</t>
  </si>
  <si>
    <t>Sum of Dec 2026</t>
  </si>
  <si>
    <t>Vacant</t>
  </si>
  <si>
    <t>Grand Total</t>
  </si>
  <si>
    <t>TENANT</t>
  </si>
  <si>
    <t>SUITE</t>
  </si>
  <si>
    <t xml:space="preserve">SQ. FT. </t>
  </si>
  <si>
    <t>RATE/SF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</si>
  <si>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</si>
  <si>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</si>
  <si>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</si>
  <si>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</si>
  <si>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</si>
  <si>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</si>
  <si>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</si>
  <si>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</si>
  <si>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</si>
  <si>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</si>
  <si>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</si>
  <si>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</si>
  <si>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</si>
  <si>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x</t>
  </si>
  <si>
    <t>Pad A</t>
  </si>
  <si>
    <t>Pad B</t>
  </si>
  <si>
    <t>Pad C (SOLD)</t>
  </si>
  <si>
    <t>Pad D - Suite 102</t>
  </si>
  <si>
    <t>Pad D - Suite 104</t>
  </si>
  <si>
    <t>Pad D - Suite 106</t>
  </si>
  <si>
    <t>Pad D - Suite 108</t>
  </si>
  <si>
    <t>Pad E - Suite 101</t>
  </si>
  <si>
    <t>Pad E - Suite 104</t>
  </si>
  <si>
    <t>Pad E - Suite 106</t>
  </si>
  <si>
    <t>Pad F (BTS)</t>
  </si>
  <si>
    <t>Pad G (GL)</t>
  </si>
  <si>
    <t>Pad H</t>
  </si>
  <si>
    <t>TOTALS</t>
  </si>
  <si>
    <t>CAM TOTALS</t>
  </si>
  <si>
    <t>Unit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</si>
  <si>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</si>
  <si>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</si>
  <si>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</si>
  <si>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</si>
  <si>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</si>
  <si>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</si>
  <si>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</si>
  <si>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</si>
  <si>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</si>
  <si>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</si>
  <si>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</si>
  <si>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</si>
  <si>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</si>
  <si>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>BAS</t>
  </si>
  <si>
    <t>CAM</t>
  </si>
  <si>
    <t>FIXED CAM</t>
  </si>
  <si>
    <t>INS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</si>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</sst>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8"/>
      <name val="Tahoma"/>
      <family val="2"/>
    </font>
    <font>
      <sz val="11"/>
      <color theme="4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-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0" xfId="0" applyFont="1" applyFill="1"/>
    <xf numFmtId="43" fontId="0" fillId="0" borderId="0" xfId="1" applyFont="1"/>
    <xf numFmtId="4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7" fontId="8" fillId="6" borderId="10" xfId="0" applyNumberFormat="1" applyFont="1" applyFill="1" applyBorder="1" applyAlignment="1">
      <alignment horizontal="center" wrapText="1"/>
    </xf>
    <xf numFmtId="17" fontId="8" fillId="6" borderId="11" xfId="0" applyNumberFormat="1" applyFont="1" applyFill="1" applyBorder="1" applyAlignment="1">
      <alignment horizontal="center" wrapText="1"/>
    </xf>
    <xf numFmtId="17" fontId="8" fillId="6" borderId="12" xfId="0" applyNumberFormat="1" applyFont="1" applyFill="1" applyBorder="1" applyAlignment="1">
      <alignment horizontal="center" wrapText="1"/>
    </xf>
    <xf numFmtId="17" fontId="8" fillId="6" borderId="13" xfId="0" applyNumberFormat="1" applyFont="1" applyFill="1" applyBorder="1" applyAlignment="1">
      <alignment horizontal="center" wrapText="1"/>
    </xf>
    <xf numFmtId="17" fontId="8" fillId="6" borderId="8" xfId="0" applyNumberFormat="1" applyFont="1" applyFill="1" applyBorder="1" applyAlignment="1">
      <alignment horizontal="center" wrapText="1"/>
    </xf>
    <xf numFmtId="43" fontId="6" fillId="0" borderId="14" xfId="1" applyFont="1" applyFill="1" applyBorder="1" applyAlignment="1">
      <alignment vertical="center"/>
    </xf>
    <xf numFmtId="44" fontId="6" fillId="0" borderId="14" xfId="2" applyFont="1" applyFill="1" applyBorder="1" applyAlignment="1">
      <alignment vertical="center"/>
    </xf>
    <xf numFmtId="44" fontId="6" fillId="0" borderId="2" xfId="2" applyFont="1" applyBorder="1" applyAlignment="1">
      <alignment vertical="center"/>
    </xf>
    <xf numFmtId="44" fontId="6" fillId="0" borderId="2" xfId="2" applyFont="1" applyFill="1" applyBorder="1" applyAlignment="1">
      <alignment vertical="center"/>
    </xf>
    <xf numFmtId="44" fontId="6" fillId="0" borderId="0" xfId="2" applyFont="1" applyFill="1" applyBorder="1" applyAlignment="1">
      <alignment vertical="center"/>
    </xf>
    <xf numFmtId="44" fontId="6" fillId="0" borderId="8" xfId="2" applyFont="1" applyFill="1" applyBorder="1" applyAlignment="1">
      <alignment vertical="center"/>
    </xf>
    <xf numFmtId="44" fontId="6" fillId="0" borderId="14" xfId="2" applyFont="1" applyBorder="1" applyAlignment="1">
      <alignment vertical="center"/>
    </xf>
    <xf numFmtId="44" fontId="6" fillId="0" borderId="9" xfId="2" applyFont="1" applyFill="1" applyBorder="1" applyAlignment="1">
      <alignment vertical="center"/>
    </xf>
    <xf numFmtId="44" fontId="6" fillId="0" borderId="8" xfId="2" applyFont="1" applyBorder="1" applyAlignment="1">
      <alignment vertical="center"/>
    </xf>
    <xf numFmtId="44" fontId="6" fillId="0" borderId="0" xfId="2" applyFont="1" applyBorder="1" applyAlignment="1">
      <alignment vertical="center"/>
    </xf>
    <xf numFmtId="43" fontId="6" fillId="0" borderId="14" xfId="1" applyFont="1" applyBorder="1" applyAlignment="1">
      <alignment vertical="center"/>
    </xf>
    <xf numFmtId="43" fontId="6" fillId="0" borderId="2" xfId="1" applyFont="1" applyBorder="1" applyAlignment="1">
      <alignment vertical="center"/>
    </xf>
    <xf numFmtId="0" fontId="0" fillId="0" borderId="9" xfId="0" applyBorder="1"/>
    <xf numFmtId="43" fontId="0" fillId="0" borderId="14" xfId="1" applyFont="1" applyBorder="1" applyAlignment="1">
      <alignment vertical="center"/>
    </xf>
    <xf numFmtId="4" fontId="0" fillId="0" borderId="0" xfId="0" applyNumberFormat="1" applyAlignment="1">
      <alignment vertical="center"/>
    </xf>
    <xf numFmtId="43" fontId="9" fillId="0" borderId="14" xfId="1" applyFont="1" applyBorder="1" applyAlignment="1">
      <alignment vertical="center"/>
    </xf>
    <xf numFmtId="43" fontId="6" fillId="0" borderId="14" xfId="0" applyNumberFormat="1" applyFont="1" applyBorder="1" applyAlignment="1">
      <alignment vertical="center"/>
    </xf>
    <xf numFmtId="44" fontId="6" fillId="0" borderId="0" xfId="2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44" fontId="6" fillId="0" borderId="9" xfId="2" applyFont="1" applyBorder="1" applyAlignment="1">
      <alignment vertical="center"/>
    </xf>
    <xf numFmtId="43" fontId="6" fillId="0" borderId="9" xfId="1" applyFont="1" applyBorder="1" applyAlignment="1">
      <alignment vertical="center"/>
    </xf>
    <xf numFmtId="43" fontId="6" fillId="0" borderId="0" xfId="1" applyFont="1" applyBorder="1" applyAlignment="1">
      <alignment vertical="center"/>
    </xf>
    <xf numFmtId="43" fontId="0" fillId="0" borderId="9" xfId="1" applyFont="1" applyBorder="1" applyAlignment="1">
      <alignment vertical="center"/>
    </xf>
    <xf numFmtId="4" fontId="0" fillId="0" borderId="0" xfId="0" applyNumberFormat="1"/>
    <xf numFmtId="0" fontId="0" fillId="0" borderId="14" xfId="0" applyBorder="1"/>
    <xf numFmtId="0" fontId="0" fillId="0" borderId="0" xfId="0" applyAlignment="1">
      <alignment vertical="center"/>
    </xf>
    <xf numFmtId="0" fontId="9" fillId="0" borderId="14" xfId="0" applyFont="1" applyBorder="1"/>
    <xf numFmtId="0" fontId="6" fillId="0" borderId="1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9" fillId="0" borderId="0" xfId="0" applyFont="1"/>
    <xf numFmtId="43" fontId="6" fillId="0" borderId="0" xfId="0" applyNumberFormat="1" applyFont="1" applyAlignment="1">
      <alignment vertical="center"/>
    </xf>
    <xf numFmtId="44" fontId="6" fillId="0" borderId="14" xfId="2" applyFont="1" applyFill="1" applyBorder="1" applyAlignment="1">
      <alignment vertical="center" wrapText="1"/>
    </xf>
    <xf numFmtId="43" fontId="7" fillId="0" borderId="10" xfId="0" applyNumberFormat="1" applyFont="1" applyBorder="1"/>
    <xf numFmtId="43" fontId="7" fillId="0" borderId="10" xfId="1" applyFont="1" applyBorder="1"/>
    <xf numFmtId="44" fontId="6" fillId="0" borderId="10" xfId="0" applyNumberFormat="1" applyFont="1" applyBorder="1"/>
    <xf numFmtId="0" fontId="0" fillId="0" borderId="10" xfId="0" applyBorder="1"/>
    <xf numFmtId="0" fontId="10" fillId="0" borderId="10" xfId="0" applyFont="1" applyBorder="1"/>
    <xf numFmtId="4" fontId="0" fillId="0" borderId="10" xfId="0" applyNumberFormat="1" applyBorder="1"/>
    <xf numFmtId="43" fontId="10" fillId="0" borderId="10" xfId="1" applyFont="1" applyBorder="1"/>
    <xf numFmtId="0" fontId="6" fillId="0" borderId="0" xfId="0" applyFont="1"/>
    <xf numFmtId="43" fontId="6" fillId="0" borderId="0" xfId="2" applyNumberFormat="1" applyFont="1" applyFill="1" applyBorder="1" applyAlignment="1">
      <alignment vertical="center"/>
    </xf>
    <xf numFmtId="43" fontId="6" fillId="0" borderId="0" xfId="0" applyNumberFormat="1" applyFont="1"/>
    <xf numFmtId="4" fontId="0" fillId="0" borderId="15" xfId="0" applyNumberFormat="1" applyBorder="1"/>
    <xf numFmtId="4" fontId="0" fillId="0" borderId="3" xfId="0" applyNumberFormat="1" applyBorder="1"/>
    <xf numFmtId="4" fontId="6" fillId="0" borderId="16" xfId="0" applyNumberFormat="1" applyFont="1" applyBorder="1"/>
    <xf numFmtId="0" fontId="0" fillId="0" borderId="16" xfId="0" applyBorder="1"/>
    <xf numFmtId="4" fontId="0" fillId="0" borderId="16" xfId="0" applyNumberFormat="1" applyBorder="1"/>
    <xf numFmtId="0" fontId="0" fillId="0" borderId="15" xfId="0" applyBorder="1"/>
    <xf numFmtId="43" fontId="9" fillId="0" borderId="16" xfId="1" applyFont="1" applyBorder="1"/>
    <xf numFmtId="43" fontId="9" fillId="0" borderId="15" xfId="1" applyFont="1" applyBorder="1"/>
    <xf numFmtId="43" fontId="7" fillId="0" borderId="0" xfId="1" applyFont="1" applyFill="1" applyBorder="1"/>
    <xf numFmtId="43" fontId="6" fillId="0" borderId="0" xfId="1" applyFont="1" applyFill="1" applyBorder="1" applyAlignment="1">
      <alignment vertical="center"/>
    </xf>
    <xf numFmtId="43" fontId="0" fillId="0" borderId="0" xfId="1" applyFont="1" applyFill="1" applyBorder="1"/>
    <xf numFmtId="43" fontId="0" fillId="0" borderId="0" xfId="1" applyFont="1" applyBorder="1"/>
    <xf numFmtId="4" fontId="6" fillId="0" borderId="0" xfId="0" applyNumberFormat="1" applyFont="1"/>
    <xf numFmtId="43" fontId="6" fillId="0" borderId="0" xfId="1" applyFont="1" applyBorder="1"/>
    <xf numFmtId="4" fontId="0" fillId="0" borderId="0" xfId="0" applyNumberFormat="1" applyAlignment="1">
      <alignment wrapText="1"/>
    </xf>
    <xf numFmtId="4" fontId="0" fillId="0" borderId="14" xfId="0" applyNumberFormat="1" applyBorder="1" applyAlignment="1">
      <alignment wrapText="1"/>
    </xf>
    <xf numFmtId="4" fontId="0" fillId="0" borderId="14" xfId="0" applyNumberFormat="1" applyBorder="1"/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6350</xdr:rowOff>
    </xdr:from>
    <xdr:to>
      <xdr:col>0</xdr:col>
      <xdr:colOff>590550</xdr:colOff>
      <xdr:row>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CC816-335F-46D8-840F-0A41129C6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5524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313763</xdr:colOff>
      <xdr:row>31</xdr:row>
      <xdr:rowOff>125900</xdr:rowOff>
    </xdr:from>
    <xdr:to>
      <xdr:col>39</xdr:col>
      <xdr:colOff>503652</xdr:colOff>
      <xdr:row>44</xdr:row>
      <xdr:rowOff>49374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9F9757-CB1B-2421-4755-3ADD7ED7D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2587" y="8074606"/>
          <a:ext cx="7518535" cy="2351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ewmark Brand">
      <a:dk1>
        <a:srgbClr val="0D5A84"/>
      </a:dk1>
      <a:lt1>
        <a:srgbClr val="002D4B"/>
      </a:lt1>
      <a:dk2>
        <a:srgbClr val="F7F6F3"/>
      </a:dk2>
      <a:lt2>
        <a:srgbClr val="006BB6"/>
      </a:lt2>
      <a:accent1>
        <a:srgbClr val="E9EDEF"/>
      </a:accent1>
      <a:accent2>
        <a:srgbClr val="FFFFFF"/>
      </a:accent2>
      <a:accent3>
        <a:srgbClr val="0FC3F5"/>
      </a:accent3>
      <a:accent4>
        <a:srgbClr val="F1B434"/>
      </a:accent4>
      <a:accent5>
        <a:srgbClr val="13181B"/>
      </a:accent5>
      <a:accent6>
        <a:srgbClr val="FFFFFF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877F-993F-4CBC-9A2A-22F8B886310C}">
  <dimension ref="A1:AO60"/>
  <sheetViews>
    <sheetView tabSelected="1" topLeftCell="AD19" zoomScale="85" zoomScaleNormal="85" workbookViewId="0">
      <selection activeCell="AH25" sqref="AH25"/>
    </sheetView>
  </sheetViews>
  <sheetFormatPr defaultRowHeight="15.4"/>
  <cols>
    <col min="1" max="1" width="9.28515625" style="68" bestFit="1" customWidth="1"/>
    <col min="2" max="2" width="31.42578125" style="68" bestFit="1" customWidth="1"/>
    <col min="3" max="5" width="14.28515625" style="68" customWidth="1"/>
    <col min="6" max="6" width="47.28515625" style="68" customWidth="1"/>
    <col min="7" max="9" width="14.28515625" style="68" customWidth="1"/>
    <col min="10" max="10" width="47.28515625" style="68" customWidth="1"/>
    <col min="11" max="13" width="14.28515625" style="68" customWidth="1"/>
    <col min="14" max="14" width="47.28515625" style="68" customWidth="1"/>
    <col min="15" max="16" width="14.28515625" style="68" customWidth="1"/>
    <col min="17" max="17" width="13.28515625" style="68" customWidth="1"/>
    <col min="18" max="18" width="40.28515625" style="68" customWidth="1"/>
    <col min="19" max="19" width="8.28515625" style="68" customWidth="1"/>
    <col min="20" max="22" width="14.28515625" style="68" customWidth="1"/>
    <col min="23" max="23" width="32.7109375" style="68" customWidth="1"/>
    <col min="24" max="24" width="13.7109375" style="68" customWidth="1"/>
    <col min="25" max="25" width="11.7109375" style="68" customWidth="1"/>
    <col min="26" max="26" width="16.5703125" style="68" customWidth="1"/>
    <col min="27" max="27" width="25.28515625" customWidth="1"/>
    <col min="28" max="28" width="6.28515625" customWidth="1"/>
    <col min="29" max="29" width="10.7109375" customWidth="1"/>
    <col min="30" max="30" width="16.5703125" customWidth="1"/>
    <col min="31" max="31" width="11" customWidth="1"/>
    <col min="32" max="32" width="31.5703125" customWidth="1"/>
    <col min="33" max="33" width="14.28515625" customWidth="1"/>
    <col min="34" max="35" width="11.7109375" bestFit="1" customWidth="1"/>
    <col min="36" max="36" width="11.42578125" bestFit="1" customWidth="1"/>
    <col min="37" max="37" width="31.5703125" customWidth="1"/>
    <col min="38" max="39" width="12" bestFit="1" customWidth="1"/>
    <col min="40" max="40" width="11.7109375" bestFit="1" customWidth="1"/>
    <col min="41" max="41" width="35.7109375" customWidth="1"/>
  </cols>
  <sheetData>
    <row r="1" spans="1:4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9"/>
    </row>
    <row r="2" spans="1:41">
      <c r="A2" s="90" t="s">
        <v>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1"/>
    </row>
    <row r="3" spans="1:41">
      <c r="A3" s="90" t="s">
        <v>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1"/>
    </row>
    <row r="4" spans="1:41">
      <c r="A4" s="90" t="s">
        <v>2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1"/>
    </row>
    <row r="5" spans="1:41">
      <c r="A5" s="92" t="s">
        <v>3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3"/>
    </row>
    <row r="6" spans="1:41">
      <c r="A6" s="12"/>
      <c r="B6" s="12"/>
      <c r="C6" s="12"/>
      <c r="D6" s="12"/>
      <c r="E6" s="12" t="s">
        <v>4</v>
      </c>
      <c r="F6" s="13"/>
      <c r="G6" s="12"/>
      <c r="H6" s="12"/>
      <c r="I6" s="12" t="s">
        <v>4</v>
      </c>
      <c r="J6" s="13"/>
      <c r="K6" s="12"/>
      <c r="L6" s="12"/>
      <c r="M6" s="12" t="s">
        <v>4</v>
      </c>
      <c r="N6" s="13"/>
      <c r="O6" s="12"/>
      <c r="P6" s="12"/>
      <c r="Q6" s="12" t="s">
        <v>4</v>
      </c>
      <c r="R6" s="12"/>
      <c r="S6" s="12"/>
      <c r="T6" s="14"/>
      <c r="U6" s="12"/>
      <c r="V6" s="12" t="s">
        <v>4</v>
      </c>
      <c r="W6" s="12"/>
      <c r="X6" s="14"/>
      <c r="Y6" s="12"/>
      <c r="Z6" s="12" t="s">
        <v>4</v>
      </c>
      <c r="AA6" s="12"/>
      <c r="AB6" s="14"/>
      <c r="AC6" s="14"/>
      <c r="AD6" s="12"/>
      <c r="AE6" s="12" t="s">
        <v>4</v>
      </c>
      <c r="AF6" s="12"/>
      <c r="AG6" s="12"/>
      <c r="AH6" s="14"/>
      <c r="AI6" s="12"/>
      <c r="AJ6" s="12" t="s">
        <v>4</v>
      </c>
      <c r="AK6" s="12"/>
      <c r="AL6" s="14"/>
      <c r="AM6" s="15"/>
      <c r="AN6" s="16"/>
      <c r="AO6" s="16"/>
    </row>
    <row r="7" spans="1:41">
      <c r="A7" s="17" t="s">
        <v>5</v>
      </c>
      <c r="B7" s="17"/>
      <c r="C7" s="17" t="s">
        <v>6</v>
      </c>
      <c r="D7" s="18" t="s">
        <v>7</v>
      </c>
      <c r="E7" s="18" t="s">
        <v>8</v>
      </c>
      <c r="F7" s="18" t="s">
        <v>9</v>
      </c>
      <c r="G7" s="17" t="s">
        <v>6</v>
      </c>
      <c r="H7" s="18" t="s">
        <v>7</v>
      </c>
      <c r="I7" s="18" t="s">
        <v>8</v>
      </c>
      <c r="J7" s="18" t="s">
        <v>9</v>
      </c>
      <c r="K7" s="17" t="s">
        <v>6</v>
      </c>
      <c r="L7" s="18" t="s">
        <v>7</v>
      </c>
      <c r="M7" s="18" t="s">
        <v>8</v>
      </c>
      <c r="N7" s="18" t="s">
        <v>9</v>
      </c>
      <c r="O7" s="11" t="s">
        <v>6</v>
      </c>
      <c r="P7" s="11" t="s">
        <v>7</v>
      </c>
      <c r="Q7" s="11" t="s">
        <v>8</v>
      </c>
      <c r="R7" s="11" t="s">
        <v>9</v>
      </c>
      <c r="S7" s="11"/>
      <c r="T7" s="19" t="s">
        <v>6</v>
      </c>
      <c r="U7" s="11" t="s">
        <v>7</v>
      </c>
      <c r="V7" s="11" t="s">
        <v>8</v>
      </c>
      <c r="W7" s="11" t="s">
        <v>9</v>
      </c>
      <c r="X7" s="19" t="s">
        <v>6</v>
      </c>
      <c r="Y7" s="11" t="s">
        <v>7</v>
      </c>
      <c r="Z7" s="11" t="s">
        <v>8</v>
      </c>
      <c r="AA7" s="11" t="s">
        <v>9</v>
      </c>
      <c r="AB7" s="19"/>
      <c r="AC7" s="19" t="s">
        <v>6</v>
      </c>
      <c r="AD7" s="11" t="s">
        <v>7</v>
      </c>
      <c r="AE7" s="11" t="s">
        <v>8</v>
      </c>
      <c r="AF7" s="11" t="s">
        <v>9</v>
      </c>
      <c r="AG7" s="11"/>
      <c r="AH7" s="20" t="s">
        <v>6</v>
      </c>
      <c r="AI7" s="21" t="s">
        <v>10</v>
      </c>
      <c r="AJ7" s="21" t="s">
        <v>8</v>
      </c>
      <c r="AK7" s="18" t="s">
        <v>9</v>
      </c>
      <c r="AL7" s="22" t="s">
        <v>11</v>
      </c>
      <c r="AM7" s="22" t="s">
        <v>11</v>
      </c>
      <c r="AN7" s="22" t="s">
        <v>12</v>
      </c>
      <c r="AO7" s="17" t="s">
        <v>12</v>
      </c>
    </row>
    <row r="8" spans="1:41">
      <c r="A8" s="23" t="s">
        <v>13</v>
      </c>
      <c r="B8" s="23" t="s">
        <v>14</v>
      </c>
      <c r="C8" s="23">
        <v>46023</v>
      </c>
      <c r="D8" s="23">
        <v>46023</v>
      </c>
      <c r="E8" s="23">
        <v>46023</v>
      </c>
      <c r="F8" s="23">
        <v>46023</v>
      </c>
      <c r="G8" s="23">
        <v>46054</v>
      </c>
      <c r="H8" s="23">
        <v>46054</v>
      </c>
      <c r="I8" s="23">
        <v>46054</v>
      </c>
      <c r="J8" s="23">
        <v>46054</v>
      </c>
      <c r="K8" s="23">
        <v>46082</v>
      </c>
      <c r="L8" s="24">
        <v>46082</v>
      </c>
      <c r="M8" s="24">
        <v>46082</v>
      </c>
      <c r="N8" s="24">
        <v>46082</v>
      </c>
      <c r="O8" s="25">
        <v>46113</v>
      </c>
      <c r="P8" s="26">
        <v>46113</v>
      </c>
      <c r="Q8" s="26">
        <v>46113</v>
      </c>
      <c r="R8" s="26">
        <v>46113</v>
      </c>
      <c r="S8" s="26"/>
      <c r="T8" s="26">
        <v>46154</v>
      </c>
      <c r="U8" s="26">
        <f>T8</f>
        <v>46154</v>
      </c>
      <c r="V8" s="23">
        <f>U8</f>
        <v>46154</v>
      </c>
      <c r="W8" s="25">
        <f>V8</f>
        <v>46154</v>
      </c>
      <c r="X8" s="23">
        <v>46185</v>
      </c>
      <c r="Y8" s="23">
        <f>X8</f>
        <v>46185</v>
      </c>
      <c r="Z8" s="27">
        <f>Y8</f>
        <v>46185</v>
      </c>
      <c r="AA8" s="25">
        <f>Z8</f>
        <v>46185</v>
      </c>
      <c r="AB8" s="26"/>
      <c r="AC8" s="23">
        <v>46215</v>
      </c>
      <c r="AD8" s="25">
        <f>AC8</f>
        <v>46215</v>
      </c>
      <c r="AE8" s="27">
        <f>AD8</f>
        <v>46215</v>
      </c>
      <c r="AF8" s="25">
        <f>AE8</f>
        <v>46215</v>
      </c>
      <c r="AG8" s="25"/>
      <c r="AH8" s="23">
        <v>46254</v>
      </c>
      <c r="AI8" s="25">
        <f>AH8</f>
        <v>46254</v>
      </c>
      <c r="AJ8" s="23">
        <f>AI8</f>
        <v>46254</v>
      </c>
      <c r="AK8" s="24">
        <f>AJ8</f>
        <v>46254</v>
      </c>
      <c r="AL8" s="23" t="s">
        <v>6</v>
      </c>
      <c r="AM8" s="23" t="s">
        <v>10</v>
      </c>
      <c r="AN8" s="27" t="s">
        <v>8</v>
      </c>
      <c r="AO8" s="23" t="s">
        <v>9</v>
      </c>
    </row>
    <row r="9" spans="1:41" ht="30.75">
      <c r="A9" s="28"/>
      <c r="B9" s="53" t="s">
        <v>15</v>
      </c>
      <c r="C9" s="29"/>
      <c r="D9" s="30"/>
      <c r="E9" s="31"/>
      <c r="F9" s="30"/>
      <c r="G9" s="29"/>
      <c r="H9" s="30"/>
      <c r="I9" s="31"/>
      <c r="J9" s="30"/>
      <c r="K9" s="29"/>
      <c r="L9" s="30"/>
      <c r="M9" s="31"/>
      <c r="N9" s="32"/>
      <c r="O9" s="32"/>
      <c r="P9" s="33"/>
      <c r="Q9" s="34"/>
      <c r="R9" s="32"/>
      <c r="S9" s="32"/>
      <c r="T9" s="35"/>
      <c r="U9" s="35"/>
      <c r="V9" s="36"/>
      <c r="W9" s="37"/>
      <c r="X9" s="38"/>
      <c r="Y9" s="38"/>
      <c r="Z9" s="39"/>
      <c r="AB9" s="40"/>
      <c r="AC9" s="41"/>
      <c r="AD9" s="42"/>
      <c r="AE9" s="38"/>
      <c r="AH9" s="43">
        <f>VLOOKUP(B9,'Final Data'!A2:M13,9,0)</f>
        <v>24739.580902853864</v>
      </c>
      <c r="AI9" s="52">
        <v>25354.83</v>
      </c>
      <c r="AJ9" s="38">
        <f>AI9-AH9</f>
        <v>615.2490971461375</v>
      </c>
      <c r="AK9" s="46" t="s">
        <v>16</v>
      </c>
      <c r="AL9" s="44">
        <f>AH9</f>
        <v>24739.580902853864</v>
      </c>
      <c r="AM9" s="44">
        <f>AI9</f>
        <v>25354.83</v>
      </c>
      <c r="AN9" s="38">
        <f>AM9-AL9</f>
        <v>615.2490971461375</v>
      </c>
      <c r="AO9" s="47" t="s">
        <v>16</v>
      </c>
    </row>
    <row r="10" spans="1:41" ht="65.45" customHeight="1">
      <c r="A10" s="28"/>
      <c r="B10" s="53" t="s">
        <v>17</v>
      </c>
      <c r="C10" s="29"/>
      <c r="D10" s="30"/>
      <c r="E10" s="31"/>
      <c r="F10" s="29"/>
      <c r="G10" s="29"/>
      <c r="H10" s="30"/>
      <c r="I10" s="31"/>
      <c r="J10" s="29"/>
      <c r="K10" s="29"/>
      <c r="L10" s="30"/>
      <c r="M10" s="31"/>
      <c r="N10" s="32"/>
      <c r="O10" s="32"/>
      <c r="P10" s="29"/>
      <c r="Q10" s="34"/>
      <c r="R10" s="32"/>
      <c r="S10" s="32"/>
      <c r="T10" s="35"/>
      <c r="U10" s="35"/>
      <c r="V10" s="34"/>
      <c r="W10" s="32"/>
      <c r="X10" s="38"/>
      <c r="Y10" s="38"/>
      <c r="Z10" s="39"/>
      <c r="AB10" s="40"/>
      <c r="AC10" s="41"/>
      <c r="AD10" s="42"/>
      <c r="AE10" s="38"/>
      <c r="AH10" s="43">
        <f>VLOOKUP(B10,'Final Data'!A3:M14,9,0)</f>
        <v>11357.134116416471</v>
      </c>
      <c r="AI10" s="52">
        <v>10900</v>
      </c>
      <c r="AJ10" s="38">
        <f t="shared" ref="AJ10:AJ26" si="0">AI10-AH10</f>
        <v>-457.13411641647144</v>
      </c>
      <c r="AK10" s="46" t="s">
        <v>18</v>
      </c>
      <c r="AL10" s="44">
        <f t="shared" ref="AL10:AL20" si="1">AH10</f>
        <v>11357.134116416471</v>
      </c>
      <c r="AM10" s="44">
        <f t="shared" ref="AM10:AM20" si="2">AI10</f>
        <v>10900</v>
      </c>
      <c r="AN10" s="38">
        <f t="shared" ref="AN10:AN20" si="3">AM10-AL10</f>
        <v>-457.13411641647144</v>
      </c>
      <c r="AO10" s="47" t="s">
        <v>18</v>
      </c>
    </row>
    <row r="11" spans="1:41" ht="68.099999999999994" customHeight="1">
      <c r="A11" s="28"/>
      <c r="B11" s="53" t="s">
        <v>19</v>
      </c>
      <c r="C11" s="29"/>
      <c r="D11" s="30"/>
      <c r="E11" s="31"/>
      <c r="F11" s="32"/>
      <c r="G11" s="29"/>
      <c r="H11" s="30"/>
      <c r="I11" s="31"/>
      <c r="J11" s="32"/>
      <c r="K11" s="29"/>
      <c r="L11" s="30"/>
      <c r="M11" s="31"/>
      <c r="N11" s="32"/>
      <c r="O11" s="32"/>
      <c r="P11" s="29"/>
      <c r="Q11" s="34"/>
      <c r="R11" s="45"/>
      <c r="S11" s="45"/>
      <c r="T11" s="35"/>
      <c r="U11" s="35"/>
      <c r="V11" s="34"/>
      <c r="W11" s="32"/>
      <c r="X11" s="38"/>
      <c r="Y11" s="38"/>
      <c r="Z11" s="39"/>
      <c r="AA11" s="32"/>
      <c r="AB11" s="40"/>
      <c r="AC11" s="41"/>
      <c r="AD11" s="42"/>
      <c r="AE11" s="38"/>
      <c r="AH11" s="43">
        <f>VLOOKUP(B11,'Final Data'!A4:M15,9,0)</f>
        <v>19108.330000000002</v>
      </c>
      <c r="AI11" s="52">
        <v>39172.080000000002</v>
      </c>
      <c r="AJ11" s="38">
        <f t="shared" si="0"/>
        <v>20063.75</v>
      </c>
      <c r="AK11" s="46" t="s">
        <v>20</v>
      </c>
      <c r="AL11" s="44">
        <f t="shared" si="1"/>
        <v>19108.330000000002</v>
      </c>
      <c r="AM11" s="44">
        <f t="shared" si="2"/>
        <v>39172.080000000002</v>
      </c>
      <c r="AN11" s="38">
        <f t="shared" si="3"/>
        <v>20063.75</v>
      </c>
      <c r="AO11" s="47" t="s">
        <v>20</v>
      </c>
    </row>
    <row r="12" spans="1:41" ht="72.75" customHeight="1">
      <c r="A12" s="28"/>
      <c r="B12" s="53" t="s">
        <v>21</v>
      </c>
      <c r="C12" s="29"/>
      <c r="D12" s="30"/>
      <c r="E12" s="31"/>
      <c r="F12" s="32"/>
      <c r="G12" s="29"/>
      <c r="H12" s="30"/>
      <c r="I12" s="31"/>
      <c r="J12" s="32"/>
      <c r="K12" s="29"/>
      <c r="L12" s="30"/>
      <c r="M12" s="31"/>
      <c r="N12" s="32"/>
      <c r="O12" s="32"/>
      <c r="P12" s="29"/>
      <c r="Q12" s="34"/>
      <c r="R12" s="45"/>
      <c r="S12" s="45"/>
      <c r="T12" s="35"/>
      <c r="U12" s="35"/>
      <c r="V12" s="34"/>
      <c r="W12" s="32"/>
      <c r="X12" s="38"/>
      <c r="Y12" s="38"/>
      <c r="Z12" s="39"/>
      <c r="AA12" s="32"/>
      <c r="AB12" s="40"/>
      <c r="AC12" s="41"/>
      <c r="AD12" s="42"/>
      <c r="AE12" s="38"/>
      <c r="AH12" s="43">
        <f>VLOOKUP(B12,'Final Data'!A5:M16,9,0)</f>
        <v>68096.749707934126</v>
      </c>
      <c r="AI12" s="52">
        <v>69934.899999999994</v>
      </c>
      <c r="AJ12" s="38">
        <f t="shared" si="0"/>
        <v>1838.1502920658677</v>
      </c>
      <c r="AK12" s="85" t="s">
        <v>22</v>
      </c>
      <c r="AL12" s="44">
        <f t="shared" si="1"/>
        <v>68096.749707934126</v>
      </c>
      <c r="AM12" s="44">
        <f t="shared" si="2"/>
        <v>69934.899999999994</v>
      </c>
      <c r="AN12" s="38">
        <f t="shared" si="3"/>
        <v>1838.1502920658677</v>
      </c>
      <c r="AO12" s="86" t="s">
        <v>22</v>
      </c>
    </row>
    <row r="13" spans="1:41" ht="93.95" customHeight="1">
      <c r="A13" s="28"/>
      <c r="B13" s="53" t="s">
        <v>23</v>
      </c>
      <c r="C13" s="29"/>
      <c r="D13" s="30"/>
      <c r="E13" s="31"/>
      <c r="F13" s="32"/>
      <c r="G13" s="29"/>
      <c r="H13" s="30"/>
      <c r="I13" s="31"/>
      <c r="J13" s="32"/>
      <c r="K13" s="29"/>
      <c r="L13" s="30"/>
      <c r="M13" s="31"/>
      <c r="N13" s="32"/>
      <c r="O13" s="32"/>
      <c r="P13" s="29"/>
      <c r="Q13" s="34"/>
      <c r="R13" s="45"/>
      <c r="S13" s="45"/>
      <c r="T13" s="35"/>
      <c r="U13" s="35"/>
      <c r="V13" s="34"/>
      <c r="W13" s="32"/>
      <c r="X13" s="38"/>
      <c r="Y13" s="38"/>
      <c r="Z13" s="39"/>
      <c r="AA13" s="32"/>
      <c r="AB13" s="40"/>
      <c r="AC13" s="41"/>
      <c r="AD13" s="42"/>
      <c r="AE13" s="38"/>
      <c r="AH13" s="43">
        <f>VLOOKUP(B13,'Final Data'!A6:M17,9,0)</f>
        <v>18608.673856953035</v>
      </c>
      <c r="AI13" s="52">
        <v>35055</v>
      </c>
      <c r="AJ13" s="38">
        <f t="shared" si="0"/>
        <v>16446.326143046965</v>
      </c>
      <c r="AK13" s="46" t="s">
        <v>24</v>
      </c>
      <c r="AL13" s="44">
        <f t="shared" si="1"/>
        <v>18608.673856953035</v>
      </c>
      <c r="AM13" s="44">
        <f t="shared" si="2"/>
        <v>35055</v>
      </c>
      <c r="AN13" s="38">
        <f t="shared" si="3"/>
        <v>16446.326143046965</v>
      </c>
      <c r="AO13" s="47" t="s">
        <v>24</v>
      </c>
    </row>
    <row r="14" spans="1:41" ht="98.65" customHeight="1">
      <c r="A14" s="28"/>
      <c r="B14" s="53" t="s">
        <v>25</v>
      </c>
      <c r="C14" s="29"/>
      <c r="D14" s="30"/>
      <c r="E14" s="31"/>
      <c r="F14" s="32"/>
      <c r="G14" s="29"/>
      <c r="H14" s="30"/>
      <c r="I14" s="31"/>
      <c r="J14" s="32"/>
      <c r="K14" s="29"/>
      <c r="L14" s="30"/>
      <c r="M14" s="31"/>
      <c r="N14" s="32"/>
      <c r="O14" s="32"/>
      <c r="P14" s="29"/>
      <c r="Q14" s="34"/>
      <c r="R14" s="45"/>
      <c r="S14" s="45"/>
      <c r="T14" s="35"/>
      <c r="U14" s="35"/>
      <c r="V14" s="34"/>
      <c r="W14" s="32"/>
      <c r="X14" s="38"/>
      <c r="Y14" s="38"/>
      <c r="Z14" s="39"/>
      <c r="AA14" s="32"/>
      <c r="AB14" s="40"/>
      <c r="AC14" s="41"/>
      <c r="AD14" s="42"/>
      <c r="AE14" s="38"/>
      <c r="AH14" s="43">
        <f>VLOOKUP(B14,'Final Data'!A7:M18,9,0)</f>
        <v>17896.173856953035</v>
      </c>
      <c r="AI14" s="52">
        <v>36973.26</v>
      </c>
      <c r="AJ14" s="38">
        <f t="shared" si="0"/>
        <v>19077.086143046967</v>
      </c>
      <c r="AK14" s="46" t="s">
        <v>26</v>
      </c>
      <c r="AL14" s="44">
        <f t="shared" si="1"/>
        <v>17896.173856953035</v>
      </c>
      <c r="AM14" s="44">
        <f t="shared" si="2"/>
        <v>36973.26</v>
      </c>
      <c r="AN14" s="38">
        <f t="shared" si="3"/>
        <v>19077.086143046967</v>
      </c>
      <c r="AO14" s="47" t="s">
        <v>26</v>
      </c>
    </row>
    <row r="15" spans="1:41" ht="68.099999999999994" customHeight="1">
      <c r="A15" s="28"/>
      <c r="B15" s="53" t="s">
        <v>27</v>
      </c>
      <c r="C15" s="29"/>
      <c r="D15" s="30"/>
      <c r="E15" s="31"/>
      <c r="F15" s="32"/>
      <c r="G15" s="29"/>
      <c r="H15" s="30"/>
      <c r="I15" s="31"/>
      <c r="J15" s="32"/>
      <c r="K15" s="29"/>
      <c r="L15" s="30"/>
      <c r="M15" s="31"/>
      <c r="N15" s="32"/>
      <c r="O15" s="32"/>
      <c r="P15" s="29"/>
      <c r="Q15" s="34"/>
      <c r="R15" s="45"/>
      <c r="S15" s="45"/>
      <c r="T15" s="35"/>
      <c r="U15" s="35"/>
      <c r="V15" s="34"/>
      <c r="W15" s="32"/>
      <c r="X15" s="38"/>
      <c r="Y15" s="38"/>
      <c r="Z15" s="39"/>
      <c r="AA15" s="32"/>
      <c r="AB15" s="40"/>
      <c r="AC15" s="41"/>
      <c r="AD15" s="42"/>
      <c r="AE15" s="38"/>
      <c r="AH15" s="43">
        <f>VLOOKUP(B15,'Final Data'!A8:M19,9,0)</f>
        <v>12711.787002085801</v>
      </c>
      <c r="AI15" s="43">
        <v>0</v>
      </c>
      <c r="AJ15" s="38">
        <f t="shared" si="0"/>
        <v>-12711.787002085801</v>
      </c>
      <c r="AK15" s="85" t="s">
        <v>28</v>
      </c>
      <c r="AL15" s="44">
        <f t="shared" si="1"/>
        <v>12711.787002085801</v>
      </c>
      <c r="AM15" s="44">
        <f t="shared" si="2"/>
        <v>0</v>
      </c>
      <c r="AN15" s="38">
        <f t="shared" si="3"/>
        <v>-12711.787002085801</v>
      </c>
      <c r="AO15" s="86" t="s">
        <v>28</v>
      </c>
    </row>
    <row r="16" spans="1:41" ht="61.35" customHeight="1">
      <c r="A16" s="28"/>
      <c r="B16" s="53" t="s">
        <v>29</v>
      </c>
      <c r="C16" s="29"/>
      <c r="D16" s="30"/>
      <c r="E16" s="31"/>
      <c r="F16" s="32"/>
      <c r="G16" s="29"/>
      <c r="H16" s="30"/>
      <c r="I16" s="31"/>
      <c r="J16" s="32"/>
      <c r="K16" s="29"/>
      <c r="L16" s="30"/>
      <c r="M16" s="31"/>
      <c r="N16" s="32"/>
      <c r="O16" s="32"/>
      <c r="P16" s="29"/>
      <c r="Q16" s="34"/>
      <c r="R16" s="45"/>
      <c r="S16" s="45"/>
      <c r="T16" s="35"/>
      <c r="U16" s="35"/>
      <c r="V16" s="34"/>
      <c r="W16" s="32"/>
      <c r="X16" s="38"/>
      <c r="Y16" s="38"/>
      <c r="Z16" s="39"/>
      <c r="AA16" s="32"/>
      <c r="AB16" s="40"/>
      <c r="AC16" s="41"/>
      <c r="AD16" s="42"/>
      <c r="AE16" s="38"/>
      <c r="AH16" s="43">
        <f>VLOOKUP(B16,'Final Data'!A9:M20,9,0)</f>
        <v>159.22288607545215</v>
      </c>
      <c r="AI16" s="43">
        <v>0</v>
      </c>
      <c r="AJ16" s="38">
        <f t="shared" si="0"/>
        <v>-159.22288607545215</v>
      </c>
      <c r="AK16" s="52" t="s">
        <v>30</v>
      </c>
      <c r="AL16" s="44">
        <f t="shared" si="1"/>
        <v>159.22288607545215</v>
      </c>
      <c r="AM16" s="44">
        <f t="shared" si="2"/>
        <v>0</v>
      </c>
      <c r="AN16" s="38">
        <f t="shared" si="3"/>
        <v>-159.22288607545215</v>
      </c>
      <c r="AO16" s="87" t="s">
        <v>30</v>
      </c>
    </row>
    <row r="17" spans="1:41" ht="66.75" customHeight="1">
      <c r="A17" s="28"/>
      <c r="B17" s="53" t="s">
        <v>31</v>
      </c>
      <c r="C17" s="29"/>
      <c r="D17" s="30"/>
      <c r="E17" s="31"/>
      <c r="F17" s="32"/>
      <c r="G17" s="29"/>
      <c r="H17" s="30"/>
      <c r="I17" s="31"/>
      <c r="J17" s="32"/>
      <c r="K17" s="29"/>
      <c r="L17" s="30"/>
      <c r="M17" s="31"/>
      <c r="N17" s="32"/>
      <c r="O17" s="32"/>
      <c r="P17" s="29"/>
      <c r="Q17" s="34"/>
      <c r="R17" s="32"/>
      <c r="S17" s="32"/>
      <c r="T17" s="35"/>
      <c r="U17" s="35"/>
      <c r="V17" s="34"/>
      <c r="W17" s="37"/>
      <c r="X17" s="38"/>
      <c r="Y17" s="38"/>
      <c r="Z17" s="39"/>
      <c r="AB17" s="40"/>
      <c r="AC17" s="41"/>
      <c r="AD17" s="42"/>
      <c r="AE17" s="38"/>
      <c r="AH17" s="43">
        <f>VLOOKUP(B17,'Final Data'!A10:M21,9,0)</f>
        <v>9077.1365638198604</v>
      </c>
      <c r="AI17" s="52">
        <v>9257.2900000000009</v>
      </c>
      <c r="AJ17" s="38">
        <f t="shared" si="0"/>
        <v>180.15343618014049</v>
      </c>
      <c r="AK17" s="85" t="s">
        <v>32</v>
      </c>
      <c r="AL17" s="44">
        <f t="shared" si="1"/>
        <v>9077.1365638198604</v>
      </c>
      <c r="AM17" s="44">
        <f t="shared" si="2"/>
        <v>9257.2900000000009</v>
      </c>
      <c r="AN17" s="38">
        <f t="shared" si="3"/>
        <v>180.15343618014049</v>
      </c>
      <c r="AO17" s="86" t="s">
        <v>32</v>
      </c>
    </row>
    <row r="18" spans="1:41" ht="54.75" customHeight="1">
      <c r="A18" s="28"/>
      <c r="B18" s="53" t="s">
        <v>33</v>
      </c>
      <c r="C18" s="29"/>
      <c r="D18" s="30"/>
      <c r="E18" s="31"/>
      <c r="F18" s="32"/>
      <c r="G18" s="29"/>
      <c r="H18" s="30"/>
      <c r="I18" s="31"/>
      <c r="J18" s="32"/>
      <c r="K18" s="29"/>
      <c r="L18" s="30"/>
      <c r="M18" s="31"/>
      <c r="N18" s="32"/>
      <c r="O18" s="32"/>
      <c r="P18" s="29"/>
      <c r="Q18" s="34"/>
      <c r="R18" s="32"/>
      <c r="S18" s="32"/>
      <c r="T18" s="35"/>
      <c r="U18" s="35"/>
      <c r="V18" s="34"/>
      <c r="W18" s="32"/>
      <c r="X18" s="38"/>
      <c r="Y18" s="38"/>
      <c r="Z18" s="39"/>
      <c r="AB18" s="40"/>
      <c r="AC18" s="41"/>
      <c r="AD18" s="42"/>
      <c r="AE18" s="38"/>
      <c r="AH18" s="43">
        <f>VLOOKUP(B18,'Final Data'!A11:M22,9,0)</f>
        <v>5731.1997295264737</v>
      </c>
      <c r="AI18" s="52">
        <v>5873.02</v>
      </c>
      <c r="AJ18" s="38">
        <f t="shared" si="0"/>
        <v>141.82027047352676</v>
      </c>
      <c r="AK18" s="85" t="s">
        <v>34</v>
      </c>
      <c r="AL18" s="44">
        <f t="shared" si="1"/>
        <v>5731.1997295264737</v>
      </c>
      <c r="AM18" s="44">
        <f t="shared" si="2"/>
        <v>5873.02</v>
      </c>
      <c r="AN18" s="38">
        <f t="shared" si="3"/>
        <v>141.82027047352676</v>
      </c>
      <c r="AO18" s="86" t="s">
        <v>34</v>
      </c>
    </row>
    <row r="19" spans="1:41" ht="56.65" customHeight="1">
      <c r="A19" s="28"/>
      <c r="B19" s="53" t="s">
        <v>35</v>
      </c>
      <c r="C19" s="29"/>
      <c r="D19" s="30"/>
      <c r="E19" s="31"/>
      <c r="F19" s="32"/>
      <c r="G19" s="29"/>
      <c r="H19" s="30"/>
      <c r="I19" s="31"/>
      <c r="J19" s="32"/>
      <c r="K19" s="29"/>
      <c r="L19" s="30"/>
      <c r="M19" s="31"/>
      <c r="N19" s="32"/>
      <c r="O19" s="32"/>
      <c r="P19" s="29"/>
      <c r="Q19" s="34"/>
      <c r="R19" s="32"/>
      <c r="S19" s="32"/>
      <c r="T19" s="35"/>
      <c r="U19" s="35"/>
      <c r="V19" s="34"/>
      <c r="W19" s="37"/>
      <c r="X19" s="38"/>
      <c r="Y19" s="38"/>
      <c r="Z19" s="39"/>
      <c r="AB19" s="40"/>
      <c r="AC19" s="41"/>
      <c r="AD19" s="42"/>
      <c r="AE19" s="38"/>
      <c r="AH19" s="43">
        <f>VLOOKUP(B19,'Final Data'!A12:M23,9,0)</f>
        <v>17119.275328969394</v>
      </c>
      <c r="AI19" s="52">
        <v>17323.64</v>
      </c>
      <c r="AJ19" s="38">
        <f t="shared" si="0"/>
        <v>204.36467103060568</v>
      </c>
      <c r="AK19" s="85" t="s">
        <v>36</v>
      </c>
      <c r="AL19" s="44">
        <f t="shared" si="1"/>
        <v>17119.275328969394</v>
      </c>
      <c r="AM19" s="44">
        <f t="shared" si="2"/>
        <v>17323.64</v>
      </c>
      <c r="AN19" s="38">
        <f t="shared" si="3"/>
        <v>204.36467103060568</v>
      </c>
      <c r="AO19" s="86" t="s">
        <v>36</v>
      </c>
    </row>
    <row r="20" spans="1:41" ht="54.75" customHeight="1">
      <c r="A20" s="28"/>
      <c r="B20" s="53" t="s">
        <v>37</v>
      </c>
      <c r="C20" s="35"/>
      <c r="D20" s="30"/>
      <c r="E20" s="31"/>
      <c r="F20" s="32"/>
      <c r="G20" s="29"/>
      <c r="H20" s="30"/>
      <c r="I20" s="31"/>
      <c r="J20" s="32"/>
      <c r="K20" s="29"/>
      <c r="L20" s="37"/>
      <c r="M20" s="32"/>
      <c r="N20" s="32"/>
      <c r="O20" s="32"/>
      <c r="P20" s="35"/>
      <c r="Q20" s="48"/>
      <c r="R20" s="32"/>
      <c r="S20" s="32"/>
      <c r="T20" s="35"/>
      <c r="U20" s="35"/>
      <c r="V20" s="48"/>
      <c r="W20" s="37"/>
      <c r="X20" s="49"/>
      <c r="Y20" s="49"/>
      <c r="Z20" s="50"/>
      <c r="AB20" s="40"/>
      <c r="AC20" s="51"/>
      <c r="AD20" s="42"/>
      <c r="AE20" s="38"/>
      <c r="AH20" s="43">
        <f>VLOOKUP(B20,'Final Data'!A13:M24,9,0)</f>
        <v>9062.0665748299507</v>
      </c>
      <c r="AI20" s="52">
        <v>0</v>
      </c>
      <c r="AJ20" s="38">
        <f t="shared" si="0"/>
        <v>-9062.0665748299507</v>
      </c>
      <c r="AK20" s="85" t="s">
        <v>38</v>
      </c>
      <c r="AL20" s="44">
        <f t="shared" si="1"/>
        <v>9062.0665748299507</v>
      </c>
      <c r="AM20" s="44">
        <f t="shared" si="2"/>
        <v>0</v>
      </c>
      <c r="AN20" s="38">
        <f t="shared" si="3"/>
        <v>-9062.0665748299507</v>
      </c>
      <c r="AO20" s="86" t="s">
        <v>38</v>
      </c>
    </row>
    <row r="21" spans="1:41">
      <c r="A21" s="53"/>
      <c r="B21" s="53"/>
      <c r="C21" s="35"/>
      <c r="D21" s="31"/>
      <c r="E21" s="31"/>
      <c r="F21" s="31"/>
      <c r="G21" s="29"/>
      <c r="H21" s="31"/>
      <c r="I21" s="31"/>
      <c r="J21" s="32"/>
      <c r="K21" s="29"/>
      <c r="L21"/>
      <c r="M21"/>
      <c r="N21"/>
      <c r="O21"/>
      <c r="P21" s="40"/>
      <c r="Q21" s="40"/>
      <c r="R21"/>
      <c r="S21"/>
      <c r="T21" s="40"/>
      <c r="U21" s="40"/>
      <c r="V21" s="40"/>
      <c r="W21"/>
      <c r="X21" s="40"/>
      <c r="Y21" s="40"/>
      <c r="Z21"/>
      <c r="AB21" s="40"/>
      <c r="AC21" s="40"/>
      <c r="AD21" s="54"/>
      <c r="AE21" s="38"/>
      <c r="AH21" s="55"/>
      <c r="AI21" s="52"/>
      <c r="AJ21" s="38">
        <f t="shared" si="0"/>
        <v>0</v>
      </c>
      <c r="AL21" s="44">
        <f t="shared" ref="AL21:AL25" si="4">AH21</f>
        <v>0</v>
      </c>
      <c r="AM21" s="44">
        <f t="shared" ref="AM21:AM25" si="5">AI21</f>
        <v>0</v>
      </c>
      <c r="AN21" s="38">
        <f t="shared" ref="AN21:AN25" si="6">AM21-AL21</f>
        <v>0</v>
      </c>
      <c r="AO21" s="53"/>
    </row>
    <row r="22" spans="1:41">
      <c r="A22" s="53"/>
      <c r="B22" s="53"/>
      <c r="C22" s="35"/>
      <c r="D22" s="31"/>
      <c r="E22" s="31"/>
      <c r="F22" s="31"/>
      <c r="G22" s="29"/>
      <c r="H22" s="31"/>
      <c r="I22" s="31"/>
      <c r="J22" s="32"/>
      <c r="K22" s="29"/>
      <c r="L22"/>
      <c r="M22"/>
      <c r="N22"/>
      <c r="O22"/>
      <c r="P22" s="40"/>
      <c r="Q22" s="40"/>
      <c r="R22"/>
      <c r="S22"/>
      <c r="T22" s="40"/>
      <c r="U22" s="40"/>
      <c r="V22" s="40"/>
      <c r="W22"/>
      <c r="X22" s="40"/>
      <c r="Y22" s="40"/>
      <c r="Z22"/>
      <c r="AB22" s="40"/>
      <c r="AC22" s="40"/>
      <c r="AD22" s="54"/>
      <c r="AE22" s="38"/>
      <c r="AH22" s="55"/>
      <c r="AI22" s="52"/>
      <c r="AJ22" s="38"/>
      <c r="AL22" s="44"/>
      <c r="AM22" s="44"/>
      <c r="AN22" s="38"/>
      <c r="AO22" s="53"/>
    </row>
    <row r="23" spans="1:41" ht="30.75">
      <c r="A23" s="53"/>
      <c r="B23" s="53"/>
      <c r="C23" s="35"/>
      <c r="D23" s="31"/>
      <c r="E23" s="31"/>
      <c r="F23" s="31"/>
      <c r="G23" s="29"/>
      <c r="H23" s="31"/>
      <c r="I23" s="31"/>
      <c r="J23" s="32"/>
      <c r="K23" s="29"/>
      <c r="L23"/>
      <c r="M23"/>
      <c r="N23"/>
      <c r="O23"/>
      <c r="P23" s="40"/>
      <c r="Q23" s="40"/>
      <c r="R23"/>
      <c r="S23"/>
      <c r="T23" s="40"/>
      <c r="U23" s="40"/>
      <c r="V23" s="40"/>
      <c r="W23"/>
      <c r="X23" s="40"/>
      <c r="Y23" s="40"/>
      <c r="Z23"/>
      <c r="AB23" s="40"/>
      <c r="AC23" s="40"/>
      <c r="AD23" s="54"/>
      <c r="AE23" s="38"/>
      <c r="AH23" s="55"/>
      <c r="AI23" s="52"/>
      <c r="AJ23" s="38"/>
      <c r="AL23" s="44">
        <v>208168</v>
      </c>
      <c r="AM23" s="44">
        <v>299955.74</v>
      </c>
      <c r="AN23" s="44">
        <v>91787.74</v>
      </c>
      <c r="AO23" s="47" t="s">
        <v>39</v>
      </c>
    </row>
    <row r="24" spans="1:41">
      <c r="A24" s="53"/>
      <c r="B24" s="53"/>
      <c r="C24" s="35"/>
      <c r="D24" s="31"/>
      <c r="E24" s="31"/>
      <c r="F24" s="31"/>
      <c r="G24" s="29"/>
      <c r="H24" s="31"/>
      <c r="I24" s="31"/>
      <c r="J24" s="32"/>
      <c r="K24" s="29"/>
      <c r="L24"/>
      <c r="M24"/>
      <c r="N24"/>
      <c r="O24"/>
      <c r="P24" s="40"/>
      <c r="Q24" s="40"/>
      <c r="R24"/>
      <c r="S24"/>
      <c r="T24" s="40"/>
      <c r="U24" s="40"/>
      <c r="V24" s="40"/>
      <c r="W24"/>
      <c r="X24" s="40"/>
      <c r="Y24" s="40"/>
      <c r="Z24"/>
      <c r="AB24" s="40"/>
      <c r="AC24" s="40"/>
      <c r="AD24" s="54"/>
      <c r="AE24" s="38"/>
      <c r="AH24" s="55"/>
      <c r="AI24" s="52"/>
      <c r="AJ24" s="38">
        <f t="shared" si="0"/>
        <v>0</v>
      </c>
      <c r="AL24" s="44">
        <f t="shared" si="4"/>
        <v>0</v>
      </c>
      <c r="AM24" s="44">
        <f t="shared" si="5"/>
        <v>0</v>
      </c>
      <c r="AN24" s="38">
        <f t="shared" si="6"/>
        <v>0</v>
      </c>
      <c r="AO24" s="53"/>
    </row>
    <row r="25" spans="1:41">
      <c r="A25" s="53"/>
      <c r="B25" s="53"/>
      <c r="C25" s="35"/>
      <c r="D25" s="31"/>
      <c r="E25" s="31"/>
      <c r="F25" s="31"/>
      <c r="G25" s="29"/>
      <c r="H25" s="31"/>
      <c r="I25" s="31"/>
      <c r="J25" s="32"/>
      <c r="K25" s="29"/>
      <c r="L25"/>
      <c r="M25"/>
      <c r="N25"/>
      <c r="O25"/>
      <c r="P25" s="40"/>
      <c r="Q25" s="40"/>
      <c r="R25"/>
      <c r="S25"/>
      <c r="T25" s="40"/>
      <c r="U25" s="40"/>
      <c r="V25" s="40"/>
      <c r="W25"/>
      <c r="X25" s="40"/>
      <c r="Y25" s="40"/>
      <c r="Z25"/>
      <c r="AB25" s="40"/>
      <c r="AC25" s="40"/>
      <c r="AD25" s="54"/>
      <c r="AE25" s="38"/>
      <c r="AH25" s="55">
        <f>5077-1633.4-230.11-8712.98</f>
        <v>-5499.49</v>
      </c>
      <c r="AI25" s="52">
        <v>0</v>
      </c>
      <c r="AJ25" s="38">
        <f t="shared" si="0"/>
        <v>5499.49</v>
      </c>
      <c r="AK25" t="s">
        <v>40</v>
      </c>
      <c r="AL25" s="44">
        <f t="shared" si="4"/>
        <v>-5499.49</v>
      </c>
      <c r="AM25" s="44">
        <f t="shared" si="5"/>
        <v>0</v>
      </c>
      <c r="AN25" s="38">
        <f t="shared" si="6"/>
        <v>5499.49</v>
      </c>
      <c r="AO25" t="s">
        <v>40</v>
      </c>
    </row>
    <row r="26" spans="1:41">
      <c r="A26" s="28"/>
      <c r="B26" s="28"/>
      <c r="C26" s="35"/>
      <c r="D26" s="30"/>
      <c r="E26" s="31"/>
      <c r="F26" s="30"/>
      <c r="G26" s="29"/>
      <c r="H26" s="30"/>
      <c r="I26" s="31"/>
      <c r="J26" s="37" t="s">
        <v>41</v>
      </c>
      <c r="K26" s="29"/>
      <c r="L26" s="30"/>
      <c r="M26" s="31"/>
      <c r="N26" s="32"/>
      <c r="O26" s="32"/>
      <c r="P26" s="29"/>
      <c r="Q26" s="34"/>
      <c r="R26" s="32"/>
      <c r="S26" s="32"/>
      <c r="T26" s="35"/>
      <c r="U26" s="35"/>
      <c r="V26" s="34"/>
      <c r="W26" s="32"/>
      <c r="X26" s="56"/>
      <c r="Y26" s="56"/>
      <c r="Z26" s="57"/>
      <c r="AB26" s="40"/>
      <c r="AC26" s="53"/>
      <c r="AE26" s="38"/>
      <c r="AH26" s="55"/>
      <c r="AI26" s="58"/>
      <c r="AJ26" s="38">
        <f t="shared" si="0"/>
        <v>0</v>
      </c>
      <c r="AL26" s="44"/>
      <c r="AM26" s="59"/>
      <c r="AN26" s="44"/>
      <c r="AO26" s="60"/>
    </row>
    <row r="27" spans="1:41">
      <c r="A27" s="61"/>
      <c r="B27" s="61"/>
      <c r="C27" s="61">
        <f>SUM(C9:C19)</f>
        <v>0</v>
      </c>
      <c r="D27" s="61">
        <f>SUM(D9:D19)</f>
        <v>0</v>
      </c>
      <c r="E27" s="61">
        <f>SUM(E9:E19)</f>
        <v>0</v>
      </c>
      <c r="F27" s="61"/>
      <c r="G27" s="61">
        <f>SUM(G9:G19)</f>
        <v>0</v>
      </c>
      <c r="H27" s="61">
        <f>SUM(H9:H26)</f>
        <v>0</v>
      </c>
      <c r="I27" s="61">
        <f>SUM(I9:I19)</f>
        <v>0</v>
      </c>
      <c r="J27" s="61"/>
      <c r="K27" s="61">
        <f>SUM(K9:K19)</f>
        <v>0</v>
      </c>
      <c r="L27" s="61">
        <f>SUM(L9:L19)</f>
        <v>0</v>
      </c>
      <c r="M27" s="61">
        <f>SUM(M9:M19)</f>
        <v>0</v>
      </c>
      <c r="N27" s="61"/>
      <c r="O27" s="61">
        <f>SUM(O9:O19)</f>
        <v>0</v>
      </c>
      <c r="P27" s="61">
        <f>SUM(P9:P19)</f>
        <v>0</v>
      </c>
      <c r="Q27" s="61">
        <f>SUM(Q9:Q26)</f>
        <v>0</v>
      </c>
      <c r="R27" s="61"/>
      <c r="S27" s="61"/>
      <c r="T27" s="61">
        <f>SUM(T9:T19)</f>
        <v>0</v>
      </c>
      <c r="U27" s="61">
        <f>SUM(U9:U19)</f>
        <v>0</v>
      </c>
      <c r="V27" s="61">
        <f>SUM(V9:V19)</f>
        <v>0</v>
      </c>
      <c r="W27" s="61"/>
      <c r="X27" s="62">
        <f>SUM(X9:X19)</f>
        <v>0</v>
      </c>
      <c r="Y27" s="62">
        <f>SUM(Y9:Y26)</f>
        <v>0</v>
      </c>
      <c r="Z27" s="63">
        <f>SUM(Z9:Z19)</f>
        <v>0</v>
      </c>
      <c r="AA27" s="64"/>
      <c r="AB27" s="64"/>
      <c r="AC27" s="65">
        <f>SUM(AC9:AC19)</f>
        <v>0</v>
      </c>
      <c r="AD27" s="66">
        <f>SUM(AD9:AD19)</f>
        <v>0</v>
      </c>
      <c r="AE27" s="66">
        <f>SUM(AE9:AE19)</f>
        <v>0</v>
      </c>
      <c r="AF27" s="64"/>
      <c r="AG27" s="64"/>
      <c r="AH27" s="67">
        <f>SUM(AH9:AH25)</f>
        <v>208167.84052641745</v>
      </c>
      <c r="AI27" s="67">
        <f>SUM(AI9:AI25)</f>
        <v>249844.02000000002</v>
      </c>
      <c r="AJ27" s="67">
        <f>SUM(AJ9:AJ25)</f>
        <v>41676.179473582532</v>
      </c>
      <c r="AK27" s="64"/>
      <c r="AL27" s="61">
        <f>SUM(AL9:AL25)</f>
        <v>416335.84052641748</v>
      </c>
      <c r="AM27" s="61">
        <f>SUM(AM9:AM26)</f>
        <v>549799.76</v>
      </c>
      <c r="AN27" s="61">
        <f>SUM(AN9:AN26)</f>
        <v>133463.91947358253</v>
      </c>
      <c r="AO27" s="61"/>
    </row>
    <row r="28" spans="1:41">
      <c r="F28" s="69"/>
      <c r="J28" s="69"/>
      <c r="N28" s="69"/>
      <c r="O28" s="52"/>
      <c r="P28" s="52"/>
      <c r="Q28" s="52"/>
      <c r="R28" s="69"/>
      <c r="S28" s="69"/>
      <c r="T28" s="52"/>
      <c r="U28" s="52"/>
      <c r="V28" s="70"/>
      <c r="W28" s="69"/>
      <c r="X28" s="71"/>
      <c r="Y28" s="72"/>
      <c r="Z28" s="73"/>
      <c r="AB28" s="74"/>
      <c r="AC28" s="75"/>
      <c r="AD28" s="71"/>
      <c r="AE28" s="76"/>
      <c r="AH28" s="77">
        <v>208168</v>
      </c>
      <c r="AI28" s="52">
        <v>249844.02</v>
      </c>
      <c r="AJ28" s="78">
        <v>41676.019999999997</v>
      </c>
      <c r="AL28" s="77">
        <v>416336</v>
      </c>
      <c r="AM28" s="78">
        <v>549799.76</v>
      </c>
      <c r="AN28" s="78">
        <v>133463.76</v>
      </c>
      <c r="AO28" s="68"/>
    </row>
    <row r="29" spans="1:41">
      <c r="A29" s="79"/>
      <c r="B29" s="79"/>
      <c r="C29" s="79"/>
      <c r="D29" s="52"/>
      <c r="E29" s="52"/>
      <c r="F29" s="80"/>
      <c r="G29" s="79"/>
      <c r="H29" s="52"/>
      <c r="I29" s="52"/>
      <c r="J29" s="80"/>
      <c r="K29" s="79"/>
      <c r="L29" s="52"/>
      <c r="M29" s="52"/>
      <c r="N29" s="80"/>
      <c r="O29" s="81"/>
      <c r="P29" s="52"/>
      <c r="Q29" s="81"/>
      <c r="R29" s="80"/>
      <c r="S29" s="80"/>
      <c r="T29" s="82"/>
      <c r="U29" s="82"/>
      <c r="V29" s="82"/>
      <c r="W29" s="80"/>
      <c r="X29" s="83"/>
      <c r="Y29" s="83"/>
      <c r="Z29" s="83"/>
      <c r="AC29" s="52"/>
      <c r="AD29" s="52"/>
      <c r="AE29" s="52"/>
      <c r="AH29" s="52">
        <f>AH28-AH27</f>
        <v>0.15947358254925348</v>
      </c>
      <c r="AI29" s="52">
        <f t="shared" ref="AI29:AJ29" si="7">AI28-AI27</f>
        <v>0</v>
      </c>
      <c r="AJ29" s="52">
        <f t="shared" si="7"/>
        <v>-0.15947358253470156</v>
      </c>
      <c r="AL29" s="52">
        <f>AL28-AL27</f>
        <v>0.15947358252014965</v>
      </c>
      <c r="AM29" s="52">
        <f t="shared" ref="AM29:AN29" si="8">AM28-AM27</f>
        <v>0</v>
      </c>
      <c r="AN29" s="52">
        <f t="shared" si="8"/>
        <v>-0.15947358252014965</v>
      </c>
      <c r="AO29" s="68"/>
    </row>
    <row r="30" spans="1:41">
      <c r="A30" s="52"/>
      <c r="B30" s="52"/>
      <c r="C30" s="52"/>
      <c r="D30" s="52"/>
      <c r="E30" s="52"/>
      <c r="F30" s="69"/>
      <c r="G30" s="52"/>
      <c r="H30" s="52"/>
      <c r="I30" s="52"/>
      <c r="J30" s="69"/>
      <c r="K30" s="52"/>
      <c r="L30" s="52"/>
      <c r="M30" s="52"/>
      <c r="N30" s="69"/>
      <c r="O30" s="69"/>
      <c r="P30" s="69"/>
      <c r="Q30" s="70"/>
      <c r="R30" s="69"/>
      <c r="S30" s="69"/>
      <c r="T30" s="69"/>
      <c r="U30" s="52"/>
      <c r="V30" s="70"/>
      <c r="W30" s="69"/>
      <c r="X30" s="52"/>
      <c r="Y30" s="80"/>
      <c r="AH30" s="52"/>
    </row>
    <row r="31" spans="1:41">
      <c r="A31" s="84"/>
      <c r="B31" s="84"/>
      <c r="C31" s="84"/>
      <c r="D31" s="69"/>
      <c r="E31" s="69"/>
      <c r="F31" s="69"/>
      <c r="G31" s="84"/>
      <c r="H31" s="69"/>
      <c r="I31" s="69"/>
      <c r="J31" s="69"/>
      <c r="K31" s="84"/>
      <c r="L31" s="69"/>
      <c r="M31" s="69"/>
      <c r="N31" s="69"/>
      <c r="O31" s="69"/>
      <c r="P31" s="69"/>
      <c r="Q31" s="70"/>
      <c r="R31" s="69"/>
      <c r="S31" s="69"/>
      <c r="T31" s="69"/>
      <c r="U31" s="69"/>
      <c r="V31" s="70"/>
      <c r="W31" s="69"/>
      <c r="X31" s="69"/>
      <c r="Y31" s="69"/>
      <c r="AK31" s="52"/>
    </row>
    <row r="32" spans="1:41">
      <c r="L32" s="68" t="s">
        <v>41</v>
      </c>
      <c r="P32" s="83" t="s">
        <v>41</v>
      </c>
    </row>
    <row r="33" spans="4:41">
      <c r="D33" s="70">
        <f>D30-D27</f>
        <v>0</v>
      </c>
      <c r="H33" s="70" t="s">
        <v>41</v>
      </c>
      <c r="L33" s="70" t="s">
        <v>41</v>
      </c>
      <c r="P33" s="70" t="s">
        <v>41</v>
      </c>
      <c r="U33" s="70"/>
    </row>
    <row r="34" spans="4:41">
      <c r="H34" s="68" t="s">
        <v>41</v>
      </c>
      <c r="Q34" s="68" t="s">
        <v>41</v>
      </c>
    </row>
    <row r="35" spans="4:41">
      <c r="W35" s="52"/>
    </row>
    <row r="41" spans="4:41">
      <c r="Y41" s="70" t="s">
        <v>41</v>
      </c>
    </row>
    <row r="46" spans="4:41">
      <c r="AM46" s="3"/>
      <c r="AO46" s="3"/>
    </row>
    <row r="47" spans="4:41">
      <c r="AM47" s="3"/>
      <c r="AO47" s="3"/>
    </row>
    <row r="48" spans="4:41">
      <c r="AO48" s="3"/>
    </row>
    <row r="49" spans="20:41">
      <c r="AM49" s="4"/>
      <c r="AO49" s="3"/>
    </row>
    <row r="50" spans="20:41">
      <c r="AO50" s="3"/>
    </row>
    <row r="51" spans="20:41">
      <c r="AM51" s="4"/>
    </row>
    <row r="57" spans="20:41">
      <c r="T57" s="83"/>
    </row>
    <row r="58" spans="20:41">
      <c r="T58" s="83"/>
    </row>
    <row r="60" spans="20:41">
      <c r="T60" s="83"/>
    </row>
  </sheetData>
  <mergeCells count="5">
    <mergeCell ref="A1:Z1"/>
    <mergeCell ref="A2:Z2"/>
    <mergeCell ref="A3:Z3"/>
    <mergeCell ref="A4:Z4"/>
    <mergeCell ref="A5:Z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45F1-B1B2-4A94-861D-066A37348433}">
  <dimension ref="A1:M16"/>
  <sheetViews>
    <sheetView workbookViewId="0">
      <selection activeCell="B2" sqref="B2:B13"/>
    </sheetView>
  </sheetViews>
  <sheetFormatPr defaultRowHeight="15.4"/>
  <cols>
    <col min="1" max="1" width="24.7109375" bestFit="1" customWidth="1"/>
    <col min="2" max="2" width="14.28515625" bestFit="1" customWidth="1"/>
    <col min="3" max="4" width="14.5703125" bestFit="1" customWidth="1"/>
    <col min="5" max="5" width="14.2851562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4.5703125" bestFit="1" customWidth="1"/>
    <col min="10" max="10" width="14.7109375" bestFit="1" customWidth="1"/>
    <col min="11" max="11" width="14.28515625" bestFit="1" customWidth="1"/>
    <col min="12" max="13" width="14.7109375" bestFit="1" customWidth="1"/>
  </cols>
  <sheetData>
    <row r="1" spans="1:13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10" t="s">
        <v>53</v>
      </c>
      <c r="M1" s="10" t="s">
        <v>54</v>
      </c>
    </row>
    <row r="2" spans="1:13">
      <c r="A2" t="s">
        <v>15</v>
      </c>
      <c r="B2" s="3">
        <v>24739.580902853864</v>
      </c>
      <c r="C2" s="3">
        <v>24739.580902853864</v>
      </c>
      <c r="D2" s="3">
        <v>24739.580902853864</v>
      </c>
      <c r="E2" s="3">
        <v>24739.580902853864</v>
      </c>
      <c r="F2" s="3">
        <v>24739.580902853864</v>
      </c>
      <c r="G2" s="3">
        <v>24739.580902853864</v>
      </c>
      <c r="H2" s="3">
        <v>24739.580902853864</v>
      </c>
      <c r="I2" s="3">
        <v>24739.580902853864</v>
      </c>
      <c r="J2" s="3">
        <v>24739.580902853864</v>
      </c>
      <c r="K2" s="3">
        <v>24739.580902853864</v>
      </c>
      <c r="L2" s="3">
        <v>24739.580902853864</v>
      </c>
      <c r="M2" s="3">
        <v>24739.580902853864</v>
      </c>
    </row>
    <row r="3" spans="1:13">
      <c r="A3" t="s">
        <v>17</v>
      </c>
      <c r="B3" s="3">
        <v>11357.134116416471</v>
      </c>
      <c r="C3" s="3">
        <v>11357.134116416471</v>
      </c>
      <c r="D3" s="3">
        <v>11357.134116416471</v>
      </c>
      <c r="E3" s="3">
        <v>11357.134116416471</v>
      </c>
      <c r="F3" s="3">
        <v>11357.134116416471</v>
      </c>
      <c r="G3" s="3">
        <v>11357.134116416471</v>
      </c>
      <c r="H3" s="3">
        <v>11357.134116416471</v>
      </c>
      <c r="I3" s="3">
        <v>11357.134116416471</v>
      </c>
      <c r="J3" s="3">
        <v>11357.134116416471</v>
      </c>
      <c r="K3" s="3">
        <v>11357.134116416471</v>
      </c>
      <c r="L3" s="3">
        <v>11357.134116416471</v>
      </c>
      <c r="M3" s="3">
        <v>11357.134116416471</v>
      </c>
    </row>
    <row r="4" spans="1:13">
      <c r="A4" t="s">
        <v>19</v>
      </c>
      <c r="B4" s="3">
        <v>19108.330000000002</v>
      </c>
      <c r="C4" s="3">
        <v>19108.330000000002</v>
      </c>
      <c r="D4" s="3">
        <v>19108.330000000002</v>
      </c>
      <c r="E4" s="3">
        <v>19108.330000000002</v>
      </c>
      <c r="F4" s="3">
        <v>19108.330000000002</v>
      </c>
      <c r="G4" s="3">
        <v>19108.330000000002</v>
      </c>
      <c r="H4" s="3">
        <v>19108.330000000002</v>
      </c>
      <c r="I4" s="3">
        <v>19108.330000000002</v>
      </c>
      <c r="J4" s="3">
        <v>19108.330000000002</v>
      </c>
      <c r="K4" s="3">
        <v>19108.330000000002</v>
      </c>
      <c r="L4" s="3">
        <v>19108.330000000002</v>
      </c>
      <c r="M4" s="3">
        <v>19108.330000000002</v>
      </c>
    </row>
    <row r="5" spans="1:13">
      <c r="A5" t="s">
        <v>21</v>
      </c>
      <c r="B5" s="3">
        <v>68096.749707934126</v>
      </c>
      <c r="C5" s="3">
        <v>68096.749707934126</v>
      </c>
      <c r="D5" s="3">
        <v>68096.749707934126</v>
      </c>
      <c r="E5" s="3">
        <v>68096.749707934126</v>
      </c>
      <c r="F5" s="3">
        <v>68096.749707934126</v>
      </c>
      <c r="G5" s="3">
        <v>68096.749707934126</v>
      </c>
      <c r="H5" s="3">
        <v>68096.749707934126</v>
      </c>
      <c r="I5" s="3">
        <v>68096.749707934126</v>
      </c>
      <c r="J5" s="3">
        <v>68096.749707934126</v>
      </c>
      <c r="K5" s="3">
        <v>68096.749707934126</v>
      </c>
      <c r="L5" s="3">
        <v>68096.749707934126</v>
      </c>
      <c r="M5" s="3">
        <v>68096.749707934126</v>
      </c>
    </row>
    <row r="6" spans="1:13">
      <c r="A6" t="s">
        <v>23</v>
      </c>
      <c r="B6" s="3">
        <v>18608.673856953035</v>
      </c>
      <c r="C6" s="3">
        <v>18608.673856953035</v>
      </c>
      <c r="D6" s="3">
        <v>18608.673856953035</v>
      </c>
      <c r="E6" s="3">
        <v>18608.673856953035</v>
      </c>
      <c r="F6" s="3">
        <v>18608.673856953035</v>
      </c>
      <c r="G6" s="3">
        <v>18608.673856953035</v>
      </c>
      <c r="H6" s="3">
        <v>18608.673856953035</v>
      </c>
      <c r="I6" s="3">
        <v>18608.673856953035</v>
      </c>
      <c r="J6" s="3">
        <v>18608.673856953035</v>
      </c>
      <c r="K6" s="3">
        <v>18608.673856953035</v>
      </c>
      <c r="L6" s="3">
        <v>18608.673856953035</v>
      </c>
      <c r="M6" s="3">
        <v>18608.673856953035</v>
      </c>
    </row>
    <row r="7" spans="1:13">
      <c r="A7" t="s">
        <v>25</v>
      </c>
      <c r="B7" s="3">
        <v>17896.173856953035</v>
      </c>
      <c r="C7" s="3">
        <v>17896.173856953035</v>
      </c>
      <c r="D7" s="3">
        <v>17896.173856953035</v>
      </c>
      <c r="E7" s="3">
        <v>17896.173856953035</v>
      </c>
      <c r="F7" s="3">
        <v>17896.173856953035</v>
      </c>
      <c r="G7" s="3">
        <v>17896.173856953035</v>
      </c>
      <c r="H7" s="3">
        <v>17896.173856953035</v>
      </c>
      <c r="I7" s="3">
        <v>17896.173856953035</v>
      </c>
      <c r="J7" s="3">
        <v>17896.173856953035</v>
      </c>
      <c r="K7" s="3">
        <v>17896.173856953035</v>
      </c>
      <c r="L7" s="3">
        <v>17896.173856953035</v>
      </c>
      <c r="M7" s="3">
        <v>17896.173856953035</v>
      </c>
    </row>
    <row r="8" spans="1:13">
      <c r="A8" t="s">
        <v>27</v>
      </c>
      <c r="B8" s="3">
        <v>12711.787002085801</v>
      </c>
      <c r="C8" s="3">
        <v>12711.787002085801</v>
      </c>
      <c r="D8" s="3">
        <v>12711.787002085801</v>
      </c>
      <c r="E8" s="3">
        <v>12711.787002085801</v>
      </c>
      <c r="F8" s="3">
        <v>12711.787002085801</v>
      </c>
      <c r="G8" s="3">
        <v>12711.787002085801</v>
      </c>
      <c r="H8" s="3">
        <v>12711.787002085801</v>
      </c>
      <c r="I8" s="3">
        <v>12711.787002085801</v>
      </c>
      <c r="J8" s="3">
        <v>12711.787002085801</v>
      </c>
      <c r="K8" s="3">
        <v>12711.787002085801</v>
      </c>
      <c r="L8" s="3">
        <v>12711.787002085801</v>
      </c>
      <c r="M8" s="3">
        <v>12711.787002085801</v>
      </c>
    </row>
    <row r="9" spans="1:13">
      <c r="A9" t="s">
        <v>29</v>
      </c>
      <c r="B9" s="3">
        <v>159.22288607545215</v>
      </c>
      <c r="C9" s="3">
        <v>159.22288607545215</v>
      </c>
      <c r="D9" s="3">
        <v>159.22288607545215</v>
      </c>
      <c r="E9" s="3">
        <v>159.22288607545215</v>
      </c>
      <c r="F9" s="3">
        <v>159.22288607545215</v>
      </c>
      <c r="G9" s="3">
        <v>159.22288607545215</v>
      </c>
      <c r="H9" s="3">
        <v>159.22288607545215</v>
      </c>
      <c r="I9" s="3">
        <v>159.22288607545215</v>
      </c>
      <c r="J9" s="3">
        <v>159.22288607545215</v>
      </c>
      <c r="K9" s="3">
        <v>159.22288607545215</v>
      </c>
      <c r="L9" s="3">
        <v>159.22288607545215</v>
      </c>
      <c r="M9" s="3">
        <v>159.22288607545215</v>
      </c>
    </row>
    <row r="10" spans="1:13">
      <c r="A10" t="s">
        <v>31</v>
      </c>
      <c r="B10" s="3">
        <v>9077.1365638198604</v>
      </c>
      <c r="C10" s="3">
        <v>9077.1365638198604</v>
      </c>
      <c r="D10" s="3">
        <v>9077.1365638198604</v>
      </c>
      <c r="E10" s="3">
        <v>9077.1365638198604</v>
      </c>
      <c r="F10" s="3">
        <v>9077.1365638198604</v>
      </c>
      <c r="G10" s="3">
        <v>9077.1365638198604</v>
      </c>
      <c r="H10" s="3">
        <v>9077.1365638198604</v>
      </c>
      <c r="I10" s="3">
        <v>9077.1365638198604</v>
      </c>
      <c r="J10" s="3">
        <v>9077.1365638198604</v>
      </c>
      <c r="K10" s="3">
        <v>9077.1365638198604</v>
      </c>
      <c r="L10" s="3">
        <v>9077.1365638198604</v>
      </c>
      <c r="M10" s="3">
        <v>9077.1365638198604</v>
      </c>
    </row>
    <row r="11" spans="1:13">
      <c r="A11" t="s">
        <v>33</v>
      </c>
      <c r="B11" s="3">
        <v>5731.1997295264737</v>
      </c>
      <c r="C11" s="3">
        <v>5731.1997295264737</v>
      </c>
      <c r="D11" s="3">
        <v>5731.1997295264737</v>
      </c>
      <c r="E11" s="3">
        <v>5731.1997295264737</v>
      </c>
      <c r="F11" s="3">
        <v>5731.1997295264737</v>
      </c>
      <c r="G11" s="3">
        <v>5731.1997295264737</v>
      </c>
      <c r="H11" s="3">
        <v>5731.1997295264737</v>
      </c>
      <c r="I11" s="3">
        <v>5731.1997295264737</v>
      </c>
      <c r="J11" s="3">
        <v>5731.1997295264737</v>
      </c>
      <c r="K11" s="3">
        <v>5731.1997295264737</v>
      </c>
      <c r="L11" s="3">
        <v>5731.1997295264737</v>
      </c>
      <c r="M11" s="3">
        <v>5731.1997295264737</v>
      </c>
    </row>
    <row r="12" spans="1:13">
      <c r="A12" t="s">
        <v>35</v>
      </c>
      <c r="B12" s="3">
        <v>17119.275328969394</v>
      </c>
      <c r="C12" s="3">
        <v>17119.275328969394</v>
      </c>
      <c r="D12" s="3">
        <v>17119.275328969394</v>
      </c>
      <c r="E12" s="3">
        <v>17119.275328969394</v>
      </c>
      <c r="F12" s="3">
        <v>17119.275328969394</v>
      </c>
      <c r="G12" s="3">
        <v>17119.275328969394</v>
      </c>
      <c r="H12" s="3">
        <v>17119.275328969394</v>
      </c>
      <c r="I12" s="3">
        <v>17119.275328969394</v>
      </c>
      <c r="J12" s="3">
        <v>17119.275328969394</v>
      </c>
      <c r="K12" s="3">
        <v>17119.275328969394</v>
      </c>
      <c r="L12" s="3">
        <v>17119.275328969394</v>
      </c>
      <c r="M12" s="3">
        <v>17119.275328969394</v>
      </c>
    </row>
    <row r="13" spans="1:13">
      <c r="A13" t="s">
        <v>37</v>
      </c>
      <c r="B13" s="3">
        <v>9062.0665748299507</v>
      </c>
      <c r="C13" s="3">
        <v>9062.0665748299507</v>
      </c>
      <c r="D13" s="3">
        <v>9062.0665748299507</v>
      </c>
      <c r="E13" s="3">
        <v>9062.0665748299507</v>
      </c>
      <c r="F13" s="3">
        <v>9062.0665748299507</v>
      </c>
      <c r="G13" s="3">
        <v>9062.0665748299507</v>
      </c>
      <c r="H13" s="3">
        <v>9062.0665748299507</v>
      </c>
      <c r="I13" s="3">
        <v>9062.0665748299507</v>
      </c>
      <c r="J13" s="3">
        <v>9062.0665748299507</v>
      </c>
      <c r="K13" s="3">
        <v>9062.0665748299507</v>
      </c>
      <c r="L13" s="3">
        <v>9062.0665748299507</v>
      </c>
      <c r="M13" s="3">
        <v>9062.0665748299507</v>
      </c>
    </row>
    <row r="14" spans="1:13">
      <c r="A14" t="s">
        <v>55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6" spans="1:13">
      <c r="A16" t="s">
        <v>56</v>
      </c>
      <c r="B16" s="3">
        <f>SUM(B2:B15)</f>
        <v>213667.33052641744</v>
      </c>
      <c r="C16" s="3">
        <f t="shared" ref="C16:M16" si="0">SUM(C2:C15)</f>
        <v>213667.33052641744</v>
      </c>
      <c r="D16" s="3">
        <f t="shared" si="0"/>
        <v>213667.33052641744</v>
      </c>
      <c r="E16" s="3">
        <f t="shared" si="0"/>
        <v>213667.33052641744</v>
      </c>
      <c r="F16" s="3">
        <f t="shared" si="0"/>
        <v>213667.33052641744</v>
      </c>
      <c r="G16" s="3">
        <f t="shared" si="0"/>
        <v>213667.33052641744</v>
      </c>
      <c r="H16" s="3">
        <f t="shared" si="0"/>
        <v>213667.33052641744</v>
      </c>
      <c r="I16" s="3">
        <f t="shared" si="0"/>
        <v>213667.33052641744</v>
      </c>
      <c r="J16" s="3">
        <f t="shared" si="0"/>
        <v>213667.33052641744</v>
      </c>
      <c r="K16" s="3">
        <f t="shared" si="0"/>
        <v>213667.33052641744</v>
      </c>
      <c r="L16" s="3">
        <f t="shared" si="0"/>
        <v>213667.33052641744</v>
      </c>
      <c r="M16" s="3">
        <f t="shared" si="0"/>
        <v>213667.33052641744</v>
      </c>
    </row>
  </sheetData>
  <autoFilter ref="A1:M14" xr:uid="{AA9445F1-B1B2-4A94-861D-066A37348433}">
    <sortState xmlns:xlrd2="http://schemas.microsoft.com/office/spreadsheetml/2017/richdata2" ref="A2:M14">
      <sortCondition ref="A1:A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0437-498F-4516-BB60-0B2F115E4E1C}">
  <dimension ref="A4:Q21"/>
  <sheetViews>
    <sheetView workbookViewId="0">
      <selection activeCell="I13" sqref="A13:XFD13"/>
    </sheetView>
  </sheetViews>
  <sheetFormatPr defaultRowHeight="15.4"/>
  <cols>
    <col min="1" max="1" width="24.7109375" bestFit="1" customWidth="1"/>
    <col min="2" max="2" width="14.42578125" bestFit="1" customWidth="1"/>
    <col min="3" max="3" width="13.28515625" bestFit="1" customWidth="1"/>
    <col min="4" max="4" width="7.7109375" bestFit="1" customWidth="1"/>
    <col min="5" max="16" width="11.28515625" bestFit="1" customWidth="1"/>
    <col min="17" max="17" width="12.7109375" bestFit="1" customWidth="1"/>
  </cols>
  <sheetData>
    <row r="4" spans="1:17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</row>
    <row r="5" spans="1:17">
      <c r="A5" s="2"/>
      <c r="B5" s="2"/>
      <c r="C5" s="2"/>
      <c r="D5" s="2"/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 t="s">
        <v>74</v>
      </c>
    </row>
    <row r="7" spans="1:17">
      <c r="A7" t="s">
        <v>55</v>
      </c>
      <c r="B7" t="s">
        <v>75</v>
      </c>
      <c r="C7" s="5">
        <v>1E-3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>
      <c r="A8" t="s">
        <v>35</v>
      </c>
      <c r="B8" t="s">
        <v>76</v>
      </c>
      <c r="C8" s="5">
        <v>3466</v>
      </c>
      <c r="D8" s="3">
        <v>52.510109636468556</v>
      </c>
      <c r="E8" s="3">
        <v>15166.67</v>
      </c>
      <c r="F8" s="3">
        <v>15166.67</v>
      </c>
      <c r="G8" s="3">
        <v>15166.67</v>
      </c>
      <c r="H8" s="3">
        <v>15166.67</v>
      </c>
      <c r="I8" s="3">
        <v>15166.67</v>
      </c>
      <c r="J8" s="3">
        <v>15166.67</v>
      </c>
      <c r="K8" s="3">
        <v>15166.67</v>
      </c>
      <c r="L8" s="3">
        <v>15166.67</v>
      </c>
      <c r="M8" s="3">
        <v>15166.67</v>
      </c>
      <c r="N8" s="3">
        <v>15166.67</v>
      </c>
      <c r="O8" s="3">
        <v>15166.67</v>
      </c>
      <c r="P8" s="3">
        <v>15166.67</v>
      </c>
      <c r="Q8" s="3">
        <v>182000.04000000004</v>
      </c>
    </row>
    <row r="9" spans="1:17">
      <c r="A9" t="s">
        <v>29</v>
      </c>
      <c r="B9" t="s">
        <v>77</v>
      </c>
      <c r="C9" s="5">
        <v>2600</v>
      </c>
      <c r="D9" s="3">
        <v>4.6153846153846156E-7</v>
      </c>
      <c r="E9" s="3">
        <v>1E-4</v>
      </c>
      <c r="F9" s="3">
        <v>1E-4</v>
      </c>
      <c r="G9" s="3">
        <v>1E-4</v>
      </c>
      <c r="H9" s="3">
        <v>1E-4</v>
      </c>
      <c r="I9" s="3">
        <v>1E-4</v>
      </c>
      <c r="J9" s="3">
        <v>1E-4</v>
      </c>
      <c r="K9" s="3">
        <v>1E-4</v>
      </c>
      <c r="L9" s="3">
        <v>1E-4</v>
      </c>
      <c r="M9" s="3">
        <v>1E-4</v>
      </c>
      <c r="N9" s="3">
        <v>1E-4</v>
      </c>
      <c r="O9" s="3">
        <v>1E-4</v>
      </c>
      <c r="P9" s="3">
        <v>1E-4</v>
      </c>
      <c r="Q9" s="3">
        <v>1.2000000000000003E-3</v>
      </c>
    </row>
    <row r="10" spans="1:17">
      <c r="A10" t="s">
        <v>23</v>
      </c>
      <c r="B10" t="s">
        <v>78</v>
      </c>
      <c r="C10" s="5">
        <v>3800</v>
      </c>
      <c r="D10" s="3">
        <v>49.249989473684209</v>
      </c>
      <c r="E10" s="3">
        <v>15595.83</v>
      </c>
      <c r="F10" s="3">
        <v>15595.83</v>
      </c>
      <c r="G10" s="3">
        <v>15595.83</v>
      </c>
      <c r="H10" s="3">
        <v>15595.83</v>
      </c>
      <c r="I10" s="3">
        <v>15595.83</v>
      </c>
      <c r="J10" s="3">
        <v>15595.83</v>
      </c>
      <c r="K10" s="3">
        <v>15595.83</v>
      </c>
      <c r="L10" s="3">
        <v>15595.83</v>
      </c>
      <c r="M10" s="3">
        <v>15595.83</v>
      </c>
      <c r="N10" s="3">
        <v>15595.83</v>
      </c>
      <c r="O10" s="3">
        <v>15595.83</v>
      </c>
      <c r="P10" s="3">
        <v>15595.83</v>
      </c>
      <c r="Q10" s="3">
        <v>187149.95999999996</v>
      </c>
    </row>
    <row r="11" spans="1:17">
      <c r="A11" t="s">
        <v>31</v>
      </c>
      <c r="B11" t="s">
        <v>79</v>
      </c>
      <c r="C11" s="5">
        <v>1800</v>
      </c>
      <c r="D11" s="3">
        <v>51</v>
      </c>
      <c r="E11" s="3">
        <v>7650</v>
      </c>
      <c r="F11" s="3">
        <v>7650</v>
      </c>
      <c r="G11" s="3">
        <v>7650</v>
      </c>
      <c r="H11" s="3">
        <v>7650</v>
      </c>
      <c r="I11" s="3">
        <v>7650</v>
      </c>
      <c r="J11" s="3">
        <v>7650</v>
      </c>
      <c r="K11" s="3">
        <v>7650</v>
      </c>
      <c r="L11" s="3">
        <v>7650</v>
      </c>
      <c r="M11" s="3">
        <v>7650</v>
      </c>
      <c r="N11" s="3">
        <v>7650</v>
      </c>
      <c r="O11" s="3">
        <v>7650</v>
      </c>
      <c r="P11" s="3">
        <v>7650</v>
      </c>
      <c r="Q11" s="3">
        <v>91800</v>
      </c>
    </row>
    <row r="12" spans="1:17">
      <c r="A12" t="s">
        <v>37</v>
      </c>
      <c r="B12" t="s">
        <v>80</v>
      </c>
      <c r="C12" s="5">
        <v>1899</v>
      </c>
      <c r="D12" s="3">
        <v>47</v>
      </c>
      <c r="E12" s="3">
        <v>7437.75</v>
      </c>
      <c r="F12" s="3">
        <v>7437.75</v>
      </c>
      <c r="G12" s="3">
        <v>7437.75</v>
      </c>
      <c r="H12" s="3">
        <v>7437.75</v>
      </c>
      <c r="I12" s="3">
        <v>7437.75</v>
      </c>
      <c r="J12" s="3">
        <v>7437.75</v>
      </c>
      <c r="K12" s="3">
        <v>7437.75</v>
      </c>
      <c r="L12" s="3">
        <v>7437.75</v>
      </c>
      <c r="M12" s="3">
        <v>7437.75</v>
      </c>
      <c r="N12" s="3">
        <v>7437.75</v>
      </c>
      <c r="O12" s="3">
        <v>7437.75</v>
      </c>
      <c r="P12" s="3">
        <v>7437.75</v>
      </c>
      <c r="Q12" s="3">
        <v>89253</v>
      </c>
    </row>
    <row r="13" spans="1:17">
      <c r="A13" t="s">
        <v>17</v>
      </c>
      <c r="B13" t="s">
        <v>81</v>
      </c>
      <c r="C13" s="5">
        <v>2500</v>
      </c>
      <c r="D13" s="3">
        <v>45</v>
      </c>
      <c r="E13" s="3">
        <v>9375</v>
      </c>
      <c r="F13" s="3">
        <v>9375</v>
      </c>
      <c r="G13" s="3">
        <v>9375</v>
      </c>
      <c r="H13" s="3">
        <v>9375</v>
      </c>
      <c r="I13" s="3">
        <v>9375</v>
      </c>
      <c r="J13" s="3">
        <v>9375</v>
      </c>
      <c r="K13" s="3">
        <v>9375</v>
      </c>
      <c r="L13" s="3">
        <v>9375</v>
      </c>
      <c r="M13" s="3">
        <v>9375</v>
      </c>
      <c r="N13" s="3">
        <v>9375</v>
      </c>
      <c r="O13" s="3">
        <v>9375</v>
      </c>
      <c r="P13" s="3">
        <v>9375</v>
      </c>
      <c r="Q13" s="3">
        <v>112500</v>
      </c>
    </row>
    <row r="14" spans="1:17">
      <c r="A14" t="s">
        <v>19</v>
      </c>
      <c r="B14" t="s">
        <v>82</v>
      </c>
      <c r="C14" s="5">
        <v>3900</v>
      </c>
      <c r="D14" s="3">
        <v>51.794861538461547</v>
      </c>
      <c r="E14" s="3">
        <v>16833.330000000002</v>
      </c>
      <c r="F14" s="3">
        <v>16833.330000000002</v>
      </c>
      <c r="G14" s="3">
        <v>16833.330000000002</v>
      </c>
      <c r="H14" s="3">
        <v>16833.330000000002</v>
      </c>
      <c r="I14" s="3">
        <v>16833.330000000002</v>
      </c>
      <c r="J14" s="3">
        <v>16833.330000000002</v>
      </c>
      <c r="K14" s="3">
        <v>16833.330000000002</v>
      </c>
      <c r="L14" s="3">
        <v>16833.330000000002</v>
      </c>
      <c r="M14" s="3">
        <v>16833.330000000002</v>
      </c>
      <c r="N14" s="3">
        <v>16833.330000000002</v>
      </c>
      <c r="O14" s="3">
        <v>16833.330000000002</v>
      </c>
      <c r="P14" s="3">
        <v>16833.330000000002</v>
      </c>
      <c r="Q14" s="3">
        <v>201999.96000000008</v>
      </c>
    </row>
    <row r="15" spans="1:17">
      <c r="A15" t="s">
        <v>33</v>
      </c>
      <c r="B15" t="s">
        <v>83</v>
      </c>
      <c r="C15" s="5">
        <v>1201</v>
      </c>
      <c r="D15" s="3">
        <v>47.000033305578683</v>
      </c>
      <c r="E15" s="3">
        <v>4703.92</v>
      </c>
      <c r="F15" s="3">
        <v>4703.92</v>
      </c>
      <c r="G15" s="3">
        <v>4703.92</v>
      </c>
      <c r="H15" s="3">
        <v>4703.92</v>
      </c>
      <c r="I15" s="3">
        <v>4703.92</v>
      </c>
      <c r="J15" s="3">
        <v>4703.92</v>
      </c>
      <c r="K15" s="3">
        <v>4703.92</v>
      </c>
      <c r="L15" s="3">
        <v>4703.92</v>
      </c>
      <c r="M15" s="3">
        <v>4703.92</v>
      </c>
      <c r="N15" s="3">
        <v>4703.92</v>
      </c>
      <c r="O15" s="3">
        <v>4703.92</v>
      </c>
      <c r="P15" s="3">
        <v>4703.92</v>
      </c>
      <c r="Q15" s="3">
        <v>56447.039999999986</v>
      </c>
    </row>
    <row r="16" spans="1:17">
      <c r="A16" t="s">
        <v>25</v>
      </c>
      <c r="B16" t="s">
        <v>84</v>
      </c>
      <c r="C16" s="5">
        <v>3800</v>
      </c>
      <c r="D16" s="3">
        <v>46.999989473684209</v>
      </c>
      <c r="E16" s="3">
        <v>14883.33</v>
      </c>
      <c r="F16" s="3">
        <v>14883.33</v>
      </c>
      <c r="G16" s="3">
        <v>14883.33</v>
      </c>
      <c r="H16" s="3">
        <v>14883.33</v>
      </c>
      <c r="I16" s="3">
        <v>14883.33</v>
      </c>
      <c r="J16" s="3">
        <v>14883.33</v>
      </c>
      <c r="K16" s="3">
        <v>14883.33</v>
      </c>
      <c r="L16" s="3">
        <v>14883.33</v>
      </c>
      <c r="M16" s="3">
        <v>14883.33</v>
      </c>
      <c r="N16" s="3">
        <v>14883.33</v>
      </c>
      <c r="O16" s="3">
        <v>14883.33</v>
      </c>
      <c r="P16" s="3">
        <v>14883.33</v>
      </c>
      <c r="Q16" s="3">
        <v>178599.95999999996</v>
      </c>
    </row>
    <row r="17" spans="1:17">
      <c r="A17" t="s">
        <v>15</v>
      </c>
      <c r="B17" t="s">
        <v>85</v>
      </c>
      <c r="C17" s="5">
        <v>3676</v>
      </c>
      <c r="D17" s="3">
        <v>74.000010881392811</v>
      </c>
      <c r="E17" s="3">
        <v>22668.67</v>
      </c>
      <c r="F17" s="3">
        <v>22668.67</v>
      </c>
      <c r="G17" s="3">
        <v>22668.67</v>
      </c>
      <c r="H17" s="3">
        <v>22668.67</v>
      </c>
      <c r="I17" s="3">
        <v>22668.67</v>
      </c>
      <c r="J17" s="3">
        <v>22668.67</v>
      </c>
      <c r="K17" s="3">
        <v>22668.67</v>
      </c>
      <c r="L17" s="3">
        <v>22668.67</v>
      </c>
      <c r="M17" s="3">
        <v>22668.67</v>
      </c>
      <c r="N17" s="3">
        <v>22668.67</v>
      </c>
      <c r="O17" s="3">
        <v>22668.67</v>
      </c>
      <c r="P17" s="3">
        <v>22668.67</v>
      </c>
      <c r="Q17" s="3">
        <v>272024.03999999992</v>
      </c>
    </row>
    <row r="18" spans="1:17">
      <c r="A18" t="s">
        <v>27</v>
      </c>
      <c r="B18" t="s">
        <v>86</v>
      </c>
      <c r="C18" s="5">
        <v>3843</v>
      </c>
      <c r="D18" s="3">
        <v>36.433005464480878</v>
      </c>
      <c r="E18" s="3">
        <v>11667.67</v>
      </c>
      <c r="F18" s="3">
        <v>11667.67</v>
      </c>
      <c r="G18" s="3">
        <v>11667.67</v>
      </c>
      <c r="H18" s="3">
        <v>11667.67</v>
      </c>
      <c r="I18" s="3">
        <v>11667.67</v>
      </c>
      <c r="J18" s="3">
        <v>11667.67</v>
      </c>
      <c r="K18" s="3">
        <v>11667.67</v>
      </c>
      <c r="L18" s="3">
        <v>11667.67</v>
      </c>
      <c r="M18" s="3">
        <v>11667.67</v>
      </c>
      <c r="N18" s="3">
        <v>11667.67</v>
      </c>
      <c r="O18" s="3">
        <v>11667.67</v>
      </c>
      <c r="P18" s="3">
        <v>11667.67</v>
      </c>
      <c r="Q18" s="3">
        <v>140012.04</v>
      </c>
    </row>
    <row r="19" spans="1:17">
      <c r="A19" t="s">
        <v>21</v>
      </c>
      <c r="B19" t="s">
        <v>87</v>
      </c>
      <c r="C19" s="5">
        <v>25000</v>
      </c>
      <c r="D19" s="3">
        <v>26.000001600000001</v>
      </c>
      <c r="E19" s="3">
        <v>54166.67</v>
      </c>
      <c r="F19" s="3">
        <v>54166.67</v>
      </c>
      <c r="G19" s="3">
        <v>54166.67</v>
      </c>
      <c r="H19" s="3">
        <v>54166.67</v>
      </c>
      <c r="I19" s="3">
        <v>54166.67</v>
      </c>
      <c r="J19" s="3">
        <v>54166.67</v>
      </c>
      <c r="K19" s="3">
        <v>54166.67</v>
      </c>
      <c r="L19" s="3">
        <v>54166.67</v>
      </c>
      <c r="M19" s="3">
        <v>54166.67</v>
      </c>
      <c r="N19" s="3">
        <v>54166.67</v>
      </c>
      <c r="O19" s="3">
        <v>54166.67</v>
      </c>
      <c r="P19" s="3">
        <v>54166.67</v>
      </c>
      <c r="Q19" s="3">
        <v>650000.04</v>
      </c>
    </row>
    <row r="20" spans="1:17">
      <c r="C20" s="6"/>
    </row>
    <row r="21" spans="1:17">
      <c r="A21" t="s">
        <v>88</v>
      </c>
      <c r="C21" s="6">
        <v>57485.002</v>
      </c>
      <c r="E21" s="4">
        <f>SUM(E7:E20)</f>
        <v>180148.84009999997</v>
      </c>
      <c r="F21" s="4">
        <f>SUM(F7:F20)</f>
        <v>180148.84009999997</v>
      </c>
      <c r="G21" s="4">
        <f t="shared" ref="G21:Q21" si="0">SUM(G7:G20)</f>
        <v>180148.84009999997</v>
      </c>
      <c r="H21" s="4">
        <f t="shared" si="0"/>
        <v>180148.84009999997</v>
      </c>
      <c r="I21" s="4">
        <f t="shared" si="0"/>
        <v>180148.84009999997</v>
      </c>
      <c r="J21" s="4">
        <f t="shared" si="0"/>
        <v>180148.84009999997</v>
      </c>
      <c r="K21" s="4">
        <f t="shared" si="0"/>
        <v>180148.84009999997</v>
      </c>
      <c r="L21" s="4">
        <f t="shared" si="0"/>
        <v>180148.84009999997</v>
      </c>
      <c r="M21" s="4">
        <f t="shared" si="0"/>
        <v>180148.84009999997</v>
      </c>
      <c r="N21" s="4">
        <f t="shared" si="0"/>
        <v>180148.84009999997</v>
      </c>
      <c r="O21" s="4">
        <f t="shared" si="0"/>
        <v>180148.84009999997</v>
      </c>
      <c r="P21" s="4">
        <f t="shared" si="0"/>
        <v>180148.84009999997</v>
      </c>
      <c r="Q21" s="4">
        <f t="shared" si="0"/>
        <v>2161786.0812000004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4F17-FE58-4481-84A0-16940B34377D}">
  <dimension ref="A1:Q18"/>
  <sheetViews>
    <sheetView workbookViewId="0">
      <selection activeCell="A8" sqref="A8:L9"/>
    </sheetView>
  </sheetViews>
  <sheetFormatPr defaultRowHeight="15.4"/>
  <cols>
    <col min="1" max="1" width="24.7109375" bestFit="1" customWidth="1"/>
    <col min="3" max="3" width="11.28515625" bestFit="1" customWidth="1"/>
    <col min="4" max="4" width="8.7109375" bestFit="1" customWidth="1"/>
    <col min="5" max="16" width="10.28515625" bestFit="1" customWidth="1"/>
    <col min="17" max="17" width="11.28515625" bestFit="1" customWidth="1"/>
  </cols>
  <sheetData>
    <row r="1" spans="1:17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>
      <c r="A4" t="s">
        <v>55</v>
      </c>
      <c r="B4" t="s">
        <v>75</v>
      </c>
      <c r="C4" s="8">
        <v>1E-3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35</v>
      </c>
      <c r="B5" t="s">
        <v>76</v>
      </c>
      <c r="C5" s="3">
        <v>3466</v>
      </c>
      <c r="D5" s="3">
        <v>0.48442211408273927</v>
      </c>
      <c r="E5" s="3">
        <v>139.91725395089784</v>
      </c>
      <c r="F5" s="3">
        <v>139.91725395089784</v>
      </c>
      <c r="G5" s="3">
        <v>139.91725395089784</v>
      </c>
      <c r="H5" s="3">
        <v>139.91725395089784</v>
      </c>
      <c r="I5" s="3">
        <v>139.91725395089784</v>
      </c>
      <c r="J5" s="3">
        <v>139.91725395089784</v>
      </c>
      <c r="K5" s="3">
        <v>139.91725395089784</v>
      </c>
      <c r="L5" s="3">
        <v>139.91725395089784</v>
      </c>
      <c r="M5" s="3">
        <v>139.91725395089784</v>
      </c>
      <c r="N5" s="3">
        <v>139.91725395089784</v>
      </c>
      <c r="O5" s="3">
        <v>139.91725395089784</v>
      </c>
      <c r="P5" s="3">
        <v>139.91725395089784</v>
      </c>
      <c r="Q5" s="3">
        <v>1679.0070474107745</v>
      </c>
    </row>
    <row r="6" spans="1:17">
      <c r="A6" t="s">
        <v>29</v>
      </c>
      <c r="B6" t="s">
        <v>77</v>
      </c>
      <c r="C6" s="3">
        <v>2600</v>
      </c>
      <c r="D6" s="3">
        <v>0.48442211408273922</v>
      </c>
      <c r="E6" s="3">
        <v>104.95812471792682</v>
      </c>
      <c r="F6" s="3">
        <v>104.95812471792682</v>
      </c>
      <c r="G6" s="3">
        <v>104.95812471792682</v>
      </c>
      <c r="H6" s="3">
        <v>104.95812471792682</v>
      </c>
      <c r="I6" s="3">
        <v>104.95812471792682</v>
      </c>
      <c r="J6" s="3">
        <v>104.95812471792682</v>
      </c>
      <c r="K6" s="3">
        <v>104.95812471792682</v>
      </c>
      <c r="L6" s="3">
        <v>104.95812471792682</v>
      </c>
      <c r="M6" s="3">
        <v>104.95812471792682</v>
      </c>
      <c r="N6" s="3">
        <v>104.95812471792682</v>
      </c>
      <c r="O6" s="3">
        <v>104.95812471792682</v>
      </c>
      <c r="P6" s="3">
        <v>104.95812471792682</v>
      </c>
      <c r="Q6" s="3">
        <v>1259.4974966151221</v>
      </c>
    </row>
    <row r="7" spans="1:17">
      <c r="A7" t="s">
        <v>23</v>
      </c>
      <c r="B7" t="s">
        <v>78</v>
      </c>
      <c r="C7" s="3">
        <v>3800</v>
      </c>
      <c r="D7" s="3">
        <v>2.966961665271123</v>
      </c>
      <c r="E7" s="3">
        <v>939.53786066918894</v>
      </c>
      <c r="F7" s="3">
        <v>939.53786066918894</v>
      </c>
      <c r="G7" s="3">
        <v>939.53786066918894</v>
      </c>
      <c r="H7" s="3">
        <v>939.53786066918894</v>
      </c>
      <c r="I7" s="3">
        <v>939.53786066918894</v>
      </c>
      <c r="J7" s="3">
        <v>939.53786066918894</v>
      </c>
      <c r="K7" s="3">
        <v>939.53786066918894</v>
      </c>
      <c r="L7" s="3">
        <v>939.53786066918894</v>
      </c>
      <c r="M7" s="3">
        <v>939.53786066918894</v>
      </c>
      <c r="N7" s="3">
        <v>939.53786066918894</v>
      </c>
      <c r="O7" s="3">
        <v>939.53786066918894</v>
      </c>
      <c r="P7" s="3">
        <v>939.53786066918894</v>
      </c>
      <c r="Q7" s="3">
        <v>11274.454328030266</v>
      </c>
    </row>
    <row r="8" spans="1:17">
      <c r="A8" t="s">
        <v>31</v>
      </c>
      <c r="B8" t="s">
        <v>79</v>
      </c>
      <c r="C8" s="3">
        <v>1800</v>
      </c>
      <c r="D8" s="3">
        <v>2.9669616652711235</v>
      </c>
      <c r="E8" s="3">
        <v>445.04424979066852</v>
      </c>
      <c r="F8" s="3">
        <v>445.04424979066852</v>
      </c>
      <c r="G8" s="3">
        <v>445.04424979066852</v>
      </c>
      <c r="H8" s="3">
        <v>445.04424979066852</v>
      </c>
      <c r="I8" s="3">
        <v>445.04424979066852</v>
      </c>
      <c r="J8" s="3">
        <v>445.04424979066852</v>
      </c>
      <c r="K8" s="3">
        <v>445.04424979066852</v>
      </c>
      <c r="L8" s="3">
        <v>445.04424979066852</v>
      </c>
      <c r="M8" s="3">
        <v>445.04424979066852</v>
      </c>
      <c r="N8" s="3">
        <v>445.04424979066852</v>
      </c>
      <c r="O8" s="3">
        <v>445.04424979066852</v>
      </c>
      <c r="P8" s="3">
        <v>445.04424979066852</v>
      </c>
      <c r="Q8" s="3">
        <v>5340.530997488022</v>
      </c>
    </row>
    <row r="9" spans="1:17">
      <c r="A9" t="s">
        <v>37</v>
      </c>
      <c r="B9" t="s">
        <v>80</v>
      </c>
      <c r="C9" s="3">
        <v>1899</v>
      </c>
      <c r="D9" s="3">
        <v>2.966961665271123</v>
      </c>
      <c r="E9" s="3">
        <v>469.52168352915527</v>
      </c>
      <c r="F9" s="3">
        <v>469.52168352915527</v>
      </c>
      <c r="G9" s="3">
        <v>469.52168352915527</v>
      </c>
      <c r="H9" s="3">
        <v>469.52168352915527</v>
      </c>
      <c r="I9" s="3">
        <v>469.52168352915527</v>
      </c>
      <c r="J9" s="3">
        <v>469.52168352915527</v>
      </c>
      <c r="K9" s="3">
        <v>469.52168352915527</v>
      </c>
      <c r="L9" s="3">
        <v>469.52168352915527</v>
      </c>
      <c r="M9" s="3">
        <v>469.52168352915527</v>
      </c>
      <c r="N9" s="3">
        <v>469.52168352915527</v>
      </c>
      <c r="O9" s="3">
        <v>469.52168352915527</v>
      </c>
      <c r="P9" s="3">
        <v>469.52168352915527</v>
      </c>
      <c r="Q9" s="3">
        <v>5634.2602023498621</v>
      </c>
    </row>
    <row r="10" spans="1:17">
      <c r="A10" t="s">
        <v>17</v>
      </c>
      <c r="B10" t="s">
        <v>81</v>
      </c>
      <c r="C10" s="3">
        <v>2500</v>
      </c>
      <c r="D10" s="3">
        <v>2.9669616652711235</v>
      </c>
      <c r="E10" s="3">
        <v>618.11701359815072</v>
      </c>
      <c r="F10" s="3">
        <v>618.11701359815072</v>
      </c>
      <c r="G10" s="3">
        <v>618.11701359815072</v>
      </c>
      <c r="H10" s="3">
        <v>618.11701359815072</v>
      </c>
      <c r="I10" s="3">
        <v>618.11701359815072</v>
      </c>
      <c r="J10" s="3">
        <v>618.11701359815072</v>
      </c>
      <c r="K10" s="3">
        <v>618.11701359815072</v>
      </c>
      <c r="L10" s="3">
        <v>618.11701359815072</v>
      </c>
      <c r="M10" s="3">
        <v>618.11701359815072</v>
      </c>
      <c r="N10" s="3">
        <v>618.11701359815072</v>
      </c>
      <c r="O10" s="3">
        <v>618.11701359815072</v>
      </c>
      <c r="P10" s="3">
        <v>618.11701359815072</v>
      </c>
      <c r="Q10" s="3">
        <v>7417.40416317781</v>
      </c>
    </row>
    <row r="11" spans="1:17">
      <c r="A11" t="s">
        <v>19</v>
      </c>
      <c r="B11" t="s">
        <v>82</v>
      </c>
      <c r="C11" s="3">
        <v>3900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1:17">
      <c r="A12" t="s">
        <v>33</v>
      </c>
      <c r="B12" t="s">
        <v>83</v>
      </c>
      <c r="C12" s="3">
        <v>1201</v>
      </c>
      <c r="D12" s="3">
        <v>2.966961665271123</v>
      </c>
      <c r="E12" s="3">
        <v>296.94341333255159</v>
      </c>
      <c r="F12" s="3">
        <v>296.94341333255159</v>
      </c>
      <c r="G12" s="3">
        <v>296.94341333255159</v>
      </c>
      <c r="H12" s="3">
        <v>296.94341333255159</v>
      </c>
      <c r="I12" s="3">
        <v>296.94341333255159</v>
      </c>
      <c r="J12" s="3">
        <v>296.94341333255159</v>
      </c>
      <c r="K12" s="3">
        <v>296.94341333255159</v>
      </c>
      <c r="L12" s="3">
        <v>296.94341333255159</v>
      </c>
      <c r="M12" s="3">
        <v>296.94341333255159</v>
      </c>
      <c r="N12" s="3">
        <v>296.94341333255159</v>
      </c>
      <c r="O12" s="3">
        <v>296.94341333255159</v>
      </c>
      <c r="P12" s="3">
        <v>296.94341333255159</v>
      </c>
      <c r="Q12" s="3">
        <v>3563.3209599906199</v>
      </c>
    </row>
    <row r="13" spans="1:17">
      <c r="A13" t="s">
        <v>25</v>
      </c>
      <c r="B13" t="s">
        <v>84</v>
      </c>
      <c r="C13" s="3">
        <v>3800</v>
      </c>
      <c r="D13" s="3">
        <v>2.966961665271123</v>
      </c>
      <c r="E13" s="3">
        <v>939.53786066918894</v>
      </c>
      <c r="F13" s="3">
        <v>939.53786066918894</v>
      </c>
      <c r="G13" s="3">
        <v>939.53786066918894</v>
      </c>
      <c r="H13" s="3">
        <v>939.53786066918894</v>
      </c>
      <c r="I13" s="3">
        <v>939.53786066918894</v>
      </c>
      <c r="J13" s="3">
        <v>939.53786066918894</v>
      </c>
      <c r="K13" s="3">
        <v>939.53786066918894</v>
      </c>
      <c r="L13" s="3">
        <v>939.53786066918894</v>
      </c>
      <c r="M13" s="3">
        <v>939.53786066918894</v>
      </c>
      <c r="N13" s="3">
        <v>939.53786066918894</v>
      </c>
      <c r="O13" s="3">
        <v>939.53786066918894</v>
      </c>
      <c r="P13" s="3">
        <v>939.53786066918894</v>
      </c>
      <c r="Q13" s="3">
        <v>11274.454328030266</v>
      </c>
    </row>
    <row r="14" spans="1:17">
      <c r="A14" t="s">
        <v>15</v>
      </c>
      <c r="B14" t="s">
        <v>85</v>
      </c>
      <c r="C14" s="3">
        <v>3676</v>
      </c>
      <c r="D14" s="3">
        <v>0.48442211408273916</v>
      </c>
      <c r="E14" s="3">
        <v>148.39464094734578</v>
      </c>
      <c r="F14" s="3">
        <v>148.39464094734578</v>
      </c>
      <c r="G14" s="3">
        <v>148.39464094734578</v>
      </c>
      <c r="H14" s="3">
        <v>148.39464094734578</v>
      </c>
      <c r="I14" s="3">
        <v>148.39464094734578</v>
      </c>
      <c r="J14" s="3">
        <v>148.39464094734578</v>
      </c>
      <c r="K14" s="3">
        <v>148.39464094734578</v>
      </c>
      <c r="L14" s="3">
        <v>148.39464094734578</v>
      </c>
      <c r="M14" s="3">
        <v>148.39464094734578</v>
      </c>
      <c r="N14" s="3">
        <v>148.39464094734578</v>
      </c>
      <c r="O14" s="3">
        <v>148.39464094734578</v>
      </c>
      <c r="P14" s="3">
        <v>148.39464094734578</v>
      </c>
      <c r="Q14" s="3">
        <v>1780.7356913681494</v>
      </c>
    </row>
    <row r="15" spans="1:17">
      <c r="A15" t="s">
        <v>27</v>
      </c>
      <c r="B15" t="s">
        <v>86</v>
      </c>
      <c r="C15" s="3">
        <v>3843</v>
      </c>
      <c r="D15" s="3">
        <v>0.48442211408273911</v>
      </c>
      <c r="E15" s="3">
        <v>155.1361820349972</v>
      </c>
      <c r="F15" s="3">
        <v>155.1361820349972</v>
      </c>
      <c r="G15" s="3">
        <v>155.1361820349972</v>
      </c>
      <c r="H15" s="3">
        <v>155.1361820349972</v>
      </c>
      <c r="I15" s="3">
        <v>155.1361820349972</v>
      </c>
      <c r="J15" s="3">
        <v>155.1361820349972</v>
      </c>
      <c r="K15" s="3">
        <v>155.1361820349972</v>
      </c>
      <c r="L15" s="3">
        <v>155.1361820349972</v>
      </c>
      <c r="M15" s="3">
        <v>155.1361820349972</v>
      </c>
      <c r="N15" s="3">
        <v>155.1361820349972</v>
      </c>
      <c r="O15" s="3">
        <v>155.1361820349972</v>
      </c>
      <c r="P15" s="3">
        <v>155.1361820349972</v>
      </c>
      <c r="Q15" s="3">
        <v>1861.634184419966</v>
      </c>
    </row>
    <row r="16" spans="1:17">
      <c r="A16" t="s">
        <v>21</v>
      </c>
      <c r="B16" t="s">
        <v>87</v>
      </c>
      <c r="C16" s="3">
        <v>25000</v>
      </c>
      <c r="D16" s="3">
        <v>0.41054186620711958</v>
      </c>
      <c r="E16" s="3">
        <v>855.29555459816584</v>
      </c>
      <c r="F16" s="3">
        <v>855.29555459816584</v>
      </c>
      <c r="G16" s="3">
        <v>855.29555459816584</v>
      </c>
      <c r="H16" s="3">
        <v>855.29555459816584</v>
      </c>
      <c r="I16" s="3">
        <v>855.29555459816584</v>
      </c>
      <c r="J16" s="3">
        <v>855.29555459816584</v>
      </c>
      <c r="K16" s="3">
        <v>855.29555459816584</v>
      </c>
      <c r="L16" s="3">
        <v>855.29555459816584</v>
      </c>
      <c r="M16" s="3">
        <v>855.29555459816584</v>
      </c>
      <c r="N16" s="3">
        <v>855.29555459816584</v>
      </c>
      <c r="O16" s="3">
        <v>855.29555459816584</v>
      </c>
      <c r="P16" s="3">
        <v>855.29555459816584</v>
      </c>
      <c r="Q16" s="3">
        <v>10263.54665517799</v>
      </c>
    </row>
    <row r="17" spans="1:17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>
      <c r="A18" t="s">
        <v>89</v>
      </c>
      <c r="C18" s="3">
        <v>57485.002</v>
      </c>
      <c r="D18" s="3"/>
      <c r="E18" s="3">
        <f t="shared" ref="E18:Q18" si="0">SUM(E4:E17)</f>
        <v>5112.4038378382375</v>
      </c>
      <c r="F18" s="3">
        <f t="shared" si="0"/>
        <v>5112.4038378382375</v>
      </c>
      <c r="G18" s="3">
        <f t="shared" si="0"/>
        <v>5112.4038378382375</v>
      </c>
      <c r="H18" s="3">
        <f t="shared" si="0"/>
        <v>5112.4038378382375</v>
      </c>
      <c r="I18" s="3">
        <f t="shared" si="0"/>
        <v>5112.4038378382375</v>
      </c>
      <c r="J18" s="3">
        <f t="shared" si="0"/>
        <v>5112.4038378382375</v>
      </c>
      <c r="K18" s="3">
        <f t="shared" si="0"/>
        <v>5112.4038378382375</v>
      </c>
      <c r="L18" s="3">
        <f t="shared" si="0"/>
        <v>5112.4038378382375</v>
      </c>
      <c r="M18" s="3">
        <f t="shared" si="0"/>
        <v>5112.4038378382375</v>
      </c>
      <c r="N18" s="3">
        <f t="shared" si="0"/>
        <v>5112.4038378382375</v>
      </c>
      <c r="O18" s="3">
        <f t="shared" si="0"/>
        <v>5112.4038378382375</v>
      </c>
      <c r="P18" s="3">
        <f t="shared" si="0"/>
        <v>5112.4038378382375</v>
      </c>
      <c r="Q18" s="3">
        <f t="shared" si="0"/>
        <v>61348.846054058849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E667-3C7C-4141-8874-DD776DC97AC1}">
  <dimension ref="A4:Q26"/>
  <sheetViews>
    <sheetView topLeftCell="A7" workbookViewId="0">
      <selection activeCell="K20" sqref="K20"/>
    </sheetView>
  </sheetViews>
  <sheetFormatPr defaultRowHeight="15.4"/>
  <cols>
    <col min="3" max="3" width="10.7109375" bestFit="1" customWidth="1"/>
    <col min="4" max="4" width="9" bestFit="1" customWidth="1"/>
    <col min="5" max="16" width="10.28515625" bestFit="1" customWidth="1"/>
    <col min="17" max="17" width="11.28515625" bestFit="1" customWidth="1"/>
  </cols>
  <sheetData>
    <row r="4" spans="1:17">
      <c r="A4" s="2" t="s">
        <v>57</v>
      </c>
      <c r="B4" s="2" t="s">
        <v>58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2" t="s">
        <v>71</v>
      </c>
      <c r="P4" s="2" t="s">
        <v>72</v>
      </c>
      <c r="Q4" s="2" t="s">
        <v>73</v>
      </c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8" spans="1:17">
      <c r="A8" t="s">
        <v>55</v>
      </c>
      <c r="B8" t="s">
        <v>75</v>
      </c>
      <c r="C8" s="3">
        <v>1E-3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>
      <c r="A9" t="s">
        <v>35</v>
      </c>
      <c r="B9" t="s">
        <v>76</v>
      </c>
      <c r="C9" s="3">
        <v>3466</v>
      </c>
      <c r="D9" s="3">
        <v>3.5</v>
      </c>
      <c r="E9" s="3">
        <v>1010.9166666666666</v>
      </c>
      <c r="F9" s="3">
        <v>1010.9166666666666</v>
      </c>
      <c r="G9" s="3">
        <v>1010.9166666666666</v>
      </c>
      <c r="H9" s="3">
        <v>1010.9166666666666</v>
      </c>
      <c r="I9" s="3">
        <v>1010.9166666666666</v>
      </c>
      <c r="J9" s="3">
        <v>1010.9166666666666</v>
      </c>
      <c r="K9" s="3">
        <v>1010.9166666666666</v>
      </c>
      <c r="L9" s="3">
        <v>1010.9166666666666</v>
      </c>
      <c r="M9" s="3">
        <v>1010.9166666666666</v>
      </c>
      <c r="N9" s="3">
        <v>1010.9166666666666</v>
      </c>
      <c r="O9" s="3">
        <v>1010.9166666666666</v>
      </c>
      <c r="P9" s="3">
        <v>1010.9166666666666</v>
      </c>
      <c r="Q9" s="3">
        <v>12130.999999999998</v>
      </c>
    </row>
    <row r="10" spans="1:17">
      <c r="A10" t="s">
        <v>29</v>
      </c>
      <c r="B10" t="s">
        <v>77</v>
      </c>
      <c r="C10" s="3">
        <v>2600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>
      <c r="A11" t="s">
        <v>23</v>
      </c>
      <c r="B11" t="s">
        <v>78</v>
      </c>
      <c r="C11" s="3">
        <v>3800</v>
      </c>
      <c r="D11" s="3">
        <v>3.5</v>
      </c>
      <c r="E11" s="3">
        <v>1108.3333333333333</v>
      </c>
      <c r="F11" s="3">
        <v>1108.3333333333333</v>
      </c>
      <c r="G11" s="3">
        <v>1108.3333333333333</v>
      </c>
      <c r="H11" s="3">
        <v>1108.3333333333333</v>
      </c>
      <c r="I11" s="3">
        <v>1108.3333333333333</v>
      </c>
      <c r="J11" s="3">
        <v>1108.3333333333333</v>
      </c>
      <c r="K11" s="3">
        <v>1108.3333333333333</v>
      </c>
      <c r="L11" s="3">
        <v>1108.3333333333333</v>
      </c>
      <c r="M11" s="3">
        <v>1108.3333333333333</v>
      </c>
      <c r="N11" s="3">
        <v>1108.3333333333333</v>
      </c>
      <c r="O11" s="3">
        <v>1108.3333333333333</v>
      </c>
      <c r="P11" s="3">
        <v>1108.3333333333333</v>
      </c>
      <c r="Q11" s="3">
        <v>13300.000000000002</v>
      </c>
    </row>
    <row r="12" spans="1:17">
      <c r="A12" t="s">
        <v>31</v>
      </c>
      <c r="B12" t="s">
        <v>79</v>
      </c>
      <c r="C12" s="3">
        <v>1800</v>
      </c>
      <c r="D12" s="3">
        <v>3.5</v>
      </c>
      <c r="E12" s="3">
        <v>525</v>
      </c>
      <c r="F12" s="3">
        <v>525</v>
      </c>
      <c r="G12" s="3">
        <v>525</v>
      </c>
      <c r="H12" s="3">
        <v>525</v>
      </c>
      <c r="I12" s="3">
        <v>525</v>
      </c>
      <c r="J12" s="3">
        <v>525</v>
      </c>
      <c r="K12" s="3">
        <v>525</v>
      </c>
      <c r="L12" s="3">
        <v>525</v>
      </c>
      <c r="M12" s="3">
        <v>525</v>
      </c>
      <c r="N12" s="3">
        <v>525</v>
      </c>
      <c r="O12" s="3">
        <v>525</v>
      </c>
      <c r="P12" s="3">
        <v>525</v>
      </c>
      <c r="Q12" s="3">
        <v>6300</v>
      </c>
    </row>
    <row r="13" spans="1:17">
      <c r="A13" t="s">
        <v>37</v>
      </c>
      <c r="B13" t="s">
        <v>80</v>
      </c>
      <c r="C13" s="3">
        <v>1899</v>
      </c>
      <c r="D13" s="3">
        <v>4.25</v>
      </c>
      <c r="E13" s="3">
        <v>672.5625</v>
      </c>
      <c r="F13" s="3">
        <v>672.5625</v>
      </c>
      <c r="G13" s="3">
        <v>672.5625</v>
      </c>
      <c r="H13" s="3">
        <v>672.5625</v>
      </c>
      <c r="I13" s="3">
        <v>672.5625</v>
      </c>
      <c r="J13" s="3">
        <v>672.5625</v>
      </c>
      <c r="K13" s="3">
        <v>672.5625</v>
      </c>
      <c r="L13" s="3">
        <v>672.5625</v>
      </c>
      <c r="M13" s="3">
        <v>672.5625</v>
      </c>
      <c r="N13" s="3">
        <v>672.5625</v>
      </c>
      <c r="O13" s="3">
        <v>672.5625</v>
      </c>
      <c r="P13" s="3">
        <v>672.5625</v>
      </c>
      <c r="Q13" s="3">
        <v>8070.75</v>
      </c>
    </row>
    <row r="14" spans="1:17">
      <c r="A14" t="s">
        <v>17</v>
      </c>
      <c r="B14" t="s">
        <v>81</v>
      </c>
      <c r="C14" s="3">
        <v>2500</v>
      </c>
      <c r="D14" s="3">
        <v>3.5</v>
      </c>
      <c r="E14" s="3">
        <v>729.16666666666663</v>
      </c>
      <c r="F14" s="3">
        <v>729.16666666666663</v>
      </c>
      <c r="G14" s="3">
        <v>729.16666666666663</v>
      </c>
      <c r="H14" s="3">
        <v>729.16666666666663</v>
      </c>
      <c r="I14" s="3">
        <v>729.16666666666663</v>
      </c>
      <c r="J14" s="3">
        <v>729.16666666666663</v>
      </c>
      <c r="K14" s="3">
        <v>729.16666666666663</v>
      </c>
      <c r="L14" s="3">
        <v>729.16666666666663</v>
      </c>
      <c r="M14" s="3">
        <v>729.16666666666663</v>
      </c>
      <c r="N14" s="3">
        <v>729.16666666666663</v>
      </c>
      <c r="O14" s="3">
        <v>729.16666666666663</v>
      </c>
      <c r="P14" s="3">
        <v>729.16666666666663</v>
      </c>
      <c r="Q14" s="3">
        <v>8750.0000000000018</v>
      </c>
    </row>
    <row r="15" spans="1:17">
      <c r="A15" t="s">
        <v>19</v>
      </c>
      <c r="B15" t="s">
        <v>82</v>
      </c>
      <c r="C15" s="3">
        <v>3900</v>
      </c>
      <c r="D15" s="3">
        <v>3.5</v>
      </c>
      <c r="E15" s="3">
        <v>1137.5</v>
      </c>
      <c r="F15" s="3">
        <v>1137.5</v>
      </c>
      <c r="G15" s="3">
        <v>1137.5</v>
      </c>
      <c r="H15" s="3">
        <v>1137.5</v>
      </c>
      <c r="I15" s="3">
        <v>1137.5</v>
      </c>
      <c r="J15" s="3">
        <v>1137.5</v>
      </c>
      <c r="K15" s="3">
        <v>1137.5</v>
      </c>
      <c r="L15" s="3">
        <v>1137.5</v>
      </c>
      <c r="M15" s="3">
        <v>1137.5</v>
      </c>
      <c r="N15" s="3">
        <v>1137.5</v>
      </c>
      <c r="O15" s="3">
        <v>1137.5</v>
      </c>
      <c r="P15" s="3">
        <v>1137.5</v>
      </c>
      <c r="Q15" s="3">
        <v>13650</v>
      </c>
    </row>
    <row r="16" spans="1:17">
      <c r="A16" t="s">
        <v>33</v>
      </c>
      <c r="B16" t="s">
        <v>83</v>
      </c>
      <c r="C16" s="3">
        <v>1201</v>
      </c>
      <c r="D16" s="3">
        <v>4.25</v>
      </c>
      <c r="E16" s="3">
        <v>425.35416666666669</v>
      </c>
      <c r="F16" s="3">
        <v>425.35416666666669</v>
      </c>
      <c r="G16" s="3">
        <v>425.35416666666669</v>
      </c>
      <c r="H16" s="3">
        <v>425.35416666666669</v>
      </c>
      <c r="I16" s="3">
        <v>425.35416666666669</v>
      </c>
      <c r="J16" s="3">
        <v>425.35416666666669</v>
      </c>
      <c r="K16" s="3">
        <v>425.35416666666669</v>
      </c>
      <c r="L16" s="3">
        <v>425.35416666666669</v>
      </c>
      <c r="M16" s="3">
        <v>425.35416666666669</v>
      </c>
      <c r="N16" s="3">
        <v>425.35416666666669</v>
      </c>
      <c r="O16" s="3">
        <v>425.35416666666669</v>
      </c>
      <c r="P16" s="3">
        <v>425.35416666666669</v>
      </c>
      <c r="Q16" s="3">
        <v>5104.25</v>
      </c>
    </row>
    <row r="17" spans="1:17">
      <c r="A17" t="s">
        <v>25</v>
      </c>
      <c r="B17" t="s">
        <v>84</v>
      </c>
      <c r="C17" s="3">
        <v>3800</v>
      </c>
      <c r="D17" s="3">
        <v>3.5</v>
      </c>
      <c r="E17" s="3">
        <v>1108.3333333333333</v>
      </c>
      <c r="F17" s="3">
        <v>1108.3333333333333</v>
      </c>
      <c r="G17" s="3">
        <v>1108.3333333333333</v>
      </c>
      <c r="H17" s="3">
        <v>1108.3333333333333</v>
      </c>
      <c r="I17" s="3">
        <v>1108.3333333333333</v>
      </c>
      <c r="J17" s="3">
        <v>1108.3333333333333</v>
      </c>
      <c r="K17" s="3">
        <v>1108.3333333333333</v>
      </c>
      <c r="L17" s="3">
        <v>1108.3333333333333</v>
      </c>
      <c r="M17" s="3">
        <v>1108.3333333333333</v>
      </c>
      <c r="N17" s="3">
        <v>1108.3333333333333</v>
      </c>
      <c r="O17" s="3">
        <v>1108.3333333333333</v>
      </c>
      <c r="P17" s="3">
        <v>1108.3333333333333</v>
      </c>
      <c r="Q17" s="3">
        <v>13300.000000000002</v>
      </c>
    </row>
    <row r="18" spans="1:17">
      <c r="A18" t="s">
        <v>15</v>
      </c>
      <c r="B18" t="s">
        <v>85</v>
      </c>
      <c r="C18" s="3">
        <v>3676</v>
      </c>
      <c r="D18" s="3">
        <v>3.5</v>
      </c>
      <c r="E18" s="3">
        <v>1072.1666666666667</v>
      </c>
      <c r="F18" s="3">
        <v>1072.1666666666667</v>
      </c>
      <c r="G18" s="3">
        <v>1072.1666666666667</v>
      </c>
      <c r="H18" s="3">
        <v>1072.1666666666667</v>
      </c>
      <c r="I18" s="3">
        <v>1072.1666666666667</v>
      </c>
      <c r="J18" s="3">
        <v>1072.1666666666667</v>
      </c>
      <c r="K18" s="3">
        <v>1072.1666666666667</v>
      </c>
      <c r="L18" s="3">
        <v>1072.1666666666667</v>
      </c>
      <c r="M18" s="3">
        <v>1072.1666666666667</v>
      </c>
      <c r="N18" s="3">
        <v>1072.1666666666667</v>
      </c>
      <c r="O18" s="3">
        <v>1072.1666666666667</v>
      </c>
      <c r="P18" s="3">
        <v>1072.1666666666667</v>
      </c>
      <c r="Q18" s="3">
        <v>12865.999999999998</v>
      </c>
    </row>
    <row r="19" spans="1:17">
      <c r="A19" t="s">
        <v>27</v>
      </c>
      <c r="B19" t="s">
        <v>86</v>
      </c>
      <c r="C19" s="3">
        <v>3843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>
      <c r="A20" t="s">
        <v>21</v>
      </c>
      <c r="B20" t="s">
        <v>87</v>
      </c>
      <c r="C20" s="3">
        <v>25000</v>
      </c>
      <c r="D20" s="3">
        <v>3.5</v>
      </c>
      <c r="E20" s="3">
        <v>7291.666666666667</v>
      </c>
      <c r="F20" s="3">
        <v>7291.666666666667</v>
      </c>
      <c r="G20" s="3">
        <v>7291.666666666667</v>
      </c>
      <c r="H20" s="3">
        <v>7291.666666666667</v>
      </c>
      <c r="I20" s="3">
        <v>7291.666666666667</v>
      </c>
      <c r="J20" s="3">
        <v>7291.666666666667</v>
      </c>
      <c r="K20" s="3">
        <v>7291.666666666667</v>
      </c>
      <c r="L20" s="3">
        <v>7291.666666666667</v>
      </c>
      <c r="M20" s="3">
        <v>7291.666666666667</v>
      </c>
      <c r="N20" s="3">
        <v>7291.666666666667</v>
      </c>
      <c r="O20" s="3">
        <v>7291.666666666667</v>
      </c>
      <c r="P20" s="3">
        <v>7291.666666666667</v>
      </c>
      <c r="Q20" s="3">
        <v>87500.000000000015</v>
      </c>
    </row>
    <row r="21" spans="1:17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t="s">
        <v>88</v>
      </c>
      <c r="C22" s="3">
        <v>57485.002</v>
      </c>
      <c r="D22" s="3"/>
      <c r="E22" s="3">
        <f>SUM(E8:E21)</f>
        <v>15081</v>
      </c>
      <c r="F22" s="3">
        <f t="shared" ref="F22:Q22" si="0">SUM(F8:F21)</f>
        <v>15081</v>
      </c>
      <c r="G22" s="3">
        <f t="shared" si="0"/>
        <v>15081</v>
      </c>
      <c r="H22" s="3">
        <f t="shared" si="0"/>
        <v>15081</v>
      </c>
      <c r="I22" s="3">
        <f t="shared" si="0"/>
        <v>15081</v>
      </c>
      <c r="J22" s="3">
        <f t="shared" si="0"/>
        <v>15081</v>
      </c>
      <c r="K22" s="3">
        <f t="shared" si="0"/>
        <v>15081</v>
      </c>
      <c r="L22" s="3">
        <f t="shared" si="0"/>
        <v>15081</v>
      </c>
      <c r="M22" s="3">
        <f t="shared" si="0"/>
        <v>15081</v>
      </c>
      <c r="N22" s="3">
        <f t="shared" si="0"/>
        <v>15081</v>
      </c>
      <c r="O22" s="3">
        <f t="shared" si="0"/>
        <v>15081</v>
      </c>
      <c r="P22" s="3">
        <f t="shared" si="0"/>
        <v>15081</v>
      </c>
      <c r="Q22" s="3">
        <f t="shared" si="0"/>
        <v>180972</v>
      </c>
    </row>
    <row r="24" spans="1:17">
      <c r="L24" s="52">
        <v>-18560</v>
      </c>
    </row>
    <row r="25" spans="1:17">
      <c r="N25" s="3"/>
    </row>
    <row r="26" spans="1:17">
      <c r="L26">
        <v>5112.4038378382375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C6FA-F24C-4D33-9EFB-0C0E642B7144}">
  <dimension ref="A2:R20"/>
  <sheetViews>
    <sheetView workbookViewId="0">
      <selection activeCell="K8" sqref="K8"/>
    </sheetView>
  </sheetViews>
  <sheetFormatPr defaultRowHeight="15.4"/>
  <cols>
    <col min="3" max="3" width="10.28515625" bestFit="1" customWidth="1"/>
    <col min="4" max="4" width="8.7109375" bestFit="1" customWidth="1"/>
    <col min="5" max="16" width="9.28515625" bestFit="1" customWidth="1"/>
    <col min="17" max="17" width="10.28515625" bestFit="1" customWidth="1"/>
  </cols>
  <sheetData>
    <row r="2" spans="1:18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8">
      <c r="A4" t="s">
        <v>55</v>
      </c>
      <c r="B4" t="s">
        <v>75</v>
      </c>
      <c r="C4" s="3">
        <v>1E-3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7"/>
    </row>
    <row r="5" spans="1:18">
      <c r="A5" t="s">
        <v>35</v>
      </c>
      <c r="B5" t="s">
        <v>76</v>
      </c>
      <c r="C5" s="3">
        <v>3466</v>
      </c>
      <c r="D5" s="3">
        <v>0.25045228318857843</v>
      </c>
      <c r="E5" s="3">
        <v>72.33896779430107</v>
      </c>
      <c r="F5" s="3">
        <v>72.33896779430107</v>
      </c>
      <c r="G5" s="3">
        <v>72.33896779430107</v>
      </c>
      <c r="H5" s="3">
        <v>72.33896779430107</v>
      </c>
      <c r="I5" s="3">
        <v>72.33896779430107</v>
      </c>
      <c r="J5" s="3">
        <v>72.33896779430107</v>
      </c>
      <c r="K5" s="3">
        <v>72.33896779430107</v>
      </c>
      <c r="L5" s="3">
        <v>72.33896779430107</v>
      </c>
      <c r="M5" s="3">
        <v>72.33896779430107</v>
      </c>
      <c r="N5" s="3">
        <v>72.33896779430107</v>
      </c>
      <c r="O5" s="3">
        <v>72.33896779430107</v>
      </c>
      <c r="P5" s="3">
        <v>72.33896779430107</v>
      </c>
      <c r="Q5" s="3">
        <v>868.06761353161289</v>
      </c>
      <c r="R5" s="7"/>
    </row>
    <row r="6" spans="1:18">
      <c r="A6" t="s">
        <v>29</v>
      </c>
      <c r="B6" t="s">
        <v>77</v>
      </c>
      <c r="C6" s="3">
        <v>2600</v>
      </c>
      <c r="D6" s="3">
        <v>0.25045228318857843</v>
      </c>
      <c r="E6" s="3">
        <v>54.264661357525334</v>
      </c>
      <c r="F6" s="3">
        <v>54.264661357525334</v>
      </c>
      <c r="G6" s="3">
        <v>54.264661357525334</v>
      </c>
      <c r="H6" s="3">
        <v>54.264661357525334</v>
      </c>
      <c r="I6" s="3">
        <v>54.264661357525334</v>
      </c>
      <c r="J6" s="3">
        <v>54.264661357525334</v>
      </c>
      <c r="K6" s="3">
        <v>54.264661357525334</v>
      </c>
      <c r="L6" s="3">
        <v>54.264661357525334</v>
      </c>
      <c r="M6" s="3">
        <v>54.264661357525334</v>
      </c>
      <c r="N6" s="3">
        <v>54.264661357525334</v>
      </c>
      <c r="O6" s="3">
        <v>54.264661357525334</v>
      </c>
      <c r="P6" s="3">
        <v>54.264661357525334</v>
      </c>
      <c r="Q6" s="3">
        <v>651.17593629030398</v>
      </c>
      <c r="R6" s="7"/>
    </row>
    <row r="7" spans="1:18">
      <c r="A7" t="s">
        <v>23</v>
      </c>
      <c r="B7" t="s">
        <v>78</v>
      </c>
      <c r="C7" s="3">
        <v>3800</v>
      </c>
      <c r="D7" s="3">
        <v>0.52183798311526097</v>
      </c>
      <c r="E7" s="3">
        <v>165.24869465316598</v>
      </c>
      <c r="F7" s="3">
        <v>165.24869465316598</v>
      </c>
      <c r="G7" s="3">
        <v>165.24869465316598</v>
      </c>
      <c r="H7" s="3">
        <v>165.24869465316598</v>
      </c>
      <c r="I7" s="3">
        <v>165.24869465316598</v>
      </c>
      <c r="J7" s="3">
        <v>165.24869465316598</v>
      </c>
      <c r="K7" s="3">
        <v>165.24869465316598</v>
      </c>
      <c r="L7" s="3">
        <v>165.24869465316598</v>
      </c>
      <c r="M7" s="3">
        <v>165.24869465316598</v>
      </c>
      <c r="N7" s="3">
        <v>165.24869465316598</v>
      </c>
      <c r="O7" s="3">
        <v>165.24869465316598</v>
      </c>
      <c r="P7" s="3">
        <v>165.24869465316598</v>
      </c>
      <c r="Q7" s="3">
        <v>1982.9843358379919</v>
      </c>
      <c r="R7" s="7"/>
    </row>
    <row r="8" spans="1:18">
      <c r="A8" t="s">
        <v>31</v>
      </c>
      <c r="B8" t="s">
        <v>79</v>
      </c>
      <c r="C8" s="3">
        <v>1800</v>
      </c>
      <c r="D8" s="3">
        <v>0.52183798311526108</v>
      </c>
      <c r="E8" s="3">
        <v>78.275697467289163</v>
      </c>
      <c r="F8" s="3">
        <v>78.275697467289163</v>
      </c>
      <c r="G8" s="3">
        <v>78.275697467289163</v>
      </c>
      <c r="H8" s="3">
        <v>78.275697467289163</v>
      </c>
      <c r="I8" s="3">
        <v>78.275697467289163</v>
      </c>
      <c r="J8" s="3">
        <v>78.275697467289163</v>
      </c>
      <c r="K8" s="3">
        <v>78.275697467289163</v>
      </c>
      <c r="L8" s="3">
        <v>78.275697467289163</v>
      </c>
      <c r="M8" s="3">
        <v>78.275697467289163</v>
      </c>
      <c r="N8" s="3">
        <v>78.275697467289163</v>
      </c>
      <c r="O8" s="3">
        <v>78.275697467289163</v>
      </c>
      <c r="P8" s="3">
        <v>78.275697467289163</v>
      </c>
      <c r="Q8" s="3">
        <v>939.30836960747013</v>
      </c>
      <c r="R8" s="7"/>
    </row>
    <row r="9" spans="1:18">
      <c r="A9" t="s">
        <v>37</v>
      </c>
      <c r="B9" t="s">
        <v>80</v>
      </c>
      <c r="C9" s="3">
        <v>1899</v>
      </c>
      <c r="D9" s="3">
        <v>0.52183798311526108</v>
      </c>
      <c r="E9" s="3">
        <v>82.580860827990065</v>
      </c>
      <c r="F9" s="3">
        <v>82.580860827990065</v>
      </c>
      <c r="G9" s="3">
        <v>82.580860827990065</v>
      </c>
      <c r="H9" s="3">
        <v>82.580860827990065</v>
      </c>
      <c r="I9" s="3">
        <v>82.580860827990065</v>
      </c>
      <c r="J9" s="3">
        <v>82.580860827990065</v>
      </c>
      <c r="K9" s="3">
        <v>82.580860827990065</v>
      </c>
      <c r="L9" s="3">
        <v>82.580860827990065</v>
      </c>
      <c r="M9" s="3">
        <v>82.580860827990065</v>
      </c>
      <c r="N9" s="3">
        <v>82.580860827990065</v>
      </c>
      <c r="O9" s="3">
        <v>82.580860827990065</v>
      </c>
      <c r="P9" s="3">
        <v>82.580860827990065</v>
      </c>
      <c r="Q9" s="3">
        <v>990.97032993588061</v>
      </c>
      <c r="R9" s="7"/>
    </row>
    <row r="10" spans="1:18">
      <c r="A10" t="s">
        <v>17</v>
      </c>
      <c r="B10" t="s">
        <v>81</v>
      </c>
      <c r="C10" s="3">
        <v>2500</v>
      </c>
      <c r="D10" s="3">
        <v>0.52183798311526108</v>
      </c>
      <c r="E10" s="3">
        <v>108.71624648234605</v>
      </c>
      <c r="F10" s="3">
        <v>108.71624648234605</v>
      </c>
      <c r="G10" s="3">
        <v>108.71624648234605</v>
      </c>
      <c r="H10" s="3">
        <v>108.71624648234605</v>
      </c>
      <c r="I10" s="3">
        <v>108.71624648234605</v>
      </c>
      <c r="J10" s="3">
        <v>108.71624648234605</v>
      </c>
      <c r="K10" s="3">
        <v>108.71624648234605</v>
      </c>
      <c r="L10" s="3">
        <v>108.71624648234605</v>
      </c>
      <c r="M10" s="3">
        <v>108.71624648234605</v>
      </c>
      <c r="N10" s="3">
        <v>108.71624648234605</v>
      </c>
      <c r="O10" s="3">
        <v>108.71624648234605</v>
      </c>
      <c r="P10" s="3">
        <v>108.71624648234605</v>
      </c>
      <c r="Q10" s="3">
        <v>1304.5949577881529</v>
      </c>
      <c r="R10" s="7"/>
    </row>
    <row r="11" spans="1:18">
      <c r="A11" t="s">
        <v>19</v>
      </c>
      <c r="B11" t="s">
        <v>82</v>
      </c>
      <c r="C11" s="3">
        <v>3900</v>
      </c>
      <c r="D11" s="3">
        <v>0.5</v>
      </c>
      <c r="E11" s="3">
        <v>162.5</v>
      </c>
      <c r="F11" s="3">
        <v>162.5</v>
      </c>
      <c r="G11" s="3">
        <v>162.5</v>
      </c>
      <c r="H11" s="3">
        <v>162.5</v>
      </c>
      <c r="I11" s="3">
        <v>162.5</v>
      </c>
      <c r="J11" s="3">
        <v>162.5</v>
      </c>
      <c r="K11" s="3">
        <v>162.5</v>
      </c>
      <c r="L11" s="3">
        <v>162.5</v>
      </c>
      <c r="M11" s="3">
        <v>162.5</v>
      </c>
      <c r="N11" s="3">
        <v>162.5</v>
      </c>
      <c r="O11" s="3">
        <v>162.5</v>
      </c>
      <c r="P11" s="3">
        <v>162.5</v>
      </c>
      <c r="Q11" s="3">
        <v>1950</v>
      </c>
      <c r="R11" s="7"/>
    </row>
    <row r="12" spans="1:18">
      <c r="A12" t="s">
        <v>33</v>
      </c>
      <c r="B12" t="s">
        <v>83</v>
      </c>
      <c r="C12" s="3">
        <v>1201</v>
      </c>
      <c r="D12" s="3">
        <v>0.52183798311526108</v>
      </c>
      <c r="E12" s="3">
        <v>52.227284810119045</v>
      </c>
      <c r="F12" s="3">
        <v>52.227284810119045</v>
      </c>
      <c r="G12" s="3">
        <v>52.227284810119045</v>
      </c>
      <c r="H12" s="3">
        <v>52.227284810119045</v>
      </c>
      <c r="I12" s="3">
        <v>52.227284810119045</v>
      </c>
      <c r="J12" s="3">
        <v>52.227284810119045</v>
      </c>
      <c r="K12" s="3">
        <v>52.227284810119045</v>
      </c>
      <c r="L12" s="3">
        <v>52.227284810119045</v>
      </c>
      <c r="M12" s="3">
        <v>52.227284810119045</v>
      </c>
      <c r="N12" s="3">
        <v>52.227284810119045</v>
      </c>
      <c r="O12" s="3">
        <v>52.227284810119045</v>
      </c>
      <c r="P12" s="3">
        <v>52.227284810119045</v>
      </c>
      <c r="Q12" s="3">
        <v>626.72741772142854</v>
      </c>
      <c r="R12" s="7"/>
    </row>
    <row r="13" spans="1:18">
      <c r="A13" t="s">
        <v>25</v>
      </c>
      <c r="B13" t="s">
        <v>84</v>
      </c>
      <c r="C13" s="3">
        <v>3800</v>
      </c>
      <c r="D13" s="3">
        <v>0.52183798311526097</v>
      </c>
      <c r="E13" s="3">
        <v>165.24869465316598</v>
      </c>
      <c r="F13" s="3">
        <v>165.24869465316598</v>
      </c>
      <c r="G13" s="3">
        <v>165.24869465316598</v>
      </c>
      <c r="H13" s="3">
        <v>165.24869465316598</v>
      </c>
      <c r="I13" s="3">
        <v>165.24869465316598</v>
      </c>
      <c r="J13" s="3">
        <v>165.24869465316598</v>
      </c>
      <c r="K13" s="3">
        <v>165.24869465316598</v>
      </c>
      <c r="L13" s="3">
        <v>165.24869465316598</v>
      </c>
      <c r="M13" s="3">
        <v>165.24869465316598</v>
      </c>
      <c r="N13" s="3">
        <v>165.24869465316598</v>
      </c>
      <c r="O13" s="3">
        <v>165.24869465316598</v>
      </c>
      <c r="P13" s="3">
        <v>165.24869465316598</v>
      </c>
      <c r="Q13" s="3">
        <v>1982.9843358379919</v>
      </c>
      <c r="R13" s="7"/>
    </row>
    <row r="14" spans="1:18">
      <c r="A14" t="s">
        <v>15</v>
      </c>
      <c r="B14" t="s">
        <v>85</v>
      </c>
      <c r="C14" s="3">
        <v>3676</v>
      </c>
      <c r="D14" s="3">
        <v>0.25045228318857848</v>
      </c>
      <c r="E14" s="3">
        <v>76.721882750101202</v>
      </c>
      <c r="F14" s="3">
        <v>76.721882750101202</v>
      </c>
      <c r="G14" s="3">
        <v>76.721882750101202</v>
      </c>
      <c r="H14" s="3">
        <v>76.721882750101202</v>
      </c>
      <c r="I14" s="3">
        <v>76.721882750101202</v>
      </c>
      <c r="J14" s="3">
        <v>76.721882750101202</v>
      </c>
      <c r="K14" s="3">
        <v>76.721882750101202</v>
      </c>
      <c r="L14" s="3">
        <v>76.721882750101202</v>
      </c>
      <c r="M14" s="3">
        <v>76.721882750101202</v>
      </c>
      <c r="N14" s="3">
        <v>76.721882750101202</v>
      </c>
      <c r="O14" s="3">
        <v>76.721882750101202</v>
      </c>
      <c r="P14" s="3">
        <v>76.721882750101202</v>
      </c>
      <c r="Q14" s="3">
        <v>920.66259300121465</v>
      </c>
      <c r="R14" s="7"/>
    </row>
    <row r="15" spans="1:18">
      <c r="A15" t="s">
        <v>27</v>
      </c>
      <c r="B15" t="s">
        <v>86</v>
      </c>
      <c r="C15" s="3">
        <v>3843</v>
      </c>
      <c r="D15" s="3">
        <v>0.25045228318857843</v>
      </c>
      <c r="E15" s="3">
        <v>80.207343691142242</v>
      </c>
      <c r="F15" s="3">
        <v>80.207343691142242</v>
      </c>
      <c r="G15" s="3">
        <v>80.207343691142242</v>
      </c>
      <c r="H15" s="3">
        <v>80.207343691142242</v>
      </c>
      <c r="I15" s="3">
        <v>80.207343691142242</v>
      </c>
      <c r="J15" s="3">
        <v>80.207343691142242</v>
      </c>
      <c r="K15" s="3">
        <v>80.207343691142242</v>
      </c>
      <c r="L15" s="3">
        <v>80.207343691142242</v>
      </c>
      <c r="M15" s="3">
        <v>80.207343691142242</v>
      </c>
      <c r="N15" s="3">
        <v>80.207343691142242</v>
      </c>
      <c r="O15" s="3">
        <v>80.207343691142242</v>
      </c>
      <c r="P15" s="3">
        <v>80.207343691142242</v>
      </c>
      <c r="Q15" s="3">
        <v>962.48812429370685</v>
      </c>
      <c r="R15" s="7"/>
    </row>
    <row r="16" spans="1:18">
      <c r="A16" t="s">
        <v>21</v>
      </c>
      <c r="B16" t="s">
        <v>87</v>
      </c>
      <c r="C16" s="3">
        <v>25000</v>
      </c>
      <c r="D16" s="3">
        <v>0.25045228318857854</v>
      </c>
      <c r="E16" s="3">
        <v>521.7755899762052</v>
      </c>
      <c r="F16" s="3">
        <v>521.7755899762052</v>
      </c>
      <c r="G16" s="3">
        <v>521.7755899762052</v>
      </c>
      <c r="H16" s="3">
        <v>521.7755899762052</v>
      </c>
      <c r="I16" s="3">
        <v>521.7755899762052</v>
      </c>
      <c r="J16" s="3">
        <v>521.7755899762052</v>
      </c>
      <c r="K16" s="3">
        <v>521.7755899762052</v>
      </c>
      <c r="L16" s="3">
        <v>521.7755899762052</v>
      </c>
      <c r="M16" s="3">
        <v>521.7755899762052</v>
      </c>
      <c r="N16" s="3">
        <v>521.7755899762052</v>
      </c>
      <c r="O16" s="3">
        <v>521.7755899762052</v>
      </c>
      <c r="P16" s="3">
        <v>521.7755899762052</v>
      </c>
      <c r="Q16" s="3">
        <v>6261.3070797144619</v>
      </c>
      <c r="R16" s="7"/>
    </row>
    <row r="17" spans="1:18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7"/>
    </row>
    <row r="18" spans="1:18">
      <c r="A18" t="s">
        <v>88</v>
      </c>
      <c r="C18" s="3">
        <v>57485.002</v>
      </c>
      <c r="D18" s="3"/>
      <c r="E18" s="3">
        <f>SUM(E4:E17)</f>
        <v>1620.1059244633516</v>
      </c>
      <c r="F18" s="3">
        <f t="shared" ref="F18:Q18" si="0">SUM(F4:F17)</f>
        <v>1620.1059244633516</v>
      </c>
      <c r="G18" s="3">
        <f t="shared" si="0"/>
        <v>1620.1059244633516</v>
      </c>
      <c r="H18" s="3">
        <f t="shared" si="0"/>
        <v>1620.1059244633516</v>
      </c>
      <c r="I18" s="3">
        <f t="shared" si="0"/>
        <v>1620.1059244633516</v>
      </c>
      <c r="J18" s="3">
        <f t="shared" si="0"/>
        <v>1620.1059244633516</v>
      </c>
      <c r="K18" s="3">
        <f t="shared" si="0"/>
        <v>1620.1059244633516</v>
      </c>
      <c r="L18" s="3">
        <f t="shared" si="0"/>
        <v>1620.1059244633516</v>
      </c>
      <c r="M18" s="3">
        <f t="shared" si="0"/>
        <v>1620.1059244633516</v>
      </c>
      <c r="N18" s="3">
        <f t="shared" si="0"/>
        <v>1620.1059244633516</v>
      </c>
      <c r="O18" s="3">
        <f t="shared" si="0"/>
        <v>1620.1059244633516</v>
      </c>
      <c r="P18" s="3">
        <f t="shared" si="0"/>
        <v>1620.1059244633516</v>
      </c>
      <c r="Q18" s="3">
        <f t="shared" si="0"/>
        <v>19441.271093560212</v>
      </c>
      <c r="R18" s="7"/>
    </row>
    <row r="20" spans="1:18">
      <c r="K20">
        <v>-104.17</v>
      </c>
      <c r="L20" s="52">
        <v>-1390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E5FA-3F3A-438C-8F90-E0EF0CAE024E}">
  <dimension ref="A3:Q24"/>
  <sheetViews>
    <sheetView topLeftCell="A2" workbookViewId="0">
      <selection activeCell="K11" sqref="K11"/>
    </sheetView>
  </sheetViews>
  <sheetFormatPr defaultRowHeight="15.4"/>
  <cols>
    <col min="3" max="3" width="10.28515625" bestFit="1" customWidth="1"/>
    <col min="5" max="16" width="10.28515625" bestFit="1" customWidth="1"/>
    <col min="17" max="17" width="11.28515625" bestFit="1" customWidth="1"/>
  </cols>
  <sheetData>
    <row r="3" spans="1:17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7" spans="1:17">
      <c r="A7" t="s">
        <v>55</v>
      </c>
      <c r="B7" t="s">
        <v>75</v>
      </c>
      <c r="C7" s="3">
        <v>1E-3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>
      <c r="A8" t="s">
        <v>35</v>
      </c>
      <c r="B8" t="s">
        <v>76</v>
      </c>
      <c r="C8" s="3">
        <v>3466</v>
      </c>
      <c r="D8" s="3">
        <v>2.525444110412681</v>
      </c>
      <c r="E8" s="3">
        <v>729.43244055752939</v>
      </c>
      <c r="F8" s="3">
        <v>729.43244055752939</v>
      </c>
      <c r="G8" s="3">
        <v>729.43244055752939</v>
      </c>
      <c r="H8" s="3">
        <v>729.43244055752939</v>
      </c>
      <c r="I8" s="3">
        <v>729.43244055752939</v>
      </c>
      <c r="J8" s="3">
        <v>729.43244055752939</v>
      </c>
      <c r="K8" s="3">
        <v>729.43244055752939</v>
      </c>
      <c r="L8" s="3">
        <v>729.43244055752939</v>
      </c>
      <c r="M8" s="3">
        <v>729.43244055752939</v>
      </c>
      <c r="N8" s="3">
        <v>729.43244055752939</v>
      </c>
      <c r="O8" s="3">
        <v>729.43244055752939</v>
      </c>
      <c r="P8" s="3">
        <v>729.43244055752939</v>
      </c>
      <c r="Q8" s="3">
        <v>8753.1892866903545</v>
      </c>
    </row>
    <row r="9" spans="1:17">
      <c r="A9" t="s">
        <v>29</v>
      </c>
      <c r="B9" t="s">
        <v>77</v>
      </c>
      <c r="C9" s="3">
        <v>2600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>
      <c r="A10" t="s">
        <v>23</v>
      </c>
      <c r="B10" t="s">
        <v>78</v>
      </c>
      <c r="C10" s="3">
        <v>3800</v>
      </c>
      <c r="D10" s="3">
        <v>2.5254441104126815</v>
      </c>
      <c r="E10" s="3">
        <v>799.72396829734907</v>
      </c>
      <c r="F10" s="3">
        <v>799.72396829734907</v>
      </c>
      <c r="G10" s="3">
        <v>799.72396829734907</v>
      </c>
      <c r="H10" s="3">
        <v>799.72396829734907</v>
      </c>
      <c r="I10" s="3">
        <v>799.72396829734907</v>
      </c>
      <c r="J10" s="3">
        <v>799.72396829734907</v>
      </c>
      <c r="K10" s="3">
        <v>799.72396829734907</v>
      </c>
      <c r="L10" s="3">
        <v>799.72396829734907</v>
      </c>
      <c r="M10" s="3">
        <v>799.72396829734907</v>
      </c>
      <c r="N10" s="3">
        <v>799.72396829734907</v>
      </c>
      <c r="O10" s="3">
        <v>799.72396829734907</v>
      </c>
      <c r="P10" s="3">
        <v>799.72396829734907</v>
      </c>
      <c r="Q10" s="3">
        <v>9596.6876195681871</v>
      </c>
    </row>
    <row r="11" spans="1:17">
      <c r="A11" t="s">
        <v>31</v>
      </c>
      <c r="B11" t="s">
        <v>79</v>
      </c>
      <c r="C11" s="3">
        <v>1800</v>
      </c>
      <c r="D11" s="3">
        <v>2.5254441104126815</v>
      </c>
      <c r="E11" s="3">
        <v>378.81661656190221</v>
      </c>
      <c r="F11" s="3">
        <v>378.81661656190221</v>
      </c>
      <c r="G11" s="3">
        <v>378.81661656190221</v>
      </c>
      <c r="H11" s="3">
        <v>378.81661656190221</v>
      </c>
      <c r="I11" s="3">
        <v>378.81661656190221</v>
      </c>
      <c r="J11" s="3">
        <v>378.81661656190221</v>
      </c>
      <c r="K11" s="3">
        <v>378.81661656190221</v>
      </c>
      <c r="L11" s="3">
        <v>378.81661656190221</v>
      </c>
      <c r="M11" s="3">
        <v>378.81661656190221</v>
      </c>
      <c r="N11" s="3">
        <v>378.81661656190221</v>
      </c>
      <c r="O11" s="3">
        <v>378.81661656190221</v>
      </c>
      <c r="P11" s="3">
        <v>378.81661656190221</v>
      </c>
      <c r="Q11" s="3">
        <v>4545.7993987428263</v>
      </c>
    </row>
    <row r="12" spans="1:17">
      <c r="A12" t="s">
        <v>37</v>
      </c>
      <c r="B12" t="s">
        <v>80</v>
      </c>
      <c r="C12" s="3">
        <v>1899</v>
      </c>
      <c r="D12" s="3">
        <v>2.5254441104126815</v>
      </c>
      <c r="E12" s="3">
        <v>399.65153047280683</v>
      </c>
      <c r="F12" s="3">
        <v>399.65153047280683</v>
      </c>
      <c r="G12" s="3">
        <v>399.65153047280683</v>
      </c>
      <c r="H12" s="3">
        <v>399.65153047280683</v>
      </c>
      <c r="I12" s="3">
        <v>399.65153047280683</v>
      </c>
      <c r="J12" s="3">
        <v>399.65153047280683</v>
      </c>
      <c r="K12" s="3">
        <v>399.65153047280683</v>
      </c>
      <c r="L12" s="3">
        <v>399.65153047280683</v>
      </c>
      <c r="M12" s="3">
        <v>399.65153047280683</v>
      </c>
      <c r="N12" s="3">
        <v>399.65153047280683</v>
      </c>
      <c r="O12" s="3">
        <v>399.65153047280683</v>
      </c>
      <c r="P12" s="3">
        <v>399.65153047280683</v>
      </c>
      <c r="Q12" s="3">
        <v>4795.8183656736819</v>
      </c>
    </row>
    <row r="13" spans="1:17">
      <c r="A13" t="s">
        <v>17</v>
      </c>
      <c r="B13" t="s">
        <v>81</v>
      </c>
      <c r="C13" s="3">
        <v>2500</v>
      </c>
      <c r="D13" s="3">
        <v>2.525444110412681</v>
      </c>
      <c r="E13" s="3">
        <v>526.13418966930851</v>
      </c>
      <c r="F13" s="3">
        <v>526.13418966930851</v>
      </c>
      <c r="G13" s="3">
        <v>526.13418966930851</v>
      </c>
      <c r="H13" s="3">
        <v>526.13418966930851</v>
      </c>
      <c r="I13" s="3">
        <v>526.13418966930851</v>
      </c>
      <c r="J13" s="3">
        <v>526.13418966930851</v>
      </c>
      <c r="K13" s="3">
        <v>526.13418966930851</v>
      </c>
      <c r="L13" s="3">
        <v>526.13418966930851</v>
      </c>
      <c r="M13" s="3">
        <v>526.13418966930851</v>
      </c>
      <c r="N13" s="3">
        <v>526.13418966930851</v>
      </c>
      <c r="O13" s="3">
        <v>526.13418966930851</v>
      </c>
      <c r="P13" s="3">
        <v>526.13418966930851</v>
      </c>
      <c r="Q13" s="3">
        <v>6313.6102760317017</v>
      </c>
    </row>
    <row r="14" spans="1:17">
      <c r="A14" t="s">
        <v>19</v>
      </c>
      <c r="B14" t="s">
        <v>82</v>
      </c>
      <c r="C14" s="3">
        <v>3900</v>
      </c>
      <c r="D14" s="3">
        <v>3</v>
      </c>
      <c r="E14" s="3">
        <v>975</v>
      </c>
      <c r="F14" s="3">
        <v>975</v>
      </c>
      <c r="G14" s="3">
        <v>975</v>
      </c>
      <c r="H14" s="3">
        <v>975</v>
      </c>
      <c r="I14" s="3">
        <v>975</v>
      </c>
      <c r="J14" s="3">
        <v>975</v>
      </c>
      <c r="K14" s="3">
        <v>975</v>
      </c>
      <c r="L14" s="3">
        <v>975</v>
      </c>
      <c r="M14" s="3">
        <v>975</v>
      </c>
      <c r="N14" s="3">
        <v>975</v>
      </c>
      <c r="O14" s="3">
        <v>975</v>
      </c>
      <c r="P14" s="3">
        <v>975</v>
      </c>
      <c r="Q14" s="3">
        <v>11700</v>
      </c>
    </row>
    <row r="15" spans="1:17">
      <c r="A15" t="s">
        <v>33</v>
      </c>
      <c r="B15" t="s">
        <v>83</v>
      </c>
      <c r="C15" s="3">
        <v>1201</v>
      </c>
      <c r="D15" s="3">
        <v>2.5254441104126815</v>
      </c>
      <c r="E15" s="3">
        <v>252.75486471713586</v>
      </c>
      <c r="F15" s="3">
        <v>252.75486471713586</v>
      </c>
      <c r="G15" s="3">
        <v>252.75486471713586</v>
      </c>
      <c r="H15" s="3">
        <v>252.75486471713586</v>
      </c>
      <c r="I15" s="3">
        <v>252.75486471713586</v>
      </c>
      <c r="J15" s="3">
        <v>252.75486471713586</v>
      </c>
      <c r="K15" s="3">
        <v>252.75486471713586</v>
      </c>
      <c r="L15" s="3">
        <v>252.75486471713586</v>
      </c>
      <c r="M15" s="3">
        <v>252.75486471713586</v>
      </c>
      <c r="N15" s="3">
        <v>252.75486471713586</v>
      </c>
      <c r="O15" s="3">
        <v>252.75486471713586</v>
      </c>
      <c r="P15" s="3">
        <v>252.75486471713586</v>
      </c>
      <c r="Q15" s="3">
        <v>3033.0583766056297</v>
      </c>
    </row>
    <row r="16" spans="1:17">
      <c r="A16" t="s">
        <v>25</v>
      </c>
      <c r="B16" t="s">
        <v>84</v>
      </c>
      <c r="C16" s="3">
        <v>3800</v>
      </c>
      <c r="D16" s="3">
        <v>2.5254441104126815</v>
      </c>
      <c r="E16" s="3">
        <v>799.72396829734907</v>
      </c>
      <c r="F16" s="3">
        <v>799.72396829734907</v>
      </c>
      <c r="G16" s="3">
        <v>799.72396829734907</v>
      </c>
      <c r="H16" s="3">
        <v>799.72396829734907</v>
      </c>
      <c r="I16" s="3">
        <v>799.72396829734907</v>
      </c>
      <c r="J16" s="3">
        <v>799.72396829734907</v>
      </c>
      <c r="K16" s="3">
        <v>799.72396829734907</v>
      </c>
      <c r="L16" s="3">
        <v>799.72396829734907</v>
      </c>
      <c r="M16" s="3">
        <v>799.72396829734907</v>
      </c>
      <c r="N16" s="3">
        <v>799.72396829734907</v>
      </c>
      <c r="O16" s="3">
        <v>799.72396829734907</v>
      </c>
      <c r="P16" s="3">
        <v>799.72396829734907</v>
      </c>
      <c r="Q16" s="3">
        <v>9596.6876195681871</v>
      </c>
    </row>
    <row r="17" spans="1:17">
      <c r="A17" t="s">
        <v>15</v>
      </c>
      <c r="B17" t="s">
        <v>85</v>
      </c>
      <c r="C17" s="3">
        <v>3676</v>
      </c>
      <c r="D17" s="3">
        <v>2.525444110412681</v>
      </c>
      <c r="E17" s="3">
        <v>773.62771248975139</v>
      </c>
      <c r="F17" s="3">
        <v>773.62771248975139</v>
      </c>
      <c r="G17" s="3">
        <v>773.62771248975139</v>
      </c>
      <c r="H17" s="3">
        <v>773.62771248975139</v>
      </c>
      <c r="I17" s="3">
        <v>773.62771248975139</v>
      </c>
      <c r="J17" s="3">
        <v>773.62771248975139</v>
      </c>
      <c r="K17" s="3">
        <v>773.62771248975139</v>
      </c>
      <c r="L17" s="3">
        <v>773.62771248975139</v>
      </c>
      <c r="M17" s="3">
        <v>773.62771248975139</v>
      </c>
      <c r="N17" s="3">
        <v>773.62771248975139</v>
      </c>
      <c r="O17" s="3">
        <v>773.62771248975139</v>
      </c>
      <c r="P17" s="3">
        <v>773.62771248975139</v>
      </c>
      <c r="Q17" s="3">
        <v>9283.5325498770162</v>
      </c>
    </row>
    <row r="18" spans="1:17">
      <c r="A18" t="s">
        <v>27</v>
      </c>
      <c r="B18" t="s">
        <v>86</v>
      </c>
      <c r="C18" s="3">
        <v>3843</v>
      </c>
      <c r="D18" s="3">
        <v>2.5254441104126815</v>
      </c>
      <c r="E18" s="3">
        <v>808.77347635966123</v>
      </c>
      <c r="F18" s="3">
        <v>808.77347635966123</v>
      </c>
      <c r="G18" s="3">
        <v>808.77347635966123</v>
      </c>
      <c r="H18" s="3">
        <v>808.77347635966123</v>
      </c>
      <c r="I18" s="3">
        <v>808.77347635966123</v>
      </c>
      <c r="J18" s="3">
        <v>808.77347635966123</v>
      </c>
      <c r="K18" s="3">
        <v>808.77347635966123</v>
      </c>
      <c r="L18" s="3">
        <v>808.77347635966123</v>
      </c>
      <c r="M18" s="3">
        <v>808.77347635966123</v>
      </c>
      <c r="N18" s="3">
        <v>808.77347635966123</v>
      </c>
      <c r="O18" s="3">
        <v>808.77347635966123</v>
      </c>
      <c r="P18" s="3">
        <v>808.77347635966123</v>
      </c>
      <c r="Q18" s="3">
        <v>9705.2817163159343</v>
      </c>
    </row>
    <row r="19" spans="1:17">
      <c r="A19" t="s">
        <v>21</v>
      </c>
      <c r="B19" t="s">
        <v>87</v>
      </c>
      <c r="C19" s="3">
        <v>25000</v>
      </c>
      <c r="D19" s="3">
        <v>2.525444110412681</v>
      </c>
      <c r="E19" s="3">
        <v>5261.3418966930858</v>
      </c>
      <c r="F19" s="3">
        <v>5261.3418966930858</v>
      </c>
      <c r="G19" s="3">
        <v>5261.3418966930858</v>
      </c>
      <c r="H19" s="3">
        <v>5261.3418966930858</v>
      </c>
      <c r="I19" s="3">
        <v>5261.3418966930858</v>
      </c>
      <c r="J19" s="3">
        <v>5261.3418966930858</v>
      </c>
      <c r="K19" s="3">
        <v>5261.3418966930858</v>
      </c>
      <c r="L19" s="3">
        <v>5261.3418966930858</v>
      </c>
      <c r="M19" s="3">
        <v>5261.3418966930858</v>
      </c>
      <c r="N19" s="3">
        <v>5261.3418966930858</v>
      </c>
      <c r="O19" s="3">
        <v>5261.3418966930858</v>
      </c>
      <c r="P19" s="3">
        <v>5261.3418966930858</v>
      </c>
      <c r="Q19" s="3">
        <v>63136.102760317015</v>
      </c>
    </row>
    <row r="20" spans="1:17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t="s">
        <v>88</v>
      </c>
      <c r="C21" s="3">
        <v>57485.002</v>
      </c>
      <c r="D21" s="3"/>
      <c r="E21" s="3">
        <f>SUM(E7:E20)</f>
        <v>11704.980664115879</v>
      </c>
      <c r="F21" s="3">
        <f t="shared" ref="F21:Q21" si="0">SUM(F7:F20)</f>
        <v>11704.980664115879</v>
      </c>
      <c r="G21" s="3">
        <f t="shared" si="0"/>
        <v>11704.980664115879</v>
      </c>
      <c r="H21" s="3">
        <f t="shared" si="0"/>
        <v>11704.980664115879</v>
      </c>
      <c r="I21" s="3">
        <f t="shared" si="0"/>
        <v>11704.980664115879</v>
      </c>
      <c r="J21" s="3">
        <f t="shared" si="0"/>
        <v>11704.980664115879</v>
      </c>
      <c r="K21" s="3">
        <f t="shared" si="0"/>
        <v>11704.980664115879</v>
      </c>
      <c r="L21" s="3">
        <f t="shared" si="0"/>
        <v>11704.980664115879</v>
      </c>
      <c r="M21" s="3">
        <f t="shared" si="0"/>
        <v>11704.980664115879</v>
      </c>
      <c r="N21" s="3">
        <f t="shared" si="0"/>
        <v>11704.980664115879</v>
      </c>
      <c r="O21" s="3">
        <f t="shared" si="0"/>
        <v>11704.980664115879</v>
      </c>
      <c r="P21" s="3">
        <f t="shared" si="0"/>
        <v>11704.980664115879</v>
      </c>
      <c r="Q21" s="3">
        <f t="shared" si="0"/>
        <v>140459.76796939052</v>
      </c>
    </row>
    <row r="23" spans="1:17">
      <c r="L23" s="52">
        <v>-2992</v>
      </c>
    </row>
    <row r="24" spans="1:17">
      <c r="J24">
        <v>-520.83000000000004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A24A-1870-48DF-A1F0-5AF2372500DF}">
  <sheetPr filterMode="1"/>
  <dimension ref="A2:P73"/>
  <sheetViews>
    <sheetView workbookViewId="0">
      <selection activeCell="K30" sqref="K30:K73"/>
    </sheetView>
  </sheetViews>
  <sheetFormatPr defaultRowHeight="15.4"/>
  <cols>
    <col min="4" max="15" width="10.28515625" bestFit="1" customWidth="1"/>
    <col min="16" max="16" width="11.28515625" bestFit="1" customWidth="1"/>
  </cols>
  <sheetData>
    <row r="2" spans="1:16">
      <c r="A2" s="9" t="s">
        <v>90</v>
      </c>
      <c r="B2" s="9" t="s">
        <v>14</v>
      </c>
      <c r="C2" s="9" t="s">
        <v>5</v>
      </c>
      <c r="D2" s="9" t="s">
        <v>91</v>
      </c>
      <c r="E2" s="9" t="s">
        <v>92</v>
      </c>
      <c r="F2" s="9" t="s">
        <v>93</v>
      </c>
      <c r="G2" s="9" t="s">
        <v>94</v>
      </c>
      <c r="H2" s="9" t="s">
        <v>95</v>
      </c>
      <c r="I2" s="9" t="s">
        <v>96</v>
      </c>
      <c r="J2" s="9" t="s">
        <v>97</v>
      </c>
      <c r="K2" s="9" t="s">
        <v>98</v>
      </c>
      <c r="L2" s="9" t="s">
        <v>99</v>
      </c>
      <c r="M2" s="9" t="s">
        <v>100</v>
      </c>
      <c r="N2" s="9" t="s">
        <v>101</v>
      </c>
      <c r="O2" s="9" t="s">
        <v>102</v>
      </c>
      <c r="P2" s="9" t="s">
        <v>103</v>
      </c>
    </row>
    <row r="3" spans="1:16" hidden="1">
      <c r="A3" t="s">
        <v>75</v>
      </c>
      <c r="B3" t="s">
        <v>55</v>
      </c>
      <c r="C3" t="s">
        <v>104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>
      <c r="A4" t="s">
        <v>76</v>
      </c>
      <c r="B4" t="s">
        <v>35</v>
      </c>
      <c r="C4" t="s">
        <v>104</v>
      </c>
      <c r="D4" s="3">
        <v>15166.67</v>
      </c>
      <c r="E4" s="3">
        <v>15166.67</v>
      </c>
      <c r="F4" s="3">
        <v>15166.67</v>
      </c>
      <c r="G4" s="3">
        <v>15166.67</v>
      </c>
      <c r="H4" s="3">
        <v>15166.67</v>
      </c>
      <c r="I4" s="3">
        <v>15166.67</v>
      </c>
      <c r="J4" s="3">
        <v>15166.67</v>
      </c>
      <c r="K4" s="3">
        <v>15166.67</v>
      </c>
      <c r="L4" s="3">
        <v>15166.67</v>
      </c>
      <c r="M4" s="3">
        <v>15166.67</v>
      </c>
      <c r="N4" s="3">
        <v>15166.67</v>
      </c>
      <c r="O4" s="3">
        <v>15166.67</v>
      </c>
      <c r="P4" s="3">
        <v>182000.04000000004</v>
      </c>
    </row>
    <row r="5" spans="1:16" hidden="1">
      <c r="A5" t="s">
        <v>77</v>
      </c>
      <c r="B5" t="s">
        <v>29</v>
      </c>
      <c r="C5" t="s">
        <v>104</v>
      </c>
      <c r="D5" s="3">
        <v>1E-4</v>
      </c>
      <c r="E5" s="3">
        <v>1E-4</v>
      </c>
      <c r="F5" s="3">
        <v>1E-4</v>
      </c>
      <c r="G5" s="3">
        <v>1E-4</v>
      </c>
      <c r="H5" s="3">
        <v>1E-4</v>
      </c>
      <c r="I5" s="3">
        <v>1E-4</v>
      </c>
      <c r="J5" s="3">
        <v>1E-4</v>
      </c>
      <c r="K5" s="3">
        <v>1E-4</v>
      </c>
      <c r="L5" s="3">
        <v>1E-4</v>
      </c>
      <c r="M5" s="3">
        <v>1E-4</v>
      </c>
      <c r="N5" s="3">
        <v>1E-4</v>
      </c>
      <c r="O5" s="3">
        <v>1E-4</v>
      </c>
      <c r="P5" s="3">
        <v>1.2000000000000003E-3</v>
      </c>
    </row>
    <row r="6" spans="1:16" hidden="1">
      <c r="A6" t="s">
        <v>78</v>
      </c>
      <c r="B6" t="s">
        <v>23</v>
      </c>
      <c r="C6" t="s">
        <v>104</v>
      </c>
      <c r="D6" s="3">
        <v>15595.83</v>
      </c>
      <c r="E6" s="3">
        <v>15595.83</v>
      </c>
      <c r="F6" s="3">
        <v>15595.83</v>
      </c>
      <c r="G6" s="3">
        <v>15595.83</v>
      </c>
      <c r="H6" s="3">
        <v>15595.83</v>
      </c>
      <c r="I6" s="3">
        <v>15595.83</v>
      </c>
      <c r="J6" s="3">
        <v>15595.83</v>
      </c>
      <c r="K6" s="3">
        <v>15595.83</v>
      </c>
      <c r="L6" s="3">
        <v>15595.83</v>
      </c>
      <c r="M6" s="3">
        <v>15595.83</v>
      </c>
      <c r="N6" s="3">
        <v>15595.83</v>
      </c>
      <c r="O6" s="3">
        <v>15595.83</v>
      </c>
      <c r="P6" s="3">
        <v>187149.95999999996</v>
      </c>
    </row>
    <row r="7" spans="1:16" hidden="1">
      <c r="A7" t="s">
        <v>79</v>
      </c>
      <c r="B7" t="s">
        <v>31</v>
      </c>
      <c r="C7" t="s">
        <v>104</v>
      </c>
      <c r="D7" s="3">
        <v>7650</v>
      </c>
      <c r="E7" s="3">
        <v>7650</v>
      </c>
      <c r="F7" s="3">
        <v>7650</v>
      </c>
      <c r="G7" s="3">
        <v>7650</v>
      </c>
      <c r="H7" s="3">
        <v>7650</v>
      </c>
      <c r="I7" s="3">
        <v>7650</v>
      </c>
      <c r="J7" s="3">
        <v>7650</v>
      </c>
      <c r="K7" s="3">
        <v>7650</v>
      </c>
      <c r="L7" s="3">
        <v>7650</v>
      </c>
      <c r="M7" s="3">
        <v>7650</v>
      </c>
      <c r="N7" s="3">
        <v>7650</v>
      </c>
      <c r="O7" s="3">
        <v>7650</v>
      </c>
      <c r="P7" s="3">
        <v>91800</v>
      </c>
    </row>
    <row r="8" spans="1:16" hidden="1">
      <c r="A8" t="s">
        <v>80</v>
      </c>
      <c r="B8" t="s">
        <v>37</v>
      </c>
      <c r="C8" t="s">
        <v>104</v>
      </c>
      <c r="D8" s="3">
        <v>7437.75</v>
      </c>
      <c r="E8" s="3">
        <v>7437.75</v>
      </c>
      <c r="F8" s="3">
        <v>7437.75</v>
      </c>
      <c r="G8" s="3">
        <v>7437.75</v>
      </c>
      <c r="H8" s="3">
        <v>7437.75</v>
      </c>
      <c r="I8" s="3">
        <v>7437.75</v>
      </c>
      <c r="J8" s="3">
        <v>7437.75</v>
      </c>
      <c r="K8" s="3">
        <v>7437.75</v>
      </c>
      <c r="L8" s="3">
        <v>7437.75</v>
      </c>
      <c r="M8" s="3">
        <v>7437.75</v>
      </c>
      <c r="N8" s="3">
        <v>7437.75</v>
      </c>
      <c r="O8" s="3">
        <v>7437.75</v>
      </c>
      <c r="P8" s="3">
        <v>89253</v>
      </c>
    </row>
    <row r="9" spans="1:16" hidden="1">
      <c r="A9" t="s">
        <v>81</v>
      </c>
      <c r="B9" t="s">
        <v>17</v>
      </c>
      <c r="C9" t="s">
        <v>104</v>
      </c>
      <c r="D9" s="3">
        <v>9375</v>
      </c>
      <c r="E9" s="3">
        <v>9375</v>
      </c>
      <c r="F9" s="3">
        <v>9375</v>
      </c>
      <c r="G9" s="3">
        <v>9375</v>
      </c>
      <c r="H9" s="3">
        <v>9375</v>
      </c>
      <c r="I9" s="3">
        <v>9375</v>
      </c>
      <c r="J9" s="3">
        <v>9375</v>
      </c>
      <c r="K9" s="3">
        <v>9375</v>
      </c>
      <c r="L9" s="3">
        <v>9375</v>
      </c>
      <c r="M9" s="3">
        <v>9375</v>
      </c>
      <c r="N9" s="3">
        <v>9375</v>
      </c>
      <c r="O9" s="3">
        <v>9375</v>
      </c>
      <c r="P9" s="3">
        <v>112500</v>
      </c>
    </row>
    <row r="10" spans="1:16" hidden="1">
      <c r="A10" t="s">
        <v>82</v>
      </c>
      <c r="B10" t="s">
        <v>19</v>
      </c>
      <c r="C10" t="s">
        <v>104</v>
      </c>
      <c r="D10" s="3">
        <v>16833.330000000002</v>
      </c>
      <c r="E10" s="3">
        <v>16833.330000000002</v>
      </c>
      <c r="F10" s="3">
        <v>16833.330000000002</v>
      </c>
      <c r="G10" s="3">
        <v>16833.330000000002</v>
      </c>
      <c r="H10" s="3">
        <v>16833.330000000002</v>
      </c>
      <c r="I10" s="3">
        <v>16833.330000000002</v>
      </c>
      <c r="J10" s="3">
        <v>16833.330000000002</v>
      </c>
      <c r="K10" s="3">
        <v>16833.330000000002</v>
      </c>
      <c r="L10" s="3">
        <v>16833.330000000002</v>
      </c>
      <c r="M10" s="3">
        <v>16833.330000000002</v>
      </c>
      <c r="N10" s="3">
        <v>16833.330000000002</v>
      </c>
      <c r="O10" s="3">
        <v>16833.330000000002</v>
      </c>
      <c r="P10" s="3">
        <v>201999.96000000008</v>
      </c>
    </row>
    <row r="11" spans="1:16" hidden="1">
      <c r="A11" t="s">
        <v>83</v>
      </c>
      <c r="B11" t="s">
        <v>33</v>
      </c>
      <c r="C11" t="s">
        <v>104</v>
      </c>
      <c r="D11" s="3">
        <v>4703.92</v>
      </c>
      <c r="E11" s="3">
        <v>4703.92</v>
      </c>
      <c r="F11" s="3">
        <v>4703.92</v>
      </c>
      <c r="G11" s="3">
        <v>4703.92</v>
      </c>
      <c r="H11" s="3">
        <v>4703.92</v>
      </c>
      <c r="I11" s="3">
        <v>4703.92</v>
      </c>
      <c r="J11" s="3">
        <v>4703.92</v>
      </c>
      <c r="K11" s="3">
        <v>4703.92</v>
      </c>
      <c r="L11" s="3">
        <v>4703.92</v>
      </c>
      <c r="M11" s="3">
        <v>4703.92</v>
      </c>
      <c r="N11" s="3">
        <v>4703.92</v>
      </c>
      <c r="O11" s="3">
        <v>4703.92</v>
      </c>
      <c r="P11" s="3">
        <v>56447.039999999986</v>
      </c>
    </row>
    <row r="12" spans="1:16" hidden="1">
      <c r="A12" t="s">
        <v>84</v>
      </c>
      <c r="B12" t="s">
        <v>25</v>
      </c>
      <c r="C12" t="s">
        <v>104</v>
      </c>
      <c r="D12" s="3">
        <v>14883.33</v>
      </c>
      <c r="E12" s="3">
        <v>14883.33</v>
      </c>
      <c r="F12" s="3">
        <v>14883.33</v>
      </c>
      <c r="G12" s="3">
        <v>14883.33</v>
      </c>
      <c r="H12" s="3">
        <v>14883.33</v>
      </c>
      <c r="I12" s="3">
        <v>14883.33</v>
      </c>
      <c r="J12" s="3">
        <v>14883.33</v>
      </c>
      <c r="K12" s="3">
        <v>14883.33</v>
      </c>
      <c r="L12" s="3">
        <v>14883.33</v>
      </c>
      <c r="M12" s="3">
        <v>14883.33</v>
      </c>
      <c r="N12" s="3">
        <v>14883.33</v>
      </c>
      <c r="O12" s="3">
        <v>14883.33</v>
      </c>
      <c r="P12" s="3">
        <v>178599.95999999996</v>
      </c>
    </row>
    <row r="13" spans="1:16" hidden="1">
      <c r="A13" t="s">
        <v>85</v>
      </c>
      <c r="B13" t="s">
        <v>15</v>
      </c>
      <c r="C13" t="s">
        <v>104</v>
      </c>
      <c r="D13" s="3">
        <v>22668.67</v>
      </c>
      <c r="E13" s="3">
        <v>22668.67</v>
      </c>
      <c r="F13" s="3">
        <v>22668.67</v>
      </c>
      <c r="G13" s="3">
        <v>22668.67</v>
      </c>
      <c r="H13" s="3">
        <v>22668.67</v>
      </c>
      <c r="I13" s="3">
        <v>22668.67</v>
      </c>
      <c r="J13" s="3">
        <v>22668.67</v>
      </c>
      <c r="K13" s="3">
        <v>22668.67</v>
      </c>
      <c r="L13" s="3">
        <v>22668.67</v>
      </c>
      <c r="M13" s="3">
        <v>22668.67</v>
      </c>
      <c r="N13" s="3">
        <v>22668.67</v>
      </c>
      <c r="O13" s="3">
        <v>22668.67</v>
      </c>
      <c r="P13" s="3">
        <v>272024.03999999992</v>
      </c>
    </row>
    <row r="14" spans="1:16" hidden="1">
      <c r="A14" t="s">
        <v>86</v>
      </c>
      <c r="B14" t="s">
        <v>27</v>
      </c>
      <c r="C14" t="s">
        <v>104</v>
      </c>
      <c r="D14" s="3">
        <v>11667.67</v>
      </c>
      <c r="E14" s="3">
        <v>11667.67</v>
      </c>
      <c r="F14" s="3">
        <v>11667.67</v>
      </c>
      <c r="G14" s="3">
        <v>11667.67</v>
      </c>
      <c r="H14" s="3">
        <v>11667.67</v>
      </c>
      <c r="I14" s="3">
        <v>11667.67</v>
      </c>
      <c r="J14" s="3">
        <v>11667.67</v>
      </c>
      <c r="K14" s="3">
        <v>11667.67</v>
      </c>
      <c r="L14" s="3">
        <v>11667.67</v>
      </c>
      <c r="M14" s="3">
        <v>11667.67</v>
      </c>
      <c r="N14" s="3">
        <v>11667.67</v>
      </c>
      <c r="O14" s="3">
        <v>11667.67</v>
      </c>
      <c r="P14" s="3">
        <v>140012.04</v>
      </c>
    </row>
    <row r="15" spans="1:16" hidden="1">
      <c r="A15" t="s">
        <v>87</v>
      </c>
      <c r="B15" t="s">
        <v>21</v>
      </c>
      <c r="C15" t="s">
        <v>104</v>
      </c>
      <c r="D15" s="3">
        <v>54166.67</v>
      </c>
      <c r="E15" s="3">
        <v>54166.67</v>
      </c>
      <c r="F15" s="3">
        <v>54166.67</v>
      </c>
      <c r="G15" s="3">
        <v>54166.67</v>
      </c>
      <c r="H15" s="3">
        <v>54166.67</v>
      </c>
      <c r="I15" s="3">
        <v>54166.67</v>
      </c>
      <c r="J15" s="3">
        <v>54166.67</v>
      </c>
      <c r="K15" s="3">
        <v>54166.67</v>
      </c>
      <c r="L15" s="3">
        <v>54166.67</v>
      </c>
      <c r="M15" s="3">
        <v>54166.67</v>
      </c>
      <c r="N15" s="3">
        <v>54166.67</v>
      </c>
      <c r="O15" s="3">
        <v>54166.67</v>
      </c>
      <c r="P15" s="3">
        <v>650000.04</v>
      </c>
    </row>
    <row r="16" spans="1:16" hidden="1">
      <c r="A16" t="s">
        <v>75</v>
      </c>
      <c r="B16" t="s">
        <v>55</v>
      </c>
      <c r="C16" t="s">
        <v>105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76</v>
      </c>
      <c r="B17" t="s">
        <v>35</v>
      </c>
      <c r="C17" t="s">
        <v>105</v>
      </c>
      <c r="D17" s="3">
        <v>139.91725395089784</v>
      </c>
      <c r="E17" s="3">
        <v>139.91725395089784</v>
      </c>
      <c r="F17" s="3">
        <v>139.91725395089784</v>
      </c>
      <c r="G17" s="3">
        <v>139.91725395089784</v>
      </c>
      <c r="H17" s="3">
        <v>139.91725395089784</v>
      </c>
      <c r="I17" s="3">
        <v>139.91725395089784</v>
      </c>
      <c r="J17" s="3">
        <v>139.91725395089784</v>
      </c>
      <c r="K17" s="3">
        <v>139.91725395089784</v>
      </c>
      <c r="L17" s="3">
        <v>139.91725395089784</v>
      </c>
      <c r="M17" s="3">
        <v>139.91725395089784</v>
      </c>
      <c r="N17" s="3">
        <v>139.91725395089784</v>
      </c>
      <c r="O17" s="3">
        <v>139.91725395089784</v>
      </c>
      <c r="P17" s="3">
        <v>1679.0070474107745</v>
      </c>
    </row>
    <row r="18" spans="1:16" hidden="1">
      <c r="A18" t="s">
        <v>77</v>
      </c>
      <c r="B18" t="s">
        <v>29</v>
      </c>
      <c r="C18" t="s">
        <v>105</v>
      </c>
      <c r="D18" s="3">
        <v>104.95812471792682</v>
      </c>
      <c r="E18" s="3">
        <v>104.95812471792682</v>
      </c>
      <c r="F18" s="3">
        <v>104.95812471792682</v>
      </c>
      <c r="G18" s="3">
        <v>104.95812471792682</v>
      </c>
      <c r="H18" s="3">
        <v>104.95812471792682</v>
      </c>
      <c r="I18" s="3">
        <v>104.95812471792682</v>
      </c>
      <c r="J18" s="3">
        <v>104.95812471792682</v>
      </c>
      <c r="K18" s="3">
        <v>104.95812471792682</v>
      </c>
      <c r="L18" s="3">
        <v>104.95812471792682</v>
      </c>
      <c r="M18" s="3">
        <v>104.95812471792682</v>
      </c>
      <c r="N18" s="3">
        <v>104.95812471792682</v>
      </c>
      <c r="O18" s="3">
        <v>104.95812471792682</v>
      </c>
      <c r="P18" s="3">
        <v>1259.4974966151221</v>
      </c>
    </row>
    <row r="19" spans="1:16" hidden="1">
      <c r="A19" t="s">
        <v>78</v>
      </c>
      <c r="B19" t="s">
        <v>23</v>
      </c>
      <c r="C19" t="s">
        <v>105</v>
      </c>
      <c r="D19" s="3">
        <v>939.53786066918894</v>
      </c>
      <c r="E19" s="3">
        <v>939.53786066918894</v>
      </c>
      <c r="F19" s="3">
        <v>939.53786066918894</v>
      </c>
      <c r="G19" s="3">
        <v>939.53786066918894</v>
      </c>
      <c r="H19" s="3">
        <v>939.53786066918894</v>
      </c>
      <c r="I19" s="3">
        <v>939.53786066918894</v>
      </c>
      <c r="J19" s="3">
        <v>939.53786066918894</v>
      </c>
      <c r="K19" s="3">
        <v>939.53786066918894</v>
      </c>
      <c r="L19" s="3">
        <v>939.53786066918894</v>
      </c>
      <c r="M19" s="3">
        <v>939.53786066918894</v>
      </c>
      <c r="N19" s="3">
        <v>939.53786066918894</v>
      </c>
      <c r="O19" s="3">
        <v>939.53786066918894</v>
      </c>
      <c r="P19" s="3">
        <v>11274.454328030266</v>
      </c>
    </row>
    <row r="20" spans="1:16" hidden="1">
      <c r="A20" t="s">
        <v>79</v>
      </c>
      <c r="B20" t="s">
        <v>31</v>
      </c>
      <c r="C20" t="s">
        <v>105</v>
      </c>
      <c r="D20" s="3">
        <v>445.04424979066852</v>
      </c>
      <c r="E20" s="3">
        <v>445.04424979066852</v>
      </c>
      <c r="F20" s="3">
        <v>445.04424979066852</v>
      </c>
      <c r="G20" s="3">
        <v>445.04424979066852</v>
      </c>
      <c r="H20" s="3">
        <v>445.04424979066852</v>
      </c>
      <c r="I20" s="3">
        <v>445.04424979066852</v>
      </c>
      <c r="J20" s="3">
        <v>445.04424979066852</v>
      </c>
      <c r="K20" s="3">
        <v>445.04424979066852</v>
      </c>
      <c r="L20" s="3">
        <v>445.04424979066852</v>
      </c>
      <c r="M20" s="3">
        <v>445.04424979066852</v>
      </c>
      <c r="N20" s="3">
        <v>445.04424979066852</v>
      </c>
      <c r="O20" s="3">
        <v>445.04424979066852</v>
      </c>
      <c r="P20" s="3">
        <v>5340.530997488022</v>
      </c>
    </row>
    <row r="21" spans="1:16" hidden="1">
      <c r="A21" t="s">
        <v>80</v>
      </c>
      <c r="B21" t="s">
        <v>37</v>
      </c>
      <c r="C21" t="s">
        <v>105</v>
      </c>
      <c r="D21" s="3">
        <v>469.52168352915527</v>
      </c>
      <c r="E21" s="3">
        <v>469.52168352915527</v>
      </c>
      <c r="F21" s="3">
        <v>469.52168352915527</v>
      </c>
      <c r="G21" s="3">
        <v>469.52168352915527</v>
      </c>
      <c r="H21" s="3">
        <v>469.52168352915527</v>
      </c>
      <c r="I21" s="3">
        <v>469.52168352915527</v>
      </c>
      <c r="J21" s="3">
        <v>469.52168352915527</v>
      </c>
      <c r="K21" s="3">
        <v>469.52168352915527</v>
      </c>
      <c r="L21" s="3">
        <v>469.52168352915527</v>
      </c>
      <c r="M21" s="3">
        <v>469.52168352915527</v>
      </c>
      <c r="N21" s="3">
        <v>469.52168352915527</v>
      </c>
      <c r="O21" s="3">
        <v>469.52168352915527</v>
      </c>
      <c r="P21" s="3">
        <v>5634.2602023498621</v>
      </c>
    </row>
    <row r="22" spans="1:16" hidden="1">
      <c r="A22" t="s">
        <v>81</v>
      </c>
      <c r="B22" t="s">
        <v>17</v>
      </c>
      <c r="C22" t="s">
        <v>105</v>
      </c>
      <c r="D22" s="3">
        <v>618.11701359815072</v>
      </c>
      <c r="E22" s="3">
        <v>618.11701359815072</v>
      </c>
      <c r="F22" s="3">
        <v>618.11701359815072</v>
      </c>
      <c r="G22" s="3">
        <v>618.11701359815072</v>
      </c>
      <c r="H22" s="3">
        <v>618.11701359815072</v>
      </c>
      <c r="I22" s="3">
        <v>618.11701359815072</v>
      </c>
      <c r="J22" s="3">
        <v>618.11701359815072</v>
      </c>
      <c r="K22" s="3">
        <v>618.11701359815072</v>
      </c>
      <c r="L22" s="3">
        <v>618.11701359815072</v>
      </c>
      <c r="M22" s="3">
        <v>618.11701359815072</v>
      </c>
      <c r="N22" s="3">
        <v>618.11701359815072</v>
      </c>
      <c r="O22" s="3">
        <v>618.11701359815072</v>
      </c>
      <c r="P22" s="3">
        <v>7417.40416317781</v>
      </c>
    </row>
    <row r="23" spans="1:16" hidden="1">
      <c r="A23" t="s">
        <v>82</v>
      </c>
      <c r="B23" t="s">
        <v>19</v>
      </c>
      <c r="C23" t="s">
        <v>105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hidden="1">
      <c r="A24" t="s">
        <v>83</v>
      </c>
      <c r="B24" t="s">
        <v>33</v>
      </c>
      <c r="C24" t="s">
        <v>105</v>
      </c>
      <c r="D24" s="3">
        <v>296.94341333255159</v>
      </c>
      <c r="E24" s="3">
        <v>296.94341333255159</v>
      </c>
      <c r="F24" s="3">
        <v>296.94341333255159</v>
      </c>
      <c r="G24" s="3">
        <v>296.94341333255159</v>
      </c>
      <c r="H24" s="3">
        <v>296.94341333255159</v>
      </c>
      <c r="I24" s="3">
        <v>296.94341333255159</v>
      </c>
      <c r="J24" s="3">
        <v>296.94341333255159</v>
      </c>
      <c r="K24" s="3">
        <v>296.94341333255159</v>
      </c>
      <c r="L24" s="3">
        <v>296.94341333255159</v>
      </c>
      <c r="M24" s="3">
        <v>296.94341333255159</v>
      </c>
      <c r="N24" s="3">
        <v>296.94341333255159</v>
      </c>
      <c r="O24" s="3">
        <v>296.94341333255159</v>
      </c>
      <c r="P24" s="3">
        <v>3563.3209599906199</v>
      </c>
    </row>
    <row r="25" spans="1:16" hidden="1">
      <c r="A25" t="s">
        <v>84</v>
      </c>
      <c r="B25" t="s">
        <v>25</v>
      </c>
      <c r="C25" t="s">
        <v>105</v>
      </c>
      <c r="D25" s="3">
        <v>939.53786066918894</v>
      </c>
      <c r="E25" s="3">
        <v>939.53786066918894</v>
      </c>
      <c r="F25" s="3">
        <v>939.53786066918894</v>
      </c>
      <c r="G25" s="3">
        <v>939.53786066918894</v>
      </c>
      <c r="H25" s="3">
        <v>939.53786066918894</v>
      </c>
      <c r="I25" s="3">
        <v>939.53786066918894</v>
      </c>
      <c r="J25" s="3">
        <v>939.53786066918894</v>
      </c>
      <c r="K25" s="3">
        <v>939.53786066918894</v>
      </c>
      <c r="L25" s="3">
        <v>939.53786066918894</v>
      </c>
      <c r="M25" s="3">
        <v>939.53786066918894</v>
      </c>
      <c r="N25" s="3">
        <v>939.53786066918894</v>
      </c>
      <c r="O25" s="3">
        <v>939.53786066918894</v>
      </c>
      <c r="P25" s="3">
        <v>11274.454328030266</v>
      </c>
    </row>
    <row r="26" spans="1:16" hidden="1">
      <c r="A26" t="s">
        <v>85</v>
      </c>
      <c r="B26" t="s">
        <v>15</v>
      </c>
      <c r="C26" t="s">
        <v>105</v>
      </c>
      <c r="D26" s="3">
        <v>148.39464094734578</v>
      </c>
      <c r="E26" s="3">
        <v>148.39464094734578</v>
      </c>
      <c r="F26" s="3">
        <v>148.39464094734578</v>
      </c>
      <c r="G26" s="3">
        <v>148.39464094734578</v>
      </c>
      <c r="H26" s="3">
        <v>148.39464094734578</v>
      </c>
      <c r="I26" s="3">
        <v>148.39464094734578</v>
      </c>
      <c r="J26" s="3">
        <v>148.39464094734578</v>
      </c>
      <c r="K26" s="3">
        <v>148.39464094734578</v>
      </c>
      <c r="L26" s="3">
        <v>148.39464094734578</v>
      </c>
      <c r="M26" s="3">
        <v>148.39464094734578</v>
      </c>
      <c r="N26" s="3">
        <v>148.39464094734578</v>
      </c>
      <c r="O26" s="3">
        <v>148.39464094734578</v>
      </c>
      <c r="P26" s="3">
        <v>1780.7356913681494</v>
      </c>
    </row>
    <row r="27" spans="1:16" hidden="1">
      <c r="A27" t="s">
        <v>86</v>
      </c>
      <c r="B27" t="s">
        <v>27</v>
      </c>
      <c r="C27" t="s">
        <v>105</v>
      </c>
      <c r="D27" s="3">
        <v>155.1361820349972</v>
      </c>
      <c r="E27" s="3">
        <v>155.1361820349972</v>
      </c>
      <c r="F27" s="3">
        <v>155.1361820349972</v>
      </c>
      <c r="G27" s="3">
        <v>155.1361820349972</v>
      </c>
      <c r="H27" s="3">
        <v>155.1361820349972</v>
      </c>
      <c r="I27" s="3">
        <v>155.1361820349972</v>
      </c>
      <c r="J27" s="3">
        <v>155.1361820349972</v>
      </c>
      <c r="K27" s="3">
        <v>155.1361820349972</v>
      </c>
      <c r="L27" s="3">
        <v>155.1361820349972</v>
      </c>
      <c r="M27" s="3">
        <v>155.1361820349972</v>
      </c>
      <c r="N27" s="3">
        <v>155.1361820349972</v>
      </c>
      <c r="O27" s="3">
        <v>155.1361820349972</v>
      </c>
      <c r="P27" s="3">
        <v>1861.634184419966</v>
      </c>
    </row>
    <row r="28" spans="1:16" hidden="1">
      <c r="A28" t="s">
        <v>87</v>
      </c>
      <c r="B28" t="s">
        <v>21</v>
      </c>
      <c r="C28" t="s">
        <v>105</v>
      </c>
      <c r="D28" s="3">
        <v>855.29555459816584</v>
      </c>
      <c r="E28" s="3">
        <v>855.29555459816584</v>
      </c>
      <c r="F28" s="3">
        <v>855.29555459816584</v>
      </c>
      <c r="G28" s="3">
        <v>855.29555459816584</v>
      </c>
      <c r="H28" s="3">
        <v>855.29555459816584</v>
      </c>
      <c r="I28" s="3">
        <v>855.29555459816584</v>
      </c>
      <c r="J28" s="3">
        <v>855.29555459816584</v>
      </c>
      <c r="K28" s="3">
        <v>855.29555459816584</v>
      </c>
      <c r="L28" s="3">
        <v>855.29555459816584</v>
      </c>
      <c r="M28" s="3">
        <v>855.29555459816584</v>
      </c>
      <c r="N28" s="3">
        <v>855.29555459816584</v>
      </c>
      <c r="O28" s="3">
        <v>855.29555459816584</v>
      </c>
      <c r="P28" s="3">
        <v>10263.54665517799</v>
      </c>
    </row>
    <row r="29" spans="1:16" hidden="1">
      <c r="A29" t="s">
        <v>75</v>
      </c>
      <c r="B29" t="s">
        <v>55</v>
      </c>
      <c r="C29" t="s">
        <v>106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>
      <c r="A30" t="s">
        <v>76</v>
      </c>
      <c r="B30" t="s">
        <v>35</v>
      </c>
      <c r="C30" t="s">
        <v>106</v>
      </c>
      <c r="D30" s="3">
        <v>1010.9166666666666</v>
      </c>
      <c r="E30" s="3">
        <v>1010.9166666666666</v>
      </c>
      <c r="F30" s="3">
        <v>1010.9166666666666</v>
      </c>
      <c r="G30" s="3">
        <v>1010.9166666666666</v>
      </c>
      <c r="H30" s="3">
        <v>1010.9166666666666</v>
      </c>
      <c r="I30" s="3">
        <v>1010.9166666666666</v>
      </c>
      <c r="J30" s="3">
        <v>1010.9166666666666</v>
      </c>
      <c r="K30" s="3">
        <v>1010.9166666666666</v>
      </c>
      <c r="L30" s="3">
        <v>1010.9166666666666</v>
      </c>
      <c r="M30" s="3">
        <v>1010.9166666666666</v>
      </c>
      <c r="N30" s="3">
        <v>1010.9166666666666</v>
      </c>
      <c r="O30" s="3">
        <v>1010.9166666666666</v>
      </c>
      <c r="P30" s="3">
        <v>12130.999999999998</v>
      </c>
    </row>
    <row r="31" spans="1:16" hidden="1">
      <c r="A31" t="s">
        <v>77</v>
      </c>
      <c r="B31" t="s">
        <v>29</v>
      </c>
      <c r="C31" t="s">
        <v>106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hidden="1">
      <c r="A32" t="s">
        <v>78</v>
      </c>
      <c r="B32" t="s">
        <v>23</v>
      </c>
      <c r="C32" t="s">
        <v>106</v>
      </c>
      <c r="D32" s="3">
        <v>1108.3333333333333</v>
      </c>
      <c r="E32" s="3">
        <v>1108.3333333333333</v>
      </c>
      <c r="F32" s="3">
        <v>1108.3333333333333</v>
      </c>
      <c r="G32" s="3">
        <v>1108.3333333333333</v>
      </c>
      <c r="H32" s="3">
        <v>1108.3333333333333</v>
      </c>
      <c r="I32" s="3">
        <v>1108.3333333333333</v>
      </c>
      <c r="J32" s="3">
        <v>1108.3333333333333</v>
      </c>
      <c r="K32" s="3">
        <v>1108.3333333333333</v>
      </c>
      <c r="L32" s="3">
        <v>1108.3333333333333</v>
      </c>
      <c r="M32" s="3">
        <v>1108.3333333333333</v>
      </c>
      <c r="N32" s="3">
        <v>1108.3333333333333</v>
      </c>
      <c r="O32" s="3">
        <v>1108.3333333333333</v>
      </c>
      <c r="P32" s="3">
        <v>13300.000000000002</v>
      </c>
    </row>
    <row r="33" spans="1:16" hidden="1">
      <c r="A33" t="s">
        <v>79</v>
      </c>
      <c r="B33" t="s">
        <v>31</v>
      </c>
      <c r="C33" t="s">
        <v>106</v>
      </c>
      <c r="D33" s="3">
        <v>525</v>
      </c>
      <c r="E33" s="3">
        <v>525</v>
      </c>
      <c r="F33" s="3">
        <v>525</v>
      </c>
      <c r="G33" s="3">
        <v>525</v>
      </c>
      <c r="H33" s="3">
        <v>525</v>
      </c>
      <c r="I33" s="3">
        <v>525</v>
      </c>
      <c r="J33" s="3">
        <v>525</v>
      </c>
      <c r="K33" s="3">
        <v>525</v>
      </c>
      <c r="L33" s="3">
        <v>525</v>
      </c>
      <c r="M33" s="3">
        <v>525</v>
      </c>
      <c r="N33" s="3">
        <v>525</v>
      </c>
      <c r="O33" s="3">
        <v>525</v>
      </c>
      <c r="P33" s="3">
        <v>6300</v>
      </c>
    </row>
    <row r="34" spans="1:16" hidden="1">
      <c r="A34" t="s">
        <v>80</v>
      </c>
      <c r="B34" t="s">
        <v>37</v>
      </c>
      <c r="C34" t="s">
        <v>106</v>
      </c>
      <c r="D34" s="3">
        <v>672.5625</v>
      </c>
      <c r="E34" s="3">
        <v>672.5625</v>
      </c>
      <c r="F34" s="3">
        <v>672.5625</v>
      </c>
      <c r="G34" s="3">
        <v>672.5625</v>
      </c>
      <c r="H34" s="3">
        <v>672.5625</v>
      </c>
      <c r="I34" s="3">
        <v>672.5625</v>
      </c>
      <c r="J34" s="3">
        <v>672.5625</v>
      </c>
      <c r="K34" s="3">
        <v>672.5625</v>
      </c>
      <c r="L34" s="3">
        <v>672.5625</v>
      </c>
      <c r="M34" s="3">
        <v>672.5625</v>
      </c>
      <c r="N34" s="3">
        <v>672.5625</v>
      </c>
      <c r="O34" s="3">
        <v>672.5625</v>
      </c>
      <c r="P34" s="3">
        <v>8070.75</v>
      </c>
    </row>
    <row r="35" spans="1:16" hidden="1">
      <c r="A35" t="s">
        <v>81</v>
      </c>
      <c r="B35" t="s">
        <v>17</v>
      </c>
      <c r="C35" t="s">
        <v>106</v>
      </c>
      <c r="D35" s="3">
        <v>729.16666666666663</v>
      </c>
      <c r="E35" s="3">
        <v>729.16666666666663</v>
      </c>
      <c r="F35" s="3">
        <v>729.16666666666663</v>
      </c>
      <c r="G35" s="3">
        <v>729.16666666666663</v>
      </c>
      <c r="H35" s="3">
        <v>729.16666666666663</v>
      </c>
      <c r="I35" s="3">
        <v>729.16666666666663</v>
      </c>
      <c r="J35" s="3">
        <v>729.16666666666663</v>
      </c>
      <c r="K35" s="3">
        <v>729.16666666666663</v>
      </c>
      <c r="L35" s="3">
        <v>729.16666666666663</v>
      </c>
      <c r="M35" s="3">
        <v>729.16666666666663</v>
      </c>
      <c r="N35" s="3">
        <v>729.16666666666663</v>
      </c>
      <c r="O35" s="3">
        <v>729.16666666666663</v>
      </c>
      <c r="P35" s="3">
        <v>8750.0000000000018</v>
      </c>
    </row>
    <row r="36" spans="1:16" hidden="1">
      <c r="A36" t="s">
        <v>82</v>
      </c>
      <c r="B36" t="s">
        <v>19</v>
      </c>
      <c r="C36" t="s">
        <v>106</v>
      </c>
      <c r="D36" s="3">
        <v>1137.5</v>
      </c>
      <c r="E36" s="3">
        <v>1137.5</v>
      </c>
      <c r="F36" s="3">
        <v>1137.5</v>
      </c>
      <c r="G36" s="3">
        <v>1137.5</v>
      </c>
      <c r="H36" s="3">
        <v>1137.5</v>
      </c>
      <c r="I36" s="3">
        <v>1137.5</v>
      </c>
      <c r="J36" s="3">
        <v>1137.5</v>
      </c>
      <c r="K36" s="3">
        <v>1137.5</v>
      </c>
      <c r="L36" s="3">
        <v>1137.5</v>
      </c>
      <c r="M36" s="3">
        <v>1137.5</v>
      </c>
      <c r="N36" s="3">
        <v>1137.5</v>
      </c>
      <c r="O36" s="3">
        <v>1137.5</v>
      </c>
      <c r="P36" s="3">
        <v>13650</v>
      </c>
    </row>
    <row r="37" spans="1:16" hidden="1">
      <c r="A37" t="s">
        <v>83</v>
      </c>
      <c r="B37" t="s">
        <v>33</v>
      </c>
      <c r="C37" t="s">
        <v>106</v>
      </c>
      <c r="D37" s="3">
        <v>425.35416666666669</v>
      </c>
      <c r="E37" s="3">
        <v>425.35416666666669</v>
      </c>
      <c r="F37" s="3">
        <v>425.35416666666669</v>
      </c>
      <c r="G37" s="3">
        <v>425.35416666666669</v>
      </c>
      <c r="H37" s="3">
        <v>425.35416666666669</v>
      </c>
      <c r="I37" s="3">
        <v>425.35416666666669</v>
      </c>
      <c r="J37" s="3">
        <v>425.35416666666669</v>
      </c>
      <c r="K37" s="3">
        <v>425.35416666666669</v>
      </c>
      <c r="L37" s="3">
        <v>425.35416666666669</v>
      </c>
      <c r="M37" s="3">
        <v>425.35416666666669</v>
      </c>
      <c r="N37" s="3">
        <v>425.35416666666669</v>
      </c>
      <c r="O37" s="3">
        <v>425.35416666666669</v>
      </c>
      <c r="P37" s="3">
        <v>5104.25</v>
      </c>
    </row>
    <row r="38" spans="1:16" hidden="1">
      <c r="A38" t="s">
        <v>84</v>
      </c>
      <c r="B38" t="s">
        <v>25</v>
      </c>
      <c r="C38" t="s">
        <v>106</v>
      </c>
      <c r="D38" s="3">
        <v>1108.3333333333333</v>
      </c>
      <c r="E38" s="3">
        <v>1108.3333333333333</v>
      </c>
      <c r="F38" s="3">
        <v>1108.3333333333333</v>
      </c>
      <c r="G38" s="3">
        <v>1108.3333333333333</v>
      </c>
      <c r="H38" s="3">
        <v>1108.3333333333333</v>
      </c>
      <c r="I38" s="3">
        <v>1108.3333333333333</v>
      </c>
      <c r="J38" s="3">
        <v>1108.3333333333333</v>
      </c>
      <c r="K38" s="3">
        <v>1108.3333333333333</v>
      </c>
      <c r="L38" s="3">
        <v>1108.3333333333333</v>
      </c>
      <c r="M38" s="3">
        <v>1108.3333333333333</v>
      </c>
      <c r="N38" s="3">
        <v>1108.3333333333333</v>
      </c>
      <c r="O38" s="3">
        <v>1108.3333333333333</v>
      </c>
      <c r="P38" s="3">
        <v>13300.000000000002</v>
      </c>
    </row>
    <row r="39" spans="1:16" hidden="1">
      <c r="A39" t="s">
        <v>85</v>
      </c>
      <c r="B39" t="s">
        <v>15</v>
      </c>
      <c r="C39" t="s">
        <v>106</v>
      </c>
      <c r="D39" s="3">
        <v>1072.1666666666667</v>
      </c>
      <c r="E39" s="3">
        <v>1072.1666666666667</v>
      </c>
      <c r="F39" s="3">
        <v>1072.1666666666667</v>
      </c>
      <c r="G39" s="3">
        <v>1072.1666666666667</v>
      </c>
      <c r="H39" s="3">
        <v>1072.1666666666667</v>
      </c>
      <c r="I39" s="3">
        <v>1072.1666666666667</v>
      </c>
      <c r="J39" s="3">
        <v>1072.1666666666667</v>
      </c>
      <c r="K39" s="3">
        <v>1072.1666666666667</v>
      </c>
      <c r="L39" s="3">
        <v>1072.1666666666667</v>
      </c>
      <c r="M39" s="3">
        <v>1072.1666666666667</v>
      </c>
      <c r="N39" s="3">
        <v>1072.1666666666667</v>
      </c>
      <c r="O39" s="3">
        <v>1072.1666666666667</v>
      </c>
      <c r="P39" s="3">
        <v>12865.999999999998</v>
      </c>
    </row>
    <row r="40" spans="1:16" hidden="1">
      <c r="A40" t="s">
        <v>86</v>
      </c>
      <c r="B40" t="s">
        <v>27</v>
      </c>
      <c r="C40" t="s">
        <v>106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 hidden="1">
      <c r="A41" t="s">
        <v>87</v>
      </c>
      <c r="B41" t="s">
        <v>21</v>
      </c>
      <c r="C41" t="s">
        <v>106</v>
      </c>
      <c r="D41" s="3">
        <v>7291.666666666667</v>
      </c>
      <c r="E41" s="3">
        <v>7291.666666666667</v>
      </c>
      <c r="F41" s="3">
        <v>7291.666666666667</v>
      </c>
      <c r="G41" s="3">
        <v>7291.666666666667</v>
      </c>
      <c r="H41" s="3">
        <v>7291.666666666667</v>
      </c>
      <c r="I41" s="3">
        <v>7291.666666666667</v>
      </c>
      <c r="J41" s="3">
        <v>7291.666666666667</v>
      </c>
      <c r="K41" s="3">
        <v>7291.666666666667</v>
      </c>
      <c r="L41" s="3">
        <v>7291.666666666667</v>
      </c>
      <c r="M41" s="3">
        <v>7291.666666666667</v>
      </c>
      <c r="N41" s="3">
        <v>7291.666666666667</v>
      </c>
      <c r="O41" s="3">
        <v>7291.666666666667</v>
      </c>
      <c r="P41" s="3">
        <v>87500.000000000015</v>
      </c>
    </row>
    <row r="42" spans="1:16" hidden="1">
      <c r="A42" t="s">
        <v>75</v>
      </c>
      <c r="B42" t="s">
        <v>55</v>
      </c>
      <c r="C42" t="s">
        <v>107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>
      <c r="A43" t="s">
        <v>76</v>
      </c>
      <c r="B43" t="s">
        <v>35</v>
      </c>
      <c r="C43" t="s">
        <v>107</v>
      </c>
      <c r="D43" s="3">
        <v>72.33896779430107</v>
      </c>
      <c r="E43" s="3">
        <v>72.33896779430107</v>
      </c>
      <c r="F43" s="3">
        <v>72.33896779430107</v>
      </c>
      <c r="G43" s="3">
        <v>72.33896779430107</v>
      </c>
      <c r="H43" s="3">
        <v>72.33896779430107</v>
      </c>
      <c r="I43" s="3">
        <v>72.33896779430107</v>
      </c>
      <c r="J43" s="3">
        <v>72.33896779430107</v>
      </c>
      <c r="K43" s="3">
        <v>72.33896779430107</v>
      </c>
      <c r="L43" s="3">
        <v>72.33896779430107</v>
      </c>
      <c r="M43" s="3">
        <v>72.33896779430107</v>
      </c>
      <c r="N43" s="3">
        <v>72.33896779430107</v>
      </c>
      <c r="O43" s="3">
        <v>72.33896779430107</v>
      </c>
      <c r="P43" s="3">
        <v>868.06761353161289</v>
      </c>
    </row>
    <row r="44" spans="1:16" hidden="1">
      <c r="A44" t="s">
        <v>77</v>
      </c>
      <c r="B44" t="s">
        <v>29</v>
      </c>
      <c r="C44" t="s">
        <v>107</v>
      </c>
      <c r="D44" s="3">
        <v>54.264661357525334</v>
      </c>
      <c r="E44" s="3">
        <v>54.264661357525334</v>
      </c>
      <c r="F44" s="3">
        <v>54.264661357525334</v>
      </c>
      <c r="G44" s="3">
        <v>54.264661357525334</v>
      </c>
      <c r="H44" s="3">
        <v>54.264661357525334</v>
      </c>
      <c r="I44" s="3">
        <v>54.264661357525334</v>
      </c>
      <c r="J44" s="3">
        <v>54.264661357525334</v>
      </c>
      <c r="K44" s="3">
        <v>54.264661357525334</v>
      </c>
      <c r="L44" s="3">
        <v>54.264661357525334</v>
      </c>
      <c r="M44" s="3">
        <v>54.264661357525334</v>
      </c>
      <c r="N44" s="3">
        <v>54.264661357525334</v>
      </c>
      <c r="O44" s="3">
        <v>54.264661357525334</v>
      </c>
      <c r="P44" s="3">
        <v>651.17593629030398</v>
      </c>
    </row>
    <row r="45" spans="1:16" hidden="1">
      <c r="A45" t="s">
        <v>78</v>
      </c>
      <c r="B45" t="s">
        <v>23</v>
      </c>
      <c r="C45" t="s">
        <v>107</v>
      </c>
      <c r="D45" s="3">
        <v>165.24869465316598</v>
      </c>
      <c r="E45" s="3">
        <v>165.24869465316598</v>
      </c>
      <c r="F45" s="3">
        <v>165.24869465316598</v>
      </c>
      <c r="G45" s="3">
        <v>165.24869465316598</v>
      </c>
      <c r="H45" s="3">
        <v>165.24869465316598</v>
      </c>
      <c r="I45" s="3">
        <v>165.24869465316598</v>
      </c>
      <c r="J45" s="3">
        <v>165.24869465316598</v>
      </c>
      <c r="K45" s="3">
        <v>165.24869465316598</v>
      </c>
      <c r="L45" s="3">
        <v>165.24869465316598</v>
      </c>
      <c r="M45" s="3">
        <v>165.24869465316598</v>
      </c>
      <c r="N45" s="3">
        <v>165.24869465316598</v>
      </c>
      <c r="O45" s="3">
        <v>165.24869465316598</v>
      </c>
      <c r="P45" s="3">
        <v>1982.9843358379919</v>
      </c>
    </row>
    <row r="46" spans="1:16" hidden="1">
      <c r="A46" t="s">
        <v>79</v>
      </c>
      <c r="B46" t="s">
        <v>31</v>
      </c>
      <c r="C46" t="s">
        <v>107</v>
      </c>
      <c r="D46" s="3">
        <v>78.275697467289163</v>
      </c>
      <c r="E46" s="3">
        <v>78.275697467289163</v>
      </c>
      <c r="F46" s="3">
        <v>78.275697467289163</v>
      </c>
      <c r="G46" s="3">
        <v>78.275697467289163</v>
      </c>
      <c r="H46" s="3">
        <v>78.275697467289163</v>
      </c>
      <c r="I46" s="3">
        <v>78.275697467289163</v>
      </c>
      <c r="J46" s="3">
        <v>78.275697467289163</v>
      </c>
      <c r="K46" s="3">
        <v>78.275697467289163</v>
      </c>
      <c r="L46" s="3">
        <v>78.275697467289163</v>
      </c>
      <c r="M46" s="3">
        <v>78.275697467289163</v>
      </c>
      <c r="N46" s="3">
        <v>78.275697467289163</v>
      </c>
      <c r="O46" s="3">
        <v>78.275697467289163</v>
      </c>
      <c r="P46" s="3">
        <v>939.30836960747013</v>
      </c>
    </row>
    <row r="47" spans="1:16" hidden="1">
      <c r="A47" t="s">
        <v>80</v>
      </c>
      <c r="B47" t="s">
        <v>37</v>
      </c>
      <c r="C47" t="s">
        <v>107</v>
      </c>
      <c r="D47" s="3">
        <v>82.580860827990065</v>
      </c>
      <c r="E47" s="3">
        <v>82.580860827990065</v>
      </c>
      <c r="F47" s="3">
        <v>82.580860827990065</v>
      </c>
      <c r="G47" s="3">
        <v>82.580860827990065</v>
      </c>
      <c r="H47" s="3">
        <v>82.580860827990065</v>
      </c>
      <c r="I47" s="3">
        <v>82.580860827990065</v>
      </c>
      <c r="J47" s="3">
        <v>82.580860827990065</v>
      </c>
      <c r="K47" s="3">
        <v>82.580860827990065</v>
      </c>
      <c r="L47" s="3">
        <v>82.580860827990065</v>
      </c>
      <c r="M47" s="3">
        <v>82.580860827990065</v>
      </c>
      <c r="N47" s="3">
        <v>82.580860827990065</v>
      </c>
      <c r="O47" s="3">
        <v>82.580860827990065</v>
      </c>
      <c r="P47" s="3">
        <v>990.97032993588061</v>
      </c>
    </row>
    <row r="48" spans="1:16" hidden="1">
      <c r="A48" t="s">
        <v>81</v>
      </c>
      <c r="B48" t="s">
        <v>17</v>
      </c>
      <c r="C48" t="s">
        <v>107</v>
      </c>
      <c r="D48" s="3">
        <v>108.71624648234605</v>
      </c>
      <c r="E48" s="3">
        <v>108.71624648234605</v>
      </c>
      <c r="F48" s="3">
        <v>108.71624648234605</v>
      </c>
      <c r="G48" s="3">
        <v>108.71624648234605</v>
      </c>
      <c r="H48" s="3">
        <v>108.71624648234605</v>
      </c>
      <c r="I48" s="3">
        <v>108.71624648234605</v>
      </c>
      <c r="J48" s="3">
        <v>108.71624648234605</v>
      </c>
      <c r="K48" s="3">
        <v>108.71624648234605</v>
      </c>
      <c r="L48" s="3">
        <v>108.71624648234605</v>
      </c>
      <c r="M48" s="3">
        <v>108.71624648234605</v>
      </c>
      <c r="N48" s="3">
        <v>108.71624648234605</v>
      </c>
      <c r="O48" s="3">
        <v>108.71624648234605</v>
      </c>
      <c r="P48" s="3">
        <v>1304.5949577881529</v>
      </c>
    </row>
    <row r="49" spans="1:16" hidden="1">
      <c r="A49" t="s">
        <v>82</v>
      </c>
      <c r="B49" t="s">
        <v>19</v>
      </c>
      <c r="C49" t="s">
        <v>107</v>
      </c>
      <c r="D49" s="3">
        <v>162.5</v>
      </c>
      <c r="E49" s="3">
        <v>162.5</v>
      </c>
      <c r="F49" s="3">
        <v>162.5</v>
      </c>
      <c r="G49" s="3">
        <v>162.5</v>
      </c>
      <c r="H49" s="3">
        <v>162.5</v>
      </c>
      <c r="I49" s="3">
        <v>162.5</v>
      </c>
      <c r="J49" s="3">
        <v>162.5</v>
      </c>
      <c r="K49" s="3">
        <v>162.5</v>
      </c>
      <c r="L49" s="3">
        <v>162.5</v>
      </c>
      <c r="M49" s="3">
        <v>162.5</v>
      </c>
      <c r="N49" s="3">
        <v>162.5</v>
      </c>
      <c r="O49" s="3">
        <v>162.5</v>
      </c>
      <c r="P49" s="3">
        <v>1950</v>
      </c>
    </row>
    <row r="50" spans="1:16" hidden="1">
      <c r="A50" t="s">
        <v>83</v>
      </c>
      <c r="B50" t="s">
        <v>33</v>
      </c>
      <c r="C50" t="s">
        <v>107</v>
      </c>
      <c r="D50" s="3">
        <v>52.227284810119045</v>
      </c>
      <c r="E50" s="3">
        <v>52.227284810119045</v>
      </c>
      <c r="F50" s="3">
        <v>52.227284810119045</v>
      </c>
      <c r="G50" s="3">
        <v>52.227284810119045</v>
      </c>
      <c r="H50" s="3">
        <v>52.227284810119045</v>
      </c>
      <c r="I50" s="3">
        <v>52.227284810119045</v>
      </c>
      <c r="J50" s="3">
        <v>52.227284810119045</v>
      </c>
      <c r="K50" s="3">
        <v>52.227284810119045</v>
      </c>
      <c r="L50" s="3">
        <v>52.227284810119045</v>
      </c>
      <c r="M50" s="3">
        <v>52.227284810119045</v>
      </c>
      <c r="N50" s="3">
        <v>52.227284810119045</v>
      </c>
      <c r="O50" s="3">
        <v>52.227284810119045</v>
      </c>
      <c r="P50" s="3">
        <v>626.72741772142854</v>
      </c>
    </row>
    <row r="51" spans="1:16" hidden="1">
      <c r="A51" t="s">
        <v>84</v>
      </c>
      <c r="B51" t="s">
        <v>25</v>
      </c>
      <c r="C51" t="s">
        <v>107</v>
      </c>
      <c r="D51" s="3">
        <v>165.24869465316598</v>
      </c>
      <c r="E51" s="3">
        <v>165.24869465316598</v>
      </c>
      <c r="F51" s="3">
        <v>165.24869465316598</v>
      </c>
      <c r="G51" s="3">
        <v>165.24869465316598</v>
      </c>
      <c r="H51" s="3">
        <v>165.24869465316598</v>
      </c>
      <c r="I51" s="3">
        <v>165.24869465316598</v>
      </c>
      <c r="J51" s="3">
        <v>165.24869465316598</v>
      </c>
      <c r="K51" s="3">
        <v>165.24869465316598</v>
      </c>
      <c r="L51" s="3">
        <v>165.24869465316598</v>
      </c>
      <c r="M51" s="3">
        <v>165.24869465316598</v>
      </c>
      <c r="N51" s="3">
        <v>165.24869465316598</v>
      </c>
      <c r="O51" s="3">
        <v>165.24869465316598</v>
      </c>
      <c r="P51" s="3">
        <v>1982.9843358379919</v>
      </c>
    </row>
    <row r="52" spans="1:16" hidden="1">
      <c r="A52" t="s">
        <v>85</v>
      </c>
      <c r="B52" t="s">
        <v>15</v>
      </c>
      <c r="C52" t="s">
        <v>107</v>
      </c>
      <c r="D52" s="3">
        <v>76.721882750101202</v>
      </c>
      <c r="E52" s="3">
        <v>76.721882750101202</v>
      </c>
      <c r="F52" s="3">
        <v>76.721882750101202</v>
      </c>
      <c r="G52" s="3">
        <v>76.721882750101202</v>
      </c>
      <c r="H52" s="3">
        <v>76.721882750101202</v>
      </c>
      <c r="I52" s="3">
        <v>76.721882750101202</v>
      </c>
      <c r="J52" s="3">
        <v>76.721882750101202</v>
      </c>
      <c r="K52" s="3">
        <v>76.721882750101202</v>
      </c>
      <c r="L52" s="3">
        <v>76.721882750101202</v>
      </c>
      <c r="M52" s="3">
        <v>76.721882750101202</v>
      </c>
      <c r="N52" s="3">
        <v>76.721882750101202</v>
      </c>
      <c r="O52" s="3">
        <v>76.721882750101202</v>
      </c>
      <c r="P52" s="3">
        <v>920.66259300121465</v>
      </c>
    </row>
    <row r="53" spans="1:16" hidden="1">
      <c r="A53" t="s">
        <v>86</v>
      </c>
      <c r="B53" t="s">
        <v>27</v>
      </c>
      <c r="C53" t="s">
        <v>107</v>
      </c>
      <c r="D53" s="3">
        <v>80.207343691142242</v>
      </c>
      <c r="E53" s="3">
        <v>80.207343691142242</v>
      </c>
      <c r="F53" s="3">
        <v>80.207343691142242</v>
      </c>
      <c r="G53" s="3">
        <v>80.207343691142242</v>
      </c>
      <c r="H53" s="3">
        <v>80.207343691142242</v>
      </c>
      <c r="I53" s="3">
        <v>80.207343691142242</v>
      </c>
      <c r="J53" s="3">
        <v>80.207343691142242</v>
      </c>
      <c r="K53" s="3">
        <v>80.207343691142242</v>
      </c>
      <c r="L53" s="3">
        <v>80.207343691142242</v>
      </c>
      <c r="M53" s="3">
        <v>80.207343691142242</v>
      </c>
      <c r="N53" s="3">
        <v>80.207343691142242</v>
      </c>
      <c r="O53" s="3">
        <v>80.207343691142242</v>
      </c>
      <c r="P53" s="3">
        <v>962.48812429370685</v>
      </c>
    </row>
    <row r="54" spans="1:16" hidden="1">
      <c r="A54" t="s">
        <v>87</v>
      </c>
      <c r="B54" t="s">
        <v>21</v>
      </c>
      <c r="C54" t="s">
        <v>107</v>
      </c>
      <c r="D54" s="3">
        <v>521.7755899762052</v>
      </c>
      <c r="E54" s="3">
        <v>521.7755899762052</v>
      </c>
      <c r="F54" s="3">
        <v>521.7755899762052</v>
      </c>
      <c r="G54" s="3">
        <v>521.7755899762052</v>
      </c>
      <c r="H54" s="3">
        <v>521.7755899762052</v>
      </c>
      <c r="I54" s="3">
        <v>521.7755899762052</v>
      </c>
      <c r="J54" s="3">
        <v>521.7755899762052</v>
      </c>
      <c r="K54" s="3">
        <v>521.7755899762052</v>
      </c>
      <c r="L54" s="3">
        <v>521.7755899762052</v>
      </c>
      <c r="M54" s="3">
        <v>521.7755899762052</v>
      </c>
      <c r="N54" s="3">
        <v>521.7755899762052</v>
      </c>
      <c r="O54" s="3">
        <v>521.7755899762052</v>
      </c>
      <c r="P54" s="3">
        <v>6261.3070797144619</v>
      </c>
    </row>
    <row r="55" spans="1:16" hidden="1">
      <c r="A55" t="s">
        <v>75</v>
      </c>
      <c r="B55" t="s">
        <v>55</v>
      </c>
      <c r="C55" t="s">
        <v>108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</row>
    <row r="56" spans="1:16">
      <c r="A56" t="s">
        <v>76</v>
      </c>
      <c r="B56" t="s">
        <v>35</v>
      </c>
      <c r="C56" t="s">
        <v>108</v>
      </c>
      <c r="D56" s="3">
        <v>729.43244055752939</v>
      </c>
      <c r="E56" s="3">
        <v>729.43244055752939</v>
      </c>
      <c r="F56" s="3">
        <v>729.43244055752939</v>
      </c>
      <c r="G56" s="3">
        <v>729.43244055752939</v>
      </c>
      <c r="H56" s="3">
        <v>729.43244055752939</v>
      </c>
      <c r="I56" s="3">
        <v>729.43244055752939</v>
      </c>
      <c r="J56" s="3">
        <v>729.43244055752939</v>
      </c>
      <c r="K56" s="3">
        <v>729.43244055752939</v>
      </c>
      <c r="L56" s="3">
        <v>729.43244055752939</v>
      </c>
      <c r="M56" s="3">
        <v>729.43244055752939</v>
      </c>
      <c r="N56" s="3">
        <v>729.43244055752939</v>
      </c>
      <c r="O56" s="3">
        <v>729.43244055752939</v>
      </c>
      <c r="P56" s="3">
        <v>8753.1892866903545</v>
      </c>
    </row>
    <row r="57" spans="1:16" hidden="1">
      <c r="A57" t="s">
        <v>77</v>
      </c>
      <c r="B57" t="s">
        <v>29</v>
      </c>
      <c r="C57" t="s">
        <v>108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6" hidden="1">
      <c r="A58" t="s">
        <v>78</v>
      </c>
      <c r="B58" t="s">
        <v>23</v>
      </c>
      <c r="C58" t="s">
        <v>108</v>
      </c>
      <c r="D58" s="3">
        <v>799.72396829734907</v>
      </c>
      <c r="E58" s="3">
        <v>799.72396829734907</v>
      </c>
      <c r="F58" s="3">
        <v>799.72396829734907</v>
      </c>
      <c r="G58" s="3">
        <v>799.72396829734907</v>
      </c>
      <c r="H58" s="3">
        <v>799.72396829734907</v>
      </c>
      <c r="I58" s="3">
        <v>799.72396829734907</v>
      </c>
      <c r="J58" s="3">
        <v>799.72396829734907</v>
      </c>
      <c r="K58" s="3">
        <v>799.72396829734907</v>
      </c>
      <c r="L58" s="3">
        <v>799.72396829734907</v>
      </c>
      <c r="M58" s="3">
        <v>799.72396829734907</v>
      </c>
      <c r="N58" s="3">
        <v>799.72396829734907</v>
      </c>
      <c r="O58" s="3">
        <v>799.72396829734907</v>
      </c>
      <c r="P58" s="3">
        <v>9596.6876195681871</v>
      </c>
    </row>
    <row r="59" spans="1:16" hidden="1">
      <c r="A59" t="s">
        <v>79</v>
      </c>
      <c r="B59" t="s">
        <v>31</v>
      </c>
      <c r="C59" t="s">
        <v>108</v>
      </c>
      <c r="D59" s="3">
        <v>378.81661656190221</v>
      </c>
      <c r="E59" s="3">
        <v>378.81661656190221</v>
      </c>
      <c r="F59" s="3">
        <v>378.81661656190221</v>
      </c>
      <c r="G59" s="3">
        <v>378.81661656190221</v>
      </c>
      <c r="H59" s="3">
        <v>378.81661656190221</v>
      </c>
      <c r="I59" s="3">
        <v>378.81661656190221</v>
      </c>
      <c r="J59" s="3">
        <v>378.81661656190221</v>
      </c>
      <c r="K59" s="3">
        <v>378.81661656190221</v>
      </c>
      <c r="L59" s="3">
        <v>378.81661656190221</v>
      </c>
      <c r="M59" s="3">
        <v>378.81661656190221</v>
      </c>
      <c r="N59" s="3">
        <v>378.81661656190221</v>
      </c>
      <c r="O59" s="3">
        <v>378.81661656190221</v>
      </c>
      <c r="P59" s="3">
        <v>4545.7993987428263</v>
      </c>
    </row>
    <row r="60" spans="1:16" hidden="1">
      <c r="A60" t="s">
        <v>80</v>
      </c>
      <c r="B60" t="s">
        <v>37</v>
      </c>
      <c r="C60" t="s">
        <v>108</v>
      </c>
      <c r="D60" s="3">
        <v>399.65153047280683</v>
      </c>
      <c r="E60" s="3">
        <v>399.65153047280683</v>
      </c>
      <c r="F60" s="3">
        <v>399.65153047280683</v>
      </c>
      <c r="G60" s="3">
        <v>399.65153047280683</v>
      </c>
      <c r="H60" s="3">
        <v>399.65153047280683</v>
      </c>
      <c r="I60" s="3">
        <v>399.65153047280683</v>
      </c>
      <c r="J60" s="3">
        <v>399.65153047280683</v>
      </c>
      <c r="K60" s="3">
        <v>399.65153047280683</v>
      </c>
      <c r="L60" s="3">
        <v>399.65153047280683</v>
      </c>
      <c r="M60" s="3">
        <v>399.65153047280683</v>
      </c>
      <c r="N60" s="3">
        <v>399.65153047280683</v>
      </c>
      <c r="O60" s="3">
        <v>399.65153047280683</v>
      </c>
      <c r="P60" s="3">
        <v>4795.8183656736819</v>
      </c>
    </row>
    <row r="61" spans="1:16" hidden="1">
      <c r="A61" t="s">
        <v>81</v>
      </c>
      <c r="B61" t="s">
        <v>17</v>
      </c>
      <c r="C61" t="s">
        <v>108</v>
      </c>
      <c r="D61" s="3">
        <v>526.13418966930851</v>
      </c>
      <c r="E61" s="3">
        <v>526.13418966930851</v>
      </c>
      <c r="F61" s="3">
        <v>526.13418966930851</v>
      </c>
      <c r="G61" s="3">
        <v>526.13418966930851</v>
      </c>
      <c r="H61" s="3">
        <v>526.13418966930851</v>
      </c>
      <c r="I61" s="3">
        <v>526.13418966930851</v>
      </c>
      <c r="J61" s="3">
        <v>526.13418966930851</v>
      </c>
      <c r="K61" s="3">
        <v>526.13418966930851</v>
      </c>
      <c r="L61" s="3">
        <v>526.13418966930851</v>
      </c>
      <c r="M61" s="3">
        <v>526.13418966930851</v>
      </c>
      <c r="N61" s="3">
        <v>526.13418966930851</v>
      </c>
      <c r="O61" s="3">
        <v>526.13418966930851</v>
      </c>
      <c r="P61" s="3">
        <v>6313.6102760317017</v>
      </c>
    </row>
    <row r="62" spans="1:16" hidden="1">
      <c r="A62" t="s">
        <v>82</v>
      </c>
      <c r="B62" t="s">
        <v>19</v>
      </c>
      <c r="C62" t="s">
        <v>108</v>
      </c>
      <c r="D62" s="3">
        <v>975</v>
      </c>
      <c r="E62" s="3">
        <v>975</v>
      </c>
      <c r="F62" s="3">
        <v>975</v>
      </c>
      <c r="G62" s="3">
        <v>975</v>
      </c>
      <c r="H62" s="3">
        <v>975</v>
      </c>
      <c r="I62" s="3">
        <v>975</v>
      </c>
      <c r="J62" s="3">
        <v>975</v>
      </c>
      <c r="K62" s="3">
        <v>975</v>
      </c>
      <c r="L62" s="3">
        <v>975</v>
      </c>
      <c r="M62" s="3">
        <v>975</v>
      </c>
      <c r="N62" s="3">
        <v>975</v>
      </c>
      <c r="O62" s="3">
        <v>975</v>
      </c>
      <c r="P62" s="3">
        <v>11700</v>
      </c>
    </row>
    <row r="63" spans="1:16" hidden="1">
      <c r="A63" t="s">
        <v>83</v>
      </c>
      <c r="B63" t="s">
        <v>33</v>
      </c>
      <c r="C63" t="s">
        <v>108</v>
      </c>
      <c r="D63" s="3">
        <v>252.75486471713586</v>
      </c>
      <c r="E63" s="3">
        <v>252.75486471713586</v>
      </c>
      <c r="F63" s="3">
        <v>252.75486471713586</v>
      </c>
      <c r="G63" s="3">
        <v>252.75486471713586</v>
      </c>
      <c r="H63" s="3">
        <v>252.75486471713586</v>
      </c>
      <c r="I63" s="3">
        <v>252.75486471713586</v>
      </c>
      <c r="J63" s="3">
        <v>252.75486471713586</v>
      </c>
      <c r="K63" s="3">
        <v>252.75486471713586</v>
      </c>
      <c r="L63" s="3">
        <v>252.75486471713586</v>
      </c>
      <c r="M63" s="3">
        <v>252.75486471713586</v>
      </c>
      <c r="N63" s="3">
        <v>252.75486471713586</v>
      </c>
      <c r="O63" s="3">
        <v>252.75486471713586</v>
      </c>
      <c r="P63" s="3">
        <v>3033.0583766056297</v>
      </c>
    </row>
    <row r="64" spans="1:16" hidden="1">
      <c r="A64" t="s">
        <v>84</v>
      </c>
      <c r="B64" t="s">
        <v>25</v>
      </c>
      <c r="C64" t="s">
        <v>108</v>
      </c>
      <c r="D64" s="3">
        <v>799.72396829734907</v>
      </c>
      <c r="E64" s="3">
        <v>799.72396829734907</v>
      </c>
      <c r="F64" s="3">
        <v>799.72396829734907</v>
      </c>
      <c r="G64" s="3">
        <v>799.72396829734907</v>
      </c>
      <c r="H64" s="3">
        <v>799.72396829734907</v>
      </c>
      <c r="I64" s="3">
        <v>799.72396829734907</v>
      </c>
      <c r="J64" s="3">
        <v>799.72396829734907</v>
      </c>
      <c r="K64" s="3">
        <v>799.72396829734907</v>
      </c>
      <c r="L64" s="3">
        <v>799.72396829734907</v>
      </c>
      <c r="M64" s="3">
        <v>799.72396829734907</v>
      </c>
      <c r="N64" s="3">
        <v>799.72396829734907</v>
      </c>
      <c r="O64" s="3">
        <v>799.72396829734907</v>
      </c>
      <c r="P64" s="3">
        <v>9596.6876195681871</v>
      </c>
    </row>
    <row r="65" spans="1:16" hidden="1">
      <c r="A65" t="s">
        <v>85</v>
      </c>
      <c r="B65" t="s">
        <v>15</v>
      </c>
      <c r="C65" t="s">
        <v>108</v>
      </c>
      <c r="D65" s="3">
        <v>773.62771248975139</v>
      </c>
      <c r="E65" s="3">
        <v>773.62771248975139</v>
      </c>
      <c r="F65" s="3">
        <v>773.62771248975139</v>
      </c>
      <c r="G65" s="3">
        <v>773.62771248975139</v>
      </c>
      <c r="H65" s="3">
        <v>773.62771248975139</v>
      </c>
      <c r="I65" s="3">
        <v>773.62771248975139</v>
      </c>
      <c r="J65" s="3">
        <v>773.62771248975139</v>
      </c>
      <c r="K65" s="3">
        <v>773.62771248975139</v>
      </c>
      <c r="L65" s="3">
        <v>773.62771248975139</v>
      </c>
      <c r="M65" s="3">
        <v>773.62771248975139</v>
      </c>
      <c r="N65" s="3">
        <v>773.62771248975139</v>
      </c>
      <c r="O65" s="3">
        <v>773.62771248975139</v>
      </c>
      <c r="P65" s="3">
        <v>9283.5325498770162</v>
      </c>
    </row>
    <row r="66" spans="1:16" hidden="1">
      <c r="A66" t="s">
        <v>86</v>
      </c>
      <c r="B66" t="s">
        <v>27</v>
      </c>
      <c r="C66" t="s">
        <v>108</v>
      </c>
      <c r="D66" s="3">
        <v>808.77347635966123</v>
      </c>
      <c r="E66" s="3">
        <v>808.77347635966123</v>
      </c>
      <c r="F66" s="3">
        <v>808.77347635966123</v>
      </c>
      <c r="G66" s="3">
        <v>808.77347635966123</v>
      </c>
      <c r="H66" s="3">
        <v>808.77347635966123</v>
      </c>
      <c r="I66" s="3">
        <v>808.77347635966123</v>
      </c>
      <c r="J66" s="3">
        <v>808.77347635966123</v>
      </c>
      <c r="K66" s="3">
        <v>808.77347635966123</v>
      </c>
      <c r="L66" s="3">
        <v>808.77347635966123</v>
      </c>
      <c r="M66" s="3">
        <v>808.77347635966123</v>
      </c>
      <c r="N66" s="3">
        <v>808.77347635966123</v>
      </c>
      <c r="O66" s="3">
        <v>808.77347635966123</v>
      </c>
      <c r="P66" s="3">
        <v>9705.2817163159343</v>
      </c>
    </row>
    <row r="67" spans="1:16" hidden="1">
      <c r="A67" t="s">
        <v>87</v>
      </c>
      <c r="B67" t="s">
        <v>21</v>
      </c>
      <c r="C67" t="s">
        <v>108</v>
      </c>
      <c r="D67" s="3">
        <v>5261.3418966930858</v>
      </c>
      <c r="E67" s="3">
        <v>5261.3418966930858</v>
      </c>
      <c r="F67" s="3">
        <v>5261.3418966930858</v>
      </c>
      <c r="G67" s="3">
        <v>5261.3418966930858</v>
      </c>
      <c r="H67" s="3">
        <v>5261.3418966930858</v>
      </c>
      <c r="I67" s="3">
        <v>5261.3418966930858</v>
      </c>
      <c r="J67" s="3">
        <v>5261.3418966930858</v>
      </c>
      <c r="K67" s="3">
        <v>5261.3418966930858</v>
      </c>
      <c r="L67" s="3">
        <v>5261.3418966930858</v>
      </c>
      <c r="M67" s="3">
        <v>5261.3418966930858</v>
      </c>
      <c r="N67" s="3">
        <v>5261.3418966930858</v>
      </c>
      <c r="O67" s="3">
        <v>5261.3418966930858</v>
      </c>
      <c r="P67" s="3">
        <v>63136.102760317015</v>
      </c>
    </row>
    <row r="71" spans="1:16">
      <c r="K71" s="52">
        <v>-1041.24</v>
      </c>
    </row>
    <row r="72" spans="1:16">
      <c r="K72">
        <v>-115.53</v>
      </c>
    </row>
    <row r="73" spans="1:16">
      <c r="K73">
        <v>-577.66999999999996</v>
      </c>
    </row>
  </sheetData>
  <autoFilter ref="A2:P67" xr:uid="{0073A24A-1870-48DF-A1F0-5AF2372500DF}">
    <filterColumn colId="1">
      <filters>
        <filter val="Someburros"/>
      </filters>
    </filterColumn>
  </autoFilter>
  <conditionalFormatting sqref="B2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9880a5-8f46-414f-ac65-5519fcf06b35">
      <Terms xmlns="http://schemas.microsoft.com/office/infopath/2007/PartnerControls"/>
    </lcf76f155ced4ddcb4097134ff3c332f>
    <TaxCatchAll xmlns="3f9c4c49-468b-4537-8750-498022e10f1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2CF68C055114DA97EF8D138719082" ma:contentTypeVersion="20" ma:contentTypeDescription="Create a new document." ma:contentTypeScope="" ma:versionID="b5c0750b72c46c851de52cf1d6b36029">
  <xsd:schema xmlns:xsd="http://www.w3.org/2001/XMLSchema" xmlns:xs="http://www.w3.org/2001/XMLSchema" xmlns:p="http://schemas.microsoft.com/office/2006/metadata/properties" xmlns:ns2="069880a5-8f46-414f-ac65-5519fcf06b35" xmlns:ns3="3f9c4c49-468b-4537-8750-498022e10f14" targetNamespace="http://schemas.microsoft.com/office/2006/metadata/properties" ma:root="true" ma:fieldsID="5f9bc3218f61d724115d45943e1be625" ns2:_="" ns3:_="">
    <xsd:import namespace="069880a5-8f46-414f-ac65-5519fcf06b35"/>
    <xsd:import namespace="3f9c4c49-468b-4537-8750-498022e10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880a5-8f46-414f-ac65-5519fcf06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71a3b6-96de-4df1-a824-c11b63785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c4c49-468b-4537-8750-498022e10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055440-4ea0-421c-ac8c-ae1343c94cdc}" ma:internalName="TaxCatchAll" ma:showField="CatchAllData" ma:web="3f9c4c49-468b-4537-8750-498022e10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5BD8CA-E9AB-46A3-8118-E99F58BCE939}"/>
</file>

<file path=customXml/itemProps2.xml><?xml version="1.0" encoding="utf-8"?>
<ds:datastoreItem xmlns:ds="http://schemas.openxmlformats.org/officeDocument/2006/customXml" ds:itemID="{C8B69D77-9839-496F-977B-15C881CF4EF2}"/>
</file>

<file path=customXml/itemProps3.xml><?xml version="1.0" encoding="utf-8"?>
<ds:datastoreItem xmlns:ds="http://schemas.openxmlformats.org/officeDocument/2006/customXml" ds:itemID="{94A4ED7B-7F58-4AAA-81DA-443D3FB0D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Newmark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Kottapalli, Kartik</dc:creator>
  <cp:keywords/>
  <dc:description/>
  <cp:lastModifiedBy>Kartik Kottapalli</cp:lastModifiedBy>
  <cp:revision/>
  <dcterms:created xsi:type="dcterms:W3CDTF">2026-08-03T19:46:01Z</dcterms:created>
  <dcterms:modified xsi:type="dcterms:W3CDTF">2026-09-02T22:08:44Z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0x010100E822CF68C055114DA97EF8D138719082</vt:lpwstr>
  </property>
  <property fmtid="{D5CDD505-2E9C-101B-9397-08002B2CF9AE}" pid="3" name="MediaServiceImageTags">
    <vt:lpwstr/>
  </property>
</Properties>
</file>