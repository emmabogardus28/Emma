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4.xml" ContentType="application/vnd.openxmlformats-officedocument.spreadsheetml.comments+xml"/>
  <Override PartName="/xl/drawings/drawing14.xml" ContentType="application/vnd.openxmlformats-officedocument.drawing+xml"/>
  <Override PartName="/xl/comments5.xml" ContentType="application/vnd.openxmlformats-officedocument.spreadsheetml.comments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ngkfcs-my.sharepoint.com/personal/kaliraj_mariappan_nmrk_com/Documents/Athena/Variance Analysis/2026/07.26/Jai/802/updated/"/>
    </mc:Choice>
  </mc:AlternateContent>
  <xr:revisionPtr revIDLastSave="828" documentId="13_ncr:1_{EC25CF08-9D11-41AB-96EC-986EA362BC8E}" xr6:coauthVersionLast="47" xr6:coauthVersionMax="47" xr10:uidLastSave="{16B3DDBE-90E5-4F08-8192-8093E45C0217}"/>
  <bookViews>
    <workbookView xWindow="-108" yWindow="-108" windowWidth="23256" windowHeight="12456" tabRatio="848" firstSheet="1" activeTab="1" xr2:uid="{00000000-000D-0000-FFFF-FFFF00000000}"/>
  </bookViews>
  <sheets>
    <sheet name="Notes" sheetId="21" state="hidden" r:id="rId1"/>
    <sheet name="Variance" sheetId="25" r:id="rId2"/>
    <sheet name="Final Data" sheetId="29" r:id="rId3"/>
    <sheet name="Detail1" sheetId="30" r:id="rId4"/>
    <sheet name="Pivot" sheetId="28" r:id="rId5"/>
    <sheet name="DATA" sheetId="27" r:id="rId6"/>
    <sheet name="Summary" sheetId="9" r:id="rId7"/>
    <sheet name="Cap-EX" sheetId="22" state="hidden" r:id="rId8"/>
    <sheet name="Rent" sheetId="8" r:id="rId9"/>
    <sheet name="Rent Deferral Recovery" sheetId="7" state="hidden" r:id="rId10"/>
    <sheet name="CAM" sheetId="2" r:id="rId11"/>
    <sheet name="Building Expenses" sheetId="16" r:id="rId12"/>
    <sheet name="Admin Fee" sheetId="6" r:id="rId13"/>
    <sheet name="RE Tax" sheetId="19" r:id="rId14"/>
    <sheet name="Ins." sheetId="4" r:id="rId15"/>
    <sheet name="Signage" sheetId="23" r:id="rId16"/>
    <sheet name="Occup," sheetId="1" state="hidden" r:id="rId17"/>
    <sheet name="Sales Tax" sheetId="24" r:id="rId18"/>
    <sheet name="Tenant Charges" sheetId="15" state="hidden" r:id="rId19"/>
    <sheet name="Slippage" sheetId="14" state="hidden" r:id="rId20"/>
    <sheet name="CAM TENANTS" sheetId="12" state="hidden" r:id="rId21"/>
    <sheet name="Checks and Balances" sheetId="20" state="hidden" r:id="rId22"/>
  </sheets>
  <definedNames>
    <definedName name="_Builtin0">#N/A</definedName>
    <definedName name="_xlnm._FilterDatabase" localSheetId="5" hidden="1">DATA!$A$1:$N$33</definedName>
    <definedName name="_xlnm.Print_Area" localSheetId="12">'Admin Fee'!$A$1:$Q$30</definedName>
    <definedName name="_xlnm.Print_Area" localSheetId="11">'Building Expenses'!$A$1:$Q$31</definedName>
    <definedName name="_xlnm.Print_Area" localSheetId="10">CAM!$A$1:$T$29</definedName>
    <definedName name="_xlnm.Print_Area" localSheetId="20">'CAM TENANTS'!#REF!</definedName>
    <definedName name="_xlnm.Print_Area" localSheetId="14">Ins.!$A$1:$Q$28</definedName>
    <definedName name="_xlnm.Print_Area" localSheetId="0">Notes!$A$1:$C$38</definedName>
    <definedName name="_xlnm.Print_Area" localSheetId="16">'Occup,'!$A$1:$P$24</definedName>
    <definedName name="_xlnm.Print_Area" localSheetId="13">'RE Tax'!$A$1:$Q$27</definedName>
    <definedName name="_xlnm.Print_Area" localSheetId="8">Rent!$A$1:$Q$24</definedName>
    <definedName name="_xlnm.Print_Area" localSheetId="17">'Sales Tax'!$A$1:$V$40</definedName>
    <definedName name="_xlnm.Print_Area" localSheetId="15">Signage!$A$1:$Q$24</definedName>
    <definedName name="_xlnm.Print_Area" localSheetId="19">Slippage!$A$1:$K$66</definedName>
    <definedName name="_xlnm.Print_Area" localSheetId="6">Summary!$A$1:$R$138</definedName>
    <definedName name="_xlnm.Print_Area" localSheetId="18">'Tenant Charges'!$A$1:$P$27</definedName>
    <definedName name="_xlnm.Print_Titles" localSheetId="16">'Occup,'!$1:$11</definedName>
    <definedName name="_xlnm.Print_Titles" localSheetId="6">Summary!$1:$11</definedName>
    <definedName name="_xlnm.Print_Titles" localSheetId="18">'Tenant Charges'!$1:$6</definedName>
    <definedName name="Z_7691FA39_7EA9_407C_9567_49BEFD6339F8_.wvu.PrintArea" localSheetId="10" hidden="1">CAM!$A$1:$Q$32</definedName>
    <definedName name="Z_7691FA39_7EA9_407C_9567_49BEFD6339F8_.wvu.PrintArea" localSheetId="16" hidden="1">'Occup,'!$A$12:$P$48</definedName>
    <definedName name="Z_7691FA39_7EA9_407C_9567_49BEFD6339F8_.wvu.PrintArea" localSheetId="19" hidden="1">Slippage!$A$7:$K$67</definedName>
    <definedName name="Z_7691FA39_7EA9_407C_9567_49BEFD6339F8_.wvu.PrintArea" localSheetId="6" hidden="1">Summary!$A$1:$O$146</definedName>
    <definedName name="Z_7691FA39_7EA9_407C_9567_49BEFD6339F8_.wvu.PrintArea" localSheetId="18" hidden="1">'Tenant Charges'!$A$1:$N$12</definedName>
    <definedName name="Z_7691FA39_7EA9_407C_9567_49BEFD6339F8_.wvu.PrintTitles" localSheetId="16" hidden="1">'Occup,'!$1:$11</definedName>
    <definedName name="Z_7691FA39_7EA9_407C_9567_49BEFD6339F8_.wvu.PrintTitles" localSheetId="6" hidden="1">Summary!$1:$11</definedName>
    <definedName name="Z_7691FA39_7EA9_407C_9567_49BEFD6339F8_.wvu.PrintTitles" localSheetId="18" hidden="1">'Tenant Charges'!$1:$6</definedName>
  </definedNames>
  <calcPr calcId="191028"/>
  <customWorkbookViews>
    <customWorkbookView name="Rose - Personal View" guid="{7691FA39-7EA9-407C-9567-49BEFD6339F8}" mergeInterval="0" personalView="1" maximized="1" windowWidth="1020" windowHeight="631" tabRatio="906" activeSheetId="2"/>
  </customWorkbookViews>
  <pivotCaches>
    <pivotCache cacheId="38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27" l="1"/>
  <c r="AN3" i="25"/>
  <c r="AM6" i="25"/>
  <c r="AM5" i="25"/>
  <c r="AM4" i="25"/>
  <c r="AM3" i="25"/>
  <c r="AL6" i="25"/>
  <c r="AL5" i="25"/>
  <c r="AL4" i="25"/>
  <c r="AL3" i="25"/>
  <c r="AI11" i="25"/>
  <c r="AI9" i="25"/>
  <c r="AI5" i="25"/>
  <c r="AH9" i="25"/>
  <c r="AH11" i="25" s="1"/>
  <c r="AG4" i="25"/>
  <c r="AI4" i="25" s="1"/>
  <c r="AG6" i="25"/>
  <c r="AI6" i="25" s="1"/>
  <c r="AG7" i="25"/>
  <c r="AG3" i="25"/>
  <c r="AI3" i="25" s="1"/>
  <c r="AC5" i="25"/>
  <c r="AB9" i="25"/>
  <c r="AB11" i="25" s="1"/>
  <c r="AA6" i="25"/>
  <c r="AC6" i="25" s="1"/>
  <c r="AA4" i="25"/>
  <c r="AC4" i="25" s="1"/>
  <c r="AA3" i="25"/>
  <c r="AC3" i="25" s="1"/>
  <c r="V5" i="25"/>
  <c r="X5" i="25" s="1"/>
  <c r="V6" i="25"/>
  <c r="X6" i="25" s="1"/>
  <c r="V4" i="25"/>
  <c r="V3" i="25"/>
  <c r="X3" i="25" s="1"/>
  <c r="W9" i="25"/>
  <c r="W11" i="25" s="1"/>
  <c r="C44" i="27"/>
  <c r="AG9" i="25" l="1"/>
  <c r="AG11" i="25" s="1"/>
  <c r="AA9" i="25"/>
  <c r="AA11" i="25" s="1"/>
  <c r="AC9" i="25"/>
  <c r="AC11" i="25" s="1"/>
  <c r="V9" i="25"/>
  <c r="V11" i="25" s="1"/>
  <c r="X4" i="25"/>
  <c r="X9" i="25" s="1"/>
  <c r="X11" i="25" s="1"/>
  <c r="S5" i="25"/>
  <c r="R4" i="25"/>
  <c r="F39" i="27"/>
  <c r="S3" i="25"/>
  <c r="Q9" i="25"/>
  <c r="Q11" i="25" s="1"/>
  <c r="AN5" i="25" l="1"/>
  <c r="R9" i="25"/>
  <c r="R11" i="25" s="1"/>
  <c r="S4" i="25"/>
  <c r="S9" i="25" s="1"/>
  <c r="S11" i="25" s="1"/>
  <c r="G4" i="25"/>
  <c r="C39" i="27"/>
  <c r="L6" i="25" l="1"/>
  <c r="M9" i="25"/>
  <c r="M11" i="25" s="1"/>
  <c r="E19" i="30"/>
  <c r="E20" i="30"/>
  <c r="E21" i="30"/>
  <c r="E22" i="30"/>
  <c r="E23" i="30"/>
  <c r="E24" i="30"/>
  <c r="E25" i="30"/>
  <c r="E18" i="30"/>
  <c r="B7" i="25"/>
  <c r="D7" i="25" s="1"/>
  <c r="G7" i="25"/>
  <c r="AM7" i="25"/>
  <c r="G6" i="25"/>
  <c r="B6" i="25"/>
  <c r="L4" i="25"/>
  <c r="N4" i="25" s="1"/>
  <c r="L3" i="25"/>
  <c r="N3" i="25" s="1"/>
  <c r="I4" i="25"/>
  <c r="G3" i="25"/>
  <c r="I3" i="25" s="1"/>
  <c r="B4" i="25"/>
  <c r="AN4" i="25" s="1"/>
  <c r="B3" i="25"/>
  <c r="H9" i="25"/>
  <c r="H11" i="25" s="1"/>
  <c r="C3" i="25"/>
  <c r="D6" i="25" l="1"/>
  <c r="D4" i="25"/>
  <c r="AL7" i="25"/>
  <c r="AN7" i="25" s="1"/>
  <c r="N9" i="25"/>
  <c r="N11" i="25" s="1"/>
  <c r="G9" i="25"/>
  <c r="G11" i="25" s="1"/>
  <c r="L9" i="25"/>
  <c r="L11" i="25" s="1"/>
  <c r="I9" i="25"/>
  <c r="I11" i="25" s="1"/>
  <c r="D3" i="25"/>
  <c r="C9" i="25" l="1"/>
  <c r="D9" i="25"/>
  <c r="B9" i="25"/>
  <c r="AM9" i="25" l="1"/>
  <c r="AM11" i="25" s="1"/>
  <c r="AN6" i="25"/>
  <c r="AL9" i="25"/>
  <c r="AL11" i="25" s="1"/>
  <c r="AN9" i="25" l="1"/>
  <c r="AN11" i="25" s="1"/>
  <c r="O126" i="9"/>
  <c r="O127" i="9"/>
  <c r="O128" i="9"/>
  <c r="O129" i="9"/>
  <c r="O130" i="9"/>
  <c r="O131" i="9"/>
  <c r="I126" i="9"/>
  <c r="I125" i="9"/>
  <c r="G147" i="9"/>
  <c r="D147" i="9"/>
  <c r="D148" i="9"/>
  <c r="I18" i="8"/>
  <c r="I17" i="8"/>
  <c r="D50" i="12"/>
  <c r="C70" i="9"/>
  <c r="C69" i="9"/>
  <c r="D55" i="9"/>
  <c r="E55" i="9" s="1"/>
  <c r="F55" i="9" s="1"/>
  <c r="G55" i="9" s="1"/>
  <c r="H55" i="9" s="1"/>
  <c r="I55" i="9" s="1"/>
  <c r="J55" i="9" s="1"/>
  <c r="K55" i="9" s="1"/>
  <c r="L55" i="9" s="1"/>
  <c r="M55" i="9" s="1"/>
  <c r="N55" i="9" s="1"/>
  <c r="P48" i="9"/>
  <c r="P44" i="9"/>
  <c r="F37" i="9"/>
  <c r="I37" i="9" s="1"/>
  <c r="L37" i="9" s="1"/>
  <c r="O39" i="9"/>
  <c r="F35" i="9"/>
  <c r="I35" i="9" s="1"/>
  <c r="H75" i="9"/>
  <c r="C21" i="9"/>
  <c r="C44" i="9"/>
  <c r="D32" i="9"/>
  <c r="E32" i="9" s="1"/>
  <c r="F32" i="9" s="1"/>
  <c r="G32" i="9" s="1"/>
  <c r="H32" i="9" s="1"/>
  <c r="I32" i="9" s="1"/>
  <c r="J32" i="9" s="1"/>
  <c r="K32" i="9" s="1"/>
  <c r="L32" i="9" s="1"/>
  <c r="M32" i="9" s="1"/>
  <c r="N32" i="9" s="1"/>
  <c r="H46" i="9"/>
  <c r="K46" i="9" s="1"/>
  <c r="N46" i="9" s="1"/>
  <c r="H40" i="9"/>
  <c r="K40" i="9" s="1"/>
  <c r="N40" i="9" s="1"/>
  <c r="O56" i="9"/>
  <c r="N57" i="9"/>
  <c r="O57" i="9" s="1"/>
  <c r="F30" i="24"/>
  <c r="G30" i="24"/>
  <c r="H30" i="24"/>
  <c r="E30" i="24"/>
  <c r="F25" i="24"/>
  <c r="G25" i="24"/>
  <c r="H25" i="24"/>
  <c r="E25" i="24"/>
  <c r="F15" i="8"/>
  <c r="D37" i="12"/>
  <c r="D34" i="12"/>
  <c r="D35" i="12"/>
  <c r="D36" i="12"/>
  <c r="D33" i="12"/>
  <c r="C28" i="8"/>
  <c r="M1" i="12"/>
  <c r="W1" i="12"/>
  <c r="AF1" i="12"/>
  <c r="AO1" i="12"/>
  <c r="F2" i="12"/>
  <c r="O2" i="12"/>
  <c r="X2" i="12"/>
  <c r="AG2" i="12"/>
  <c r="F3" i="12"/>
  <c r="O3" i="12"/>
  <c r="X3" i="12"/>
  <c r="AG3" i="12"/>
  <c r="F4" i="12"/>
  <c r="O4" i="12"/>
  <c r="X4" i="12"/>
  <c r="AG4" i="12"/>
  <c r="H6" i="12"/>
  <c r="Q6" i="12"/>
  <c r="Z6" i="12"/>
  <c r="AI6" i="12"/>
  <c r="H7" i="12"/>
  <c r="Q7" i="12"/>
  <c r="Z7" i="12"/>
  <c r="AI7" i="12"/>
  <c r="H8" i="12"/>
  <c r="Q8" i="12"/>
  <c r="Z8" i="12"/>
  <c r="AI8" i="12"/>
  <c r="M12" i="12"/>
  <c r="V12" i="12"/>
  <c r="AN12" i="12"/>
  <c r="F15" i="12"/>
  <c r="F16" i="12"/>
  <c r="R52" i="12"/>
  <c r="AA52" i="12"/>
  <c r="AJ52" i="12"/>
  <c r="M65" i="12"/>
  <c r="R65" i="12"/>
  <c r="V65" i="12"/>
  <c r="AA65" i="12"/>
  <c r="AE65" i="12"/>
  <c r="AJ65" i="12"/>
  <c r="AN65" i="12"/>
  <c r="Q75" i="12"/>
  <c r="S75" i="12"/>
  <c r="T75" i="12"/>
  <c r="U75" i="12"/>
  <c r="Z75" i="12"/>
  <c r="AB75" i="12"/>
  <c r="AC75" i="12"/>
  <c r="AD75" i="12"/>
  <c r="AI75" i="12"/>
  <c r="AK75" i="12"/>
  <c r="AL75" i="12"/>
  <c r="AM75" i="12"/>
  <c r="A6" i="24"/>
  <c r="A5" i="24"/>
  <c r="A4" i="24"/>
  <c r="A3" i="24"/>
  <c r="C29" i="24"/>
  <c r="C24" i="24"/>
  <c r="B29" i="24"/>
  <c r="A29" i="24"/>
  <c r="B24" i="24"/>
  <c r="A24" i="24"/>
  <c r="Q29" i="24"/>
  <c r="Q24" i="24"/>
  <c r="P16" i="1"/>
  <c r="E15" i="1"/>
  <c r="G15" i="1"/>
  <c r="H15" i="1"/>
  <c r="I15" i="1"/>
  <c r="J15" i="1"/>
  <c r="K15" i="1"/>
  <c r="L15" i="1"/>
  <c r="M15" i="1"/>
  <c r="N15" i="1"/>
  <c r="O15" i="1"/>
  <c r="E16" i="1"/>
  <c r="F16" i="1"/>
  <c r="G16" i="1"/>
  <c r="H16" i="1"/>
  <c r="I16" i="1"/>
  <c r="J16" i="1"/>
  <c r="K16" i="1"/>
  <c r="L16" i="1"/>
  <c r="M16" i="1"/>
  <c r="N16" i="1"/>
  <c r="O16" i="1"/>
  <c r="E17" i="1"/>
  <c r="F17" i="1"/>
  <c r="G17" i="1"/>
  <c r="H17" i="1"/>
  <c r="E18" i="1"/>
  <c r="F18" i="1"/>
  <c r="G18" i="1"/>
  <c r="H18" i="1"/>
  <c r="D16" i="1"/>
  <c r="D17" i="1"/>
  <c r="D18" i="1"/>
  <c r="Q16" i="4"/>
  <c r="R16" i="4"/>
  <c r="F15" i="4"/>
  <c r="H15" i="4"/>
  <c r="I15" i="4"/>
  <c r="J15" i="4"/>
  <c r="K15" i="4"/>
  <c r="L15" i="4"/>
  <c r="M15" i="4"/>
  <c r="N15" i="4"/>
  <c r="O15" i="4"/>
  <c r="P15" i="4"/>
  <c r="F16" i="4"/>
  <c r="G16" i="4"/>
  <c r="H16" i="4"/>
  <c r="I16" i="4"/>
  <c r="J16" i="4"/>
  <c r="K16" i="4"/>
  <c r="L16" i="4"/>
  <c r="M16" i="4"/>
  <c r="N16" i="4"/>
  <c r="O16" i="4"/>
  <c r="P16" i="4"/>
  <c r="F17" i="4"/>
  <c r="G17" i="4"/>
  <c r="H17" i="4"/>
  <c r="F18" i="4"/>
  <c r="G18" i="4"/>
  <c r="H18" i="4"/>
  <c r="E16" i="4"/>
  <c r="E17" i="4"/>
  <c r="E18" i="4"/>
  <c r="Q16" i="19"/>
  <c r="R16" i="19"/>
  <c r="F15" i="19"/>
  <c r="H15" i="19"/>
  <c r="I15" i="19"/>
  <c r="J15" i="19"/>
  <c r="K15" i="19"/>
  <c r="L15" i="19"/>
  <c r="M15" i="19"/>
  <c r="N15" i="19"/>
  <c r="O15" i="19"/>
  <c r="P15" i="19"/>
  <c r="F16" i="19"/>
  <c r="G16" i="19"/>
  <c r="H16" i="19"/>
  <c r="I16" i="19"/>
  <c r="J16" i="19"/>
  <c r="K16" i="19"/>
  <c r="L16" i="19"/>
  <c r="M16" i="19"/>
  <c r="N16" i="19"/>
  <c r="O16" i="19"/>
  <c r="P16" i="19"/>
  <c r="F17" i="19"/>
  <c r="G17" i="19"/>
  <c r="H17" i="19"/>
  <c r="F18" i="19"/>
  <c r="G18" i="19"/>
  <c r="H18" i="19"/>
  <c r="E16" i="19"/>
  <c r="E17" i="19"/>
  <c r="E18" i="19"/>
  <c r="F17" i="6"/>
  <c r="G17" i="6"/>
  <c r="H17" i="6"/>
  <c r="F18" i="6"/>
  <c r="G18" i="6"/>
  <c r="H18" i="6"/>
  <c r="E17" i="6"/>
  <c r="E18" i="6"/>
  <c r="Q16" i="16"/>
  <c r="R16" i="16"/>
  <c r="F15" i="16"/>
  <c r="H15" i="16"/>
  <c r="I15" i="16"/>
  <c r="J15" i="16"/>
  <c r="K15" i="16"/>
  <c r="L15" i="16"/>
  <c r="M15" i="16"/>
  <c r="N15" i="16"/>
  <c r="O15" i="16"/>
  <c r="P15" i="16"/>
  <c r="F16" i="16"/>
  <c r="G16" i="16"/>
  <c r="H16" i="16"/>
  <c r="I16" i="16"/>
  <c r="J16" i="16"/>
  <c r="K16" i="16"/>
  <c r="L16" i="16"/>
  <c r="M16" i="16"/>
  <c r="N16" i="16"/>
  <c r="O16" i="16"/>
  <c r="P16" i="16"/>
  <c r="F17" i="16"/>
  <c r="G17" i="16"/>
  <c r="H17" i="16"/>
  <c r="F18" i="16"/>
  <c r="G18" i="16"/>
  <c r="H18" i="16"/>
  <c r="E16" i="16"/>
  <c r="E17" i="16"/>
  <c r="E18" i="16"/>
  <c r="F18" i="2"/>
  <c r="G18" i="2"/>
  <c r="H18" i="2"/>
  <c r="E18" i="2"/>
  <c r="T17" i="2"/>
  <c r="T18" i="2"/>
  <c r="F17" i="2"/>
  <c r="G17" i="2"/>
  <c r="H17" i="2"/>
  <c r="E17" i="2"/>
  <c r="D48" i="9"/>
  <c r="E48" i="9" s="1"/>
  <c r="F48" i="9" s="1"/>
  <c r="G48" i="9" s="1"/>
  <c r="H48" i="9" s="1"/>
  <c r="I48" i="9" s="1"/>
  <c r="J48" i="9" s="1"/>
  <c r="K48" i="9" s="1"/>
  <c r="L48" i="9" s="1"/>
  <c r="M48" i="9" s="1"/>
  <c r="N48" i="9" s="1"/>
  <c r="P27" i="9"/>
  <c r="D7" i="14"/>
  <c r="K11" i="15"/>
  <c r="K12" i="15"/>
  <c r="Q136" i="9"/>
  <c r="P136" i="9"/>
  <c r="C18" i="1"/>
  <c r="C17" i="1"/>
  <c r="C16" i="1"/>
  <c r="C15" i="1"/>
  <c r="O37" i="9" l="1"/>
  <c r="G148" i="9"/>
  <c r="D149" i="9"/>
  <c r="O16" i="15"/>
  <c r="Q18" i="23"/>
  <c r="Q17" i="23"/>
  <c r="Q16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D25" i="4"/>
  <c r="D26" i="16"/>
  <c r="D25" i="2"/>
  <c r="G149" i="9" l="1"/>
  <c r="G150" i="9" s="1"/>
  <c r="G151" i="9" s="1"/>
  <c r="D150" i="9"/>
  <c r="D151" i="9" s="1"/>
  <c r="D152" i="9"/>
  <c r="E152" i="9" s="1"/>
  <c r="E128" i="9" s="1"/>
  <c r="H128" i="9" s="1"/>
  <c r="I23" i="8"/>
  <c r="H23" i="8"/>
  <c r="F23" i="8"/>
  <c r="Q16" i="8"/>
  <c r="Q116" i="9"/>
  <c r="P116" i="9"/>
  <c r="N116" i="9"/>
  <c r="M116" i="9"/>
  <c r="L116" i="9"/>
  <c r="K116" i="9"/>
  <c r="J116" i="9"/>
  <c r="I116" i="9"/>
  <c r="H116" i="9"/>
  <c r="G116" i="9"/>
  <c r="F116" i="9"/>
  <c r="E116" i="9"/>
  <c r="D116" i="9"/>
  <c r="Q107" i="9"/>
  <c r="P107" i="9"/>
  <c r="Q80" i="9"/>
  <c r="P80" i="9"/>
  <c r="N80" i="9"/>
  <c r="M80" i="9"/>
  <c r="L80" i="9"/>
  <c r="K80" i="9"/>
  <c r="J80" i="9"/>
  <c r="I80" i="9"/>
  <c r="H80" i="9"/>
  <c r="G80" i="9"/>
  <c r="F80" i="9"/>
  <c r="E80" i="9"/>
  <c r="D80" i="9"/>
  <c r="Q72" i="9"/>
  <c r="P72" i="9"/>
  <c r="O135" i="9"/>
  <c r="O134" i="9"/>
  <c r="O133" i="9"/>
  <c r="O132" i="9"/>
  <c r="O125" i="9"/>
  <c r="O124" i="9"/>
  <c r="O123" i="9"/>
  <c r="O114" i="9"/>
  <c r="O113" i="9"/>
  <c r="O112" i="9"/>
  <c r="O116" i="9" s="1"/>
  <c r="O105" i="9"/>
  <c r="O104" i="9"/>
  <c r="O103" i="9"/>
  <c r="O101" i="9"/>
  <c r="O100" i="9"/>
  <c r="O99" i="9"/>
  <c r="O98" i="9"/>
  <c r="O97" i="9"/>
  <c r="O96" i="9"/>
  <c r="O95" i="9"/>
  <c r="O71" i="9"/>
  <c r="O68" i="9"/>
  <c r="O67" i="9"/>
  <c r="O66" i="9"/>
  <c r="O65" i="9"/>
  <c r="U65" i="9" s="1"/>
  <c r="O63" i="9"/>
  <c r="O54" i="9"/>
  <c r="O53" i="9"/>
  <c r="O51" i="9"/>
  <c r="O50" i="9"/>
  <c r="O49" i="9"/>
  <c r="O48" i="9"/>
  <c r="O46" i="9"/>
  <c r="O43" i="9"/>
  <c r="O42" i="9"/>
  <c r="O36" i="9"/>
  <c r="O35" i="9"/>
  <c r="O33" i="9"/>
  <c r="O32" i="9"/>
  <c r="O31" i="9"/>
  <c r="O25" i="9"/>
  <c r="O24" i="9"/>
  <c r="O23" i="9"/>
  <c r="O16" i="9"/>
  <c r="R95" i="9"/>
  <c r="G152" i="9" l="1"/>
  <c r="H152" i="9" s="1"/>
  <c r="E129" i="9" s="1"/>
  <c r="R127" i="9"/>
  <c r="R33" i="9"/>
  <c r="R16" i="9"/>
  <c r="R125" i="9"/>
  <c r="R42" i="9"/>
  <c r="R96" i="9"/>
  <c r="R123" i="9"/>
  <c r="R23" i="9"/>
  <c r="R43" i="9"/>
  <c r="R65" i="9"/>
  <c r="R97" i="9"/>
  <c r="R124" i="9"/>
  <c r="R24" i="9"/>
  <c r="R66" i="9"/>
  <c r="R98" i="9"/>
  <c r="R131" i="9"/>
  <c r="R25" i="9"/>
  <c r="R48" i="9"/>
  <c r="R67" i="9"/>
  <c r="R99" i="9"/>
  <c r="R132" i="9"/>
  <c r="R49" i="9"/>
  <c r="R68" i="9"/>
  <c r="R100" i="9"/>
  <c r="R133" i="9"/>
  <c r="R32" i="9"/>
  <c r="R50" i="9"/>
  <c r="R101" i="9"/>
  <c r="R134" i="9"/>
  <c r="R36" i="9"/>
  <c r="R51" i="9"/>
  <c r="R105" i="9"/>
  <c r="R135" i="9"/>
  <c r="R37" i="9"/>
  <c r="R112" i="9"/>
  <c r="R53" i="9"/>
  <c r="R113" i="9"/>
  <c r="R39" i="9"/>
  <c r="R54" i="9"/>
  <c r="R114" i="9"/>
  <c r="Q27" i="9"/>
  <c r="R46" i="9"/>
  <c r="R103" i="9"/>
  <c r="R128" i="9"/>
  <c r="R35" i="9"/>
  <c r="R63" i="9"/>
  <c r="R104" i="9"/>
  <c r="R130" i="9"/>
  <c r="H129" i="9" l="1"/>
  <c r="R129" i="9" s="1"/>
  <c r="R116" i="9"/>
  <c r="Q59" i="9"/>
  <c r="P59" i="9"/>
  <c r="R31" i="9"/>
  <c r="E23" i="8" l="1"/>
  <c r="R17" i="23"/>
  <c r="R18" i="23"/>
  <c r="O94" i="9"/>
  <c r="R94" i="9" s="1"/>
  <c r="O78" i="9"/>
  <c r="R78" i="9" s="1"/>
  <c r="O77" i="9"/>
  <c r="R77" i="9" s="1"/>
  <c r="O76" i="9"/>
  <c r="R76" i="9" s="1"/>
  <c r="O75" i="9"/>
  <c r="O62" i="9"/>
  <c r="Q85" i="9"/>
  <c r="Q89" i="9" s="1"/>
  <c r="Q91" i="9" s="1"/>
  <c r="Q109" i="9" s="1"/>
  <c r="Q138" i="9" s="1"/>
  <c r="P85" i="9"/>
  <c r="P89" i="9" s="1"/>
  <c r="P91" i="9" s="1"/>
  <c r="P109" i="9" s="1"/>
  <c r="P138" i="9" s="1"/>
  <c r="N85" i="9"/>
  <c r="L85" i="9"/>
  <c r="K85" i="9"/>
  <c r="J85" i="9"/>
  <c r="I85" i="9"/>
  <c r="H85" i="9"/>
  <c r="G85" i="9"/>
  <c r="F85" i="9"/>
  <c r="E85" i="9"/>
  <c r="D85" i="9"/>
  <c r="R56" i="9"/>
  <c r="R57" i="9"/>
  <c r="O80" i="9" l="1"/>
  <c r="R75" i="9"/>
  <c r="R80" i="9" s="1"/>
  <c r="R62" i="9"/>
  <c r="S80" i="9" l="1"/>
  <c r="S116" i="9"/>
  <c r="K13" i="15" l="1"/>
  <c r="K14" i="15"/>
  <c r="E12" i="15"/>
  <c r="E13" i="15"/>
  <c r="E14" i="15"/>
  <c r="G18" i="23" l="1"/>
  <c r="H18" i="23" s="1"/>
  <c r="I18" i="23" s="1"/>
  <c r="J18" i="23" s="1"/>
  <c r="K18" i="23" s="1"/>
  <c r="L18" i="23" s="1"/>
  <c r="M18" i="23" s="1"/>
  <c r="N18" i="23" s="1"/>
  <c r="O18" i="23" s="1"/>
  <c r="P18" i="23" s="1"/>
  <c r="F18" i="23"/>
  <c r="G17" i="23"/>
  <c r="H17" i="23" s="1"/>
  <c r="I17" i="23" s="1"/>
  <c r="J17" i="23" s="1"/>
  <c r="K17" i="23" s="1"/>
  <c r="L17" i="23" s="1"/>
  <c r="M17" i="23" s="1"/>
  <c r="N17" i="23" s="1"/>
  <c r="O17" i="23" s="1"/>
  <c r="P17" i="23" s="1"/>
  <c r="F17" i="23"/>
  <c r="G16" i="23"/>
  <c r="H16" i="23" s="1"/>
  <c r="I16" i="23" s="1"/>
  <c r="J16" i="23" s="1"/>
  <c r="K16" i="23" s="1"/>
  <c r="L16" i="23" s="1"/>
  <c r="M16" i="23" s="1"/>
  <c r="N16" i="23" s="1"/>
  <c r="O16" i="23" s="1"/>
  <c r="P16" i="23" s="1"/>
  <c r="F16" i="23"/>
  <c r="G15" i="23"/>
  <c r="H15" i="23" s="1"/>
  <c r="I15" i="23" s="1"/>
  <c r="J15" i="23" s="1"/>
  <c r="K15" i="23" s="1"/>
  <c r="L15" i="23" s="1"/>
  <c r="M15" i="23" s="1"/>
  <c r="N15" i="23" s="1"/>
  <c r="O15" i="23" s="1"/>
  <c r="P15" i="23" s="1"/>
  <c r="F15" i="23"/>
  <c r="J16" i="8" l="1"/>
  <c r="K16" i="8" s="1"/>
  <c r="L16" i="8" s="1"/>
  <c r="M16" i="8" s="1"/>
  <c r="N16" i="8" s="1"/>
  <c r="O16" i="8" s="1"/>
  <c r="P16" i="8" s="1"/>
  <c r="I16" i="8"/>
  <c r="F16" i="8"/>
  <c r="J15" i="8"/>
  <c r="K15" i="8" s="1"/>
  <c r="L15" i="8" s="1"/>
  <c r="M15" i="8" s="1"/>
  <c r="N15" i="8" s="1"/>
  <c r="O15" i="8" s="1"/>
  <c r="P15" i="8" s="1"/>
  <c r="I15" i="8"/>
  <c r="G15" i="8"/>
  <c r="G17" i="8"/>
  <c r="H17" i="8" s="1"/>
  <c r="F17" i="8"/>
  <c r="G18" i="8"/>
  <c r="H18" i="8" s="1"/>
  <c r="J18" i="8" s="1"/>
  <c r="F18" i="8"/>
  <c r="G16" i="8"/>
  <c r="K18" i="8" l="1"/>
  <c r="I18" i="1"/>
  <c r="F15" i="1"/>
  <c r="G15" i="4"/>
  <c r="G15" i="19"/>
  <c r="G15" i="16"/>
  <c r="G23" i="8"/>
  <c r="J17" i="8"/>
  <c r="H7" i="14"/>
  <c r="G7" i="14"/>
  <c r="B13" i="15"/>
  <c r="D13" i="15"/>
  <c r="B14" i="15"/>
  <c r="D14" i="15"/>
  <c r="A17" i="23"/>
  <c r="B17" i="23"/>
  <c r="C17" i="23"/>
  <c r="A18" i="23"/>
  <c r="B18" i="23"/>
  <c r="C18" i="23"/>
  <c r="A17" i="19"/>
  <c r="B17" i="19"/>
  <c r="C17" i="19"/>
  <c r="A18" i="19"/>
  <c r="B18" i="19"/>
  <c r="C18" i="19"/>
  <c r="A17" i="6"/>
  <c r="B17" i="6"/>
  <c r="C17" i="6"/>
  <c r="A18" i="6"/>
  <c r="B18" i="6"/>
  <c r="C18" i="6"/>
  <c r="A17" i="4"/>
  <c r="B17" i="4"/>
  <c r="C17" i="4"/>
  <c r="A18" i="4"/>
  <c r="B18" i="4"/>
  <c r="C18" i="4"/>
  <c r="A17" i="16"/>
  <c r="B17" i="16"/>
  <c r="C17" i="16"/>
  <c r="A18" i="16"/>
  <c r="B18" i="16"/>
  <c r="C18" i="16"/>
  <c r="C7" i="22"/>
  <c r="C6" i="22"/>
  <c r="L18" i="8" l="1"/>
  <c r="J18" i="1"/>
  <c r="K17" i="8"/>
  <c r="I17" i="1"/>
  <c r="J23" i="8"/>
  <c r="A17" i="1"/>
  <c r="B17" i="1"/>
  <c r="A18" i="1"/>
  <c r="B18" i="1"/>
  <c r="A17" i="2"/>
  <c r="B17" i="2"/>
  <c r="C17" i="2"/>
  <c r="A18" i="2"/>
  <c r="B18" i="2"/>
  <c r="C18" i="2"/>
  <c r="D52" i="9"/>
  <c r="D44" i="9"/>
  <c r="N87" i="9"/>
  <c r="O87" i="9" s="1"/>
  <c r="F47" i="9"/>
  <c r="D41" i="9"/>
  <c r="D34" i="9"/>
  <c r="D7" i="22"/>
  <c r="D6" i="22"/>
  <c r="M18" i="8" l="1"/>
  <c r="K18" i="1"/>
  <c r="L17" i="8"/>
  <c r="J17" i="1"/>
  <c r="K23" i="8"/>
  <c r="D45" i="9"/>
  <c r="E44" i="9"/>
  <c r="F44" i="9" s="1"/>
  <c r="G44" i="9" s="1"/>
  <c r="H44" i="9" s="1"/>
  <c r="I44" i="9" s="1"/>
  <c r="J44" i="9" s="1"/>
  <c r="K44" i="9" s="1"/>
  <c r="L44" i="9" s="1"/>
  <c r="M44" i="9" s="1"/>
  <c r="N44" i="9" s="1"/>
  <c r="E38" i="9"/>
  <c r="C59" i="9"/>
  <c r="E52" i="9"/>
  <c r="F52" i="9" s="1"/>
  <c r="G52" i="9" s="1"/>
  <c r="H52" i="9" s="1"/>
  <c r="I52" i="9" s="1"/>
  <c r="J52" i="9" s="1"/>
  <c r="K52" i="9" s="1"/>
  <c r="L52" i="9" s="1"/>
  <c r="M52" i="9" s="1"/>
  <c r="N52" i="9" s="1"/>
  <c r="E34" i="9"/>
  <c r="E41" i="9"/>
  <c r="G47" i="9"/>
  <c r="D64" i="9"/>
  <c r="C72" i="9"/>
  <c r="F38" i="9"/>
  <c r="K38" i="9"/>
  <c r="N38" i="9" s="1"/>
  <c r="N18" i="8" l="1"/>
  <c r="L18" i="1"/>
  <c r="M17" i="8"/>
  <c r="K17" i="1"/>
  <c r="L23" i="8"/>
  <c r="O55" i="9"/>
  <c r="R55" i="9" s="1"/>
  <c r="H47" i="9"/>
  <c r="I47" i="9" s="1"/>
  <c r="J47" i="9" s="1"/>
  <c r="K47" i="9" s="1"/>
  <c r="L47" i="9" s="1"/>
  <c r="M47" i="9" s="1"/>
  <c r="N47" i="9" s="1"/>
  <c r="O47" i="9"/>
  <c r="R47" i="9" s="1"/>
  <c r="O40" i="9"/>
  <c r="R40" i="9" s="1"/>
  <c r="O44" i="9"/>
  <c r="R44" i="9" s="1"/>
  <c r="O52" i="9"/>
  <c r="R52" i="9" s="1"/>
  <c r="E45" i="9"/>
  <c r="F45" i="9" s="1"/>
  <c r="G45" i="9" s="1"/>
  <c r="H45" i="9" s="1"/>
  <c r="O45" i="9" s="1"/>
  <c r="R45" i="9" s="1"/>
  <c r="D59" i="9"/>
  <c r="F41" i="9"/>
  <c r="G41" i="9" s="1"/>
  <c r="I38" i="9"/>
  <c r="F34" i="9"/>
  <c r="E64" i="9"/>
  <c r="J45" i="9"/>
  <c r="K45" i="9" s="1"/>
  <c r="L45" i="9" s="1"/>
  <c r="M45" i="9" s="1"/>
  <c r="N45" i="9" s="1"/>
  <c r="B19" i="24"/>
  <c r="C19" i="24"/>
  <c r="A19" i="24"/>
  <c r="B14" i="24"/>
  <c r="C14" i="24"/>
  <c r="A14" i="24"/>
  <c r="Q19" i="24"/>
  <c r="Q14" i="24"/>
  <c r="D11" i="24"/>
  <c r="N122" i="9"/>
  <c r="O122" i="9" s="1"/>
  <c r="R122" i="9" s="1"/>
  <c r="E59" i="9" l="1"/>
  <c r="O18" i="8"/>
  <c r="M18" i="1"/>
  <c r="N17" i="8"/>
  <c r="L17" i="1"/>
  <c r="M23" i="8"/>
  <c r="F59" i="9"/>
  <c r="D31" i="24"/>
  <c r="D26" i="24"/>
  <c r="H41" i="9"/>
  <c r="L38" i="9"/>
  <c r="O38" i="9" s="1"/>
  <c r="F64" i="9"/>
  <c r="G34" i="9"/>
  <c r="D16" i="24"/>
  <c r="D21" i="24"/>
  <c r="D70" i="9"/>
  <c r="D69" i="9"/>
  <c r="K16" i="15"/>
  <c r="K19" i="15" s="1"/>
  <c r="D21" i="9"/>
  <c r="F26" i="23" s="1"/>
  <c r="E21" i="9"/>
  <c r="G26" i="23" s="1"/>
  <c r="F21" i="9"/>
  <c r="H26" i="23" s="1"/>
  <c r="G21" i="9"/>
  <c r="I26" i="23" s="1"/>
  <c r="H21" i="9"/>
  <c r="J26" i="23" s="1"/>
  <c r="I21" i="9"/>
  <c r="K26" i="23" s="1"/>
  <c r="J21" i="9"/>
  <c r="L26" i="23" s="1"/>
  <c r="K21" i="9"/>
  <c r="M26" i="23" s="1"/>
  <c r="L21" i="9"/>
  <c r="N26" i="23" s="1"/>
  <c r="M21" i="9"/>
  <c r="O26" i="23" s="1"/>
  <c r="E26" i="23"/>
  <c r="C16" i="23"/>
  <c r="R16" i="23" s="1"/>
  <c r="B16" i="23"/>
  <c r="A16" i="23"/>
  <c r="C15" i="23"/>
  <c r="B15" i="23"/>
  <c r="A15" i="23"/>
  <c r="A6" i="23"/>
  <c r="A5" i="23"/>
  <c r="A4" i="23"/>
  <c r="A3" i="23"/>
  <c r="A2" i="23"/>
  <c r="R1" i="23"/>
  <c r="P1" i="23"/>
  <c r="C15" i="16"/>
  <c r="D11" i="15"/>
  <c r="D12" i="15"/>
  <c r="B11" i="15"/>
  <c r="B12" i="15"/>
  <c r="E11" i="15"/>
  <c r="E16" i="15" s="1"/>
  <c r="E19" i="15" s="1"/>
  <c r="C23" i="8"/>
  <c r="P18" i="8" l="1"/>
  <c r="N18" i="1"/>
  <c r="O17" i="8"/>
  <c r="M17" i="1"/>
  <c r="N23" i="8"/>
  <c r="G59" i="9"/>
  <c r="D72" i="9"/>
  <c r="D89" i="9" s="1"/>
  <c r="I41" i="9"/>
  <c r="D16" i="15"/>
  <c r="H34" i="9"/>
  <c r="E70" i="9"/>
  <c r="E69" i="9"/>
  <c r="G64" i="9"/>
  <c r="N21" i="9"/>
  <c r="D22" i="12"/>
  <c r="T13" i="9"/>
  <c r="T20" i="9"/>
  <c r="T22" i="9"/>
  <c r="T21" i="9"/>
  <c r="T15" i="9"/>
  <c r="T17" i="9"/>
  <c r="T23" i="9"/>
  <c r="T18" i="9"/>
  <c r="T19" i="9"/>
  <c r="T14" i="9"/>
  <c r="D18" i="12"/>
  <c r="D17" i="12"/>
  <c r="D15" i="12"/>
  <c r="D21" i="12"/>
  <c r="D16" i="12"/>
  <c r="D20" i="12"/>
  <c r="D19" i="12"/>
  <c r="D32" i="12"/>
  <c r="D31" i="12"/>
  <c r="D56" i="12"/>
  <c r="D30" i="12"/>
  <c r="D57" i="12"/>
  <c r="D29" i="12"/>
  <c r="D58" i="12"/>
  <c r="D28" i="12"/>
  <c r="D59" i="12"/>
  <c r="D27" i="12"/>
  <c r="D64" i="12"/>
  <c r="D26" i="12"/>
  <c r="D25" i="12"/>
  <c r="D24" i="12"/>
  <c r="D23" i="12"/>
  <c r="Q15" i="23"/>
  <c r="C21" i="23"/>
  <c r="O18" i="1" l="1"/>
  <c r="P18" i="1" s="1"/>
  <c r="D18" i="8"/>
  <c r="Q18" i="8"/>
  <c r="P17" i="8"/>
  <c r="N17" i="1"/>
  <c r="O23" i="8"/>
  <c r="O21" i="9"/>
  <c r="P26" i="23"/>
  <c r="H59" i="9"/>
  <c r="K23" i="12"/>
  <c r="T23" i="12"/>
  <c r="AC23" i="12"/>
  <c r="AL23" i="12"/>
  <c r="K24" i="12"/>
  <c r="T24" i="12"/>
  <c r="AC24" i="12"/>
  <c r="AL24" i="12"/>
  <c r="K25" i="12"/>
  <c r="T25" i="12"/>
  <c r="AC25" i="12"/>
  <c r="AL25" i="12"/>
  <c r="K26" i="12"/>
  <c r="T26" i="12"/>
  <c r="AC26" i="12"/>
  <c r="AL26" i="12"/>
  <c r="K63" i="12"/>
  <c r="K70" i="12" s="1"/>
  <c r="T63" i="12"/>
  <c r="T70" i="12" s="1"/>
  <c r="AC63" i="12"/>
  <c r="AC70" i="12" s="1"/>
  <c r="AL63" i="12"/>
  <c r="AL70" i="12" s="1"/>
  <c r="K27" i="12"/>
  <c r="T27" i="12"/>
  <c r="AC27" i="12"/>
  <c r="AL27" i="12"/>
  <c r="K58" i="12"/>
  <c r="AC58" i="12"/>
  <c r="AL58" i="12"/>
  <c r="K28" i="12"/>
  <c r="T28" i="12"/>
  <c r="AC28" i="12"/>
  <c r="AL28" i="12"/>
  <c r="K57" i="12"/>
  <c r="AC57" i="12"/>
  <c r="AL57" i="12"/>
  <c r="K29" i="12"/>
  <c r="T29" i="12"/>
  <c r="AC29" i="12"/>
  <c r="AL29" i="12"/>
  <c r="K56" i="12"/>
  <c r="AC56" i="12"/>
  <c r="AL56" i="12"/>
  <c r="K30" i="12"/>
  <c r="T30" i="12"/>
  <c r="AC30" i="12"/>
  <c r="AL30" i="12"/>
  <c r="K55" i="12"/>
  <c r="T55" i="12"/>
  <c r="AC55" i="12"/>
  <c r="AL55" i="12"/>
  <c r="T56" i="12"/>
  <c r="T57" i="12"/>
  <c r="T58" i="12"/>
  <c r="K31" i="12"/>
  <c r="T31" i="12"/>
  <c r="AC31" i="12"/>
  <c r="AL31" i="12"/>
  <c r="K32" i="12"/>
  <c r="T32" i="12"/>
  <c r="AC32" i="12"/>
  <c r="AL32" i="12"/>
  <c r="K19" i="12"/>
  <c r="T19" i="12"/>
  <c r="AC19" i="12"/>
  <c r="AL19" i="12"/>
  <c r="K36" i="12"/>
  <c r="T36" i="12"/>
  <c r="AC36" i="12"/>
  <c r="AL36" i="12"/>
  <c r="K20" i="12"/>
  <c r="T20" i="12"/>
  <c r="AC20" i="12"/>
  <c r="AL20" i="12"/>
  <c r="K37" i="12"/>
  <c r="T37" i="12"/>
  <c r="AC37" i="12"/>
  <c r="AL37" i="12"/>
  <c r="K16" i="12"/>
  <c r="T16" i="12"/>
  <c r="AC16" i="12"/>
  <c r="AL16" i="12"/>
  <c r="K21" i="12"/>
  <c r="T21" i="12"/>
  <c r="AC21" i="12"/>
  <c r="AL21" i="12"/>
  <c r="K38" i="12"/>
  <c r="T38" i="12"/>
  <c r="AC38" i="12"/>
  <c r="AL38" i="12"/>
  <c r="K15" i="12"/>
  <c r="T15" i="12"/>
  <c r="AC15" i="12"/>
  <c r="AL15" i="12"/>
  <c r="K33" i="12"/>
  <c r="T33" i="12"/>
  <c r="AC33" i="12"/>
  <c r="AL33" i="12"/>
  <c r="K17" i="12"/>
  <c r="T17" i="12"/>
  <c r="AC17" i="12"/>
  <c r="AL17" i="12"/>
  <c r="K34" i="12"/>
  <c r="T34" i="12"/>
  <c r="AC34" i="12"/>
  <c r="AL34" i="12"/>
  <c r="K18" i="12"/>
  <c r="T18" i="12"/>
  <c r="AC18" i="12"/>
  <c r="AL18" i="12"/>
  <c r="K35" i="12"/>
  <c r="T35" i="12"/>
  <c r="AC35" i="12"/>
  <c r="AL35" i="12"/>
  <c r="K22" i="12"/>
  <c r="T22" i="12"/>
  <c r="AC22" i="12"/>
  <c r="AL22" i="12"/>
  <c r="F70" i="9"/>
  <c r="E72" i="9"/>
  <c r="E89" i="9" s="1"/>
  <c r="J41" i="9"/>
  <c r="R38" i="9"/>
  <c r="H64" i="9"/>
  <c r="I34" i="9"/>
  <c r="F69" i="9"/>
  <c r="D18" i="23"/>
  <c r="D17" i="23"/>
  <c r="R15" i="23"/>
  <c r="D15" i="23"/>
  <c r="D16" i="23"/>
  <c r="O17" i="1" l="1"/>
  <c r="P17" i="1" s="1"/>
  <c r="P23" i="8"/>
  <c r="D17" i="8"/>
  <c r="Q17" i="8"/>
  <c r="I59" i="9"/>
  <c r="R21" i="9"/>
  <c r="Q26" i="23"/>
  <c r="K43" i="12"/>
  <c r="T43" i="12"/>
  <c r="AC43" i="12"/>
  <c r="AL43" i="12"/>
  <c r="T44" i="12"/>
  <c r="T45" i="12"/>
  <c r="T46" i="12"/>
  <c r="T47" i="12"/>
  <c r="T48" i="12"/>
  <c r="T49" i="12"/>
  <c r="T50" i="12"/>
  <c r="G70" i="9"/>
  <c r="F72" i="9"/>
  <c r="F89" i="9" s="1"/>
  <c r="K41" i="9"/>
  <c r="G69" i="9"/>
  <c r="J34" i="9"/>
  <c r="I64" i="9"/>
  <c r="F7" i="22"/>
  <c r="F6" i="22"/>
  <c r="J59" i="9" l="1"/>
  <c r="D46" i="12"/>
  <c r="K44" i="12"/>
  <c r="AC44" i="12"/>
  <c r="AL44" i="12"/>
  <c r="H70" i="9"/>
  <c r="G72" i="9"/>
  <c r="G89" i="9" s="1"/>
  <c r="L41" i="9"/>
  <c r="J64" i="9"/>
  <c r="K34" i="9"/>
  <c r="H69" i="9"/>
  <c r="A16" i="1"/>
  <c r="B16" i="1"/>
  <c r="K59" i="9" l="1"/>
  <c r="D47" i="12"/>
  <c r="K45" i="12"/>
  <c r="AC45" i="12"/>
  <c r="AL45" i="12"/>
  <c r="I70" i="9"/>
  <c r="H72" i="9"/>
  <c r="H89" i="9" s="1"/>
  <c r="M41" i="9"/>
  <c r="C24" i="1"/>
  <c r="I69" i="9"/>
  <c r="L34" i="9"/>
  <c r="K64" i="9"/>
  <c r="D22" i="9"/>
  <c r="E22" i="9"/>
  <c r="F22" i="9"/>
  <c r="G22" i="9"/>
  <c r="H22" i="9"/>
  <c r="I22" i="9"/>
  <c r="J22" i="9"/>
  <c r="K22" i="9"/>
  <c r="L22" i="9"/>
  <c r="M22" i="9"/>
  <c r="N22" i="9"/>
  <c r="C22" i="9"/>
  <c r="O22" i="9" s="1"/>
  <c r="R22" i="9" s="1"/>
  <c r="C35" i="7"/>
  <c r="O35" i="7"/>
  <c r="N35" i="7"/>
  <c r="M35" i="7"/>
  <c r="L35" i="7"/>
  <c r="K35" i="7"/>
  <c r="J35" i="7"/>
  <c r="I35" i="7"/>
  <c r="H35" i="7"/>
  <c r="G35" i="7"/>
  <c r="F35" i="7"/>
  <c r="E35" i="7"/>
  <c r="D35" i="7"/>
  <c r="P30" i="7"/>
  <c r="P35" i="7"/>
  <c r="C30" i="12"/>
  <c r="K1" i="14"/>
  <c r="I1" i="14"/>
  <c r="A6" i="14"/>
  <c r="A5" i="14"/>
  <c r="A4" i="14"/>
  <c r="A3" i="14"/>
  <c r="A3" i="1"/>
  <c r="A2" i="14"/>
  <c r="A2" i="15"/>
  <c r="F7" i="14"/>
  <c r="P1" i="15"/>
  <c r="A17" i="12"/>
  <c r="A15" i="12"/>
  <c r="B16" i="12"/>
  <c r="Q1" i="1"/>
  <c r="O1" i="1"/>
  <c r="R1" i="19"/>
  <c r="P1" i="19"/>
  <c r="P1" i="6"/>
  <c r="C16" i="4"/>
  <c r="B16" i="4"/>
  <c r="A16" i="4"/>
  <c r="R1" i="4"/>
  <c r="P1" i="4"/>
  <c r="C16" i="16"/>
  <c r="A16" i="16"/>
  <c r="R1" i="16"/>
  <c r="P1" i="16"/>
  <c r="C16" i="2"/>
  <c r="B16" i="2"/>
  <c r="A16" i="2"/>
  <c r="P1" i="2"/>
  <c r="E19" i="7"/>
  <c r="F19" i="7"/>
  <c r="G19" i="7"/>
  <c r="H19" i="7"/>
  <c r="I19" i="7"/>
  <c r="J19" i="7"/>
  <c r="K19" i="7"/>
  <c r="L19" i="7"/>
  <c r="M19" i="7"/>
  <c r="N19" i="7"/>
  <c r="O19" i="7"/>
  <c r="D19" i="7"/>
  <c r="P14" i="7"/>
  <c r="Q1" i="7"/>
  <c r="O1" i="7"/>
  <c r="Q15" i="8"/>
  <c r="Q23" i="8" s="1"/>
  <c r="P19" i="7"/>
  <c r="R1" i="8"/>
  <c r="P1" i="8"/>
  <c r="C85" i="9"/>
  <c r="C80" i="9"/>
  <c r="C116" i="9"/>
  <c r="C44" i="12"/>
  <c r="U4" i="9"/>
  <c r="N1" i="12" s="1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A16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6" i="8"/>
  <c r="M83" i="9"/>
  <c r="B53" i="14"/>
  <c r="A16" i="19"/>
  <c r="B16" i="19"/>
  <c r="C16" i="19"/>
  <c r="A16" i="6"/>
  <c r="B16" i="6"/>
  <c r="C16" i="6"/>
  <c r="C15" i="19"/>
  <c r="B15" i="19"/>
  <c r="A15" i="19"/>
  <c r="A6" i="19"/>
  <c r="A5" i="19"/>
  <c r="A4" i="19"/>
  <c r="A3" i="19"/>
  <c r="A2" i="19"/>
  <c r="B16" i="16"/>
  <c r="A38" i="14"/>
  <c r="A48" i="14"/>
  <c r="A40" i="14"/>
  <c r="A41" i="14"/>
  <c r="A42" i="14"/>
  <c r="A43" i="14"/>
  <c r="A44" i="14"/>
  <c r="A45" i="14"/>
  <c r="A46" i="14"/>
  <c r="A39" i="14"/>
  <c r="A50" i="14"/>
  <c r="A44" i="12"/>
  <c r="A45" i="12"/>
  <c r="A46" i="12"/>
  <c r="A47" i="12"/>
  <c r="A48" i="12"/>
  <c r="A49" i="12"/>
  <c r="A50" i="12"/>
  <c r="A51" i="12"/>
  <c r="A56" i="12"/>
  <c r="A57" i="12"/>
  <c r="A58" i="12"/>
  <c r="A59" i="12"/>
  <c r="A64" i="12"/>
  <c r="B56" i="12"/>
  <c r="B57" i="12"/>
  <c r="B58" i="12"/>
  <c r="B59" i="12"/>
  <c r="B61" i="12"/>
  <c r="B63" i="12"/>
  <c r="B64" i="12"/>
  <c r="B66" i="12"/>
  <c r="G65" i="12" s="1"/>
  <c r="B68" i="12"/>
  <c r="G67" i="12" s="1"/>
  <c r="B55" i="12"/>
  <c r="B44" i="12"/>
  <c r="B45" i="12"/>
  <c r="B46" i="12"/>
  <c r="B47" i="12"/>
  <c r="B48" i="12"/>
  <c r="B49" i="12"/>
  <c r="B50" i="12"/>
  <c r="B51" i="12"/>
  <c r="B53" i="12"/>
  <c r="B43" i="12"/>
  <c r="B15" i="12"/>
  <c r="B41" i="12"/>
  <c r="B14" i="12"/>
  <c r="S87" i="9"/>
  <c r="C57" i="12"/>
  <c r="B54" i="14"/>
  <c r="C33" i="12"/>
  <c r="B40" i="14"/>
  <c r="S15" i="2"/>
  <c r="C15" i="2"/>
  <c r="C15" i="4"/>
  <c r="B15" i="16"/>
  <c r="A15" i="16"/>
  <c r="A6" i="16"/>
  <c r="A5" i="16"/>
  <c r="A4" i="16"/>
  <c r="A3" i="16"/>
  <c r="A2" i="16"/>
  <c r="A15" i="1"/>
  <c r="B15" i="1"/>
  <c r="A6" i="15"/>
  <c r="A4" i="15"/>
  <c r="A3" i="15"/>
  <c r="A5" i="15"/>
  <c r="E7" i="14"/>
  <c r="C15" i="6"/>
  <c r="B15" i="6"/>
  <c r="A15" i="6"/>
  <c r="B15" i="4"/>
  <c r="A15" i="4"/>
  <c r="B15" i="2"/>
  <c r="A15" i="2"/>
  <c r="A4" i="8"/>
  <c r="A2" i="7"/>
  <c r="A3" i="7"/>
  <c r="A4" i="7"/>
  <c r="A5" i="7"/>
  <c r="A6" i="7"/>
  <c r="A2" i="2"/>
  <c r="A3" i="2"/>
  <c r="A4" i="2"/>
  <c r="A5" i="2"/>
  <c r="A6" i="2"/>
  <c r="A2" i="4"/>
  <c r="A3" i="4"/>
  <c r="A4" i="4"/>
  <c r="A5" i="4"/>
  <c r="A6" i="4"/>
  <c r="A2" i="6"/>
  <c r="A3" i="6"/>
  <c r="A4" i="6"/>
  <c r="A5" i="6"/>
  <c r="A6" i="6"/>
  <c r="A2" i="1"/>
  <c r="A4" i="1"/>
  <c r="A5" i="1"/>
  <c r="A6" i="1"/>
  <c r="A2" i="8"/>
  <c r="A3" i="8"/>
  <c r="A5" i="8"/>
  <c r="A51" i="14"/>
  <c r="A52" i="14"/>
  <c r="A53" i="14"/>
  <c r="A54" i="14"/>
  <c r="A56" i="14"/>
  <c r="A58" i="14"/>
  <c r="A59" i="14"/>
  <c r="A61" i="14"/>
  <c r="A63" i="14"/>
  <c r="A36" i="14"/>
  <c r="A9" i="14"/>
  <c r="C19" i="7"/>
  <c r="C15" i="12"/>
  <c r="D16" i="8"/>
  <c r="D15" i="8"/>
  <c r="L59" i="9" l="1"/>
  <c r="H15" i="12"/>
  <c r="Q15" i="12"/>
  <c r="Z15" i="12"/>
  <c r="AI15" i="12"/>
  <c r="H33" i="12"/>
  <c r="I33" i="12" s="1"/>
  <c r="J33" i="12" s="1"/>
  <c r="L33" i="12" s="1"/>
  <c r="Q33" i="12"/>
  <c r="S33" i="12" s="1"/>
  <c r="U33" i="12" s="1"/>
  <c r="Z33" i="12"/>
  <c r="AB33" i="12" s="1"/>
  <c r="AD33" i="12" s="1"/>
  <c r="AI33" i="12"/>
  <c r="AK33" i="12" s="1"/>
  <c r="AM33" i="12" s="1"/>
  <c r="H56" i="12"/>
  <c r="I56" i="12" s="1"/>
  <c r="J56" i="12" s="1"/>
  <c r="L56" i="12" s="1"/>
  <c r="Q56" i="12"/>
  <c r="S56" i="12" s="1"/>
  <c r="U56" i="12" s="1"/>
  <c r="Z56" i="12"/>
  <c r="AB56" i="12" s="1"/>
  <c r="AD56" i="12" s="1"/>
  <c r="AI56" i="12"/>
  <c r="AK56" i="12" s="1"/>
  <c r="AM56" i="12" s="1"/>
  <c r="G14" i="12"/>
  <c r="P14" i="12"/>
  <c r="Y14" i="12"/>
  <c r="AH14" i="12"/>
  <c r="G40" i="12"/>
  <c r="P40" i="12"/>
  <c r="Y40" i="12"/>
  <c r="AH40" i="12"/>
  <c r="G15" i="12"/>
  <c r="P15" i="12"/>
  <c r="Y15" i="12"/>
  <c r="AH15" i="12"/>
  <c r="G42" i="12"/>
  <c r="P42" i="12"/>
  <c r="Y42" i="12"/>
  <c r="AH42" i="12"/>
  <c r="G52" i="12"/>
  <c r="P52" i="12"/>
  <c r="Y52" i="12"/>
  <c r="AH52" i="12"/>
  <c r="G50" i="12"/>
  <c r="P50" i="12"/>
  <c r="Y50" i="12"/>
  <c r="AH50" i="12"/>
  <c r="G49" i="12"/>
  <c r="P49" i="12"/>
  <c r="Y49" i="12"/>
  <c r="AH49" i="12"/>
  <c r="G48" i="12"/>
  <c r="P48" i="12"/>
  <c r="Y48" i="12"/>
  <c r="AH48" i="12"/>
  <c r="G47" i="12"/>
  <c r="P47" i="12"/>
  <c r="Y47" i="12"/>
  <c r="AH47" i="12"/>
  <c r="G46" i="12"/>
  <c r="P46" i="12"/>
  <c r="Y46" i="12"/>
  <c r="AH46" i="12"/>
  <c r="G45" i="12"/>
  <c r="P45" i="12"/>
  <c r="Y45" i="12"/>
  <c r="AH45" i="12"/>
  <c r="G44" i="12"/>
  <c r="P44" i="12"/>
  <c r="Y44" i="12"/>
  <c r="AH44" i="12"/>
  <c r="G43" i="12"/>
  <c r="P43" i="12"/>
  <c r="Y43" i="12"/>
  <c r="AH43" i="12"/>
  <c r="G54" i="12"/>
  <c r="P54" i="12"/>
  <c r="Y54" i="12"/>
  <c r="AH54" i="12"/>
  <c r="P67" i="12"/>
  <c r="Y67" i="12"/>
  <c r="AH67" i="12"/>
  <c r="P65" i="12"/>
  <c r="Y65" i="12"/>
  <c r="AH65" i="12"/>
  <c r="G63" i="12"/>
  <c r="P63" i="12"/>
  <c r="Y63" i="12"/>
  <c r="AH63" i="12"/>
  <c r="G62" i="12"/>
  <c r="P62" i="12"/>
  <c r="Y62" i="12"/>
  <c r="AH62" i="12"/>
  <c r="G60" i="12"/>
  <c r="P60" i="12"/>
  <c r="Y60" i="12"/>
  <c r="AH60" i="12"/>
  <c r="G58" i="12"/>
  <c r="P58" i="12"/>
  <c r="Y58" i="12"/>
  <c r="AH58" i="12"/>
  <c r="G57" i="12"/>
  <c r="P57" i="12"/>
  <c r="Y57" i="12"/>
  <c r="AH57" i="12"/>
  <c r="G56" i="12"/>
  <c r="P56" i="12"/>
  <c r="Y56" i="12"/>
  <c r="AH56" i="12"/>
  <c r="G55" i="12"/>
  <c r="P55" i="12"/>
  <c r="Y55" i="12"/>
  <c r="AH55" i="12"/>
  <c r="F63" i="12"/>
  <c r="O63" i="12"/>
  <c r="X63" i="12"/>
  <c r="AG63" i="12"/>
  <c r="F58" i="12"/>
  <c r="O58" i="12"/>
  <c r="X58" i="12"/>
  <c r="AG58" i="12"/>
  <c r="F57" i="12"/>
  <c r="O57" i="12"/>
  <c r="X57" i="12"/>
  <c r="AG57" i="12"/>
  <c r="F56" i="12"/>
  <c r="O56" i="12"/>
  <c r="X56" i="12"/>
  <c r="AG56" i="12"/>
  <c r="F55" i="12"/>
  <c r="O55" i="12"/>
  <c r="X55" i="12"/>
  <c r="AG55" i="12"/>
  <c r="F50" i="12"/>
  <c r="O50" i="12"/>
  <c r="X50" i="12"/>
  <c r="AG50" i="12"/>
  <c r="F49" i="12"/>
  <c r="O49" i="12"/>
  <c r="X49" i="12"/>
  <c r="AG49" i="12"/>
  <c r="F48" i="12"/>
  <c r="O48" i="12"/>
  <c r="X48" i="12"/>
  <c r="AG48" i="12"/>
  <c r="F47" i="12"/>
  <c r="O47" i="12"/>
  <c r="X47" i="12"/>
  <c r="AG47" i="12"/>
  <c r="F46" i="12"/>
  <c r="O46" i="12"/>
  <c r="X46" i="12"/>
  <c r="AG46" i="12"/>
  <c r="F45" i="12"/>
  <c r="O45" i="12"/>
  <c r="X45" i="12"/>
  <c r="AG45" i="12"/>
  <c r="F44" i="12"/>
  <c r="O44" i="12"/>
  <c r="X44" i="12"/>
  <c r="AG44" i="12"/>
  <c r="F43" i="12"/>
  <c r="O43" i="12"/>
  <c r="X43" i="12"/>
  <c r="AG43" i="12"/>
  <c r="F38" i="12"/>
  <c r="O38" i="12"/>
  <c r="X38" i="12"/>
  <c r="AG38" i="12"/>
  <c r="F37" i="12"/>
  <c r="O37" i="12"/>
  <c r="X37" i="12"/>
  <c r="AG37" i="12"/>
  <c r="F36" i="12"/>
  <c r="O36" i="12"/>
  <c r="X36" i="12"/>
  <c r="AG36" i="12"/>
  <c r="F35" i="12"/>
  <c r="O35" i="12"/>
  <c r="X35" i="12"/>
  <c r="AG35" i="12"/>
  <c r="F34" i="12"/>
  <c r="O34" i="12"/>
  <c r="X34" i="12"/>
  <c r="AG34" i="12"/>
  <c r="F33" i="12"/>
  <c r="O33" i="12"/>
  <c r="X33" i="12"/>
  <c r="AG33" i="12"/>
  <c r="F32" i="12"/>
  <c r="O32" i="12"/>
  <c r="X32" i="12"/>
  <c r="AG32" i="12"/>
  <c r="F31" i="12"/>
  <c r="O31" i="12"/>
  <c r="X31" i="12"/>
  <c r="AG31" i="12"/>
  <c r="F30" i="12"/>
  <c r="O30" i="12"/>
  <c r="X30" i="12"/>
  <c r="AG30" i="12"/>
  <c r="F29" i="12"/>
  <c r="O29" i="12"/>
  <c r="X29" i="12"/>
  <c r="AG29" i="12"/>
  <c r="F28" i="12"/>
  <c r="O28" i="12"/>
  <c r="X28" i="12"/>
  <c r="AG28" i="12"/>
  <c r="F27" i="12"/>
  <c r="O27" i="12"/>
  <c r="X27" i="12"/>
  <c r="AG27" i="12"/>
  <c r="F26" i="12"/>
  <c r="O26" i="12"/>
  <c r="X26" i="12"/>
  <c r="AG26" i="12"/>
  <c r="F25" i="12"/>
  <c r="O25" i="12"/>
  <c r="X25" i="12"/>
  <c r="AG25" i="12"/>
  <c r="F24" i="12"/>
  <c r="O24" i="12"/>
  <c r="X24" i="12"/>
  <c r="AG24" i="12"/>
  <c r="F23" i="12"/>
  <c r="O23" i="12"/>
  <c r="X23" i="12"/>
  <c r="AG23" i="12"/>
  <c r="F22" i="12"/>
  <c r="O22" i="12"/>
  <c r="X22" i="12"/>
  <c r="AG22" i="12"/>
  <c r="F21" i="12"/>
  <c r="O21" i="12"/>
  <c r="X21" i="12"/>
  <c r="AG21" i="12"/>
  <c r="F20" i="12"/>
  <c r="O20" i="12"/>
  <c r="X20" i="12"/>
  <c r="AG20" i="12"/>
  <c r="F19" i="12"/>
  <c r="O19" i="12"/>
  <c r="X19" i="12"/>
  <c r="AG19" i="12"/>
  <c r="F18" i="12"/>
  <c r="O18" i="12"/>
  <c r="X18" i="12"/>
  <c r="AG18" i="12"/>
  <c r="O16" i="12"/>
  <c r="X16" i="12"/>
  <c r="AG16" i="12"/>
  <c r="G38" i="12"/>
  <c r="P38" i="12"/>
  <c r="Y38" i="12"/>
  <c r="AH38" i="12"/>
  <c r="G37" i="12"/>
  <c r="P37" i="12"/>
  <c r="Y37" i="12"/>
  <c r="AH37" i="12"/>
  <c r="G36" i="12"/>
  <c r="P36" i="12"/>
  <c r="Y36" i="12"/>
  <c r="AH36" i="12"/>
  <c r="G35" i="12"/>
  <c r="P35" i="12"/>
  <c r="Y35" i="12"/>
  <c r="AH35" i="12"/>
  <c r="G34" i="12"/>
  <c r="P34" i="12"/>
  <c r="Y34" i="12"/>
  <c r="AH34" i="12"/>
  <c r="G33" i="12"/>
  <c r="P33" i="12"/>
  <c r="Y33" i="12"/>
  <c r="AH33" i="12"/>
  <c r="G32" i="12"/>
  <c r="P32" i="12"/>
  <c r="Y32" i="12"/>
  <c r="AH32" i="12"/>
  <c r="G31" i="12"/>
  <c r="P31" i="12"/>
  <c r="Y31" i="12"/>
  <c r="AH31" i="12"/>
  <c r="G30" i="12"/>
  <c r="P30" i="12"/>
  <c r="Y30" i="12"/>
  <c r="AH30" i="12"/>
  <c r="G29" i="12"/>
  <c r="P29" i="12"/>
  <c r="Y29" i="12"/>
  <c r="AH29" i="12"/>
  <c r="G28" i="12"/>
  <c r="P28" i="12"/>
  <c r="Y28" i="12"/>
  <c r="AH28" i="12"/>
  <c r="G27" i="12"/>
  <c r="P27" i="12"/>
  <c r="Y27" i="12"/>
  <c r="AH27" i="12"/>
  <c r="G26" i="12"/>
  <c r="P26" i="12"/>
  <c r="Y26" i="12"/>
  <c r="AH26" i="12"/>
  <c r="G25" i="12"/>
  <c r="P25" i="12"/>
  <c r="Y25" i="12"/>
  <c r="AH25" i="12"/>
  <c r="G24" i="12"/>
  <c r="P24" i="12"/>
  <c r="Y24" i="12"/>
  <c r="AH24" i="12"/>
  <c r="G23" i="12"/>
  <c r="P23" i="12"/>
  <c r="Y23" i="12"/>
  <c r="AH23" i="12"/>
  <c r="G22" i="12"/>
  <c r="P22" i="12"/>
  <c r="Y22" i="12"/>
  <c r="AH22" i="12"/>
  <c r="G21" i="12"/>
  <c r="P21" i="12"/>
  <c r="Y21" i="12"/>
  <c r="AH21" i="12"/>
  <c r="G20" i="12"/>
  <c r="P20" i="12"/>
  <c r="Y20" i="12"/>
  <c r="AH20" i="12"/>
  <c r="G19" i="12"/>
  <c r="P19" i="12"/>
  <c r="Y19" i="12"/>
  <c r="AH19" i="12"/>
  <c r="G18" i="12"/>
  <c r="P18" i="12"/>
  <c r="Y18" i="12"/>
  <c r="AH18" i="12"/>
  <c r="G17" i="12"/>
  <c r="P17" i="12"/>
  <c r="Y17" i="12"/>
  <c r="AH17" i="12"/>
  <c r="H43" i="12"/>
  <c r="Q43" i="12"/>
  <c r="Z43" i="12"/>
  <c r="AI43" i="12"/>
  <c r="G16" i="12"/>
  <c r="P16" i="12"/>
  <c r="Y16" i="12"/>
  <c r="AH16" i="12"/>
  <c r="O15" i="12"/>
  <c r="X15" i="12"/>
  <c r="AG15" i="12"/>
  <c r="F17" i="12"/>
  <c r="O17" i="12"/>
  <c r="X17" i="12"/>
  <c r="AG17" i="12"/>
  <c r="H30" i="12"/>
  <c r="I30" i="12" s="1"/>
  <c r="J30" i="12" s="1"/>
  <c r="L30" i="12" s="1"/>
  <c r="Q30" i="12"/>
  <c r="S30" i="12" s="1"/>
  <c r="U30" i="12" s="1"/>
  <c r="Z30" i="12"/>
  <c r="AB30" i="12" s="1"/>
  <c r="AD30" i="12" s="1"/>
  <c r="AI30" i="12"/>
  <c r="AK30" i="12" s="1"/>
  <c r="AM30" i="12" s="1"/>
  <c r="D48" i="12"/>
  <c r="K46" i="12"/>
  <c r="AC46" i="12"/>
  <c r="AL46" i="12"/>
  <c r="J70" i="9"/>
  <c r="I72" i="9"/>
  <c r="I89" i="9" s="1"/>
  <c r="N41" i="9"/>
  <c r="C25" i="2"/>
  <c r="C28" i="2"/>
  <c r="M34" i="9"/>
  <c r="L64" i="9"/>
  <c r="O83" i="9"/>
  <c r="R83" i="9" s="1"/>
  <c r="S83" i="9" s="1"/>
  <c r="M85" i="9"/>
  <c r="J69" i="9"/>
  <c r="C26" i="6"/>
  <c r="A33" i="14"/>
  <c r="A22" i="14"/>
  <c r="A25" i="14"/>
  <c r="Q1" i="15"/>
  <c r="Q1" i="23"/>
  <c r="C24" i="19"/>
  <c r="T16" i="2"/>
  <c r="D15" i="1"/>
  <c r="C26" i="16"/>
  <c r="C25" i="4"/>
  <c r="T15" i="2"/>
  <c r="B52" i="14"/>
  <c r="A11" i="14"/>
  <c r="A19" i="14"/>
  <c r="C32" i="12"/>
  <c r="A16" i="14"/>
  <c r="A14" i="14"/>
  <c r="A20" i="14"/>
  <c r="A30" i="14"/>
  <c r="A29" i="14"/>
  <c r="A28" i="14"/>
  <c r="C34" i="12"/>
  <c r="B44" i="14"/>
  <c r="C56" i="12"/>
  <c r="A18" i="14"/>
  <c r="A24" i="14"/>
  <c r="C45" i="12"/>
  <c r="C19" i="12"/>
  <c r="E13" i="9"/>
  <c r="G26" i="8" s="1"/>
  <c r="C59" i="12"/>
  <c r="B29" i="14"/>
  <c r="C31" i="12"/>
  <c r="C25" i="12"/>
  <c r="C26" i="12"/>
  <c r="C29" i="12"/>
  <c r="A26" i="14"/>
  <c r="A31" i="14"/>
  <c r="A17" i="14"/>
  <c r="A12" i="14"/>
  <c r="B39" i="14"/>
  <c r="Q27" i="4"/>
  <c r="B51" i="14"/>
  <c r="A23" i="14"/>
  <c r="A21" i="14"/>
  <c r="E17" i="15"/>
  <c r="D6" i="20"/>
  <c r="C49" i="12"/>
  <c r="A15" i="14"/>
  <c r="C16" i="12"/>
  <c r="A32" i="14"/>
  <c r="B26" i="14"/>
  <c r="C35" i="12"/>
  <c r="B11" i="14"/>
  <c r="C28" i="12"/>
  <c r="C58" i="12"/>
  <c r="C20" i="12"/>
  <c r="B43" i="14"/>
  <c r="C48" i="12"/>
  <c r="A13" i="14"/>
  <c r="A27" i="14"/>
  <c r="A34" i="14"/>
  <c r="P1" i="7"/>
  <c r="P1" i="1"/>
  <c r="Q1" i="8"/>
  <c r="Q1" i="19"/>
  <c r="Q1" i="16"/>
  <c r="Q1" i="2"/>
  <c r="Q1" i="6"/>
  <c r="J1" i="14"/>
  <c r="Q1" i="4"/>
  <c r="C136" i="9" l="1"/>
  <c r="M59" i="9"/>
  <c r="H47" i="12"/>
  <c r="I47" i="12" s="1"/>
  <c r="J47" i="12" s="1"/>
  <c r="Q47" i="12"/>
  <c r="S47" i="12" s="1"/>
  <c r="U47" i="12" s="1"/>
  <c r="Z47" i="12"/>
  <c r="AB47" i="12" s="1"/>
  <c r="AI47" i="12"/>
  <c r="AK47" i="12" s="1"/>
  <c r="H20" i="12"/>
  <c r="I20" i="12" s="1"/>
  <c r="J20" i="12" s="1"/>
  <c r="L20" i="12" s="1"/>
  <c r="Q20" i="12"/>
  <c r="S20" i="12" s="1"/>
  <c r="U20" i="12" s="1"/>
  <c r="Z20" i="12"/>
  <c r="AB20" i="12" s="1"/>
  <c r="AD20" i="12" s="1"/>
  <c r="AI20" i="12"/>
  <c r="AK20" i="12" s="1"/>
  <c r="AM20" i="12" s="1"/>
  <c r="H57" i="12"/>
  <c r="I57" i="12" s="1"/>
  <c r="J57" i="12" s="1"/>
  <c r="L57" i="12" s="1"/>
  <c r="N57" i="12" s="1"/>
  <c r="Q57" i="12"/>
  <c r="S57" i="12" s="1"/>
  <c r="U57" i="12" s="1"/>
  <c r="W57" i="12" s="1"/>
  <c r="Z57" i="12"/>
  <c r="AB57" i="12" s="1"/>
  <c r="AD57" i="12" s="1"/>
  <c r="AF57" i="12" s="1"/>
  <c r="AI57" i="12"/>
  <c r="AK57" i="12" s="1"/>
  <c r="AM57" i="12" s="1"/>
  <c r="AO57" i="12" s="1"/>
  <c r="H28" i="12"/>
  <c r="I28" i="12" s="1"/>
  <c r="J28" i="12" s="1"/>
  <c r="L28" i="12" s="1"/>
  <c r="Q28" i="12"/>
  <c r="S28" i="12" s="1"/>
  <c r="U28" i="12" s="1"/>
  <c r="Z28" i="12"/>
  <c r="AB28" i="12" s="1"/>
  <c r="AD28" i="12" s="1"/>
  <c r="AI28" i="12"/>
  <c r="AK28" i="12" s="1"/>
  <c r="AM28" i="12" s="1"/>
  <c r="H35" i="12"/>
  <c r="I35" i="12" s="1"/>
  <c r="J35" i="12" s="1"/>
  <c r="L35" i="12" s="1"/>
  <c r="Q35" i="12"/>
  <c r="S35" i="12" s="1"/>
  <c r="U35" i="12" s="1"/>
  <c r="Z35" i="12"/>
  <c r="AB35" i="12" s="1"/>
  <c r="AD35" i="12" s="1"/>
  <c r="AI35" i="12"/>
  <c r="AK35" i="12" s="1"/>
  <c r="AM35" i="12" s="1"/>
  <c r="H16" i="12"/>
  <c r="I16" i="12" s="1"/>
  <c r="J16" i="12" s="1"/>
  <c r="L16" i="12" s="1"/>
  <c r="Q16" i="12"/>
  <c r="S16" i="12" s="1"/>
  <c r="U16" i="12" s="1"/>
  <c r="Z16" i="12"/>
  <c r="AB16" i="12" s="1"/>
  <c r="AD16" i="12" s="1"/>
  <c r="AI16" i="12"/>
  <c r="AK16" i="12" s="1"/>
  <c r="AM16" i="12" s="1"/>
  <c r="H48" i="12"/>
  <c r="I48" i="12" s="1"/>
  <c r="J48" i="12" s="1"/>
  <c r="Q48" i="12"/>
  <c r="S48" i="12" s="1"/>
  <c r="U48" i="12" s="1"/>
  <c r="Z48" i="12"/>
  <c r="AB48" i="12" s="1"/>
  <c r="AI48" i="12"/>
  <c r="AK48" i="12" s="1"/>
  <c r="H29" i="12"/>
  <c r="I29" i="12" s="1"/>
  <c r="J29" i="12" s="1"/>
  <c r="L29" i="12" s="1"/>
  <c r="Q29" i="12"/>
  <c r="S29" i="12" s="1"/>
  <c r="U29" i="12" s="1"/>
  <c r="Z29" i="12"/>
  <c r="AB29" i="12" s="1"/>
  <c r="AD29" i="12" s="1"/>
  <c r="AI29" i="12"/>
  <c r="AK29" i="12" s="1"/>
  <c r="AM29" i="12" s="1"/>
  <c r="H26" i="12"/>
  <c r="I26" i="12" s="1"/>
  <c r="J26" i="12" s="1"/>
  <c r="L26" i="12" s="1"/>
  <c r="Q26" i="12"/>
  <c r="S26" i="12" s="1"/>
  <c r="U26" i="12" s="1"/>
  <c r="Z26" i="12"/>
  <c r="AB26" i="12" s="1"/>
  <c r="AD26" i="12" s="1"/>
  <c r="AI26" i="12"/>
  <c r="AK26" i="12" s="1"/>
  <c r="AM26" i="12" s="1"/>
  <c r="H25" i="12"/>
  <c r="I25" i="12" s="1"/>
  <c r="J25" i="12" s="1"/>
  <c r="L25" i="12" s="1"/>
  <c r="Q25" i="12"/>
  <c r="S25" i="12" s="1"/>
  <c r="U25" i="12" s="1"/>
  <c r="Z25" i="12"/>
  <c r="AB25" i="12" s="1"/>
  <c r="AD25" i="12" s="1"/>
  <c r="AI25" i="12"/>
  <c r="AK25" i="12" s="1"/>
  <c r="AM25" i="12" s="1"/>
  <c r="H31" i="12"/>
  <c r="I31" i="12" s="1"/>
  <c r="J31" i="12" s="1"/>
  <c r="L31" i="12" s="1"/>
  <c r="Q31" i="12"/>
  <c r="S31" i="12" s="1"/>
  <c r="U31" i="12" s="1"/>
  <c r="Z31" i="12"/>
  <c r="AB31" i="12" s="1"/>
  <c r="AD31" i="12" s="1"/>
  <c r="AI31" i="12"/>
  <c r="AK31" i="12" s="1"/>
  <c r="AM31" i="12" s="1"/>
  <c r="H58" i="12"/>
  <c r="I58" i="12" s="1"/>
  <c r="J58" i="12" s="1"/>
  <c r="L58" i="12" s="1"/>
  <c r="Q58" i="12"/>
  <c r="Z58" i="12"/>
  <c r="AI58" i="12"/>
  <c r="H19" i="12"/>
  <c r="I19" i="12" s="1"/>
  <c r="J19" i="12" s="1"/>
  <c r="L19" i="12" s="1"/>
  <c r="Q19" i="12"/>
  <c r="S19" i="12" s="1"/>
  <c r="U19" i="12" s="1"/>
  <c r="Z19" i="12"/>
  <c r="AB19" i="12" s="1"/>
  <c r="AD19" i="12" s="1"/>
  <c r="AI19" i="12"/>
  <c r="AK19" i="12" s="1"/>
  <c r="AM19" i="12" s="1"/>
  <c r="H44" i="12"/>
  <c r="I44" i="12" s="1"/>
  <c r="J44" i="12" s="1"/>
  <c r="L44" i="12" s="1"/>
  <c r="Q44" i="12"/>
  <c r="S44" i="12" s="1"/>
  <c r="U44" i="12" s="1"/>
  <c r="Z44" i="12"/>
  <c r="AB44" i="12" s="1"/>
  <c r="AD44" i="12" s="1"/>
  <c r="AI44" i="12"/>
  <c r="AK44" i="12" s="1"/>
  <c r="AM44" i="12" s="1"/>
  <c r="H55" i="12"/>
  <c r="Q55" i="12"/>
  <c r="Z55" i="12"/>
  <c r="AI55" i="12"/>
  <c r="H34" i="12"/>
  <c r="I34" i="12" s="1"/>
  <c r="J34" i="12" s="1"/>
  <c r="L34" i="12" s="1"/>
  <c r="Q34" i="12"/>
  <c r="S34" i="12" s="1"/>
  <c r="U34" i="12" s="1"/>
  <c r="Z34" i="12"/>
  <c r="AB34" i="12" s="1"/>
  <c r="AD34" i="12" s="1"/>
  <c r="AI34" i="12"/>
  <c r="AK34" i="12" s="1"/>
  <c r="AM34" i="12" s="1"/>
  <c r="H32" i="12"/>
  <c r="I32" i="12" s="1"/>
  <c r="J32" i="12" s="1"/>
  <c r="L32" i="12" s="1"/>
  <c r="Q32" i="12"/>
  <c r="S32" i="12" s="1"/>
  <c r="U32" i="12" s="1"/>
  <c r="Z32" i="12"/>
  <c r="AB32" i="12" s="1"/>
  <c r="AD32" i="12" s="1"/>
  <c r="AI32" i="12"/>
  <c r="AK32" i="12" s="1"/>
  <c r="AM32" i="12" s="1"/>
  <c r="D49" i="12"/>
  <c r="K47" i="12"/>
  <c r="AC47" i="12"/>
  <c r="AL47" i="12"/>
  <c r="AN30" i="12"/>
  <c r="AO30" i="12" s="1"/>
  <c r="AE30" i="12"/>
  <c r="AF30" i="12"/>
  <c r="V30" i="12"/>
  <c r="W30" i="12"/>
  <c r="M30" i="12"/>
  <c r="N30" i="12"/>
  <c r="AK43" i="12"/>
  <c r="AB43" i="12"/>
  <c r="S43" i="12"/>
  <c r="I43" i="12"/>
  <c r="AN56" i="12"/>
  <c r="AN60" i="12" s="1"/>
  <c r="AO56" i="12"/>
  <c r="AE56" i="12"/>
  <c r="AE60" i="12" s="1"/>
  <c r="AF56" i="12"/>
  <c r="V56" i="12"/>
  <c r="V60" i="12" s="1"/>
  <c r="W56" i="12"/>
  <c r="M56" i="12"/>
  <c r="N56" i="12"/>
  <c r="AN33" i="12"/>
  <c r="AO33" i="12" s="1"/>
  <c r="AE33" i="12"/>
  <c r="AF33" i="12" s="1"/>
  <c r="V33" i="12"/>
  <c r="W33" i="12" s="1"/>
  <c r="M33" i="12"/>
  <c r="N33" i="12" s="1"/>
  <c r="AK15" i="12"/>
  <c r="AB15" i="12"/>
  <c r="S15" i="12"/>
  <c r="I15" i="12"/>
  <c r="K70" i="9"/>
  <c r="J72" i="9"/>
  <c r="J89" i="9" s="1"/>
  <c r="O41" i="9"/>
  <c r="D17" i="2"/>
  <c r="D18" i="2"/>
  <c r="D15" i="2"/>
  <c r="D16" i="2"/>
  <c r="O85" i="9"/>
  <c r="M64" i="9"/>
  <c r="K69" i="9"/>
  <c r="N34" i="9"/>
  <c r="D18" i="19"/>
  <c r="D17" i="19"/>
  <c r="D18" i="4"/>
  <c r="D17" i="4"/>
  <c r="D18" i="16"/>
  <c r="D17" i="16"/>
  <c r="T76" i="9"/>
  <c r="T77" i="9"/>
  <c r="T78" i="9"/>
  <c r="T83" i="9" s="1"/>
  <c r="T75" i="9"/>
  <c r="C21" i="1"/>
  <c r="C26" i="1" s="1"/>
  <c r="C28" i="1" s="1"/>
  <c r="T34" i="9"/>
  <c r="T42" i="9"/>
  <c r="U42" i="9" s="1"/>
  <c r="T54" i="9"/>
  <c r="T56" i="9"/>
  <c r="T69" i="9"/>
  <c r="T38" i="9"/>
  <c r="T45" i="9"/>
  <c r="T51" i="9"/>
  <c r="T31" i="9"/>
  <c r="T40" i="9"/>
  <c r="T46" i="9"/>
  <c r="T52" i="9"/>
  <c r="T63" i="9"/>
  <c r="U63" i="9" s="1"/>
  <c r="T70" i="9"/>
  <c r="T33" i="9"/>
  <c r="T41" i="9"/>
  <c r="T47" i="9"/>
  <c r="T53" i="9"/>
  <c r="T64" i="9"/>
  <c r="T48" i="9"/>
  <c r="T66" i="9"/>
  <c r="U66" i="9" s="1"/>
  <c r="T35" i="9"/>
  <c r="T43" i="9"/>
  <c r="U43" i="9" s="1"/>
  <c r="T49" i="9"/>
  <c r="T55" i="9"/>
  <c r="T67" i="9"/>
  <c r="U67" i="9" s="1"/>
  <c r="T36" i="9"/>
  <c r="T44" i="9"/>
  <c r="T50" i="9"/>
  <c r="T68" i="9"/>
  <c r="U68" i="9" s="1"/>
  <c r="T57" i="9"/>
  <c r="B30" i="14"/>
  <c r="D121" i="9"/>
  <c r="E21" i="1"/>
  <c r="D21" i="1"/>
  <c r="P15" i="1"/>
  <c r="D16" i="4"/>
  <c r="D15" i="4"/>
  <c r="D16" i="16"/>
  <c r="D15" i="16"/>
  <c r="D15" i="19"/>
  <c r="D16" i="19"/>
  <c r="B56" i="14"/>
  <c r="B15" i="14"/>
  <c r="B28" i="14"/>
  <c r="C13" i="9"/>
  <c r="C6" i="20"/>
  <c r="C64" i="12"/>
  <c r="B59" i="14"/>
  <c r="B61" i="14" s="1"/>
  <c r="C47" i="12"/>
  <c r="B27" i="14"/>
  <c r="C24" i="12"/>
  <c r="B22" i="14"/>
  <c r="B21" i="14"/>
  <c r="B25" i="14"/>
  <c r="B42" i="14"/>
  <c r="B12" i="14"/>
  <c r="C18" i="12"/>
  <c r="B24" i="14"/>
  <c r="C61" i="12"/>
  <c r="B31" i="14"/>
  <c r="C23" i="12"/>
  <c r="C37" i="12"/>
  <c r="B16" i="14"/>
  <c r="D136" i="9" l="1"/>
  <c r="O34" i="9"/>
  <c r="R34" i="9" s="1"/>
  <c r="N59" i="9"/>
  <c r="H37" i="12"/>
  <c r="J37" i="12" s="1"/>
  <c r="L37" i="12" s="1"/>
  <c r="Q37" i="12"/>
  <c r="S37" i="12" s="1"/>
  <c r="U37" i="12" s="1"/>
  <c r="Z37" i="12"/>
  <c r="AB37" i="12" s="1"/>
  <c r="AD37" i="12" s="1"/>
  <c r="AI37" i="12"/>
  <c r="AK37" i="12" s="1"/>
  <c r="AM37" i="12" s="1"/>
  <c r="H23" i="12"/>
  <c r="I23" i="12" s="1"/>
  <c r="J23" i="12" s="1"/>
  <c r="L23" i="12" s="1"/>
  <c r="Q23" i="12"/>
  <c r="S23" i="12" s="1"/>
  <c r="U23" i="12" s="1"/>
  <c r="Z23" i="12"/>
  <c r="AB23" i="12" s="1"/>
  <c r="AD23" i="12" s="1"/>
  <c r="AI23" i="12"/>
  <c r="AK23" i="12" s="1"/>
  <c r="AM23" i="12" s="1"/>
  <c r="H18" i="12"/>
  <c r="I18" i="12" s="1"/>
  <c r="J18" i="12" s="1"/>
  <c r="L18" i="12" s="1"/>
  <c r="Q18" i="12"/>
  <c r="S18" i="12" s="1"/>
  <c r="U18" i="12" s="1"/>
  <c r="Z18" i="12"/>
  <c r="AB18" i="12" s="1"/>
  <c r="AD18" i="12" s="1"/>
  <c r="AI18" i="12"/>
  <c r="AK18" i="12" s="1"/>
  <c r="AM18" i="12" s="1"/>
  <c r="H24" i="12"/>
  <c r="I24" i="12" s="1"/>
  <c r="J24" i="12" s="1"/>
  <c r="L24" i="12" s="1"/>
  <c r="Q24" i="12"/>
  <c r="S24" i="12" s="1"/>
  <c r="U24" i="12" s="1"/>
  <c r="Z24" i="12"/>
  <c r="AB24" i="12" s="1"/>
  <c r="AD24" i="12" s="1"/>
  <c r="AI24" i="12"/>
  <c r="AK24" i="12" s="1"/>
  <c r="AM24" i="12" s="1"/>
  <c r="H46" i="12"/>
  <c r="I46" i="12" s="1"/>
  <c r="J46" i="12" s="1"/>
  <c r="L46" i="12" s="1"/>
  <c r="Q46" i="12"/>
  <c r="S46" i="12" s="1"/>
  <c r="U46" i="12" s="1"/>
  <c r="Z46" i="12"/>
  <c r="AB46" i="12" s="1"/>
  <c r="AD46" i="12" s="1"/>
  <c r="AI46" i="12"/>
  <c r="AK46" i="12" s="1"/>
  <c r="AM46" i="12" s="1"/>
  <c r="H63" i="12"/>
  <c r="Q63" i="12"/>
  <c r="Z63" i="12"/>
  <c r="AI63" i="12"/>
  <c r="J15" i="12"/>
  <c r="U15" i="12"/>
  <c r="AD15" i="12"/>
  <c r="AM15" i="12"/>
  <c r="J43" i="12"/>
  <c r="U43" i="12"/>
  <c r="AD43" i="12"/>
  <c r="AM43" i="12"/>
  <c r="K48" i="12"/>
  <c r="AC48" i="12"/>
  <c r="AL48" i="12"/>
  <c r="AN32" i="12"/>
  <c r="AO32" i="12" s="1"/>
  <c r="AE32" i="12"/>
  <c r="AF32" i="12"/>
  <c r="V32" i="12"/>
  <c r="W32" i="12"/>
  <c r="M32" i="12"/>
  <c r="N32" i="12" s="1"/>
  <c r="AN34" i="12"/>
  <c r="AO34" i="12" s="1"/>
  <c r="AE34" i="12"/>
  <c r="AF34" i="12"/>
  <c r="V34" i="12"/>
  <c r="W34" i="12" s="1"/>
  <c r="M34" i="12"/>
  <c r="N34" i="12"/>
  <c r="AK55" i="12"/>
  <c r="AI60" i="12"/>
  <c r="AB55" i="12"/>
  <c r="Z60" i="12"/>
  <c r="S55" i="12"/>
  <c r="Q60" i="12"/>
  <c r="I55" i="12"/>
  <c r="H60" i="12"/>
  <c r="AN44" i="12"/>
  <c r="AO44" i="12" s="1"/>
  <c r="AE44" i="12"/>
  <c r="AF44" i="12"/>
  <c r="V44" i="12"/>
  <c r="W44" i="12"/>
  <c r="M44" i="12"/>
  <c r="N44" i="12" s="1"/>
  <c r="AN19" i="12"/>
  <c r="AO19" i="12" s="1"/>
  <c r="AE19" i="12"/>
  <c r="AF19" i="12"/>
  <c r="V19" i="12"/>
  <c r="W19" i="12" s="1"/>
  <c r="M19" i="12"/>
  <c r="N19" i="12"/>
  <c r="AJ58" i="12"/>
  <c r="AJ60" i="12" s="1"/>
  <c r="AK58" i="12"/>
  <c r="AM58" i="12" s="1"/>
  <c r="AO58" i="12" s="1"/>
  <c r="AA58" i="12"/>
  <c r="AA60" i="12" s="1"/>
  <c r="R58" i="12"/>
  <c r="R60" i="12" s="1"/>
  <c r="M58" i="12"/>
  <c r="M60" i="12" s="1"/>
  <c r="N58" i="12"/>
  <c r="AN31" i="12"/>
  <c r="AO31" i="12" s="1"/>
  <c r="AE31" i="12"/>
  <c r="AF31" i="12"/>
  <c r="V31" i="12"/>
  <c r="W31" i="12"/>
  <c r="M31" i="12"/>
  <c r="N31" i="12" s="1"/>
  <c r="AN25" i="12"/>
  <c r="AO25" i="12" s="1"/>
  <c r="AE25" i="12"/>
  <c r="AF25" i="12"/>
  <c r="V25" i="12"/>
  <c r="W25" i="12" s="1"/>
  <c r="M25" i="12"/>
  <c r="N25" i="12"/>
  <c r="AN26" i="12"/>
  <c r="AO26" i="12"/>
  <c r="AE26" i="12"/>
  <c r="AF26" i="12" s="1"/>
  <c r="V26" i="12"/>
  <c r="W26" i="12" s="1"/>
  <c r="M26" i="12"/>
  <c r="N26" i="12"/>
  <c r="AN29" i="12"/>
  <c r="AO29" i="12" s="1"/>
  <c r="AE29" i="12"/>
  <c r="AF29" i="12"/>
  <c r="V29" i="12"/>
  <c r="W29" i="12"/>
  <c r="M29" i="12"/>
  <c r="N29" i="12" s="1"/>
  <c r="AM48" i="12"/>
  <c r="AD48" i="12"/>
  <c r="V48" i="12"/>
  <c r="W48" i="12"/>
  <c r="L48" i="12"/>
  <c r="AN16" i="12"/>
  <c r="AO16" i="12" s="1"/>
  <c r="AE16" i="12"/>
  <c r="AF16" i="12"/>
  <c r="V16" i="12"/>
  <c r="W16" i="12"/>
  <c r="M16" i="12"/>
  <c r="N16" i="12"/>
  <c r="AN35" i="12"/>
  <c r="AO35" i="12" s="1"/>
  <c r="AE35" i="12"/>
  <c r="AF35" i="12"/>
  <c r="V35" i="12"/>
  <c r="W35" i="12" s="1"/>
  <c r="M35" i="12"/>
  <c r="N35" i="12"/>
  <c r="AN28" i="12"/>
  <c r="AO28" i="12"/>
  <c r="AE28" i="12"/>
  <c r="AF28" i="12"/>
  <c r="V28" i="12"/>
  <c r="W28" i="12" s="1"/>
  <c r="M28" i="12"/>
  <c r="N28" i="12"/>
  <c r="AN20" i="12"/>
  <c r="AO20" i="12" s="1"/>
  <c r="AE20" i="12"/>
  <c r="AF20" i="12"/>
  <c r="V20" i="12"/>
  <c r="W20" i="12"/>
  <c r="M20" i="12"/>
  <c r="N20" i="12"/>
  <c r="AM47" i="12"/>
  <c r="AD47" i="12"/>
  <c r="V47" i="12"/>
  <c r="W47" i="12"/>
  <c r="L47" i="12"/>
  <c r="L70" i="9"/>
  <c r="K72" i="9"/>
  <c r="K89" i="9" s="1"/>
  <c r="R41" i="9"/>
  <c r="R59" i="9" s="1"/>
  <c r="O59" i="9"/>
  <c r="B6" i="20"/>
  <c r="E26" i="8"/>
  <c r="D24" i="19"/>
  <c r="L69" i="9"/>
  <c r="N64" i="9"/>
  <c r="O64" i="9" s="1"/>
  <c r="R85" i="9"/>
  <c r="F21" i="1"/>
  <c r="F22" i="1" s="1"/>
  <c r="E121" i="9"/>
  <c r="Q26" i="19"/>
  <c r="Q23" i="23"/>
  <c r="Q24" i="23" s="1"/>
  <c r="U23" i="9"/>
  <c r="U21" i="9"/>
  <c r="D52" i="14"/>
  <c r="U22" i="9"/>
  <c r="U35" i="9"/>
  <c r="U38" i="9"/>
  <c r="U45" i="9"/>
  <c r="U76" i="9"/>
  <c r="U31" i="9"/>
  <c r="U54" i="9"/>
  <c r="U51" i="9"/>
  <c r="U77" i="9"/>
  <c r="U78" i="9"/>
  <c r="U56" i="9"/>
  <c r="U75" i="9"/>
  <c r="U50" i="9"/>
  <c r="U47" i="9"/>
  <c r="U49" i="9"/>
  <c r="U52" i="9"/>
  <c r="U48" i="9"/>
  <c r="U53" i="9"/>
  <c r="U36" i="9"/>
  <c r="U44" i="9"/>
  <c r="C22" i="12"/>
  <c r="B20" i="14"/>
  <c r="D22" i="1"/>
  <c r="E6" i="20" a="1"/>
  <c r="E6" i="20" s="1"/>
  <c r="C38" i="12"/>
  <c r="G21" i="1"/>
  <c r="C66" i="12"/>
  <c r="U57" i="9"/>
  <c r="U41" i="9"/>
  <c r="D39" i="14"/>
  <c r="B14" i="14"/>
  <c r="B19" i="14"/>
  <c r="D24" i="14"/>
  <c r="C21" i="12"/>
  <c r="U40" i="9"/>
  <c r="B33" i="14"/>
  <c r="U55" i="9"/>
  <c r="C36" i="12"/>
  <c r="S58" i="12" l="1"/>
  <c r="U58" i="12" s="1"/>
  <c r="W58" i="12" s="1"/>
  <c r="AB58" i="12"/>
  <c r="AD58" i="12" s="1"/>
  <c r="AF58" i="12" s="1"/>
  <c r="E136" i="9"/>
  <c r="U64" i="9"/>
  <c r="R64" i="9"/>
  <c r="H36" i="12"/>
  <c r="I36" i="12" s="1"/>
  <c r="J36" i="12" s="1"/>
  <c r="L36" i="12" s="1"/>
  <c r="Q36" i="12"/>
  <c r="S36" i="12" s="1"/>
  <c r="U36" i="12" s="1"/>
  <c r="Z36" i="12"/>
  <c r="AB36" i="12" s="1"/>
  <c r="AD36" i="12" s="1"/>
  <c r="AI36" i="12"/>
  <c r="AK36" i="12" s="1"/>
  <c r="AM36" i="12" s="1"/>
  <c r="H21" i="12"/>
  <c r="I21" i="12" s="1"/>
  <c r="J21" i="12" s="1"/>
  <c r="L21" i="12" s="1"/>
  <c r="Q21" i="12"/>
  <c r="S21" i="12" s="1"/>
  <c r="U21" i="12" s="1"/>
  <c r="Z21" i="12"/>
  <c r="AB21" i="12" s="1"/>
  <c r="AD21" i="12" s="1"/>
  <c r="AI21" i="12"/>
  <c r="AK21" i="12" s="1"/>
  <c r="AM21" i="12" s="1"/>
  <c r="H38" i="12"/>
  <c r="J38" i="12" s="1"/>
  <c r="L38" i="12" s="1"/>
  <c r="Q38" i="12"/>
  <c r="S38" i="12" s="1"/>
  <c r="U38" i="12" s="1"/>
  <c r="Z38" i="12"/>
  <c r="AB38" i="12" s="1"/>
  <c r="AD38" i="12" s="1"/>
  <c r="AI38" i="12"/>
  <c r="AK38" i="12" s="1"/>
  <c r="AM38" i="12" s="1"/>
  <c r="H22" i="12"/>
  <c r="I22" i="12" s="1"/>
  <c r="J22" i="12" s="1"/>
  <c r="L22" i="12" s="1"/>
  <c r="Q22" i="12"/>
  <c r="S22" i="12" s="1"/>
  <c r="U22" i="12" s="1"/>
  <c r="Z22" i="12"/>
  <c r="AB22" i="12" s="1"/>
  <c r="AD22" i="12" s="1"/>
  <c r="AI22" i="12"/>
  <c r="AK22" i="12" s="1"/>
  <c r="AM22" i="12" s="1"/>
  <c r="M47" i="12"/>
  <c r="N47" i="12"/>
  <c r="AE47" i="12"/>
  <c r="AF47" i="12" s="1"/>
  <c r="AN47" i="12"/>
  <c r="AO47" i="12"/>
  <c r="M48" i="12"/>
  <c r="N48" i="12"/>
  <c r="AE48" i="12"/>
  <c r="AF48" i="12"/>
  <c r="AN48" i="12"/>
  <c r="AO48" i="12"/>
  <c r="J55" i="12"/>
  <c r="I60" i="12"/>
  <c r="U55" i="12"/>
  <c r="S60" i="12"/>
  <c r="AD55" i="12"/>
  <c r="AB60" i="12"/>
  <c r="AM55" i="12"/>
  <c r="AK60" i="12"/>
  <c r="D51" i="12"/>
  <c r="K49" i="12"/>
  <c r="AC49" i="12"/>
  <c r="AL49" i="12"/>
  <c r="AN43" i="12"/>
  <c r="AO43" i="12"/>
  <c r="AE43" i="12"/>
  <c r="AF43" i="12" s="1"/>
  <c r="V43" i="12"/>
  <c r="W43" i="12"/>
  <c r="L43" i="12"/>
  <c r="AN15" i="12"/>
  <c r="AO15" i="12" s="1"/>
  <c r="AE15" i="12"/>
  <c r="AF15" i="12"/>
  <c r="V15" i="12"/>
  <c r="W15" i="12"/>
  <c r="L15" i="12"/>
  <c r="AK63" i="12"/>
  <c r="AI65" i="12"/>
  <c r="AB63" i="12"/>
  <c r="Z65" i="12"/>
  <c r="S63" i="12"/>
  <c r="Q65" i="12"/>
  <c r="I63" i="12"/>
  <c r="H65" i="12"/>
  <c r="AN46" i="12"/>
  <c r="AO46" i="12"/>
  <c r="AE46" i="12"/>
  <c r="AF46" i="12"/>
  <c r="V46" i="12"/>
  <c r="W46" i="12" s="1"/>
  <c r="M46" i="12"/>
  <c r="N46" i="12"/>
  <c r="AN24" i="12"/>
  <c r="AO24" i="12"/>
  <c r="AE24" i="12"/>
  <c r="AF24" i="12"/>
  <c r="V24" i="12"/>
  <c r="W24" i="12"/>
  <c r="M24" i="12"/>
  <c r="N24" i="12"/>
  <c r="AN18" i="12"/>
  <c r="AO18" i="12" s="1"/>
  <c r="AE18" i="12"/>
  <c r="AF18" i="12"/>
  <c r="V18" i="12"/>
  <c r="W18" i="12"/>
  <c r="M18" i="12"/>
  <c r="N18" i="12"/>
  <c r="AN23" i="12"/>
  <c r="AO23" i="12"/>
  <c r="AE23" i="12"/>
  <c r="AF23" i="12"/>
  <c r="V23" i="12"/>
  <c r="W23" i="12" s="1"/>
  <c r="M23" i="12"/>
  <c r="N23" i="12"/>
  <c r="AN37" i="12"/>
  <c r="AO37" i="12"/>
  <c r="AE37" i="12"/>
  <c r="AF37" i="12"/>
  <c r="V37" i="12"/>
  <c r="W37" i="12"/>
  <c r="M37" i="12"/>
  <c r="N37" i="12"/>
  <c r="M70" i="9"/>
  <c r="L72" i="9"/>
  <c r="L89" i="9" s="1"/>
  <c r="S85" i="9"/>
  <c r="M69" i="9"/>
  <c r="U80" i="9"/>
  <c r="D51" i="14"/>
  <c r="G121" i="9"/>
  <c r="G136" i="9" s="1"/>
  <c r="D59" i="14"/>
  <c r="D61" i="14" s="1"/>
  <c r="D53" i="14"/>
  <c r="E27" i="14"/>
  <c r="D31" i="14"/>
  <c r="F44" i="14"/>
  <c r="E43" i="14"/>
  <c r="D16" i="14"/>
  <c r="D12" i="14"/>
  <c r="D22" i="14"/>
  <c r="D20" i="14"/>
  <c r="E52" i="14"/>
  <c r="D28" i="14"/>
  <c r="D30" i="14"/>
  <c r="D29" i="14"/>
  <c r="D15" i="14"/>
  <c r="D21" i="14"/>
  <c r="D26" i="14"/>
  <c r="D11" i="14"/>
  <c r="D34" i="14"/>
  <c r="B34" i="14"/>
  <c r="B18" i="14"/>
  <c r="D40" i="14"/>
  <c r="G22" i="1"/>
  <c r="F13" i="9"/>
  <c r="H26" i="8" s="1"/>
  <c r="H21" i="1"/>
  <c r="G13" i="9"/>
  <c r="I26" i="8" s="1"/>
  <c r="D25" i="14"/>
  <c r="D42" i="14"/>
  <c r="D14" i="14"/>
  <c r="D43" i="14"/>
  <c r="D19" i="14"/>
  <c r="B32" i="14"/>
  <c r="D33" i="14"/>
  <c r="B17" i="14"/>
  <c r="F136" i="9" l="1"/>
  <c r="J63" i="12"/>
  <c r="I65" i="12"/>
  <c r="U63" i="12"/>
  <c r="S65" i="12"/>
  <c r="AD63" i="12"/>
  <c r="AB65" i="12"/>
  <c r="AM63" i="12"/>
  <c r="AK65" i="12"/>
  <c r="M15" i="12"/>
  <c r="N15" i="12"/>
  <c r="M43" i="12"/>
  <c r="N43" i="12" s="1"/>
  <c r="K50" i="12"/>
  <c r="AC50" i="12"/>
  <c r="AL50" i="12"/>
  <c r="AO55" i="12"/>
  <c r="AO60" i="12" s="1"/>
  <c r="AM60" i="12"/>
  <c r="J14" i="15" s="1"/>
  <c r="AF55" i="12"/>
  <c r="AF60" i="12" s="1"/>
  <c r="AD60" i="12"/>
  <c r="J13" i="15" s="1"/>
  <c r="W55" i="12"/>
  <c r="W60" i="12" s="1"/>
  <c r="U60" i="12"/>
  <c r="L55" i="12"/>
  <c r="J60" i="12"/>
  <c r="AN22" i="12"/>
  <c r="AO22" i="12" s="1"/>
  <c r="AE22" i="12"/>
  <c r="AF22" i="12" s="1"/>
  <c r="V22" i="12"/>
  <c r="W22" i="12"/>
  <c r="M22" i="12"/>
  <c r="N22" i="12"/>
  <c r="AN38" i="12"/>
  <c r="AO38" i="12"/>
  <c r="AE38" i="12"/>
  <c r="AF38" i="12"/>
  <c r="V38" i="12"/>
  <c r="W38" i="12" s="1"/>
  <c r="M38" i="12"/>
  <c r="N38" i="12"/>
  <c r="AN21" i="12"/>
  <c r="AO21" i="12"/>
  <c r="AE21" i="12"/>
  <c r="AF21" i="12" s="1"/>
  <c r="V21" i="12"/>
  <c r="W21" i="12" s="1"/>
  <c r="M21" i="12"/>
  <c r="N21" i="12" s="1"/>
  <c r="AN36" i="12"/>
  <c r="AO36" i="12" s="1"/>
  <c r="AE36" i="12"/>
  <c r="AF36" i="12"/>
  <c r="V36" i="12"/>
  <c r="W36" i="12"/>
  <c r="M36" i="12"/>
  <c r="N36" i="12" s="1"/>
  <c r="N70" i="9"/>
  <c r="M72" i="9"/>
  <c r="M89" i="9" s="1"/>
  <c r="C46" i="12"/>
  <c r="B41" i="14"/>
  <c r="N69" i="9"/>
  <c r="O69" i="9" s="1"/>
  <c r="E53" i="14"/>
  <c r="E14" i="14"/>
  <c r="D27" i="14"/>
  <c r="E31" i="14"/>
  <c r="E30" i="14"/>
  <c r="F39" i="14"/>
  <c r="E15" i="14"/>
  <c r="E29" i="14"/>
  <c r="E22" i="14"/>
  <c r="E25" i="14"/>
  <c r="E40" i="14"/>
  <c r="E21" i="14"/>
  <c r="E11" i="14"/>
  <c r="D44" i="14"/>
  <c r="E44" i="14"/>
  <c r="E26" i="14"/>
  <c r="E16" i="14"/>
  <c r="F43" i="14"/>
  <c r="E33" i="14"/>
  <c r="E20" i="14"/>
  <c r="F40" i="14"/>
  <c r="E12" i="14"/>
  <c r="E19" i="14"/>
  <c r="E39" i="14"/>
  <c r="E24" i="14"/>
  <c r="E28" i="14"/>
  <c r="F27" i="14"/>
  <c r="D54" i="14"/>
  <c r="D56" i="14" s="1"/>
  <c r="U83" i="9"/>
  <c r="U85" i="9" s="1"/>
  <c r="D18" i="14"/>
  <c r="I21" i="1"/>
  <c r="D32" i="14"/>
  <c r="D17" i="14"/>
  <c r="I17" i="4" l="1"/>
  <c r="J16" i="15"/>
  <c r="J17" i="4"/>
  <c r="K17" i="4"/>
  <c r="L17" i="4"/>
  <c r="M17" i="4"/>
  <c r="N17" i="4"/>
  <c r="O17" i="4"/>
  <c r="P17" i="4"/>
  <c r="Q17" i="4" s="1"/>
  <c r="R17" i="4" s="1"/>
  <c r="I18" i="4"/>
  <c r="J18" i="4"/>
  <c r="K18" i="4"/>
  <c r="L18" i="4"/>
  <c r="M18" i="4"/>
  <c r="N18" i="4"/>
  <c r="O18" i="4"/>
  <c r="P18" i="4"/>
  <c r="H45" i="12"/>
  <c r="Q45" i="12"/>
  <c r="Z45" i="12"/>
  <c r="AI45" i="12"/>
  <c r="N55" i="12"/>
  <c r="N60" i="12" s="1"/>
  <c r="L60" i="12"/>
  <c r="AO63" i="12"/>
  <c r="AO65" i="12" s="1"/>
  <c r="AM65" i="12"/>
  <c r="I14" i="15" s="1"/>
  <c r="AF63" i="12"/>
  <c r="AF65" i="12" s="1"/>
  <c r="AD65" i="12"/>
  <c r="I13" i="15" s="1"/>
  <c r="W63" i="12"/>
  <c r="W65" i="12" s="1"/>
  <c r="U65" i="12"/>
  <c r="L63" i="12"/>
  <c r="J65" i="12"/>
  <c r="U69" i="9"/>
  <c r="R69" i="9"/>
  <c r="N72" i="9"/>
  <c r="N89" i="9" s="1"/>
  <c r="O70" i="9"/>
  <c r="E59" i="14"/>
  <c r="E17" i="14"/>
  <c r="F17" i="14"/>
  <c r="F33" i="14"/>
  <c r="F32" i="14"/>
  <c r="I44" i="14"/>
  <c r="J44" i="14" s="1"/>
  <c r="K44" i="14" s="1"/>
  <c r="F18" i="14"/>
  <c r="I43" i="14"/>
  <c r="J43" i="14" s="1"/>
  <c r="K43" i="14" s="1"/>
  <c r="I27" i="14"/>
  <c r="J27" i="14" s="1"/>
  <c r="K27" i="14" s="1"/>
  <c r="E34" i="14"/>
  <c r="E54" i="14"/>
  <c r="E42" i="14"/>
  <c r="F42" i="14"/>
  <c r="F19" i="14"/>
  <c r="F14" i="14"/>
  <c r="E32" i="14"/>
  <c r="I22" i="1"/>
  <c r="H22" i="1"/>
  <c r="H13" i="9"/>
  <c r="J26" i="8" s="1"/>
  <c r="J21" i="1"/>
  <c r="I39" i="14"/>
  <c r="J39" i="14" s="1"/>
  <c r="K39" i="14" s="1"/>
  <c r="I40" i="14"/>
  <c r="J40" i="14" s="1"/>
  <c r="K40" i="14" s="1"/>
  <c r="Q18" i="4" l="1"/>
  <c r="R18" i="4" s="1"/>
  <c r="I17" i="19"/>
  <c r="I16" i="15"/>
  <c r="J17" i="19"/>
  <c r="K17" i="19"/>
  <c r="L17" i="19"/>
  <c r="M17" i="19"/>
  <c r="N17" i="19"/>
  <c r="O17" i="19"/>
  <c r="P17" i="19"/>
  <c r="Q17" i="19" s="1"/>
  <c r="R17" i="19" s="1"/>
  <c r="I18" i="19"/>
  <c r="J18" i="19"/>
  <c r="K18" i="19"/>
  <c r="L18" i="19"/>
  <c r="M18" i="19"/>
  <c r="N18" i="19"/>
  <c r="O18" i="19"/>
  <c r="P18" i="19"/>
  <c r="N63" i="12"/>
  <c r="N65" i="12" s="1"/>
  <c r="L65" i="12"/>
  <c r="AK45" i="12"/>
  <c r="AB45" i="12"/>
  <c r="S45" i="12"/>
  <c r="I45" i="12"/>
  <c r="U70" i="9"/>
  <c r="U72" i="9" s="1"/>
  <c r="R70" i="9"/>
  <c r="R72" i="9" s="1"/>
  <c r="R89" i="9" s="1"/>
  <c r="O72" i="9"/>
  <c r="O89" i="9" s="1"/>
  <c r="C51" i="12"/>
  <c r="B46" i="14"/>
  <c r="E18" i="14"/>
  <c r="D41" i="14"/>
  <c r="F12" i="14"/>
  <c r="F11" i="14"/>
  <c r="F59" i="14"/>
  <c r="F61" i="14" s="1"/>
  <c r="F24" i="14"/>
  <c r="F26" i="14"/>
  <c r="F31" i="14"/>
  <c r="F21" i="14"/>
  <c r="F34" i="14"/>
  <c r="F16" i="14"/>
  <c r="F25" i="14"/>
  <c r="F29" i="14"/>
  <c r="F51" i="14"/>
  <c r="E51" i="14"/>
  <c r="E56" i="14" s="1"/>
  <c r="E15" i="4"/>
  <c r="F15" i="14"/>
  <c r="F30" i="14"/>
  <c r="F20" i="14"/>
  <c r="F28" i="14"/>
  <c r="F53" i="14"/>
  <c r="F54" i="14"/>
  <c r="F22" i="14"/>
  <c r="F52" i="14"/>
  <c r="I13" i="9"/>
  <c r="K26" i="8" s="1"/>
  <c r="K21" i="1"/>
  <c r="Q18" i="19" l="1"/>
  <c r="R18" i="19" s="1"/>
  <c r="H50" i="12"/>
  <c r="I50" i="12" s="1"/>
  <c r="J50" i="12" s="1"/>
  <c r="L50" i="12" s="1"/>
  <c r="Q50" i="12"/>
  <c r="S50" i="12" s="1"/>
  <c r="U50" i="12" s="1"/>
  <c r="Z50" i="12"/>
  <c r="AB50" i="12" s="1"/>
  <c r="AD50" i="12" s="1"/>
  <c r="AI50" i="12"/>
  <c r="AK50" i="12" s="1"/>
  <c r="AM50" i="12" s="1"/>
  <c r="J45" i="12"/>
  <c r="U45" i="12"/>
  <c r="AD45" i="12"/>
  <c r="AM45" i="12"/>
  <c r="B71" i="14"/>
  <c r="F56" i="14"/>
  <c r="S72" i="9"/>
  <c r="I32" i="14"/>
  <c r="J32" i="14" s="1"/>
  <c r="K32" i="14" s="1"/>
  <c r="I19" i="14"/>
  <c r="J19" i="14" s="1"/>
  <c r="K19" i="14" s="1"/>
  <c r="I51" i="14"/>
  <c r="I14" i="14"/>
  <c r="J14" i="14" s="1"/>
  <c r="K14" i="14" s="1"/>
  <c r="I42" i="14"/>
  <c r="J42" i="14" s="1"/>
  <c r="I18" i="14"/>
  <c r="J18" i="14" s="1"/>
  <c r="K18" i="14" s="1"/>
  <c r="I17" i="14"/>
  <c r="J17" i="14" s="1"/>
  <c r="K17" i="14" s="1"/>
  <c r="I16" i="14"/>
  <c r="J16" i="14" s="1"/>
  <c r="K16" i="14" s="1"/>
  <c r="I30" i="14"/>
  <c r="J30" i="14" s="1"/>
  <c r="K30" i="14" s="1"/>
  <c r="I24" i="14"/>
  <c r="J24" i="14" s="1"/>
  <c r="K24" i="14" s="1"/>
  <c r="I15" i="14"/>
  <c r="J15" i="14" s="1"/>
  <c r="K15" i="14" s="1"/>
  <c r="I21" i="14"/>
  <c r="J21" i="14" s="1"/>
  <c r="K21" i="14" s="1"/>
  <c r="I28" i="14"/>
  <c r="J28" i="14" s="1"/>
  <c r="K28" i="14" s="1"/>
  <c r="I26" i="14"/>
  <c r="J26" i="14" s="1"/>
  <c r="K26" i="14" s="1"/>
  <c r="I31" i="14"/>
  <c r="J31" i="14" s="1"/>
  <c r="K31" i="14" s="1"/>
  <c r="I25" i="14"/>
  <c r="J25" i="14" s="1"/>
  <c r="K25" i="14" s="1"/>
  <c r="I12" i="14"/>
  <c r="J12" i="14" s="1"/>
  <c r="K12" i="14" s="1"/>
  <c r="I11" i="14"/>
  <c r="J11" i="14" s="1"/>
  <c r="K11" i="14" s="1"/>
  <c r="I22" i="14"/>
  <c r="J22" i="14" s="1"/>
  <c r="K22" i="14" s="1"/>
  <c r="I29" i="14"/>
  <c r="J29" i="14" s="1"/>
  <c r="K29" i="14" s="1"/>
  <c r="I33" i="14"/>
  <c r="J33" i="14" s="1"/>
  <c r="K33" i="14" s="1"/>
  <c r="I20" i="14"/>
  <c r="J20" i="14" s="1"/>
  <c r="K20" i="14" s="1"/>
  <c r="K22" i="1"/>
  <c r="J22" i="1"/>
  <c r="J13" i="9"/>
  <c r="L26" i="8" s="1"/>
  <c r="L21" i="1"/>
  <c r="K13" i="9"/>
  <c r="M26" i="8" s="1"/>
  <c r="E61" i="14"/>
  <c r="N24" i="19"/>
  <c r="J24" i="19"/>
  <c r="M24" i="19"/>
  <c r="E15" i="19"/>
  <c r="E24" i="19" s="1"/>
  <c r="P24" i="19"/>
  <c r="G24" i="19"/>
  <c r="I54" i="14"/>
  <c r="J54" i="14" s="1"/>
  <c r="U34" i="9"/>
  <c r="C17" i="12"/>
  <c r="H17" i="12" l="1"/>
  <c r="Q17" i="12"/>
  <c r="Z17" i="12"/>
  <c r="AI17" i="12"/>
  <c r="AN45" i="12"/>
  <c r="AO45" i="12"/>
  <c r="AE45" i="12"/>
  <c r="AF45" i="12"/>
  <c r="V45" i="12"/>
  <c r="W45" i="12"/>
  <c r="F41" i="14"/>
  <c r="L45" i="12"/>
  <c r="AN50" i="12"/>
  <c r="AO50" i="12" s="1"/>
  <c r="AE50" i="12"/>
  <c r="AF50" i="12"/>
  <c r="V50" i="12"/>
  <c r="W50" i="12"/>
  <c r="M50" i="12"/>
  <c r="N50" i="12"/>
  <c r="E46" i="14"/>
  <c r="F46" i="14"/>
  <c r="I19" i="15"/>
  <c r="H24" i="19"/>
  <c r="F25" i="4"/>
  <c r="L24" i="19"/>
  <c r="M25" i="4"/>
  <c r="N25" i="4"/>
  <c r="F24" i="19"/>
  <c r="K24" i="19"/>
  <c r="O25" i="4"/>
  <c r="O24" i="19"/>
  <c r="I25" i="4"/>
  <c r="I24" i="19"/>
  <c r="J51" i="14"/>
  <c r="K51" i="14" s="1"/>
  <c r="D10" i="20"/>
  <c r="Q15" i="19"/>
  <c r="I17" i="15"/>
  <c r="I34" i="14"/>
  <c r="J34" i="14" s="1"/>
  <c r="K34" i="14" s="1"/>
  <c r="Q15" i="4"/>
  <c r="G25" i="4"/>
  <c r="L25" i="4"/>
  <c r="K25" i="4"/>
  <c r="H25" i="4"/>
  <c r="P25" i="4"/>
  <c r="J25" i="4"/>
  <c r="L22" i="1"/>
  <c r="M21" i="1"/>
  <c r="I52" i="14"/>
  <c r="B13" i="14"/>
  <c r="I53" i="14"/>
  <c r="B45" i="14"/>
  <c r="B48" i="14" s="1"/>
  <c r="C50" i="12"/>
  <c r="Q28" i="16"/>
  <c r="H49" i="12" l="1"/>
  <c r="Q49" i="12"/>
  <c r="Z49" i="12"/>
  <c r="AI49" i="12"/>
  <c r="M45" i="12"/>
  <c r="N45" i="12" s="1"/>
  <c r="E41" i="14"/>
  <c r="AK17" i="12"/>
  <c r="AB17" i="12"/>
  <c r="S17" i="12"/>
  <c r="I17" i="12"/>
  <c r="D46" i="14"/>
  <c r="I46" i="14" s="1"/>
  <c r="J46" i="14" s="1"/>
  <c r="K46" i="14" s="1"/>
  <c r="E25" i="4"/>
  <c r="R15" i="19"/>
  <c r="Q24" i="19"/>
  <c r="J53" i="14"/>
  <c r="K53" i="14" s="1"/>
  <c r="J52" i="14"/>
  <c r="K52" i="14" s="1"/>
  <c r="L19" i="9"/>
  <c r="N29" i="19" s="1"/>
  <c r="E19" i="9"/>
  <c r="G29" i="19" s="1"/>
  <c r="J19" i="9"/>
  <c r="L29" i="19" s="1"/>
  <c r="H19" i="9"/>
  <c r="J29" i="19" s="1"/>
  <c r="G19" i="9"/>
  <c r="I29" i="19" s="1"/>
  <c r="F19" i="9"/>
  <c r="H29" i="19" s="1"/>
  <c r="I19" i="9"/>
  <c r="K29" i="19" s="1"/>
  <c r="L18" i="9"/>
  <c r="N30" i="4" s="1"/>
  <c r="K19" i="9"/>
  <c r="M29" i="19" s="1"/>
  <c r="I18" i="9"/>
  <c r="K30" i="4" s="1"/>
  <c r="R15" i="4"/>
  <c r="C19" i="9"/>
  <c r="E29" i="19" s="1"/>
  <c r="M22" i="1"/>
  <c r="L13" i="9"/>
  <c r="N26" i="8" s="1"/>
  <c r="N21" i="1"/>
  <c r="M13" i="9"/>
  <c r="O26" i="8" s="1"/>
  <c r="I41" i="14"/>
  <c r="J41" i="14" s="1"/>
  <c r="I56" i="14"/>
  <c r="J56" i="14" s="1"/>
  <c r="K56" i="14" s="1"/>
  <c r="D13" i="14"/>
  <c r="J17" i="15"/>
  <c r="D9" i="20"/>
  <c r="C53" i="12"/>
  <c r="J17" i="12" l="1"/>
  <c r="U17" i="12"/>
  <c r="AD17" i="12"/>
  <c r="AM17" i="12"/>
  <c r="AK49" i="12"/>
  <c r="AI52" i="12"/>
  <c r="AB49" i="12"/>
  <c r="Z52" i="12"/>
  <c r="S49" i="12"/>
  <c r="Q52" i="12"/>
  <c r="I49" i="12"/>
  <c r="H52" i="12"/>
  <c r="Q25" i="4"/>
  <c r="J19" i="15"/>
  <c r="B10" i="20"/>
  <c r="M19" i="9"/>
  <c r="O29" i="19" s="1"/>
  <c r="C10" i="20"/>
  <c r="K18" i="9"/>
  <c r="M30" i="4" s="1"/>
  <c r="G18" i="9"/>
  <c r="I30" i="4" s="1"/>
  <c r="J18" i="9"/>
  <c r="L30" i="4" s="1"/>
  <c r="F18" i="9"/>
  <c r="H30" i="4" s="1"/>
  <c r="H18" i="9"/>
  <c r="J30" i="4" s="1"/>
  <c r="E18" i="9"/>
  <c r="G30" i="4" s="1"/>
  <c r="F13" i="14"/>
  <c r="M18" i="9"/>
  <c r="O30" i="4" s="1"/>
  <c r="N22" i="1"/>
  <c r="N13" i="9"/>
  <c r="P26" i="8" s="1"/>
  <c r="D45" i="14"/>
  <c r="J49" i="12" l="1"/>
  <c r="I52" i="12"/>
  <c r="U49" i="12"/>
  <c r="S52" i="12"/>
  <c r="AD49" i="12"/>
  <c r="AB52" i="12"/>
  <c r="AM49" i="12"/>
  <c r="AK52" i="12"/>
  <c r="AN17" i="12"/>
  <c r="AO17" i="12"/>
  <c r="AE17" i="12"/>
  <c r="AF17" i="12"/>
  <c r="V17" i="12"/>
  <c r="W17" i="12" s="1"/>
  <c r="L17" i="12"/>
  <c r="E10" i="20" a="1"/>
  <c r="E10" i="20" s="1"/>
  <c r="O21" i="1"/>
  <c r="N18" i="9"/>
  <c r="P30" i="4" s="1"/>
  <c r="F45" i="14"/>
  <c r="F48" i="14" s="1"/>
  <c r="N19" i="9"/>
  <c r="P29" i="19" s="1"/>
  <c r="C9" i="20"/>
  <c r="C18" i="9"/>
  <c r="E30" i="4" s="1"/>
  <c r="M17" i="12" l="1"/>
  <c r="N17" i="12"/>
  <c r="E13" i="14"/>
  <c r="V75" i="12"/>
  <c r="W75" i="12" s="1"/>
  <c r="AE75" i="12"/>
  <c r="H13" i="15" s="1"/>
  <c r="AN75" i="12"/>
  <c r="H14" i="15" s="1"/>
  <c r="AN49" i="12"/>
  <c r="AN52" i="12" s="1"/>
  <c r="AM52" i="12"/>
  <c r="G14" i="15" s="1"/>
  <c r="AE49" i="12"/>
  <c r="AE52" i="12" s="1"/>
  <c r="AD52" i="12"/>
  <c r="G13" i="15" s="1"/>
  <c r="V49" i="12"/>
  <c r="V52" i="12" s="1"/>
  <c r="W49" i="12"/>
  <c r="W52" i="12" s="1"/>
  <c r="U52" i="12"/>
  <c r="L49" i="12"/>
  <c r="J52" i="12"/>
  <c r="O22" i="1"/>
  <c r="B9" i="20"/>
  <c r="E9" i="20" s="1" a="1"/>
  <c r="E9" i="20" s="1"/>
  <c r="AF49" i="12" l="1"/>
  <c r="AF52" i="12" s="1"/>
  <c r="AO49" i="12"/>
  <c r="AO52" i="12" s="1"/>
  <c r="I17" i="16"/>
  <c r="G16" i="15"/>
  <c r="J17" i="16"/>
  <c r="K17" i="16"/>
  <c r="L17" i="16"/>
  <c r="M17" i="16"/>
  <c r="N17" i="16"/>
  <c r="O17" i="16"/>
  <c r="P17" i="16"/>
  <c r="I18" i="16"/>
  <c r="J18" i="16"/>
  <c r="K18" i="16"/>
  <c r="L18" i="16"/>
  <c r="M18" i="16"/>
  <c r="N18" i="16"/>
  <c r="O18" i="16"/>
  <c r="P18" i="16"/>
  <c r="I18" i="6"/>
  <c r="J18" i="6"/>
  <c r="K18" i="6"/>
  <c r="L18" i="6"/>
  <c r="M18" i="6"/>
  <c r="N18" i="6"/>
  <c r="O18" i="6"/>
  <c r="P18" i="6"/>
  <c r="I17" i="6"/>
  <c r="J17" i="6"/>
  <c r="K17" i="6"/>
  <c r="L17" i="6"/>
  <c r="M17" i="6"/>
  <c r="N17" i="6"/>
  <c r="O17" i="6"/>
  <c r="P17" i="6"/>
  <c r="M49" i="12"/>
  <c r="M52" i="12" s="1"/>
  <c r="L52" i="12"/>
  <c r="E45" i="14"/>
  <c r="E48" i="14" s="1"/>
  <c r="M75" i="12"/>
  <c r="N75" i="12" s="1"/>
  <c r="I13" i="14"/>
  <c r="J13" i="14" s="1"/>
  <c r="K13" i="14" s="1"/>
  <c r="Q18" i="16" l="1"/>
  <c r="R18" i="16" s="1"/>
  <c r="Q17" i="6"/>
  <c r="R17" i="6" s="1"/>
  <c r="Q18" i="6"/>
  <c r="R18" i="6" s="1"/>
  <c r="Q17" i="16"/>
  <c r="R17" i="16" s="1"/>
  <c r="N49" i="12"/>
  <c r="N52" i="12" s="1"/>
  <c r="I45" i="14"/>
  <c r="J45" i="14" s="1"/>
  <c r="K45" i="14" s="1"/>
  <c r="I26" i="16" l="1"/>
  <c r="H26" i="16"/>
  <c r="N26" i="16"/>
  <c r="F26" i="16"/>
  <c r="E15" i="16"/>
  <c r="K26" i="16"/>
  <c r="P26" i="16"/>
  <c r="D8" i="20"/>
  <c r="G17" i="15"/>
  <c r="G26" i="16" l="1"/>
  <c r="O26" i="16"/>
  <c r="M17" i="9" s="1"/>
  <c r="E26" i="16"/>
  <c r="L26" i="16"/>
  <c r="J17" i="9" s="1"/>
  <c r="M26" i="16"/>
  <c r="J26" i="16"/>
  <c r="H17" i="9" s="1"/>
  <c r="C17" i="9"/>
  <c r="I17" i="9"/>
  <c r="K31" i="16" s="1"/>
  <c r="G17" i="9"/>
  <c r="I31" i="16" s="1"/>
  <c r="E17" i="9"/>
  <c r="D17" i="9"/>
  <c r="F31" i="16" s="1"/>
  <c r="N17" i="9"/>
  <c r="P31" i="16" s="1"/>
  <c r="L17" i="9"/>
  <c r="N31" i="16" s="1"/>
  <c r="F17" i="9"/>
  <c r="H31" i="16" s="1"/>
  <c r="K17" i="9"/>
  <c r="Q15" i="16"/>
  <c r="Q26" i="16" s="1"/>
  <c r="O31" i="16" l="1"/>
  <c r="L31" i="16"/>
  <c r="J31" i="16"/>
  <c r="M31" i="16"/>
  <c r="E31" i="16"/>
  <c r="G19" i="15"/>
  <c r="G31" i="16"/>
  <c r="O17" i="9"/>
  <c r="R17" i="9" s="1"/>
  <c r="R15" i="16"/>
  <c r="C8" i="20"/>
  <c r="Q31" i="16" l="1"/>
  <c r="B8" i="20"/>
  <c r="E8" i="20" s="1" a="1"/>
  <c r="E8" i="20" s="1"/>
  <c r="U17" i="9" l="1"/>
  <c r="C89" i="9" l="1"/>
  <c r="U46" i="9" l="1"/>
  <c r="U59" i="9" s="1"/>
  <c r="U89" i="9" s="1"/>
  <c r="Q27" i="2"/>
  <c r="C27" i="12"/>
  <c r="H27" i="12" l="1"/>
  <c r="Q27" i="12"/>
  <c r="Z27" i="12"/>
  <c r="AI27" i="12"/>
  <c r="B23" i="14"/>
  <c r="C41" i="12"/>
  <c r="C68" i="12" s="1"/>
  <c r="AJ27" i="12" l="1"/>
  <c r="AJ40" i="12" s="1"/>
  <c r="AJ67" i="12" s="1"/>
  <c r="AK27" i="12"/>
  <c r="AI40" i="12"/>
  <c r="AI67" i="12" s="1"/>
  <c r="AI70" i="12" s="1"/>
  <c r="AK70" i="12" s="1"/>
  <c r="AM70" i="12" s="1"/>
  <c r="AN70" i="12" s="1"/>
  <c r="AO70" i="12" s="1"/>
  <c r="AO73" i="12" s="1"/>
  <c r="AA27" i="12"/>
  <c r="AA40" i="12" s="1"/>
  <c r="AA67" i="12" s="1"/>
  <c r="AB27" i="12"/>
  <c r="Z40" i="12"/>
  <c r="Z67" i="12" s="1"/>
  <c r="Z70" i="12" s="1"/>
  <c r="AB70" i="12" s="1"/>
  <c r="AD70" i="12" s="1"/>
  <c r="R40" i="12"/>
  <c r="R67" i="12" s="1"/>
  <c r="S27" i="12"/>
  <c r="Q40" i="12"/>
  <c r="Q67" i="12" s="1"/>
  <c r="Q70" i="12" s="1"/>
  <c r="S70" i="12" s="1"/>
  <c r="U70" i="12" s="1"/>
  <c r="V70" i="12" s="1"/>
  <c r="W70" i="12" s="1"/>
  <c r="W73" i="12" s="1"/>
  <c r="W79" i="12" s="1"/>
  <c r="I27" i="12"/>
  <c r="H40" i="12"/>
  <c r="H67" i="12" s="1"/>
  <c r="H70" i="12" s="1"/>
  <c r="J70" i="12" s="1"/>
  <c r="L70" i="12" s="1"/>
  <c r="M70" i="12" s="1"/>
  <c r="N70" i="12" s="1"/>
  <c r="N73" i="12" s="1"/>
  <c r="S89" i="9"/>
  <c r="S59" i="9"/>
  <c r="B36" i="14"/>
  <c r="B63" i="14" s="1"/>
  <c r="D23" i="14"/>
  <c r="D36" i="14" s="1"/>
  <c r="F12" i="15" l="1"/>
  <c r="K75" i="12"/>
  <c r="N79" i="12"/>
  <c r="J27" i="12"/>
  <c r="I40" i="12"/>
  <c r="I67" i="12" s="1"/>
  <c r="W80" i="12"/>
  <c r="W82" i="12"/>
  <c r="U27" i="12"/>
  <c r="S40" i="12"/>
  <c r="S67" i="12" s="1"/>
  <c r="AD27" i="12"/>
  <c r="AB40" i="12"/>
  <c r="AB67" i="12" s="1"/>
  <c r="AO75" i="12"/>
  <c r="AO79" i="12"/>
  <c r="AM27" i="12"/>
  <c r="AK40" i="12"/>
  <c r="AK67" i="12" s="1"/>
  <c r="D65" i="14"/>
  <c r="F23" i="14"/>
  <c r="F36" i="14" s="1"/>
  <c r="AN27" i="12" l="1"/>
  <c r="AN40" i="12" s="1"/>
  <c r="AN67" i="12" s="1"/>
  <c r="AM40" i="12"/>
  <c r="AO80" i="12"/>
  <c r="AO82" i="12"/>
  <c r="AE27" i="12"/>
  <c r="AE40" i="12" s="1"/>
  <c r="AE67" i="12" s="1"/>
  <c r="AF27" i="12"/>
  <c r="AF40" i="12" s="1"/>
  <c r="AF67" i="12" s="1"/>
  <c r="AD83" i="12" s="1"/>
  <c r="AD84" i="12" s="1"/>
  <c r="AD87" i="12" s="1"/>
  <c r="AD88" i="12" s="1"/>
  <c r="AD40" i="12"/>
  <c r="V27" i="12"/>
  <c r="V40" i="12" s="1"/>
  <c r="V67" i="12" s="1"/>
  <c r="H12" i="15" s="1"/>
  <c r="W27" i="12"/>
  <c r="W40" i="12" s="1"/>
  <c r="W67" i="12" s="1"/>
  <c r="U83" i="12" s="1"/>
  <c r="U40" i="12"/>
  <c r="U67" i="12" s="1"/>
  <c r="L27" i="12"/>
  <c r="E23" i="14" s="1"/>
  <c r="E36" i="14" s="1"/>
  <c r="J40" i="12"/>
  <c r="J67" i="12" s="1"/>
  <c r="N80" i="12"/>
  <c r="N82" i="12"/>
  <c r="F11" i="15"/>
  <c r="AO27" i="12" l="1"/>
  <c r="AO40" i="12" s="1"/>
  <c r="AO67" i="12" s="1"/>
  <c r="AM83" i="12" s="1"/>
  <c r="AM84" i="12" s="1"/>
  <c r="AD67" i="12"/>
  <c r="F13" i="15"/>
  <c r="AM67" i="12"/>
  <c r="F14" i="15"/>
  <c r="U84" i="12"/>
  <c r="W84" i="12"/>
  <c r="W85" i="12" s="1"/>
  <c r="W86" i="12" s="1"/>
  <c r="F65" i="14"/>
  <c r="F20" i="24"/>
  <c r="G20" i="24"/>
  <c r="H20" i="24"/>
  <c r="I20" i="24"/>
  <c r="J20" i="24"/>
  <c r="K20" i="24"/>
  <c r="L20" i="24"/>
  <c r="M20" i="24"/>
  <c r="N20" i="24"/>
  <c r="O20" i="24"/>
  <c r="P20" i="24"/>
  <c r="E20" i="24"/>
  <c r="N12" i="15"/>
  <c r="F74" i="14" s="1"/>
  <c r="F16" i="6"/>
  <c r="G16" i="6"/>
  <c r="H16" i="6"/>
  <c r="I16" i="6"/>
  <c r="J16" i="6"/>
  <c r="K16" i="6"/>
  <c r="L16" i="6"/>
  <c r="M16" i="6"/>
  <c r="AE12" i="12" s="1"/>
  <c r="AE70" i="12" s="1"/>
  <c r="AF70" i="12" s="1"/>
  <c r="AF73" i="12" s="1"/>
  <c r="N16" i="6"/>
  <c r="O16" i="6"/>
  <c r="P16" i="6"/>
  <c r="E16" i="6"/>
  <c r="M27" i="12"/>
  <c r="M40" i="12" s="1"/>
  <c r="M67" i="12" s="1"/>
  <c r="E65" i="14" s="1"/>
  <c r="N27" i="12"/>
  <c r="N40" i="12" s="1"/>
  <c r="N67" i="12" s="1"/>
  <c r="L83" i="12" s="1"/>
  <c r="L84" i="12" s="1"/>
  <c r="L40" i="12"/>
  <c r="L67" i="12" s="1"/>
  <c r="H11" i="15"/>
  <c r="E63" i="14"/>
  <c r="E68" i="14" l="1"/>
  <c r="I30" i="24"/>
  <c r="I18" i="2"/>
  <c r="N14" i="15"/>
  <c r="J30" i="24"/>
  <c r="J18" i="2"/>
  <c r="K30" i="24"/>
  <c r="K18" i="2"/>
  <c r="L30" i="24"/>
  <c r="L18" i="2"/>
  <c r="M30" i="24"/>
  <c r="M18" i="2"/>
  <c r="N30" i="24"/>
  <c r="N18" i="2"/>
  <c r="O30" i="24"/>
  <c r="O18" i="2"/>
  <c r="P30" i="24"/>
  <c r="P18" i="2"/>
  <c r="I25" i="24"/>
  <c r="I17" i="2"/>
  <c r="N13" i="15"/>
  <c r="J25" i="24"/>
  <c r="J17" i="2"/>
  <c r="K25" i="24"/>
  <c r="K17" i="2"/>
  <c r="L25" i="24"/>
  <c r="L17" i="2"/>
  <c r="M25" i="24"/>
  <c r="M17" i="2"/>
  <c r="N25" i="24"/>
  <c r="N17" i="2"/>
  <c r="O25" i="24"/>
  <c r="O17" i="2"/>
  <c r="P25" i="24"/>
  <c r="P17" i="2"/>
  <c r="F16" i="15"/>
  <c r="Q16" i="6"/>
  <c r="R16" i="6" s="1"/>
  <c r="F15" i="24"/>
  <c r="G15" i="24"/>
  <c r="H15" i="24"/>
  <c r="I15" i="24"/>
  <c r="J15" i="24"/>
  <c r="K15" i="24"/>
  <c r="L15" i="24"/>
  <c r="M15" i="24"/>
  <c r="N15" i="24"/>
  <c r="O15" i="24"/>
  <c r="P15" i="24"/>
  <c r="E15" i="24"/>
  <c r="F15" i="6"/>
  <c r="G15" i="6"/>
  <c r="H15" i="6"/>
  <c r="I15" i="6"/>
  <c r="J15" i="6"/>
  <c r="K15" i="6"/>
  <c r="L15" i="6"/>
  <c r="M15" i="6"/>
  <c r="N15" i="6"/>
  <c r="O15" i="6"/>
  <c r="P15" i="6"/>
  <c r="AF75" i="12"/>
  <c r="AF79" i="12"/>
  <c r="H16" i="15"/>
  <c r="N11" i="15"/>
  <c r="E74" i="14" s="1"/>
  <c r="E75" i="14" s="1"/>
  <c r="Q12" i="15"/>
  <c r="P12" i="15"/>
  <c r="I23" i="14"/>
  <c r="J23" i="14" s="1"/>
  <c r="K23" i="14" s="1"/>
  <c r="Q17" i="2" l="1"/>
  <c r="Q18" i="2"/>
  <c r="R17" i="2"/>
  <c r="U17" i="2"/>
  <c r="P13" i="15"/>
  <c r="Q13" i="15"/>
  <c r="R18" i="2"/>
  <c r="U18" i="2"/>
  <c r="P14" i="15"/>
  <c r="Q14" i="15"/>
  <c r="AF80" i="12"/>
  <c r="AF82" i="12"/>
  <c r="N16" i="15"/>
  <c r="D47" i="14"/>
  <c r="D48" i="14" s="1"/>
  <c r="D63" i="14" s="1"/>
  <c r="D68" i="14" s="1"/>
  <c r="D7" i="20"/>
  <c r="F63" i="14"/>
  <c r="F68" i="14" s="1"/>
  <c r="F75" i="14" s="1"/>
  <c r="J16" i="2"/>
  <c r="G16" i="2"/>
  <c r="F16" i="2"/>
  <c r="E16" i="2"/>
  <c r="H16" i="2"/>
  <c r="P16" i="2"/>
  <c r="K16" i="2"/>
  <c r="M16" i="2"/>
  <c r="I16" i="2"/>
  <c r="O16" i="2"/>
  <c r="N16" i="2"/>
  <c r="L16" i="2"/>
  <c r="K15" i="2"/>
  <c r="N15" i="2"/>
  <c r="E15" i="2"/>
  <c r="P15" i="2"/>
  <c r="F15" i="2"/>
  <c r="J15" i="2"/>
  <c r="Q11" i="15"/>
  <c r="Q16" i="15" s="1"/>
  <c r="G15" i="2"/>
  <c r="L15" i="2"/>
  <c r="M15" i="2"/>
  <c r="I15" i="2"/>
  <c r="O15" i="2"/>
  <c r="H15" i="2"/>
  <c r="E15" i="6"/>
  <c r="E26" i="6" s="1"/>
  <c r="F17" i="15"/>
  <c r="I36" i="14"/>
  <c r="J36" i="14" s="1"/>
  <c r="K36" i="14" s="1"/>
  <c r="D11" i="20"/>
  <c r="E25" i="2" l="1"/>
  <c r="E31" i="24"/>
  <c r="E26" i="24"/>
  <c r="L26" i="6"/>
  <c r="L31" i="24" s="1"/>
  <c r="L32" i="24" s="1"/>
  <c r="H26" i="6"/>
  <c r="H31" i="24" s="1"/>
  <c r="H32" i="24" s="1"/>
  <c r="K26" i="6"/>
  <c r="K31" i="24" s="1"/>
  <c r="K32" i="24" s="1"/>
  <c r="F26" i="6"/>
  <c r="J26" i="6"/>
  <c r="J31" i="24" s="1"/>
  <c r="J32" i="24" s="1"/>
  <c r="H19" i="15"/>
  <c r="O26" i="6"/>
  <c r="O31" i="24" s="1"/>
  <c r="O32" i="24" s="1"/>
  <c r="K25" i="2"/>
  <c r="H25" i="2"/>
  <c r="L25" i="2"/>
  <c r="G25" i="2"/>
  <c r="I25" i="2"/>
  <c r="Q16" i="2"/>
  <c r="U16" i="2" s="1"/>
  <c r="P26" i="6"/>
  <c r="P31" i="24" s="1"/>
  <c r="P32" i="24" s="1"/>
  <c r="M26" i="6"/>
  <c r="M31" i="24" s="1"/>
  <c r="M32" i="24" s="1"/>
  <c r="J25" i="2"/>
  <c r="O25" i="2"/>
  <c r="M25" i="2"/>
  <c r="F25" i="2"/>
  <c r="I26" i="6"/>
  <c r="I31" i="24" s="1"/>
  <c r="I32" i="24" s="1"/>
  <c r="F19" i="15"/>
  <c r="G26" i="6"/>
  <c r="G31" i="24" s="1"/>
  <c r="G32" i="24" s="1"/>
  <c r="P25" i="2"/>
  <c r="P26" i="24" s="1"/>
  <c r="P27" i="24" s="1"/>
  <c r="N26" i="6"/>
  <c r="N31" i="24" s="1"/>
  <c r="N32" i="24" s="1"/>
  <c r="N25" i="2"/>
  <c r="I16" i="24"/>
  <c r="I17" i="24" s="1"/>
  <c r="N16" i="24"/>
  <c r="N17" i="24" s="1"/>
  <c r="I48" i="14"/>
  <c r="G16" i="24"/>
  <c r="G17" i="24" s="1"/>
  <c r="J16" i="24"/>
  <c r="J17" i="24" s="1"/>
  <c r="F16" i="24"/>
  <c r="F17" i="24" s="1"/>
  <c r="H16" i="24"/>
  <c r="H17" i="24" s="1"/>
  <c r="P16" i="24"/>
  <c r="P17" i="24" s="1"/>
  <c r="L16" i="24"/>
  <c r="L17" i="24" s="1"/>
  <c r="K16" i="24"/>
  <c r="K17" i="24" s="1"/>
  <c r="O16" i="24"/>
  <c r="O17" i="24" s="1"/>
  <c r="M16" i="24"/>
  <c r="M17" i="24" s="1"/>
  <c r="O21" i="24"/>
  <c r="O22" i="24" s="1"/>
  <c r="I21" i="24"/>
  <c r="I22" i="24" s="1"/>
  <c r="M21" i="24"/>
  <c r="M22" i="24" s="1"/>
  <c r="F21" i="24"/>
  <c r="F22" i="24" s="1"/>
  <c r="K21" i="24"/>
  <c r="K22" i="24" s="1"/>
  <c r="G21" i="24"/>
  <c r="G22" i="24" s="1"/>
  <c r="L21" i="24"/>
  <c r="L22" i="24" s="1"/>
  <c r="P21" i="24"/>
  <c r="P22" i="24" s="1"/>
  <c r="J21" i="24"/>
  <c r="J22" i="24" s="1"/>
  <c r="N21" i="24"/>
  <c r="N22" i="24" s="1"/>
  <c r="H21" i="24"/>
  <c r="H22" i="24" s="1"/>
  <c r="P11" i="15"/>
  <c r="P16" i="15" s="1"/>
  <c r="Q15" i="2"/>
  <c r="Q15" i="6"/>
  <c r="H17" i="15"/>
  <c r="P35" i="24" l="1"/>
  <c r="L14" i="9"/>
  <c r="N31" i="2" s="1"/>
  <c r="N26" i="24"/>
  <c r="N27" i="24" s="1"/>
  <c r="N35" i="24" s="1"/>
  <c r="D14" i="9"/>
  <c r="F31" i="2" s="1"/>
  <c r="K14" i="9"/>
  <c r="M31" i="2" s="1"/>
  <c r="M26" i="24"/>
  <c r="M27" i="24" s="1"/>
  <c r="M35" i="24" s="1"/>
  <c r="M14" i="9"/>
  <c r="O31" i="2" s="1"/>
  <c r="O26" i="24"/>
  <c r="O27" i="24" s="1"/>
  <c r="O35" i="24" s="1"/>
  <c r="H14" i="9"/>
  <c r="J31" i="2" s="1"/>
  <c r="J26" i="24"/>
  <c r="J27" i="24" s="1"/>
  <c r="J35" i="24" s="1"/>
  <c r="G14" i="9"/>
  <c r="I31" i="2" s="1"/>
  <c r="I26" i="24"/>
  <c r="I27" i="24" s="1"/>
  <c r="I35" i="24" s="1"/>
  <c r="E14" i="9"/>
  <c r="G31" i="2" s="1"/>
  <c r="G26" i="24"/>
  <c r="G27" i="24" s="1"/>
  <c r="G35" i="24" s="1"/>
  <c r="J14" i="9"/>
  <c r="L31" i="2" s="1"/>
  <c r="L26" i="24"/>
  <c r="L27" i="24" s="1"/>
  <c r="L35" i="24" s="1"/>
  <c r="F14" i="9"/>
  <c r="H31" i="2" s="1"/>
  <c r="H26" i="24"/>
  <c r="H27" i="24" s="1"/>
  <c r="H35" i="24" s="1"/>
  <c r="I14" i="9"/>
  <c r="K31" i="2" s="1"/>
  <c r="K26" i="24"/>
  <c r="K27" i="24" s="1"/>
  <c r="K35" i="24" s="1"/>
  <c r="E27" i="24"/>
  <c r="E32" i="24"/>
  <c r="Q25" i="2"/>
  <c r="C14" i="9"/>
  <c r="E31" i="2" s="1"/>
  <c r="Q26" i="6"/>
  <c r="N14" i="9"/>
  <c r="P31" i="2" s="1"/>
  <c r="I68" i="14"/>
  <c r="R15" i="6"/>
  <c r="U15" i="2"/>
  <c r="R16" i="2"/>
  <c r="Q20" i="24"/>
  <c r="E21" i="24"/>
  <c r="L12" i="15" s="1"/>
  <c r="Q15" i="24"/>
  <c r="E16" i="24"/>
  <c r="L11" i="15" s="1"/>
  <c r="J48" i="14"/>
  <c r="K48" i="14" s="1"/>
  <c r="I20" i="9"/>
  <c r="K31" i="6" s="1"/>
  <c r="K20" i="9"/>
  <c r="M31" i="6" s="1"/>
  <c r="G20" i="9"/>
  <c r="I31" i="6" s="1"/>
  <c r="F20" i="9"/>
  <c r="H31" i="6" s="1"/>
  <c r="C7" i="20"/>
  <c r="N20" i="9"/>
  <c r="P31" i="6" s="1"/>
  <c r="M20" i="9"/>
  <c r="O31" i="6" s="1"/>
  <c r="J20" i="9"/>
  <c r="L31" i="6" s="1"/>
  <c r="E20" i="9"/>
  <c r="G31" i="6" s="1"/>
  <c r="L20" i="9"/>
  <c r="N31" i="6" s="1"/>
  <c r="H20" i="9"/>
  <c r="J31" i="6" s="1"/>
  <c r="R15" i="2"/>
  <c r="F26" i="24" l="1"/>
  <c r="Q25" i="24"/>
  <c r="O14" i="9"/>
  <c r="Q31" i="2" s="1"/>
  <c r="K102" i="9"/>
  <c r="K107" i="9" s="1"/>
  <c r="F102" i="9"/>
  <c r="F107" i="9" s="1"/>
  <c r="J102" i="9"/>
  <c r="J107" i="9" s="1"/>
  <c r="H102" i="9"/>
  <c r="H107" i="9" s="1"/>
  <c r="N102" i="9"/>
  <c r="N107" i="9" s="1"/>
  <c r="G102" i="9"/>
  <c r="G107" i="9" s="1"/>
  <c r="I102" i="9"/>
  <c r="I107" i="9" s="1"/>
  <c r="M102" i="9"/>
  <c r="M107" i="9" s="1"/>
  <c r="E102" i="9"/>
  <c r="E107" i="9" s="1"/>
  <c r="L102" i="9"/>
  <c r="L107" i="9" s="1"/>
  <c r="J15" i="9"/>
  <c r="J27" i="9" s="1"/>
  <c r="J91" i="9" s="1"/>
  <c r="H15" i="9"/>
  <c r="H27" i="9" s="1"/>
  <c r="H91" i="9" s="1"/>
  <c r="N15" i="9"/>
  <c r="N27" i="9" s="1"/>
  <c r="N91" i="9" s="1"/>
  <c r="I15" i="9"/>
  <c r="I27" i="9" s="1"/>
  <c r="I91" i="9" s="1"/>
  <c r="K15" i="9"/>
  <c r="K27" i="9" s="1"/>
  <c r="K91" i="9" s="1"/>
  <c r="L15" i="9"/>
  <c r="L27" i="9" s="1"/>
  <c r="L91" i="9" s="1"/>
  <c r="M15" i="9"/>
  <c r="M27" i="9" s="1"/>
  <c r="M91" i="9" s="1"/>
  <c r="G15" i="9"/>
  <c r="G27" i="9" s="1"/>
  <c r="G91" i="9" s="1"/>
  <c r="F15" i="9"/>
  <c r="F27" i="9" s="1"/>
  <c r="F91" i="9" s="1"/>
  <c r="E17" i="24"/>
  <c r="Q16" i="24"/>
  <c r="Q17" i="24" s="1"/>
  <c r="E22" i="24"/>
  <c r="Q22" i="24" s="1"/>
  <c r="M12" i="15"/>
  <c r="Q21" i="24"/>
  <c r="E15" i="9"/>
  <c r="E27" i="9" s="1"/>
  <c r="E91" i="9" s="1"/>
  <c r="N17" i="15"/>
  <c r="B7" i="20"/>
  <c r="E7" i="20" s="1" a="1"/>
  <c r="E7" i="20" s="1"/>
  <c r="C11" i="20"/>
  <c r="C20" i="9"/>
  <c r="E31" i="6" s="1"/>
  <c r="E35" i="24" l="1"/>
  <c r="F27" i="24"/>
  <c r="Q26" i="24"/>
  <c r="Q27" i="24" s="1"/>
  <c r="L13" i="15" s="1"/>
  <c r="M13" i="15" s="1"/>
  <c r="F109" i="9"/>
  <c r="F138" i="9" s="1"/>
  <c r="K109" i="9"/>
  <c r="R14" i="9"/>
  <c r="O37" i="24"/>
  <c r="H109" i="9"/>
  <c r="P37" i="24"/>
  <c r="M109" i="9"/>
  <c r="E109" i="9"/>
  <c r="E138" i="9" s="1"/>
  <c r="J109" i="9"/>
  <c r="I37" i="24"/>
  <c r="I109" i="9"/>
  <c r="H37" i="24"/>
  <c r="N37" i="24"/>
  <c r="M37" i="24"/>
  <c r="J37" i="24"/>
  <c r="G37" i="24"/>
  <c r="L37" i="24"/>
  <c r="G109" i="9"/>
  <c r="G138" i="9" s="1"/>
  <c r="N109" i="9"/>
  <c r="L109" i="9"/>
  <c r="K37" i="24"/>
  <c r="M11" i="15"/>
  <c r="B11" i="20"/>
  <c r="E11" i="20" s="1" a="1"/>
  <c r="E11" i="20" s="1"/>
  <c r="E13" i="20" s="1"/>
  <c r="D13" i="9"/>
  <c r="F26" i="8" s="1"/>
  <c r="F31" i="24" l="1"/>
  <c r="Q30" i="24"/>
  <c r="C102" i="9"/>
  <c r="M17" i="15"/>
  <c r="D19" i="9"/>
  <c r="Q28" i="2"/>
  <c r="D20" i="9"/>
  <c r="Q27" i="19"/>
  <c r="I65" i="14"/>
  <c r="Q28" i="4"/>
  <c r="U14" i="9"/>
  <c r="Q29" i="16"/>
  <c r="O13" i="9"/>
  <c r="E22" i="1"/>
  <c r="D18" i="9"/>
  <c r="F32" i="24" l="1"/>
  <c r="Q31" i="24"/>
  <c r="O18" i="9"/>
  <c r="U18" i="9" s="1"/>
  <c r="F30" i="4"/>
  <c r="O19" i="9"/>
  <c r="U19" i="9" s="1"/>
  <c r="F29" i="19"/>
  <c r="R13" i="9"/>
  <c r="Q26" i="8"/>
  <c r="C107" i="9"/>
  <c r="F31" i="6"/>
  <c r="O20" i="9"/>
  <c r="C15" i="9"/>
  <c r="E37" i="24" s="1"/>
  <c r="U13" i="9"/>
  <c r="I59" i="14"/>
  <c r="Q32" i="24" l="1"/>
  <c r="F35" i="24"/>
  <c r="R19" i="9"/>
  <c r="Q29" i="19"/>
  <c r="R18" i="9"/>
  <c r="Q30" i="4"/>
  <c r="J59" i="14"/>
  <c r="K59" i="14" s="1"/>
  <c r="R20" i="9"/>
  <c r="Q31" i="6"/>
  <c r="C27" i="9"/>
  <c r="Q28" i="6"/>
  <c r="Q29" i="6" s="1"/>
  <c r="U20" i="9"/>
  <c r="U27" i="9" s="1"/>
  <c r="B65" i="14"/>
  <c r="I61" i="14"/>
  <c r="J61" i="14" s="1"/>
  <c r="K61" i="14" s="1"/>
  <c r="I63" i="14"/>
  <c r="J63" i="14" s="1"/>
  <c r="Q35" i="24" l="1"/>
  <c r="L14" i="15"/>
  <c r="D102" i="9"/>
  <c r="D15" i="9"/>
  <c r="B68" i="14"/>
  <c r="J65" i="14"/>
  <c r="K65" i="14" s="1"/>
  <c r="C91" i="9"/>
  <c r="C109" i="9" s="1"/>
  <c r="C138" i="9" s="1"/>
  <c r="O145" i="9"/>
  <c r="K63" i="14"/>
  <c r="M14" i="15" l="1"/>
  <c r="M16" i="15" s="1"/>
  <c r="L16" i="15"/>
  <c r="L19" i="15" s="1"/>
  <c r="F37" i="24"/>
  <c r="D27" i="9"/>
  <c r="D91" i="9" s="1"/>
  <c r="O15" i="9"/>
  <c r="D107" i="9"/>
  <c r="O102" i="9"/>
  <c r="J68" i="14"/>
  <c r="K68" i="14" s="1"/>
  <c r="B72" i="14"/>
  <c r="H121" i="9"/>
  <c r="O107" i="9" l="1"/>
  <c r="R102" i="9"/>
  <c r="R107" i="9" s="1"/>
  <c r="Q37" i="24"/>
  <c r="R15" i="9"/>
  <c r="R27" i="9" s="1"/>
  <c r="R91" i="9" s="1"/>
  <c r="R109" i="9" s="1"/>
  <c r="O27" i="9"/>
  <c r="O91" i="9" s="1"/>
  <c r="O109" i="9" s="1"/>
  <c r="D109" i="9"/>
  <c r="D138" i="9" s="1"/>
  <c r="H136" i="9"/>
  <c r="H138" i="9" s="1"/>
  <c r="I121" i="9"/>
  <c r="S107" i="9" l="1"/>
  <c r="S91" i="9"/>
  <c r="S27" i="9"/>
  <c r="S109" i="9"/>
  <c r="I136" i="9"/>
  <c r="I138" i="9" s="1"/>
  <c r="J121" i="9"/>
  <c r="J136" i="9" l="1"/>
  <c r="J138" i="9" s="1"/>
  <c r="K121" i="9"/>
  <c r="M121" i="9" s="1"/>
  <c r="K136" i="9" l="1"/>
  <c r="K138" i="9" s="1"/>
  <c r="L136" i="9" l="1"/>
  <c r="L138" i="9" s="1"/>
  <c r="M136" i="9" l="1"/>
  <c r="M138" i="9" s="1"/>
  <c r="N121" i="9"/>
  <c r="N136" i="9" l="1"/>
  <c r="N138" i="9" s="1"/>
  <c r="O121" i="9"/>
  <c r="O136" i="9" l="1"/>
  <c r="O138" i="9" s="1"/>
  <c r="R121" i="9"/>
  <c r="R136" i="9" s="1"/>
  <c r="S136" i="9" l="1"/>
  <c r="R13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Nayak, Bijaya</author>
  </authors>
  <commentList>
    <comment ref="E3" authorId="0" shapeId="0" xr:uid="{61F144EB-357F-42F2-BD77-7879F88C8902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Pro-Rated for Mar'26 (3/1/2026 to 3/15/2026 - 15 days - $4,374.81 and 3/16/2026 to 3/31/2026 - 16 days - $4,505.74) total $4,442.39.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Nayak, Bijaya</author>
  </authors>
  <commentList>
    <comment ref="U63" authorId="0" shapeId="0" xr:uid="{66E27333-3A83-4DC3-B059-BFE438DAFBDB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4" authorId="0" shapeId="0" xr:uid="{D2C51E8D-684D-475F-B1B9-35254A701CDA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5" authorId="0" shapeId="0" xr:uid="{E10613F5-9573-4D32-B583-9347E42A1D01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6" authorId="0" shapeId="0" xr:uid="{91317579-5C47-4478-B48D-CA50F1274B01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7" authorId="0" shapeId="0" xr:uid="{D6954E6A-9E91-4202-B949-868852D8DBBE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8" authorId="0" shapeId="0" xr:uid="{E91011C1-08AB-412D-8136-B6467455E36F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69" authorId="0" shapeId="0" xr:uid="{A8C37E8F-2DDD-43B0-B96C-ED0534A929C6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  <comment ref="U70" authorId="0" shapeId="0" xr:uid="{17F26F00-3D49-47AD-AEE1-01946E9A2ECF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Formulas updated please verify.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Kolanchinathan, Nivedha</author>
    <author>Nayak, Bijaya</author>
  </authors>
  <commentList>
    <comment ref="C16" authorId="0" shapeId="0" xr:uid="{A569130F-0DEF-4BEC-8A8C-B6321671B84B}">
      <text>
        <r>
          <rPr>
            <b/>
            <sz val="9"/>
            <color indexed="81"/>
            <rFont val="Tahoma"/>
            <family val="2"/>
          </rPr>
          <t>NMK:</t>
        </r>
        <r>
          <rPr>
            <sz val="9"/>
            <color indexed="81"/>
            <rFont val="Tahoma"/>
            <family val="2"/>
          </rPr>
          <t xml:space="preserve">
Changed the Square footage from 1,964 to 1,967.</t>
        </r>
      </text>
    </comment>
    <comment ref="G16" authorId="1" shapeId="0" xr:uid="{0BDAD7F0-725C-4CA0-B20A-EBEE1EA1F17F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Pro-Rated for Mar'26 (3/1/2026 to 3/15/2026 - 15 days - $4,374.81 and 3/16/2026 to 3/31/2026 - 16 days - $4,505.74) total $4,442.39.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Nayak, Bijaya</author>
  </authors>
  <commentList>
    <comment ref="C11" authorId="0" shapeId="0" xr:uid="{F195FA69-5995-4433-89A6-AC0875DB72E8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Updated based on rent roll report.</t>
        </r>
      </text>
    </comment>
    <comment ref="C12" authorId="0" shapeId="0" xr:uid="{186239C0-6D39-422D-BAF3-51D10F25A647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>Updated based on rent roll report.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Kolanchinathan, Nivedha</author>
  </authors>
  <commentList>
    <comment ref="E75" authorId="0" shapeId="0" xr:uid="{6BB8F8A0-432F-4ED9-98F4-AC211FDB9F7B}">
      <text>
        <r>
          <rPr>
            <b/>
            <sz val="9"/>
            <color indexed="81"/>
            <rFont val="Tahoma"/>
            <family val="2"/>
          </rPr>
          <t>NMK:</t>
        </r>
        <r>
          <rPr>
            <sz val="9"/>
            <color indexed="81"/>
            <rFont val="Tahoma"/>
            <family val="2"/>
          </rPr>
          <t xml:space="preserve">
The variance is due to separate calculation resulting from the 95% gross-up permitted under the lease has been deducted from the total common area.</t>
        </r>
      </text>
    </comment>
    <comment ref="F75" authorId="0" shapeId="0" xr:uid="{64EAA3FE-086E-4899-A227-0AC228982A4C}">
      <text>
        <r>
          <rPr>
            <b/>
            <sz val="9"/>
            <color indexed="81"/>
            <rFont val="Tahoma"/>
            <family val="2"/>
          </rPr>
          <t>NMK:</t>
        </r>
        <r>
          <rPr>
            <sz val="9"/>
            <color indexed="81"/>
            <rFont val="Tahoma"/>
            <family val="2"/>
          </rPr>
          <t xml:space="preserve">
The variance is due to separate calculation lease does not allow for gross up.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<sst xmlns="http://schemas.openxmlformats.org/spreadsheetml/2006/main" count="1051" uniqueCount="380">
  <si>
    <t>Bell Medical Note</t>
  </si>
  <si>
    <t>Fire Inspections</t>
  </si>
  <si>
    <t>Parking Lot</t>
  </si>
  <si>
    <t>Roof</t>
  </si>
  <si>
    <t>Vendor Changes</t>
  </si>
  <si>
    <t>Notes to Owner</t>
  </si>
  <si>
    <t>Notes for 2025</t>
  </si>
  <si>
    <t>Misc</t>
  </si>
  <si>
    <t>Management Agreement Commenced June 1, 2025</t>
  </si>
  <si>
    <t>Particulars</t>
  </si>
  <si>
    <t>YTD</t>
  </si>
  <si>
    <t>Budget</t>
  </si>
  <si>
    <t>Payment</t>
  </si>
  <si>
    <t>Variance</t>
  </si>
  <si>
    <t>Comments</t>
  </si>
  <si>
    <t>Occupational Medicine for Business &amp; Industry</t>
  </si>
  <si>
    <t xml:space="preserve">LAT $1,405.81 not budgeted
STX $56.85 budget vs actual
</t>
  </si>
  <si>
    <t>NNN ($578.57) Short Payment</t>
  </si>
  <si>
    <t>Arizona Sports &amp; Spine Physicians</t>
  </si>
  <si>
    <t>no payment in 01/26</t>
  </si>
  <si>
    <t xml:space="preserve">BAS $4,374.81 &amp; NNN $537.98 for Jan'26
CAM $87.21 Over Payment
BAS ($4,374.81) &amp; NNN ($518) for Feb'26
</t>
  </si>
  <si>
    <t>BAS $4,374.81 &amp; NNN $537.98 past due paid for Feb'26
BAS($3,816.38) &amp;NNN($79) Short Pmt
S.Tax $20.00 budget vs Pmt in Mar'26</t>
  </si>
  <si>
    <t>Vacant</t>
  </si>
  <si>
    <t xml:space="preserve"> </t>
  </si>
  <si>
    <t>Row Labels</t>
  </si>
  <si>
    <t>Sum of Jan</t>
  </si>
  <si>
    <t>Sum of Feb</t>
  </si>
  <si>
    <t>Sum of Mar</t>
  </si>
  <si>
    <t>Sum of Apr</t>
  </si>
  <si>
    <t>Sum of May</t>
  </si>
  <si>
    <t>Sum of Jun</t>
  </si>
  <si>
    <t>Sum of Jul</t>
  </si>
  <si>
    <t>Sum of Aug</t>
  </si>
  <si>
    <t>Sum of Sept</t>
  </si>
  <si>
    <t>Sum of Oct</t>
  </si>
  <si>
    <t>Sum of Nov</t>
  </si>
  <si>
    <t>Sum of Dec</t>
  </si>
  <si>
    <t>Grand Total</t>
  </si>
  <si>
    <t>Details for Sum of Feb - Tenant: Arizona Sports &amp; Spine Physicians</t>
  </si>
  <si>
    <t>Tenant</t>
  </si>
  <si>
    <t>Charge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</si>
  <si>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</si>
  <si>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</si>
  <si>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</si>
  <si>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</si>
  <si>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</si>
  <si>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</si>
  <si>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</si>
  <si>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</si>
  <si>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</si>
  <si>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</si>
  <si>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</si>
  <si>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</si>
  <si>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SGN</t>
  </si>
  <si>
    <t>BAS</t>
  </si>
  <si>
    <t>INS</t>
  </si>
  <si>
    <t>RET</t>
  </si>
  <si>
    <t>ADM</t>
  </si>
  <si>
    <t>CAM</t>
  </si>
  <si>
    <t>NCA</t>
  </si>
  <si>
    <t>SLS</t>
  </si>
  <si>
    <t>ATHENA PROPERTY MANAGEMENT</t>
  </si>
  <si>
    <t>BELL MEDICAL</t>
  </si>
  <si>
    <t>PROJECT NO. 802</t>
  </si>
  <si>
    <t>Date Revised:</t>
  </si>
  <si>
    <t>01/01/26-12/31/26</t>
  </si>
  <si>
    <t>2026 OPERATING BUDGET</t>
  </si>
  <si>
    <t>GENERAL</t>
  </si>
  <si>
    <t>2025 FORECAST TOTALS</t>
  </si>
  <si>
    <t>2025 BUDGET TOTALS</t>
  </si>
  <si>
    <t>VARIANCE</t>
  </si>
  <si>
    <t>DENOM.</t>
  </si>
  <si>
    <t>COST</t>
  </si>
  <si>
    <t>LEDGER</t>
  </si>
  <si>
    <t>DESCRIPTION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</si>
  <si>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</si>
  <si>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</si>
  <si>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</si>
  <si>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</si>
  <si>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</si>
  <si>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</si>
  <si>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</si>
  <si>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</si>
  <si>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</si>
  <si>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</si>
  <si>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</si>
  <si>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</si>
  <si>
    <t>BUDGET</t>
  </si>
  <si>
    <t>2026 BUDGET vs.</t>
  </si>
  <si>
    <t>% CHANGE</t>
  </si>
  <si>
    <t>SQUARE</t>
  </si>
  <si>
    <t>PER</t>
  </si>
  <si>
    <t>CODE</t>
  </si>
  <si>
    <t>TOTALS</t>
  </si>
  <si>
    <t>2025 FORECAST</t>
  </si>
  <si>
    <t>FOOTG.</t>
  </si>
  <si>
    <t>SQ. FT.</t>
  </si>
  <si>
    <t>As of 9/13</t>
  </si>
  <si>
    <t>INCOME</t>
  </si>
  <si>
    <t>Rental Income</t>
  </si>
  <si>
    <t>Common Area</t>
  </si>
  <si>
    <t>State and County Rental Tax 3%</t>
  </si>
  <si>
    <t>Prior Year CAM</t>
  </si>
  <si>
    <t xml:space="preserve">Building CAM </t>
  </si>
  <si>
    <t>Insurance Income</t>
  </si>
  <si>
    <t>Property Tax Income</t>
  </si>
  <si>
    <t>Administrative Fee Income</t>
  </si>
  <si>
    <t>Sign Income</t>
  </si>
  <si>
    <t>Deferred CAM Recovery</t>
  </si>
  <si>
    <t>Late Charge Income</t>
  </si>
  <si>
    <t>Rent Abatement</t>
  </si>
  <si>
    <t>Miscellaneous Income</t>
  </si>
  <si>
    <t>TOTAL INCOME</t>
  </si>
  <si>
    <t>COMMON AREA EXPENSES</t>
  </si>
  <si>
    <t>Landscape- Tree Trimming</t>
  </si>
  <si>
    <t>Landscape - Consumables</t>
  </si>
  <si>
    <t>Sprinkler Repairs</t>
  </si>
  <si>
    <t>Landscape Maintenance</t>
  </si>
  <si>
    <t>Parking Lot Light Maintenance</t>
  </si>
  <si>
    <t>Parking Lot Repairs</t>
  </si>
  <si>
    <t>Building - Lighting Maint &amp; Repairs</t>
  </si>
  <si>
    <t>Parking Lot Light Repairs</t>
  </si>
  <si>
    <t>Misc Maint &amp; Repairs</t>
  </si>
  <si>
    <t>General Maintenance</t>
  </si>
  <si>
    <t>Janitorial</t>
  </si>
  <si>
    <t>no increase for 2026</t>
  </si>
  <si>
    <t>Janitorial Supplies</t>
  </si>
  <si>
    <t>Pest Control</t>
  </si>
  <si>
    <t>monthly pest/quarterly rodent</t>
  </si>
  <si>
    <t xml:space="preserve">Security </t>
  </si>
  <si>
    <t>$621 Security; $115 Internet</t>
  </si>
  <si>
    <t>Management Fee</t>
  </si>
  <si>
    <t>$1,500 flat fee</t>
  </si>
  <si>
    <t>Sidewalk Maintenance</t>
  </si>
  <si>
    <t xml:space="preserve">Sign Maintenance </t>
  </si>
  <si>
    <t>Sweeping</t>
  </si>
  <si>
    <t>new contract - June 2025</t>
  </si>
  <si>
    <t>Electrical Repairs/CAM</t>
  </si>
  <si>
    <t>Plumbing Repairs</t>
  </si>
  <si>
    <t>Building Maint &amp; Repairs (window washing)</t>
  </si>
  <si>
    <t>Trash Removal</t>
  </si>
  <si>
    <t>HVAC Maintenance</t>
  </si>
  <si>
    <t>HVAC Repairs</t>
  </si>
  <si>
    <t>Water/Common Area</t>
  </si>
  <si>
    <t>Restroom Remodel-AMORTIZATION</t>
  </si>
  <si>
    <t>Painting-AMORTIZATION</t>
  </si>
  <si>
    <t>SUBTOTAL COMMON AREA</t>
  </si>
  <si>
    <t>BUILDING EXPENSE</t>
  </si>
  <si>
    <t>Roof Maintenance</t>
  </si>
  <si>
    <t>Roof Repairs</t>
  </si>
  <si>
    <t>Monitor Fire Sprinklers</t>
  </si>
  <si>
    <t>Telephone</t>
  </si>
  <si>
    <t>Telephone/Wifi</t>
  </si>
  <si>
    <t>Locks &amp; Keys</t>
  </si>
  <si>
    <t>Backflow Maintenance</t>
  </si>
  <si>
    <t>Backflow Repairs</t>
  </si>
  <si>
    <t>Electricity/Building</t>
  </si>
  <si>
    <t>Water/Building</t>
  </si>
  <si>
    <t>SUBTOTAL BUILDING EXP.</t>
  </si>
  <si>
    <t>INSURANCE</t>
  </si>
  <si>
    <t>Insurance - Property</t>
  </si>
  <si>
    <t>Insurance - Liability</t>
  </si>
  <si>
    <t>Insurance - Umbrella</t>
  </si>
  <si>
    <t>Insurance - Flood &amp; Earthquake</t>
  </si>
  <si>
    <t>SUBTOTAL INSURANCE</t>
  </si>
  <si>
    <t>PROPERTY TAXES</t>
  </si>
  <si>
    <t>Property Tax</t>
  </si>
  <si>
    <t>SUBTOTAL TAXES</t>
  </si>
  <si>
    <t>Deduct Amortizations</t>
  </si>
  <si>
    <t>TOTAL COMMON AREA</t>
  </si>
  <si>
    <t>GROSS CASH FLOW</t>
  </si>
  <si>
    <t>OWNER EXPENSE</t>
  </si>
  <si>
    <t>General Repairs and Maint.</t>
  </si>
  <si>
    <t>Legal Fees</t>
  </si>
  <si>
    <t>Other Professional Fees</t>
  </si>
  <si>
    <t>General and Administrative</t>
  </si>
  <si>
    <t>Utilities Expense</t>
  </si>
  <si>
    <t>Bank Charges</t>
  </si>
  <si>
    <t>License &amp; Permit Fees</t>
  </si>
  <si>
    <t>Other Expenses</t>
  </si>
  <si>
    <t>Rental Tax Authority</t>
  </si>
  <si>
    <t>State Franchise Taxes</t>
  </si>
  <si>
    <t>Property Tax-Owner</t>
  </si>
  <si>
    <t>Pass Through Entity Tax</t>
  </si>
  <si>
    <t>TOTAL OWNER EXPENSE</t>
  </si>
  <si>
    <t>NET OPERATING INCOME</t>
  </si>
  <si>
    <t>INTEREST EXPENSE</t>
  </si>
  <si>
    <t>Interest Expense</t>
  </si>
  <si>
    <t>Interest Expense - Second Loan</t>
  </si>
  <si>
    <t>Interest Expense - Mega Bank</t>
  </si>
  <si>
    <t>TOTAL INTEREST EXPENSE</t>
  </si>
  <si>
    <t>CAPITAL EXPENSES</t>
  </si>
  <si>
    <t>Escrow-Property Tax</t>
  </si>
  <si>
    <t>Escrow - Capital Improvement</t>
  </si>
  <si>
    <t>Escrow-Insurance</t>
  </si>
  <si>
    <t>Escrow-Other (Reserves)</t>
  </si>
  <si>
    <t>Tenant Improvements - Ste 100B</t>
  </si>
  <si>
    <t>Tenant Improvements - Ste 101/102B</t>
  </si>
  <si>
    <t>Capital Improvements</t>
  </si>
  <si>
    <t>Leasing Commissions - Ste 100B</t>
  </si>
  <si>
    <t>Leasing Commissions - Ste 101/102B</t>
  </si>
  <si>
    <t>Loan Fees</t>
  </si>
  <si>
    <t xml:space="preserve">Note Payable </t>
  </si>
  <si>
    <t>Note Payable - Second Loan</t>
  </si>
  <si>
    <t>SBA Loan</t>
  </si>
  <si>
    <t>Owner's Distribution</t>
  </si>
  <si>
    <t>Owner's Contribution</t>
  </si>
  <si>
    <t>TOTAL CAPITAL EXPENSES</t>
  </si>
  <si>
    <t>NET CASH FLOW</t>
  </si>
  <si>
    <t>Management Fee Calculation</t>
  </si>
  <si>
    <t>SF</t>
  </si>
  <si>
    <t>Lease Commission</t>
  </si>
  <si>
    <t>AMORTIZED PROJECTS</t>
  </si>
  <si>
    <t>GL CODE</t>
  </si>
  <si>
    <t>TOTAL PROJECT COST</t>
  </si>
  <si>
    <t>COST PER YR</t>
  </si>
  <si>
    <t># OF YEARS</t>
  </si>
  <si>
    <t>DATES</t>
  </si>
  <si>
    <t>NOTES</t>
  </si>
  <si>
    <t>Restroom Remodel</t>
  </si>
  <si>
    <t>2021-2025</t>
  </si>
  <si>
    <t>Paint</t>
  </si>
  <si>
    <t>2025-2029</t>
  </si>
  <si>
    <t>CAP-EX</t>
  </si>
  <si>
    <t>ACTUAL</t>
  </si>
  <si>
    <t>FORECAST</t>
  </si>
  <si>
    <t>PROJECTED</t>
  </si>
  <si>
    <t>past / project future projects</t>
  </si>
  <si>
    <t>Monument Sign upgrade</t>
  </si>
  <si>
    <t>Electrical/Lighting</t>
  </si>
  <si>
    <t>Landscape</t>
  </si>
  <si>
    <t>HVAC</t>
  </si>
  <si>
    <t>Plumbing</t>
  </si>
  <si>
    <t>Parking lot Slurry</t>
  </si>
  <si>
    <t>MAINTENANCE TRACKING</t>
  </si>
  <si>
    <t>COMPLETED</t>
  </si>
  <si>
    <t>DUE</t>
  </si>
  <si>
    <t>VENDOR</t>
  </si>
  <si>
    <t>5-Year Fire Inspection</t>
  </si>
  <si>
    <t>TBD</t>
  </si>
  <si>
    <t>Slurry Seal</t>
  </si>
  <si>
    <t>LED</t>
  </si>
  <si>
    <t>TENANT</t>
  </si>
  <si>
    <t>SUITE</t>
  </si>
  <si>
    <t>RATE</t>
  </si>
  <si>
    <t>#</t>
  </si>
  <si>
    <t>FOOTAGE</t>
  </si>
  <si>
    <t>BASE RENT</t>
  </si>
  <si>
    <t>100A</t>
  </si>
  <si>
    <t>Rent increase effective 4/1/2026 for $13,667.36 or $2.42 PSF.</t>
  </si>
  <si>
    <t>101A</t>
  </si>
  <si>
    <t xml:space="preserve">Rent increase effective 3/16/2026 for $4,505.74 or $2.29 PSF. </t>
  </si>
  <si>
    <t>100B</t>
  </si>
  <si>
    <t>Anticipate Rents Starting May</t>
  </si>
  <si>
    <t>101B/102B</t>
  </si>
  <si>
    <t>NMK Tie-out</t>
  </si>
  <si>
    <t>TOTAL LESS VACANCY</t>
  </si>
  <si>
    <t>DEFERRED RENT RECOVERY</t>
  </si>
  <si>
    <t>None at this time</t>
  </si>
  <si>
    <t>DEFERRED CAM RECOVERY</t>
  </si>
  <si>
    <t xml:space="preserve">% OF </t>
  </si>
  <si>
    <t>TOTALS (2014)</t>
  </si>
  <si>
    <t>Cost PSF</t>
  </si>
  <si>
    <t>TOTAL</t>
  </si>
  <si>
    <t>COMMON AREA MAINTENANCE</t>
  </si>
  <si>
    <t>TOTAL CAM</t>
  </si>
  <si>
    <t>TOTAL OCCUPIED</t>
  </si>
  <si>
    <t>RECAPTURE</t>
  </si>
  <si>
    <t>SQ FT</t>
  </si>
  <si>
    <t>BUILDING EXPENSES</t>
  </si>
  <si>
    <t>TOTAL BLDG</t>
  </si>
  <si>
    <t>ADMINISTRATIVE FEES</t>
  </si>
  <si>
    <t>TOTAL ADM</t>
  </si>
  <si>
    <t>PRORATA</t>
  </si>
  <si>
    <t>SHARE</t>
  </si>
  <si>
    <t>RE Tax</t>
  </si>
  <si>
    <t>TOTAL RE Tax</t>
  </si>
  <si>
    <t>TOTAL INS</t>
  </si>
  <si>
    <t>ESTIMATED MONTHLY SQUARE FOOTAGE OCCUPIED</t>
  </si>
  <si>
    <t>Occupied Square Footage</t>
  </si>
  <si>
    <t>Gross Up Percentage</t>
  </si>
  <si>
    <t>95% Occupancy</t>
  </si>
  <si>
    <t>YEARLY TOTAL</t>
  </si>
  <si>
    <t>ANN</t>
  </si>
  <si>
    <t>MON</t>
  </si>
  <si>
    <t>Rental Sales Tax</t>
  </si>
  <si>
    <t>Total Monthly Charges</t>
  </si>
  <si>
    <t>Sales  Tax</t>
  </si>
  <si>
    <t>Total</t>
  </si>
  <si>
    <t>Sales Tax</t>
  </si>
  <si>
    <t xml:space="preserve">Grand Total </t>
  </si>
  <si>
    <t>See Rent Tab - Matches Total</t>
  </si>
  <si>
    <t>LEASE ID</t>
  </si>
  <si>
    <t>RENT</t>
  </si>
  <si>
    <t>BUILDING
EXPENSES
(NCA)</t>
  </si>
  <si>
    <t>ADMIN</t>
  </si>
  <si>
    <t>RE TAX</t>
  </si>
  <si>
    <t>INSUR</t>
  </si>
  <si>
    <t>SIGNAGE</t>
  </si>
  <si>
    <t>SALES TAX</t>
  </si>
  <si>
    <r>
      <t>TOTAL OTHER CHARGES</t>
    </r>
    <r>
      <rPr>
        <b/>
        <sz val="10"/>
        <color theme="8"/>
        <rFont val="Calibri"/>
        <family val="2"/>
        <scheme val="minor"/>
      </rPr>
      <t xml:space="preserve"> </t>
    </r>
    <r>
      <rPr>
        <b/>
        <sz val="10"/>
        <color rgb="FF00B0F0"/>
        <rFont val="Calibri"/>
        <family val="2"/>
        <scheme val="minor"/>
      </rPr>
      <t>(2026)</t>
    </r>
  </si>
  <si>
    <t>CURRENT 2025
BILLINGS</t>
  </si>
  <si>
    <t>2025 NNN PSF</t>
  </si>
  <si>
    <t>011986</t>
  </si>
  <si>
    <t>011987</t>
  </si>
  <si>
    <t>DO NOT BILL - FOR LEASING ASSUMPTIONS ONLY</t>
  </si>
  <si>
    <t>APPROVALS:</t>
  </si>
  <si>
    <t>Janina Silva</t>
  </si>
  <si>
    <t>Date</t>
  </si>
  <si>
    <t>Accounting</t>
  </si>
  <si>
    <t>EXPENSES</t>
  </si>
  <si>
    <t>ANNUAL TOTAL</t>
  </si>
  <si>
    <t>TOTAL RECOVERY</t>
  </si>
  <si>
    <t>% DIFFERENCE</t>
  </si>
  <si>
    <t>CAM CAP SLIPPAGE</t>
  </si>
  <si>
    <t>ADMIN FEES</t>
  </si>
  <si>
    <t xml:space="preserve">GRAND TOTAL </t>
  </si>
  <si>
    <t>NMK - SUMM 2026 Budget Total (CAM, BUILDING EXP, TAX &amp; Ins)</t>
  </si>
  <si>
    <t>NMK Tie-Out</t>
  </si>
  <si>
    <t>NMK - Total Due from TENANT CHARGES</t>
  </si>
  <si>
    <t>DATE:</t>
  </si>
  <si>
    <t>Tenant:</t>
  </si>
  <si>
    <t>Unit Number:</t>
  </si>
  <si>
    <t>Square Footage:</t>
  </si>
  <si>
    <t>Adm.</t>
  </si>
  <si>
    <t>Center</t>
  </si>
  <si>
    <t>GROSS UP</t>
  </si>
  <si>
    <t>Billable</t>
  </si>
  <si>
    <t>Fee</t>
  </si>
  <si>
    <t>Less</t>
  </si>
  <si>
    <t>G.L. Code</t>
  </si>
  <si>
    <t>Description</t>
  </si>
  <si>
    <t>Amount</t>
  </si>
  <si>
    <t>Pro-Rata</t>
  </si>
  <si>
    <t>Due</t>
  </si>
  <si>
    <t>Exclusions</t>
  </si>
  <si>
    <t>Denominator</t>
  </si>
  <si>
    <t>Less Base Year</t>
  </si>
  <si>
    <t>Amount Billable to Tenant</t>
  </si>
  <si>
    <t>Tenant Open</t>
  </si>
  <si>
    <t>Center Open</t>
  </si>
  <si>
    <t>% of Liability</t>
  </si>
  <si>
    <t>Percentage of Center Occupancy</t>
  </si>
  <si>
    <t>TOTAL EXPENSES</t>
  </si>
  <si>
    <t xml:space="preserve">Monthly </t>
  </si>
  <si>
    <t>Total NNNs</t>
  </si>
  <si>
    <t>PSF</t>
  </si>
  <si>
    <t>95% GROSS UP PERMITTED</t>
  </si>
  <si>
    <t>LEASE DOES NOT ALLOW FOR GROSS UP</t>
  </si>
  <si>
    <t>SECTION 4.2©</t>
  </si>
  <si>
    <t>Total Rents</t>
  </si>
  <si>
    <t>Annual Base</t>
  </si>
  <si>
    <t>Monthly Base</t>
  </si>
  <si>
    <t>Checks and Balances</t>
  </si>
  <si>
    <t>January</t>
  </si>
  <si>
    <t>Summary</t>
  </si>
  <si>
    <t>Tab</t>
  </si>
  <si>
    <t>Tenant Charges</t>
  </si>
  <si>
    <t>Base Rent</t>
  </si>
  <si>
    <t>Building Expenses</t>
  </si>
  <si>
    <t>Insurance</t>
  </si>
  <si>
    <t>Tax</t>
  </si>
  <si>
    <t>Admin Fee</t>
  </si>
  <si>
    <t>Budget is:</t>
  </si>
  <si>
    <t>BAS ($398.08) &amp; NNN ($590.51) Short Pmt</t>
  </si>
  <si>
    <t>Arizona Trim Clinic</t>
  </si>
  <si>
    <t>BAS $2,223.52 Not budgeted (New TT)</t>
  </si>
  <si>
    <t>BAS $3,816.38 03/26 past due paid
STX $79.07 received
BAS ($2,943.63) Short Pmt
S.Tax $20.00 budget vs Pmt in Apr'26</t>
  </si>
  <si>
    <t>NNN ($590.51) Short Pmt</t>
  </si>
  <si>
    <t>BAS ($4,505.74) &amp; NNN ($522.90) No Pmt</t>
  </si>
  <si>
    <t>BAS ($9,550.56) &amp; NNN ($5,875.68) No Pmt - Vacant</t>
  </si>
  <si>
    <t>BAS ($13,667.36) &amp; NNN ($1,379.36) No Pmt</t>
  </si>
  <si>
    <t>BAS $2,000.00 04/26 past due paid
BAS ($4,505.74) &amp; NNN ($522.90) No Pmt</t>
  </si>
  <si>
    <t>BAS $14,065.44 04/26 &amp; 06/26 past due paid
NNN $7,977.15 02/26 to 06/26 past due paid
SLS $58.44 Budget vs Pmt</t>
  </si>
  <si>
    <t>LAT $1,405.81 not budgeted in Jan'26
STX $115.29 Budget vs Pmt in Jan'26 &amp; July'26
NNN $4,838.20 Budget vs Pmt in June'26 &amp; July'26</t>
  </si>
  <si>
    <t>BAS $629.64 &amp; NNN $2,413.44 Not budgeted (NEW TT)</t>
  </si>
  <si>
    <t>BAS $2,853.16 Not budgeted (New TT) in Apr'26 &amp; July'26
NNN $2,413.44 Not budgeted (NEW TT) in July'26</t>
  </si>
  <si>
    <t>BAS ($28,651.70) &amp; NNN ($17,627.00) No Pmt - Vacant in May'26 to July'26</t>
  </si>
  <si>
    <t>BAS $2,846.80 &amp; NNN $240.41 04/26 &amp; 05/26 Past due paid
CAM ($48.18) Short Pmt
STX $19.53 Budget vs Pmt
CAM (87.00) Budget vs Pmt</t>
  </si>
  <si>
    <t>BAS ($7,108.31) Short Pmt in Apr'26 to July'26
STX $96.81 Budget vs Pmt from Jan'26 to July'26
NNN ($805.39) No Pmt in May'26 to July'26
CAM ($48.18) Short Pmt in July'26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</si>
</sst>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  <numFmt numFmtId="166" formatCode="&quot;$&quot;#,##0.00"/>
    <numFmt numFmtId="167" formatCode="mm/dd/yy;@"/>
  </numFmts>
  <fonts count="44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8"/>
      <color indexed="81"/>
      <name val="Tahoma"/>
      <family val="2"/>
    </font>
    <font>
      <sz val="10"/>
      <name val="Geneva"/>
    </font>
    <font>
      <sz val="10"/>
      <name val="Arial"/>
      <family val="2"/>
    </font>
    <font>
      <sz val="11"/>
      <name val="Calibri"/>
      <family val="2"/>
    </font>
    <font>
      <sz val="8"/>
      <name val="Geneva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0"/>
      <name val="Times"/>
      <family val="1"/>
    </font>
    <font>
      <b/>
      <sz val="11"/>
      <name val="Calibri"/>
      <family val="2"/>
      <scheme val="minor"/>
    </font>
    <font>
      <shadow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i/>
      <sz val="11"/>
      <color indexed="10"/>
      <name val="Calibri"/>
      <family val="2"/>
      <scheme val="minor"/>
    </font>
    <font>
      <outline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44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8" fillId="0" borderId="0"/>
  </cellStyleXfs>
  <cellXfs count="504">
    <xf numFmtId="0" fontId="0" fillId="0" borderId="0" xfId="0"/>
    <xf numFmtId="0" fontId="2" fillId="0" borderId="0" xfId="0" applyFont="1"/>
    <xf numFmtId="0" fontId="4" fillId="0" borderId="0" xfId="0" applyFont="1"/>
    <xf numFmtId="4" fontId="0" fillId="0" borderId="0" xfId="0" applyNumberFormat="1"/>
    <xf numFmtId="0" fontId="2" fillId="6" borderId="5" xfId="0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13" fillId="0" borderId="0" xfId="0" applyFont="1"/>
    <xf numFmtId="0" fontId="13" fillId="0" borderId="20" xfId="0" applyFont="1" applyBorder="1"/>
    <xf numFmtId="0" fontId="13" fillId="0" borderId="21" xfId="0" applyFont="1" applyBorder="1" applyAlignment="1">
      <alignment wrapText="1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3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6" fillId="0" borderId="0" xfId="0" applyFont="1"/>
    <xf numFmtId="0" fontId="16" fillId="13" borderId="15" xfId="0" applyFont="1" applyFill="1" applyBorder="1"/>
    <xf numFmtId="0" fontId="16" fillId="13" borderId="0" xfId="0" applyFont="1" applyFill="1" applyAlignment="1">
      <alignment horizontal="center"/>
    </xf>
    <xf numFmtId="44" fontId="16" fillId="13" borderId="0" xfId="2" applyFont="1" applyFill="1" applyBorder="1" applyAlignment="1">
      <alignment horizontal="center"/>
    </xf>
    <xf numFmtId="0" fontId="16" fillId="13" borderId="16" xfId="0" applyFont="1" applyFill="1" applyBorder="1"/>
    <xf numFmtId="0" fontId="6" fillId="0" borderId="15" xfId="0" applyFont="1" applyBorder="1"/>
    <xf numFmtId="0" fontId="6" fillId="0" borderId="0" xfId="0" applyFont="1" applyAlignment="1">
      <alignment horizontal="center"/>
    </xf>
    <xf numFmtId="44" fontId="6" fillId="0" borderId="0" xfId="2" applyFont="1" applyBorder="1" applyAlignment="1">
      <alignment horizontal="center"/>
    </xf>
    <xf numFmtId="0" fontId="6" fillId="0" borderId="16" xfId="0" applyFont="1" applyBorder="1"/>
    <xf numFmtId="0" fontId="6" fillId="0" borderId="11" xfId="0" applyFont="1" applyBorder="1"/>
    <xf numFmtId="0" fontId="6" fillId="0" borderId="4" xfId="0" applyFont="1" applyBorder="1" applyAlignment="1">
      <alignment horizontal="center"/>
    </xf>
    <xf numFmtId="44" fontId="6" fillId="0" borderId="4" xfId="2" applyFont="1" applyBorder="1" applyAlignment="1">
      <alignment horizontal="center"/>
    </xf>
    <xf numFmtId="0" fontId="6" fillId="0" borderId="12" xfId="0" applyFont="1" applyBorder="1"/>
    <xf numFmtId="0" fontId="17" fillId="13" borderId="15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7" fillId="13" borderId="16" xfId="0" applyFont="1" applyFill="1" applyBorder="1" applyAlignment="1">
      <alignment horizontal="center" vertical="center"/>
    </xf>
    <xf numFmtId="44" fontId="8" fillId="0" borderId="0" xfId="2" applyFont="1" applyAlignment="1">
      <alignment horizontal="center"/>
    </xf>
    <xf numFmtId="44" fontId="6" fillId="0" borderId="0" xfId="2" applyFont="1" applyAlignment="1">
      <alignment horizontal="center"/>
    </xf>
    <xf numFmtId="44" fontId="8" fillId="0" borderId="0" xfId="2" applyFont="1" applyBorder="1" applyAlignment="1">
      <alignment horizontal="center"/>
    </xf>
    <xf numFmtId="0" fontId="16" fillId="13" borderId="0" xfId="0" applyFont="1" applyFill="1"/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44" fontId="8" fillId="11" borderId="0" xfId="2" applyFont="1" applyFill="1" applyAlignment="1">
      <alignment horizontal="center"/>
    </xf>
    <xf numFmtId="0" fontId="8" fillId="0" borderId="16" xfId="0" applyFont="1" applyBorder="1" applyAlignment="1">
      <alignment wrapText="1"/>
    </xf>
    <xf numFmtId="0" fontId="13" fillId="0" borderId="21" xfId="0" applyFont="1" applyBorder="1"/>
    <xf numFmtId="0" fontId="13" fillId="0" borderId="16" xfId="0" applyFont="1" applyBorder="1" applyAlignment="1">
      <alignment wrapText="1"/>
    </xf>
    <xf numFmtId="0" fontId="13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9" fillId="2" borderId="1" xfId="0" applyFont="1" applyFill="1" applyBorder="1"/>
    <xf numFmtId="0" fontId="13" fillId="2" borderId="1" xfId="0" applyFont="1" applyFill="1" applyBorder="1"/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/>
    <xf numFmtId="0" fontId="19" fillId="2" borderId="3" xfId="0" applyFont="1" applyFill="1" applyBorder="1" applyAlignment="1">
      <alignment horizontal="center"/>
    </xf>
    <xf numFmtId="0" fontId="21" fillId="0" borderId="8" xfId="0" applyFont="1" applyBorder="1"/>
    <xf numFmtId="0" fontId="13" fillId="0" borderId="9" xfId="0" applyFont="1" applyBorder="1"/>
    <xf numFmtId="9" fontId="21" fillId="0" borderId="9" xfId="3" applyFont="1" applyFill="1" applyBorder="1"/>
    <xf numFmtId="3" fontId="13" fillId="0" borderId="9" xfId="0" applyNumberFormat="1" applyFont="1" applyBorder="1" applyAlignment="1">
      <alignment horizontal="center"/>
    </xf>
    <xf numFmtId="3" fontId="13" fillId="0" borderId="10" xfId="0" applyNumberFormat="1" applyFont="1" applyBorder="1" applyAlignment="1">
      <alignment horizontal="center"/>
    </xf>
    <xf numFmtId="0" fontId="19" fillId="0" borderId="0" xfId="0" applyFont="1"/>
    <xf numFmtId="0" fontId="13" fillId="0" borderId="15" xfId="0" applyFont="1" applyBorder="1"/>
    <xf numFmtId="0" fontId="13" fillId="0" borderId="16" xfId="0" applyFont="1" applyBorder="1"/>
    <xf numFmtId="0" fontId="19" fillId="0" borderId="8" xfId="0" applyFont="1" applyBorder="1"/>
    <xf numFmtId="0" fontId="13" fillId="0" borderId="9" xfId="0" applyFont="1" applyBorder="1" applyAlignment="1">
      <alignment horizontal="center"/>
    </xf>
    <xf numFmtId="165" fontId="13" fillId="0" borderId="9" xfId="0" applyNumberFormat="1" applyFont="1" applyBorder="1" applyAlignment="1">
      <alignment horizontal="right"/>
    </xf>
    <xf numFmtId="41" fontId="13" fillId="0" borderId="10" xfId="0" applyNumberFormat="1" applyFont="1" applyBorder="1" applyAlignment="1">
      <alignment horizontal="right"/>
    </xf>
    <xf numFmtId="0" fontId="13" fillId="0" borderId="0" xfId="0" applyFont="1" applyAlignment="1">
      <alignment horizontal="center"/>
    </xf>
    <xf numFmtId="3" fontId="13" fillId="0" borderId="0" xfId="0" applyNumberFormat="1" applyFont="1" applyAlignment="1">
      <alignment horizontal="right"/>
    </xf>
    <xf numFmtId="9" fontId="13" fillId="0" borderId="0" xfId="3" applyFont="1" applyFill="1" applyBorder="1" applyAlignment="1">
      <alignment horizontal="right"/>
    </xf>
    <xf numFmtId="165" fontId="13" fillId="0" borderId="0" xfId="0" applyNumberFormat="1" applyFont="1" applyAlignment="1">
      <alignment horizontal="right"/>
    </xf>
    <xf numFmtId="41" fontId="13" fillId="0" borderId="16" xfId="0" applyNumberFormat="1" applyFont="1" applyBorder="1" applyAlignment="1">
      <alignment horizontal="right"/>
    </xf>
    <xf numFmtId="0" fontId="13" fillId="0" borderId="4" xfId="0" applyFont="1" applyBorder="1" applyAlignment="1">
      <alignment horizontal="center"/>
    </xf>
    <xf numFmtId="3" fontId="19" fillId="0" borderId="5" xfId="0" applyNumberFormat="1" applyFont="1" applyBorder="1" applyAlignment="1">
      <alignment horizontal="right"/>
    </xf>
    <xf numFmtId="165" fontId="19" fillId="0" borderId="6" xfId="0" applyNumberFormat="1" applyFont="1" applyBorder="1" applyAlignment="1">
      <alignment horizontal="right"/>
    </xf>
    <xf numFmtId="41" fontId="19" fillId="0" borderId="7" xfId="0" applyNumberFormat="1" applyFont="1" applyBorder="1" applyAlignment="1">
      <alignment horizontal="right"/>
    </xf>
    <xf numFmtId="41" fontId="13" fillId="0" borderId="0" xfId="0" applyNumberFormat="1" applyFont="1" applyAlignment="1">
      <alignment horizontal="right"/>
    </xf>
    <xf numFmtId="0" fontId="13" fillId="0" borderId="11" xfId="0" applyFont="1" applyBorder="1"/>
    <xf numFmtId="9" fontId="19" fillId="0" borderId="6" xfId="3" applyFont="1" applyFill="1" applyBorder="1" applyAlignment="1">
      <alignment horizontal="right"/>
    </xf>
    <xf numFmtId="0" fontId="22" fillId="0" borderId="0" xfId="0" applyFont="1"/>
    <xf numFmtId="0" fontId="19" fillId="14" borderId="5" xfId="0" applyFont="1" applyFill="1" applyBorder="1"/>
    <xf numFmtId="0" fontId="19" fillId="14" borderId="6" xfId="0" applyFont="1" applyFill="1" applyBorder="1"/>
    <xf numFmtId="43" fontId="19" fillId="14" borderId="6" xfId="0" applyNumberFormat="1" applyFont="1" applyFill="1" applyBorder="1"/>
    <xf numFmtId="0" fontId="23" fillId="0" borderId="0" xfId="0" applyFont="1"/>
    <xf numFmtId="1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3" fontId="23" fillId="0" borderId="0" xfId="0" applyNumberFormat="1" applyFont="1" applyAlignment="1">
      <alignment horizontal="center"/>
    </xf>
    <xf numFmtId="0" fontId="24" fillId="2" borderId="14" xfId="0" applyFont="1" applyFill="1" applyBorder="1"/>
    <xf numFmtId="0" fontId="24" fillId="2" borderId="14" xfId="0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 wrapText="1"/>
    </xf>
    <xf numFmtId="0" fontId="24" fillId="2" borderId="5" xfId="0" applyFont="1" applyFill="1" applyBorder="1" applyAlignment="1">
      <alignment horizontal="center"/>
    </xf>
    <xf numFmtId="0" fontId="24" fillId="3" borderId="18" xfId="0" applyFont="1" applyFill="1" applyBorder="1" applyAlignment="1">
      <alignment horizontal="center" wrapText="1"/>
    </xf>
    <xf numFmtId="0" fontId="24" fillId="6" borderId="14" xfId="0" applyFont="1" applyFill="1" applyBorder="1" applyAlignment="1">
      <alignment horizontal="center" wrapText="1"/>
    </xf>
    <xf numFmtId="0" fontId="24" fillId="0" borderId="14" xfId="0" applyFont="1" applyBorder="1"/>
    <xf numFmtId="0" fontId="23" fillId="0" borderId="14" xfId="0" applyFont="1" applyBorder="1"/>
    <xf numFmtId="0" fontId="23" fillId="0" borderId="14" xfId="0" quotePrefix="1" applyFont="1" applyBorder="1" applyAlignment="1">
      <alignment horizontal="center"/>
    </xf>
    <xf numFmtId="3" fontId="23" fillId="0" borderId="14" xfId="0" applyNumberFormat="1" applyFont="1" applyBorder="1" applyAlignment="1">
      <alignment horizontal="right"/>
    </xf>
    <xf numFmtId="4" fontId="23" fillId="0" borderId="14" xfId="0" applyNumberFormat="1" applyFont="1" applyBorder="1"/>
    <xf numFmtId="4" fontId="23" fillId="0" borderId="5" xfId="0" applyNumberFormat="1" applyFont="1" applyBorder="1"/>
    <xf numFmtId="4" fontId="24" fillId="0" borderId="19" xfId="0" applyNumberFormat="1" applyFont="1" applyBorder="1"/>
    <xf numFmtId="44" fontId="23" fillId="0" borderId="14" xfId="2" applyFont="1" applyFill="1" applyBorder="1" applyAlignment="1">
      <alignment horizontal="center"/>
    </xf>
    <xf numFmtId="0" fontId="24" fillId="0" borderId="0" xfId="0" applyFont="1"/>
    <xf numFmtId="43" fontId="24" fillId="0" borderId="0" xfId="0" applyNumberFormat="1" applyFont="1"/>
    <xf numFmtId="43" fontId="23" fillId="0" borderId="0" xfId="0" applyNumberFormat="1" applyFont="1"/>
    <xf numFmtId="0" fontId="23" fillId="0" borderId="0" xfId="0" applyFont="1" applyAlignment="1">
      <alignment horizontal="right"/>
    </xf>
    <xf numFmtId="4" fontId="24" fillId="3" borderId="17" xfId="0" applyNumberFormat="1" applyFont="1" applyFill="1" applyBorder="1"/>
    <xf numFmtId="43" fontId="23" fillId="0" borderId="0" xfId="0" applyNumberFormat="1" applyFont="1" applyAlignment="1">
      <alignment horizontal="right"/>
    </xf>
    <xf numFmtId="43" fontId="23" fillId="3" borderId="0" xfId="0" applyNumberFormat="1" applyFont="1" applyFill="1"/>
    <xf numFmtId="43" fontId="23" fillId="0" borderId="0" xfId="0" applyNumberFormat="1" applyFont="1" applyAlignment="1">
      <alignment horizontal="center"/>
    </xf>
    <xf numFmtId="166" fontId="23" fillId="0" borderId="0" xfId="0" applyNumberFormat="1" applyFont="1"/>
    <xf numFmtId="0" fontId="23" fillId="3" borderId="0" xfId="0" applyFont="1" applyFill="1"/>
    <xf numFmtId="0" fontId="24" fillId="0" borderId="4" xfId="0" applyFont="1" applyBorder="1"/>
    <xf numFmtId="0" fontId="23" fillId="0" borderId="0" xfId="0" applyFont="1" applyAlignment="1">
      <alignment horizontal="center" vertical="center"/>
    </xf>
    <xf numFmtId="41" fontId="23" fillId="0" borderId="0" xfId="0" applyNumberFormat="1" applyFont="1" applyAlignment="1">
      <alignment horizontal="center"/>
    </xf>
    <xf numFmtId="0" fontId="19" fillId="0" borderId="8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27" fillId="6" borderId="14" xfId="0" applyFont="1" applyFill="1" applyBorder="1" applyAlignment="1">
      <alignment horizontal="center" wrapText="1"/>
    </xf>
    <xf numFmtId="44" fontId="23" fillId="0" borderId="5" xfId="2" applyFont="1" applyFill="1" applyBorder="1" applyAlignment="1">
      <alignment horizontal="center"/>
    </xf>
    <xf numFmtId="165" fontId="0" fillId="0" borderId="14" xfId="0" applyNumberFormat="1" applyBorder="1" applyAlignment="1">
      <alignment horizontal="right"/>
    </xf>
    <xf numFmtId="0" fontId="24" fillId="5" borderId="5" xfId="0" applyFont="1" applyFill="1" applyBorder="1"/>
    <xf numFmtId="43" fontId="19" fillId="5" borderId="6" xfId="0" applyNumberFormat="1" applyFont="1" applyFill="1" applyBorder="1"/>
    <xf numFmtId="43" fontId="19" fillId="5" borderId="7" xfId="0" applyNumberFormat="1" applyFont="1" applyFill="1" applyBorder="1"/>
    <xf numFmtId="43" fontId="24" fillId="5" borderId="6" xfId="0" applyNumberFormat="1" applyFont="1" applyFill="1" applyBorder="1"/>
    <xf numFmtId="43" fontId="24" fillId="5" borderId="7" xfId="0" applyNumberFormat="1" applyFont="1" applyFill="1" applyBorder="1"/>
    <xf numFmtId="43" fontId="13" fillId="0" borderId="0" xfId="0" applyNumberFormat="1" applyFont="1"/>
    <xf numFmtId="0" fontId="32" fillId="0" borderId="0" xfId="0" applyFont="1"/>
    <xf numFmtId="0" fontId="32" fillId="0" borderId="0" xfId="0" applyFont="1" applyAlignment="1">
      <alignment wrapText="1"/>
    </xf>
    <xf numFmtId="0" fontId="32" fillId="0" borderId="0" xfId="0" applyFont="1" applyAlignment="1">
      <alignment horizontal="center"/>
    </xf>
    <xf numFmtId="44" fontId="32" fillId="0" borderId="0" xfId="2" applyFont="1"/>
    <xf numFmtId="0" fontId="33" fillId="0" borderId="0" xfId="0" applyFont="1"/>
    <xf numFmtId="0" fontId="31" fillId="0" borderId="0" xfId="0" applyFont="1"/>
    <xf numFmtId="0" fontId="30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164" fontId="34" fillId="0" borderId="0" xfId="1" applyNumberFormat="1" applyFont="1" applyAlignment="1">
      <alignment horizontal="right"/>
    </xf>
    <xf numFmtId="0" fontId="36" fillId="0" borderId="0" xfId="0" applyFont="1" applyAlignment="1">
      <alignment horizontal="left"/>
    </xf>
    <xf numFmtId="0" fontId="32" fillId="10" borderId="0" xfId="0" applyFont="1" applyFill="1"/>
    <xf numFmtId="0" fontId="37" fillId="0" borderId="0" xfId="0" applyFont="1" applyAlignment="1">
      <alignment horizontal="center"/>
    </xf>
    <xf numFmtId="0" fontId="38" fillId="0" borderId="0" xfId="0" applyFont="1"/>
    <xf numFmtId="0" fontId="31" fillId="0" borderId="13" xfId="0" applyFont="1" applyBorder="1" applyAlignment="1">
      <alignment horizontal="center"/>
    </xf>
    <xf numFmtId="3" fontId="39" fillId="0" borderId="0" xfId="0" applyNumberFormat="1" applyFont="1"/>
    <xf numFmtId="164" fontId="39" fillId="0" borderId="0" xfId="1" applyNumberFormat="1" applyFont="1"/>
    <xf numFmtId="10" fontId="39" fillId="0" borderId="0" xfId="0" applyNumberFormat="1" applyFont="1"/>
    <xf numFmtId="167" fontId="32" fillId="0" borderId="0" xfId="0" applyNumberFormat="1" applyFont="1"/>
    <xf numFmtId="10" fontId="40" fillId="2" borderId="4" xfId="0" applyNumberFormat="1" applyFont="1" applyFill="1" applyBorder="1" applyAlignment="1">
      <alignment horizontal="center"/>
    </xf>
    <xf numFmtId="0" fontId="39" fillId="0" borderId="0" xfId="0" applyFont="1"/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41" fontId="41" fillId="0" borderId="0" xfId="0" applyNumberFormat="1" applyFont="1"/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41" fontId="42" fillId="0" borderId="0" xfId="0" applyNumberFormat="1" applyFont="1"/>
    <xf numFmtId="41" fontId="42" fillId="3" borderId="0" xfId="0" applyNumberFormat="1" applyFont="1" applyFill="1"/>
    <xf numFmtId="41" fontId="41" fillId="3" borderId="0" xfId="0" applyNumberFormat="1" applyFont="1" applyFill="1"/>
    <xf numFmtId="3" fontId="42" fillId="0" borderId="0" xfId="0" applyNumberFormat="1" applyFont="1"/>
    <xf numFmtId="3" fontId="41" fillId="0" borderId="0" xfId="0" applyNumberFormat="1" applyFont="1"/>
    <xf numFmtId="0" fontId="24" fillId="4" borderId="14" xfId="0" applyFont="1" applyFill="1" applyBorder="1"/>
    <xf numFmtId="0" fontId="23" fillId="4" borderId="14" xfId="0" quotePrefix="1" applyFont="1" applyFill="1" applyBorder="1" applyAlignment="1">
      <alignment horizontal="center"/>
    </xf>
    <xf numFmtId="3" fontId="23" fillId="4" borderId="14" xfId="0" applyNumberFormat="1" applyFont="1" applyFill="1" applyBorder="1" applyAlignment="1">
      <alignment horizontal="right"/>
    </xf>
    <xf numFmtId="165" fontId="0" fillId="4" borderId="14" xfId="0" applyNumberFormat="1" applyFill="1" applyBorder="1" applyAlignment="1">
      <alignment horizontal="right"/>
    </xf>
    <xf numFmtId="4" fontId="23" fillId="4" borderId="5" xfId="0" applyNumberFormat="1" applyFont="1" applyFill="1" applyBorder="1"/>
    <xf numFmtId="4" fontId="24" fillId="4" borderId="19" xfId="0" applyNumberFormat="1" applyFont="1" applyFill="1" applyBorder="1"/>
    <xf numFmtId="44" fontId="23" fillId="4" borderId="14" xfId="2" applyFont="1" applyFill="1" applyBorder="1" applyAlignment="1">
      <alignment horizontal="center"/>
    </xf>
    <xf numFmtId="44" fontId="23" fillId="4" borderId="5" xfId="2" applyFont="1" applyFill="1" applyBorder="1" applyAlignment="1">
      <alignment horizontal="center"/>
    </xf>
    <xf numFmtId="43" fontId="43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1" fontId="1" fillId="3" borderId="0" xfId="0" applyNumberFormat="1" applyFont="1" applyFill="1"/>
    <xf numFmtId="3" fontId="1" fillId="0" borderId="0" xfId="0" applyNumberFormat="1" applyFont="1"/>
    <xf numFmtId="43" fontId="0" fillId="0" borderId="0" xfId="1" applyFont="1"/>
    <xf numFmtId="43" fontId="0" fillId="0" borderId="4" xfId="1" applyFont="1" applyBorder="1"/>
    <xf numFmtId="43" fontId="0" fillId="0" borderId="48" xfId="1" applyFont="1" applyBorder="1"/>
    <xf numFmtId="43" fontId="0" fillId="0" borderId="0" xfId="1" applyFont="1" applyAlignment="1">
      <alignment wrapText="1"/>
    </xf>
    <xf numFmtId="43" fontId="0" fillId="0" borderId="0" xfId="0" applyNumberFormat="1"/>
    <xf numFmtId="43" fontId="13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 applyAlignment="1"/>
    <xf numFmtId="43" fontId="0" fillId="0" borderId="0" xfId="1" applyFont="1" applyAlignment="1">
      <alignment horizontal="left" vertical="top" wrapText="1"/>
    </xf>
    <xf numFmtId="43" fontId="0" fillId="0" borderId="0" xfId="1" applyFont="1" applyAlignment="1">
      <alignment vertical="top" wrapText="1"/>
    </xf>
    <xf numFmtId="43" fontId="0" fillId="0" borderId="4" xfId="1" applyFont="1" applyBorder="1" applyAlignment="1"/>
    <xf numFmtId="43" fontId="0" fillId="0" borderId="48" xfId="1" applyFont="1" applyBorder="1" applyAlignment="1"/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vertical="center" wrapText="1"/>
    </xf>
    <xf numFmtId="17" fontId="2" fillId="15" borderId="0" xfId="2" applyNumberFormat="1" applyFont="1" applyFill="1" applyBorder="1" applyAlignment="1">
      <alignment horizontal="centerContinuous"/>
    </xf>
    <xf numFmtId="44" fontId="2" fillId="15" borderId="0" xfId="2" applyFont="1" applyFill="1" applyBorder="1" applyAlignment="1">
      <alignment horizontal="centerContinuous"/>
    </xf>
    <xf numFmtId="0" fontId="2" fillId="15" borderId="0" xfId="0" applyFont="1" applyFill="1" applyAlignment="1">
      <alignment horizontal="centerContinuous"/>
    </xf>
    <xf numFmtId="0" fontId="2" fillId="15" borderId="0" xfId="0" applyFont="1" applyFill="1"/>
    <xf numFmtId="43" fontId="2" fillId="15" borderId="0" xfId="1" applyFont="1" applyFill="1" applyBorder="1"/>
    <xf numFmtId="0" fontId="2" fillId="15" borderId="4" xfId="0" applyFont="1" applyFill="1" applyBorder="1"/>
    <xf numFmtId="44" fontId="2" fillId="15" borderId="4" xfId="2" applyFont="1" applyFill="1" applyBorder="1"/>
    <xf numFmtId="43" fontId="2" fillId="15" borderId="4" xfId="1" applyFont="1" applyFill="1" applyBorder="1"/>
    <xf numFmtId="0" fontId="19" fillId="0" borderId="0" xfId="0" applyFont="1" applyAlignment="1">
      <alignment horizontal="center"/>
    </xf>
    <xf numFmtId="43" fontId="13" fillId="0" borderId="0" xfId="1" applyFont="1" applyFill="1" applyAlignment="1">
      <alignment horizontal="right"/>
    </xf>
    <xf numFmtId="43" fontId="19" fillId="0" borderId="0" xfId="1" applyFont="1" applyFill="1" applyAlignment="1">
      <alignment horizontal="right"/>
    </xf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center"/>
    </xf>
    <xf numFmtId="44" fontId="13" fillId="0" borderId="0" xfId="2" applyFont="1" applyFill="1"/>
    <xf numFmtId="0" fontId="13" fillId="0" borderId="0" xfId="0" applyFont="1" applyAlignment="1">
      <alignment wrapText="1"/>
    </xf>
    <xf numFmtId="14" fontId="13" fillId="0" borderId="0" xfId="2" applyNumberFormat="1" applyFont="1" applyFill="1"/>
    <xf numFmtId="167" fontId="19" fillId="0" borderId="0" xfId="0" applyNumberFormat="1" applyFont="1" applyAlignment="1">
      <alignment horizontal="center"/>
    </xf>
    <xf numFmtId="44" fontId="13" fillId="0" borderId="0" xfId="2" applyFont="1"/>
    <xf numFmtId="0" fontId="19" fillId="2" borderId="1" xfId="0" applyFont="1" applyFill="1" applyBorder="1" applyAlignment="1">
      <alignment horizontal="center"/>
    </xf>
    <xf numFmtId="164" fontId="19" fillId="2" borderId="1" xfId="1" applyNumberFormat="1" applyFont="1" applyFill="1" applyBorder="1" applyAlignment="1">
      <alignment horizontal="center"/>
    </xf>
    <xf numFmtId="44" fontId="19" fillId="2" borderId="1" xfId="2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 wrapText="1"/>
    </xf>
    <xf numFmtId="164" fontId="19" fillId="2" borderId="2" xfId="1" applyNumberFormat="1" applyFont="1" applyFill="1" applyBorder="1" applyAlignment="1">
      <alignment horizontal="center"/>
    </xf>
    <xf numFmtId="44" fontId="19" fillId="2" borderId="2" xfId="2" applyFont="1" applyFill="1" applyBorder="1" applyAlignment="1">
      <alignment horizontal="center"/>
    </xf>
    <xf numFmtId="164" fontId="19" fillId="2" borderId="3" xfId="1" applyNumberFormat="1" applyFont="1" applyFill="1" applyBorder="1" applyAlignment="1">
      <alignment horizontal="center"/>
    </xf>
    <xf numFmtId="44" fontId="19" fillId="2" borderId="3" xfId="2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43" fontId="13" fillId="0" borderId="0" xfId="1" applyFont="1" applyAlignment="1">
      <alignment horizontal="center"/>
    </xf>
    <xf numFmtId="0" fontId="13" fillId="0" borderId="0" xfId="0" applyFont="1" applyAlignment="1">
      <alignment horizontal="left"/>
    </xf>
    <xf numFmtId="41" fontId="13" fillId="5" borderId="0" xfId="0" applyNumberFormat="1" applyFont="1" applyFill="1" applyAlignment="1">
      <alignment horizontal="right"/>
    </xf>
    <xf numFmtId="9" fontId="13" fillId="0" borderId="0" xfId="3" applyFont="1" applyFill="1" applyAlignment="1">
      <alignment horizontal="right"/>
    </xf>
    <xf numFmtId="3" fontId="13" fillId="0" borderId="0" xfId="0" applyNumberFormat="1" applyFont="1"/>
    <xf numFmtId="9" fontId="13" fillId="0" borderId="0" xfId="0" applyNumberFormat="1" applyFont="1" applyAlignment="1">
      <alignment horizontal="center"/>
    </xf>
    <xf numFmtId="0" fontId="19" fillId="0" borderId="0" xfId="0" applyFont="1" applyAlignment="1">
      <alignment wrapText="1"/>
    </xf>
    <xf numFmtId="0" fontId="19" fillId="2" borderId="5" xfId="0" applyFont="1" applyFill="1" applyBorder="1"/>
    <xf numFmtId="41" fontId="13" fillId="2" borderId="6" xfId="0" applyNumberFormat="1" applyFont="1" applyFill="1" applyBorder="1" applyAlignment="1">
      <alignment horizontal="right"/>
    </xf>
    <xf numFmtId="9" fontId="13" fillId="4" borderId="14" xfId="3" applyFont="1" applyFill="1" applyBorder="1" applyAlignment="1">
      <alignment horizontal="right"/>
    </xf>
    <xf numFmtId="10" fontId="19" fillId="2" borderId="5" xfId="0" applyNumberFormat="1" applyFont="1" applyFill="1" applyBorder="1" applyAlignment="1">
      <alignment horizontal="left"/>
    </xf>
    <xf numFmtId="43" fontId="13" fillId="0" borderId="0" xfId="1" applyFont="1" applyAlignment="1">
      <alignment horizontal="right"/>
    </xf>
    <xf numFmtId="10" fontId="13" fillId="0" borderId="0" xfId="0" applyNumberFormat="1" applyFont="1"/>
    <xf numFmtId="0" fontId="22" fillId="0" borderId="0" xfId="0" applyFont="1" applyAlignment="1">
      <alignment horizontal="center"/>
    </xf>
    <xf numFmtId="41" fontId="13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3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41" fontId="14" fillId="0" borderId="0" xfId="0" applyNumberFormat="1" applyFont="1" applyAlignment="1">
      <alignment horizontal="right"/>
    </xf>
    <xf numFmtId="0" fontId="14" fillId="3" borderId="0" xfId="0" applyFont="1" applyFill="1" applyAlignment="1">
      <alignment horizontal="center"/>
    </xf>
    <xf numFmtId="3" fontId="13" fillId="2" borderId="5" xfId="0" applyNumberFormat="1" applyFont="1" applyFill="1" applyBorder="1"/>
    <xf numFmtId="0" fontId="19" fillId="0" borderId="0" xfId="0" applyFont="1" applyAlignment="1">
      <alignment horizontal="left"/>
    </xf>
    <xf numFmtId="164" fontId="13" fillId="0" borderId="0" xfId="1" applyNumberFormat="1" applyFont="1" applyAlignment="1">
      <alignment horizontal="right"/>
    </xf>
    <xf numFmtId="164" fontId="13" fillId="0" borderId="0" xfId="1" applyNumberFormat="1" applyFont="1" applyFill="1" applyAlignment="1">
      <alignment horizontal="right"/>
    </xf>
    <xf numFmtId="44" fontId="13" fillId="0" borderId="0" xfId="2" applyFont="1" applyAlignment="1">
      <alignment horizontal="right"/>
    </xf>
    <xf numFmtId="164" fontId="13" fillId="0" borderId="0" xfId="1" applyNumberFormat="1" applyFont="1"/>
    <xf numFmtId="164" fontId="13" fillId="2" borderId="6" xfId="1" applyNumberFormat="1" applyFont="1" applyFill="1" applyBorder="1" applyAlignment="1">
      <alignment horizontal="right"/>
    </xf>
    <xf numFmtId="164" fontId="19" fillId="0" borderId="0" xfId="1" applyNumberFormat="1" applyFont="1" applyAlignment="1">
      <alignment horizontal="right"/>
    </xf>
    <xf numFmtId="0" fontId="14" fillId="0" borderId="0" xfId="0" applyFont="1" applyAlignment="1">
      <alignment horizontal="left"/>
    </xf>
    <xf numFmtId="41" fontId="13" fillId="3" borderId="0" xfId="0" applyNumberFormat="1" applyFont="1" applyFill="1" applyAlignment="1">
      <alignment horizontal="right"/>
    </xf>
    <xf numFmtId="41" fontId="13" fillId="0" borderId="40" xfId="0" applyNumberFormat="1" applyFont="1" applyBorder="1" applyAlignment="1">
      <alignment horizontal="right"/>
    </xf>
    <xf numFmtId="44" fontId="13" fillId="0" borderId="40" xfId="2" applyFont="1" applyBorder="1" applyAlignment="1">
      <alignment horizontal="right"/>
    </xf>
    <xf numFmtId="41" fontId="13" fillId="0" borderId="41" xfId="0" applyNumberFormat="1" applyFont="1" applyBorder="1" applyAlignment="1">
      <alignment horizontal="right"/>
    </xf>
    <xf numFmtId="164" fontId="13" fillId="0" borderId="41" xfId="0" applyNumberFormat="1" applyFont="1" applyBorder="1" applyAlignment="1">
      <alignment horizontal="right"/>
    </xf>
    <xf numFmtId="41" fontId="13" fillId="0" borderId="41" xfId="0" applyNumberFormat="1" applyFont="1" applyBorder="1"/>
    <xf numFmtId="41" fontId="13" fillId="0" borderId="44" xfId="0" applyNumberFormat="1" applyFont="1" applyBorder="1" applyAlignment="1">
      <alignment horizontal="right"/>
    </xf>
    <xf numFmtId="41" fontId="13" fillId="2" borderId="45" xfId="0" applyNumberFormat="1" applyFont="1" applyFill="1" applyBorder="1" applyAlignment="1">
      <alignment horizontal="right"/>
    </xf>
    <xf numFmtId="44" fontId="13" fillId="2" borderId="7" xfId="2" applyFont="1" applyFill="1" applyBorder="1" applyAlignment="1">
      <alignment horizontal="right"/>
    </xf>
    <xf numFmtId="41" fontId="13" fillId="0" borderId="47" xfId="0" applyNumberFormat="1" applyFont="1" applyBorder="1" applyAlignment="1">
      <alignment horizontal="right"/>
    </xf>
    <xf numFmtId="44" fontId="13" fillId="0" borderId="0" xfId="2" applyFont="1" applyFill="1" applyBorder="1" applyAlignment="1">
      <alignment horizontal="right"/>
    </xf>
    <xf numFmtId="0" fontId="22" fillId="2" borderId="5" xfId="0" applyFont="1" applyFill="1" applyBorder="1"/>
    <xf numFmtId="41" fontId="14" fillId="2" borderId="45" xfId="0" applyNumberFormat="1" applyFont="1" applyFill="1" applyBorder="1" applyAlignment="1">
      <alignment horizontal="right"/>
    </xf>
    <xf numFmtId="41" fontId="13" fillId="4" borderId="45" xfId="0" applyNumberFormat="1" applyFont="1" applyFill="1" applyBorder="1" applyAlignment="1">
      <alignment horizontal="right"/>
    </xf>
    <xf numFmtId="41" fontId="13" fillId="4" borderId="46" xfId="0" applyNumberFormat="1" applyFont="1" applyFill="1" applyBorder="1" applyAlignment="1">
      <alignment horizontal="right"/>
    </xf>
    <xf numFmtId="3" fontId="13" fillId="2" borderId="0" xfId="0" applyNumberFormat="1" applyFont="1" applyFill="1"/>
    <xf numFmtId="44" fontId="13" fillId="2" borderId="0" xfId="2" applyFont="1" applyFill="1" applyBorder="1" applyAlignment="1">
      <alignment horizontal="right"/>
    </xf>
    <xf numFmtId="164" fontId="13" fillId="0" borderId="41" xfId="1" applyNumberFormat="1" applyFont="1" applyFill="1" applyBorder="1" applyAlignment="1">
      <alignment horizontal="right"/>
    </xf>
    <xf numFmtId="41" fontId="13" fillId="0" borderId="31" xfId="0" applyNumberFormat="1" applyFont="1" applyBorder="1" applyAlignment="1">
      <alignment horizontal="right"/>
    </xf>
    <xf numFmtId="41" fontId="13" fillId="0" borderId="37" xfId="0" applyNumberFormat="1" applyFont="1" applyBorder="1" applyAlignment="1">
      <alignment horizontal="right"/>
    </xf>
    <xf numFmtId="41" fontId="13" fillId="3" borderId="28" xfId="0" applyNumberFormat="1" applyFont="1" applyFill="1" applyBorder="1" applyAlignment="1">
      <alignment horizontal="right"/>
    </xf>
    <xf numFmtId="41" fontId="13" fillId="3" borderId="33" xfId="0" applyNumberFormat="1" applyFont="1" applyFill="1" applyBorder="1" applyAlignment="1">
      <alignment horizontal="right"/>
    </xf>
    <xf numFmtId="41" fontId="13" fillId="3" borderId="35" xfId="0" applyNumberFormat="1" applyFont="1" applyFill="1" applyBorder="1" applyAlignment="1">
      <alignment horizontal="right"/>
    </xf>
    <xf numFmtId="41" fontId="13" fillId="3" borderId="29" xfId="0" applyNumberFormat="1" applyFont="1" applyFill="1" applyBorder="1" applyAlignment="1">
      <alignment horizontal="right"/>
    </xf>
    <xf numFmtId="41" fontId="13" fillId="3" borderId="30" xfId="0" applyNumberFormat="1" applyFont="1" applyFill="1" applyBorder="1" applyAlignment="1">
      <alignment horizontal="right"/>
    </xf>
    <xf numFmtId="41" fontId="13" fillId="0" borderId="36" xfId="0" applyNumberFormat="1" applyFont="1" applyBorder="1" applyAlignment="1">
      <alignment horizontal="right"/>
    </xf>
    <xf numFmtId="41" fontId="13" fillId="0" borderId="38" xfId="0" applyNumberFormat="1" applyFont="1" applyBorder="1" applyAlignment="1">
      <alignment horizontal="right"/>
    </xf>
    <xf numFmtId="41" fontId="13" fillId="0" borderId="32" xfId="0" applyNumberFormat="1" applyFont="1" applyBorder="1" applyAlignment="1">
      <alignment horizontal="right"/>
    </xf>
    <xf numFmtId="41" fontId="13" fillId="0" borderId="34" xfId="0" applyNumberFormat="1" applyFont="1" applyBorder="1" applyAlignment="1">
      <alignment horizontal="right"/>
    </xf>
    <xf numFmtId="41" fontId="13" fillId="0" borderId="43" xfId="0" applyNumberFormat="1" applyFont="1" applyBorder="1" applyAlignment="1">
      <alignment horizontal="right"/>
    </xf>
    <xf numFmtId="2" fontId="19" fillId="0" borderId="0" xfId="0" applyNumberFormat="1" applyFont="1" applyAlignment="1">
      <alignment horizontal="center"/>
    </xf>
    <xf numFmtId="41" fontId="13" fillId="0" borderId="42" xfId="0" applyNumberFormat="1" applyFont="1" applyBorder="1" applyAlignment="1">
      <alignment horizontal="right"/>
    </xf>
    <xf numFmtId="41" fontId="13" fillId="0" borderId="39" xfId="0" applyNumberFormat="1" applyFont="1" applyBorder="1" applyAlignment="1">
      <alignment horizontal="right"/>
    </xf>
    <xf numFmtId="0" fontId="13" fillId="0" borderId="0" xfId="0" applyFont="1" applyAlignment="1">
      <alignment horizontal="right" wrapText="1"/>
    </xf>
    <xf numFmtId="0" fontId="19" fillId="0" borderId="0" xfId="0" applyFont="1" applyAlignment="1">
      <alignment horizontal="right"/>
    </xf>
    <xf numFmtId="41" fontId="19" fillId="0" borderId="0" xfId="0" applyNumberFormat="1" applyFont="1" applyAlignment="1">
      <alignment horizontal="right"/>
    </xf>
    <xf numFmtId="41" fontId="13" fillId="0" borderId="0" xfId="0" applyNumberFormat="1" applyFont="1" applyAlignment="1">
      <alignment horizontal="left"/>
    </xf>
    <xf numFmtId="166" fontId="13" fillId="0" borderId="0" xfId="0" applyNumberFormat="1" applyFont="1"/>
    <xf numFmtId="0" fontId="13" fillId="3" borderId="0" xfId="0" applyFont="1" applyFill="1"/>
    <xf numFmtId="4" fontId="13" fillId="0" borderId="0" xfId="0" applyNumberFormat="1" applyFont="1" applyAlignment="1">
      <alignment horizontal="center"/>
    </xf>
    <xf numFmtId="0" fontId="19" fillId="3" borderId="0" xfId="0" applyFont="1" applyFill="1"/>
    <xf numFmtId="164" fontId="19" fillId="0" borderId="0" xfId="1" applyNumberFormat="1" applyFont="1" applyFill="1" applyAlignment="1">
      <alignment horizontal="right"/>
    </xf>
    <xf numFmtId="0" fontId="13" fillId="2" borderId="8" xfId="0" applyFont="1" applyFill="1" applyBorder="1"/>
    <xf numFmtId="0" fontId="13" fillId="2" borderId="9" xfId="0" applyFont="1" applyFill="1" applyBorder="1"/>
    <xf numFmtId="3" fontId="13" fillId="2" borderId="9" xfId="0" applyNumberFormat="1" applyFont="1" applyFill="1" applyBorder="1" applyAlignment="1">
      <alignment horizontal="right"/>
    </xf>
    <xf numFmtId="41" fontId="13" fillId="2" borderId="9" xfId="0" applyNumberFormat="1" applyFont="1" applyFill="1" applyBorder="1" applyAlignment="1">
      <alignment horizontal="right"/>
    </xf>
    <xf numFmtId="41" fontId="13" fillId="2" borderId="10" xfId="0" applyNumberFormat="1" applyFont="1" applyFill="1" applyBorder="1" applyAlignment="1">
      <alignment horizontal="right"/>
    </xf>
    <xf numFmtId="0" fontId="19" fillId="2" borderId="15" xfId="0" applyFont="1" applyFill="1" applyBorder="1" applyAlignment="1">
      <alignment horizontal="center"/>
    </xf>
    <xf numFmtId="0" fontId="13" fillId="2" borderId="0" xfId="0" applyFont="1" applyFill="1"/>
    <xf numFmtId="3" fontId="19" fillId="2" borderId="0" xfId="0" applyNumberFormat="1" applyFont="1" applyFill="1" applyAlignment="1">
      <alignment horizontal="right"/>
    </xf>
    <xf numFmtId="41" fontId="19" fillId="2" borderId="0" xfId="0" applyNumberFormat="1" applyFont="1" applyFill="1" applyAlignment="1">
      <alignment horizontal="right"/>
    </xf>
    <xf numFmtId="0" fontId="13" fillId="2" borderId="11" xfId="0" applyFont="1" applyFill="1" applyBorder="1"/>
    <xf numFmtId="0" fontId="13" fillId="2" borderId="4" xfId="0" applyFont="1" applyFill="1" applyBorder="1"/>
    <xf numFmtId="0" fontId="13" fillId="2" borderId="4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right"/>
    </xf>
    <xf numFmtId="0" fontId="19" fillId="5" borderId="5" xfId="0" applyFont="1" applyFill="1" applyBorder="1"/>
    <xf numFmtId="165" fontId="19" fillId="5" borderId="6" xfId="0" applyNumberFormat="1" applyFont="1" applyFill="1" applyBorder="1" applyAlignment="1">
      <alignment horizontal="right"/>
    </xf>
    <xf numFmtId="165" fontId="19" fillId="5" borderId="7" xfId="0" applyNumberFormat="1" applyFont="1" applyFill="1" applyBorder="1" applyAlignment="1">
      <alignment horizontal="right"/>
    </xf>
    <xf numFmtId="0" fontId="13" fillId="7" borderId="0" xfId="0" applyFont="1" applyFill="1"/>
    <xf numFmtId="0" fontId="19" fillId="9" borderId="0" xfId="0" applyFont="1" applyFill="1" applyAlignment="1">
      <alignment horizontal="left"/>
    </xf>
    <xf numFmtId="43" fontId="13" fillId="0" borderId="0" xfId="0" applyNumberFormat="1" applyFont="1" applyAlignment="1">
      <alignment horizontal="right"/>
    </xf>
    <xf numFmtId="43" fontId="13" fillId="2" borderId="9" xfId="0" applyNumberFormat="1" applyFont="1" applyFill="1" applyBorder="1" applyAlignment="1">
      <alignment horizontal="right"/>
    </xf>
    <xf numFmtId="43" fontId="13" fillId="2" borderId="10" xfId="0" applyNumberFormat="1" applyFont="1" applyFill="1" applyBorder="1" applyAlignment="1">
      <alignment horizontal="right"/>
    </xf>
    <xf numFmtId="43" fontId="19" fillId="2" borderId="0" xfId="0" applyNumberFormat="1" applyFont="1" applyFill="1" applyAlignment="1">
      <alignment horizontal="right"/>
    </xf>
    <xf numFmtId="43" fontId="19" fillId="2" borderId="16" xfId="0" applyNumberFormat="1" applyFont="1" applyFill="1" applyBorder="1" applyAlignment="1">
      <alignment horizontal="right"/>
    </xf>
    <xf numFmtId="43" fontId="13" fillId="2" borderId="4" xfId="0" applyNumberFormat="1" applyFont="1" applyFill="1" applyBorder="1" applyAlignment="1">
      <alignment horizontal="right"/>
    </xf>
    <xf numFmtId="43" fontId="13" fillId="2" borderId="12" xfId="0" applyNumberFormat="1" applyFont="1" applyFill="1" applyBorder="1" applyAlignment="1">
      <alignment horizontal="right"/>
    </xf>
    <xf numFmtId="0" fontId="19" fillId="8" borderId="0" xfId="0" applyFont="1" applyFill="1" applyAlignment="1">
      <alignment horizontal="left"/>
    </xf>
    <xf numFmtId="0" fontId="19" fillId="2" borderId="8" xfId="0" applyFont="1" applyFill="1" applyBorder="1"/>
    <xf numFmtId="0" fontId="19" fillId="2" borderId="11" xfId="0" applyFont="1" applyFill="1" applyBorder="1" applyAlignment="1">
      <alignment horizontal="center"/>
    </xf>
    <xf numFmtId="10" fontId="13" fillId="0" borderId="0" xfId="0" applyNumberFormat="1" applyFont="1" applyAlignment="1">
      <alignment horizontal="right"/>
    </xf>
    <xf numFmtId="41" fontId="13" fillId="0" borderId="0" xfId="0" applyNumberFormat="1" applyFont="1"/>
    <xf numFmtId="44" fontId="13" fillId="0" borderId="0" xfId="0" applyNumberFormat="1" applyFont="1" applyAlignment="1">
      <alignment horizontal="right"/>
    </xf>
    <xf numFmtId="0" fontId="19" fillId="2" borderId="9" xfId="0" applyFont="1" applyFill="1" applyBorder="1"/>
    <xf numFmtId="3" fontId="19" fillId="2" borderId="9" xfId="0" applyNumberFormat="1" applyFont="1" applyFill="1" applyBorder="1" applyAlignment="1">
      <alignment horizontal="right"/>
    </xf>
    <xf numFmtId="41" fontId="19" fillId="2" borderId="9" xfId="0" applyNumberFormat="1" applyFont="1" applyFill="1" applyBorder="1" applyAlignment="1">
      <alignment horizontal="right"/>
    </xf>
    <xf numFmtId="41" fontId="19" fillId="2" borderId="10" xfId="0" applyNumberFormat="1" applyFont="1" applyFill="1" applyBorder="1" applyAlignment="1">
      <alignment horizontal="right"/>
    </xf>
    <xf numFmtId="0" fontId="19" fillId="2" borderId="0" xfId="0" applyFont="1" applyFill="1"/>
    <xf numFmtId="9" fontId="19" fillId="2" borderId="0" xfId="3" applyFont="1" applyFill="1" applyAlignment="1">
      <alignment horizontal="right"/>
    </xf>
    <xf numFmtId="0" fontId="19" fillId="2" borderId="11" xfId="0" applyFont="1" applyFill="1" applyBorder="1"/>
    <xf numFmtId="0" fontId="19" fillId="2" borderId="4" xfId="0" applyFont="1" applyFill="1" applyBorder="1"/>
    <xf numFmtId="0" fontId="19" fillId="2" borderId="4" xfId="0" applyFont="1" applyFill="1" applyBorder="1" applyAlignment="1">
      <alignment horizontal="right"/>
    </xf>
    <xf numFmtId="0" fontId="19" fillId="2" borderId="12" xfId="0" applyFont="1" applyFill="1" applyBorder="1" applyAlignment="1">
      <alignment horizontal="right"/>
    </xf>
    <xf numFmtId="0" fontId="19" fillId="2" borderId="8" xfId="0" applyFont="1" applyFill="1" applyBorder="1" applyAlignment="1">
      <alignment horizontal="left"/>
    </xf>
    <xf numFmtId="3" fontId="19" fillId="2" borderId="10" xfId="0" applyNumberFormat="1" applyFont="1" applyFill="1" applyBorder="1" applyAlignment="1">
      <alignment horizontal="right"/>
    </xf>
    <xf numFmtId="3" fontId="19" fillId="0" borderId="0" xfId="0" applyNumberFormat="1" applyFont="1" applyAlignment="1">
      <alignment horizontal="right"/>
    </xf>
    <xf numFmtId="0" fontId="19" fillId="2" borderId="11" xfId="0" applyFont="1" applyFill="1" applyBorder="1" applyAlignment="1">
      <alignment horizontal="left"/>
    </xf>
    <xf numFmtId="10" fontId="19" fillId="2" borderId="12" xfId="0" applyNumberFormat="1" applyFont="1" applyFill="1" applyBorder="1" applyAlignment="1">
      <alignment horizontal="right"/>
    </xf>
    <xf numFmtId="10" fontId="19" fillId="0" borderId="0" xfId="0" applyNumberFormat="1" applyFont="1" applyAlignment="1">
      <alignment horizontal="right"/>
    </xf>
    <xf numFmtId="14" fontId="13" fillId="0" borderId="0" xfId="0" applyNumberFormat="1" applyFont="1" applyAlignment="1">
      <alignment horizontal="right"/>
    </xf>
    <xf numFmtId="41" fontId="19" fillId="5" borderId="6" xfId="0" applyNumberFormat="1" applyFont="1" applyFill="1" applyBorder="1"/>
    <xf numFmtId="41" fontId="19" fillId="5" borderId="7" xfId="0" applyNumberFormat="1" applyFont="1" applyFill="1" applyBorder="1"/>
    <xf numFmtId="10" fontId="13" fillId="0" borderId="0" xfId="0" applyNumberFormat="1" applyFont="1" applyAlignment="1">
      <alignment horizontal="center"/>
    </xf>
    <xf numFmtId="10" fontId="19" fillId="2" borderId="0" xfId="3" applyNumberFormat="1" applyFont="1" applyFill="1" applyAlignment="1">
      <alignment horizontal="right"/>
    </xf>
    <xf numFmtId="4" fontId="13" fillId="0" borderId="0" xfId="0" applyNumberFormat="1" applyFont="1"/>
    <xf numFmtId="14" fontId="13" fillId="0" borderId="0" xfId="0" applyNumberFormat="1" applyFont="1"/>
    <xf numFmtId="0" fontId="20" fillId="0" borderId="0" xfId="0" applyFont="1"/>
    <xf numFmtId="164" fontId="19" fillId="0" borderId="0" xfId="1" applyNumberFormat="1" applyFont="1"/>
    <xf numFmtId="10" fontId="13" fillId="0" borderId="0" xfId="3" applyNumberFormat="1" applyFont="1" applyAlignment="1">
      <alignment horizontal="right"/>
    </xf>
    <xf numFmtId="164" fontId="13" fillId="3" borderId="0" xfId="1" applyNumberFormat="1" applyFont="1" applyFill="1" applyAlignment="1">
      <alignment horizontal="right"/>
    </xf>
    <xf numFmtId="10" fontId="19" fillId="2" borderId="16" xfId="0" applyNumberFormat="1" applyFont="1" applyFill="1" applyBorder="1" applyAlignment="1">
      <alignment horizontal="right"/>
    </xf>
    <xf numFmtId="10" fontId="19" fillId="2" borderId="4" xfId="3" applyNumberFormat="1" applyFont="1" applyFill="1" applyBorder="1" applyAlignment="1">
      <alignment horizontal="right"/>
    </xf>
    <xf numFmtId="10" fontId="19" fillId="2" borderId="12" xfId="3" applyNumberFormat="1" applyFont="1" applyFill="1" applyBorder="1" applyAlignment="1">
      <alignment horizontal="right"/>
    </xf>
    <xf numFmtId="9" fontId="13" fillId="0" borderId="0" xfId="3" applyFont="1" applyAlignment="1">
      <alignment horizontal="right"/>
    </xf>
    <xf numFmtId="0" fontId="19" fillId="0" borderId="13" xfId="0" applyFont="1" applyBorder="1" applyAlignment="1">
      <alignment horizontal="center" textRotation="90"/>
    </xf>
    <xf numFmtId="5" fontId="19" fillId="0" borderId="13" xfId="0" applyNumberFormat="1" applyFont="1" applyBorder="1" applyAlignment="1">
      <alignment horizontal="center" textRotation="90"/>
    </xf>
    <xf numFmtId="10" fontId="19" fillId="0" borderId="13" xfId="0" applyNumberFormat="1" applyFont="1" applyBorder="1" applyAlignment="1">
      <alignment horizontal="center" textRotation="90"/>
    </xf>
    <xf numFmtId="0" fontId="19" fillId="0" borderId="0" xfId="0" applyFont="1" applyAlignment="1">
      <alignment textRotation="90"/>
    </xf>
    <xf numFmtId="9" fontId="13" fillId="0" borderId="0" xfId="3" applyFont="1"/>
    <xf numFmtId="0" fontId="19" fillId="0" borderId="6" xfId="0" applyFont="1" applyBorder="1" applyAlignment="1">
      <alignment horizontal="center"/>
    </xf>
    <xf numFmtId="3" fontId="19" fillId="0" borderId="6" xfId="0" applyNumberFormat="1" applyFont="1" applyBorder="1"/>
    <xf numFmtId="10" fontId="19" fillId="0" borderId="6" xfId="0" applyNumberFormat="1" applyFont="1" applyBorder="1"/>
    <xf numFmtId="3" fontId="19" fillId="0" borderId="0" xfId="0" applyNumberFormat="1" applyFont="1"/>
    <xf numFmtId="10" fontId="19" fillId="0" borderId="0" xfId="0" applyNumberFormat="1" applyFont="1"/>
    <xf numFmtId="0" fontId="19" fillId="0" borderId="5" xfId="0" applyFont="1" applyBorder="1" applyAlignment="1">
      <alignment horizontal="center"/>
    </xf>
    <xf numFmtId="3" fontId="13" fillId="3" borderId="0" xfId="0" applyNumberFormat="1" applyFont="1" applyFill="1"/>
    <xf numFmtId="9" fontId="13" fillId="3" borderId="0" xfId="3" applyFont="1" applyFill="1"/>
    <xf numFmtId="10" fontId="13" fillId="3" borderId="0" xfId="0" applyNumberFormat="1" applyFont="1" applyFill="1"/>
    <xf numFmtId="3" fontId="19" fillId="3" borderId="6" xfId="0" applyNumberFormat="1" applyFont="1" applyFill="1" applyBorder="1"/>
    <xf numFmtId="10" fontId="19" fillId="3" borderId="6" xfId="0" applyNumberFormat="1" applyFont="1" applyFill="1" applyBorder="1"/>
    <xf numFmtId="0" fontId="19" fillId="0" borderId="6" xfId="0" applyFont="1" applyBorder="1" applyAlignment="1">
      <alignment horizontal="left"/>
    </xf>
    <xf numFmtId="0" fontId="19" fillId="0" borderId="5" xfId="0" applyFont="1" applyBorder="1"/>
    <xf numFmtId="3" fontId="19" fillId="6" borderId="0" xfId="0" applyNumberFormat="1" applyFont="1" applyFill="1"/>
    <xf numFmtId="10" fontId="19" fillId="6" borderId="0" xfId="0" applyNumberFormat="1" applyFont="1" applyFill="1"/>
    <xf numFmtId="0" fontId="13" fillId="6" borderId="0" xfId="0" applyFont="1" applyFill="1"/>
    <xf numFmtId="0" fontId="19" fillId="5" borderId="8" xfId="0" applyFont="1" applyFill="1" applyBorder="1" applyAlignment="1">
      <alignment wrapText="1"/>
    </xf>
    <xf numFmtId="41" fontId="19" fillId="5" borderId="10" xfId="0" applyNumberFormat="1" applyFont="1" applyFill="1" applyBorder="1"/>
    <xf numFmtId="0" fontId="19" fillId="5" borderId="11" xfId="0" applyFont="1" applyFill="1" applyBorder="1" applyAlignment="1">
      <alignment vertical="center"/>
    </xf>
    <xf numFmtId="41" fontId="19" fillId="5" borderId="12" xfId="0" applyNumberFormat="1" applyFont="1" applyFill="1" applyBorder="1"/>
    <xf numFmtId="0" fontId="19" fillId="5" borderId="8" xfId="0" applyFont="1" applyFill="1" applyBorder="1" applyAlignment="1">
      <alignment horizontal="left"/>
    </xf>
    <xf numFmtId="0" fontId="13" fillId="5" borderId="9" xfId="0" applyFont="1" applyFill="1" applyBorder="1"/>
    <xf numFmtId="41" fontId="19" fillId="5" borderId="9" xfId="0" applyNumberFormat="1" applyFont="1" applyFill="1" applyBorder="1"/>
    <xf numFmtId="41" fontId="19" fillId="0" borderId="0" xfId="0" applyNumberFormat="1" applyFont="1"/>
    <xf numFmtId="0" fontId="13" fillId="5" borderId="4" xfId="0" applyFont="1" applyFill="1" applyBorder="1"/>
    <xf numFmtId="41" fontId="19" fillId="5" borderId="4" xfId="0" applyNumberFormat="1" applyFont="1" applyFill="1" applyBorder="1"/>
    <xf numFmtId="167" fontId="13" fillId="0" borderId="0" xfId="0" applyNumberFormat="1" applyFont="1"/>
    <xf numFmtId="167" fontId="13" fillId="0" borderId="0" xfId="0" applyNumberFormat="1" applyFont="1" applyAlignment="1">
      <alignment horizontal="right"/>
    </xf>
    <xf numFmtId="0" fontId="19" fillId="0" borderId="4" xfId="0" applyFont="1" applyBorder="1" applyAlignment="1">
      <alignment horizontal="centerContinuous"/>
    </xf>
    <xf numFmtId="0" fontId="13" fillId="2" borderId="8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right"/>
    </xf>
    <xf numFmtId="0" fontId="19" fillId="5" borderId="9" xfId="0" applyFont="1" applyFill="1" applyBorder="1" applyAlignment="1">
      <alignment horizontal="left"/>
    </xf>
    <xf numFmtId="0" fontId="19" fillId="2" borderId="9" xfId="0" applyFont="1" applyFill="1" applyBorder="1" applyAlignment="1">
      <alignment horizontal="left"/>
    </xf>
    <xf numFmtId="10" fontId="13" fillId="2" borderId="9" xfId="0" applyNumberFormat="1" applyFont="1" applyFill="1" applyBorder="1"/>
    <xf numFmtId="0" fontId="13" fillId="2" borderId="10" xfId="0" applyFont="1" applyFill="1" applyBorder="1"/>
    <xf numFmtId="0" fontId="13" fillId="2" borderId="15" xfId="0" applyFont="1" applyFill="1" applyBorder="1" applyAlignment="1">
      <alignment horizontal="center"/>
    </xf>
    <xf numFmtId="0" fontId="19" fillId="2" borderId="0" xfId="0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10" fontId="13" fillId="2" borderId="0" xfId="0" applyNumberFormat="1" applyFont="1" applyFill="1"/>
    <xf numFmtId="0" fontId="13" fillId="2" borderId="16" xfId="0" applyFont="1" applyFill="1" applyBorder="1"/>
    <xf numFmtId="0" fontId="13" fillId="2" borderId="11" xfId="0" applyFont="1" applyFill="1" applyBorder="1" applyAlignment="1">
      <alignment horizontal="center"/>
    </xf>
    <xf numFmtId="3" fontId="19" fillId="5" borderId="4" xfId="0" applyNumberFormat="1" applyFont="1" applyFill="1" applyBorder="1" applyAlignment="1">
      <alignment horizontal="left"/>
    </xf>
    <xf numFmtId="3" fontId="19" fillId="2" borderId="4" xfId="0" applyNumberFormat="1" applyFont="1" applyFill="1" applyBorder="1" applyAlignment="1">
      <alignment horizontal="left"/>
    </xf>
    <xf numFmtId="10" fontId="13" fillId="2" borderId="4" xfId="0" applyNumberFormat="1" applyFont="1" applyFill="1" applyBorder="1"/>
    <xf numFmtId="0" fontId="13" fillId="2" borderId="12" xfId="0" applyFont="1" applyFill="1" applyBorder="1"/>
    <xf numFmtId="3" fontId="19" fillId="0" borderId="0" xfId="0" applyNumberFormat="1" applyFont="1" applyAlignment="1">
      <alignment horizontal="left"/>
    </xf>
    <xf numFmtId="0" fontId="19" fillId="2" borderId="8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10" fontId="19" fillId="2" borderId="1" xfId="0" applyNumberFormat="1" applyFont="1" applyFill="1" applyBorder="1" applyAlignment="1">
      <alignment horizontal="center"/>
    </xf>
    <xf numFmtId="0" fontId="19" fillId="6" borderId="9" xfId="11" applyFont="1" applyFill="1" applyBorder="1" applyAlignment="1">
      <alignment horizontal="center"/>
    </xf>
    <xf numFmtId="0" fontId="19" fillId="5" borderId="1" xfId="11" applyFont="1" applyFill="1" applyBorder="1" applyAlignment="1">
      <alignment horizontal="center"/>
    </xf>
    <xf numFmtId="0" fontId="19" fillId="6" borderId="1" xfId="11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/>
    </xf>
    <xf numFmtId="10" fontId="19" fillId="2" borderId="2" xfId="0" applyNumberFormat="1" applyFont="1" applyFill="1" applyBorder="1" applyAlignment="1">
      <alignment horizontal="center"/>
    </xf>
    <xf numFmtId="0" fontId="19" fillId="6" borderId="0" xfId="11" applyFont="1" applyFill="1" applyAlignment="1">
      <alignment horizontal="center"/>
    </xf>
    <xf numFmtId="0" fontId="19" fillId="5" borderId="2" xfId="11" applyFont="1" applyFill="1" applyBorder="1" applyAlignment="1">
      <alignment horizontal="center"/>
    </xf>
    <xf numFmtId="0" fontId="19" fillId="6" borderId="2" xfId="11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9" fontId="22" fillId="2" borderId="3" xfId="0" applyNumberFormat="1" applyFont="1" applyFill="1" applyBorder="1" applyAlignment="1">
      <alignment horizontal="center"/>
    </xf>
    <xf numFmtId="10" fontId="19" fillId="2" borderId="3" xfId="0" applyNumberFormat="1" applyFont="1" applyFill="1" applyBorder="1" applyAlignment="1">
      <alignment horizontal="center"/>
    </xf>
    <xf numFmtId="9" fontId="19" fillId="6" borderId="4" xfId="3" applyFont="1" applyFill="1" applyBorder="1" applyAlignment="1">
      <alignment horizontal="center"/>
    </xf>
    <xf numFmtId="9" fontId="19" fillId="5" borderId="3" xfId="3" applyFont="1" applyFill="1" applyBorder="1" applyAlignment="1">
      <alignment horizontal="center"/>
    </xf>
    <xf numFmtId="0" fontId="19" fillId="6" borderId="3" xfId="11" applyFont="1" applyFill="1" applyBorder="1" applyAlignment="1">
      <alignment horizontal="center"/>
    </xf>
    <xf numFmtId="10" fontId="19" fillId="0" borderId="0" xfId="0" applyNumberFormat="1" applyFont="1" applyAlignment="1">
      <alignment horizontal="center"/>
    </xf>
    <xf numFmtId="0" fontId="13" fillId="0" borderId="0" xfId="11" applyFont="1"/>
    <xf numFmtId="39" fontId="13" fillId="0" borderId="0" xfId="0" applyNumberFormat="1" applyFont="1"/>
    <xf numFmtId="4" fontId="13" fillId="3" borderId="0" xfId="0" applyNumberFormat="1" applyFont="1" applyFill="1"/>
    <xf numFmtId="43" fontId="13" fillId="0" borderId="0" xfId="1" applyFont="1" applyBorder="1"/>
    <xf numFmtId="43" fontId="13" fillId="0" borderId="0" xfId="11" applyNumberFormat="1" applyFont="1"/>
    <xf numFmtId="0" fontId="13" fillId="3" borderId="0" xfId="0" applyFont="1" applyFill="1" applyAlignment="1">
      <alignment horizontal="center"/>
    </xf>
    <xf numFmtId="0" fontId="13" fillId="3" borderId="0" xfId="0" applyFont="1" applyFill="1" applyAlignment="1">
      <alignment horizontal="left"/>
    </xf>
    <xf numFmtId="39" fontId="13" fillId="3" borderId="0" xfId="0" applyNumberFormat="1" applyFont="1" applyFill="1"/>
    <xf numFmtId="41" fontId="14" fillId="3" borderId="0" xfId="0" applyNumberFormat="1" applyFont="1" applyFill="1"/>
    <xf numFmtId="41" fontId="13" fillId="3" borderId="0" xfId="0" applyNumberFormat="1" applyFont="1" applyFill="1"/>
    <xf numFmtId="0" fontId="19" fillId="4" borderId="5" xfId="0" applyFont="1" applyFill="1" applyBorder="1"/>
    <xf numFmtId="4" fontId="19" fillId="4" borderId="6" xfId="0" applyNumberFormat="1" applyFont="1" applyFill="1" applyBorder="1"/>
    <xf numFmtId="4" fontId="19" fillId="2" borderId="6" xfId="0" applyNumberFormat="1" applyFont="1" applyFill="1" applyBorder="1"/>
    <xf numFmtId="10" fontId="19" fillId="2" borderId="6" xfId="0" applyNumberFormat="1" applyFont="1" applyFill="1" applyBorder="1"/>
    <xf numFmtId="41" fontId="19" fillId="3" borderId="0" xfId="0" applyNumberFormat="1" applyFont="1" applyFill="1"/>
    <xf numFmtId="4" fontId="19" fillId="3" borderId="0" xfId="0" applyNumberFormat="1" applyFont="1" applyFill="1"/>
    <xf numFmtId="4" fontId="19" fillId="0" borderId="0" xfId="0" applyNumberFormat="1" applyFont="1"/>
    <xf numFmtId="39" fontId="19" fillId="3" borderId="0" xfId="0" applyNumberFormat="1" applyFont="1" applyFill="1"/>
    <xf numFmtId="39" fontId="19" fillId="2" borderId="6" xfId="0" applyNumberFormat="1" applyFont="1" applyFill="1" applyBorder="1"/>
    <xf numFmtId="10" fontId="19" fillId="2" borderId="6" xfId="3" applyNumberFormat="1" applyFont="1" applyFill="1" applyBorder="1"/>
    <xf numFmtId="44" fontId="19" fillId="2" borderId="6" xfId="2" applyFont="1" applyFill="1" applyBorder="1"/>
    <xf numFmtId="43" fontId="19" fillId="2" borderId="7" xfId="0" applyNumberFormat="1" applyFont="1" applyFill="1" applyBorder="1"/>
    <xf numFmtId="4" fontId="19" fillId="2" borderId="9" xfId="0" applyNumberFormat="1" applyFont="1" applyFill="1" applyBorder="1"/>
    <xf numFmtId="39" fontId="19" fillId="2" borderId="9" xfId="0" applyNumberFormat="1" applyFont="1" applyFill="1" applyBorder="1"/>
    <xf numFmtId="10" fontId="19" fillId="2" borderId="9" xfId="0" applyNumberFormat="1" applyFont="1" applyFill="1" applyBorder="1"/>
    <xf numFmtId="43" fontId="19" fillId="2" borderId="10" xfId="0" applyNumberFormat="1" applyFont="1" applyFill="1" applyBorder="1"/>
    <xf numFmtId="4" fontId="19" fillId="2" borderId="4" xfId="0" applyNumberFormat="1" applyFont="1" applyFill="1" applyBorder="1"/>
    <xf numFmtId="1" fontId="19" fillId="2" borderId="4" xfId="0" applyNumberFormat="1" applyFont="1" applyFill="1" applyBorder="1" applyAlignment="1">
      <alignment horizontal="center"/>
    </xf>
    <xf numFmtId="10" fontId="19" fillId="2" borderId="4" xfId="0" applyNumberFormat="1" applyFont="1" applyFill="1" applyBorder="1"/>
    <xf numFmtId="43" fontId="19" fillId="2" borderId="12" xfId="0" applyNumberFormat="1" applyFont="1" applyFill="1" applyBorder="1"/>
    <xf numFmtId="43" fontId="19" fillId="2" borderId="6" xfId="3" applyNumberFormat="1" applyFont="1" applyFill="1" applyBorder="1"/>
    <xf numFmtId="39" fontId="13" fillId="0" borderId="0" xfId="0" applyNumberFormat="1" applyFont="1" applyAlignment="1">
      <alignment horizontal="center"/>
    </xf>
    <xf numFmtId="39" fontId="19" fillId="0" borderId="0" xfId="0" applyNumberFormat="1" applyFont="1" applyAlignment="1">
      <alignment horizontal="center"/>
    </xf>
    <xf numFmtId="4" fontId="21" fillId="2" borderId="6" xfId="0" applyNumberFormat="1" applyFont="1" applyFill="1" applyBorder="1"/>
    <xf numFmtId="10" fontId="13" fillId="5" borderId="0" xfId="0" applyNumberFormat="1" applyFont="1" applyFill="1"/>
    <xf numFmtId="43" fontId="13" fillId="5" borderId="0" xfId="0" applyNumberFormat="1" applyFont="1" applyFill="1"/>
    <xf numFmtId="17" fontId="2" fillId="15" borderId="0" xfId="2" applyNumberFormat="1" applyFont="1" applyFill="1" applyBorder="1" applyAlignment="1">
      <alignment horizontal="center"/>
    </xf>
    <xf numFmtId="43" fontId="0" fillId="0" borderId="0" xfId="1" applyFont="1" applyFill="1"/>
    <xf numFmtId="43" fontId="0" fillId="0" borderId="0" xfId="1" applyFont="1" applyFill="1" applyAlignment="1">
      <alignment horizontal="left" vertical="top" wrapText="1"/>
    </xf>
    <xf numFmtId="43" fontId="0" fillId="0" borderId="0" xfId="1" applyFont="1" applyFill="1" applyAlignment="1">
      <alignment horizontal="center" vertical="center" wrapText="1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Alignment="1">
      <alignment vertical="top" wrapText="1"/>
    </xf>
    <xf numFmtId="43" fontId="0" fillId="0" borderId="0" xfId="1" applyFont="1" applyFill="1" applyAlignment="1">
      <alignment vertical="center" wrapText="1"/>
    </xf>
    <xf numFmtId="43" fontId="0" fillId="0" borderId="0" xfId="1" applyFont="1" applyFill="1" applyAlignment="1"/>
    <xf numFmtId="43" fontId="0" fillId="0" borderId="0" xfId="1" applyFont="1" applyAlignment="1">
      <alignment horizontal="left" vertical="center" wrapText="1"/>
    </xf>
    <xf numFmtId="43" fontId="0" fillId="0" borderId="0" xfId="1" applyFont="1" applyFill="1" applyAlignment="1">
      <alignment horizontal="left" vertical="center" wrapText="1"/>
    </xf>
    <xf numFmtId="43" fontId="0" fillId="0" borderId="0" xfId="1" applyFont="1" applyAlignment="1">
      <alignment horizontal="center" wrapText="1"/>
    </xf>
    <xf numFmtId="43" fontId="0" fillId="0" borderId="0" xfId="1" applyFont="1" applyFill="1" applyAlignment="1">
      <alignment horizontal="left" wrapText="1"/>
    </xf>
    <xf numFmtId="43" fontId="0" fillId="0" borderId="0" xfId="1" applyFont="1" applyAlignment="1">
      <alignment horizontal="left"/>
    </xf>
    <xf numFmtId="0" fontId="0" fillId="0" borderId="48" xfId="0" applyBorder="1"/>
    <xf numFmtId="43" fontId="2" fillId="0" borderId="48" xfId="1" applyFont="1" applyBorder="1"/>
    <xf numFmtId="43" fontId="0" fillId="0" borderId="0" xfId="1" applyFont="1" applyBorder="1"/>
    <xf numFmtId="43" fontId="0" fillId="0" borderId="0" xfId="1" applyFont="1" applyBorder="1" applyAlignment="1"/>
    <xf numFmtId="0" fontId="0" fillId="0" borderId="0" xfId="0" applyAlignment="1">
      <alignment wrapText="1"/>
    </xf>
    <xf numFmtId="43" fontId="2" fillId="0" borderId="48" xfId="1" applyFont="1" applyBorder="1" applyAlignment="1"/>
    <xf numFmtId="17" fontId="2" fillId="15" borderId="0" xfId="2" applyNumberFormat="1" applyFont="1" applyFill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12" fillId="0" borderId="13" xfId="0" applyFont="1" applyBorder="1" applyAlignment="1">
      <alignment horizontal="center"/>
    </xf>
    <xf numFmtId="49" fontId="19" fillId="6" borderId="1" xfId="1" applyNumberFormat="1" applyFont="1" applyFill="1" applyBorder="1" applyAlignment="1">
      <alignment horizontal="center" vertical="center" wrapText="1"/>
    </xf>
    <xf numFmtId="49" fontId="19" fillId="6" borderId="2" xfId="1" applyNumberFormat="1" applyFont="1" applyFill="1" applyBorder="1" applyAlignment="1">
      <alignment horizontal="center" vertical="center" wrapText="1"/>
    </xf>
    <xf numFmtId="49" fontId="19" fillId="6" borderId="3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167" fontId="19" fillId="0" borderId="0" xfId="0" applyNumberFormat="1" applyFont="1" applyAlignment="1">
      <alignment horizontal="center"/>
    </xf>
    <xf numFmtId="0" fontId="6" fillId="0" borderId="1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4" fontId="6" fillId="0" borderId="4" xfId="2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0" xfId="0" applyFont="1" applyAlignment="1">
      <alignment horizontal="left"/>
    </xf>
    <xf numFmtId="44" fontId="6" fillId="0" borderId="0" xfId="2" applyFont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15" fillId="12" borderId="8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5" fillId="12" borderId="10" xfId="0" applyFont="1" applyFill="1" applyBorder="1" applyAlignment="1">
      <alignment horizontal="center" vertical="center"/>
    </xf>
    <xf numFmtId="0" fontId="15" fillId="12" borderId="15" xfId="0" applyFont="1" applyFill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16" xfId="0" applyFont="1" applyFill="1" applyBorder="1" applyAlignment="1">
      <alignment horizontal="center" vertical="center"/>
    </xf>
    <xf numFmtId="44" fontId="16" fillId="13" borderId="0" xfId="2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6" fillId="13" borderId="0" xfId="0" applyFont="1" applyFill="1" applyAlignment="1">
      <alignment horizontal="left"/>
    </xf>
    <xf numFmtId="0" fontId="16" fillId="13" borderId="16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19" fillId="6" borderId="0" xfId="0" applyFont="1" applyFill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2">
    <cellStyle name="Comma" xfId="1" builtinId="3"/>
    <cellStyle name="Comma 2" xfId="9" xr:uid="{00000000-0005-0000-0000-000001000000}"/>
    <cellStyle name="Comma 3" xfId="6" xr:uid="{00000000-0005-0000-0000-000002000000}"/>
    <cellStyle name="Currency" xfId="2" builtinId="4"/>
    <cellStyle name="Currency 2" xfId="8" xr:uid="{00000000-0005-0000-0000-000004000000}"/>
    <cellStyle name="Currency 3" xfId="5" xr:uid="{00000000-0005-0000-0000-000005000000}"/>
    <cellStyle name="Normal" xfId="0" builtinId="0"/>
    <cellStyle name="Normal 2" xfId="7" xr:uid="{00000000-0005-0000-0000-000007000000}"/>
    <cellStyle name="Normal 2 2" xfId="10" xr:uid="{00000000-0005-0000-0000-000008000000}"/>
    <cellStyle name="Normal 3" xfId="4" xr:uid="{00000000-0005-0000-0000-000009000000}"/>
    <cellStyle name="Normal_RBP '97 Smith's conversion" xfId="11" xr:uid="{1F317676-4459-403D-8F3A-161178839023}"/>
    <cellStyle name="Percent" xfId="3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15</xdr:row>
      <xdr:rowOff>0</xdr:rowOff>
    </xdr:from>
    <xdr:to>
      <xdr:col>40</xdr:col>
      <xdr:colOff>2536372</xdr:colOff>
      <xdr:row>42</xdr:row>
      <xdr:rowOff>137100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CFAFA-35EC-B508-F04B-EFFF941D1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4571" y="3973286"/>
          <a:ext cx="12181115" cy="45458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47625</xdr:rowOff>
    </xdr:from>
    <xdr:to>
      <xdr:col>1</xdr:col>
      <xdr:colOff>110490</xdr:colOff>
      <xdr:row>5</xdr:row>
      <xdr:rowOff>110490</xdr:rowOff>
    </xdr:to>
    <xdr:pic>
      <xdr:nvPicPr>
        <xdr:cNvPr id="1736" name="Pictur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676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47625</xdr:rowOff>
    </xdr:from>
    <xdr:to>
      <xdr:col>0</xdr:col>
      <xdr:colOff>758190</xdr:colOff>
      <xdr:row>4</xdr:row>
      <xdr:rowOff>177165</xdr:rowOff>
    </xdr:to>
    <xdr:pic>
      <xdr:nvPicPr>
        <xdr:cNvPr id="2652" name="Picture 2">
          <a:extLst>
            <a:ext uri="{FF2B5EF4-FFF2-40B4-BE49-F238E27FC236}">
              <a16:creationId xmlns:a16="http://schemas.microsoft.com/office/drawing/2014/main" id="{00000000-0008-0000-0100-00005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104775</xdr:rowOff>
    </xdr:from>
    <xdr:to>
      <xdr:col>0</xdr:col>
      <xdr:colOff>762000</xdr:colOff>
      <xdr:row>5</xdr:row>
      <xdr:rowOff>9525</xdr:rowOff>
    </xdr:to>
    <xdr:pic>
      <xdr:nvPicPr>
        <xdr:cNvPr id="12799" name="Picture 2">
          <a:extLst>
            <a:ext uri="{FF2B5EF4-FFF2-40B4-BE49-F238E27FC236}">
              <a16:creationId xmlns:a16="http://schemas.microsoft.com/office/drawing/2014/main" id="{00000000-0008-0000-0200-0000F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66700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38100</xdr:rowOff>
    </xdr:from>
    <xdr:to>
      <xdr:col>0</xdr:col>
      <xdr:colOff>733425</xdr:colOff>
      <xdr:row>4</xdr:row>
      <xdr:rowOff>152400</xdr:rowOff>
    </xdr:to>
    <xdr:pic>
      <xdr:nvPicPr>
        <xdr:cNvPr id="7682" name="Picture 2">
          <a:extLst>
            <a:ext uri="{FF2B5EF4-FFF2-40B4-BE49-F238E27FC236}">
              <a16:creationId xmlns:a16="http://schemas.microsoft.com/office/drawing/2014/main" id="{00000000-0008-0000-0300-00000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0025"/>
          <a:ext cx="676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685800</xdr:colOff>
      <xdr:row>4</xdr:row>
      <xdr:rowOff>123825</xdr:rowOff>
    </xdr:to>
    <xdr:pic>
      <xdr:nvPicPr>
        <xdr:cNvPr id="13504" name="Picture 2">
          <a:extLst>
            <a:ext uri="{FF2B5EF4-FFF2-40B4-BE49-F238E27FC236}">
              <a16:creationId xmlns:a16="http://schemas.microsoft.com/office/drawing/2014/main" id="{00000000-0008-0000-0400-0000C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19050</xdr:rowOff>
    </xdr:from>
    <xdr:to>
      <xdr:col>0</xdr:col>
      <xdr:colOff>723900</xdr:colOff>
      <xdr:row>4</xdr:row>
      <xdr:rowOff>142875</xdr:rowOff>
    </xdr:to>
    <xdr:pic>
      <xdr:nvPicPr>
        <xdr:cNvPr id="4609" name="Picture 2">
          <a:extLst>
            <a:ext uri="{FF2B5EF4-FFF2-40B4-BE49-F238E27FC236}">
              <a16:creationId xmlns:a16="http://schemas.microsoft.com/office/drawing/2014/main" id="{00000000-0008-0000-0700-00000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80975"/>
          <a:ext cx="685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AA28320-CE77-4E7B-94FE-953D0825E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5740"/>
          <a:ext cx="6858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5628" name="Picture 3">
          <a:extLst>
            <a:ext uri="{FF2B5EF4-FFF2-40B4-BE49-F238E27FC236}">
              <a16:creationId xmlns:a16="http://schemas.microsoft.com/office/drawing/2014/main" id="{00000000-0008-0000-0500-0000F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5651033-8E87-4228-A9D6-B82BC0CC9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38100</xdr:rowOff>
    </xdr:from>
    <xdr:to>
      <xdr:col>0</xdr:col>
      <xdr:colOff>714375</xdr:colOff>
      <xdr:row>4</xdr:row>
      <xdr:rowOff>152400</xdr:rowOff>
    </xdr:to>
    <xdr:pic>
      <xdr:nvPicPr>
        <xdr:cNvPr id="9725" name="Picture 2">
          <a:extLst>
            <a:ext uri="{FF2B5EF4-FFF2-40B4-BE49-F238E27FC236}">
              <a16:creationId xmlns:a16="http://schemas.microsoft.com/office/drawing/2014/main" id="{00000000-0008-0000-0800-0000F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19050</xdr:rowOff>
    </xdr:from>
    <xdr:to>
      <xdr:col>0</xdr:col>
      <xdr:colOff>1619250</xdr:colOff>
      <xdr:row>5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99ED96-5358-4742-98A1-0780EB249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905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66675</xdr:colOff>
      <xdr:row>5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0AE1FF5-5ED7-46A1-B24C-A772E975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1</xdr:row>
      <xdr:rowOff>0</xdr:rowOff>
    </xdr:from>
    <xdr:to>
      <xdr:col>0</xdr:col>
      <xdr:colOff>850787</xdr:colOff>
      <xdr:row>4</xdr:row>
      <xdr:rowOff>127907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79809-6C33-4AF6-89C3-F7D08354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3" y="163286"/>
          <a:ext cx="673894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0</xdr:colOff>
      <xdr:row>105</xdr:row>
      <xdr:rowOff>109484</xdr:rowOff>
    </xdr:from>
    <xdr:to>
      <xdr:col>55</xdr:col>
      <xdr:colOff>88931</xdr:colOff>
      <xdr:row>109</xdr:row>
      <xdr:rowOff>24183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F2DF5E-300F-DF1C-6A8E-9F19C259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2846" y="17353018"/>
          <a:ext cx="8059275" cy="685896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87</xdr:row>
      <xdr:rowOff>1</xdr:rowOff>
    </xdr:from>
    <xdr:to>
      <xdr:col>14</xdr:col>
      <xdr:colOff>488134</xdr:colOff>
      <xdr:row>90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38FF23-3B03-4A7F-B6BD-F003265B21BA}"/>
            </a:ext>
            <a:ext uri="{147F2762-F138-4A5C-976F-8EAC2B608ADB}">
              <a16:predDERef xmlns:a16="http://schemas.microsoft.com/office/drawing/2014/main" pred="{94F2DF5E-300F-DF1C-6A8E-9F19C259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1" y="16573501"/>
          <a:ext cx="8822508" cy="704850"/>
        </a:xfrm>
        <a:prstGeom prst="rect">
          <a:avLst/>
        </a:prstGeom>
      </xdr:spPr>
    </xdr:pic>
    <xdr:clientData/>
  </xdr:twoCellAnchor>
  <xdr:twoCellAnchor editAs="oneCell">
    <xdr:from>
      <xdr:col>5</xdr:col>
      <xdr:colOff>695325</xdr:colOff>
      <xdr:row>91</xdr:row>
      <xdr:rowOff>51802</xdr:rowOff>
    </xdr:from>
    <xdr:to>
      <xdr:col>14</xdr:col>
      <xdr:colOff>371475</xdr:colOff>
      <xdr:row>110</xdr:row>
      <xdr:rowOff>10141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80B9B03-10B3-4F71-B658-BC9545316E30}"/>
            </a:ext>
            <a:ext uri="{147F2762-F138-4A5C-976F-8EAC2B608ADB}">
              <a16:predDERef xmlns:a16="http://schemas.microsoft.com/office/drawing/2014/main" pred="{4138FF23-3B03-4A7F-B6BD-F003265B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387302"/>
          <a:ext cx="8763000" cy="35778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rajan, Parkavi" refreshedDate="46113.864947337963" createdVersion="8" refreshedVersion="8" minRefreshableVersion="3" recordCount="32" xr:uid="{A78482A0-A2CD-4AFE-93FF-4A374188A87C}">
  <cacheSource type="worksheet">
    <worksheetSource ref="A1:N33" sheet="DATA"/>
  </cacheSource>
  <cacheFields count="14">
    <cacheField name="Tenant" numFmtId="43">
      <sharedItems count="3">
        <s v="Occupational Medicine for Business &amp; Industry"/>
        <s v="Arizona Sports &amp; Spine Physicians"/>
        <s v="Vacant"/>
      </sharedItems>
    </cacheField>
    <cacheField name="Charge" numFmtId="43">
      <sharedItems/>
    </cacheField>
    <cacheField name="Jan" numFmtId="43">
      <sharedItems containsString="0" containsBlank="1" containsNumber="1" minValue="0" maxValue="13269.28"/>
    </cacheField>
    <cacheField name="Feb" numFmtId="43">
      <sharedItems containsString="0" containsBlank="1" containsNumber="1" minValue="0" maxValue="13269.28"/>
    </cacheField>
    <cacheField name="Mar" numFmtId="43">
      <sharedItems containsString="0" containsBlank="1" containsNumber="1" minValue="0" maxValue="13269.28"/>
    </cacheField>
    <cacheField name="Apr" numFmtId="43">
      <sharedItems containsString="0" containsBlank="1" containsNumber="1" minValue="0" maxValue="13667.36"/>
    </cacheField>
    <cacheField name="May" numFmtId="43">
      <sharedItems containsSemiMixedTypes="0" containsString="0" containsNumber="1" minValue="0" maxValue="13667.36"/>
    </cacheField>
    <cacheField name="Jun" numFmtId="43">
      <sharedItems containsSemiMixedTypes="0" containsString="0" containsNumber="1" minValue="0" maxValue="13667.36"/>
    </cacheField>
    <cacheField name="Jul" numFmtId="43">
      <sharedItems containsSemiMixedTypes="0" containsString="0" containsNumber="1" minValue="0" maxValue="13667.36"/>
    </cacheField>
    <cacheField name="Aug" numFmtId="43">
      <sharedItems containsSemiMixedTypes="0" containsString="0" containsNumber="1" minValue="0" maxValue="13667.36"/>
    </cacheField>
    <cacheField name="Sept" numFmtId="43">
      <sharedItems containsSemiMixedTypes="0" containsString="0" containsNumber="1" minValue="0" maxValue="13667.36"/>
    </cacheField>
    <cacheField name="Oct" numFmtId="43">
      <sharedItems containsSemiMixedTypes="0" containsString="0" containsNumber="1" minValue="0" maxValue="13667.36"/>
    </cacheField>
    <cacheField name="Nov" numFmtId="43">
      <sharedItems containsSemiMixedTypes="0" containsString="0" containsNumber="1" minValue="0" maxValue="13667.36"/>
    </cacheField>
    <cacheField name="Dec" numFmtId="43">
      <sharedItems containsSemiMixedTypes="0" containsString="0" containsNumber="1" minValue="0" maxValue="13667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BAS"/>
    <n v="13269.28"/>
    <n v="13269.28"/>
    <n v="13269.28"/>
    <n v="13667.36"/>
    <n v="13667.36"/>
    <n v="13667.36"/>
    <n v="13667.36"/>
    <n v="13667.36"/>
    <n v="13667.36"/>
    <n v="13667.36"/>
    <n v="13667.36"/>
    <n v="13667.36"/>
  </r>
  <r>
    <x v="1"/>
    <s v="BAS"/>
    <n v="4374.8100000000004"/>
    <n v="4374.8100000000004"/>
    <n v="4442.3867741935483"/>
    <n v="4505.74"/>
    <n v="4505.74"/>
    <n v="4505.74"/>
    <n v="4505.74"/>
    <n v="4505.74"/>
    <n v="4505.74"/>
    <n v="4505.74"/>
    <n v="4505.74"/>
    <n v="4505.74"/>
  </r>
  <r>
    <x v="2"/>
    <s v="BAS"/>
    <n v="0"/>
    <n v="0"/>
    <n v="0"/>
    <n v="0"/>
    <n v="1217.46"/>
    <n v="1217.46"/>
    <n v="1217.46"/>
    <n v="1217.46"/>
    <n v="1217.46"/>
    <n v="1217.46"/>
    <n v="1217.46"/>
    <n v="1217.46"/>
  </r>
  <r>
    <x v="2"/>
    <s v="BAS"/>
    <n v="0"/>
    <n v="0"/>
    <n v="0"/>
    <n v="0"/>
    <n v="8333.1"/>
    <n v="8333.1"/>
    <n v="8333.1"/>
    <n v="8333.1"/>
    <n v="8333.1"/>
    <n v="8333.1"/>
    <n v="8333.1"/>
    <n v="8333.1"/>
  </r>
  <r>
    <x v="0"/>
    <s v="CAM"/>
    <n v="611.19377585377606"/>
    <n v="611.19377585377606"/>
    <n v="611.19377585377606"/>
    <n v="611.19377585377606"/>
    <n v="611.19377585377606"/>
    <n v="611.19377585377606"/>
    <n v="611.19377585377606"/>
    <n v="611.19377585377606"/>
    <n v="611.19377585377606"/>
    <n v="611.19377585377606"/>
    <n v="611.19377585377606"/>
    <n v="611.19377585377606"/>
  </r>
  <r>
    <x v="1"/>
    <s v="CAM"/>
    <n v="256.61670594837267"/>
    <n v="256.61670594837267"/>
    <n v="256.61670594837267"/>
    <n v="256.61670594837267"/>
    <n v="256.61670594837267"/>
    <n v="256.61670594837267"/>
    <n v="256.61670594837267"/>
    <n v="256.61670594837267"/>
    <n v="256.61670594837267"/>
    <n v="256.61670594837267"/>
    <n v="256.61670594837267"/>
    <n v="256.61670594837267"/>
  </r>
  <r>
    <x v="2"/>
    <s v="CAM"/>
    <n v="0"/>
    <n v="0"/>
    <n v="0"/>
    <n v="0"/>
    <n v="269.86052960259616"/>
    <n v="269.86052960259616"/>
    <n v="269.86052960259616"/>
    <n v="269.86052960259616"/>
    <n v="269.86052960259616"/>
    <n v="269.86052960259616"/>
    <n v="269.86052960259616"/>
    <n v="269.86052960259616"/>
  </r>
  <r>
    <x v="2"/>
    <s v="CAM"/>
    <n v="0"/>
    <n v="0"/>
    <n v="0"/>
    <n v="0"/>
    <n v="1847.103624949809"/>
    <n v="1847.103624949809"/>
    <n v="1847.103624949809"/>
    <n v="1847.103624949809"/>
    <n v="1847.103624949809"/>
    <n v="1847.103624949809"/>
    <n v="1847.103624949809"/>
    <n v="1847.103624949809"/>
  </r>
  <r>
    <x v="0"/>
    <s v="SLS"/>
    <n v="426.31151327561338"/>
    <n v="426.31151327561338"/>
    <n v="426.31151327561338"/>
    <n v="438.25391327561334"/>
    <n v="438.25391327561334"/>
    <n v="438.25391327561334"/>
    <n v="438.25391327561334"/>
    <n v="438.25391327561334"/>
    <n v="438.25391327561334"/>
    <n v="438.25391327561334"/>
    <n v="438.25391327561334"/>
    <n v="438.25391327561334"/>
  </r>
  <r>
    <x v="1"/>
    <s v="SLS"/>
    <n v="142.5374011784512"/>
    <n v="142.5374011784512"/>
    <n v="144.56470440425764"/>
    <n v="146.4653011784512"/>
    <n v="146.4653011784512"/>
    <n v="146.4653011784512"/>
    <n v="146.4653011784512"/>
    <n v="146.4653011784512"/>
    <n v="146.4653011784512"/>
    <n v="146.4653011784512"/>
    <n v="146.4653011784512"/>
    <n v="146.4653011784512"/>
  </r>
  <r>
    <x v="2"/>
    <s v="SLS"/>
    <m/>
    <m/>
    <m/>
    <m/>
    <n v="57.275645610284023"/>
    <n v="57.275645610284023"/>
    <n v="57.275645610284023"/>
    <n v="57.275645610284023"/>
    <n v="57.275645610284023"/>
    <n v="57.275645610284023"/>
    <n v="57.275645610284023"/>
    <n v="57.275645610284023"/>
  </r>
  <r>
    <x v="2"/>
    <s v="SLS"/>
    <m/>
    <m/>
    <m/>
    <m/>
    <n v="392.03233160437122"/>
    <n v="392.03233160437122"/>
    <n v="392.03233160437122"/>
    <n v="392.03233160437122"/>
    <n v="392.03233160437122"/>
    <n v="392.03233160437122"/>
    <n v="392.03233160437122"/>
    <n v="392.03233160437122"/>
  </r>
  <r>
    <x v="0"/>
    <s v="NCA"/>
    <n v="0"/>
    <n v="0"/>
    <n v="0"/>
    <n v="0"/>
    <n v="0"/>
    <n v="0"/>
    <n v="0"/>
    <n v="0"/>
    <n v="0"/>
    <n v="0"/>
    <n v="0"/>
    <n v="0"/>
  </r>
  <r>
    <x v="1"/>
    <s v="NCA"/>
    <n v="0"/>
    <n v="0"/>
    <n v="0"/>
    <n v="0"/>
    <n v="0"/>
    <n v="0"/>
    <n v="0"/>
    <n v="0"/>
    <n v="0"/>
    <n v="0"/>
    <n v="0"/>
    <n v="0"/>
  </r>
  <r>
    <x v="2"/>
    <s v="NCA"/>
    <n v="0"/>
    <n v="0"/>
    <n v="0"/>
    <n v="0"/>
    <n v="254.46363343701398"/>
    <n v="254.46363343701398"/>
    <n v="254.46363343701398"/>
    <n v="254.46363343701398"/>
    <n v="254.46363343701398"/>
    <n v="254.46363343701398"/>
    <n v="254.46363343701398"/>
    <n v="254.46363343701398"/>
  </r>
  <r>
    <x v="2"/>
    <s v="NCA"/>
    <n v="0"/>
    <n v="0"/>
    <n v="0"/>
    <n v="0"/>
    <n v="1741.7171026514063"/>
    <n v="1741.7171026514063"/>
    <n v="1741.7171026514063"/>
    <n v="1741.7171026514063"/>
    <n v="1741.7171026514063"/>
    <n v="1741.7171026514063"/>
    <n v="1741.7171026514063"/>
    <n v="1741.7171026514063"/>
  </r>
  <r>
    <x v="0"/>
    <s v="ADM"/>
    <n v="0"/>
    <n v="0"/>
    <n v="0"/>
    <n v="0"/>
    <n v="0"/>
    <n v="0"/>
    <n v="0"/>
    <n v="0"/>
    <n v="0"/>
    <n v="0"/>
    <n v="0"/>
    <n v="0"/>
  </r>
  <r>
    <x v="1"/>
    <s v="ADM"/>
    <n v="0"/>
    <n v="0"/>
    <n v="0"/>
    <n v="0"/>
    <n v="0"/>
    <n v="0"/>
    <n v="0"/>
    <n v="0"/>
    <n v="0"/>
    <n v="0"/>
    <n v="0"/>
    <n v="0"/>
  </r>
  <r>
    <x v="2"/>
    <s v="ADM"/>
    <n v="0"/>
    <n v="0"/>
    <n v="0"/>
    <n v="0"/>
    <n v="0"/>
    <n v="0"/>
    <n v="0"/>
    <n v="0"/>
    <n v="0"/>
    <n v="0"/>
    <n v="0"/>
    <n v="0"/>
  </r>
  <r>
    <x v="2"/>
    <s v="ADM"/>
    <n v="0"/>
    <n v="0"/>
    <n v="0"/>
    <n v="0"/>
    <n v="0"/>
    <n v="0"/>
    <n v="0"/>
    <n v="0"/>
    <n v="0"/>
    <n v="0"/>
    <n v="0"/>
    <n v="0"/>
  </r>
  <r>
    <x v="0"/>
    <s v="RET"/>
    <n v="0"/>
    <n v="0"/>
    <n v="0"/>
    <n v="0"/>
    <n v="0"/>
    <n v="0"/>
    <n v="0"/>
    <n v="0"/>
    <n v="0"/>
    <n v="0"/>
    <n v="0"/>
    <n v="0"/>
  </r>
  <r>
    <x v="1"/>
    <s v="RET"/>
    <n v="0"/>
    <n v="0"/>
    <n v="0"/>
    <n v="0"/>
    <n v="0"/>
    <n v="0"/>
    <n v="0"/>
    <n v="0"/>
    <n v="0"/>
    <n v="0"/>
    <n v="0"/>
    <n v="0"/>
  </r>
  <r>
    <x v="2"/>
    <s v="RET"/>
    <n v="0"/>
    <n v="0"/>
    <n v="0"/>
    <n v="0"/>
    <n v="144.2017752926086"/>
    <n v="144.2017752926086"/>
    <n v="144.2017752926086"/>
    <n v="144.2017752926086"/>
    <n v="144.2017752926086"/>
    <n v="144.2017752926086"/>
    <n v="144.2017752926086"/>
    <n v="144.2017752926086"/>
  </r>
  <r>
    <x v="2"/>
    <s v="RET"/>
    <n v="0"/>
    <n v="0"/>
    <n v="0"/>
    <n v="0"/>
    <n v="987.01215127465127"/>
    <n v="987.01215127465127"/>
    <n v="987.01215127465127"/>
    <n v="987.01215127465127"/>
    <n v="987.01215127465127"/>
    <n v="987.01215127465127"/>
    <n v="987.01215127465127"/>
    <n v="987.01215127465127"/>
  </r>
  <r>
    <x v="0"/>
    <s v="INS"/>
    <n v="0"/>
    <n v="0"/>
    <n v="0"/>
    <n v="0"/>
    <n v="0"/>
    <n v="0"/>
    <n v="0"/>
    <n v="0"/>
    <n v="0"/>
    <n v="0"/>
    <n v="0"/>
    <n v="0"/>
  </r>
  <r>
    <x v="1"/>
    <s v="INS"/>
    <n v="0"/>
    <n v="0"/>
    <n v="0"/>
    <n v="0"/>
    <n v="0"/>
    <n v="0"/>
    <n v="0"/>
    <n v="0"/>
    <n v="0"/>
    <n v="0"/>
    <n v="0"/>
    <n v="0"/>
  </r>
  <r>
    <x v="2"/>
    <s v="INS"/>
    <n v="0"/>
    <n v="0"/>
    <n v="0"/>
    <n v="0"/>
    <n v="23.202248677248679"/>
    <n v="23.202248677248679"/>
    <n v="23.202248677248679"/>
    <n v="23.202248677248679"/>
    <n v="23.202248677248679"/>
    <n v="23.202248677248679"/>
    <n v="23.202248677248679"/>
    <n v="23.202248677248679"/>
  </r>
  <r>
    <x v="2"/>
    <s v="INS"/>
    <n v="0"/>
    <n v="0"/>
    <n v="0"/>
    <n v="0"/>
    <n v="158.81150793650798"/>
    <n v="158.81150793650798"/>
    <n v="158.81150793650798"/>
    <n v="158.81150793650798"/>
    <n v="158.81150793650798"/>
    <n v="158.81150793650798"/>
    <n v="158.81150793650798"/>
    <n v="158.81150793650798"/>
  </r>
  <r>
    <x v="0"/>
    <s v="SGN"/>
    <n v="329.91"/>
    <n v="329.91"/>
    <n v="329.91"/>
    <n v="329.91"/>
    <n v="329.91"/>
    <n v="329.91"/>
    <n v="329.91"/>
    <n v="329.91"/>
    <n v="329.91"/>
    <n v="329.91"/>
    <n v="329.91"/>
    <n v="329.91"/>
  </r>
  <r>
    <x v="1"/>
    <s v="SGN"/>
    <n v="119.82"/>
    <n v="119.82"/>
    <n v="119.82"/>
    <n v="119.82"/>
    <n v="119.82"/>
    <n v="119.82"/>
    <n v="119.82"/>
    <n v="119.82"/>
    <n v="119.82"/>
    <n v="119.82"/>
    <n v="119.82"/>
    <n v="119.82"/>
  </r>
  <r>
    <x v="2"/>
    <s v="SGN"/>
    <n v="0"/>
    <n v="0"/>
    <n v="0"/>
    <n v="0"/>
    <n v="0"/>
    <n v="0"/>
    <n v="0"/>
    <n v="0"/>
    <n v="0"/>
    <n v="0"/>
    <n v="0"/>
    <n v="0"/>
  </r>
  <r>
    <x v="2"/>
    <s v="SGN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113EF-85BF-40CE-B43C-6978270D2981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7" firstHeaderRow="0" firstDataRow="1" firstDataCol="1"/>
  <pivotFields count="14"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" fld="2" baseField="0" baseItem="0"/>
    <dataField name="Sum of Feb" fld="3" baseField="0" baseItem="0"/>
    <dataField name="Sum of Mar" fld="4" baseField="0" baseItem="0"/>
    <dataField name="Sum of Apr" fld="5" baseField="0" baseItem="0"/>
    <dataField name="Sum of May" fld="6" baseField="0" baseItem="0" numFmtId="43"/>
    <dataField name="Sum of Jun" fld="7" baseField="0" baseItem="0" numFmtId="43"/>
    <dataField name="Sum of Jul" fld="8" baseField="0" baseItem="0" numFmtId="43"/>
    <dataField name="Sum of Aug" fld="9" baseField="0" baseItem="0" numFmtId="43"/>
    <dataField name="Sum of Sept" fld="10" baseField="0" baseItem="0" numFmtId="43"/>
    <dataField name="Sum of Oct" fld="11" baseField="0" baseItem="0" numFmtId="43"/>
    <dataField name="Sum of Nov" fld="12" baseField="0" baseItem="0" numFmtId="43"/>
    <dataField name="Sum of Dec" fld="1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333E2-C25F-4CD2-99D9-4F191210161A}" name="Table1" displayName="Table1" ref="A3:N11" totalsRowShown="0">
  <autoFilter ref="A3:N11" xr:uid="{966333E2-C25F-4CD2-99D9-4F191210161A}"/>
  <tableColumns count="14">
    <tableColumn id="1" xr3:uid="{1FA14EAC-DA09-4AEE-8EB7-FFA2C92D5557}" name="Tenant"/>
    <tableColumn id="2" xr3:uid="{789FCF08-8FFC-4327-AA42-16DBE76ECAC9}" name="Charge"/>
    <tableColumn id="3" xr3:uid="{E62DE60C-16A9-4DA9-967B-C0D452659ADC}" name="Jan" dataCellStyle="Comma"/>
    <tableColumn id="4" xr3:uid="{7625E831-C187-4817-B832-96202EB693AA}" name="Feb" dataCellStyle="Comma"/>
    <tableColumn id="5" xr3:uid="{E63D8246-EE5B-4987-8FAF-DBA8E09C07A0}" name="Mar" dataCellStyle="Comma"/>
    <tableColumn id="6" xr3:uid="{8BC7702A-32D4-4341-87F0-CE55AAEDF11A}" name="Apr" dataCellStyle="Comma"/>
    <tableColumn id="7" xr3:uid="{1E2194A8-8BE2-4501-8ADF-22A1E4691FDE}" name="May" dataCellStyle="Comma"/>
    <tableColumn id="8" xr3:uid="{A602C14F-1A0D-462E-8900-A28CB7ECF465}" name="Jun" dataCellStyle="Comma"/>
    <tableColumn id="9" xr3:uid="{0F2D186C-BBE6-4042-894D-7F4800FC0A04}" name="Jul" dataCellStyle="Comma"/>
    <tableColumn id="10" xr3:uid="{4851F997-042C-4F37-97C0-FC57FCC4D8A2}" name="Aug" dataCellStyle="Comma"/>
    <tableColumn id="11" xr3:uid="{8080F67B-C175-4DF2-9B20-CAEF1C686393}" name="Sept" dataCellStyle="Comma"/>
    <tableColumn id="12" xr3:uid="{55196329-BDF1-4960-B108-FDEB7D81B11F}" name="Oct" dataCellStyle="Comma"/>
    <tableColumn id="13" xr3:uid="{A6138A84-106F-48B6-BA61-7C33692DD398}" name="Nov" dataCellStyle="Comma"/>
    <tableColumn id="14" xr3:uid="{2AEF543C-5FFD-4713-AA2D-1948262472F1}" name="Dec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2DDA-5BE7-4762-B91B-AD24B7A520EF}">
  <sheetPr>
    <pageSetUpPr fitToPage="1"/>
  </sheetPr>
  <dimension ref="B2:C25"/>
  <sheetViews>
    <sheetView workbookViewId="0">
      <selection activeCell="B3" sqref="B3"/>
    </sheetView>
  </sheetViews>
  <sheetFormatPr defaultColWidth="9.33203125" defaultRowHeight="14.4"/>
  <cols>
    <col min="1" max="1" width="9.33203125" style="7"/>
    <col min="2" max="2" width="16.33203125" style="7" customWidth="1"/>
    <col min="3" max="3" width="74.44140625" style="7" customWidth="1"/>
    <col min="4" max="16384" width="9.33203125" style="7"/>
  </cols>
  <sheetData>
    <row r="2" spans="2:3" ht="18.600000000000001" thickBot="1">
      <c r="B2" s="472" t="s">
        <v>0</v>
      </c>
      <c r="C2" s="472"/>
    </row>
    <row r="3" spans="2:3">
      <c r="B3" s="10" t="s">
        <v>1</v>
      </c>
      <c r="C3" s="11"/>
    </row>
    <row r="4" spans="2:3" ht="15" thickBot="1">
      <c r="B4" s="12"/>
      <c r="C4" s="13"/>
    </row>
    <row r="5" spans="2:3" ht="47.25" customHeight="1" thickBot="1">
      <c r="B5" s="8" t="s">
        <v>2</v>
      </c>
      <c r="C5" s="42"/>
    </row>
    <row r="6" spans="2:3" ht="45" customHeight="1" thickBot="1">
      <c r="B6" s="8" t="s">
        <v>3</v>
      </c>
      <c r="C6" s="9"/>
    </row>
    <row r="7" spans="2:3">
      <c r="B7" s="10" t="s">
        <v>4</v>
      </c>
      <c r="C7" s="11"/>
    </row>
    <row r="8" spans="2:3">
      <c r="B8" s="14"/>
      <c r="C8" s="15"/>
    </row>
    <row r="9" spans="2:3">
      <c r="B9" s="14"/>
      <c r="C9" s="15"/>
    </row>
    <row r="10" spans="2:3">
      <c r="B10" s="14"/>
      <c r="C10" s="15"/>
    </row>
    <row r="11" spans="2:3">
      <c r="B11" s="14"/>
      <c r="C11" s="15"/>
    </row>
    <row r="12" spans="2:3">
      <c r="B12" s="14"/>
      <c r="C12" s="15"/>
    </row>
    <row r="13" spans="2:3" ht="15" thickBot="1">
      <c r="B13" s="12"/>
      <c r="C13" s="13"/>
    </row>
    <row r="14" spans="2:3" ht="25.5" customHeight="1" thickBot="1">
      <c r="B14" s="8" t="s">
        <v>5</v>
      </c>
      <c r="C14" s="17"/>
    </row>
    <row r="15" spans="2:3">
      <c r="B15" s="10" t="s">
        <v>6</v>
      </c>
      <c r="C15" s="11"/>
    </row>
    <row r="16" spans="2:3">
      <c r="B16" s="14"/>
      <c r="C16" s="15"/>
    </row>
    <row r="17" spans="2:3">
      <c r="B17" s="14"/>
      <c r="C17" s="15"/>
    </row>
    <row r="18" spans="2:3">
      <c r="B18" s="14"/>
      <c r="C18" s="15"/>
    </row>
    <row r="19" spans="2:3" ht="15" thickBot="1">
      <c r="B19" s="14"/>
      <c r="C19" s="15"/>
    </row>
    <row r="20" spans="2:3" ht="40.5" customHeight="1">
      <c r="B20" s="10" t="s">
        <v>7</v>
      </c>
      <c r="C20" s="16" t="s">
        <v>8</v>
      </c>
    </row>
    <row r="21" spans="2:3" ht="20.25" customHeight="1">
      <c r="B21" s="14"/>
      <c r="C21" s="15"/>
    </row>
    <row r="22" spans="2:3">
      <c r="B22" s="14"/>
      <c r="C22" s="15"/>
    </row>
    <row r="23" spans="2:3">
      <c r="B23" s="14"/>
      <c r="C23" s="15"/>
    </row>
    <row r="24" spans="2:3">
      <c r="B24" s="14"/>
      <c r="C24" s="15"/>
    </row>
    <row r="25" spans="2:3" ht="15" thickBot="1">
      <c r="B25" s="12"/>
      <c r="C25" s="13"/>
    </row>
  </sheetData>
  <mergeCells count="1">
    <mergeCell ref="B2:C2"/>
  </mergeCells>
  <pageMargins left="0.7" right="0.7" top="0.75" bottom="0.75" header="0.3" footer="0.3"/>
  <pageSetup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D115-B725-4D97-BC75-969954C2A97D}">
  <dimension ref="A1:AR31"/>
  <sheetViews>
    <sheetView tabSelected="1" zoomScale="70" zoomScaleNormal="70" workbookViewId="0">
      <pane xSplit="1" ySplit="2" topLeftCell="AE3" activePane="bottomRight" state="frozen"/>
      <selection pane="topRight" activeCell="B1" sqref="B1"/>
      <selection pane="bottomLeft" activeCell="A3" sqref="A3"/>
      <selection pane="bottomRight" activeCell="AO11" sqref="AO11"/>
    </sheetView>
  </sheetViews>
  <sheetFormatPr defaultRowHeight="13.2"/>
  <cols>
    <col min="1" max="1" width="40.33203125" bestFit="1" customWidth="1"/>
    <col min="2" max="3" width="10.33203125" hidden="1" customWidth="1"/>
    <col min="4" max="4" width="16.33203125" hidden="1" customWidth="1"/>
    <col min="5" max="5" width="24.5546875" hidden="1" customWidth="1"/>
    <col min="6" max="6" width="27.44140625" hidden="1" customWidth="1"/>
    <col min="7" max="8" width="10.33203125" hidden="1" customWidth="1"/>
    <col min="9" max="9" width="9.109375" hidden="1" customWidth="1"/>
    <col min="10" max="10" width="26.6640625" hidden="1" customWidth="1"/>
    <col min="11" max="11" width="27.44140625" hidden="1" customWidth="1"/>
    <col min="12" max="13" width="10.44140625" hidden="1" customWidth="1"/>
    <col min="14" max="14" width="17" hidden="1" customWidth="1"/>
    <col min="15" max="15" width="34.6640625" hidden="1" customWidth="1"/>
    <col min="16" max="16" width="16.77734375" hidden="1" customWidth="1"/>
    <col min="17" max="18" width="10.21875" hidden="1" customWidth="1"/>
    <col min="19" max="19" width="9.88671875" hidden="1" customWidth="1"/>
    <col min="20" max="20" width="36.5546875" hidden="1" customWidth="1"/>
    <col min="21" max="24" width="16.77734375" hidden="1" customWidth="1"/>
    <col min="25" max="25" width="46.88671875" hidden="1" customWidth="1"/>
    <col min="26" max="26" width="9.88671875" hidden="1" customWidth="1"/>
    <col min="27" max="27" width="10.21875" hidden="1" customWidth="1"/>
    <col min="28" max="28" width="9.88671875" hidden="1" customWidth="1"/>
    <col min="29" max="29" width="11.109375" hidden="1" customWidth="1"/>
    <col min="30" max="30" width="45.77734375" hidden="1" customWidth="1"/>
    <col min="31" max="31" width="9.88671875" hidden="1" customWidth="1"/>
    <col min="33" max="33" width="15.33203125" customWidth="1"/>
    <col min="34" max="34" width="14" customWidth="1"/>
    <col min="35" max="35" width="13.77734375" customWidth="1"/>
    <col min="36" max="36" width="51.21875" bestFit="1" customWidth="1"/>
    <col min="37" max="37" width="10" bestFit="1" customWidth="1"/>
    <col min="38" max="39" width="12.21875" bestFit="1" customWidth="1"/>
    <col min="40" max="40" width="11.6640625" bestFit="1" customWidth="1"/>
    <col min="41" max="41" width="67.5546875" bestFit="1" customWidth="1"/>
    <col min="42" max="42" width="11.109375" bestFit="1" customWidth="1"/>
    <col min="44" max="44" width="11.109375" bestFit="1" customWidth="1"/>
  </cols>
  <sheetData>
    <row r="1" spans="1:44">
      <c r="A1" s="471" t="s">
        <v>9</v>
      </c>
      <c r="B1" s="183">
        <v>46023</v>
      </c>
      <c r="C1" s="183"/>
      <c r="D1" s="184"/>
      <c r="E1" s="185"/>
      <c r="F1" s="186"/>
      <c r="G1" s="183">
        <v>46054</v>
      </c>
      <c r="H1" s="183"/>
      <c r="I1" s="185"/>
      <c r="J1" s="185"/>
      <c r="K1" s="186"/>
      <c r="L1" s="470">
        <v>46082</v>
      </c>
      <c r="M1" s="470"/>
      <c r="N1" s="470"/>
      <c r="O1" s="185"/>
      <c r="P1" s="185"/>
      <c r="Q1" s="470">
        <v>46113</v>
      </c>
      <c r="R1" s="470"/>
      <c r="S1" s="470"/>
      <c r="T1" s="451"/>
      <c r="U1" s="451"/>
      <c r="V1" s="470">
        <v>46143</v>
      </c>
      <c r="W1" s="470"/>
      <c r="X1" s="470"/>
      <c r="Y1" s="451"/>
      <c r="Z1" s="470">
        <v>46199</v>
      </c>
      <c r="AA1" s="470"/>
      <c r="AB1" s="470"/>
      <c r="AC1" s="470"/>
      <c r="AD1" s="451"/>
      <c r="AE1" s="451"/>
      <c r="AF1" s="470">
        <v>46229</v>
      </c>
      <c r="AG1" s="470"/>
      <c r="AH1" s="470"/>
      <c r="AI1" s="470"/>
      <c r="AJ1" s="451"/>
      <c r="AK1" s="451"/>
      <c r="AL1" s="187"/>
      <c r="AM1" s="187" t="s">
        <v>10</v>
      </c>
      <c r="AN1" s="187"/>
      <c r="AO1" s="187"/>
    </row>
    <row r="2" spans="1:44">
      <c r="A2" s="471"/>
      <c r="B2" s="188" t="s">
        <v>11</v>
      </c>
      <c r="C2" s="189" t="s">
        <v>12</v>
      </c>
      <c r="D2" s="189" t="s">
        <v>13</v>
      </c>
      <c r="E2" s="189" t="s">
        <v>14</v>
      </c>
      <c r="F2" s="188"/>
      <c r="G2" s="188" t="s">
        <v>11</v>
      </c>
      <c r="H2" s="189" t="s">
        <v>12</v>
      </c>
      <c r="I2" s="189" t="s">
        <v>13</v>
      </c>
      <c r="J2" s="188" t="s">
        <v>14</v>
      </c>
      <c r="K2" s="188"/>
      <c r="L2" s="188" t="s">
        <v>11</v>
      </c>
      <c r="M2" s="189" t="s">
        <v>12</v>
      </c>
      <c r="N2" s="189" t="s">
        <v>13</v>
      </c>
      <c r="O2" s="188" t="s">
        <v>14</v>
      </c>
      <c r="P2" s="188"/>
      <c r="Q2" s="188" t="s">
        <v>11</v>
      </c>
      <c r="R2" s="189" t="s">
        <v>12</v>
      </c>
      <c r="S2" s="189" t="s">
        <v>13</v>
      </c>
      <c r="T2" s="189" t="s">
        <v>14</v>
      </c>
      <c r="U2" s="189"/>
      <c r="V2" s="188" t="s">
        <v>11</v>
      </c>
      <c r="W2" s="189" t="s">
        <v>12</v>
      </c>
      <c r="X2" s="189" t="s">
        <v>13</v>
      </c>
      <c r="Y2" s="189" t="s">
        <v>14</v>
      </c>
      <c r="Z2" s="189"/>
      <c r="AA2" s="188" t="s">
        <v>11</v>
      </c>
      <c r="AB2" s="189" t="s">
        <v>12</v>
      </c>
      <c r="AC2" s="189" t="s">
        <v>13</v>
      </c>
      <c r="AD2" s="189" t="s">
        <v>14</v>
      </c>
      <c r="AE2" s="189"/>
      <c r="AF2" s="189"/>
      <c r="AG2" s="188" t="s">
        <v>11</v>
      </c>
      <c r="AH2" s="189" t="s">
        <v>12</v>
      </c>
      <c r="AI2" s="189" t="s">
        <v>13</v>
      </c>
      <c r="AJ2" s="189" t="s">
        <v>14</v>
      </c>
      <c r="AK2" s="189"/>
      <c r="AL2" s="190" t="s">
        <v>11</v>
      </c>
      <c r="AM2" s="190" t="s">
        <v>12</v>
      </c>
      <c r="AN2" s="190" t="s">
        <v>13</v>
      </c>
      <c r="AO2" s="190" t="s">
        <v>14</v>
      </c>
    </row>
    <row r="3" spans="1:44" ht="60.6" customHeight="1">
      <c r="A3" s="7" t="s">
        <v>15</v>
      </c>
      <c r="B3" s="167">
        <f>VLOOKUP(A3,'Final Data'!$A$2:$M$5,2,)</f>
        <v>14636.695289129391</v>
      </c>
      <c r="C3" s="167">
        <f>16099.35</f>
        <v>16099.35</v>
      </c>
      <c r="D3" s="167">
        <f>C3-B3</f>
        <v>1462.6547108706091</v>
      </c>
      <c r="E3" s="170" t="s">
        <v>16</v>
      </c>
      <c r="F3" s="170"/>
      <c r="G3" s="167">
        <f>VLOOKUP(A3,'Final Data'!$A$2:$M$5,3,)</f>
        <v>14636.695289129391</v>
      </c>
      <c r="H3" s="3">
        <v>14058.13</v>
      </c>
      <c r="I3" s="167">
        <f>H3-G3</f>
        <v>-578.56528912939211</v>
      </c>
      <c r="J3" s="175" t="s">
        <v>17</v>
      </c>
      <c r="K3" s="170"/>
      <c r="L3" s="170">
        <f>VLOOKUP(A3,'Final Data'!$A$2:$M$5,4,)</f>
        <v>14636.695289129391</v>
      </c>
      <c r="M3" s="170">
        <v>14636.69</v>
      </c>
      <c r="N3" s="167">
        <f>M3-L3</f>
        <v>-5.2891293908032821E-3</v>
      </c>
      <c r="O3" s="170"/>
      <c r="P3" s="170"/>
      <c r="Q3" s="180">
        <v>15046.717689129389</v>
      </c>
      <c r="R3" s="180">
        <v>14058.13</v>
      </c>
      <c r="S3" s="180">
        <f>R3-Q3</f>
        <v>-988.58768912939013</v>
      </c>
      <c r="T3" s="180" t="s">
        <v>364</v>
      </c>
      <c r="U3" s="180"/>
      <c r="V3" s="180">
        <f>VLOOKUP(A3,'Final Data'!$A$1:$M$5,6,0)</f>
        <v>15046.717689129389</v>
      </c>
      <c r="W3" s="180">
        <v>14456.21</v>
      </c>
      <c r="X3" s="180">
        <f>W3-V3</f>
        <v>-590.5076891293902</v>
      </c>
      <c r="Y3" s="459" t="s">
        <v>368</v>
      </c>
      <c r="Z3" s="170"/>
      <c r="AA3" s="461">
        <f>VLOOKUP(A3,'Final Data'!$A$1:$G$5,7,0)</f>
        <v>15046.717689129389</v>
      </c>
      <c r="AB3" s="170">
        <v>0</v>
      </c>
      <c r="AC3" s="170">
        <f>AB3-AA3</f>
        <v>-15046.717689129389</v>
      </c>
      <c r="AD3" s="462" t="s">
        <v>371</v>
      </c>
      <c r="AE3" s="170"/>
      <c r="AG3" s="167">
        <f>VLOOKUP(A3,'Final Data'!$A$1:$H$5,8,0)</f>
        <v>15046.717689129389</v>
      </c>
      <c r="AH3" s="3">
        <v>37147.74</v>
      </c>
      <c r="AI3" s="171">
        <f>AH3-AG3</f>
        <v>22101.022310870609</v>
      </c>
      <c r="AJ3" s="468" t="s">
        <v>373</v>
      </c>
      <c r="AL3" s="167">
        <f t="shared" ref="AL3:AM6" si="0">B3+G3+L3+Q3+V3+AA3+AG3</f>
        <v>104096.95662390575</v>
      </c>
      <c r="AM3" s="167">
        <f t="shared" si="0"/>
        <v>110456.25</v>
      </c>
      <c r="AN3" s="167">
        <f t="shared" ref="AN3:AN7" si="1">AM3-AL3</f>
        <v>6359.2933760942542</v>
      </c>
      <c r="AO3" s="170" t="s">
        <v>374</v>
      </c>
    </row>
    <row r="4" spans="1:44" ht="79.2">
      <c r="A4" s="7" t="s">
        <v>18</v>
      </c>
      <c r="B4" s="452">
        <f>VLOOKUP(A4,'Final Data'!$A$2:$M$5,2,)</f>
        <v>4893.784107126824</v>
      </c>
      <c r="C4" s="452">
        <v>0</v>
      </c>
      <c r="D4" s="452">
        <f>C4-B4</f>
        <v>-4893.784107126824</v>
      </c>
      <c r="E4" s="452" t="s">
        <v>19</v>
      </c>
      <c r="F4" s="452"/>
      <c r="G4" s="452">
        <f>VLOOKUP(A4,'Final Data'!$A$2:$M$5,3,)</f>
        <v>4893.784107126824</v>
      </c>
      <c r="H4" s="3">
        <v>5000</v>
      </c>
      <c r="I4" s="452">
        <f>H4-G4</f>
        <v>106.21589287317602</v>
      </c>
      <c r="J4" s="453" t="s">
        <v>20</v>
      </c>
      <c r="K4" s="452"/>
      <c r="L4" s="454">
        <f>VLOOKUP(A4,'Final Data'!$A$2:$M$5,4,)</f>
        <v>4963.3881845461783</v>
      </c>
      <c r="M4" s="455">
        <v>6000</v>
      </c>
      <c r="N4" s="455">
        <f>M4-L4</f>
        <v>1036.6118154538217</v>
      </c>
      <c r="O4" s="456" t="s">
        <v>21</v>
      </c>
      <c r="P4" s="456"/>
      <c r="Q4" s="454">
        <v>5028.642007126823</v>
      </c>
      <c r="R4" s="454">
        <f>6000</f>
        <v>6000</v>
      </c>
      <c r="S4" s="454">
        <f>R4-Q4</f>
        <v>971.35799287317695</v>
      </c>
      <c r="T4" s="457" t="s">
        <v>367</v>
      </c>
      <c r="U4" s="457"/>
      <c r="V4" s="180">
        <f>VLOOKUP(A4,'Final Data'!$A$1:$M$5,6,0)</f>
        <v>5028.642007126823</v>
      </c>
      <c r="W4" s="454">
        <v>0</v>
      </c>
      <c r="X4" s="454">
        <f>W4-V4</f>
        <v>-5028.642007126823</v>
      </c>
      <c r="Y4" s="460" t="s">
        <v>369</v>
      </c>
      <c r="Z4" s="458"/>
      <c r="AA4" s="461">
        <f>VLOOKUP(A4,'Final Data'!$A$1:$G$5,7,0)</f>
        <v>5028.642007126823</v>
      </c>
      <c r="AB4" s="458">
        <v>2000</v>
      </c>
      <c r="AC4" s="170">
        <f>AB4-AA4</f>
        <v>-3028.642007126823</v>
      </c>
      <c r="AD4" s="460" t="s">
        <v>372</v>
      </c>
      <c r="AE4" s="458"/>
      <c r="AG4" s="167">
        <f>VLOOKUP(A4,'Final Data'!$A$1:$H$5,8,0)</f>
        <v>5028.642007126823</v>
      </c>
      <c r="AH4" s="3">
        <v>8000</v>
      </c>
      <c r="AI4" s="171">
        <f t="shared" ref="AI4:AI6" si="2">AH4-AG4</f>
        <v>2971.357992873177</v>
      </c>
      <c r="AJ4" s="468" t="s">
        <v>378</v>
      </c>
      <c r="AK4" s="167"/>
      <c r="AL4" s="167">
        <f t="shared" si="0"/>
        <v>34865.524427307115</v>
      </c>
      <c r="AM4" s="167">
        <f t="shared" si="0"/>
        <v>27000</v>
      </c>
      <c r="AN4" s="452">
        <f>AM4-AL4</f>
        <v>-7865.5244273071148</v>
      </c>
      <c r="AO4" s="457" t="s">
        <v>379</v>
      </c>
      <c r="AP4" s="167"/>
      <c r="AQ4" s="171"/>
      <c r="AR4" s="171"/>
    </row>
    <row r="5" spans="1:44" ht="26.4">
      <c r="A5" s="7" t="s">
        <v>365</v>
      </c>
      <c r="B5" s="167"/>
      <c r="C5" s="167"/>
      <c r="D5" s="167"/>
      <c r="E5" s="167"/>
      <c r="F5" s="167"/>
      <c r="G5" s="167"/>
      <c r="H5" s="3"/>
      <c r="I5" s="167"/>
      <c r="J5" s="176"/>
      <c r="K5" s="167"/>
      <c r="L5" s="180"/>
      <c r="M5" s="181"/>
      <c r="N5" s="181"/>
      <c r="O5" s="177"/>
      <c r="P5" s="177"/>
      <c r="Q5" s="180">
        <v>0</v>
      </c>
      <c r="R5" s="180">
        <v>2223.52</v>
      </c>
      <c r="S5" s="180">
        <f>R5-Q5</f>
        <v>2223.52</v>
      </c>
      <c r="T5" s="175" t="s">
        <v>366</v>
      </c>
      <c r="U5" s="175"/>
      <c r="V5" s="180">
        <f>IFERROR(VLOOKUP(A5,'Final Data'!$A$1:$M$5,6,0),0)</f>
        <v>0</v>
      </c>
      <c r="W5" s="180">
        <v>0</v>
      </c>
      <c r="X5" s="180">
        <f>W5-V5</f>
        <v>0</v>
      </c>
      <c r="Y5" s="175"/>
      <c r="Z5" s="175"/>
      <c r="AA5" s="461">
        <v>0</v>
      </c>
      <c r="AB5" s="175">
        <v>0</v>
      </c>
      <c r="AC5" s="170">
        <f>AB5-AA5</f>
        <v>0</v>
      </c>
      <c r="AD5" s="463"/>
      <c r="AE5" s="175"/>
      <c r="AG5" s="167">
        <v>0</v>
      </c>
      <c r="AH5" s="3">
        <v>3043.08</v>
      </c>
      <c r="AI5" s="171">
        <f t="shared" si="2"/>
        <v>3043.08</v>
      </c>
      <c r="AJ5" t="s">
        <v>375</v>
      </c>
      <c r="AL5" s="167">
        <f t="shared" si="0"/>
        <v>0</v>
      </c>
      <c r="AM5" s="167">
        <f t="shared" si="0"/>
        <v>5266.6</v>
      </c>
      <c r="AN5" s="167">
        <f t="shared" si="1"/>
        <v>5266.6</v>
      </c>
      <c r="AO5" s="182" t="s">
        <v>376</v>
      </c>
    </row>
    <row r="6" spans="1:44" ht="14.4">
      <c r="A6" s="7" t="s">
        <v>22</v>
      </c>
      <c r="B6" s="167">
        <f>VLOOKUP(A6,'Final Data'!$A$2:$M$5,2,)</f>
        <v>0</v>
      </c>
      <c r="C6" s="167">
        <v>0</v>
      </c>
      <c r="D6" s="167">
        <f>C6-B6</f>
        <v>0</v>
      </c>
      <c r="E6" s="167"/>
      <c r="F6" s="167"/>
      <c r="G6" s="167">
        <f>VLOOKUP(A6,'Final Data'!$A$2:$M$5,3,)</f>
        <v>0</v>
      </c>
      <c r="H6" s="167"/>
      <c r="I6" s="167"/>
      <c r="J6" s="167"/>
      <c r="K6" s="167"/>
      <c r="L6" s="170">
        <f>VLOOKUP(A6,'Final Data'!$A$2:$M$5,4,)</f>
        <v>0</v>
      </c>
      <c r="M6" s="175"/>
      <c r="N6" s="175"/>
      <c r="O6" s="175"/>
      <c r="P6" s="175"/>
      <c r="Q6" s="175"/>
      <c r="R6" s="175"/>
      <c r="S6" s="175"/>
      <c r="T6" s="175"/>
      <c r="U6" s="175"/>
      <c r="V6" s="180">
        <f>VLOOKUP(A6,'Final Data'!$A$1:$M$5,6,0)</f>
        <v>15426.240551036499</v>
      </c>
      <c r="W6" s="175">
        <v>0</v>
      </c>
      <c r="X6" s="180">
        <f>W6-V6</f>
        <v>-15426.240551036499</v>
      </c>
      <c r="Y6" s="175" t="s">
        <v>370</v>
      </c>
      <c r="Z6" s="175"/>
      <c r="AA6" s="461">
        <f>VLOOKUP(A6,'Final Data'!$A$1:$G$5,7,0)</f>
        <v>15426.240551036499</v>
      </c>
      <c r="AB6" s="175">
        <v>0</v>
      </c>
      <c r="AC6" s="170">
        <f>AB6-AA6</f>
        <v>-15426.240551036499</v>
      </c>
      <c r="AD6" s="463" t="s">
        <v>370</v>
      </c>
      <c r="AE6" s="175"/>
      <c r="AG6" s="167">
        <f>VLOOKUP(A6,'Final Data'!$A$1:$H$5,8,0)</f>
        <v>15426.240551036499</v>
      </c>
      <c r="AH6" s="3">
        <v>0</v>
      </c>
      <c r="AI6" s="171">
        <f t="shared" si="2"/>
        <v>-15426.240551036499</v>
      </c>
      <c r="AJ6" t="s">
        <v>370</v>
      </c>
      <c r="AL6" s="167">
        <f t="shared" si="0"/>
        <v>46278.721653109496</v>
      </c>
      <c r="AM6" s="167">
        <f t="shared" si="0"/>
        <v>0</v>
      </c>
      <c r="AN6" s="167">
        <f t="shared" si="1"/>
        <v>-46278.721653109496</v>
      </c>
      <c r="AO6" t="s">
        <v>377</v>
      </c>
    </row>
    <row r="7" spans="1:44" ht="14.4" hidden="1">
      <c r="A7" s="7" t="s">
        <v>22</v>
      </c>
      <c r="B7" s="167">
        <f>VLOOKUP(A7,'Final Data'!$A$2:$M$5,2,)</f>
        <v>0</v>
      </c>
      <c r="C7" s="168">
        <v>0</v>
      </c>
      <c r="D7" s="168">
        <f>C7-B7</f>
        <v>0</v>
      </c>
      <c r="E7" s="167"/>
      <c r="F7" s="167"/>
      <c r="G7" s="167">
        <f>VLOOKUP(A7,'Final Data'!$A$2:$M$5,3,)</f>
        <v>0</v>
      </c>
      <c r="H7" s="168"/>
      <c r="I7" s="168"/>
      <c r="J7" s="167"/>
      <c r="K7" s="167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G7" s="167">
        <f>VLOOKUP(A7,'Final Data'!$A$1:$H$5,8,0)</f>
        <v>15426.240551036499</v>
      </c>
      <c r="AL7" s="178">
        <f>B7</f>
        <v>0</v>
      </c>
      <c r="AM7" s="178">
        <f>C7</f>
        <v>0</v>
      </c>
      <c r="AN7" s="168">
        <f t="shared" si="1"/>
        <v>0</v>
      </c>
    </row>
    <row r="8" spans="1:44" ht="14.4">
      <c r="A8" s="7"/>
      <c r="B8" s="167"/>
      <c r="C8" s="466"/>
      <c r="D8" s="466"/>
      <c r="E8" s="167"/>
      <c r="F8" s="167"/>
      <c r="G8" s="167"/>
      <c r="H8" s="466"/>
      <c r="I8" s="466"/>
      <c r="J8" s="167"/>
      <c r="K8" s="167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G8" s="167"/>
      <c r="AL8" s="467"/>
      <c r="AM8" s="467"/>
      <c r="AN8" s="466"/>
    </row>
    <row r="9" spans="1:44" ht="13.8" thickBot="1">
      <c r="B9" s="169">
        <f>SUM(B3:B7)</f>
        <v>19530.479396256214</v>
      </c>
      <c r="C9" s="169">
        <f>SUM(C3:C7)</f>
        <v>16099.35</v>
      </c>
      <c r="D9" s="169">
        <f>SUM(D3:D7)</f>
        <v>-3431.1293962562149</v>
      </c>
      <c r="E9" s="167"/>
      <c r="F9" s="167"/>
      <c r="G9" s="169">
        <f>SUM(G3:G7)</f>
        <v>19530.479396256214</v>
      </c>
      <c r="H9" s="169">
        <f>SUM(H3:H7)</f>
        <v>19058.129999999997</v>
      </c>
      <c r="I9" s="169">
        <f>SUM(I3:I7)</f>
        <v>-472.3493962562161</v>
      </c>
      <c r="J9" s="167"/>
      <c r="K9" s="167"/>
      <c r="L9" s="179">
        <f>SUM(L3:L7)</f>
        <v>19600.083473675571</v>
      </c>
      <c r="M9" s="179">
        <f>SUM(M3:M7)</f>
        <v>20636.690000000002</v>
      </c>
      <c r="N9" s="179">
        <f>SUM(N3:N7)</f>
        <v>1036.6065263244309</v>
      </c>
      <c r="O9" s="175" t="s">
        <v>23</v>
      </c>
      <c r="P9" s="175"/>
      <c r="Q9" s="179">
        <f>SUM(Q3:Q7)</f>
        <v>20075.359696256211</v>
      </c>
      <c r="R9" s="179">
        <f>SUM(R3:R7)</f>
        <v>22281.649999999998</v>
      </c>
      <c r="S9" s="179">
        <f>SUM(S3:S7)</f>
        <v>2206.2903037437868</v>
      </c>
      <c r="T9" s="175"/>
      <c r="U9" s="175"/>
      <c r="V9" s="179">
        <f>SUM(V3:V7)</f>
        <v>35501.600247292707</v>
      </c>
      <c r="W9" s="179">
        <f>SUM(W3:W7)</f>
        <v>14456.21</v>
      </c>
      <c r="X9" s="179">
        <f>SUM(X3:X7)</f>
        <v>-21045.390247292711</v>
      </c>
      <c r="Y9" s="175"/>
      <c r="Z9" s="175"/>
      <c r="AA9" s="179">
        <f>SUM(AA3:AA7)</f>
        <v>35501.600247292707</v>
      </c>
      <c r="AB9" s="179">
        <f>SUM(AB3:AB7)</f>
        <v>2000</v>
      </c>
      <c r="AC9" s="179">
        <f>SUM(AC3:AC7)</f>
        <v>-33501.600247292707</v>
      </c>
      <c r="AD9" s="175"/>
      <c r="AE9" s="175"/>
      <c r="AF9" s="464"/>
      <c r="AG9" s="465">
        <f>SUM(AG3:AG6)</f>
        <v>35501.600247292707</v>
      </c>
      <c r="AH9" s="465">
        <f>SUM(AH3:AH6)</f>
        <v>48190.82</v>
      </c>
      <c r="AI9" s="465">
        <f>SUM(AI3:AI6)</f>
        <v>12689.219752707286</v>
      </c>
      <c r="AL9" s="469">
        <f>SUM(AL3:AL7)</f>
        <v>185241.20270432238</v>
      </c>
      <c r="AM9" s="469">
        <f>SUM(AM3:AM7)</f>
        <v>142722.85</v>
      </c>
      <c r="AN9" s="465">
        <f>SUM(AN3:AN7)</f>
        <v>-42518.352704322358</v>
      </c>
    </row>
    <row r="10" spans="1:44" ht="13.8" thickTop="1">
      <c r="G10" s="3">
        <v>19531</v>
      </c>
      <c r="H10" s="3">
        <v>19058.13</v>
      </c>
      <c r="I10">
        <v>-472.87</v>
      </c>
      <c r="L10">
        <v>19601</v>
      </c>
      <c r="M10">
        <v>20636.68</v>
      </c>
      <c r="N10">
        <v>1035.69</v>
      </c>
      <c r="Q10" s="3">
        <v>20076</v>
      </c>
      <c r="R10" s="3">
        <v>22281.65</v>
      </c>
      <c r="S10" s="3">
        <v>2205.65</v>
      </c>
      <c r="V10" s="3">
        <v>35502</v>
      </c>
      <c r="W10" s="3">
        <v>14456.21</v>
      </c>
      <c r="X10" s="3">
        <v>-21045.79</v>
      </c>
      <c r="AA10" s="3">
        <v>35502</v>
      </c>
      <c r="AB10" s="3">
        <v>2000</v>
      </c>
      <c r="AC10" s="3">
        <v>33502</v>
      </c>
      <c r="AG10" s="3">
        <v>35502</v>
      </c>
      <c r="AH10" s="3">
        <v>48190.82</v>
      </c>
      <c r="AI10" s="3">
        <v>12688.82</v>
      </c>
      <c r="AL10" s="3">
        <v>185245</v>
      </c>
      <c r="AM10" s="3">
        <v>142722.85</v>
      </c>
      <c r="AN10" s="3">
        <v>-42522.15</v>
      </c>
    </row>
    <row r="11" spans="1:44">
      <c r="G11" s="171">
        <f>G9-G10</f>
        <v>-0.52060374378561391</v>
      </c>
      <c r="H11" s="171">
        <f>H9-H10</f>
        <v>0</v>
      </c>
      <c r="I11" s="171">
        <f>I9-I10</f>
        <v>0.52060374378390861</v>
      </c>
      <c r="L11" s="171">
        <f>L9-L10</f>
        <v>-0.91652632442855975</v>
      </c>
      <c r="M11" s="171">
        <f>M9-M10</f>
        <v>1.0000000002037268E-2</v>
      </c>
      <c r="N11" s="171">
        <f>N9-N10</f>
        <v>0.91652632443083348</v>
      </c>
      <c r="O11" s="171" t="s">
        <v>23</v>
      </c>
      <c r="P11" s="171"/>
      <c r="Q11" s="171">
        <f>Q9-Q10</f>
        <v>-0.64030374378853594</v>
      </c>
      <c r="R11" s="171">
        <f>R9-R10</f>
        <v>0</v>
      </c>
      <c r="S11" s="171">
        <f>S9-S10</f>
        <v>0.64030374378671695</v>
      </c>
      <c r="V11" s="171">
        <f>V9-V10</f>
        <v>-0.39975270729337353</v>
      </c>
      <c r="W11" s="171">
        <f>W9-W10</f>
        <v>0</v>
      </c>
      <c r="X11" s="171">
        <f>X9-X10</f>
        <v>0.39975270728973555</v>
      </c>
      <c r="AA11" s="171">
        <f>AA9-AA10</f>
        <v>-0.39975270729337353</v>
      </c>
      <c r="AB11" s="171">
        <f>AB9-AB10</f>
        <v>0</v>
      </c>
      <c r="AC11" s="171">
        <f>AC9+AC10</f>
        <v>0.39975270729337353</v>
      </c>
      <c r="AG11" s="171">
        <f>AG10-AG9</f>
        <v>0.39975270729337353</v>
      </c>
      <c r="AH11" s="171">
        <f>AH10-AH9</f>
        <v>0</v>
      </c>
      <c r="AI11" s="171">
        <f>AI10-AI9</f>
        <v>-0.39975270728609757</v>
      </c>
      <c r="AL11" s="171">
        <f>AL9-AL10</f>
        <v>-3.7972956776211504</v>
      </c>
      <c r="AM11" s="171">
        <f>AM9-AM10</f>
        <v>0</v>
      </c>
      <c r="AN11" s="171">
        <f>AN9-AN10</f>
        <v>3.7972956776429783</v>
      </c>
    </row>
    <row r="12" spans="1:44">
      <c r="J12" t="s">
        <v>23</v>
      </c>
      <c r="AL12" s="3"/>
    </row>
    <row r="14" spans="1:44">
      <c r="O14" t="s">
        <v>23</v>
      </c>
      <c r="S14" s="3"/>
    </row>
    <row r="15" spans="1:44">
      <c r="I15" s="3"/>
      <c r="O15" t="s">
        <v>23</v>
      </c>
      <c r="S15" s="3"/>
      <c r="AL15" s="3"/>
      <c r="AN15" s="171"/>
    </row>
    <row r="16" spans="1:44">
      <c r="I16" s="3"/>
      <c r="O16" t="s">
        <v>23</v>
      </c>
      <c r="AN16" s="171"/>
    </row>
    <row r="18" spans="7:9">
      <c r="G18" s="3"/>
      <c r="H18" s="3"/>
    </row>
    <row r="24" spans="7:9">
      <c r="G24" s="3"/>
    </row>
    <row r="25" spans="7:9">
      <c r="H25" s="3"/>
    </row>
    <row r="27" spans="7:9">
      <c r="G27" s="3"/>
    </row>
    <row r="31" spans="7:9">
      <c r="G31" s="3"/>
      <c r="H31" s="3"/>
      <c r="I31" s="3"/>
    </row>
  </sheetData>
  <mergeCells count="6">
    <mergeCell ref="AF1:AI1"/>
    <mergeCell ref="A1:A2"/>
    <mergeCell ref="L1:N1"/>
    <mergeCell ref="Q1:S1"/>
    <mergeCell ref="V1:X1"/>
    <mergeCell ref="Z1:AC1"/>
  </mergeCells>
  <pageMargins left="0.7" right="0.7" top="0.75" bottom="0.75" header="0.3" footer="0.3"/>
  <ignoredErrors>
    <ignoredError sqref="V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BF5D-2268-4236-B2EF-1D928CD06453}">
  <dimension ref="A1:M5"/>
  <sheetViews>
    <sheetView workbookViewId="0">
      <selection activeCell="G4" sqref="G4"/>
    </sheetView>
  </sheetViews>
  <sheetFormatPr defaultRowHeight="13.2"/>
  <cols>
    <col min="1" max="1" width="38.44140625" bestFit="1" customWidth="1"/>
    <col min="2" max="13" width="11.6640625" bestFit="1" customWidth="1"/>
  </cols>
  <sheetData>
    <row r="1" spans="1:1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>
      <c r="A2" t="s">
        <v>18</v>
      </c>
      <c r="B2" s="167">
        <v>4893.784107126824</v>
      </c>
      <c r="C2" s="167">
        <v>4893.784107126824</v>
      </c>
      <c r="D2" s="167">
        <v>4963.3881845461783</v>
      </c>
      <c r="E2" s="167">
        <v>5028.642007126823</v>
      </c>
      <c r="F2" s="167">
        <v>5028.642007126823</v>
      </c>
      <c r="G2" s="167">
        <v>5028.642007126823</v>
      </c>
      <c r="H2" s="167">
        <v>5028.642007126823</v>
      </c>
      <c r="I2" s="167">
        <v>5028.642007126823</v>
      </c>
      <c r="J2" s="167">
        <v>5028.642007126823</v>
      </c>
      <c r="K2" s="167">
        <v>5028.642007126823</v>
      </c>
      <c r="L2" s="167">
        <v>5028.642007126823</v>
      </c>
      <c r="M2" s="167">
        <v>5028.642007126823</v>
      </c>
    </row>
    <row r="3" spans="1:13">
      <c r="A3" t="s">
        <v>15</v>
      </c>
      <c r="B3" s="167">
        <v>14636.695289129391</v>
      </c>
      <c r="C3" s="167">
        <v>14636.695289129391</v>
      </c>
      <c r="D3" s="167">
        <v>14636.695289129391</v>
      </c>
      <c r="E3" s="167">
        <v>15046.717689129389</v>
      </c>
      <c r="F3" s="167">
        <v>15046.717689129389</v>
      </c>
      <c r="G3" s="167">
        <v>15046.717689129389</v>
      </c>
      <c r="H3" s="167">
        <v>15046.717689129389</v>
      </c>
      <c r="I3" s="167">
        <v>15046.717689129389</v>
      </c>
      <c r="J3" s="167">
        <v>15046.717689129389</v>
      </c>
      <c r="K3" s="167">
        <v>15046.717689129389</v>
      </c>
      <c r="L3" s="167">
        <v>15046.717689129389</v>
      </c>
      <c r="M3" s="167">
        <v>15046.717689129389</v>
      </c>
    </row>
    <row r="4" spans="1:13">
      <c r="A4" t="s">
        <v>22</v>
      </c>
      <c r="B4" s="167">
        <v>0</v>
      </c>
      <c r="C4" s="167">
        <v>0</v>
      </c>
      <c r="D4" s="167">
        <v>0</v>
      </c>
      <c r="E4" s="167">
        <v>0</v>
      </c>
      <c r="F4" s="167">
        <v>15426.240551036499</v>
      </c>
      <c r="G4" s="167">
        <v>15426.240551036499</v>
      </c>
      <c r="H4" s="167">
        <v>15426.240551036499</v>
      </c>
      <c r="I4" s="167">
        <v>15426.240551036499</v>
      </c>
      <c r="J4" s="167">
        <v>15426.240551036499</v>
      </c>
      <c r="K4" s="167">
        <v>15426.240551036499</v>
      </c>
      <c r="L4" s="167">
        <v>15426.240551036499</v>
      </c>
      <c r="M4" s="167">
        <v>15426.240551036499</v>
      </c>
    </row>
    <row r="5" spans="1:13">
      <c r="A5" t="s">
        <v>37</v>
      </c>
      <c r="B5" s="167">
        <v>19530.479396256214</v>
      </c>
      <c r="C5" s="167">
        <v>19530.479396256214</v>
      </c>
      <c r="D5" s="167">
        <v>19600.083473675571</v>
      </c>
      <c r="E5" s="167">
        <v>20075.359696256211</v>
      </c>
      <c r="F5" s="167">
        <v>35501.600247292707</v>
      </c>
      <c r="G5" s="167">
        <v>35501.600247292707</v>
      </c>
      <c r="H5" s="167">
        <v>35501.600247292707</v>
      </c>
      <c r="I5" s="167">
        <v>35501.600247292707</v>
      </c>
      <c r="J5" s="167">
        <v>35501.600247292707</v>
      </c>
      <c r="K5" s="167">
        <v>35501.600247292707</v>
      </c>
      <c r="L5" s="167">
        <v>35501.600247292707</v>
      </c>
      <c r="M5" s="167">
        <v>35501.600247292707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0690-5A10-4920-8A40-5B7726AA341E}">
  <dimension ref="A1:N26"/>
  <sheetViews>
    <sheetView workbookViewId="0">
      <selection activeCell="G28" sqref="G28"/>
    </sheetView>
  </sheetViews>
  <sheetFormatPr defaultRowHeight="13.2"/>
  <cols>
    <col min="1" max="1" width="28.5546875" bestFit="1" customWidth="1"/>
    <col min="2" max="4" width="9.33203125" bestFit="1" customWidth="1"/>
    <col min="5" max="5" width="9.6640625" bestFit="1" customWidth="1"/>
    <col min="6" max="14" width="9.33203125" bestFit="1" customWidth="1"/>
  </cols>
  <sheetData>
    <row r="1" spans="1:14">
      <c r="A1" s="1" t="s">
        <v>38</v>
      </c>
    </row>
    <row r="3" spans="1:14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</row>
    <row r="4" spans="1:14">
      <c r="A4" t="s">
        <v>18</v>
      </c>
      <c r="B4" t="s">
        <v>53</v>
      </c>
      <c r="C4" s="167">
        <v>119.82</v>
      </c>
      <c r="D4" s="167">
        <v>119.82</v>
      </c>
      <c r="E4" s="167">
        <v>119.82</v>
      </c>
      <c r="F4" s="167">
        <v>119.82</v>
      </c>
      <c r="G4" s="167">
        <v>119.82</v>
      </c>
      <c r="H4" s="167">
        <v>119.82</v>
      </c>
      <c r="I4" s="167">
        <v>119.82</v>
      </c>
      <c r="J4" s="167">
        <v>119.82</v>
      </c>
      <c r="K4" s="167">
        <v>119.82</v>
      </c>
      <c r="L4" s="167">
        <v>119.82</v>
      </c>
      <c r="M4" s="167">
        <v>119.82</v>
      </c>
      <c r="N4" s="167">
        <v>119.82</v>
      </c>
    </row>
    <row r="5" spans="1:14">
      <c r="A5" t="s">
        <v>18</v>
      </c>
      <c r="B5" t="s">
        <v>54</v>
      </c>
      <c r="C5" s="167">
        <v>4374.8100000000004</v>
      </c>
      <c r="D5" s="167">
        <v>4374.8100000000004</v>
      </c>
      <c r="E5" s="167">
        <v>4442.3867741935483</v>
      </c>
      <c r="F5" s="167">
        <v>4505.74</v>
      </c>
      <c r="G5" s="167">
        <v>4505.74</v>
      </c>
      <c r="H5" s="167">
        <v>4505.74</v>
      </c>
      <c r="I5" s="167">
        <v>4505.74</v>
      </c>
      <c r="J5" s="167">
        <v>4505.74</v>
      </c>
      <c r="K5" s="167">
        <v>4505.74</v>
      </c>
      <c r="L5" s="167">
        <v>4505.74</v>
      </c>
      <c r="M5" s="167">
        <v>4505.74</v>
      </c>
      <c r="N5" s="167">
        <v>4505.74</v>
      </c>
    </row>
    <row r="6" spans="1:14">
      <c r="A6" t="s">
        <v>18</v>
      </c>
      <c r="B6" t="s">
        <v>55</v>
      </c>
      <c r="C6" s="167">
        <v>0</v>
      </c>
      <c r="D6" s="167">
        <v>0</v>
      </c>
      <c r="E6" s="167">
        <v>0</v>
      </c>
      <c r="F6" s="167">
        <v>0</v>
      </c>
      <c r="G6" s="167">
        <v>0</v>
      </c>
      <c r="H6" s="167">
        <v>0</v>
      </c>
      <c r="I6" s="167">
        <v>0</v>
      </c>
      <c r="J6" s="167">
        <v>0</v>
      </c>
      <c r="K6" s="167">
        <v>0</v>
      </c>
      <c r="L6" s="167">
        <v>0</v>
      </c>
      <c r="M6" s="167">
        <v>0</v>
      </c>
      <c r="N6" s="167">
        <v>0</v>
      </c>
    </row>
    <row r="7" spans="1:14">
      <c r="A7" t="s">
        <v>18</v>
      </c>
      <c r="B7" t="s">
        <v>56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</row>
    <row r="8" spans="1:14">
      <c r="A8" t="s">
        <v>18</v>
      </c>
      <c r="B8" t="s">
        <v>57</v>
      </c>
      <c r="C8" s="167">
        <v>0</v>
      </c>
      <c r="D8" s="167">
        <v>0</v>
      </c>
      <c r="E8" s="167">
        <v>0</v>
      </c>
      <c r="F8" s="167">
        <v>0</v>
      </c>
      <c r="G8" s="167">
        <v>0</v>
      </c>
      <c r="H8" s="167">
        <v>0</v>
      </c>
      <c r="I8" s="167">
        <v>0</v>
      </c>
      <c r="J8" s="167">
        <v>0</v>
      </c>
      <c r="K8" s="167">
        <v>0</v>
      </c>
      <c r="L8" s="167">
        <v>0</v>
      </c>
      <c r="M8" s="167">
        <v>0</v>
      </c>
      <c r="N8" s="167">
        <v>0</v>
      </c>
    </row>
    <row r="9" spans="1:14">
      <c r="A9" t="s">
        <v>18</v>
      </c>
      <c r="B9" t="s">
        <v>58</v>
      </c>
      <c r="C9" s="167">
        <v>256.61670594837267</v>
      </c>
      <c r="D9" s="167">
        <v>256.61670594837267</v>
      </c>
      <c r="E9" s="167">
        <v>256.61670594837267</v>
      </c>
      <c r="F9" s="167">
        <v>256.61670594837267</v>
      </c>
      <c r="G9" s="167">
        <v>256.61670594837267</v>
      </c>
      <c r="H9" s="167">
        <v>256.61670594837267</v>
      </c>
      <c r="I9" s="167">
        <v>256.61670594837267</v>
      </c>
      <c r="J9" s="167">
        <v>256.61670594837267</v>
      </c>
      <c r="K9" s="167">
        <v>256.61670594837267</v>
      </c>
      <c r="L9" s="167">
        <v>256.61670594837267</v>
      </c>
      <c r="M9" s="167">
        <v>256.61670594837267</v>
      </c>
      <c r="N9" s="167">
        <v>256.61670594837267</v>
      </c>
    </row>
    <row r="10" spans="1:14">
      <c r="A10" t="s">
        <v>18</v>
      </c>
      <c r="B10" t="s">
        <v>59</v>
      </c>
      <c r="C10" s="167">
        <v>0</v>
      </c>
      <c r="D10" s="167">
        <v>0</v>
      </c>
      <c r="E10" s="167">
        <v>0</v>
      </c>
      <c r="F10" s="167">
        <v>0</v>
      </c>
      <c r="G10" s="167">
        <v>0</v>
      </c>
      <c r="H10" s="167">
        <v>0</v>
      </c>
      <c r="I10" s="167">
        <v>0</v>
      </c>
      <c r="J10" s="167">
        <v>0</v>
      </c>
      <c r="K10" s="167">
        <v>0</v>
      </c>
      <c r="L10" s="167">
        <v>0</v>
      </c>
      <c r="M10" s="167">
        <v>0</v>
      </c>
      <c r="N10" s="167">
        <v>0</v>
      </c>
    </row>
    <row r="11" spans="1:14">
      <c r="A11" t="s">
        <v>18</v>
      </c>
      <c r="B11" t="s">
        <v>60</v>
      </c>
      <c r="C11" s="167">
        <v>142.5374011784512</v>
      </c>
      <c r="D11" s="167">
        <v>142.5374011784512</v>
      </c>
      <c r="E11" s="167">
        <v>144.56470440425764</v>
      </c>
      <c r="F11" s="167">
        <v>146.4653011784512</v>
      </c>
      <c r="G11" s="167">
        <v>146.4653011784512</v>
      </c>
      <c r="H11" s="167">
        <v>146.4653011784512</v>
      </c>
      <c r="I11" s="167">
        <v>146.4653011784512</v>
      </c>
      <c r="J11" s="167">
        <v>146.4653011784512</v>
      </c>
      <c r="K11" s="167">
        <v>146.4653011784512</v>
      </c>
      <c r="L11" s="167">
        <v>146.4653011784512</v>
      </c>
      <c r="M11" s="167">
        <v>146.4653011784512</v>
      </c>
      <c r="N11" s="167">
        <v>146.4653011784512</v>
      </c>
    </row>
    <row r="18" spans="2:6">
      <c r="B18" s="167" t="s">
        <v>53</v>
      </c>
      <c r="C18" s="167">
        <v>119.82</v>
      </c>
      <c r="D18" s="167">
        <v>119.82</v>
      </c>
      <c r="E18" s="171">
        <f>D18-C18</f>
        <v>0</v>
      </c>
    </row>
    <row r="19" spans="2:6">
      <c r="B19" s="167" t="s">
        <v>54</v>
      </c>
      <c r="C19" s="167">
        <v>4374.8100000000004</v>
      </c>
      <c r="D19" s="167">
        <v>4374.8100000000004</v>
      </c>
      <c r="E19" s="171">
        <f t="shared" ref="E19:E25" si="0">D19-C19</f>
        <v>0</v>
      </c>
    </row>
    <row r="20" spans="2:6">
      <c r="B20" s="167" t="s">
        <v>55</v>
      </c>
      <c r="C20" s="167">
        <v>0</v>
      </c>
      <c r="E20" s="171">
        <f t="shared" si="0"/>
        <v>0</v>
      </c>
    </row>
    <row r="21" spans="2:6">
      <c r="B21" s="167" t="s">
        <v>56</v>
      </c>
      <c r="C21" s="167">
        <v>0</v>
      </c>
      <c r="E21" s="171">
        <f t="shared" si="0"/>
        <v>0</v>
      </c>
    </row>
    <row r="22" spans="2:6">
      <c r="B22" s="167" t="s">
        <v>57</v>
      </c>
      <c r="C22" s="167">
        <v>0</v>
      </c>
      <c r="E22" s="171">
        <f t="shared" si="0"/>
        <v>0</v>
      </c>
    </row>
    <row r="23" spans="2:6">
      <c r="B23" s="167" t="s">
        <v>58</v>
      </c>
      <c r="C23" s="167">
        <v>256.61670594837267</v>
      </c>
      <c r="D23">
        <v>343.83</v>
      </c>
      <c r="E23" s="171">
        <f t="shared" si="0"/>
        <v>87.213294051627315</v>
      </c>
      <c r="F23" s="171"/>
    </row>
    <row r="24" spans="2:6">
      <c r="B24" s="167" t="s">
        <v>59</v>
      </c>
      <c r="C24" s="167">
        <v>0</v>
      </c>
      <c r="E24" s="171">
        <f t="shared" si="0"/>
        <v>0</v>
      </c>
    </row>
    <row r="25" spans="2:6">
      <c r="B25" s="167" t="s">
        <v>60</v>
      </c>
      <c r="C25" s="167">
        <v>142.5374011784512</v>
      </c>
      <c r="D25">
        <v>161.54</v>
      </c>
      <c r="E25" s="171">
        <f t="shared" si="0"/>
        <v>19.002598821548787</v>
      </c>
    </row>
    <row r="26" spans="2:6">
      <c r="C26" s="167">
        <v>148.74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475A-C4E0-4549-96C0-77329B8E5935}">
  <dimension ref="A3:M7"/>
  <sheetViews>
    <sheetView workbookViewId="0">
      <selection activeCell="D4" sqref="D4"/>
    </sheetView>
  </sheetViews>
  <sheetFormatPr defaultRowHeight="13.2"/>
  <cols>
    <col min="1" max="1" width="38.44140625" bestFit="1" customWidth="1"/>
    <col min="2" max="5" width="11.6640625" bestFit="1" customWidth="1"/>
    <col min="6" max="6" width="11" bestFit="1" customWidth="1"/>
    <col min="7" max="7" width="10.6640625" bestFit="1" customWidth="1"/>
    <col min="8" max="8" width="10.33203125" bestFit="1" customWidth="1"/>
    <col min="9" max="9" width="10.6640625" bestFit="1" customWidth="1"/>
    <col min="10" max="10" width="11.33203125" bestFit="1" customWidth="1"/>
    <col min="11" max="11" width="10.5546875" bestFit="1" customWidth="1"/>
    <col min="12" max="13" width="10.6640625" bestFit="1" customWidth="1"/>
  </cols>
  <sheetData>
    <row r="3" spans="1:13">
      <c r="A3" s="17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>
      <c r="A4" s="174" t="s">
        <v>18</v>
      </c>
      <c r="B4">
        <v>4893.784107126824</v>
      </c>
      <c r="C4">
        <v>4893.784107126824</v>
      </c>
      <c r="D4">
        <v>4963.3881845461783</v>
      </c>
      <c r="E4">
        <v>5028.642007126823</v>
      </c>
      <c r="F4" s="171">
        <v>5028.642007126823</v>
      </c>
      <c r="G4" s="171">
        <v>5028.642007126823</v>
      </c>
      <c r="H4" s="171">
        <v>5028.642007126823</v>
      </c>
      <c r="I4" s="171">
        <v>5028.642007126823</v>
      </c>
      <c r="J4" s="171">
        <v>5028.642007126823</v>
      </c>
      <c r="K4" s="171">
        <v>5028.642007126823</v>
      </c>
      <c r="L4" s="171">
        <v>5028.642007126823</v>
      </c>
      <c r="M4" s="171">
        <v>5028.642007126823</v>
      </c>
    </row>
    <row r="5" spans="1:13">
      <c r="A5" s="174" t="s">
        <v>15</v>
      </c>
      <c r="B5">
        <v>14636.695289129391</v>
      </c>
      <c r="C5">
        <v>14636.695289129391</v>
      </c>
      <c r="D5">
        <v>14636.695289129391</v>
      </c>
      <c r="E5">
        <v>15046.717689129389</v>
      </c>
      <c r="F5" s="171">
        <v>15046.717689129389</v>
      </c>
      <c r="G5" s="171">
        <v>15046.717689129389</v>
      </c>
      <c r="H5" s="171">
        <v>15046.717689129389</v>
      </c>
      <c r="I5" s="171">
        <v>15046.717689129389</v>
      </c>
      <c r="J5" s="171">
        <v>15046.717689129389</v>
      </c>
      <c r="K5" s="171">
        <v>15046.717689129389</v>
      </c>
      <c r="L5" s="171">
        <v>15046.717689129389</v>
      </c>
      <c r="M5" s="171">
        <v>15046.717689129389</v>
      </c>
    </row>
    <row r="6" spans="1:13">
      <c r="A6" s="174" t="s">
        <v>22</v>
      </c>
      <c r="B6">
        <v>0</v>
      </c>
      <c r="C6">
        <v>0</v>
      </c>
      <c r="D6">
        <v>0</v>
      </c>
      <c r="E6">
        <v>0</v>
      </c>
      <c r="F6" s="171">
        <v>15426.240551036499</v>
      </c>
      <c r="G6" s="171">
        <v>15426.240551036499</v>
      </c>
      <c r="H6" s="171">
        <v>15426.240551036499</v>
      </c>
      <c r="I6" s="171">
        <v>15426.240551036499</v>
      </c>
      <c r="J6" s="171">
        <v>15426.240551036499</v>
      </c>
      <c r="K6" s="171">
        <v>15426.240551036499</v>
      </c>
      <c r="L6" s="171">
        <v>15426.240551036499</v>
      </c>
      <c r="M6" s="171">
        <v>15426.240551036499</v>
      </c>
    </row>
    <row r="7" spans="1:13">
      <c r="A7" s="174" t="s">
        <v>37</v>
      </c>
      <c r="B7">
        <v>19530.479396256214</v>
      </c>
      <c r="C7">
        <v>19530.479396256214</v>
      </c>
      <c r="D7">
        <v>19600.083473675571</v>
      </c>
      <c r="E7">
        <v>20075.359696256211</v>
      </c>
      <c r="F7" s="171">
        <v>35501.600247292707</v>
      </c>
      <c r="G7" s="171">
        <v>35501.600247292707</v>
      </c>
      <c r="H7" s="171">
        <v>35501.600247292707</v>
      </c>
      <c r="I7" s="171">
        <v>35501.600247292707</v>
      </c>
      <c r="J7" s="171">
        <v>35501.600247292707</v>
      </c>
      <c r="K7" s="171">
        <v>35501.600247292707</v>
      </c>
      <c r="L7" s="171">
        <v>35501.600247292707</v>
      </c>
      <c r="M7" s="171">
        <v>35501.600247292707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5740-7E75-414E-BF0D-2225066B7195}">
  <sheetPr filterMode="1"/>
  <dimension ref="A1:N44"/>
  <sheetViews>
    <sheetView workbookViewId="0">
      <selection activeCell="I1" sqref="I1"/>
    </sheetView>
  </sheetViews>
  <sheetFormatPr defaultRowHeight="13.2"/>
  <cols>
    <col min="1" max="1" width="43.44140625" bestFit="1" customWidth="1"/>
    <col min="3" max="5" width="10.109375" bestFit="1" customWidth="1"/>
    <col min="6" max="6" width="10.33203125" bestFit="1" customWidth="1"/>
    <col min="7" max="14" width="10.109375" bestFit="1" customWidth="1"/>
  </cols>
  <sheetData>
    <row r="1" spans="1:14">
      <c r="A1" s="168" t="s">
        <v>39</v>
      </c>
      <c r="B1" s="168" t="s">
        <v>40</v>
      </c>
      <c r="C1" s="168" t="s">
        <v>41</v>
      </c>
      <c r="D1" s="168" t="s">
        <v>42</v>
      </c>
      <c r="E1" s="168" t="s">
        <v>43</v>
      </c>
      <c r="F1" s="168" t="s">
        <v>44</v>
      </c>
      <c r="G1" s="168" t="s">
        <v>45</v>
      </c>
      <c r="H1" s="168" t="s">
        <v>46</v>
      </c>
      <c r="I1" s="168" t="s">
        <v>47</v>
      </c>
      <c r="J1" s="168" t="s">
        <v>48</v>
      </c>
      <c r="K1" s="168" t="s">
        <v>49</v>
      </c>
      <c r="L1" s="168" t="s">
        <v>50</v>
      </c>
      <c r="M1" s="168" t="s">
        <v>51</v>
      </c>
      <c r="N1" s="168" t="s">
        <v>52</v>
      </c>
    </row>
    <row r="2" spans="1:14" ht="14.4" hidden="1">
      <c r="A2" s="172" t="s">
        <v>15</v>
      </c>
      <c r="B2" s="167" t="s">
        <v>54</v>
      </c>
      <c r="C2" s="192">
        <v>13269.28</v>
      </c>
      <c r="D2" s="192">
        <v>13269.28</v>
      </c>
      <c r="E2" s="192">
        <v>13269.28</v>
      </c>
      <c r="F2" s="193">
        <v>13667.36</v>
      </c>
      <c r="G2" s="192">
        <v>13667.36</v>
      </c>
      <c r="H2" s="192">
        <v>13667.36</v>
      </c>
      <c r="I2" s="192">
        <v>13667.36</v>
      </c>
      <c r="J2" s="192">
        <v>13667.36</v>
      </c>
      <c r="K2" s="192">
        <v>13667.36</v>
      </c>
      <c r="L2" s="192">
        <v>13667.36</v>
      </c>
      <c r="M2" s="192">
        <v>13667.36</v>
      </c>
      <c r="N2" s="192">
        <v>13667.36</v>
      </c>
    </row>
    <row r="3" spans="1:14" ht="14.4">
      <c r="A3" s="172" t="s">
        <v>18</v>
      </c>
      <c r="B3" s="167" t="s">
        <v>54</v>
      </c>
      <c r="C3" s="192">
        <v>4374.8100000000004</v>
      </c>
      <c r="D3" s="192">
        <v>4374.8100000000004</v>
      </c>
      <c r="E3" s="193">
        <v>4442.3867741935483</v>
      </c>
      <c r="F3" s="192">
        <v>4505.74</v>
      </c>
      <c r="G3" s="192">
        <v>4505.74</v>
      </c>
      <c r="H3" s="192">
        <v>4505.74</v>
      </c>
      <c r="I3" s="192">
        <v>4505.74</v>
      </c>
      <c r="J3" s="192">
        <v>4505.74</v>
      </c>
      <c r="K3" s="192">
        <v>4505.74</v>
      </c>
      <c r="L3" s="192">
        <v>4505.74</v>
      </c>
      <c r="M3" s="192">
        <v>4505.74</v>
      </c>
      <c r="N3" s="192">
        <v>4505.74</v>
      </c>
    </row>
    <row r="4" spans="1:14" ht="14.4" hidden="1">
      <c r="A4" s="172" t="s">
        <v>22</v>
      </c>
      <c r="B4" s="167" t="s">
        <v>54</v>
      </c>
      <c r="C4" s="192">
        <v>0</v>
      </c>
      <c r="D4" s="192">
        <v>0</v>
      </c>
      <c r="E4" s="192">
        <v>0</v>
      </c>
      <c r="F4" s="192">
        <v>0</v>
      </c>
      <c r="G4" s="192">
        <v>1217.46</v>
      </c>
      <c r="H4" s="192">
        <v>1217.46</v>
      </c>
      <c r="I4" s="192">
        <v>1217.46</v>
      </c>
      <c r="J4" s="192">
        <v>1217.46</v>
      </c>
      <c r="K4" s="192">
        <v>1217.46</v>
      </c>
      <c r="L4" s="192">
        <v>1217.46</v>
      </c>
      <c r="M4" s="192">
        <v>1217.46</v>
      </c>
      <c r="N4" s="192">
        <v>1217.46</v>
      </c>
    </row>
    <row r="5" spans="1:14" ht="14.4" hidden="1">
      <c r="A5" s="172" t="s">
        <v>22</v>
      </c>
      <c r="B5" s="167" t="s">
        <v>54</v>
      </c>
      <c r="C5" s="192">
        <v>0</v>
      </c>
      <c r="D5" s="192">
        <v>0</v>
      </c>
      <c r="E5" s="192">
        <v>0</v>
      </c>
      <c r="F5" s="192">
        <v>0</v>
      </c>
      <c r="G5" s="192">
        <v>8333.1</v>
      </c>
      <c r="H5" s="192">
        <v>8333.1</v>
      </c>
      <c r="I5" s="192">
        <v>8333.1</v>
      </c>
      <c r="J5" s="192">
        <v>8333.1</v>
      </c>
      <c r="K5" s="192">
        <v>8333.1</v>
      </c>
      <c r="L5" s="192">
        <v>8333.1</v>
      </c>
      <c r="M5" s="192">
        <v>8333.1</v>
      </c>
      <c r="N5" s="192">
        <v>8333.1</v>
      </c>
    </row>
    <row r="6" spans="1:14" ht="14.4" hidden="1">
      <c r="A6" s="172" t="s">
        <v>15</v>
      </c>
      <c r="B6" s="167" t="s">
        <v>58</v>
      </c>
      <c r="C6" s="167">
        <v>611.19377585377606</v>
      </c>
      <c r="D6" s="167">
        <v>611.19377585377606</v>
      </c>
      <c r="E6" s="167">
        <v>611.19377585377606</v>
      </c>
      <c r="F6" s="167">
        <v>611.19377585377606</v>
      </c>
      <c r="G6" s="167">
        <v>611.19377585377606</v>
      </c>
      <c r="H6" s="167">
        <v>611.19377585377606</v>
      </c>
      <c r="I6" s="167">
        <v>611.19377585377606</v>
      </c>
      <c r="J6" s="167">
        <v>611.19377585377606</v>
      </c>
      <c r="K6" s="167">
        <v>611.19377585377606</v>
      </c>
      <c r="L6" s="167">
        <v>611.19377585377606</v>
      </c>
      <c r="M6" s="167">
        <v>611.19377585377606</v>
      </c>
      <c r="N6" s="167">
        <v>611.19377585377606</v>
      </c>
    </row>
    <row r="7" spans="1:14" ht="14.4">
      <c r="A7" s="172" t="s">
        <v>18</v>
      </c>
      <c r="B7" s="167" t="s">
        <v>58</v>
      </c>
      <c r="C7" s="167">
        <v>256.61670594837267</v>
      </c>
      <c r="D7" s="167">
        <v>256.61670594837267</v>
      </c>
      <c r="E7" s="167">
        <v>256.61670594837267</v>
      </c>
      <c r="F7" s="167">
        <v>256.61670594837267</v>
      </c>
      <c r="G7" s="167">
        <v>256.61670594837267</v>
      </c>
      <c r="H7" s="167">
        <v>256.61670594837267</v>
      </c>
      <c r="I7" s="167">
        <v>256.61670594837267</v>
      </c>
      <c r="J7" s="167">
        <v>256.61670594837267</v>
      </c>
      <c r="K7" s="167">
        <v>256.61670594837267</v>
      </c>
      <c r="L7" s="167">
        <v>256.61670594837267</v>
      </c>
      <c r="M7" s="167">
        <v>256.61670594837267</v>
      </c>
      <c r="N7" s="167">
        <v>256.61670594837267</v>
      </c>
    </row>
    <row r="8" spans="1:14" ht="14.4" hidden="1">
      <c r="A8" s="172" t="s">
        <v>22</v>
      </c>
      <c r="B8" s="167" t="s">
        <v>58</v>
      </c>
      <c r="C8" s="167">
        <v>0</v>
      </c>
      <c r="D8" s="167">
        <v>0</v>
      </c>
      <c r="E8" s="167">
        <v>0</v>
      </c>
      <c r="F8" s="167">
        <v>0</v>
      </c>
      <c r="G8" s="167">
        <v>269.86052960259616</v>
      </c>
      <c r="H8" s="167">
        <v>269.86052960259616</v>
      </c>
      <c r="I8" s="167">
        <v>269.86052960259616</v>
      </c>
      <c r="J8" s="167">
        <v>269.86052960259616</v>
      </c>
      <c r="K8" s="167">
        <v>269.86052960259616</v>
      </c>
      <c r="L8" s="167">
        <v>269.86052960259616</v>
      </c>
      <c r="M8" s="167">
        <v>269.86052960259616</v>
      </c>
      <c r="N8" s="167">
        <v>269.86052960259616</v>
      </c>
    </row>
    <row r="9" spans="1:14" ht="14.4" hidden="1">
      <c r="A9" s="172" t="s">
        <v>22</v>
      </c>
      <c r="B9" s="167" t="s">
        <v>58</v>
      </c>
      <c r="C9" s="167">
        <v>0</v>
      </c>
      <c r="D9" s="167">
        <v>0</v>
      </c>
      <c r="E9" s="167">
        <v>0</v>
      </c>
      <c r="F9" s="167">
        <v>0</v>
      </c>
      <c r="G9" s="167">
        <v>1847.103624949809</v>
      </c>
      <c r="H9" s="167">
        <v>1847.103624949809</v>
      </c>
      <c r="I9" s="167">
        <v>1847.103624949809</v>
      </c>
      <c r="J9" s="167">
        <v>1847.103624949809</v>
      </c>
      <c r="K9" s="167">
        <v>1847.103624949809</v>
      </c>
      <c r="L9" s="167">
        <v>1847.103624949809</v>
      </c>
      <c r="M9" s="167">
        <v>1847.103624949809</v>
      </c>
      <c r="N9" s="167">
        <v>1847.103624949809</v>
      </c>
    </row>
    <row r="10" spans="1:14" ht="14.4" hidden="1">
      <c r="A10" s="172" t="s">
        <v>15</v>
      </c>
      <c r="B10" s="167" t="s">
        <v>60</v>
      </c>
      <c r="C10" s="167">
        <v>426.31151327561338</v>
      </c>
      <c r="D10" s="167">
        <v>426.31151327561338</v>
      </c>
      <c r="E10" s="167">
        <v>426.31151327561338</v>
      </c>
      <c r="F10" s="167">
        <v>438.25391327561334</v>
      </c>
      <c r="G10" s="167">
        <v>438.25391327561334</v>
      </c>
      <c r="H10" s="167">
        <v>438.25391327561334</v>
      </c>
      <c r="I10" s="167">
        <v>438.25391327561334</v>
      </c>
      <c r="J10" s="167">
        <v>438.25391327561334</v>
      </c>
      <c r="K10" s="167">
        <v>438.25391327561334</v>
      </c>
      <c r="L10" s="167">
        <v>438.25391327561334</v>
      </c>
      <c r="M10" s="167">
        <v>438.25391327561334</v>
      </c>
      <c r="N10" s="167">
        <v>438.25391327561334</v>
      </c>
    </row>
    <row r="11" spans="1:14" ht="14.4">
      <c r="A11" s="172" t="s">
        <v>18</v>
      </c>
      <c r="B11" s="167" t="s">
        <v>60</v>
      </c>
      <c r="C11" s="167">
        <v>142.5374011784512</v>
      </c>
      <c r="D11" s="167">
        <v>142.5374011784512</v>
      </c>
      <c r="E11" s="167">
        <v>144.56470440425764</v>
      </c>
      <c r="F11" s="167">
        <v>146.4653011784512</v>
      </c>
      <c r="G11" s="167">
        <v>146.4653011784512</v>
      </c>
      <c r="H11" s="167">
        <v>146.4653011784512</v>
      </c>
      <c r="I11" s="167">
        <v>146.4653011784512</v>
      </c>
      <c r="J11" s="167">
        <v>146.4653011784512</v>
      </c>
      <c r="K11" s="167">
        <v>146.4653011784512</v>
      </c>
      <c r="L11" s="167">
        <v>146.4653011784512</v>
      </c>
      <c r="M11" s="167">
        <v>146.4653011784512</v>
      </c>
      <c r="N11" s="167">
        <v>146.4653011784512</v>
      </c>
    </row>
    <row r="12" spans="1:14" ht="14.4" hidden="1">
      <c r="A12" s="172" t="s">
        <v>22</v>
      </c>
      <c r="B12" s="167" t="s">
        <v>60</v>
      </c>
      <c r="C12" s="167"/>
      <c r="D12" s="167"/>
      <c r="E12" s="167"/>
      <c r="F12" s="167"/>
      <c r="G12" s="167">
        <v>57.275645610284023</v>
      </c>
      <c r="H12" s="167">
        <v>57.275645610284023</v>
      </c>
      <c r="I12" s="167">
        <v>57.275645610284023</v>
      </c>
      <c r="J12" s="167">
        <v>57.275645610284023</v>
      </c>
      <c r="K12" s="167">
        <v>57.275645610284023</v>
      </c>
      <c r="L12" s="167">
        <v>57.275645610284023</v>
      </c>
      <c r="M12" s="167">
        <v>57.275645610284023</v>
      </c>
      <c r="N12" s="167">
        <v>57.275645610284023</v>
      </c>
    </row>
    <row r="13" spans="1:14" ht="14.4" hidden="1">
      <c r="A13" s="172" t="s">
        <v>22</v>
      </c>
      <c r="B13" s="167" t="s">
        <v>60</v>
      </c>
      <c r="C13" s="167"/>
      <c r="D13" s="167"/>
      <c r="E13" s="167"/>
      <c r="F13" s="167"/>
      <c r="G13" s="167">
        <v>392.03233160437122</v>
      </c>
      <c r="H13" s="167">
        <v>392.03233160437122</v>
      </c>
      <c r="I13" s="167">
        <v>392.03233160437122</v>
      </c>
      <c r="J13" s="167">
        <v>392.03233160437122</v>
      </c>
      <c r="K13" s="167">
        <v>392.03233160437122</v>
      </c>
      <c r="L13" s="167">
        <v>392.03233160437122</v>
      </c>
      <c r="M13" s="167">
        <v>392.03233160437122</v>
      </c>
      <c r="N13" s="167">
        <v>392.03233160437122</v>
      </c>
    </row>
    <row r="14" spans="1:14" ht="14.4" hidden="1">
      <c r="A14" s="172" t="s">
        <v>15</v>
      </c>
      <c r="B14" s="167" t="s">
        <v>59</v>
      </c>
      <c r="C14" s="167">
        <v>0</v>
      </c>
      <c r="D14" s="167">
        <v>0</v>
      </c>
      <c r="E14" s="167">
        <v>0</v>
      </c>
      <c r="F14" s="167">
        <v>0</v>
      </c>
      <c r="G14" s="167">
        <v>0</v>
      </c>
      <c r="H14" s="167">
        <v>0</v>
      </c>
      <c r="I14" s="167">
        <v>0</v>
      </c>
      <c r="J14" s="167">
        <v>0</v>
      </c>
      <c r="K14" s="167">
        <v>0</v>
      </c>
      <c r="L14" s="167">
        <v>0</v>
      </c>
      <c r="M14" s="167">
        <v>0</v>
      </c>
      <c r="N14" s="167">
        <v>0</v>
      </c>
    </row>
    <row r="15" spans="1:14" ht="14.4">
      <c r="A15" s="172" t="s">
        <v>18</v>
      </c>
      <c r="B15" s="167" t="s">
        <v>59</v>
      </c>
      <c r="C15" s="167">
        <v>0</v>
      </c>
      <c r="D15" s="167">
        <v>0</v>
      </c>
      <c r="E15" s="167">
        <v>0</v>
      </c>
      <c r="F15" s="167">
        <v>0</v>
      </c>
      <c r="G15" s="167">
        <v>0</v>
      </c>
      <c r="H15" s="167">
        <v>0</v>
      </c>
      <c r="I15" s="167">
        <v>0</v>
      </c>
      <c r="J15" s="167">
        <v>0</v>
      </c>
      <c r="K15" s="167">
        <v>0</v>
      </c>
      <c r="L15" s="167">
        <v>0</v>
      </c>
      <c r="M15" s="167">
        <v>0</v>
      </c>
      <c r="N15" s="167">
        <v>0</v>
      </c>
    </row>
    <row r="16" spans="1:14" ht="14.4" hidden="1">
      <c r="A16" s="172" t="s">
        <v>22</v>
      </c>
      <c r="B16" s="167" t="s">
        <v>59</v>
      </c>
      <c r="C16" s="167">
        <v>0</v>
      </c>
      <c r="D16" s="167">
        <v>0</v>
      </c>
      <c r="E16" s="167">
        <v>0</v>
      </c>
      <c r="F16" s="167">
        <v>0</v>
      </c>
      <c r="G16" s="167">
        <v>254.46363343701398</v>
      </c>
      <c r="H16" s="167">
        <v>254.46363343701398</v>
      </c>
      <c r="I16" s="167">
        <v>254.46363343701398</v>
      </c>
      <c r="J16" s="167">
        <v>254.46363343701398</v>
      </c>
      <c r="K16" s="167">
        <v>254.46363343701398</v>
      </c>
      <c r="L16" s="167">
        <v>254.46363343701398</v>
      </c>
      <c r="M16" s="167">
        <v>254.46363343701398</v>
      </c>
      <c r="N16" s="167">
        <v>254.46363343701398</v>
      </c>
    </row>
    <row r="17" spans="1:14" ht="14.4" hidden="1">
      <c r="A17" s="172" t="s">
        <v>22</v>
      </c>
      <c r="B17" s="167" t="s">
        <v>59</v>
      </c>
      <c r="C17" s="167">
        <v>0</v>
      </c>
      <c r="D17" s="167">
        <v>0</v>
      </c>
      <c r="E17" s="167">
        <v>0</v>
      </c>
      <c r="F17" s="167">
        <v>0</v>
      </c>
      <c r="G17" s="167">
        <v>1741.7171026514063</v>
      </c>
      <c r="H17" s="167">
        <v>1741.7171026514063</v>
      </c>
      <c r="I17" s="167">
        <v>1741.7171026514063</v>
      </c>
      <c r="J17" s="167">
        <v>1741.7171026514063</v>
      </c>
      <c r="K17" s="167">
        <v>1741.7171026514063</v>
      </c>
      <c r="L17" s="167">
        <v>1741.7171026514063</v>
      </c>
      <c r="M17" s="167">
        <v>1741.7171026514063</v>
      </c>
      <c r="N17" s="167">
        <v>1741.7171026514063</v>
      </c>
    </row>
    <row r="18" spans="1:14" ht="14.4" hidden="1">
      <c r="A18" s="172" t="s">
        <v>15</v>
      </c>
      <c r="B18" s="167" t="s">
        <v>57</v>
      </c>
      <c r="C18" s="167">
        <v>0</v>
      </c>
      <c r="D18" s="167">
        <v>0</v>
      </c>
      <c r="E18" s="167">
        <v>0</v>
      </c>
      <c r="F18" s="167">
        <v>0</v>
      </c>
      <c r="G18" s="167">
        <v>0</v>
      </c>
      <c r="H18" s="167">
        <v>0</v>
      </c>
      <c r="I18" s="167">
        <v>0</v>
      </c>
      <c r="J18" s="167">
        <v>0</v>
      </c>
      <c r="K18" s="167">
        <v>0</v>
      </c>
      <c r="L18" s="167">
        <v>0</v>
      </c>
      <c r="M18" s="167">
        <v>0</v>
      </c>
      <c r="N18" s="167">
        <v>0</v>
      </c>
    </row>
    <row r="19" spans="1:14" ht="14.4">
      <c r="A19" s="172" t="s">
        <v>18</v>
      </c>
      <c r="B19" s="167" t="s">
        <v>57</v>
      </c>
      <c r="C19" s="167">
        <v>0</v>
      </c>
      <c r="D19" s="167">
        <v>0</v>
      </c>
      <c r="E19" s="167">
        <v>0</v>
      </c>
      <c r="F19" s="167">
        <v>0</v>
      </c>
      <c r="G19" s="167">
        <v>0</v>
      </c>
      <c r="H19" s="167">
        <v>0</v>
      </c>
      <c r="I19" s="167">
        <v>0</v>
      </c>
      <c r="J19" s="167">
        <v>0</v>
      </c>
      <c r="K19" s="167">
        <v>0</v>
      </c>
      <c r="L19" s="167">
        <v>0</v>
      </c>
      <c r="M19" s="167">
        <v>0</v>
      </c>
      <c r="N19" s="167">
        <v>0</v>
      </c>
    </row>
    <row r="20" spans="1:14" ht="14.4" hidden="1">
      <c r="A20" s="172" t="s">
        <v>22</v>
      </c>
      <c r="B20" s="167" t="s">
        <v>57</v>
      </c>
      <c r="C20" s="167">
        <v>0</v>
      </c>
      <c r="D20" s="167">
        <v>0</v>
      </c>
      <c r="E20" s="167">
        <v>0</v>
      </c>
      <c r="F20" s="167">
        <v>0</v>
      </c>
      <c r="G20" s="167">
        <v>0</v>
      </c>
      <c r="H20" s="167">
        <v>0</v>
      </c>
      <c r="I20" s="167">
        <v>0</v>
      </c>
      <c r="J20" s="167">
        <v>0</v>
      </c>
      <c r="K20" s="167">
        <v>0</v>
      </c>
      <c r="L20" s="167">
        <v>0</v>
      </c>
      <c r="M20" s="167">
        <v>0</v>
      </c>
      <c r="N20" s="167">
        <v>0</v>
      </c>
    </row>
    <row r="21" spans="1:14" ht="14.4" hidden="1">
      <c r="A21" s="172" t="s">
        <v>22</v>
      </c>
      <c r="B21" s="167" t="s">
        <v>57</v>
      </c>
      <c r="C21" s="167">
        <v>0</v>
      </c>
      <c r="D21" s="167">
        <v>0</v>
      </c>
      <c r="E21" s="167">
        <v>0</v>
      </c>
      <c r="F21" s="167">
        <v>0</v>
      </c>
      <c r="G21" s="167">
        <v>0</v>
      </c>
      <c r="H21" s="167">
        <v>0</v>
      </c>
      <c r="I21" s="167">
        <v>0</v>
      </c>
      <c r="J21" s="167">
        <v>0</v>
      </c>
      <c r="K21" s="167">
        <v>0</v>
      </c>
      <c r="L21" s="167">
        <v>0</v>
      </c>
      <c r="M21" s="167">
        <v>0</v>
      </c>
      <c r="N21" s="167">
        <v>0</v>
      </c>
    </row>
    <row r="22" spans="1:14" ht="14.4" hidden="1">
      <c r="A22" s="172" t="s">
        <v>15</v>
      </c>
      <c r="B22" s="167" t="s">
        <v>56</v>
      </c>
      <c r="C22" s="167">
        <v>0</v>
      </c>
      <c r="D22" s="167">
        <v>0</v>
      </c>
      <c r="E22" s="167">
        <v>0</v>
      </c>
      <c r="F22" s="167">
        <v>0</v>
      </c>
      <c r="G22" s="167">
        <v>0</v>
      </c>
      <c r="H22" s="167">
        <v>0</v>
      </c>
      <c r="I22" s="167">
        <v>0</v>
      </c>
      <c r="J22" s="167">
        <v>0</v>
      </c>
      <c r="K22" s="167">
        <v>0</v>
      </c>
      <c r="L22" s="167">
        <v>0</v>
      </c>
      <c r="M22" s="167">
        <v>0</v>
      </c>
      <c r="N22" s="167">
        <v>0</v>
      </c>
    </row>
    <row r="23" spans="1:14" ht="14.4">
      <c r="A23" s="172" t="s">
        <v>18</v>
      </c>
      <c r="B23" s="167" t="s">
        <v>56</v>
      </c>
      <c r="C23" s="167">
        <v>0</v>
      </c>
      <c r="D23" s="167">
        <v>0</v>
      </c>
      <c r="E23" s="167">
        <v>0</v>
      </c>
      <c r="F23" s="167">
        <v>0</v>
      </c>
      <c r="G23" s="167">
        <v>0</v>
      </c>
      <c r="H23" s="167">
        <v>0</v>
      </c>
      <c r="I23" s="167">
        <v>0</v>
      </c>
      <c r="J23" s="167">
        <v>0</v>
      </c>
      <c r="K23" s="167">
        <v>0</v>
      </c>
      <c r="L23" s="167">
        <v>0</v>
      </c>
      <c r="M23" s="167">
        <v>0</v>
      </c>
      <c r="N23" s="167">
        <v>0</v>
      </c>
    </row>
    <row r="24" spans="1:14" ht="14.4" hidden="1">
      <c r="A24" s="172" t="s">
        <v>22</v>
      </c>
      <c r="B24" s="167" t="s">
        <v>56</v>
      </c>
      <c r="C24" s="167">
        <v>0</v>
      </c>
      <c r="D24" s="167">
        <v>0</v>
      </c>
      <c r="E24" s="167">
        <v>0</v>
      </c>
      <c r="F24" s="167">
        <v>0</v>
      </c>
      <c r="G24" s="167">
        <v>144.2017752926086</v>
      </c>
      <c r="H24" s="167">
        <v>144.2017752926086</v>
      </c>
      <c r="I24" s="167">
        <v>144.2017752926086</v>
      </c>
      <c r="J24" s="167">
        <v>144.2017752926086</v>
      </c>
      <c r="K24" s="167">
        <v>144.2017752926086</v>
      </c>
      <c r="L24" s="167">
        <v>144.2017752926086</v>
      </c>
      <c r="M24" s="167">
        <v>144.2017752926086</v>
      </c>
      <c r="N24" s="167">
        <v>144.2017752926086</v>
      </c>
    </row>
    <row r="25" spans="1:14" ht="14.4" hidden="1">
      <c r="A25" s="172" t="s">
        <v>22</v>
      </c>
      <c r="B25" s="167" t="s">
        <v>56</v>
      </c>
      <c r="C25" s="167">
        <v>0</v>
      </c>
      <c r="D25" s="167">
        <v>0</v>
      </c>
      <c r="E25" s="167">
        <v>0</v>
      </c>
      <c r="F25" s="167">
        <v>0</v>
      </c>
      <c r="G25" s="167">
        <v>987.01215127465127</v>
      </c>
      <c r="H25" s="167">
        <v>987.01215127465127</v>
      </c>
      <c r="I25" s="167">
        <v>987.01215127465127</v>
      </c>
      <c r="J25" s="167">
        <v>987.01215127465127</v>
      </c>
      <c r="K25" s="167">
        <v>987.01215127465127</v>
      </c>
      <c r="L25" s="167">
        <v>987.01215127465127</v>
      </c>
      <c r="M25" s="167">
        <v>987.01215127465127</v>
      </c>
      <c r="N25" s="167">
        <v>987.01215127465127</v>
      </c>
    </row>
    <row r="26" spans="1:14" ht="14.4" hidden="1">
      <c r="A26" s="172" t="s">
        <v>15</v>
      </c>
      <c r="B26" s="167" t="s">
        <v>55</v>
      </c>
      <c r="C26" s="167">
        <v>0</v>
      </c>
      <c r="D26" s="167">
        <v>0</v>
      </c>
      <c r="E26" s="167">
        <v>0</v>
      </c>
      <c r="F26" s="167">
        <v>0</v>
      </c>
      <c r="G26" s="167">
        <v>0</v>
      </c>
      <c r="H26" s="167">
        <v>0</v>
      </c>
      <c r="I26" s="167">
        <v>0</v>
      </c>
      <c r="J26" s="167">
        <v>0</v>
      </c>
      <c r="K26" s="167">
        <v>0</v>
      </c>
      <c r="L26" s="167">
        <v>0</v>
      </c>
      <c r="M26" s="167">
        <v>0</v>
      </c>
      <c r="N26" s="167">
        <v>0</v>
      </c>
    </row>
    <row r="27" spans="1:14" ht="14.4">
      <c r="A27" s="172" t="s">
        <v>18</v>
      </c>
      <c r="B27" s="167" t="s">
        <v>55</v>
      </c>
      <c r="C27" s="167">
        <v>0</v>
      </c>
      <c r="D27" s="167">
        <v>0</v>
      </c>
      <c r="E27" s="167">
        <v>0</v>
      </c>
      <c r="F27" s="167">
        <v>0</v>
      </c>
      <c r="G27" s="167">
        <v>0</v>
      </c>
      <c r="H27" s="167">
        <v>0</v>
      </c>
      <c r="I27" s="167">
        <v>0</v>
      </c>
      <c r="J27" s="167">
        <v>0</v>
      </c>
      <c r="K27" s="167">
        <v>0</v>
      </c>
      <c r="L27" s="167">
        <v>0</v>
      </c>
      <c r="M27" s="167">
        <v>0</v>
      </c>
      <c r="N27" s="167">
        <v>0</v>
      </c>
    </row>
    <row r="28" spans="1:14" ht="14.4" hidden="1">
      <c r="A28" s="172" t="s">
        <v>22</v>
      </c>
      <c r="B28" s="167" t="s">
        <v>55</v>
      </c>
      <c r="C28" s="167">
        <v>0</v>
      </c>
      <c r="D28" s="167">
        <v>0</v>
      </c>
      <c r="E28" s="167">
        <v>0</v>
      </c>
      <c r="F28" s="167">
        <v>0</v>
      </c>
      <c r="G28" s="167">
        <v>23.202248677248679</v>
      </c>
      <c r="H28" s="167">
        <v>23.202248677248679</v>
      </c>
      <c r="I28" s="167">
        <v>23.202248677248679</v>
      </c>
      <c r="J28" s="167">
        <v>23.202248677248679</v>
      </c>
      <c r="K28" s="167">
        <v>23.202248677248679</v>
      </c>
      <c r="L28" s="167">
        <v>23.202248677248679</v>
      </c>
      <c r="M28" s="167">
        <v>23.202248677248679</v>
      </c>
      <c r="N28" s="167">
        <v>23.202248677248679</v>
      </c>
    </row>
    <row r="29" spans="1:14" ht="14.4" hidden="1">
      <c r="A29" s="172" t="s">
        <v>22</v>
      </c>
      <c r="B29" s="167" t="s">
        <v>55</v>
      </c>
      <c r="C29" s="167">
        <v>0</v>
      </c>
      <c r="D29" s="167">
        <v>0</v>
      </c>
      <c r="E29" s="167">
        <v>0</v>
      </c>
      <c r="F29" s="167">
        <v>0</v>
      </c>
      <c r="G29" s="167">
        <v>158.81150793650798</v>
      </c>
      <c r="H29" s="167">
        <v>158.81150793650798</v>
      </c>
      <c r="I29" s="167">
        <v>158.81150793650798</v>
      </c>
      <c r="J29" s="167">
        <v>158.81150793650798</v>
      </c>
      <c r="K29" s="167">
        <v>158.81150793650798</v>
      </c>
      <c r="L29" s="167">
        <v>158.81150793650798</v>
      </c>
      <c r="M29" s="167">
        <v>158.81150793650798</v>
      </c>
      <c r="N29" s="167">
        <v>158.81150793650798</v>
      </c>
    </row>
    <row r="30" spans="1:14" ht="14.4" hidden="1">
      <c r="A30" s="172" t="s">
        <v>15</v>
      </c>
      <c r="B30" s="167" t="s">
        <v>53</v>
      </c>
      <c r="C30" s="167">
        <v>329.91</v>
      </c>
      <c r="D30" s="167">
        <v>329.91</v>
      </c>
      <c r="E30" s="167">
        <v>329.91</v>
      </c>
      <c r="F30" s="167">
        <v>329.91</v>
      </c>
      <c r="G30" s="167">
        <v>329.91</v>
      </c>
      <c r="H30" s="167">
        <v>329.91</v>
      </c>
      <c r="I30" s="167">
        <v>329.91</v>
      </c>
      <c r="J30" s="167">
        <v>329.91</v>
      </c>
      <c r="K30" s="167">
        <v>329.91</v>
      </c>
      <c r="L30" s="167">
        <v>329.91</v>
      </c>
      <c r="M30" s="167">
        <v>329.91</v>
      </c>
      <c r="N30" s="167">
        <v>329.91</v>
      </c>
    </row>
    <row r="31" spans="1:14" ht="14.4">
      <c r="A31" s="172" t="s">
        <v>18</v>
      </c>
      <c r="B31" s="167" t="s">
        <v>53</v>
      </c>
      <c r="C31" s="167">
        <v>119.82</v>
      </c>
      <c r="D31" s="167">
        <v>119.82</v>
      </c>
      <c r="E31" s="167">
        <v>119.82</v>
      </c>
      <c r="F31" s="167">
        <v>119.82</v>
      </c>
      <c r="G31" s="167">
        <v>119.82</v>
      </c>
      <c r="H31" s="167">
        <v>119.82</v>
      </c>
      <c r="I31" s="167">
        <v>119.82</v>
      </c>
      <c r="J31" s="167">
        <v>119.82</v>
      </c>
      <c r="K31" s="167">
        <v>119.82</v>
      </c>
      <c r="L31" s="167">
        <v>119.82</v>
      </c>
      <c r="M31" s="167">
        <v>119.82</v>
      </c>
      <c r="N31" s="167">
        <v>119.82</v>
      </c>
    </row>
    <row r="32" spans="1:14" ht="14.4" hidden="1">
      <c r="A32" s="172" t="s">
        <v>22</v>
      </c>
      <c r="B32" s="167" t="s">
        <v>53</v>
      </c>
      <c r="C32" s="167">
        <v>0</v>
      </c>
      <c r="D32" s="167">
        <v>0</v>
      </c>
      <c r="E32" s="167">
        <v>0</v>
      </c>
      <c r="F32" s="167">
        <v>0</v>
      </c>
      <c r="G32" s="167">
        <v>0</v>
      </c>
      <c r="H32" s="167">
        <v>0</v>
      </c>
      <c r="I32" s="167">
        <v>0</v>
      </c>
      <c r="J32" s="167">
        <v>0</v>
      </c>
      <c r="K32" s="167">
        <v>0</v>
      </c>
      <c r="L32" s="167">
        <v>0</v>
      </c>
      <c r="M32" s="167">
        <v>0</v>
      </c>
      <c r="N32" s="167">
        <v>0</v>
      </c>
    </row>
    <row r="33" spans="1:14" ht="14.4" hidden="1">
      <c r="A33" s="172" t="s">
        <v>22</v>
      </c>
      <c r="B33" s="167" t="s">
        <v>53</v>
      </c>
      <c r="C33" s="167">
        <v>0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>
        <v>0</v>
      </c>
      <c r="M33" s="167">
        <v>0</v>
      </c>
      <c r="N33" s="167">
        <v>0</v>
      </c>
    </row>
    <row r="36" spans="1:14">
      <c r="C36" s="167">
        <v>161.54</v>
      </c>
      <c r="E36" s="3">
        <v>4963.3900000000003</v>
      </c>
      <c r="F36">
        <v>245.07</v>
      </c>
      <c r="I36">
        <v>166</v>
      </c>
    </row>
    <row r="37" spans="1:14">
      <c r="I37" s="171">
        <f>I36-I11</f>
        <v>19.534698821548801</v>
      </c>
    </row>
    <row r="39" spans="1:14">
      <c r="C39" s="171">
        <f>C36-C11</f>
        <v>19.002598821548787</v>
      </c>
      <c r="F39" s="171">
        <f>F11-F36</f>
        <v>-98.604698821548794</v>
      </c>
    </row>
    <row r="42" spans="1:14">
      <c r="C42" s="3">
        <v>4505.74</v>
      </c>
    </row>
    <row r="43" spans="1:14">
      <c r="C43" s="3">
        <v>5378.49</v>
      </c>
    </row>
    <row r="44" spans="1:14">
      <c r="C44" s="3">
        <f>C43-C42</f>
        <v>872.75</v>
      </c>
    </row>
  </sheetData>
  <autoFilter ref="A1:N33" xr:uid="{6AA55740-7E75-414E-BF0D-2225066B7195}">
    <filterColumn colId="0">
      <filters>
        <filter val="Arizona Sports &amp; Spine Physicians"/>
      </filters>
    </filterColumn>
  </autoFilter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BR226"/>
  <sheetViews>
    <sheetView zoomScaleNormal="100" zoomScaleSheetLayoutView="130" zoomScalePageLayoutView="55" workbookViewId="0">
      <pane xSplit="1" ySplit="10" topLeftCell="B12" activePane="bottomRight" state="frozen"/>
      <selection pane="topRight" activeCell="B1" sqref="B1"/>
      <selection pane="bottomLeft" activeCell="A11" sqref="A11"/>
      <selection pane="bottomRight" activeCell="B13" sqref="B13"/>
    </sheetView>
  </sheetViews>
  <sheetFormatPr defaultColWidth="11.44140625" defaultRowHeight="14.4"/>
  <cols>
    <col min="1" max="1" width="9.6640625" style="123" customWidth="1"/>
    <col min="2" max="2" width="36.33203125" style="123" customWidth="1"/>
    <col min="3" max="3" width="13.33203125" style="123" customWidth="1"/>
    <col min="4" max="5" width="11.33203125" style="123" customWidth="1"/>
    <col min="6" max="6" width="11.6640625" style="123" bestFit="1" customWidth="1"/>
    <col min="7" max="12" width="11.33203125" style="123" customWidth="1"/>
    <col min="13" max="13" width="13.5546875" style="123" customWidth="1"/>
    <col min="14" max="14" width="12" style="123" customWidth="1"/>
    <col min="15" max="16" width="15.6640625" style="123" customWidth="1"/>
    <col min="17" max="17" width="11.33203125" style="134" customWidth="1"/>
    <col min="18" max="18" width="14.33203125" style="123" customWidth="1"/>
    <col min="19" max="19" width="12.33203125" style="123" customWidth="1"/>
    <col min="20" max="20" width="11.6640625" style="123" customWidth="1"/>
    <col min="21" max="21" width="11.44140625" style="126" customWidth="1"/>
    <col min="22" max="22" width="58" style="124" customWidth="1"/>
    <col min="23" max="23" width="7.6640625" style="125" customWidth="1"/>
    <col min="24" max="25" width="8.6640625" style="125" customWidth="1"/>
    <col min="26" max="29" width="8.6640625" style="123" customWidth="1"/>
    <col min="30" max="30" width="10.6640625" style="123" customWidth="1"/>
    <col min="31" max="35" width="8.6640625" style="123" customWidth="1"/>
    <col min="36" max="36" width="10.44140625" style="123" customWidth="1"/>
    <col min="37" max="37" width="20.6640625" style="123" customWidth="1"/>
    <col min="38" max="38" width="8" style="123" customWidth="1"/>
    <col min="39" max="39" width="12.5546875" style="123" customWidth="1"/>
    <col min="40" max="40" width="11.6640625" style="123" customWidth="1"/>
    <col min="41" max="53" width="8.6640625" style="123" customWidth="1"/>
    <col min="54" max="54" width="26.6640625" style="123" customWidth="1"/>
    <col min="55" max="55" width="8.6640625" style="123" customWidth="1"/>
    <col min="56" max="56" width="12.6640625" style="123" customWidth="1"/>
    <col min="57" max="57" width="7.6640625" style="123" customWidth="1"/>
    <col min="58" max="70" width="8.6640625" style="123" customWidth="1"/>
    <col min="71" max="71" width="21.6640625" style="123" customWidth="1"/>
    <col min="72" max="72" width="8.6640625" style="123" customWidth="1"/>
    <col min="73" max="73" width="10.6640625" style="123" customWidth="1"/>
    <col min="74" max="86" width="8.6640625" style="123" customWidth="1"/>
    <col min="87" max="16384" width="11.44140625" style="123"/>
  </cols>
  <sheetData>
    <row r="1" spans="1:31" ht="13.2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94"/>
      <c r="O1" s="195"/>
      <c r="P1" s="195"/>
      <c r="Q1" s="45"/>
      <c r="R1" s="45"/>
      <c r="S1" s="45"/>
      <c r="T1" s="7"/>
      <c r="U1" s="196"/>
      <c r="V1" s="197"/>
      <c r="W1" s="64"/>
      <c r="X1" s="64"/>
      <c r="Y1" s="64"/>
      <c r="Z1" s="7"/>
      <c r="AA1" s="7"/>
      <c r="AB1" s="7"/>
      <c r="AC1" s="7"/>
      <c r="AD1" s="7"/>
      <c r="AE1" s="7"/>
    </row>
    <row r="2" spans="1:31" ht="13.2" customHeight="1">
      <c r="A2" s="476" t="s">
        <v>61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191"/>
      <c r="Q2" s="191"/>
      <c r="R2" s="191"/>
      <c r="S2" s="191"/>
      <c r="T2" s="7"/>
      <c r="U2" s="196"/>
      <c r="V2" s="197"/>
      <c r="W2" s="64"/>
      <c r="X2" s="64"/>
      <c r="Y2" s="64"/>
      <c r="Z2" s="7"/>
      <c r="AA2" s="7"/>
      <c r="AB2" s="7"/>
      <c r="AC2" s="7"/>
      <c r="AD2" s="7"/>
      <c r="AE2" s="7"/>
    </row>
    <row r="3" spans="1:31" ht="13.2" customHeight="1">
      <c r="A3" s="476" t="s">
        <v>62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191"/>
      <c r="Q3" s="191"/>
      <c r="R3" s="191"/>
      <c r="S3" s="191"/>
      <c r="T3" s="7"/>
      <c r="U3" s="196"/>
      <c r="V3" s="197"/>
      <c r="W3" s="64"/>
      <c r="X3" s="64"/>
      <c r="Y3" s="64"/>
      <c r="Z3" s="7"/>
      <c r="AA3" s="7"/>
      <c r="AB3" s="7"/>
      <c r="AC3" s="7"/>
      <c r="AD3" s="7"/>
      <c r="AE3" s="7"/>
    </row>
    <row r="4" spans="1:31" ht="13.2" customHeight="1">
      <c r="A4" s="476" t="s">
        <v>63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191"/>
      <c r="Q4" s="191"/>
      <c r="R4" s="191"/>
      <c r="S4" s="191"/>
      <c r="T4" s="7" t="s">
        <v>64</v>
      </c>
      <c r="U4" s="198">
        <f ca="1">TODAY()</f>
        <v>46235</v>
      </c>
      <c r="V4" s="197"/>
      <c r="W4" s="64"/>
      <c r="X4" s="64"/>
      <c r="Y4" s="64"/>
      <c r="Z4" s="7"/>
      <c r="AA4" s="7"/>
      <c r="AB4" s="7"/>
      <c r="AC4" s="7"/>
      <c r="AD4" s="7"/>
      <c r="AE4" s="7"/>
    </row>
    <row r="5" spans="1:31" ht="13.2" customHeight="1">
      <c r="A5" s="477" t="s">
        <v>65</v>
      </c>
      <c r="B5" s="477"/>
      <c r="C5" s="477"/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  <c r="P5" s="199"/>
      <c r="Q5" s="191"/>
      <c r="R5" s="191"/>
      <c r="S5" s="191"/>
      <c r="T5" s="7"/>
      <c r="U5" s="196"/>
      <c r="V5" s="197"/>
      <c r="W5" s="64"/>
      <c r="X5" s="64"/>
      <c r="Y5" s="64"/>
      <c r="Z5" s="7"/>
      <c r="AA5" s="7"/>
      <c r="AB5" s="7"/>
      <c r="AC5" s="7"/>
      <c r="AD5" s="7"/>
      <c r="AE5" s="7"/>
    </row>
    <row r="6" spans="1:31" ht="13.2" customHeight="1">
      <c r="A6" s="476" t="s">
        <v>66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191"/>
      <c r="Q6" s="191"/>
      <c r="R6" s="191"/>
      <c r="S6" s="191"/>
      <c r="T6" s="7"/>
      <c r="U6" s="200"/>
      <c r="V6" s="197"/>
      <c r="W6" s="64"/>
      <c r="X6" s="64"/>
      <c r="Y6" s="64"/>
      <c r="Z6" s="7"/>
      <c r="AA6" s="7"/>
      <c r="AB6" s="7"/>
      <c r="AC6" s="7"/>
      <c r="AD6" s="7"/>
      <c r="AE6" s="7"/>
    </row>
    <row r="7" spans="1:31" ht="16.2" customHeight="1">
      <c r="A7" s="7"/>
      <c r="B7" s="7"/>
      <c r="C7" s="7"/>
      <c r="D7" s="7"/>
      <c r="E7" s="7"/>
      <c r="F7" s="4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200"/>
      <c r="V7" s="197"/>
      <c r="W7" s="64"/>
      <c r="X7" s="64"/>
      <c r="Y7" s="64"/>
      <c r="Z7" s="7"/>
      <c r="AA7" s="7"/>
      <c r="AB7" s="7"/>
      <c r="AC7" s="7"/>
      <c r="AD7" s="7"/>
      <c r="AE7" s="7"/>
    </row>
    <row r="8" spans="1:31" ht="13.2" customHeight="1">
      <c r="A8" s="201" t="s">
        <v>67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201">
        <v>2026</v>
      </c>
      <c r="P8" s="473" t="s">
        <v>68</v>
      </c>
      <c r="Q8" s="473" t="s">
        <v>69</v>
      </c>
      <c r="R8" s="201" t="s">
        <v>70</v>
      </c>
      <c r="S8" s="201"/>
      <c r="T8" s="202" t="s">
        <v>71</v>
      </c>
      <c r="U8" s="203" t="s">
        <v>72</v>
      </c>
      <c r="V8" s="197"/>
      <c r="W8" s="64"/>
      <c r="X8" s="64"/>
      <c r="Y8" s="64"/>
      <c r="Z8" s="7"/>
      <c r="AA8" s="7"/>
      <c r="AB8" s="7"/>
      <c r="AC8" s="7"/>
      <c r="AD8" s="7"/>
      <c r="AE8" s="7"/>
    </row>
    <row r="9" spans="1:31" ht="13.2" customHeight="1">
      <c r="A9" s="204" t="s">
        <v>73</v>
      </c>
      <c r="B9" s="49" t="s">
        <v>74</v>
      </c>
      <c r="C9" s="49" t="s">
        <v>75</v>
      </c>
      <c r="D9" s="49" t="s">
        <v>76</v>
      </c>
      <c r="E9" s="49" t="s">
        <v>77</v>
      </c>
      <c r="F9" s="49" t="s">
        <v>78</v>
      </c>
      <c r="G9" s="49" t="s">
        <v>79</v>
      </c>
      <c r="H9" s="49" t="s">
        <v>80</v>
      </c>
      <c r="I9" s="49" t="s">
        <v>81</v>
      </c>
      <c r="J9" s="49" t="s">
        <v>82</v>
      </c>
      <c r="K9" s="49" t="s">
        <v>83</v>
      </c>
      <c r="L9" s="49" t="s">
        <v>84</v>
      </c>
      <c r="M9" s="49" t="s">
        <v>85</v>
      </c>
      <c r="N9" s="49" t="s">
        <v>86</v>
      </c>
      <c r="O9" s="49" t="s">
        <v>87</v>
      </c>
      <c r="P9" s="474"/>
      <c r="Q9" s="474"/>
      <c r="R9" s="49" t="s">
        <v>88</v>
      </c>
      <c r="S9" s="49" t="s">
        <v>89</v>
      </c>
      <c r="T9" s="205" t="s">
        <v>90</v>
      </c>
      <c r="U9" s="206" t="s">
        <v>91</v>
      </c>
      <c r="V9" s="197"/>
      <c r="W9" s="64"/>
      <c r="X9" s="64"/>
      <c r="Y9" s="64"/>
      <c r="Z9" s="7"/>
      <c r="AA9" s="7"/>
      <c r="AB9" s="7"/>
      <c r="AC9" s="7"/>
      <c r="AD9" s="7"/>
      <c r="AE9" s="7"/>
    </row>
    <row r="10" spans="1:31" ht="12.75" customHeight="1">
      <c r="A10" s="51" t="s">
        <v>92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 t="s">
        <v>93</v>
      </c>
      <c r="P10" s="475"/>
      <c r="Q10" s="475"/>
      <c r="R10" s="51" t="s">
        <v>94</v>
      </c>
      <c r="S10" s="51"/>
      <c r="T10" s="207" t="s">
        <v>95</v>
      </c>
      <c r="U10" s="208" t="s">
        <v>96</v>
      </c>
      <c r="V10" s="197"/>
      <c r="W10" s="64"/>
      <c r="X10" s="64"/>
      <c r="Y10" s="64"/>
      <c r="Z10" s="7"/>
      <c r="AA10" s="7"/>
      <c r="AB10" s="7"/>
      <c r="AC10" s="7"/>
      <c r="AD10" s="7"/>
      <c r="AE10" s="127" t="s">
        <v>97</v>
      </c>
    </row>
    <row r="11" spans="1:31" ht="15" customHeight="1">
      <c r="A11" s="7"/>
      <c r="B11" s="191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10"/>
      <c r="T11" s="7"/>
      <c r="U11" s="200"/>
      <c r="V11" s="197"/>
      <c r="W11" s="64"/>
      <c r="X11" s="64"/>
      <c r="Y11" s="64"/>
      <c r="Z11" s="7"/>
      <c r="AA11" s="7"/>
      <c r="AB11" s="7"/>
      <c r="AC11" s="7"/>
      <c r="AD11" s="7"/>
      <c r="AE11" s="7"/>
    </row>
    <row r="12" spans="1:31" ht="15" customHeight="1">
      <c r="A12" s="7"/>
      <c r="B12" s="191" t="s">
        <v>98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10"/>
      <c r="T12" s="7"/>
      <c r="U12" s="200"/>
      <c r="V12" s="197"/>
      <c r="W12" s="64"/>
      <c r="X12" s="64"/>
      <c r="Y12" s="64"/>
      <c r="Z12" s="7"/>
      <c r="AA12" s="7"/>
      <c r="AB12" s="7"/>
      <c r="AC12" s="7"/>
      <c r="AD12" s="7"/>
      <c r="AE12" s="7"/>
    </row>
    <row r="13" spans="1:31" ht="13.2" customHeight="1">
      <c r="A13" s="64">
        <v>40100</v>
      </c>
      <c r="B13" s="211" t="s">
        <v>99</v>
      </c>
      <c r="C13" s="73">
        <f>Rent!E23</f>
        <v>17644.09</v>
      </c>
      <c r="D13" s="73">
        <f>Rent!F23</f>
        <v>17644.09</v>
      </c>
      <c r="E13" s="73">
        <f>Rent!G23</f>
        <v>17711.666774193549</v>
      </c>
      <c r="F13" s="73">
        <f>Rent!H23</f>
        <v>18173.099999999999</v>
      </c>
      <c r="G13" s="73">
        <f>Rent!I23</f>
        <v>27723.659999999996</v>
      </c>
      <c r="H13" s="73">
        <f>Rent!J23</f>
        <v>27723.659999999996</v>
      </c>
      <c r="I13" s="73">
        <f>Rent!K23</f>
        <v>27723.659999999996</v>
      </c>
      <c r="J13" s="73">
        <f>Rent!L23</f>
        <v>27723.659999999996</v>
      </c>
      <c r="K13" s="73">
        <f>Rent!M23</f>
        <v>27723.659999999996</v>
      </c>
      <c r="L13" s="73">
        <f>Rent!N23</f>
        <v>27723.659999999996</v>
      </c>
      <c r="M13" s="73">
        <f>Rent!O23</f>
        <v>27723.659999999996</v>
      </c>
      <c r="N13" s="73">
        <f>Rent!P23</f>
        <v>27723.659999999996</v>
      </c>
      <c r="O13" s="212">
        <f>SUM(C13:N13)</f>
        <v>292962.22677419352</v>
      </c>
      <c r="P13" s="73">
        <v>197127</v>
      </c>
      <c r="Q13" s="73">
        <v>208938</v>
      </c>
      <c r="R13" s="73">
        <f>O13-P13</f>
        <v>95835.226774193521</v>
      </c>
      <c r="S13" s="213"/>
      <c r="T13" s="214">
        <f>Rent!$C$23</f>
        <v>12474</v>
      </c>
      <c r="U13" s="196">
        <f>O13/T13</f>
        <v>23.485828665559847</v>
      </c>
      <c r="V13" s="197"/>
      <c r="W13" s="215"/>
      <c r="X13" s="64"/>
      <c r="Y13" s="64"/>
      <c r="Z13" s="7"/>
      <c r="AA13" s="7"/>
      <c r="AB13" s="7"/>
      <c r="AC13" s="7"/>
      <c r="AD13" s="7"/>
      <c r="AE13" s="7"/>
    </row>
    <row r="14" spans="1:31" ht="13.2" customHeight="1">
      <c r="A14" s="64">
        <v>40140</v>
      </c>
      <c r="B14" s="211" t="s">
        <v>100</v>
      </c>
      <c r="C14" s="73">
        <f>CAM!E25</f>
        <v>867.81048180214873</v>
      </c>
      <c r="D14" s="73">
        <f>CAM!F25</f>
        <v>867.81048180214873</v>
      </c>
      <c r="E14" s="73">
        <f>CAM!G25</f>
        <v>867.81048180214873</v>
      </c>
      <c r="F14" s="73">
        <f>CAM!H25</f>
        <v>867.81048180214873</v>
      </c>
      <c r="G14" s="73">
        <f>CAM!I25</f>
        <v>2984.7746363545539</v>
      </c>
      <c r="H14" s="73">
        <f>CAM!J25</f>
        <v>2984.7746363545539</v>
      </c>
      <c r="I14" s="73">
        <f>CAM!K25</f>
        <v>2984.7746363545539</v>
      </c>
      <c r="J14" s="73">
        <f>CAM!L25</f>
        <v>2984.7746363545539</v>
      </c>
      <c r="K14" s="73">
        <f>CAM!M25</f>
        <v>2984.7746363545539</v>
      </c>
      <c r="L14" s="73">
        <f>CAM!N25</f>
        <v>2984.7746363545539</v>
      </c>
      <c r="M14" s="73">
        <f>CAM!O25</f>
        <v>2984.7746363545539</v>
      </c>
      <c r="N14" s="73">
        <f>CAM!P25</f>
        <v>2984.7746363545539</v>
      </c>
      <c r="O14" s="212">
        <f t="shared" ref="O14:O25" si="0">SUM(C14:N14)</f>
        <v>27349.439018045021</v>
      </c>
      <c r="P14" s="73">
        <v>3781</v>
      </c>
      <c r="Q14" s="73">
        <v>4044</v>
      </c>
      <c r="R14" s="73">
        <f t="shared" ref="R14:R25" si="1">O14-P14</f>
        <v>23568.439018045021</v>
      </c>
      <c r="S14" s="213"/>
      <c r="T14" s="214">
        <f>Rent!$C$23</f>
        <v>12474</v>
      </c>
      <c r="U14" s="196">
        <f>O14/T14</f>
        <v>2.1925155537954963</v>
      </c>
      <c r="V14" s="197"/>
      <c r="W14" s="215"/>
      <c r="X14" s="64"/>
      <c r="Y14" s="64"/>
      <c r="Z14" s="7"/>
      <c r="AA14" s="7"/>
      <c r="AB14" s="7"/>
      <c r="AC14" s="7"/>
      <c r="AD14" s="7"/>
      <c r="AE14" s="7"/>
    </row>
    <row r="15" spans="1:31" ht="13.2" customHeight="1">
      <c r="A15" s="64">
        <v>41300</v>
      </c>
      <c r="B15" s="211" t="s">
        <v>101</v>
      </c>
      <c r="C15" s="73">
        <f>'Sales Tax'!E35</f>
        <v>568.84891445406458</v>
      </c>
      <c r="D15" s="73">
        <f>'Sales Tax'!F35</f>
        <v>568.84891445406458</v>
      </c>
      <c r="E15" s="73">
        <f>'Sales Tax'!G35</f>
        <v>570.87621767987105</v>
      </c>
      <c r="F15" s="73">
        <f>'Sales Tax'!H35</f>
        <v>584.71921445406451</v>
      </c>
      <c r="G15" s="73">
        <f>'Sales Tax'!I35</f>
        <v>1034.0271916687198</v>
      </c>
      <c r="H15" s="73">
        <f>'Sales Tax'!J35</f>
        <v>1034.0271916687198</v>
      </c>
      <c r="I15" s="73">
        <f>'Sales Tax'!K35</f>
        <v>1034.0271916687198</v>
      </c>
      <c r="J15" s="73">
        <f>'Sales Tax'!L35</f>
        <v>1034.0271916687198</v>
      </c>
      <c r="K15" s="73">
        <f>'Sales Tax'!M35</f>
        <v>1034.0271916687198</v>
      </c>
      <c r="L15" s="73">
        <f>'Sales Tax'!N35</f>
        <v>1034.0271916687198</v>
      </c>
      <c r="M15" s="73">
        <f>'Sales Tax'!O35</f>
        <v>1034.0271916687198</v>
      </c>
      <c r="N15" s="73">
        <f>'Sales Tax'!P35</f>
        <v>1034.0271916687198</v>
      </c>
      <c r="O15" s="73">
        <f t="shared" si="0"/>
        <v>10565.510794391823</v>
      </c>
      <c r="P15" s="73">
        <v>5959</v>
      </c>
      <c r="Q15" s="73">
        <v>6386</v>
      </c>
      <c r="R15" s="73">
        <f t="shared" si="1"/>
        <v>4606.5107943918229</v>
      </c>
      <c r="S15" s="213"/>
      <c r="T15" s="214">
        <f>Rent!$C$23</f>
        <v>12474</v>
      </c>
      <c r="U15" s="196"/>
      <c r="V15" s="197"/>
      <c r="W15" s="215"/>
      <c r="X15" s="64"/>
      <c r="Y15" s="64"/>
      <c r="Z15" s="7"/>
      <c r="AA15" s="7"/>
      <c r="AB15" s="7"/>
      <c r="AC15" s="7"/>
      <c r="AD15" s="7"/>
      <c r="AE15" s="7"/>
    </row>
    <row r="16" spans="1:31" ht="13.2" customHeight="1">
      <c r="A16" s="64">
        <v>40150</v>
      </c>
      <c r="B16" s="211" t="s">
        <v>102</v>
      </c>
      <c r="C16" s="73">
        <v>0</v>
      </c>
      <c r="D16" s="73">
        <v>0</v>
      </c>
      <c r="E16" s="73">
        <v>0</v>
      </c>
      <c r="F16" s="73">
        <v>0</v>
      </c>
      <c r="G16" s="73">
        <v>0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f t="shared" si="0"/>
        <v>0</v>
      </c>
      <c r="P16" s="73">
        <v>-831</v>
      </c>
      <c r="Q16" s="73">
        <v>0</v>
      </c>
      <c r="R16" s="73">
        <f t="shared" si="1"/>
        <v>831</v>
      </c>
      <c r="S16" s="213"/>
      <c r="T16" s="214"/>
      <c r="U16" s="196">
        <v>0</v>
      </c>
      <c r="V16" s="197"/>
      <c r="W16" s="215"/>
      <c r="X16" s="64"/>
      <c r="Y16" s="64"/>
      <c r="Z16" s="7"/>
      <c r="AA16" s="7"/>
      <c r="AB16" s="7"/>
      <c r="AC16" s="7"/>
      <c r="AD16" s="7"/>
      <c r="AE16" s="7"/>
    </row>
    <row r="17" spans="1:23" ht="13.2" customHeight="1">
      <c r="A17" s="64">
        <v>40170</v>
      </c>
      <c r="B17" s="211" t="s">
        <v>103</v>
      </c>
      <c r="C17" s="73">
        <f>'Building Expenses'!E26</f>
        <v>0</v>
      </c>
      <c r="D17" s="73">
        <f>'Building Expenses'!F26</f>
        <v>0</v>
      </c>
      <c r="E17" s="73">
        <f>'Building Expenses'!G26</f>
        <v>0</v>
      </c>
      <c r="F17" s="73">
        <f>'Building Expenses'!H26</f>
        <v>0</v>
      </c>
      <c r="G17" s="73">
        <f>'Building Expenses'!I26</f>
        <v>1996.1807360884204</v>
      </c>
      <c r="H17" s="73">
        <f>'Building Expenses'!J26</f>
        <v>1996.1807360884204</v>
      </c>
      <c r="I17" s="73">
        <f>'Building Expenses'!K26</f>
        <v>1996.1807360884204</v>
      </c>
      <c r="J17" s="73">
        <f>'Building Expenses'!L26</f>
        <v>1996.1807360884204</v>
      </c>
      <c r="K17" s="73">
        <f>'Building Expenses'!M26</f>
        <v>1996.1807360884204</v>
      </c>
      <c r="L17" s="73">
        <f>'Building Expenses'!N26</f>
        <v>1996.1807360884204</v>
      </c>
      <c r="M17" s="73">
        <f>'Building Expenses'!O26</f>
        <v>1996.1807360884204</v>
      </c>
      <c r="N17" s="73">
        <f>'Building Expenses'!P26</f>
        <v>1996.1807360884204</v>
      </c>
      <c r="O17" s="73">
        <f t="shared" si="0"/>
        <v>15969.44588870736</v>
      </c>
      <c r="P17" s="73">
        <v>0</v>
      </c>
      <c r="Q17" s="73">
        <v>0</v>
      </c>
      <c r="R17" s="73">
        <f t="shared" si="1"/>
        <v>15969.44588870736</v>
      </c>
      <c r="S17" s="213"/>
      <c r="T17" s="214">
        <f>Rent!$C$23</f>
        <v>12474</v>
      </c>
      <c r="U17" s="196">
        <f t="shared" ref="U17:U23" si="2">O17/T17</f>
        <v>1.280218525629899</v>
      </c>
      <c r="V17" s="197"/>
      <c r="W17" s="215"/>
    </row>
    <row r="18" spans="1:23" ht="13.2" customHeight="1">
      <c r="A18" s="64">
        <v>40230</v>
      </c>
      <c r="B18" s="211" t="s">
        <v>104</v>
      </c>
      <c r="C18" s="73">
        <f>Ins.!E25</f>
        <v>0</v>
      </c>
      <c r="D18" s="73">
        <f>Ins.!F25</f>
        <v>0</v>
      </c>
      <c r="E18" s="73">
        <f>Ins.!G25</f>
        <v>0</v>
      </c>
      <c r="F18" s="73">
        <f>Ins.!H25</f>
        <v>0</v>
      </c>
      <c r="G18" s="73">
        <f>Ins.!I25</f>
        <v>182.01375661375667</v>
      </c>
      <c r="H18" s="73">
        <f>Ins.!J25</f>
        <v>182.01375661375667</v>
      </c>
      <c r="I18" s="73">
        <f>Ins.!K25</f>
        <v>182.01375661375667</v>
      </c>
      <c r="J18" s="73">
        <f>Ins.!L25</f>
        <v>182.01375661375667</v>
      </c>
      <c r="K18" s="73">
        <f>Ins.!M25</f>
        <v>182.01375661375667</v>
      </c>
      <c r="L18" s="73">
        <f>Ins.!N25</f>
        <v>182.01375661375667</v>
      </c>
      <c r="M18" s="73">
        <f>Ins.!O25</f>
        <v>182.01375661375667</v>
      </c>
      <c r="N18" s="73">
        <f>Ins.!P25</f>
        <v>182.01375661375667</v>
      </c>
      <c r="O18" s="73">
        <f t="shared" si="0"/>
        <v>1456.1100529100534</v>
      </c>
      <c r="P18" s="73">
        <v>0</v>
      </c>
      <c r="Q18" s="73">
        <v>0</v>
      </c>
      <c r="R18" s="73">
        <f t="shared" si="1"/>
        <v>1456.1100529100534</v>
      </c>
      <c r="S18" s="213"/>
      <c r="T18" s="214">
        <f>Rent!$C$23</f>
        <v>12474</v>
      </c>
      <c r="U18" s="196">
        <f t="shared" si="2"/>
        <v>0.11673160597322858</v>
      </c>
      <c r="V18" s="197"/>
      <c r="W18" s="215"/>
    </row>
    <row r="19" spans="1:23" ht="13.2" customHeight="1">
      <c r="A19" s="64">
        <v>40240</v>
      </c>
      <c r="B19" s="211" t="s">
        <v>105</v>
      </c>
      <c r="C19" s="73">
        <f>'RE Tax'!E24</f>
        <v>0</v>
      </c>
      <c r="D19" s="73">
        <f>'RE Tax'!F24</f>
        <v>0</v>
      </c>
      <c r="E19" s="73">
        <f>'RE Tax'!G24</f>
        <v>0</v>
      </c>
      <c r="F19" s="73">
        <f>'RE Tax'!H24</f>
        <v>0</v>
      </c>
      <c r="G19" s="73">
        <f>'RE Tax'!I24</f>
        <v>1131.2139265672599</v>
      </c>
      <c r="H19" s="73">
        <f>'RE Tax'!J24</f>
        <v>1131.2139265672599</v>
      </c>
      <c r="I19" s="73">
        <f>'RE Tax'!K24</f>
        <v>1131.2139265672599</v>
      </c>
      <c r="J19" s="73">
        <f>'RE Tax'!L24</f>
        <v>1131.2139265672599</v>
      </c>
      <c r="K19" s="73">
        <f>'RE Tax'!M24</f>
        <v>1131.2139265672599</v>
      </c>
      <c r="L19" s="73">
        <f>'RE Tax'!N24</f>
        <v>1131.2139265672599</v>
      </c>
      <c r="M19" s="73">
        <f>'RE Tax'!O24</f>
        <v>1131.2139265672599</v>
      </c>
      <c r="N19" s="73">
        <f>'RE Tax'!P24</f>
        <v>1131.2139265672599</v>
      </c>
      <c r="O19" s="73">
        <f t="shared" si="0"/>
        <v>9049.7114125380776</v>
      </c>
      <c r="P19" s="73">
        <v>0</v>
      </c>
      <c r="Q19" s="73">
        <v>0</v>
      </c>
      <c r="R19" s="73">
        <f t="shared" si="1"/>
        <v>9049.7114125380776</v>
      </c>
      <c r="S19" s="213"/>
      <c r="T19" s="214">
        <f>Rent!$C$23</f>
        <v>12474</v>
      </c>
      <c r="U19" s="196">
        <f t="shared" si="2"/>
        <v>0.72548592372439291</v>
      </c>
      <c r="V19" s="197"/>
      <c r="W19" s="215"/>
    </row>
    <row r="20" spans="1:23" ht="13.2" customHeight="1">
      <c r="A20" s="64">
        <v>40390</v>
      </c>
      <c r="B20" s="211" t="s">
        <v>106</v>
      </c>
      <c r="C20" s="73">
        <f>'Admin Fee'!E26</f>
        <v>0</v>
      </c>
      <c r="D20" s="73">
        <f>'Admin Fee'!F26</f>
        <v>0</v>
      </c>
      <c r="E20" s="73">
        <f>'Admin Fee'!G26</f>
        <v>0</v>
      </c>
      <c r="F20" s="73">
        <f>'Admin Fee'!H26</f>
        <v>0</v>
      </c>
      <c r="G20" s="73">
        <f>'Admin Fee'!I26</f>
        <v>0</v>
      </c>
      <c r="H20" s="73">
        <f>'Admin Fee'!J26</f>
        <v>0</v>
      </c>
      <c r="I20" s="73">
        <f>'Admin Fee'!K26</f>
        <v>0</v>
      </c>
      <c r="J20" s="73">
        <f>'Admin Fee'!L26</f>
        <v>0</v>
      </c>
      <c r="K20" s="73">
        <f>'Admin Fee'!M26</f>
        <v>0</v>
      </c>
      <c r="L20" s="73">
        <f>'Admin Fee'!N26</f>
        <v>0</v>
      </c>
      <c r="M20" s="73">
        <f>'Admin Fee'!O26</f>
        <v>0</v>
      </c>
      <c r="N20" s="73">
        <f>'Admin Fee'!P26</f>
        <v>0</v>
      </c>
      <c r="O20" s="73">
        <f t="shared" si="0"/>
        <v>0</v>
      </c>
      <c r="P20" s="73">
        <v>0</v>
      </c>
      <c r="Q20" s="73">
        <v>0</v>
      </c>
      <c r="R20" s="73">
        <f t="shared" si="1"/>
        <v>0</v>
      </c>
      <c r="S20" s="213"/>
      <c r="T20" s="214">
        <f>Rent!$C$23</f>
        <v>12474</v>
      </c>
      <c r="U20" s="196">
        <f t="shared" si="2"/>
        <v>0</v>
      </c>
      <c r="V20" s="197"/>
      <c r="W20" s="215"/>
    </row>
    <row r="21" spans="1:23" ht="13.2" customHeight="1">
      <c r="A21" s="64">
        <v>40500</v>
      </c>
      <c r="B21" s="211" t="s">
        <v>107</v>
      </c>
      <c r="C21" s="73">
        <f>Signage!E21</f>
        <v>449.73</v>
      </c>
      <c r="D21" s="73">
        <f>Signage!F21</f>
        <v>449.73</v>
      </c>
      <c r="E21" s="73">
        <f>Signage!G21</f>
        <v>449.73</v>
      </c>
      <c r="F21" s="73">
        <f>Signage!H21</f>
        <v>449.73</v>
      </c>
      <c r="G21" s="73">
        <f>Signage!I21</f>
        <v>449.73</v>
      </c>
      <c r="H21" s="73">
        <f>Signage!J21</f>
        <v>449.73</v>
      </c>
      <c r="I21" s="73">
        <f>Signage!K21</f>
        <v>449.73</v>
      </c>
      <c r="J21" s="73">
        <f>Signage!L21</f>
        <v>449.73</v>
      </c>
      <c r="K21" s="73">
        <f>Signage!M21</f>
        <v>449.73</v>
      </c>
      <c r="L21" s="73">
        <f>Signage!N21</f>
        <v>449.73</v>
      </c>
      <c r="M21" s="73">
        <f>Signage!O21</f>
        <v>449.73</v>
      </c>
      <c r="N21" s="73">
        <f>Signage!P21</f>
        <v>449.73</v>
      </c>
      <c r="O21" s="73">
        <f t="shared" si="0"/>
        <v>5396.76</v>
      </c>
      <c r="P21" s="73">
        <v>0</v>
      </c>
      <c r="Q21" s="73">
        <v>0</v>
      </c>
      <c r="R21" s="73">
        <f t="shared" si="1"/>
        <v>5396.76</v>
      </c>
      <c r="S21" s="213"/>
      <c r="T21" s="214">
        <f>Rent!$C$23</f>
        <v>12474</v>
      </c>
      <c r="U21" s="196">
        <f t="shared" si="2"/>
        <v>0.43264069264069266</v>
      </c>
      <c r="V21" s="197"/>
      <c r="W21" s="215"/>
    </row>
    <row r="22" spans="1:23" ht="13.2" customHeight="1">
      <c r="A22" s="64">
        <v>40143</v>
      </c>
      <c r="B22" s="211" t="s">
        <v>108</v>
      </c>
      <c r="C22" s="73">
        <f>'Rent Deferral Recovery'!D30</f>
        <v>0</v>
      </c>
      <c r="D22" s="73">
        <f>'Rent Deferral Recovery'!E30</f>
        <v>0</v>
      </c>
      <c r="E22" s="73">
        <f>'Rent Deferral Recovery'!F30</f>
        <v>0</v>
      </c>
      <c r="F22" s="73">
        <f>'Rent Deferral Recovery'!G30</f>
        <v>0</v>
      </c>
      <c r="G22" s="73">
        <f>'Rent Deferral Recovery'!H30</f>
        <v>0</v>
      </c>
      <c r="H22" s="73">
        <f>'Rent Deferral Recovery'!I30</f>
        <v>0</v>
      </c>
      <c r="I22" s="73">
        <f>'Rent Deferral Recovery'!J30</f>
        <v>0</v>
      </c>
      <c r="J22" s="73">
        <f>'Rent Deferral Recovery'!K30</f>
        <v>0</v>
      </c>
      <c r="K22" s="73">
        <f>'Rent Deferral Recovery'!L30</f>
        <v>0</v>
      </c>
      <c r="L22" s="73">
        <f>'Rent Deferral Recovery'!M30</f>
        <v>0</v>
      </c>
      <c r="M22" s="73">
        <f>'Rent Deferral Recovery'!N30</f>
        <v>0</v>
      </c>
      <c r="N22" s="73">
        <f>'Rent Deferral Recovery'!O30</f>
        <v>0</v>
      </c>
      <c r="O22" s="73">
        <f t="shared" si="0"/>
        <v>0</v>
      </c>
      <c r="P22" s="73">
        <v>0</v>
      </c>
      <c r="Q22" s="73">
        <v>0</v>
      </c>
      <c r="R22" s="73">
        <f t="shared" si="1"/>
        <v>0</v>
      </c>
      <c r="S22" s="213"/>
      <c r="T22" s="214">
        <f>Rent!$C$23</f>
        <v>12474</v>
      </c>
      <c r="U22" s="196">
        <f t="shared" si="2"/>
        <v>0</v>
      </c>
      <c r="V22" s="197"/>
      <c r="W22" s="215"/>
    </row>
    <row r="23" spans="1:23" ht="13.2" customHeight="1">
      <c r="A23" s="64">
        <v>40600</v>
      </c>
      <c r="B23" s="211" t="s">
        <v>109</v>
      </c>
      <c r="C23" s="73">
        <v>0</v>
      </c>
      <c r="D23" s="73">
        <v>0</v>
      </c>
      <c r="E23" s="73">
        <v>0</v>
      </c>
      <c r="F23" s="73">
        <v>0</v>
      </c>
      <c r="G23" s="73">
        <v>0</v>
      </c>
      <c r="H23" s="73">
        <v>0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f t="shared" si="0"/>
        <v>0</v>
      </c>
      <c r="P23" s="73">
        <v>0</v>
      </c>
      <c r="Q23" s="73">
        <v>0</v>
      </c>
      <c r="R23" s="73">
        <f t="shared" si="1"/>
        <v>0</v>
      </c>
      <c r="S23" s="213"/>
      <c r="T23" s="214">
        <f>Rent!$C$23</f>
        <v>12474</v>
      </c>
      <c r="U23" s="196">
        <f t="shared" si="2"/>
        <v>0</v>
      </c>
      <c r="V23" s="197"/>
      <c r="W23" s="215"/>
    </row>
    <row r="24" spans="1:23" ht="13.2" customHeight="1">
      <c r="A24" s="64">
        <v>40220</v>
      </c>
      <c r="B24" s="211" t="s">
        <v>110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>
        <f t="shared" si="0"/>
        <v>0</v>
      </c>
      <c r="P24" s="73">
        <v>0</v>
      </c>
      <c r="Q24" s="73">
        <v>0</v>
      </c>
      <c r="R24" s="73">
        <f t="shared" si="1"/>
        <v>0</v>
      </c>
      <c r="S24" s="213"/>
      <c r="T24" s="214"/>
      <c r="U24" s="196"/>
      <c r="V24" s="197"/>
      <c r="W24" s="215"/>
    </row>
    <row r="25" spans="1:23" ht="13.2" customHeight="1">
      <c r="A25" s="64">
        <v>40250</v>
      </c>
      <c r="B25" s="211" t="s">
        <v>111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>
        <f t="shared" si="0"/>
        <v>0</v>
      </c>
      <c r="P25" s="73">
        <v>2857</v>
      </c>
      <c r="Q25" s="73">
        <v>0</v>
      </c>
      <c r="R25" s="73">
        <f t="shared" si="1"/>
        <v>-2857</v>
      </c>
      <c r="S25" s="213"/>
      <c r="T25" s="214"/>
      <c r="U25" s="196"/>
      <c r="V25" s="216"/>
      <c r="W25" s="215"/>
    </row>
    <row r="26" spans="1:23" ht="13.2" customHeight="1">
      <c r="A26" s="64"/>
      <c r="B26" s="211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13"/>
      <c r="T26" s="214"/>
      <c r="U26" s="196"/>
      <c r="V26" s="216"/>
      <c r="W26" s="215"/>
    </row>
    <row r="27" spans="1:23" ht="13.2" customHeight="1">
      <c r="A27" s="7"/>
      <c r="B27" s="217" t="s">
        <v>112</v>
      </c>
      <c r="C27" s="218">
        <f>SUM(C13:C25)</f>
        <v>19530.479396256214</v>
      </c>
      <c r="D27" s="218">
        <f t="shared" ref="D27:R27" si="3">SUM(D13:D25)</f>
        <v>19530.479396256214</v>
      </c>
      <c r="E27" s="218">
        <f t="shared" si="3"/>
        <v>19600.083473675568</v>
      </c>
      <c r="F27" s="218">
        <f t="shared" si="3"/>
        <v>20075.359696256211</v>
      </c>
      <c r="G27" s="218">
        <f t="shared" si="3"/>
        <v>35501.600247292707</v>
      </c>
      <c r="H27" s="218">
        <f t="shared" si="3"/>
        <v>35501.600247292707</v>
      </c>
      <c r="I27" s="218">
        <f t="shared" si="3"/>
        <v>35501.600247292707</v>
      </c>
      <c r="J27" s="218">
        <f t="shared" si="3"/>
        <v>35501.600247292707</v>
      </c>
      <c r="K27" s="218">
        <f t="shared" si="3"/>
        <v>35501.600247292707</v>
      </c>
      <c r="L27" s="218">
        <f t="shared" si="3"/>
        <v>35501.600247292707</v>
      </c>
      <c r="M27" s="218">
        <f t="shared" si="3"/>
        <v>35501.600247292707</v>
      </c>
      <c r="N27" s="218">
        <f t="shared" si="3"/>
        <v>35501.600247292707</v>
      </c>
      <c r="O27" s="218">
        <f t="shared" si="3"/>
        <v>362749.20394078584</v>
      </c>
      <c r="P27" s="218">
        <f>SUM(P13:P25)</f>
        <v>208893</v>
      </c>
      <c r="Q27" s="218">
        <f t="shared" si="3"/>
        <v>219368</v>
      </c>
      <c r="R27" s="218">
        <f t="shared" si="3"/>
        <v>153856.20394078587</v>
      </c>
      <c r="S27" s="219">
        <f>R27/O27</f>
        <v>0.42413932896156242</v>
      </c>
      <c r="T27" s="220"/>
      <c r="U27" s="218">
        <f t="shared" ref="U27" si="4">SUM(U13:U25)</f>
        <v>28.233420967323553</v>
      </c>
      <c r="V27" s="197"/>
      <c r="W27" s="64"/>
    </row>
    <row r="28" spans="1:23" ht="13.2" customHeight="1">
      <c r="A28" s="7"/>
      <c r="B28" s="7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221"/>
      <c r="T28" s="222"/>
      <c r="U28" s="200"/>
      <c r="V28" s="197"/>
      <c r="W28" s="64"/>
    </row>
    <row r="29" spans="1:23" ht="13.2" customHeight="1">
      <c r="A29" s="7"/>
      <c r="B29" s="191" t="s">
        <v>113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221"/>
      <c r="T29" s="7"/>
      <c r="U29" s="200"/>
      <c r="V29" s="197"/>
      <c r="W29" s="64"/>
    </row>
    <row r="30" spans="1:23" ht="13.2" customHeight="1">
      <c r="A30" s="223"/>
      <c r="B30" s="211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221"/>
      <c r="T30" s="7"/>
      <c r="U30" s="200"/>
      <c r="V30" s="197"/>
      <c r="W30" s="64"/>
    </row>
    <row r="31" spans="1:23" ht="13.2" customHeight="1">
      <c r="A31" s="64">
        <v>50150</v>
      </c>
      <c r="B31" s="57" t="s">
        <v>114</v>
      </c>
      <c r="C31" s="73">
        <v>0</v>
      </c>
      <c r="D31" s="73">
        <v>0</v>
      </c>
      <c r="E31" s="73">
        <v>0</v>
      </c>
      <c r="F31" s="73">
        <v>0</v>
      </c>
      <c r="G31" s="73">
        <v>0</v>
      </c>
      <c r="H31" s="73">
        <v>0</v>
      </c>
      <c r="I31" s="73"/>
      <c r="J31" s="73">
        <v>4000</v>
      </c>
      <c r="K31" s="73">
        <v>0</v>
      </c>
      <c r="L31" s="73"/>
      <c r="M31" s="73">
        <v>0</v>
      </c>
      <c r="N31" s="73">
        <v>0</v>
      </c>
      <c r="O31" s="73">
        <f t="shared" ref="O31:O57" si="5">SUM(C31:N31)</f>
        <v>4000</v>
      </c>
      <c r="P31" s="73">
        <v>3745</v>
      </c>
      <c r="Q31" s="73">
        <v>2400</v>
      </c>
      <c r="R31" s="73">
        <f t="shared" ref="R31:R57" si="6">O31-P31</f>
        <v>255</v>
      </c>
      <c r="S31" s="213"/>
      <c r="T31" s="214">
        <f>CAM!C$25</f>
        <v>12474</v>
      </c>
      <c r="U31" s="196">
        <f>O31/T31</f>
        <v>0.32066698733365401</v>
      </c>
      <c r="V31" s="197"/>
      <c r="W31" s="64"/>
    </row>
    <row r="32" spans="1:23" ht="13.2" customHeight="1">
      <c r="A32" s="64">
        <v>50160</v>
      </c>
      <c r="B32" s="57" t="s">
        <v>115</v>
      </c>
      <c r="C32" s="73">
        <v>125</v>
      </c>
      <c r="D32" s="73">
        <f>C32</f>
        <v>125</v>
      </c>
      <c r="E32" s="73">
        <f t="shared" ref="E32:N32" si="7">D32</f>
        <v>125</v>
      </c>
      <c r="F32" s="73">
        <f t="shared" si="7"/>
        <v>125</v>
      </c>
      <c r="G32" s="73">
        <f t="shared" si="7"/>
        <v>125</v>
      </c>
      <c r="H32" s="73">
        <f t="shared" si="7"/>
        <v>125</v>
      </c>
      <c r="I32" s="73">
        <f t="shared" si="7"/>
        <v>125</v>
      </c>
      <c r="J32" s="73">
        <f t="shared" si="7"/>
        <v>125</v>
      </c>
      <c r="K32" s="73">
        <f t="shared" si="7"/>
        <v>125</v>
      </c>
      <c r="L32" s="73">
        <f t="shared" si="7"/>
        <v>125</v>
      </c>
      <c r="M32" s="73">
        <f t="shared" si="7"/>
        <v>125</v>
      </c>
      <c r="N32" s="73">
        <f t="shared" si="7"/>
        <v>125</v>
      </c>
      <c r="O32" s="73">
        <f t="shared" si="5"/>
        <v>1500</v>
      </c>
      <c r="P32" s="73">
        <v>586</v>
      </c>
      <c r="Q32" s="73">
        <v>0</v>
      </c>
      <c r="R32" s="73">
        <f t="shared" si="6"/>
        <v>914</v>
      </c>
      <c r="S32" s="213"/>
      <c r="T32" s="214"/>
      <c r="U32" s="196"/>
      <c r="V32" s="216"/>
      <c r="W32" s="64"/>
    </row>
    <row r="33" spans="1:22" ht="13.2" customHeight="1">
      <c r="A33" s="64">
        <v>50190</v>
      </c>
      <c r="B33" s="57" t="s">
        <v>116</v>
      </c>
      <c r="C33" s="73"/>
      <c r="D33" s="73"/>
      <c r="E33" s="73">
        <v>50</v>
      </c>
      <c r="F33" s="73"/>
      <c r="G33" s="73"/>
      <c r="H33" s="73">
        <v>50</v>
      </c>
      <c r="I33" s="73"/>
      <c r="J33" s="73"/>
      <c r="K33" s="73"/>
      <c r="L33" s="73">
        <v>50</v>
      </c>
      <c r="M33" s="73"/>
      <c r="N33" s="73"/>
      <c r="O33" s="73">
        <f t="shared" si="5"/>
        <v>150</v>
      </c>
      <c r="P33" s="73">
        <v>36</v>
      </c>
      <c r="Q33" s="73">
        <v>150</v>
      </c>
      <c r="R33" s="73">
        <f t="shared" si="6"/>
        <v>114</v>
      </c>
      <c r="S33" s="213"/>
      <c r="T33" s="214">
        <f>CAM!C$25</f>
        <v>12474</v>
      </c>
      <c r="U33" s="196">
        <v>0</v>
      </c>
      <c r="V33" s="197"/>
    </row>
    <row r="34" spans="1:22" ht="13.2" customHeight="1">
      <c r="A34" s="64">
        <v>50170</v>
      </c>
      <c r="B34" s="57" t="s">
        <v>117</v>
      </c>
      <c r="C34" s="73">
        <v>676</v>
      </c>
      <c r="D34" s="73">
        <f>C34</f>
        <v>676</v>
      </c>
      <c r="E34" s="73">
        <f t="shared" ref="E34:N34" si="8">D34</f>
        <v>676</v>
      </c>
      <c r="F34" s="73">
        <f t="shared" si="8"/>
        <v>676</v>
      </c>
      <c r="G34" s="73">
        <f t="shared" si="8"/>
        <v>676</v>
      </c>
      <c r="H34" s="73">
        <f t="shared" si="8"/>
        <v>676</v>
      </c>
      <c r="I34" s="73">
        <f t="shared" si="8"/>
        <v>676</v>
      </c>
      <c r="J34" s="73">
        <f t="shared" si="8"/>
        <v>676</v>
      </c>
      <c r="K34" s="73">
        <f t="shared" si="8"/>
        <v>676</v>
      </c>
      <c r="L34" s="73">
        <f t="shared" si="8"/>
        <v>676</v>
      </c>
      <c r="M34" s="73">
        <f t="shared" si="8"/>
        <v>676</v>
      </c>
      <c r="N34" s="73">
        <f t="shared" si="8"/>
        <v>676</v>
      </c>
      <c r="O34" s="73">
        <f t="shared" si="5"/>
        <v>8112</v>
      </c>
      <c r="P34" s="73">
        <v>7980</v>
      </c>
      <c r="Q34" s="73">
        <v>7980</v>
      </c>
      <c r="R34" s="73">
        <f t="shared" si="6"/>
        <v>132</v>
      </c>
      <c r="S34" s="213"/>
      <c r="T34" s="214">
        <f>CAM!C$25</f>
        <v>12474</v>
      </c>
      <c r="U34" s="196">
        <f t="shared" ref="U34:U57" si="9">O34/T34</f>
        <v>0.65031265031265029</v>
      </c>
      <c r="V34" s="197"/>
    </row>
    <row r="35" spans="1:22" ht="13.2" customHeight="1">
      <c r="A35" s="64">
        <v>50510</v>
      </c>
      <c r="B35" s="57" t="s">
        <v>118</v>
      </c>
      <c r="C35" s="73">
        <v>0</v>
      </c>
      <c r="D35" s="73"/>
      <c r="E35" s="73"/>
      <c r="F35" s="73">
        <f>C35</f>
        <v>0</v>
      </c>
      <c r="G35" s="73"/>
      <c r="H35" s="73"/>
      <c r="I35" s="73">
        <f>F35</f>
        <v>0</v>
      </c>
      <c r="J35" s="73"/>
      <c r="K35" s="73"/>
      <c r="L35" s="73">
        <v>75</v>
      </c>
      <c r="M35" s="73"/>
      <c r="N35" s="73"/>
      <c r="O35" s="73">
        <f t="shared" si="5"/>
        <v>75</v>
      </c>
      <c r="P35" s="73">
        <v>700</v>
      </c>
      <c r="Q35" s="73">
        <v>0</v>
      </c>
      <c r="R35" s="73">
        <f t="shared" si="6"/>
        <v>-625</v>
      </c>
      <c r="S35" s="213"/>
      <c r="T35" s="214">
        <f>CAM!C$25</f>
        <v>12474</v>
      </c>
      <c r="U35" s="196">
        <f t="shared" si="9"/>
        <v>6.0125060125060126E-3</v>
      </c>
      <c r="V35" s="197"/>
    </row>
    <row r="36" spans="1:22">
      <c r="A36" s="64">
        <v>50540</v>
      </c>
      <c r="B36" s="7" t="s">
        <v>119</v>
      </c>
      <c r="C36" s="73">
        <v>0</v>
      </c>
      <c r="D36" s="73">
        <v>0</v>
      </c>
      <c r="E36" s="73">
        <v>0</v>
      </c>
      <c r="F36" s="73">
        <v>0</v>
      </c>
      <c r="G36" s="73">
        <v>0</v>
      </c>
      <c r="H36" s="73">
        <v>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f t="shared" si="5"/>
        <v>0</v>
      </c>
      <c r="P36" s="73">
        <v>245</v>
      </c>
      <c r="Q36" s="73">
        <v>0</v>
      </c>
      <c r="R36" s="73">
        <f t="shared" si="6"/>
        <v>-245</v>
      </c>
      <c r="S36" s="213"/>
      <c r="T36" s="214">
        <f>CAM!C$25</f>
        <v>12474</v>
      </c>
      <c r="U36" s="196">
        <f t="shared" si="9"/>
        <v>0</v>
      </c>
      <c r="V36" s="197"/>
    </row>
    <row r="37" spans="1:22" ht="12.75" customHeight="1">
      <c r="A37" s="64">
        <v>50512</v>
      </c>
      <c r="B37" s="57" t="s">
        <v>120</v>
      </c>
      <c r="C37" s="73">
        <v>50</v>
      </c>
      <c r="D37" s="73"/>
      <c r="E37" s="73"/>
      <c r="F37" s="73">
        <f>C37</f>
        <v>50</v>
      </c>
      <c r="G37" s="73"/>
      <c r="H37" s="73"/>
      <c r="I37" s="73">
        <f>F37</f>
        <v>50</v>
      </c>
      <c r="J37" s="73"/>
      <c r="K37" s="73"/>
      <c r="L37" s="73">
        <f>I37</f>
        <v>50</v>
      </c>
      <c r="M37" s="73"/>
      <c r="N37" s="73"/>
      <c r="O37" s="73">
        <f t="shared" si="5"/>
        <v>200</v>
      </c>
      <c r="P37" s="73">
        <v>180</v>
      </c>
      <c r="Q37" s="73">
        <v>300</v>
      </c>
      <c r="R37" s="73">
        <f t="shared" si="6"/>
        <v>20</v>
      </c>
      <c r="S37" s="213"/>
      <c r="T37" s="214"/>
      <c r="U37" s="196"/>
      <c r="V37" s="216"/>
    </row>
    <row r="38" spans="1:22" ht="13.2" customHeight="1">
      <c r="A38" s="64">
        <v>50530</v>
      </c>
      <c r="B38" s="57" t="s">
        <v>121</v>
      </c>
      <c r="C38" s="73">
        <v>225</v>
      </c>
      <c r="D38" s="73"/>
      <c r="E38" s="73">
        <f t="shared" ref="E38:N41" si="10">D38</f>
        <v>0</v>
      </c>
      <c r="F38" s="73">
        <f>C38</f>
        <v>225</v>
      </c>
      <c r="G38" s="73"/>
      <c r="H38" s="73"/>
      <c r="I38" s="73">
        <f>F38</f>
        <v>225</v>
      </c>
      <c r="J38" s="73">
        <v>0</v>
      </c>
      <c r="K38" s="73">
        <f t="shared" si="10"/>
        <v>0</v>
      </c>
      <c r="L38" s="73">
        <f>I38</f>
        <v>225</v>
      </c>
      <c r="M38" s="73">
        <v>0</v>
      </c>
      <c r="N38" s="73">
        <f t="shared" si="10"/>
        <v>0</v>
      </c>
      <c r="O38" s="73">
        <f t="shared" si="5"/>
        <v>900</v>
      </c>
      <c r="P38" s="73">
        <v>924</v>
      </c>
      <c r="Q38" s="73">
        <v>900</v>
      </c>
      <c r="R38" s="73">
        <f t="shared" si="6"/>
        <v>-24</v>
      </c>
      <c r="S38" s="213"/>
      <c r="T38" s="214">
        <f>CAM!C$25</f>
        <v>12474</v>
      </c>
      <c r="U38" s="196">
        <f t="shared" si="9"/>
        <v>7.2150072150072145E-2</v>
      </c>
      <c r="V38" s="197"/>
    </row>
    <row r="39" spans="1:22" ht="13.2" customHeight="1">
      <c r="A39" s="64">
        <v>51030</v>
      </c>
      <c r="B39" s="57" t="s">
        <v>122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>
        <f t="shared" si="5"/>
        <v>0</v>
      </c>
      <c r="P39" s="73">
        <v>210</v>
      </c>
      <c r="Q39" s="73">
        <v>0</v>
      </c>
      <c r="R39" s="73">
        <f t="shared" si="6"/>
        <v>-210</v>
      </c>
      <c r="S39" s="213"/>
      <c r="T39" s="214"/>
      <c r="U39" s="196"/>
      <c r="V39" s="216"/>
    </row>
    <row r="40" spans="1:22" ht="13.2" customHeight="1">
      <c r="A40" s="64">
        <v>51020</v>
      </c>
      <c r="B40" s="57" t="s">
        <v>123</v>
      </c>
      <c r="C40" s="73"/>
      <c r="D40" s="73"/>
      <c r="E40" s="73">
        <v>275</v>
      </c>
      <c r="F40" s="73"/>
      <c r="G40" s="73"/>
      <c r="H40" s="73">
        <f>E40</f>
        <v>275</v>
      </c>
      <c r="I40" s="73"/>
      <c r="J40" s="73"/>
      <c r="K40" s="73">
        <f>H40</f>
        <v>275</v>
      </c>
      <c r="L40" s="73"/>
      <c r="M40" s="73"/>
      <c r="N40" s="73">
        <f>K40</f>
        <v>275</v>
      </c>
      <c r="O40" s="73">
        <f t="shared" si="5"/>
        <v>1100</v>
      </c>
      <c r="P40" s="73">
        <v>1407</v>
      </c>
      <c r="Q40" s="73">
        <v>600</v>
      </c>
      <c r="R40" s="73">
        <f t="shared" si="6"/>
        <v>-307</v>
      </c>
      <c r="S40" s="213"/>
      <c r="T40" s="214">
        <f>CAM!C$25</f>
        <v>12474</v>
      </c>
      <c r="U40" s="196">
        <f t="shared" si="9"/>
        <v>8.8183421516754845E-2</v>
      </c>
      <c r="V40" s="7"/>
    </row>
    <row r="41" spans="1:22" ht="13.2" customHeight="1">
      <c r="A41" s="64">
        <v>51040</v>
      </c>
      <c r="B41" s="57" t="s">
        <v>124</v>
      </c>
      <c r="C41" s="73">
        <v>650</v>
      </c>
      <c r="D41" s="73">
        <f>C41</f>
        <v>650</v>
      </c>
      <c r="E41" s="73">
        <f t="shared" si="10"/>
        <v>650</v>
      </c>
      <c r="F41" s="73">
        <f t="shared" si="10"/>
        <v>650</v>
      </c>
      <c r="G41" s="73">
        <f t="shared" si="10"/>
        <v>650</v>
      </c>
      <c r="H41" s="73">
        <f t="shared" si="10"/>
        <v>650</v>
      </c>
      <c r="I41" s="73">
        <f t="shared" si="10"/>
        <v>650</v>
      </c>
      <c r="J41" s="73">
        <f t="shared" si="10"/>
        <v>650</v>
      </c>
      <c r="K41" s="73">
        <f t="shared" si="10"/>
        <v>650</v>
      </c>
      <c r="L41" s="73">
        <f t="shared" si="10"/>
        <v>650</v>
      </c>
      <c r="M41" s="73">
        <f t="shared" si="10"/>
        <v>650</v>
      </c>
      <c r="N41" s="73">
        <f t="shared" si="10"/>
        <v>650</v>
      </c>
      <c r="O41" s="73">
        <f t="shared" si="5"/>
        <v>7800</v>
      </c>
      <c r="P41" s="73">
        <v>7800</v>
      </c>
      <c r="Q41" s="73">
        <v>7800</v>
      </c>
      <c r="R41" s="73">
        <f t="shared" si="6"/>
        <v>0</v>
      </c>
      <c r="S41" s="213"/>
      <c r="T41" s="214">
        <f>CAM!C$25</f>
        <v>12474</v>
      </c>
      <c r="U41" s="196">
        <f t="shared" si="9"/>
        <v>0.62530062530062525</v>
      </c>
      <c r="V41" s="197" t="s">
        <v>125</v>
      </c>
    </row>
    <row r="42" spans="1:22" ht="13.2" customHeight="1">
      <c r="A42" s="64">
        <v>52010</v>
      </c>
      <c r="B42" s="57" t="s">
        <v>126</v>
      </c>
      <c r="C42" s="73">
        <v>75</v>
      </c>
      <c r="D42" s="73"/>
      <c r="E42" s="73"/>
      <c r="F42" s="73">
        <v>75</v>
      </c>
      <c r="G42" s="73"/>
      <c r="H42" s="73"/>
      <c r="I42" s="73">
        <v>75</v>
      </c>
      <c r="J42" s="73"/>
      <c r="K42" s="73"/>
      <c r="L42" s="73">
        <v>75</v>
      </c>
      <c r="M42" s="73"/>
      <c r="N42" s="73"/>
      <c r="O42" s="73">
        <f t="shared" si="5"/>
        <v>300</v>
      </c>
      <c r="P42" s="73">
        <v>185</v>
      </c>
      <c r="Q42" s="73">
        <v>300</v>
      </c>
      <c r="R42" s="73">
        <f t="shared" si="6"/>
        <v>115</v>
      </c>
      <c r="S42" s="213"/>
      <c r="T42" s="214">
        <f>CAM!C$25</f>
        <v>12474</v>
      </c>
      <c r="U42" s="196">
        <f t="shared" si="9"/>
        <v>2.4050024050024051E-2</v>
      </c>
      <c r="V42" s="224"/>
    </row>
    <row r="43" spans="1:22" ht="13.2" customHeight="1">
      <c r="A43" s="64">
        <v>51050</v>
      </c>
      <c r="B43" s="57" t="s">
        <v>127</v>
      </c>
      <c r="C43" s="73">
        <v>184</v>
      </c>
      <c r="D43" s="73">
        <v>85</v>
      </c>
      <c r="E43" s="73">
        <v>85</v>
      </c>
      <c r="F43" s="73">
        <v>184</v>
      </c>
      <c r="G43" s="73">
        <v>85</v>
      </c>
      <c r="H43" s="73">
        <v>85</v>
      </c>
      <c r="I43" s="73">
        <v>184</v>
      </c>
      <c r="J43" s="73">
        <v>85</v>
      </c>
      <c r="K43" s="73">
        <v>85</v>
      </c>
      <c r="L43" s="73">
        <v>184</v>
      </c>
      <c r="M43" s="73">
        <v>85</v>
      </c>
      <c r="N43" s="73">
        <v>85</v>
      </c>
      <c r="O43" s="73">
        <f t="shared" si="5"/>
        <v>1416</v>
      </c>
      <c r="P43" s="73">
        <v>1416</v>
      </c>
      <c r="Q43" s="73">
        <v>1416</v>
      </c>
      <c r="R43" s="73">
        <f t="shared" si="6"/>
        <v>0</v>
      </c>
      <c r="S43" s="213"/>
      <c r="T43" s="214">
        <f>CAM!C$25</f>
        <v>12474</v>
      </c>
      <c r="U43" s="196">
        <f t="shared" si="9"/>
        <v>0.11351611351611351</v>
      </c>
      <c r="V43" s="197" t="s">
        <v>128</v>
      </c>
    </row>
    <row r="44" spans="1:22" ht="13.2" customHeight="1">
      <c r="A44" s="64">
        <v>51160</v>
      </c>
      <c r="B44" s="57" t="s">
        <v>129</v>
      </c>
      <c r="C44" s="73">
        <f>650+115</f>
        <v>765</v>
      </c>
      <c r="D44" s="73">
        <f>C44</f>
        <v>765</v>
      </c>
      <c r="E44" s="73">
        <f t="shared" ref="E44:N44" si="11">D44</f>
        <v>765</v>
      </c>
      <c r="F44" s="73">
        <f t="shared" si="11"/>
        <v>765</v>
      </c>
      <c r="G44" s="73">
        <f t="shared" si="11"/>
        <v>765</v>
      </c>
      <c r="H44" s="73">
        <f t="shared" si="11"/>
        <v>765</v>
      </c>
      <c r="I44" s="73">
        <f t="shared" si="11"/>
        <v>765</v>
      </c>
      <c r="J44" s="73">
        <f t="shared" si="11"/>
        <v>765</v>
      </c>
      <c r="K44" s="73">
        <f t="shared" si="11"/>
        <v>765</v>
      </c>
      <c r="L44" s="73">
        <f t="shared" si="11"/>
        <v>765</v>
      </c>
      <c r="M44" s="73">
        <f t="shared" si="11"/>
        <v>765</v>
      </c>
      <c r="N44" s="73">
        <f t="shared" si="11"/>
        <v>765</v>
      </c>
      <c r="O44" s="73">
        <f t="shared" si="5"/>
        <v>9180</v>
      </c>
      <c r="P44" s="73">
        <f>7888+645</f>
        <v>8533</v>
      </c>
      <c r="Q44" s="73">
        <v>7284</v>
      </c>
      <c r="R44" s="73">
        <f t="shared" si="6"/>
        <v>647</v>
      </c>
      <c r="S44" s="213"/>
      <c r="T44" s="214">
        <f>CAM!C$25</f>
        <v>12474</v>
      </c>
      <c r="U44" s="196">
        <f t="shared" si="9"/>
        <v>0.73593073593073588</v>
      </c>
      <c r="V44" s="197" t="s">
        <v>130</v>
      </c>
    </row>
    <row r="45" spans="1:22" ht="13.2" customHeight="1">
      <c r="A45" s="64">
        <v>51080</v>
      </c>
      <c r="B45" s="57" t="s">
        <v>131</v>
      </c>
      <c r="C45" s="73">
        <v>1500</v>
      </c>
      <c r="D45" s="73">
        <f>C45</f>
        <v>1500</v>
      </c>
      <c r="E45" s="73">
        <f t="shared" ref="E45:N45" si="12">D45</f>
        <v>1500</v>
      </c>
      <c r="F45" s="73">
        <f t="shared" si="12"/>
        <v>1500</v>
      </c>
      <c r="G45" s="73">
        <f t="shared" si="12"/>
        <v>1500</v>
      </c>
      <c r="H45" s="73">
        <f>G45</f>
        <v>1500</v>
      </c>
      <c r="I45" s="73">
        <v>1500</v>
      </c>
      <c r="J45" s="73">
        <f t="shared" si="12"/>
        <v>1500</v>
      </c>
      <c r="K45" s="73">
        <f t="shared" si="12"/>
        <v>1500</v>
      </c>
      <c r="L45" s="73">
        <f t="shared" si="12"/>
        <v>1500</v>
      </c>
      <c r="M45" s="73">
        <f t="shared" si="12"/>
        <v>1500</v>
      </c>
      <c r="N45" s="73">
        <f t="shared" si="12"/>
        <v>1500</v>
      </c>
      <c r="O45" s="73">
        <f t="shared" si="5"/>
        <v>18000</v>
      </c>
      <c r="P45" s="73">
        <v>14914</v>
      </c>
      <c r="Q45" s="73">
        <v>13776</v>
      </c>
      <c r="R45" s="73">
        <f t="shared" si="6"/>
        <v>3086</v>
      </c>
      <c r="S45" s="213"/>
      <c r="T45" s="214">
        <f>CAM!C$25</f>
        <v>12474</v>
      </c>
      <c r="U45" s="196">
        <f t="shared" si="9"/>
        <v>1.4430014430014431</v>
      </c>
      <c r="V45" s="225" t="s">
        <v>132</v>
      </c>
    </row>
    <row r="46" spans="1:22" ht="13.2" customHeight="1">
      <c r="A46" s="64">
        <v>51100</v>
      </c>
      <c r="B46" s="7" t="s">
        <v>133</v>
      </c>
      <c r="C46" s="73">
        <v>0</v>
      </c>
      <c r="D46" s="73">
        <v>0</v>
      </c>
      <c r="E46" s="73">
        <v>875</v>
      </c>
      <c r="F46" s="73">
        <v>0</v>
      </c>
      <c r="G46" s="73">
        <v>0</v>
      </c>
      <c r="H46" s="73">
        <f>E46</f>
        <v>875</v>
      </c>
      <c r="I46" s="73">
        <v>0</v>
      </c>
      <c r="J46" s="73">
        <v>0</v>
      </c>
      <c r="K46" s="73">
        <f>H46</f>
        <v>875</v>
      </c>
      <c r="L46" s="73">
        <v>0</v>
      </c>
      <c r="M46" s="73">
        <v>0</v>
      </c>
      <c r="N46" s="73">
        <f>K46</f>
        <v>875</v>
      </c>
      <c r="O46" s="73">
        <f t="shared" si="5"/>
        <v>3500</v>
      </c>
      <c r="P46" s="73">
        <v>0</v>
      </c>
      <c r="Q46" s="73">
        <v>0</v>
      </c>
      <c r="R46" s="73">
        <f t="shared" si="6"/>
        <v>3500</v>
      </c>
      <c r="S46" s="213"/>
      <c r="T46" s="214">
        <f>CAM!C$25</f>
        <v>12474</v>
      </c>
      <c r="U46" s="196">
        <f t="shared" si="9"/>
        <v>0.28058361391694725</v>
      </c>
      <c r="V46" s="197"/>
    </row>
    <row r="47" spans="1:22" ht="13.2" customHeight="1">
      <c r="A47" s="64">
        <v>50550</v>
      </c>
      <c r="B47" s="57" t="s">
        <v>134</v>
      </c>
      <c r="C47" s="73">
        <v>0</v>
      </c>
      <c r="D47" s="73">
        <v>250</v>
      </c>
      <c r="E47" s="73">
        <v>0</v>
      </c>
      <c r="F47" s="73">
        <f t="shared" ref="F47:F48" si="13">E47</f>
        <v>0</v>
      </c>
      <c r="G47" s="73">
        <f t="shared" ref="G47:G48" si="14">F47</f>
        <v>0</v>
      </c>
      <c r="H47" s="73">
        <f t="shared" ref="H47:H48" si="15">G47</f>
        <v>0</v>
      </c>
      <c r="I47" s="73">
        <f t="shared" ref="I47:I48" si="16">H47</f>
        <v>0</v>
      </c>
      <c r="J47" s="73">
        <f t="shared" ref="J47:J48" si="17">I47</f>
        <v>0</v>
      </c>
      <c r="K47" s="73">
        <f t="shared" ref="K47:K48" si="18">J47</f>
        <v>0</v>
      </c>
      <c r="L47" s="73">
        <f t="shared" ref="L47:L48" si="19">K47</f>
        <v>0</v>
      </c>
      <c r="M47" s="73">
        <f t="shared" ref="M47:M48" si="20">L47</f>
        <v>0</v>
      </c>
      <c r="N47" s="73">
        <f t="shared" ref="N47:N48" si="21">M47</f>
        <v>0</v>
      </c>
      <c r="O47" s="73">
        <f t="shared" si="5"/>
        <v>250</v>
      </c>
      <c r="P47" s="73">
        <v>0</v>
      </c>
      <c r="Q47" s="73">
        <v>250</v>
      </c>
      <c r="R47" s="73">
        <f t="shared" si="6"/>
        <v>250</v>
      </c>
      <c r="S47" s="213"/>
      <c r="T47" s="214">
        <f>CAM!C$25</f>
        <v>12474</v>
      </c>
      <c r="U47" s="196">
        <f t="shared" si="9"/>
        <v>2.0041686708353375E-2</v>
      </c>
      <c r="V47" s="197"/>
    </row>
    <row r="48" spans="1:22" ht="13.2" customHeight="1">
      <c r="A48" s="64">
        <v>51150</v>
      </c>
      <c r="B48" s="57" t="s">
        <v>135</v>
      </c>
      <c r="C48" s="73">
        <v>125</v>
      </c>
      <c r="D48" s="73">
        <f>C48</f>
        <v>125</v>
      </c>
      <c r="E48" s="73">
        <f t="shared" ref="E48" si="22">D48</f>
        <v>125</v>
      </c>
      <c r="F48" s="73">
        <f t="shared" si="13"/>
        <v>125</v>
      </c>
      <c r="G48" s="73">
        <f t="shared" si="14"/>
        <v>125</v>
      </c>
      <c r="H48" s="73">
        <f t="shared" si="15"/>
        <v>125</v>
      </c>
      <c r="I48" s="73">
        <f t="shared" si="16"/>
        <v>125</v>
      </c>
      <c r="J48" s="73">
        <f t="shared" si="17"/>
        <v>125</v>
      </c>
      <c r="K48" s="73">
        <f t="shared" si="18"/>
        <v>125</v>
      </c>
      <c r="L48" s="73">
        <f t="shared" si="19"/>
        <v>125</v>
      </c>
      <c r="M48" s="73">
        <f t="shared" si="20"/>
        <v>125</v>
      </c>
      <c r="N48" s="73">
        <f t="shared" si="21"/>
        <v>125</v>
      </c>
      <c r="O48" s="73">
        <f t="shared" si="5"/>
        <v>1500</v>
      </c>
      <c r="P48" s="73">
        <f>125*6</f>
        <v>750</v>
      </c>
      <c r="Q48" s="73">
        <v>320</v>
      </c>
      <c r="R48" s="73">
        <f t="shared" si="6"/>
        <v>750</v>
      </c>
      <c r="S48" s="213"/>
      <c r="T48" s="214">
        <f>CAM!C$25</f>
        <v>12474</v>
      </c>
      <c r="U48" s="196">
        <f t="shared" si="9"/>
        <v>0.12025012025012025</v>
      </c>
      <c r="V48" s="197" t="s">
        <v>136</v>
      </c>
    </row>
    <row r="49" spans="1:25" ht="13.2" customHeight="1">
      <c r="A49" s="64">
        <v>51200</v>
      </c>
      <c r="B49" s="7" t="s">
        <v>137</v>
      </c>
      <c r="C49" s="73">
        <v>0</v>
      </c>
      <c r="D49" s="73">
        <v>0</v>
      </c>
      <c r="E49" s="73">
        <v>0</v>
      </c>
      <c r="F49" s="73">
        <v>0</v>
      </c>
      <c r="G49" s="73">
        <v>0</v>
      </c>
      <c r="H49" s="73">
        <v>0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f t="shared" si="5"/>
        <v>0</v>
      </c>
      <c r="P49" s="73">
        <v>0</v>
      </c>
      <c r="Q49" s="73">
        <v>0</v>
      </c>
      <c r="R49" s="73">
        <f t="shared" si="6"/>
        <v>0</v>
      </c>
      <c r="S49" s="213"/>
      <c r="T49" s="214">
        <f>CAM!C$25</f>
        <v>12474</v>
      </c>
      <c r="U49" s="196">
        <f t="shared" si="9"/>
        <v>0</v>
      </c>
      <c r="V49" s="197"/>
      <c r="W49" s="64"/>
      <c r="X49" s="64"/>
      <c r="Y49" s="64"/>
    </row>
    <row r="50" spans="1:25" ht="13.2" customHeight="1">
      <c r="A50" s="64">
        <v>51210</v>
      </c>
      <c r="B50" s="57" t="s">
        <v>138</v>
      </c>
      <c r="C50" s="73">
        <v>0</v>
      </c>
      <c r="D50" s="73">
        <v>150</v>
      </c>
      <c r="E50" s="73">
        <v>0</v>
      </c>
      <c r="F50" s="73">
        <v>0</v>
      </c>
      <c r="G50" s="73">
        <v>0</v>
      </c>
      <c r="H50" s="73">
        <v>0</v>
      </c>
      <c r="I50" s="73">
        <v>150</v>
      </c>
      <c r="J50" s="73">
        <v>0</v>
      </c>
      <c r="K50" s="73">
        <v>0</v>
      </c>
      <c r="L50" s="73">
        <v>0</v>
      </c>
      <c r="M50" s="73">
        <v>0</v>
      </c>
      <c r="N50" s="73">
        <v>150</v>
      </c>
      <c r="O50" s="73">
        <f t="shared" si="5"/>
        <v>450</v>
      </c>
      <c r="P50" s="73">
        <v>225</v>
      </c>
      <c r="Q50" s="73">
        <v>450</v>
      </c>
      <c r="R50" s="73">
        <f t="shared" si="6"/>
        <v>225</v>
      </c>
      <c r="S50" s="213"/>
      <c r="T50" s="214">
        <f>CAM!C$25</f>
        <v>12474</v>
      </c>
      <c r="U50" s="196">
        <f t="shared" si="9"/>
        <v>3.6075036075036072E-2</v>
      </c>
      <c r="V50" s="197"/>
      <c r="W50" s="64"/>
      <c r="X50" s="64"/>
      <c r="Y50" s="64"/>
    </row>
    <row r="51" spans="1:25" ht="12.75" customHeight="1">
      <c r="A51" s="64">
        <v>51043</v>
      </c>
      <c r="B51" s="57" t="s">
        <v>139</v>
      </c>
      <c r="C51" s="73">
        <v>140</v>
      </c>
      <c r="D51" s="73">
        <v>0</v>
      </c>
      <c r="E51" s="73">
        <v>0</v>
      </c>
      <c r="F51" s="73">
        <v>0</v>
      </c>
      <c r="G51" s="73">
        <v>140</v>
      </c>
      <c r="H51" s="73">
        <v>0</v>
      </c>
      <c r="I51" s="73">
        <v>0</v>
      </c>
      <c r="J51" s="73">
        <v>140</v>
      </c>
      <c r="K51" s="73">
        <v>0</v>
      </c>
      <c r="L51" s="73">
        <v>0</v>
      </c>
      <c r="M51" s="73">
        <v>0</v>
      </c>
      <c r="N51" s="73">
        <v>140</v>
      </c>
      <c r="O51" s="73">
        <f t="shared" si="5"/>
        <v>560</v>
      </c>
      <c r="P51" s="73">
        <v>450</v>
      </c>
      <c r="Q51" s="73">
        <v>0</v>
      </c>
      <c r="R51" s="73">
        <f t="shared" si="6"/>
        <v>110</v>
      </c>
      <c r="S51" s="213"/>
      <c r="T51" s="214">
        <f>CAM!C$25</f>
        <v>12474</v>
      </c>
      <c r="U51" s="196">
        <f t="shared" si="9"/>
        <v>4.4893378226711557E-2</v>
      </c>
      <c r="V51" s="216"/>
      <c r="W51" s="64"/>
      <c r="X51" s="64"/>
      <c r="Y51" s="64"/>
    </row>
    <row r="52" spans="1:25" ht="13.2" customHeight="1">
      <c r="A52" s="64">
        <v>55120</v>
      </c>
      <c r="B52" s="57" t="s">
        <v>140</v>
      </c>
      <c r="C52" s="73">
        <v>350</v>
      </c>
      <c r="D52" s="73">
        <f>C52</f>
        <v>350</v>
      </c>
      <c r="E52" s="73">
        <f t="shared" ref="E52:N52" si="23">D52</f>
        <v>350</v>
      </c>
      <c r="F52" s="73">
        <f t="shared" si="23"/>
        <v>350</v>
      </c>
      <c r="G52" s="73">
        <f t="shared" si="23"/>
        <v>350</v>
      </c>
      <c r="H52" s="73">
        <f t="shared" si="23"/>
        <v>350</v>
      </c>
      <c r="I52" s="73">
        <f t="shared" si="23"/>
        <v>350</v>
      </c>
      <c r="J52" s="73">
        <f t="shared" si="23"/>
        <v>350</v>
      </c>
      <c r="K52" s="73">
        <f t="shared" si="23"/>
        <v>350</v>
      </c>
      <c r="L52" s="73">
        <f t="shared" si="23"/>
        <v>350</v>
      </c>
      <c r="M52" s="73">
        <f t="shared" si="23"/>
        <v>350</v>
      </c>
      <c r="N52" s="73">
        <f t="shared" si="23"/>
        <v>350</v>
      </c>
      <c r="O52" s="73">
        <f t="shared" si="5"/>
        <v>4200</v>
      </c>
      <c r="P52" s="73">
        <v>3933</v>
      </c>
      <c r="Q52" s="73">
        <v>3924</v>
      </c>
      <c r="R52" s="73">
        <f t="shared" si="6"/>
        <v>267</v>
      </c>
      <c r="S52" s="213"/>
      <c r="T52" s="214">
        <f>CAM!C$25</f>
        <v>12474</v>
      </c>
      <c r="U52" s="196">
        <f t="shared" si="9"/>
        <v>0.33670033670033672</v>
      </c>
      <c r="V52" s="197"/>
      <c r="W52" s="64"/>
      <c r="X52" s="64"/>
      <c r="Y52" s="64"/>
    </row>
    <row r="53" spans="1:25" ht="13.2" customHeight="1">
      <c r="A53" s="64">
        <v>51130</v>
      </c>
      <c r="B53" s="57" t="s">
        <v>141</v>
      </c>
      <c r="C53" s="73">
        <v>0</v>
      </c>
      <c r="D53" s="73">
        <v>335</v>
      </c>
      <c r="E53" s="73">
        <v>0</v>
      </c>
      <c r="F53" s="73">
        <v>0</v>
      </c>
      <c r="G53" s="73">
        <v>335</v>
      </c>
      <c r="H53" s="73">
        <v>0</v>
      </c>
      <c r="I53" s="73">
        <v>0</v>
      </c>
      <c r="J53" s="73">
        <v>335</v>
      </c>
      <c r="K53" s="73">
        <v>0</v>
      </c>
      <c r="L53" s="73">
        <v>0</v>
      </c>
      <c r="M53" s="73">
        <v>335</v>
      </c>
      <c r="N53" s="73">
        <v>0</v>
      </c>
      <c r="O53" s="73">
        <f t="shared" si="5"/>
        <v>1340</v>
      </c>
      <c r="P53" s="73">
        <v>1340</v>
      </c>
      <c r="Q53" s="73">
        <v>1340</v>
      </c>
      <c r="R53" s="73">
        <f t="shared" si="6"/>
        <v>0</v>
      </c>
      <c r="S53" s="213"/>
      <c r="T53" s="214">
        <f>CAM!C$25</f>
        <v>12474</v>
      </c>
      <c r="U53" s="196">
        <f t="shared" si="9"/>
        <v>0.1074234407567741</v>
      </c>
      <c r="V53" s="197"/>
      <c r="W53" s="64"/>
      <c r="X53" s="64"/>
      <c r="Y53" s="64"/>
    </row>
    <row r="54" spans="1:25" s="129" customFormat="1" ht="13.2" customHeight="1">
      <c r="A54" s="64">
        <v>51140</v>
      </c>
      <c r="B54" s="7" t="s">
        <v>142</v>
      </c>
      <c r="C54" s="73">
        <v>0</v>
      </c>
      <c r="D54" s="73">
        <v>0</v>
      </c>
      <c r="E54" s="73">
        <v>0</v>
      </c>
      <c r="F54" s="73">
        <v>0</v>
      </c>
      <c r="G54" s="73">
        <v>0</v>
      </c>
      <c r="H54" s="73">
        <v>0</v>
      </c>
      <c r="I54" s="73">
        <v>0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f t="shared" si="5"/>
        <v>0</v>
      </c>
      <c r="P54" s="73">
        <v>0</v>
      </c>
      <c r="Q54" s="73">
        <v>0</v>
      </c>
      <c r="R54" s="73">
        <f t="shared" si="6"/>
        <v>0</v>
      </c>
      <c r="S54" s="213"/>
      <c r="T54" s="226">
        <f>CAM!C$25</f>
        <v>12474</v>
      </c>
      <c r="U54" s="196">
        <f t="shared" si="9"/>
        <v>0</v>
      </c>
      <c r="V54" s="225"/>
      <c r="W54" s="227"/>
      <c r="X54" s="227"/>
      <c r="Y54" s="227"/>
    </row>
    <row r="55" spans="1:25" ht="13.2" customHeight="1">
      <c r="A55" s="64">
        <v>55140</v>
      </c>
      <c r="B55" s="7" t="s">
        <v>143</v>
      </c>
      <c r="C55" s="73">
        <v>0</v>
      </c>
      <c r="D55" s="73">
        <f>C55</f>
        <v>0</v>
      </c>
      <c r="E55" s="73">
        <f t="shared" ref="E55:N55" si="24">D55</f>
        <v>0</v>
      </c>
      <c r="F55" s="73">
        <f t="shared" si="24"/>
        <v>0</v>
      </c>
      <c r="G55" s="73">
        <f t="shared" si="24"/>
        <v>0</v>
      </c>
      <c r="H55" s="73">
        <f t="shared" si="24"/>
        <v>0</v>
      </c>
      <c r="I55" s="73">
        <f t="shared" si="24"/>
        <v>0</v>
      </c>
      <c r="J55" s="73">
        <f t="shared" si="24"/>
        <v>0</v>
      </c>
      <c r="K55" s="73">
        <f t="shared" si="24"/>
        <v>0</v>
      </c>
      <c r="L55" s="73">
        <f t="shared" si="24"/>
        <v>0</v>
      </c>
      <c r="M55" s="73">
        <f t="shared" si="24"/>
        <v>0</v>
      </c>
      <c r="N55" s="73">
        <f t="shared" si="24"/>
        <v>0</v>
      </c>
      <c r="O55" s="73">
        <f t="shared" si="5"/>
        <v>0</v>
      </c>
      <c r="P55" s="73">
        <v>0</v>
      </c>
      <c r="Q55" s="73">
        <v>0</v>
      </c>
      <c r="R55" s="73">
        <f t="shared" si="6"/>
        <v>0</v>
      </c>
      <c r="S55" s="213"/>
      <c r="T55" s="214">
        <f>CAM!C$25</f>
        <v>12474</v>
      </c>
      <c r="U55" s="196">
        <f t="shared" si="9"/>
        <v>0</v>
      </c>
      <c r="V55" s="211"/>
      <c r="W55" s="64"/>
      <c r="X55" s="64"/>
      <c r="Y55" s="64"/>
    </row>
    <row r="56" spans="1:25" ht="13.2" customHeight="1">
      <c r="A56" s="227">
        <v>51400</v>
      </c>
      <c r="B56" s="228" t="s">
        <v>144</v>
      </c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>
        <v>0</v>
      </c>
      <c r="O56" s="229">
        <f t="shared" si="5"/>
        <v>0</v>
      </c>
      <c r="P56" s="73">
        <v>280</v>
      </c>
      <c r="Q56" s="73">
        <v>560</v>
      </c>
      <c r="R56" s="73">
        <f t="shared" si="6"/>
        <v>-280</v>
      </c>
      <c r="S56" s="213"/>
      <c r="T56" s="214">
        <f>CAM!C$25</f>
        <v>12474</v>
      </c>
      <c r="U56" s="196">
        <f t="shared" si="9"/>
        <v>0</v>
      </c>
      <c r="V56" s="7"/>
      <c r="W56" s="64"/>
      <c r="X56" s="64"/>
      <c r="Y56" s="64"/>
    </row>
    <row r="57" spans="1:25" ht="13.2" customHeight="1">
      <c r="A57" s="230">
        <v>51220</v>
      </c>
      <c r="B57" s="228" t="s">
        <v>145</v>
      </c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>
        <f>'Cap-EX'!F7</f>
        <v>2509</v>
      </c>
      <c r="O57" s="229">
        <f t="shared" si="5"/>
        <v>2509</v>
      </c>
      <c r="P57" s="73">
        <v>0</v>
      </c>
      <c r="Q57" s="73">
        <v>0</v>
      </c>
      <c r="R57" s="73">
        <f t="shared" si="6"/>
        <v>2509</v>
      </c>
      <c r="S57" s="213"/>
      <c r="T57" s="214">
        <f>CAM!C$25</f>
        <v>12474</v>
      </c>
      <c r="U57" s="196">
        <f t="shared" si="9"/>
        <v>0.20113836780503447</v>
      </c>
      <c r="V57" s="197"/>
      <c r="W57" s="64"/>
      <c r="X57" s="64"/>
      <c r="Y57" s="64"/>
    </row>
    <row r="58" spans="1:25" ht="13.2" customHeight="1">
      <c r="A58" s="64"/>
      <c r="B58" s="7"/>
      <c r="C58" s="73"/>
      <c r="D58" s="7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213"/>
      <c r="T58" s="214"/>
      <c r="U58" s="196"/>
      <c r="V58" s="197"/>
      <c r="W58" s="64"/>
      <c r="X58" s="64"/>
      <c r="Y58" s="64"/>
    </row>
    <row r="59" spans="1:25" ht="13.2" customHeight="1">
      <c r="A59" s="7"/>
      <c r="B59" s="217" t="s">
        <v>146</v>
      </c>
      <c r="C59" s="218">
        <f>SUM(C31:C58)</f>
        <v>4865</v>
      </c>
      <c r="D59" s="218">
        <f t="shared" ref="D59:R59" si="25">SUM(D31:D58)</f>
        <v>5011</v>
      </c>
      <c r="E59" s="218">
        <f t="shared" si="25"/>
        <v>5476</v>
      </c>
      <c r="F59" s="218">
        <f t="shared" si="25"/>
        <v>4725</v>
      </c>
      <c r="G59" s="218">
        <f t="shared" si="25"/>
        <v>4751</v>
      </c>
      <c r="H59" s="218">
        <f t="shared" si="25"/>
        <v>5476</v>
      </c>
      <c r="I59" s="218">
        <f t="shared" si="25"/>
        <v>4875</v>
      </c>
      <c r="J59" s="218">
        <f t="shared" si="25"/>
        <v>8751</v>
      </c>
      <c r="K59" s="218">
        <f t="shared" si="25"/>
        <v>5426</v>
      </c>
      <c r="L59" s="218">
        <f t="shared" si="25"/>
        <v>4850</v>
      </c>
      <c r="M59" s="218">
        <f t="shared" si="25"/>
        <v>4611</v>
      </c>
      <c r="N59" s="218">
        <f t="shared" si="25"/>
        <v>8225</v>
      </c>
      <c r="O59" s="218">
        <f t="shared" si="25"/>
        <v>67042</v>
      </c>
      <c r="P59" s="218">
        <f t="shared" si="25"/>
        <v>55839</v>
      </c>
      <c r="Q59" s="218">
        <f t="shared" si="25"/>
        <v>49750</v>
      </c>
      <c r="R59" s="218">
        <f t="shared" si="25"/>
        <v>11203</v>
      </c>
      <c r="S59" s="219">
        <f>R59/O59</f>
        <v>0.16710420333522269</v>
      </c>
      <c r="T59" s="231"/>
      <c r="U59" s="218">
        <f>SUM(U31:U58)</f>
        <v>5.2262305595638932</v>
      </c>
      <c r="V59" s="197"/>
      <c r="W59" s="64"/>
      <c r="X59" s="64"/>
      <c r="Y59" s="64"/>
    </row>
    <row r="60" spans="1:25" ht="13.2" customHeight="1">
      <c r="A60" s="7"/>
      <c r="B60" s="7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214"/>
      <c r="U60" s="200"/>
      <c r="V60" s="197"/>
      <c r="W60" s="64"/>
      <c r="X60" s="64"/>
      <c r="Y60" s="64"/>
    </row>
    <row r="61" spans="1:25" ht="20.7" customHeight="1">
      <c r="A61" s="7"/>
      <c r="B61" s="232" t="s">
        <v>147</v>
      </c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4"/>
      <c r="R61" s="235"/>
      <c r="S61" s="236"/>
      <c r="T61" s="7"/>
      <c r="U61" s="200"/>
      <c r="V61" s="214"/>
      <c r="W61" s="64"/>
      <c r="X61" s="64"/>
      <c r="Y61" s="64"/>
    </row>
    <row r="62" spans="1:25" ht="15.6" customHeight="1">
      <c r="A62" s="64">
        <v>51060</v>
      </c>
      <c r="B62" s="7" t="s">
        <v>148</v>
      </c>
      <c r="C62" s="234">
        <v>0</v>
      </c>
      <c r="D62" s="234">
        <v>0</v>
      </c>
      <c r="E62" s="234">
        <v>0</v>
      </c>
      <c r="F62" s="234">
        <v>0</v>
      </c>
      <c r="G62" s="234">
        <v>0</v>
      </c>
      <c r="H62" s="234">
        <v>0</v>
      </c>
      <c r="I62" s="234">
        <v>0</v>
      </c>
      <c r="J62" s="234">
        <v>0</v>
      </c>
      <c r="K62" s="234">
        <v>1500</v>
      </c>
      <c r="L62" s="234">
        <v>0</v>
      </c>
      <c r="M62" s="234">
        <v>0</v>
      </c>
      <c r="N62" s="234">
        <v>0</v>
      </c>
      <c r="O62" s="73">
        <f t="shared" ref="O62:O71" si="26">SUM(C62:N62)</f>
        <v>1500</v>
      </c>
      <c r="P62" s="73">
        <v>1500</v>
      </c>
      <c r="Q62" s="73">
        <v>0</v>
      </c>
      <c r="R62" s="73">
        <f t="shared" ref="R62:R70" si="27">O62-P62</f>
        <v>0</v>
      </c>
      <c r="S62" s="213"/>
      <c r="T62" s="214"/>
      <c r="U62" s="196"/>
      <c r="V62" s="214"/>
      <c r="W62" s="64"/>
      <c r="X62" s="64"/>
      <c r="Y62" s="64"/>
    </row>
    <row r="63" spans="1:25" ht="13.2" customHeight="1">
      <c r="A63" s="64">
        <v>51070</v>
      </c>
      <c r="B63" s="7" t="s">
        <v>149</v>
      </c>
      <c r="C63" s="234">
        <v>0</v>
      </c>
      <c r="D63" s="234">
        <v>0</v>
      </c>
      <c r="E63" s="234"/>
      <c r="F63" s="234">
        <v>0</v>
      </c>
      <c r="G63" s="234">
        <v>0</v>
      </c>
      <c r="H63" s="234">
        <v>0</v>
      </c>
      <c r="I63" s="234">
        <v>0</v>
      </c>
      <c r="J63" s="234">
        <v>0</v>
      </c>
      <c r="K63" s="234">
        <v>1500</v>
      </c>
      <c r="L63" s="234">
        <v>0</v>
      </c>
      <c r="M63" s="234">
        <v>0</v>
      </c>
      <c r="N63" s="234">
        <v>0</v>
      </c>
      <c r="O63" s="73">
        <f t="shared" si="26"/>
        <v>1500</v>
      </c>
      <c r="P63" s="73">
        <v>2070</v>
      </c>
      <c r="Q63" s="73">
        <v>4400</v>
      </c>
      <c r="R63" s="73">
        <f t="shared" si="27"/>
        <v>-570</v>
      </c>
      <c r="S63" s="213"/>
      <c r="T63" s="214">
        <f>CAM!C$25</f>
        <v>12474</v>
      </c>
      <c r="U63" s="196">
        <f t="shared" ref="U63:U70" si="28">IFERROR(O63/T63,0)</f>
        <v>0.12025012025012025</v>
      </c>
      <c r="V63" s="214"/>
      <c r="W63" s="64"/>
      <c r="X63" s="64"/>
      <c r="Y63" s="64"/>
    </row>
    <row r="64" spans="1:25" ht="13.2" customHeight="1">
      <c r="A64" s="64">
        <v>51110</v>
      </c>
      <c r="B64" s="57" t="s">
        <v>150</v>
      </c>
      <c r="C64" s="234">
        <v>0</v>
      </c>
      <c r="D64" s="234">
        <f>C64</f>
        <v>0</v>
      </c>
      <c r="E64" s="234">
        <f t="shared" ref="E64:N64" si="29">D64</f>
        <v>0</v>
      </c>
      <c r="F64" s="234">
        <f t="shared" si="29"/>
        <v>0</v>
      </c>
      <c r="G64" s="234">
        <f t="shared" si="29"/>
        <v>0</v>
      </c>
      <c r="H64" s="234">
        <f t="shared" si="29"/>
        <v>0</v>
      </c>
      <c r="I64" s="234">
        <f t="shared" si="29"/>
        <v>0</v>
      </c>
      <c r="J64" s="234">
        <f t="shared" si="29"/>
        <v>0</v>
      </c>
      <c r="K64" s="234">
        <f t="shared" si="29"/>
        <v>0</v>
      </c>
      <c r="L64" s="234">
        <f t="shared" si="29"/>
        <v>0</v>
      </c>
      <c r="M64" s="234">
        <f t="shared" si="29"/>
        <v>0</v>
      </c>
      <c r="N64" s="234">
        <f t="shared" si="29"/>
        <v>0</v>
      </c>
      <c r="O64" s="73">
        <f t="shared" si="26"/>
        <v>0</v>
      </c>
      <c r="P64" s="73">
        <v>0</v>
      </c>
      <c r="Q64" s="73">
        <v>1200</v>
      </c>
      <c r="R64" s="73">
        <f t="shared" si="27"/>
        <v>0</v>
      </c>
      <c r="S64" s="213"/>
      <c r="T64" s="214">
        <f>CAM!C$25</f>
        <v>12474</v>
      </c>
      <c r="U64" s="196">
        <f t="shared" si="28"/>
        <v>0</v>
      </c>
      <c r="V64" s="214" t="s">
        <v>151</v>
      </c>
      <c r="W64" s="64"/>
      <c r="X64" s="64"/>
      <c r="Y64" s="64"/>
    </row>
    <row r="65" spans="1:22" ht="13.2" customHeight="1">
      <c r="A65" s="64">
        <v>51125</v>
      </c>
      <c r="B65" s="7" t="s">
        <v>152</v>
      </c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73">
        <f t="shared" si="26"/>
        <v>0</v>
      </c>
      <c r="P65" s="73">
        <v>645</v>
      </c>
      <c r="Q65" s="73">
        <v>0</v>
      </c>
      <c r="R65" s="73">
        <f t="shared" si="27"/>
        <v>-645</v>
      </c>
      <c r="S65" s="213"/>
      <c r="T65" s="214"/>
      <c r="U65" s="196">
        <f t="shared" si="28"/>
        <v>0</v>
      </c>
      <c r="V65" s="197"/>
    </row>
    <row r="66" spans="1:22" ht="12.6" customHeight="1">
      <c r="A66" s="64">
        <v>51170</v>
      </c>
      <c r="B66" s="7" t="s">
        <v>153</v>
      </c>
      <c r="C66" s="234">
        <v>0</v>
      </c>
      <c r="D66" s="234">
        <v>0</v>
      </c>
      <c r="E66" s="234">
        <v>0</v>
      </c>
      <c r="F66" s="234">
        <v>0</v>
      </c>
      <c r="G66" s="234">
        <v>0</v>
      </c>
      <c r="H66" s="234">
        <v>0</v>
      </c>
      <c r="I66" s="234">
        <v>0</v>
      </c>
      <c r="J66" s="234">
        <v>0</v>
      </c>
      <c r="K66" s="234">
        <v>0</v>
      </c>
      <c r="L66" s="234">
        <v>0</v>
      </c>
      <c r="M66" s="234">
        <v>0</v>
      </c>
      <c r="N66" s="234">
        <v>0</v>
      </c>
      <c r="O66" s="73">
        <f t="shared" si="26"/>
        <v>0</v>
      </c>
      <c r="P66" s="73">
        <v>0</v>
      </c>
      <c r="Q66" s="73">
        <v>300</v>
      </c>
      <c r="R66" s="73">
        <f t="shared" si="27"/>
        <v>0</v>
      </c>
      <c r="S66" s="213"/>
      <c r="T66" s="214">
        <f>CAM!C$25</f>
        <v>12474</v>
      </c>
      <c r="U66" s="196">
        <f t="shared" si="28"/>
        <v>0</v>
      </c>
      <c r="V66" s="214"/>
    </row>
    <row r="67" spans="1:22" ht="12.6" customHeight="1">
      <c r="A67" s="64">
        <v>52020</v>
      </c>
      <c r="B67" s="57" t="s">
        <v>154</v>
      </c>
      <c r="C67" s="234">
        <v>0</v>
      </c>
      <c r="D67" s="234"/>
      <c r="E67" s="234">
        <v>0</v>
      </c>
      <c r="F67" s="234">
        <v>55</v>
      </c>
      <c r="G67" s="234">
        <v>0</v>
      </c>
      <c r="H67" s="234">
        <v>0</v>
      </c>
      <c r="I67" s="234">
        <v>0</v>
      </c>
      <c r="J67" s="234">
        <v>0</v>
      </c>
      <c r="K67" s="234">
        <v>0</v>
      </c>
      <c r="L67" s="234">
        <v>0</v>
      </c>
      <c r="M67" s="234">
        <v>0</v>
      </c>
      <c r="N67" s="234">
        <v>0</v>
      </c>
      <c r="O67" s="73">
        <f t="shared" si="26"/>
        <v>55</v>
      </c>
      <c r="P67" s="73">
        <v>55</v>
      </c>
      <c r="Q67" s="73">
        <v>55</v>
      </c>
      <c r="R67" s="73">
        <f t="shared" si="27"/>
        <v>0</v>
      </c>
      <c r="S67" s="213"/>
      <c r="T67" s="214">
        <f>CAM!C$25</f>
        <v>12474</v>
      </c>
      <c r="U67" s="196">
        <f t="shared" si="28"/>
        <v>4.4091710758377423E-3</v>
      </c>
      <c r="V67" s="214"/>
    </row>
    <row r="68" spans="1:22" ht="12.6" customHeight="1">
      <c r="A68" s="64">
        <v>52030</v>
      </c>
      <c r="B68" s="7" t="s">
        <v>155</v>
      </c>
      <c r="C68" s="234">
        <v>0</v>
      </c>
      <c r="D68" s="234">
        <v>0</v>
      </c>
      <c r="E68" s="234">
        <v>0</v>
      </c>
      <c r="F68" s="234">
        <v>150</v>
      </c>
      <c r="G68" s="234">
        <v>0</v>
      </c>
      <c r="H68" s="234">
        <v>0</v>
      </c>
      <c r="I68" s="234">
        <v>0</v>
      </c>
      <c r="J68" s="234">
        <v>0</v>
      </c>
      <c r="K68" s="234">
        <v>0</v>
      </c>
      <c r="L68" s="234">
        <v>0</v>
      </c>
      <c r="M68" s="234">
        <v>0</v>
      </c>
      <c r="N68" s="234">
        <v>0</v>
      </c>
      <c r="O68" s="73">
        <f t="shared" si="26"/>
        <v>150</v>
      </c>
      <c r="P68" s="73">
        <v>0</v>
      </c>
      <c r="Q68" s="73">
        <v>0</v>
      </c>
      <c r="R68" s="73">
        <f t="shared" si="27"/>
        <v>150</v>
      </c>
      <c r="S68" s="213"/>
      <c r="T68" s="214">
        <f>CAM!C$25</f>
        <v>12474</v>
      </c>
      <c r="U68" s="196">
        <f t="shared" si="28"/>
        <v>1.2025012025012025E-2</v>
      </c>
      <c r="V68" s="214"/>
    </row>
    <row r="69" spans="1:22">
      <c r="A69" s="64">
        <v>55102</v>
      </c>
      <c r="B69" s="57" t="s">
        <v>156</v>
      </c>
      <c r="C69" s="234">
        <f>2200*105%</f>
        <v>2310</v>
      </c>
      <c r="D69" s="234">
        <f>C69</f>
        <v>2310</v>
      </c>
      <c r="E69" s="234">
        <f t="shared" ref="E69:N69" si="30">D69</f>
        <v>2310</v>
      </c>
      <c r="F69" s="234">
        <f t="shared" si="30"/>
        <v>2310</v>
      </c>
      <c r="G69" s="234">
        <f t="shared" si="30"/>
        <v>2310</v>
      </c>
      <c r="H69" s="234">
        <f t="shared" si="30"/>
        <v>2310</v>
      </c>
      <c r="I69" s="234">
        <f t="shared" si="30"/>
        <v>2310</v>
      </c>
      <c r="J69" s="234">
        <f t="shared" si="30"/>
        <v>2310</v>
      </c>
      <c r="K69" s="234">
        <f t="shared" si="30"/>
        <v>2310</v>
      </c>
      <c r="L69" s="234">
        <f t="shared" si="30"/>
        <v>2310</v>
      </c>
      <c r="M69" s="234">
        <f t="shared" si="30"/>
        <v>2310</v>
      </c>
      <c r="N69" s="234">
        <f t="shared" si="30"/>
        <v>2310</v>
      </c>
      <c r="O69" s="73">
        <f t="shared" si="26"/>
        <v>27720</v>
      </c>
      <c r="P69" s="73">
        <v>26844</v>
      </c>
      <c r="Q69" s="73">
        <v>26844</v>
      </c>
      <c r="R69" s="73">
        <f t="shared" si="27"/>
        <v>876</v>
      </c>
      <c r="S69" s="213"/>
      <c r="T69" s="214">
        <f>CAM!C$25</f>
        <v>12474</v>
      </c>
      <c r="U69" s="196">
        <f t="shared" si="28"/>
        <v>2.2222222222222223</v>
      </c>
      <c r="V69" s="197"/>
    </row>
    <row r="70" spans="1:22" ht="12.6" customHeight="1">
      <c r="A70" s="64">
        <v>55130</v>
      </c>
      <c r="B70" s="57" t="s">
        <v>157</v>
      </c>
      <c r="C70" s="234">
        <f>635*105%</f>
        <v>666.75</v>
      </c>
      <c r="D70" s="234">
        <f>C70</f>
        <v>666.75</v>
      </c>
      <c r="E70" s="234">
        <f t="shared" ref="E70:N70" si="31">D70</f>
        <v>666.75</v>
      </c>
      <c r="F70" s="234">
        <f t="shared" si="31"/>
        <v>666.75</v>
      </c>
      <c r="G70" s="234">
        <f t="shared" si="31"/>
        <v>666.75</v>
      </c>
      <c r="H70" s="234">
        <f t="shared" si="31"/>
        <v>666.75</v>
      </c>
      <c r="I70" s="234">
        <f t="shared" si="31"/>
        <v>666.75</v>
      </c>
      <c r="J70" s="234">
        <f t="shared" si="31"/>
        <v>666.75</v>
      </c>
      <c r="K70" s="234">
        <f t="shared" si="31"/>
        <v>666.75</v>
      </c>
      <c r="L70" s="234">
        <f t="shared" si="31"/>
        <v>666.75</v>
      </c>
      <c r="M70" s="234">
        <f t="shared" si="31"/>
        <v>666.75</v>
      </c>
      <c r="N70" s="234">
        <f t="shared" si="31"/>
        <v>666.75</v>
      </c>
      <c r="O70" s="73">
        <f t="shared" si="26"/>
        <v>8001</v>
      </c>
      <c r="P70" s="73">
        <v>7491</v>
      </c>
      <c r="Q70" s="73">
        <v>7876</v>
      </c>
      <c r="R70" s="73">
        <f t="shared" si="27"/>
        <v>510</v>
      </c>
      <c r="S70" s="213"/>
      <c r="T70" s="214">
        <f>CAM!C$25</f>
        <v>12474</v>
      </c>
      <c r="U70" s="196">
        <f t="shared" si="28"/>
        <v>0.64141414141414144</v>
      </c>
      <c r="V70" s="197"/>
    </row>
    <row r="71" spans="1:22" ht="12.6" customHeight="1">
      <c r="A71" s="64"/>
      <c r="B71" s="57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73">
        <f t="shared" si="26"/>
        <v>0</v>
      </c>
      <c r="P71" s="73"/>
      <c r="Q71" s="73"/>
      <c r="R71" s="73"/>
      <c r="S71" s="213"/>
      <c r="T71" s="214"/>
      <c r="U71" s="196"/>
      <c r="V71" s="197"/>
    </row>
    <row r="72" spans="1:22" ht="15" customHeight="1">
      <c r="A72" s="64"/>
      <c r="B72" s="217" t="s">
        <v>158</v>
      </c>
      <c r="C72" s="237">
        <f>SUM(C62:C71)</f>
        <v>2976.75</v>
      </c>
      <c r="D72" s="237">
        <f t="shared" ref="D72:R72" si="32">SUM(D62:D71)</f>
        <v>2976.75</v>
      </c>
      <c r="E72" s="237">
        <f t="shared" si="32"/>
        <v>2976.75</v>
      </c>
      <c r="F72" s="237">
        <f t="shared" si="32"/>
        <v>3181.75</v>
      </c>
      <c r="G72" s="237">
        <f t="shared" si="32"/>
        <v>2976.75</v>
      </c>
      <c r="H72" s="237">
        <f t="shared" si="32"/>
        <v>2976.75</v>
      </c>
      <c r="I72" s="237">
        <f t="shared" si="32"/>
        <v>2976.75</v>
      </c>
      <c r="J72" s="237">
        <f t="shared" si="32"/>
        <v>2976.75</v>
      </c>
      <c r="K72" s="237">
        <f t="shared" si="32"/>
        <v>5976.75</v>
      </c>
      <c r="L72" s="237">
        <f t="shared" si="32"/>
        <v>2976.75</v>
      </c>
      <c r="M72" s="237">
        <f t="shared" si="32"/>
        <v>2976.75</v>
      </c>
      <c r="N72" s="237">
        <f t="shared" si="32"/>
        <v>2976.75</v>
      </c>
      <c r="O72" s="237">
        <f t="shared" si="32"/>
        <v>38926</v>
      </c>
      <c r="P72" s="237">
        <f t="shared" si="32"/>
        <v>38605</v>
      </c>
      <c r="Q72" s="237">
        <f t="shared" si="32"/>
        <v>40675</v>
      </c>
      <c r="R72" s="237">
        <f t="shared" si="32"/>
        <v>321</v>
      </c>
      <c r="S72" s="219">
        <f>R72/O72</f>
        <v>8.2464162770384836E-3</v>
      </c>
      <c r="T72" s="231"/>
      <c r="U72" s="237">
        <f t="shared" ref="U72" si="33">SUM(U62:U71)</f>
        <v>3.0003206669873337</v>
      </c>
      <c r="V72" s="238"/>
    </row>
    <row r="73" spans="1:22" ht="13.2" customHeight="1">
      <c r="A73" s="130"/>
      <c r="B73" s="131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234"/>
      <c r="R73" s="235"/>
      <c r="S73" s="236"/>
      <c r="T73" s="214"/>
      <c r="U73" s="200"/>
      <c r="V73" s="214"/>
    </row>
    <row r="74" spans="1:22" ht="13.2" customHeight="1">
      <c r="A74" s="130"/>
      <c r="B74" s="57" t="s">
        <v>159</v>
      </c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234"/>
      <c r="R74" s="235"/>
      <c r="S74" s="236"/>
      <c r="T74" s="214"/>
      <c r="U74" s="200"/>
      <c r="V74" s="214"/>
    </row>
    <row r="75" spans="1:22" ht="13.2" customHeight="1">
      <c r="A75" s="191">
        <v>50111</v>
      </c>
      <c r="B75" s="232" t="s">
        <v>160</v>
      </c>
      <c r="C75" s="73">
        <v>0</v>
      </c>
      <c r="D75" s="73">
        <v>0</v>
      </c>
      <c r="E75" s="73">
        <v>0</v>
      </c>
      <c r="F75" s="73">
        <v>0</v>
      </c>
      <c r="G75" s="73">
        <v>0</v>
      </c>
      <c r="H75" s="73">
        <f>5109*110%</f>
        <v>5619.9000000000005</v>
      </c>
      <c r="I75" s="73">
        <v>0</v>
      </c>
      <c r="J75" s="73">
        <v>0</v>
      </c>
      <c r="K75" s="73">
        <v>0</v>
      </c>
      <c r="L75" s="73">
        <v>0</v>
      </c>
      <c r="M75" s="73">
        <v>0</v>
      </c>
      <c r="N75" s="73">
        <v>0</v>
      </c>
      <c r="O75" s="73">
        <f t="shared" ref="O75:O78" si="34">SUM(C75:N75)</f>
        <v>5619.9000000000005</v>
      </c>
      <c r="P75" s="73">
        <v>5109</v>
      </c>
      <c r="Q75" s="73">
        <v>5109</v>
      </c>
      <c r="R75" s="73">
        <f t="shared" ref="R75:R78" si="35">O75-P75</f>
        <v>510.90000000000055</v>
      </c>
      <c r="S75" s="213"/>
      <c r="T75" s="214">
        <f>Ins.!C$25</f>
        <v>12474</v>
      </c>
      <c r="U75" s="200">
        <f>O75/T75</f>
        <v>0.45052910052910056</v>
      </c>
      <c r="V75" s="197"/>
    </row>
    <row r="76" spans="1:22" ht="13.2" customHeight="1">
      <c r="A76" s="64">
        <v>50112</v>
      </c>
      <c r="B76" s="7" t="s">
        <v>161</v>
      </c>
      <c r="C76" s="73">
        <v>0</v>
      </c>
      <c r="D76" s="73">
        <v>0</v>
      </c>
      <c r="E76" s="73">
        <v>0</v>
      </c>
      <c r="F76" s="73">
        <v>0</v>
      </c>
      <c r="G76" s="73">
        <v>0</v>
      </c>
      <c r="H76" s="73">
        <v>0</v>
      </c>
      <c r="I76" s="73">
        <v>0</v>
      </c>
      <c r="J76" s="73">
        <v>0</v>
      </c>
      <c r="K76" s="73">
        <v>0</v>
      </c>
      <c r="L76" s="73">
        <v>0</v>
      </c>
      <c r="M76" s="73">
        <v>0</v>
      </c>
      <c r="N76" s="73">
        <v>0</v>
      </c>
      <c r="O76" s="73">
        <f t="shared" si="34"/>
        <v>0</v>
      </c>
      <c r="P76" s="73">
        <v>0</v>
      </c>
      <c r="Q76" s="73">
        <v>0</v>
      </c>
      <c r="R76" s="73">
        <f t="shared" si="35"/>
        <v>0</v>
      </c>
      <c r="S76" s="213"/>
      <c r="T76" s="214">
        <f>Ins.!C$25</f>
        <v>12474</v>
      </c>
      <c r="U76" s="200">
        <f>O76/T76</f>
        <v>0</v>
      </c>
      <c r="V76" s="197"/>
    </row>
    <row r="77" spans="1:22" ht="13.2" customHeight="1">
      <c r="A77" s="64">
        <v>50130</v>
      </c>
      <c r="B77" s="211" t="s">
        <v>162</v>
      </c>
      <c r="C77" s="73">
        <v>0</v>
      </c>
      <c r="D77" s="73">
        <v>0</v>
      </c>
      <c r="E77" s="73">
        <v>0</v>
      </c>
      <c r="F77" s="73">
        <v>0</v>
      </c>
      <c r="G77" s="73">
        <v>0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f t="shared" si="34"/>
        <v>0</v>
      </c>
      <c r="P77" s="73">
        <v>0</v>
      </c>
      <c r="Q77" s="73">
        <v>0</v>
      </c>
      <c r="R77" s="73">
        <f t="shared" si="35"/>
        <v>0</v>
      </c>
      <c r="S77" s="213"/>
      <c r="T77" s="214">
        <f>Ins.!C$25</f>
        <v>12474</v>
      </c>
      <c r="U77" s="200">
        <f>O77/T77</f>
        <v>0</v>
      </c>
      <c r="V77" s="197"/>
    </row>
    <row r="78" spans="1:22" ht="13.2" customHeight="1">
      <c r="A78" s="64">
        <v>50140</v>
      </c>
      <c r="B78" s="211" t="s">
        <v>163</v>
      </c>
      <c r="C78" s="73">
        <v>0</v>
      </c>
      <c r="D78" s="73">
        <v>0</v>
      </c>
      <c r="E78" s="73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f t="shared" si="34"/>
        <v>0</v>
      </c>
      <c r="P78" s="73">
        <v>0</v>
      </c>
      <c r="Q78" s="73">
        <v>0</v>
      </c>
      <c r="R78" s="73">
        <f t="shared" si="35"/>
        <v>0</v>
      </c>
      <c r="S78" s="213"/>
      <c r="T78" s="214">
        <f>Ins.!C$25</f>
        <v>12474</v>
      </c>
      <c r="U78" s="200">
        <f>O78/T78</f>
        <v>0</v>
      </c>
      <c r="V78" s="197"/>
    </row>
    <row r="79" spans="1:22" ht="13.2" customHeight="1">
      <c r="A79" s="64"/>
      <c r="B79" s="239"/>
      <c r="C79" s="73"/>
      <c r="D79" s="73"/>
      <c r="E79" s="73"/>
      <c r="F79" s="73"/>
      <c r="G79" s="73"/>
      <c r="H79" s="73"/>
      <c r="I79" s="240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214"/>
      <c r="U79" s="200"/>
      <c r="V79" s="197"/>
    </row>
    <row r="80" spans="1:22" ht="13.2" customHeight="1">
      <c r="A80" s="64"/>
      <c r="B80" s="217" t="s">
        <v>164</v>
      </c>
      <c r="C80" s="218">
        <f>SUM(C75:C78)</f>
        <v>0</v>
      </c>
      <c r="D80" s="218">
        <f t="shared" ref="D80:R80" si="36">SUM(D75:D78)</f>
        <v>0</v>
      </c>
      <c r="E80" s="218">
        <f t="shared" si="36"/>
        <v>0</v>
      </c>
      <c r="F80" s="218">
        <f t="shared" si="36"/>
        <v>0</v>
      </c>
      <c r="G80" s="218">
        <f t="shared" si="36"/>
        <v>0</v>
      </c>
      <c r="H80" s="218">
        <f t="shared" si="36"/>
        <v>5619.9000000000005</v>
      </c>
      <c r="I80" s="218">
        <f t="shared" si="36"/>
        <v>0</v>
      </c>
      <c r="J80" s="218">
        <f t="shared" si="36"/>
        <v>0</v>
      </c>
      <c r="K80" s="218">
        <f t="shared" si="36"/>
        <v>0</v>
      </c>
      <c r="L80" s="218">
        <f t="shared" si="36"/>
        <v>0</v>
      </c>
      <c r="M80" s="218">
        <f t="shared" si="36"/>
        <v>0</v>
      </c>
      <c r="N80" s="218">
        <f t="shared" si="36"/>
        <v>0</v>
      </c>
      <c r="O80" s="218">
        <f t="shared" si="36"/>
        <v>5619.9000000000005</v>
      </c>
      <c r="P80" s="218">
        <f t="shared" si="36"/>
        <v>5109</v>
      </c>
      <c r="Q80" s="218">
        <f t="shared" si="36"/>
        <v>5109</v>
      </c>
      <c r="R80" s="218">
        <f t="shared" si="36"/>
        <v>510.90000000000055</v>
      </c>
      <c r="S80" s="219">
        <f>R80/O80</f>
        <v>9.0909090909090995E-2</v>
      </c>
      <c r="T80" s="231"/>
      <c r="U80" s="218">
        <f>SUM(U75:U78)</f>
        <v>0.45052910052910056</v>
      </c>
      <c r="V80" s="197"/>
    </row>
    <row r="81" spans="1:21" ht="13.2" customHeight="1">
      <c r="A81" s="64"/>
      <c r="B81" s="211"/>
      <c r="C81" s="241"/>
      <c r="D81" s="241"/>
      <c r="E81" s="241"/>
      <c r="F81" s="241"/>
      <c r="G81" s="241"/>
      <c r="H81" s="242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73"/>
      <c r="T81" s="214"/>
      <c r="U81" s="200"/>
    </row>
    <row r="82" spans="1:21" ht="13.2" customHeight="1">
      <c r="A82" s="64"/>
      <c r="B82" s="232" t="s">
        <v>165</v>
      </c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73"/>
      <c r="T82" s="214"/>
      <c r="U82" s="200"/>
    </row>
    <row r="83" spans="1:21" ht="13.2" customHeight="1">
      <c r="A83" s="64">
        <v>54000</v>
      </c>
      <c r="B83" s="7" t="s">
        <v>166</v>
      </c>
      <c r="C83" s="243">
        <v>0</v>
      </c>
      <c r="D83" s="243">
        <v>0</v>
      </c>
      <c r="E83" s="243">
        <v>0</v>
      </c>
      <c r="F83" s="243">
        <v>17037.87</v>
      </c>
      <c r="G83" s="243">
        <v>0</v>
      </c>
      <c r="H83" s="243">
        <v>0</v>
      </c>
      <c r="I83" s="243">
        <v>0</v>
      </c>
      <c r="J83" s="243">
        <v>0</v>
      </c>
      <c r="K83" s="243">
        <v>0</v>
      </c>
      <c r="L83" s="243">
        <v>17889.759999999998</v>
      </c>
      <c r="M83" s="244">
        <f>E83*102%</f>
        <v>0</v>
      </c>
      <c r="N83" s="245">
        <v>0</v>
      </c>
      <c r="O83" s="73">
        <f>SUM(C83:N83)</f>
        <v>34927.629999999997</v>
      </c>
      <c r="P83" s="73">
        <v>34928</v>
      </c>
      <c r="Q83" s="73">
        <v>34928</v>
      </c>
      <c r="R83" s="73">
        <f>O83-P83</f>
        <v>-0.37000000000261934</v>
      </c>
      <c r="S83" s="213">
        <f>R83/O83</f>
        <v>-1.059333255656394E-5</v>
      </c>
      <c r="T83" s="214">
        <f>T78</f>
        <v>12474</v>
      </c>
      <c r="U83" s="200">
        <f>O83/T83</f>
        <v>2.8000344717011383</v>
      </c>
    </row>
    <row r="84" spans="1:21" ht="13.2" customHeight="1">
      <c r="A84" s="64"/>
      <c r="B84" s="7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73"/>
      <c r="T84" s="214"/>
      <c r="U84" s="235"/>
    </row>
    <row r="85" spans="1:21" ht="13.2" customHeight="1">
      <c r="A85" s="64"/>
      <c r="B85" s="217" t="s">
        <v>167</v>
      </c>
      <c r="C85" s="247">
        <f t="shared" ref="C85:R85" si="37">C83</f>
        <v>0</v>
      </c>
      <c r="D85" s="247">
        <f t="shared" si="37"/>
        <v>0</v>
      </c>
      <c r="E85" s="247">
        <f t="shared" si="37"/>
        <v>0</v>
      </c>
      <c r="F85" s="247">
        <f t="shared" si="37"/>
        <v>17037.87</v>
      </c>
      <c r="G85" s="247">
        <f t="shared" si="37"/>
        <v>0</v>
      </c>
      <c r="H85" s="247">
        <f t="shared" si="37"/>
        <v>0</v>
      </c>
      <c r="I85" s="247">
        <f t="shared" si="37"/>
        <v>0</v>
      </c>
      <c r="J85" s="247">
        <f t="shared" si="37"/>
        <v>0</v>
      </c>
      <c r="K85" s="247">
        <f t="shared" si="37"/>
        <v>0</v>
      </c>
      <c r="L85" s="247">
        <f t="shared" si="37"/>
        <v>17889.759999999998</v>
      </c>
      <c r="M85" s="247">
        <f t="shared" si="37"/>
        <v>0</v>
      </c>
      <c r="N85" s="247">
        <f t="shared" si="37"/>
        <v>0</v>
      </c>
      <c r="O85" s="247">
        <f t="shared" si="37"/>
        <v>34927.629999999997</v>
      </c>
      <c r="P85" s="247">
        <f t="shared" si="37"/>
        <v>34928</v>
      </c>
      <c r="Q85" s="247">
        <f t="shared" si="37"/>
        <v>34928</v>
      </c>
      <c r="R85" s="247">
        <f t="shared" si="37"/>
        <v>-0.37000000000261934</v>
      </c>
      <c r="S85" s="219">
        <f>R85/O85</f>
        <v>-1.059333255656394E-5</v>
      </c>
      <c r="T85" s="247"/>
      <c r="U85" s="248">
        <f>U83</f>
        <v>2.8000344717011383</v>
      </c>
    </row>
    <row r="86" spans="1:21" ht="13.2" customHeight="1">
      <c r="A86" s="64"/>
      <c r="B86" s="57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67"/>
      <c r="T86" s="214"/>
      <c r="U86" s="250"/>
    </row>
    <row r="87" spans="1:21" ht="13.2" customHeight="1">
      <c r="A87" s="64"/>
      <c r="B87" s="251" t="s">
        <v>168</v>
      </c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>
        <f>-N57-N56</f>
        <v>-2509</v>
      </c>
      <c r="O87" s="252">
        <f>N87</f>
        <v>-2509</v>
      </c>
      <c r="P87" s="247"/>
      <c r="Q87" s="253"/>
      <c r="R87" s="254"/>
      <c r="S87" s="219">
        <f>R87/O87</f>
        <v>0</v>
      </c>
      <c r="T87" s="255"/>
      <c r="U87" s="256"/>
    </row>
    <row r="88" spans="1:21" ht="13.2" customHeight="1">
      <c r="A88" s="64"/>
      <c r="B88" s="57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73"/>
      <c r="T88" s="214"/>
      <c r="U88" s="235"/>
    </row>
    <row r="89" spans="1:21" ht="13.2" customHeight="1">
      <c r="A89" s="64"/>
      <c r="B89" s="217" t="s">
        <v>169</v>
      </c>
      <c r="C89" s="247">
        <f>C59+C80+C85+C72</f>
        <v>7841.75</v>
      </c>
      <c r="D89" s="247">
        <f t="shared" ref="D89:R89" si="38">D59+D80+D85+D72</f>
        <v>7987.75</v>
      </c>
      <c r="E89" s="247">
        <f t="shared" si="38"/>
        <v>8452.75</v>
      </c>
      <c r="F89" s="247">
        <f t="shared" si="38"/>
        <v>24944.62</v>
      </c>
      <c r="G89" s="247">
        <f t="shared" si="38"/>
        <v>7727.75</v>
      </c>
      <c r="H89" s="247">
        <f t="shared" si="38"/>
        <v>14072.650000000001</v>
      </c>
      <c r="I89" s="247">
        <f t="shared" si="38"/>
        <v>7851.75</v>
      </c>
      <c r="J89" s="247">
        <f t="shared" si="38"/>
        <v>11727.75</v>
      </c>
      <c r="K89" s="247">
        <f t="shared" si="38"/>
        <v>11402.75</v>
      </c>
      <c r="L89" s="247">
        <f t="shared" si="38"/>
        <v>25716.51</v>
      </c>
      <c r="M89" s="247">
        <f t="shared" si="38"/>
        <v>7587.75</v>
      </c>
      <c r="N89" s="247">
        <f t="shared" si="38"/>
        <v>11201.75</v>
      </c>
      <c r="O89" s="247">
        <f>O59+O80+O85+O72+O87</f>
        <v>144006.53</v>
      </c>
      <c r="P89" s="247">
        <f t="shared" si="38"/>
        <v>134481</v>
      </c>
      <c r="Q89" s="247">
        <f t="shared" si="38"/>
        <v>130462</v>
      </c>
      <c r="R89" s="247">
        <f t="shared" si="38"/>
        <v>12034.529999999999</v>
      </c>
      <c r="S89" s="219">
        <f>R89/O89</f>
        <v>8.356933536277833E-2</v>
      </c>
      <c r="T89" s="231"/>
      <c r="U89" s="247">
        <f>U59+U80+U85+U72</f>
        <v>11.477114798781466</v>
      </c>
    </row>
    <row r="90" spans="1:21" ht="13.2" customHeight="1">
      <c r="A90" s="64"/>
      <c r="B90" s="57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73"/>
      <c r="T90" s="214"/>
      <c r="U90" s="235"/>
    </row>
    <row r="91" spans="1:21" ht="13.2" customHeight="1">
      <c r="A91" s="64"/>
      <c r="B91" s="217" t="s">
        <v>170</v>
      </c>
      <c r="C91" s="247">
        <f t="shared" ref="C91:R91" si="39">C27-C89</f>
        <v>11688.729396256214</v>
      </c>
      <c r="D91" s="247">
        <f t="shared" si="39"/>
        <v>11542.729396256214</v>
      </c>
      <c r="E91" s="247">
        <f t="shared" si="39"/>
        <v>11147.333473675568</v>
      </c>
      <c r="F91" s="247">
        <f t="shared" si="39"/>
        <v>-4869.2603037437875</v>
      </c>
      <c r="G91" s="247">
        <f t="shared" si="39"/>
        <v>27773.850247292707</v>
      </c>
      <c r="H91" s="247">
        <f t="shared" si="39"/>
        <v>21428.950247292705</v>
      </c>
      <c r="I91" s="247">
        <f t="shared" si="39"/>
        <v>27649.850247292707</v>
      </c>
      <c r="J91" s="247">
        <f t="shared" si="39"/>
        <v>23773.850247292707</v>
      </c>
      <c r="K91" s="247">
        <f t="shared" si="39"/>
        <v>24098.850247292707</v>
      </c>
      <c r="L91" s="247">
        <f t="shared" si="39"/>
        <v>9785.0902472927082</v>
      </c>
      <c r="M91" s="247">
        <f t="shared" si="39"/>
        <v>27913.850247292707</v>
      </c>
      <c r="N91" s="247">
        <f t="shared" si="39"/>
        <v>24299.850247292707</v>
      </c>
      <c r="O91" s="247">
        <f t="shared" si="39"/>
        <v>218742.67394078584</v>
      </c>
      <c r="P91" s="247">
        <f t="shared" si="39"/>
        <v>74412</v>
      </c>
      <c r="Q91" s="247">
        <f t="shared" si="39"/>
        <v>88906</v>
      </c>
      <c r="R91" s="247">
        <f t="shared" si="39"/>
        <v>141821.67394078587</v>
      </c>
      <c r="S91" s="219">
        <f>R91/O91</f>
        <v>0.6483493658817453</v>
      </c>
      <c r="T91" s="214"/>
      <c r="U91" s="200"/>
    </row>
    <row r="92" spans="1:21" ht="13.2" customHeight="1">
      <c r="A92" s="64"/>
      <c r="B92" s="57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1"/>
      <c r="S92" s="73"/>
      <c r="T92" s="214"/>
      <c r="U92" s="235"/>
    </row>
    <row r="93" spans="1:21" ht="13.2" customHeight="1">
      <c r="A93" s="7"/>
      <c r="B93" s="191" t="s">
        <v>171</v>
      </c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73"/>
      <c r="T93" s="214"/>
      <c r="U93" s="235"/>
    </row>
    <row r="94" spans="1:21" ht="13.2" customHeight="1">
      <c r="A94" s="64">
        <v>70210</v>
      </c>
      <c r="B94" s="7" t="s">
        <v>172</v>
      </c>
      <c r="C94" s="257">
        <v>0</v>
      </c>
      <c r="D94" s="257">
        <v>0</v>
      </c>
      <c r="E94" s="257">
        <v>0</v>
      </c>
      <c r="F94" s="257">
        <v>0</v>
      </c>
      <c r="G94" s="257">
        <v>0</v>
      </c>
      <c r="H94" s="257">
        <v>0</v>
      </c>
      <c r="I94" s="257">
        <v>0</v>
      </c>
      <c r="J94" s="257">
        <v>0</v>
      </c>
      <c r="K94" s="257">
        <v>0</v>
      </c>
      <c r="L94" s="257">
        <v>0</v>
      </c>
      <c r="M94" s="257">
        <v>0</v>
      </c>
      <c r="N94" s="257">
        <v>0</v>
      </c>
      <c r="O94" s="73">
        <f t="shared" ref="O94:O105" si="40">SUM(C94:N94)</f>
        <v>0</v>
      </c>
      <c r="P94" s="73">
        <v>0</v>
      </c>
      <c r="Q94" s="73">
        <v>0</v>
      </c>
      <c r="R94" s="73">
        <f t="shared" ref="R94:R105" si="41">O94-P94</f>
        <v>0</v>
      </c>
      <c r="S94" s="213"/>
      <c r="T94" s="214"/>
      <c r="U94" s="235"/>
    </row>
    <row r="95" spans="1:21" ht="13.2" customHeight="1">
      <c r="A95" s="64">
        <v>70220</v>
      </c>
      <c r="B95" s="7" t="s">
        <v>173</v>
      </c>
      <c r="C95" s="257">
        <v>0</v>
      </c>
      <c r="D95" s="257">
        <v>0</v>
      </c>
      <c r="E95" s="257">
        <v>0</v>
      </c>
      <c r="F95" s="257">
        <v>0</v>
      </c>
      <c r="G95" s="257">
        <v>0</v>
      </c>
      <c r="H95" s="257">
        <v>0</v>
      </c>
      <c r="I95" s="257">
        <v>0</v>
      </c>
      <c r="J95" s="257">
        <v>0</v>
      </c>
      <c r="K95" s="257">
        <v>0</v>
      </c>
      <c r="L95" s="257">
        <v>0</v>
      </c>
      <c r="M95" s="257">
        <v>0</v>
      </c>
      <c r="N95" s="257">
        <v>0</v>
      </c>
      <c r="O95" s="73">
        <f t="shared" si="40"/>
        <v>0</v>
      </c>
      <c r="P95" s="73">
        <v>0</v>
      </c>
      <c r="Q95" s="73">
        <v>0</v>
      </c>
      <c r="R95" s="73">
        <f t="shared" si="41"/>
        <v>0</v>
      </c>
      <c r="S95" s="213"/>
      <c r="T95" s="214"/>
      <c r="U95" s="200"/>
    </row>
    <row r="96" spans="1:21" ht="13.2" customHeight="1">
      <c r="A96" s="64">
        <v>70230</v>
      </c>
      <c r="B96" s="7" t="s">
        <v>174</v>
      </c>
      <c r="C96" s="257">
        <v>0</v>
      </c>
      <c r="D96" s="257">
        <v>0</v>
      </c>
      <c r="E96" s="257">
        <v>0</v>
      </c>
      <c r="F96" s="257">
        <v>0</v>
      </c>
      <c r="G96" s="257">
        <v>0</v>
      </c>
      <c r="H96" s="257">
        <v>0</v>
      </c>
      <c r="I96" s="257">
        <v>0</v>
      </c>
      <c r="J96" s="257">
        <v>0</v>
      </c>
      <c r="K96" s="257">
        <v>0</v>
      </c>
      <c r="L96" s="257">
        <v>0</v>
      </c>
      <c r="M96" s="257">
        <v>0</v>
      </c>
      <c r="N96" s="257">
        <v>0</v>
      </c>
      <c r="O96" s="73">
        <f t="shared" si="40"/>
        <v>0</v>
      </c>
      <c r="P96" s="73">
        <v>0</v>
      </c>
      <c r="Q96" s="73">
        <v>0</v>
      </c>
      <c r="R96" s="73">
        <f t="shared" si="41"/>
        <v>0</v>
      </c>
      <c r="S96" s="213"/>
      <c r="T96" s="7"/>
      <c r="U96" s="200"/>
    </row>
    <row r="97" spans="1:70" ht="13.2" customHeight="1">
      <c r="A97" s="64">
        <v>70240</v>
      </c>
      <c r="B97" s="7" t="s">
        <v>175</v>
      </c>
      <c r="C97" s="257">
        <v>0</v>
      </c>
      <c r="D97" s="257">
        <v>0</v>
      </c>
      <c r="E97" s="257">
        <v>0</v>
      </c>
      <c r="F97" s="257">
        <v>0</v>
      </c>
      <c r="G97" s="257">
        <v>0</v>
      </c>
      <c r="H97" s="257">
        <v>0</v>
      </c>
      <c r="I97" s="257">
        <v>0</v>
      </c>
      <c r="J97" s="257">
        <v>0</v>
      </c>
      <c r="K97" s="257">
        <v>0</v>
      </c>
      <c r="L97" s="257">
        <v>0</v>
      </c>
      <c r="M97" s="257">
        <v>0</v>
      </c>
      <c r="N97" s="257">
        <v>0</v>
      </c>
      <c r="O97" s="73">
        <f t="shared" si="40"/>
        <v>0</v>
      </c>
      <c r="P97" s="73">
        <v>0</v>
      </c>
      <c r="Q97" s="73">
        <v>0</v>
      </c>
      <c r="R97" s="73">
        <f t="shared" si="41"/>
        <v>0</v>
      </c>
      <c r="S97" s="213"/>
      <c r="T97" s="214"/>
      <c r="U97" s="200"/>
      <c r="V97" s="197"/>
      <c r="W97" s="191"/>
      <c r="X97" s="191"/>
      <c r="Y97" s="191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</row>
    <row r="98" spans="1:70" ht="13.2" customHeight="1">
      <c r="A98" s="64">
        <v>70320</v>
      </c>
      <c r="B98" s="7" t="s">
        <v>176</v>
      </c>
      <c r="C98" s="257">
        <v>0</v>
      </c>
      <c r="D98" s="257">
        <v>0</v>
      </c>
      <c r="E98" s="257">
        <v>0</v>
      </c>
      <c r="F98" s="257">
        <v>0</v>
      </c>
      <c r="G98" s="257">
        <v>0</v>
      </c>
      <c r="H98" s="257">
        <v>0</v>
      </c>
      <c r="I98" s="257">
        <v>0</v>
      </c>
      <c r="J98" s="257">
        <v>0</v>
      </c>
      <c r="K98" s="257">
        <v>0</v>
      </c>
      <c r="L98" s="257">
        <v>0</v>
      </c>
      <c r="M98" s="257">
        <v>0</v>
      </c>
      <c r="N98" s="257">
        <v>0</v>
      </c>
      <c r="O98" s="73">
        <f t="shared" si="40"/>
        <v>0</v>
      </c>
      <c r="P98" s="73">
        <v>0</v>
      </c>
      <c r="Q98" s="73">
        <v>0</v>
      </c>
      <c r="R98" s="73">
        <f t="shared" si="41"/>
        <v>0</v>
      </c>
      <c r="S98" s="213"/>
      <c r="T98" s="214"/>
      <c r="U98" s="200"/>
      <c r="V98" s="197"/>
      <c r="W98" s="64"/>
      <c r="X98" s="64"/>
      <c r="Y98" s="64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</row>
    <row r="99" spans="1:70" ht="13.2" customHeight="1">
      <c r="A99" s="64">
        <v>70280</v>
      </c>
      <c r="B99" s="7" t="s">
        <v>177</v>
      </c>
      <c r="C99" s="257">
        <v>0</v>
      </c>
      <c r="D99" s="257">
        <v>0</v>
      </c>
      <c r="E99" s="257">
        <v>0</v>
      </c>
      <c r="F99" s="257">
        <v>0</v>
      </c>
      <c r="G99" s="257">
        <v>0</v>
      </c>
      <c r="H99" s="257">
        <v>0</v>
      </c>
      <c r="I99" s="257">
        <v>0</v>
      </c>
      <c r="J99" s="257">
        <v>0</v>
      </c>
      <c r="K99" s="257">
        <v>0</v>
      </c>
      <c r="L99" s="257">
        <v>0</v>
      </c>
      <c r="M99" s="257">
        <v>0</v>
      </c>
      <c r="N99" s="257">
        <v>0</v>
      </c>
      <c r="O99" s="73">
        <f t="shared" si="40"/>
        <v>0</v>
      </c>
      <c r="P99" s="73">
        <v>0</v>
      </c>
      <c r="Q99" s="73">
        <v>0</v>
      </c>
      <c r="R99" s="73">
        <f t="shared" si="41"/>
        <v>0</v>
      </c>
      <c r="S99" s="213"/>
      <c r="T99" s="214"/>
      <c r="U99" s="200"/>
      <c r="V99" s="197"/>
      <c r="W99" s="64"/>
      <c r="X99" s="64"/>
      <c r="Y99" s="64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65"/>
      <c r="BR99" s="65"/>
    </row>
    <row r="100" spans="1:70" ht="13.2" customHeight="1">
      <c r="A100" s="64">
        <v>70370</v>
      </c>
      <c r="B100" s="7" t="s">
        <v>178</v>
      </c>
      <c r="C100" s="257">
        <v>0</v>
      </c>
      <c r="D100" s="257">
        <v>0</v>
      </c>
      <c r="E100" s="257">
        <v>0</v>
      </c>
      <c r="F100" s="257">
        <v>0</v>
      </c>
      <c r="G100" s="257">
        <v>0</v>
      </c>
      <c r="H100" s="257">
        <v>0</v>
      </c>
      <c r="I100" s="257">
        <v>0</v>
      </c>
      <c r="J100" s="257">
        <v>0</v>
      </c>
      <c r="K100" s="257">
        <v>0</v>
      </c>
      <c r="L100" s="257">
        <v>0</v>
      </c>
      <c r="M100" s="257">
        <v>0</v>
      </c>
      <c r="N100" s="257">
        <v>0</v>
      </c>
      <c r="O100" s="73">
        <f t="shared" si="40"/>
        <v>0</v>
      </c>
      <c r="P100" s="73">
        <v>0</v>
      </c>
      <c r="Q100" s="73">
        <v>0</v>
      </c>
      <c r="R100" s="73">
        <f t="shared" si="41"/>
        <v>0</v>
      </c>
      <c r="S100" s="213"/>
      <c r="T100" s="214"/>
      <c r="U100" s="200"/>
      <c r="V100" s="197"/>
      <c r="W100" s="64"/>
      <c r="X100" s="64"/>
      <c r="Y100" s="64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65"/>
      <c r="BR100" s="65"/>
    </row>
    <row r="101" spans="1:70" ht="13.2" customHeight="1">
      <c r="A101" s="64">
        <v>70250</v>
      </c>
      <c r="B101" s="7" t="s">
        <v>179</v>
      </c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73">
        <f t="shared" si="40"/>
        <v>0</v>
      </c>
      <c r="P101" s="73">
        <v>394</v>
      </c>
      <c r="Q101" s="73">
        <v>0</v>
      </c>
      <c r="R101" s="73">
        <f t="shared" si="41"/>
        <v>-394</v>
      </c>
      <c r="S101" s="213"/>
      <c r="T101" s="214"/>
      <c r="U101" s="196"/>
      <c r="V101" s="216"/>
      <c r="W101" s="64"/>
      <c r="X101" s="64"/>
      <c r="Y101" s="64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65"/>
      <c r="BR101" s="65"/>
    </row>
    <row r="102" spans="1:70" ht="13.2" customHeight="1">
      <c r="A102" s="64">
        <v>70410</v>
      </c>
      <c r="B102" s="7" t="s">
        <v>180</v>
      </c>
      <c r="C102" s="257">
        <f>'Sales Tax'!E35</f>
        <v>568.84891445406458</v>
      </c>
      <c r="D102" s="257">
        <f>'Sales Tax'!F35</f>
        <v>568.84891445406458</v>
      </c>
      <c r="E102" s="257">
        <f>'Sales Tax'!G35</f>
        <v>570.87621767987105</v>
      </c>
      <c r="F102" s="257">
        <f>'Sales Tax'!H35</f>
        <v>584.71921445406451</v>
      </c>
      <c r="G102" s="257">
        <f>'Sales Tax'!I35</f>
        <v>1034.0271916687198</v>
      </c>
      <c r="H102" s="257">
        <f>'Sales Tax'!J35</f>
        <v>1034.0271916687198</v>
      </c>
      <c r="I102" s="257">
        <f>'Sales Tax'!K35</f>
        <v>1034.0271916687198</v>
      </c>
      <c r="J102" s="257">
        <f>'Sales Tax'!L35</f>
        <v>1034.0271916687198</v>
      </c>
      <c r="K102" s="257">
        <f>'Sales Tax'!M35</f>
        <v>1034.0271916687198</v>
      </c>
      <c r="L102" s="257">
        <f>'Sales Tax'!N35</f>
        <v>1034.0271916687198</v>
      </c>
      <c r="M102" s="257">
        <f>'Sales Tax'!O35</f>
        <v>1034.0271916687198</v>
      </c>
      <c r="N102" s="257">
        <f>'Sales Tax'!P35</f>
        <v>1034.0271916687198</v>
      </c>
      <c r="O102" s="73">
        <f t="shared" si="40"/>
        <v>10565.510794391823</v>
      </c>
      <c r="P102" s="73">
        <v>6236</v>
      </c>
      <c r="Q102" s="73">
        <v>6386</v>
      </c>
      <c r="R102" s="73">
        <f t="shared" si="41"/>
        <v>4329.5107943918229</v>
      </c>
      <c r="S102" s="213"/>
      <c r="T102" s="214"/>
      <c r="U102" s="200"/>
      <c r="V102" s="197"/>
      <c r="W102" s="64"/>
      <c r="X102" s="64"/>
      <c r="Y102" s="64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65"/>
      <c r="BP102" s="65"/>
      <c r="BQ102" s="65"/>
      <c r="BR102" s="65"/>
    </row>
    <row r="103" spans="1:70" ht="13.2" customHeight="1">
      <c r="A103" s="64">
        <v>70400</v>
      </c>
      <c r="B103" s="7" t="s">
        <v>181</v>
      </c>
      <c r="C103" s="257">
        <v>0</v>
      </c>
      <c r="D103" s="257">
        <v>0</v>
      </c>
      <c r="E103" s="257">
        <v>0</v>
      </c>
      <c r="F103" s="257">
        <v>0</v>
      </c>
      <c r="G103" s="257">
        <v>0</v>
      </c>
      <c r="H103" s="257">
        <v>0</v>
      </c>
      <c r="I103" s="257">
        <v>0</v>
      </c>
      <c r="J103" s="257">
        <v>0</v>
      </c>
      <c r="K103" s="257">
        <v>0</v>
      </c>
      <c r="L103" s="257">
        <v>0</v>
      </c>
      <c r="M103" s="257">
        <v>0</v>
      </c>
      <c r="N103" s="257">
        <v>0</v>
      </c>
      <c r="O103" s="73">
        <f t="shared" si="40"/>
        <v>0</v>
      </c>
      <c r="P103" s="73">
        <v>0</v>
      </c>
      <c r="Q103" s="73">
        <v>0</v>
      </c>
      <c r="R103" s="73">
        <f t="shared" si="41"/>
        <v>0</v>
      </c>
      <c r="S103" s="213"/>
      <c r="T103" s="214"/>
      <c r="U103" s="200"/>
      <c r="V103" s="197"/>
      <c r="W103" s="64"/>
      <c r="X103" s="64"/>
      <c r="Y103" s="64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65"/>
      <c r="BP103" s="65"/>
      <c r="BQ103" s="65"/>
      <c r="BR103" s="65"/>
    </row>
    <row r="104" spans="1:70" ht="13.2" customHeight="1">
      <c r="A104" s="64">
        <v>70440</v>
      </c>
      <c r="B104" s="7" t="s">
        <v>182</v>
      </c>
      <c r="C104" s="257">
        <v>0</v>
      </c>
      <c r="D104" s="257">
        <v>0</v>
      </c>
      <c r="E104" s="257">
        <v>0</v>
      </c>
      <c r="F104" s="257">
        <v>0</v>
      </c>
      <c r="G104" s="257">
        <v>0</v>
      </c>
      <c r="H104" s="257">
        <v>0</v>
      </c>
      <c r="I104" s="257">
        <v>0</v>
      </c>
      <c r="J104" s="257">
        <v>0</v>
      </c>
      <c r="K104" s="257">
        <v>0</v>
      </c>
      <c r="L104" s="257">
        <v>0</v>
      </c>
      <c r="M104" s="257">
        <v>0</v>
      </c>
      <c r="N104" s="257">
        <v>0</v>
      </c>
      <c r="O104" s="73">
        <f t="shared" si="40"/>
        <v>0</v>
      </c>
      <c r="P104" s="73">
        <v>0</v>
      </c>
      <c r="Q104" s="73">
        <v>0</v>
      </c>
      <c r="R104" s="73">
        <f t="shared" si="41"/>
        <v>0</v>
      </c>
      <c r="S104" s="213"/>
      <c r="T104" s="214"/>
      <c r="U104" s="200"/>
      <c r="V104" s="197"/>
      <c r="W104" s="191"/>
      <c r="X104" s="191"/>
      <c r="Y104" s="191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</row>
    <row r="105" spans="1:70" ht="13.2" customHeight="1">
      <c r="A105" s="64">
        <v>70461</v>
      </c>
      <c r="B105" s="7" t="s">
        <v>183</v>
      </c>
      <c r="C105" s="257">
        <v>0</v>
      </c>
      <c r="D105" s="257">
        <v>0</v>
      </c>
      <c r="E105" s="257">
        <v>0</v>
      </c>
      <c r="F105" s="257">
        <v>0</v>
      </c>
      <c r="G105" s="257">
        <v>0</v>
      </c>
      <c r="H105" s="257">
        <v>0</v>
      </c>
      <c r="I105" s="257">
        <v>0</v>
      </c>
      <c r="J105" s="257">
        <v>0</v>
      </c>
      <c r="K105" s="257">
        <v>0</v>
      </c>
      <c r="L105" s="257">
        <v>0</v>
      </c>
      <c r="M105" s="257">
        <v>0</v>
      </c>
      <c r="N105" s="257">
        <v>0</v>
      </c>
      <c r="O105" s="73">
        <f t="shared" si="40"/>
        <v>0</v>
      </c>
      <c r="P105" s="73">
        <v>0</v>
      </c>
      <c r="Q105" s="73">
        <v>0</v>
      </c>
      <c r="R105" s="73">
        <f t="shared" si="41"/>
        <v>0</v>
      </c>
      <c r="S105" s="213"/>
      <c r="T105" s="214"/>
      <c r="U105" s="200"/>
      <c r="V105" s="197"/>
      <c r="W105" s="191"/>
      <c r="X105" s="191"/>
      <c r="Y105" s="191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</row>
    <row r="106" spans="1:70" ht="13.2" customHeight="1">
      <c r="A106" s="7"/>
      <c r="B106" s="57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214"/>
      <c r="U106" s="200"/>
      <c r="V106" s="197"/>
      <c r="W106" s="64"/>
      <c r="X106" s="64"/>
      <c r="Y106" s="64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65"/>
      <c r="BP106" s="65"/>
      <c r="BQ106" s="65"/>
      <c r="BR106" s="65"/>
    </row>
    <row r="107" spans="1:70" ht="13.2" customHeight="1">
      <c r="A107" s="7"/>
      <c r="B107" s="217" t="s">
        <v>184</v>
      </c>
      <c r="C107" s="218">
        <f>SUM(C94:C105)</f>
        <v>568.84891445406458</v>
      </c>
      <c r="D107" s="218">
        <f t="shared" ref="D107:R107" si="42">SUM(D94:D105)</f>
        <v>568.84891445406458</v>
      </c>
      <c r="E107" s="218">
        <f t="shared" si="42"/>
        <v>570.87621767987105</v>
      </c>
      <c r="F107" s="218">
        <f t="shared" si="42"/>
        <v>584.71921445406451</v>
      </c>
      <c r="G107" s="218">
        <f t="shared" si="42"/>
        <v>1034.0271916687198</v>
      </c>
      <c r="H107" s="218">
        <f t="shared" si="42"/>
        <v>1034.0271916687198</v>
      </c>
      <c r="I107" s="218">
        <f t="shared" si="42"/>
        <v>1034.0271916687198</v>
      </c>
      <c r="J107" s="218">
        <f t="shared" si="42"/>
        <v>1034.0271916687198</v>
      </c>
      <c r="K107" s="218">
        <f t="shared" si="42"/>
        <v>1034.0271916687198</v>
      </c>
      <c r="L107" s="218">
        <f t="shared" si="42"/>
        <v>1034.0271916687198</v>
      </c>
      <c r="M107" s="218">
        <f t="shared" si="42"/>
        <v>1034.0271916687198</v>
      </c>
      <c r="N107" s="218">
        <f t="shared" si="42"/>
        <v>1034.0271916687198</v>
      </c>
      <c r="O107" s="218">
        <f t="shared" si="42"/>
        <v>10565.510794391823</v>
      </c>
      <c r="P107" s="218">
        <f t="shared" si="42"/>
        <v>6630</v>
      </c>
      <c r="Q107" s="218">
        <f t="shared" si="42"/>
        <v>6386</v>
      </c>
      <c r="R107" s="218">
        <f t="shared" si="42"/>
        <v>3935.5107943918229</v>
      </c>
      <c r="S107" s="219">
        <f>R107/O107</f>
        <v>0.37248656226642574</v>
      </c>
      <c r="T107" s="214"/>
      <c r="U107" s="200"/>
      <c r="V107" s="197"/>
      <c r="W107" s="64"/>
      <c r="X107" s="64"/>
      <c r="Y107" s="64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65"/>
      <c r="BP107" s="65"/>
      <c r="BQ107" s="65"/>
      <c r="BR107" s="65"/>
    </row>
    <row r="108" spans="1:70" ht="13.2" customHeight="1">
      <c r="A108" s="7"/>
      <c r="B108" s="7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214"/>
      <c r="U108" s="200"/>
      <c r="V108" s="197"/>
      <c r="W108" s="64"/>
      <c r="X108" s="64"/>
      <c r="Y108" s="64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65"/>
      <c r="BP108" s="65"/>
      <c r="BQ108" s="65"/>
      <c r="BR108" s="65"/>
    </row>
    <row r="109" spans="1:70" ht="13.2" customHeight="1">
      <c r="A109" s="7"/>
      <c r="B109" s="217" t="s">
        <v>185</v>
      </c>
      <c r="C109" s="218">
        <f>C91-C107</f>
        <v>11119.880481802149</v>
      </c>
      <c r="D109" s="218">
        <f t="shared" ref="D109:R109" si="43">D91-D107</f>
        <v>10973.880481802149</v>
      </c>
      <c r="E109" s="218">
        <f t="shared" si="43"/>
        <v>10576.457255995696</v>
      </c>
      <c r="F109" s="218">
        <f t="shared" si="43"/>
        <v>-5453.9795181978516</v>
      </c>
      <c r="G109" s="218">
        <f t="shared" si="43"/>
        <v>26739.823055623987</v>
      </c>
      <c r="H109" s="218">
        <f t="shared" si="43"/>
        <v>20394.923055623985</v>
      </c>
      <c r="I109" s="218">
        <f t="shared" si="43"/>
        <v>26615.823055623987</v>
      </c>
      <c r="J109" s="218">
        <f t="shared" si="43"/>
        <v>22739.823055623987</v>
      </c>
      <c r="K109" s="218">
        <f t="shared" si="43"/>
        <v>23064.823055623987</v>
      </c>
      <c r="L109" s="218">
        <f t="shared" si="43"/>
        <v>8751.0630556239885</v>
      </c>
      <c r="M109" s="218">
        <f t="shared" si="43"/>
        <v>26879.823055623987</v>
      </c>
      <c r="N109" s="218">
        <f t="shared" si="43"/>
        <v>23265.823055623987</v>
      </c>
      <c r="O109" s="218">
        <f t="shared" si="43"/>
        <v>208177.16314639401</v>
      </c>
      <c r="P109" s="218">
        <f t="shared" si="43"/>
        <v>67782</v>
      </c>
      <c r="Q109" s="218">
        <f t="shared" si="43"/>
        <v>82520</v>
      </c>
      <c r="R109" s="218">
        <f t="shared" si="43"/>
        <v>137886.16314639404</v>
      </c>
      <c r="S109" s="219">
        <f>R109/O109</f>
        <v>0.66235009192353123</v>
      </c>
      <c r="T109" s="214"/>
      <c r="U109" s="200"/>
      <c r="V109" s="197"/>
      <c r="W109" s="64"/>
      <c r="X109" s="64"/>
      <c r="Y109" s="64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65"/>
      <c r="BP109" s="65"/>
      <c r="BQ109" s="65"/>
      <c r="BR109" s="65"/>
    </row>
    <row r="110" spans="1:70" ht="13.2" customHeight="1">
      <c r="A110" s="7"/>
      <c r="B110" s="57"/>
      <c r="C110" s="258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73"/>
      <c r="O110" s="73"/>
      <c r="P110" s="73"/>
      <c r="Q110" s="259"/>
      <c r="R110" s="73"/>
      <c r="S110" s="73"/>
      <c r="T110" s="214"/>
      <c r="U110" s="200"/>
      <c r="V110" s="197"/>
      <c r="W110" s="64"/>
      <c r="X110" s="64"/>
      <c r="Y110" s="64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191"/>
      <c r="BI110" s="7"/>
      <c r="BJ110" s="7"/>
      <c r="BK110" s="7"/>
      <c r="BL110" s="7"/>
      <c r="BM110" s="7" t="s">
        <v>23</v>
      </c>
      <c r="BN110" s="7" t="s">
        <v>23</v>
      </c>
      <c r="BO110" s="65"/>
      <c r="BP110" s="65"/>
      <c r="BQ110" s="65"/>
      <c r="BR110" s="65"/>
    </row>
    <row r="111" spans="1:70" ht="13.2" customHeight="1">
      <c r="A111" s="7"/>
      <c r="B111" s="57" t="s">
        <v>186</v>
      </c>
      <c r="C111" s="260"/>
      <c r="D111" s="261"/>
      <c r="E111" s="261"/>
      <c r="F111" s="261"/>
      <c r="G111" s="261"/>
      <c r="H111" s="262"/>
      <c r="I111" s="261"/>
      <c r="J111" s="263"/>
      <c r="K111" s="264"/>
      <c r="L111" s="264"/>
      <c r="M111" s="240"/>
      <c r="N111" s="263"/>
      <c r="O111" s="73"/>
      <c r="P111" s="73"/>
      <c r="Q111" s="265"/>
      <c r="R111" s="73"/>
      <c r="S111" s="73"/>
      <c r="T111" s="214"/>
      <c r="U111" s="200"/>
      <c r="V111" s="197"/>
      <c r="W111" s="64"/>
      <c r="X111" s="64"/>
      <c r="Y111" s="64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191"/>
      <c r="BI111" s="7"/>
      <c r="BJ111" s="7"/>
      <c r="BK111" s="7"/>
      <c r="BL111" s="7"/>
      <c r="BM111" s="7"/>
      <c r="BN111" s="7"/>
      <c r="BO111" s="65"/>
      <c r="BP111" s="65"/>
      <c r="BQ111" s="65"/>
      <c r="BR111" s="65"/>
    </row>
    <row r="112" spans="1:70" ht="13.2" customHeight="1">
      <c r="A112" s="64">
        <v>70110</v>
      </c>
      <c r="B112" s="7" t="s">
        <v>187</v>
      </c>
      <c r="C112" s="257">
        <v>4585.49</v>
      </c>
      <c r="D112" s="257">
        <v>4574.95</v>
      </c>
      <c r="E112" s="257">
        <v>4122.66</v>
      </c>
      <c r="F112" s="257">
        <v>4552.25</v>
      </c>
      <c r="G112" s="257">
        <v>4395.09</v>
      </c>
      <c r="H112" s="257">
        <v>4530.3999999999996</v>
      </c>
      <c r="I112" s="257">
        <v>4373.87</v>
      </c>
      <c r="J112" s="257">
        <v>4508.3999999999996</v>
      </c>
      <c r="K112" s="257">
        <v>4497.6000000000004</v>
      </c>
      <c r="L112" s="257">
        <v>4342.0200000000004</v>
      </c>
      <c r="M112" s="257">
        <v>4475.38</v>
      </c>
      <c r="N112" s="257">
        <v>4320.4399999999996</v>
      </c>
      <c r="O112" s="73">
        <f t="shared" ref="O112:O114" si="44">SUM(C112:N112)</f>
        <v>53278.549999999996</v>
      </c>
      <c r="P112" s="73">
        <v>53248</v>
      </c>
      <c r="Q112" s="73">
        <v>53276</v>
      </c>
      <c r="R112" s="73">
        <f t="shared" ref="R112:R114" si="45">O112-P112</f>
        <v>30.549999999995634</v>
      </c>
      <c r="S112" s="213"/>
      <c r="T112" s="214"/>
      <c r="U112" s="200"/>
      <c r="V112" s="197"/>
      <c r="W112" s="191"/>
      <c r="X112" s="191"/>
      <c r="Y112" s="191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</row>
    <row r="113" spans="1:70" ht="13.2" customHeight="1">
      <c r="A113" s="64">
        <v>70111</v>
      </c>
      <c r="B113" s="7" t="s">
        <v>188</v>
      </c>
      <c r="C113" s="257"/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73">
        <f t="shared" si="44"/>
        <v>0</v>
      </c>
      <c r="P113" s="73">
        <v>0</v>
      </c>
      <c r="Q113" s="73">
        <v>0</v>
      </c>
      <c r="R113" s="73">
        <f t="shared" si="45"/>
        <v>0</v>
      </c>
      <c r="S113" s="213"/>
      <c r="T113" s="214"/>
      <c r="U113" s="200"/>
      <c r="V113" s="197"/>
      <c r="W113" s="191"/>
      <c r="X113" s="191"/>
      <c r="Y113" s="191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</row>
    <row r="114" spans="1:70" ht="13.2" customHeight="1">
      <c r="A114" s="64">
        <v>70182</v>
      </c>
      <c r="B114" s="7" t="s">
        <v>189</v>
      </c>
      <c r="C114" s="257">
        <v>0</v>
      </c>
      <c r="D114" s="257">
        <v>0</v>
      </c>
      <c r="E114" s="257">
        <v>0</v>
      </c>
      <c r="F114" s="257">
        <v>0</v>
      </c>
      <c r="G114" s="257">
        <v>0</v>
      </c>
      <c r="H114" s="257">
        <v>0</v>
      </c>
      <c r="I114" s="257">
        <v>0</v>
      </c>
      <c r="J114" s="257">
        <v>0</v>
      </c>
      <c r="K114" s="257">
        <v>0</v>
      </c>
      <c r="L114" s="257">
        <v>0</v>
      </c>
      <c r="M114" s="257">
        <v>0</v>
      </c>
      <c r="N114" s="257">
        <v>0</v>
      </c>
      <c r="O114" s="73">
        <f t="shared" si="44"/>
        <v>0</v>
      </c>
      <c r="P114" s="73">
        <v>0</v>
      </c>
      <c r="Q114" s="73">
        <v>0</v>
      </c>
      <c r="R114" s="73">
        <f t="shared" si="45"/>
        <v>0</v>
      </c>
      <c r="S114" s="213"/>
      <c r="T114" s="214"/>
      <c r="U114" s="200"/>
      <c r="V114" s="197"/>
      <c r="W114" s="191"/>
      <c r="X114" s="191"/>
      <c r="Y114" s="191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</row>
    <row r="115" spans="1:70" ht="13.2" customHeight="1">
      <c r="A115" s="7"/>
      <c r="B115" s="57"/>
      <c r="C115" s="266"/>
      <c r="D115" s="267"/>
      <c r="E115" s="268"/>
      <c r="F115" s="268"/>
      <c r="G115" s="73"/>
      <c r="H115" s="267"/>
      <c r="I115" s="73"/>
      <c r="J115" s="73"/>
      <c r="K115" s="73"/>
      <c r="L115" s="73"/>
      <c r="M115" s="73"/>
      <c r="N115" s="73"/>
      <c r="O115" s="266"/>
      <c r="P115" s="267"/>
      <c r="Q115" s="267"/>
      <c r="R115" s="73"/>
      <c r="S115" s="73"/>
      <c r="T115" s="214"/>
      <c r="U115" s="200"/>
      <c r="V115" s="197"/>
      <c r="W115" s="64"/>
      <c r="X115" s="64"/>
      <c r="Y115" s="64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191"/>
      <c r="BI115" s="7"/>
      <c r="BJ115" s="7"/>
      <c r="BK115" s="7"/>
      <c r="BL115" s="7"/>
      <c r="BM115" s="7"/>
      <c r="BN115" s="7"/>
      <c r="BO115" s="65"/>
      <c r="BP115" s="65"/>
      <c r="BQ115" s="65"/>
      <c r="BR115" s="65"/>
    </row>
    <row r="116" spans="1:70" ht="13.2" customHeight="1">
      <c r="A116" s="7"/>
      <c r="B116" s="217" t="s">
        <v>186</v>
      </c>
      <c r="C116" s="218">
        <f t="shared" ref="C116:R116" si="46">SUM(C112:C114)</f>
        <v>4585.49</v>
      </c>
      <c r="D116" s="218">
        <f t="shared" si="46"/>
        <v>4574.95</v>
      </c>
      <c r="E116" s="218">
        <f t="shared" si="46"/>
        <v>4122.66</v>
      </c>
      <c r="F116" s="218">
        <f t="shared" si="46"/>
        <v>4552.25</v>
      </c>
      <c r="G116" s="218">
        <f t="shared" si="46"/>
        <v>4395.09</v>
      </c>
      <c r="H116" s="218">
        <f t="shared" si="46"/>
        <v>4530.3999999999996</v>
      </c>
      <c r="I116" s="218">
        <f t="shared" si="46"/>
        <v>4373.87</v>
      </c>
      <c r="J116" s="218">
        <f t="shared" si="46"/>
        <v>4508.3999999999996</v>
      </c>
      <c r="K116" s="218">
        <f t="shared" si="46"/>
        <v>4497.6000000000004</v>
      </c>
      <c r="L116" s="218">
        <f t="shared" si="46"/>
        <v>4342.0200000000004</v>
      </c>
      <c r="M116" s="218">
        <f t="shared" si="46"/>
        <v>4475.38</v>
      </c>
      <c r="N116" s="218">
        <f t="shared" si="46"/>
        <v>4320.4399999999996</v>
      </c>
      <c r="O116" s="218">
        <f t="shared" si="46"/>
        <v>53278.549999999996</v>
      </c>
      <c r="P116" s="218">
        <f t="shared" si="46"/>
        <v>53248</v>
      </c>
      <c r="Q116" s="218">
        <f t="shared" si="46"/>
        <v>53276</v>
      </c>
      <c r="R116" s="218">
        <f t="shared" si="46"/>
        <v>30.549999999995634</v>
      </c>
      <c r="S116" s="219">
        <f>R116/O116</f>
        <v>5.7340149084379429E-4</v>
      </c>
      <c r="T116" s="214"/>
      <c r="U116" s="200"/>
      <c r="V116" s="197"/>
      <c r="W116" s="64"/>
      <c r="X116" s="64"/>
      <c r="Y116" s="64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191"/>
      <c r="BI116" s="7"/>
      <c r="BJ116" s="7"/>
      <c r="BK116" s="7"/>
      <c r="BL116" s="7"/>
      <c r="BM116" s="7"/>
      <c r="BN116" s="7"/>
      <c r="BO116" s="65"/>
      <c r="BP116" s="65"/>
      <c r="BQ116" s="65"/>
      <c r="BR116" s="65"/>
    </row>
    <row r="117" spans="1:70" ht="13.2" customHeight="1">
      <c r="A117" s="7"/>
      <c r="B117" s="7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269"/>
      <c r="R117" s="73"/>
      <c r="S117" s="73"/>
      <c r="T117" s="214"/>
      <c r="U117" s="200"/>
      <c r="V117" s="197"/>
      <c r="W117" s="270"/>
      <c r="X117" s="270"/>
      <c r="Y117" s="270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191"/>
      <c r="BI117" s="7"/>
      <c r="BJ117" s="7"/>
      <c r="BK117" s="7"/>
      <c r="BL117" s="7"/>
      <c r="BM117" s="7"/>
      <c r="BN117" s="7"/>
      <c r="BO117" s="65"/>
      <c r="BP117" s="65"/>
      <c r="BQ117" s="65"/>
      <c r="BR117" s="65"/>
    </row>
    <row r="118" spans="1:70" ht="13.2" customHeight="1">
      <c r="A118" s="7"/>
      <c r="B118" s="57" t="s">
        <v>190</v>
      </c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271"/>
      <c r="R118" s="73"/>
      <c r="S118" s="73"/>
      <c r="T118" s="214"/>
      <c r="U118" s="200"/>
      <c r="V118" s="197"/>
      <c r="W118" s="64"/>
      <c r="X118" s="64"/>
      <c r="Y118" s="64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191"/>
      <c r="BI118" s="7"/>
      <c r="BJ118" s="7"/>
      <c r="BK118" s="7"/>
      <c r="BL118" s="7"/>
      <c r="BM118" s="7"/>
      <c r="BN118" s="7"/>
      <c r="BO118" s="65"/>
      <c r="BP118" s="65"/>
      <c r="BQ118" s="65"/>
      <c r="BR118" s="65"/>
    </row>
    <row r="119" spans="1:70" ht="13.2" customHeight="1">
      <c r="A119" s="7"/>
      <c r="B119" s="57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214"/>
      <c r="U119" s="200"/>
      <c r="V119" s="197"/>
      <c r="W119" s="64"/>
      <c r="X119" s="64"/>
      <c r="Y119" s="64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191"/>
      <c r="BI119" s="7"/>
      <c r="BJ119" s="7"/>
      <c r="BK119" s="7"/>
      <c r="BL119" s="7"/>
      <c r="BM119" s="7"/>
      <c r="BN119" s="7"/>
      <c r="BO119" s="65"/>
      <c r="BP119" s="65"/>
      <c r="BQ119" s="65"/>
      <c r="BR119" s="65"/>
    </row>
    <row r="120" spans="1:70" ht="13.2" customHeight="1">
      <c r="A120" s="7"/>
      <c r="B120" s="57" t="s">
        <v>191</v>
      </c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221"/>
      <c r="P120" s="221"/>
      <c r="Q120" s="272"/>
      <c r="R120" s="73"/>
      <c r="S120" s="73"/>
      <c r="T120" s="214"/>
      <c r="U120" s="200"/>
      <c r="V120" s="197"/>
      <c r="W120" s="64"/>
      <c r="X120" s="64"/>
      <c r="Y120" s="64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191"/>
      <c r="BI120" s="7"/>
      <c r="BJ120" s="7"/>
      <c r="BK120" s="7"/>
      <c r="BL120" s="7"/>
      <c r="BM120" s="7"/>
      <c r="BN120" s="7"/>
      <c r="BO120" s="65"/>
      <c r="BP120" s="65"/>
      <c r="BQ120" s="65"/>
      <c r="BR120" s="65"/>
    </row>
    <row r="121" spans="1:70" ht="13.2" customHeight="1">
      <c r="A121" s="64">
        <v>10410</v>
      </c>
      <c r="B121" s="7" t="s">
        <v>192</v>
      </c>
      <c r="C121" s="221">
        <v>0</v>
      </c>
      <c r="D121" s="221">
        <f>C121</f>
        <v>0</v>
      </c>
      <c r="E121" s="221">
        <f>D121</f>
        <v>0</v>
      </c>
      <c r="F121" s="221">
        <v>0</v>
      </c>
      <c r="G121" s="221">
        <f>E121</f>
        <v>0</v>
      </c>
      <c r="H121" s="221">
        <f t="shared" ref="H121:K121" si="47">G121</f>
        <v>0</v>
      </c>
      <c r="I121" s="221">
        <f t="shared" si="47"/>
        <v>0</v>
      </c>
      <c r="J121" s="221">
        <f t="shared" si="47"/>
        <v>0</v>
      </c>
      <c r="K121" s="221">
        <f t="shared" si="47"/>
        <v>0</v>
      </c>
      <c r="L121" s="221">
        <v>0</v>
      </c>
      <c r="M121" s="221">
        <f>K121</f>
        <v>0</v>
      </c>
      <c r="N121" s="221">
        <f>M121-N83</f>
        <v>0</v>
      </c>
      <c r="O121" s="73">
        <f t="shared" ref="O121:O135" si="48">SUM(C121:N121)</f>
        <v>0</v>
      </c>
      <c r="P121" s="73">
        <v>0</v>
      </c>
      <c r="Q121" s="73">
        <v>0</v>
      </c>
      <c r="R121" s="73">
        <f t="shared" ref="R121:R135" si="49">O121-P121</f>
        <v>0</v>
      </c>
      <c r="S121" s="213"/>
      <c r="T121" s="214"/>
      <c r="U121" s="200"/>
      <c r="V121" s="197"/>
      <c r="W121" s="64"/>
      <c r="X121" s="64"/>
      <c r="Y121" s="64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191"/>
      <c r="BI121" s="7"/>
      <c r="BJ121" s="7"/>
      <c r="BK121" s="7"/>
      <c r="BL121" s="7"/>
      <c r="BM121" s="7"/>
      <c r="BN121" s="7"/>
      <c r="BO121" s="65"/>
      <c r="BP121" s="65"/>
      <c r="BQ121" s="65"/>
      <c r="BR121" s="65"/>
    </row>
    <row r="122" spans="1:70" ht="13.2" customHeight="1">
      <c r="A122" s="64">
        <v>10400</v>
      </c>
      <c r="B122" s="7" t="s">
        <v>193</v>
      </c>
      <c r="C122" s="221">
        <v>0</v>
      </c>
      <c r="D122" s="221">
        <v>0</v>
      </c>
      <c r="E122" s="221">
        <v>0</v>
      </c>
      <c r="F122" s="221">
        <v>0</v>
      </c>
      <c r="G122" s="221">
        <v>0</v>
      </c>
      <c r="H122" s="221">
        <v>0</v>
      </c>
      <c r="I122" s="221">
        <v>0</v>
      </c>
      <c r="J122" s="221">
        <v>0</v>
      </c>
      <c r="K122" s="221">
        <v>0</v>
      </c>
      <c r="L122" s="221">
        <v>0</v>
      </c>
      <c r="M122" s="221">
        <v>0</v>
      </c>
      <c r="N122" s="221">
        <f>M122-N84</f>
        <v>0</v>
      </c>
      <c r="O122" s="73">
        <f t="shared" si="48"/>
        <v>0</v>
      </c>
      <c r="P122" s="73">
        <v>0</v>
      </c>
      <c r="Q122" s="73">
        <v>0</v>
      </c>
      <c r="R122" s="73">
        <f t="shared" si="49"/>
        <v>0</v>
      </c>
      <c r="S122" s="213"/>
      <c r="T122" s="214"/>
      <c r="U122" s="200"/>
      <c r="V122" s="197"/>
      <c r="W122" s="64"/>
      <c r="X122" s="64"/>
      <c r="Y122" s="64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191"/>
      <c r="BI122" s="7"/>
      <c r="BJ122" s="7"/>
      <c r="BK122" s="7"/>
      <c r="BL122" s="7"/>
      <c r="BM122" s="7"/>
      <c r="BN122" s="7"/>
      <c r="BO122" s="65"/>
      <c r="BP122" s="65"/>
      <c r="BQ122" s="65"/>
      <c r="BR122" s="65"/>
    </row>
    <row r="123" spans="1:70" ht="13.2" customHeight="1">
      <c r="A123" s="64">
        <v>10460</v>
      </c>
      <c r="B123" s="57" t="s">
        <v>194</v>
      </c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73">
        <f t="shared" si="48"/>
        <v>0</v>
      </c>
      <c r="P123" s="73">
        <v>0</v>
      </c>
      <c r="Q123" s="73">
        <v>0</v>
      </c>
      <c r="R123" s="73">
        <f t="shared" si="49"/>
        <v>0</v>
      </c>
      <c r="S123" s="213"/>
      <c r="T123" s="214"/>
      <c r="U123" s="200"/>
      <c r="V123" s="197"/>
      <c r="W123" s="64"/>
      <c r="X123" s="64"/>
      <c r="Y123" s="64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191"/>
      <c r="BI123" s="7"/>
      <c r="BJ123" s="7"/>
      <c r="BK123" s="7"/>
      <c r="BL123" s="7"/>
      <c r="BM123" s="7"/>
      <c r="BN123" s="7"/>
      <c r="BO123" s="65"/>
      <c r="BP123" s="65"/>
      <c r="BQ123" s="65"/>
      <c r="BR123" s="65"/>
    </row>
    <row r="124" spans="1:70" ht="13.2" customHeight="1">
      <c r="A124" s="64">
        <v>10470</v>
      </c>
      <c r="B124" s="57" t="s">
        <v>195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73">
        <f t="shared" si="48"/>
        <v>0</v>
      </c>
      <c r="P124" s="73">
        <v>0</v>
      </c>
      <c r="Q124" s="73">
        <v>0</v>
      </c>
      <c r="R124" s="73">
        <f t="shared" si="49"/>
        <v>0</v>
      </c>
      <c r="S124" s="213"/>
      <c r="T124" s="214"/>
      <c r="U124" s="200"/>
      <c r="V124" s="197"/>
      <c r="W124" s="64"/>
      <c r="X124" s="64"/>
      <c r="Y124" s="64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191"/>
      <c r="BI124" s="7"/>
      <c r="BJ124" s="7"/>
      <c r="BK124" s="7"/>
      <c r="BL124" s="7"/>
      <c r="BM124" s="7"/>
      <c r="BN124" s="7"/>
      <c r="BO124" s="65"/>
      <c r="BP124" s="65"/>
      <c r="BQ124" s="65"/>
      <c r="BR124" s="65"/>
    </row>
    <row r="125" spans="1:70" ht="13.2" customHeight="1">
      <c r="A125" s="64">
        <v>15100</v>
      </c>
      <c r="B125" s="7" t="s">
        <v>196</v>
      </c>
      <c r="C125" s="221">
        <v>0</v>
      </c>
      <c r="D125" s="221">
        <v>0</v>
      </c>
      <c r="E125" s="221">
        <v>0</v>
      </c>
      <c r="F125" s="221">
        <v>0</v>
      </c>
      <c r="G125" s="221">
        <v>0</v>
      </c>
      <c r="H125" s="221">
        <v>0</v>
      </c>
      <c r="I125" s="221">
        <f>10*D146</f>
        <v>6180</v>
      </c>
      <c r="J125" s="221">
        <v>0</v>
      </c>
      <c r="K125" s="221">
        <v>0</v>
      </c>
      <c r="L125" s="221">
        <v>0</v>
      </c>
      <c r="M125" s="221">
        <v>0</v>
      </c>
      <c r="N125" s="221">
        <v>0</v>
      </c>
      <c r="O125" s="73">
        <f t="shared" si="48"/>
        <v>6180</v>
      </c>
      <c r="P125" s="73">
        <v>0</v>
      </c>
      <c r="Q125" s="73">
        <v>0</v>
      </c>
      <c r="R125" s="73">
        <f t="shared" si="49"/>
        <v>6180</v>
      </c>
      <c r="S125" s="213"/>
      <c r="T125" s="214"/>
      <c r="U125" s="200"/>
      <c r="V125" s="197"/>
      <c r="W125" s="64"/>
      <c r="X125" s="64"/>
      <c r="Y125" s="64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65"/>
      <c r="BR125" s="65"/>
    </row>
    <row r="126" spans="1:70" ht="13.2" customHeight="1">
      <c r="A126" s="64">
        <v>15101</v>
      </c>
      <c r="B126" s="7" t="s">
        <v>197</v>
      </c>
      <c r="C126" s="221"/>
      <c r="D126" s="221"/>
      <c r="E126" s="221"/>
      <c r="F126" s="221"/>
      <c r="G126" s="221"/>
      <c r="H126" s="221"/>
      <c r="I126" s="221">
        <f>10*G146</f>
        <v>42300</v>
      </c>
      <c r="J126" s="221"/>
      <c r="K126" s="221"/>
      <c r="L126" s="221"/>
      <c r="M126" s="221"/>
      <c r="N126" s="221"/>
      <c r="O126" s="73">
        <f t="shared" si="48"/>
        <v>42300</v>
      </c>
      <c r="P126" s="73"/>
      <c r="Q126" s="73"/>
      <c r="R126" s="73"/>
      <c r="S126" s="213"/>
      <c r="T126" s="214"/>
      <c r="U126" s="200"/>
      <c r="V126" s="197"/>
      <c r="W126" s="64"/>
      <c r="X126" s="64"/>
      <c r="Y126" s="64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65"/>
      <c r="BR126" s="65"/>
    </row>
    <row r="127" spans="1:70" ht="13.2" customHeight="1">
      <c r="A127" s="64">
        <v>15400</v>
      </c>
      <c r="B127" s="7" t="s">
        <v>198</v>
      </c>
      <c r="C127" s="221">
        <v>0</v>
      </c>
      <c r="D127" s="221">
        <v>0</v>
      </c>
      <c r="E127" s="221">
        <v>0</v>
      </c>
      <c r="F127" s="221">
        <v>0</v>
      </c>
      <c r="G127" s="221">
        <v>0</v>
      </c>
      <c r="H127" s="221">
        <v>0</v>
      </c>
      <c r="I127" s="221">
        <v>0</v>
      </c>
      <c r="J127" s="221">
        <v>0</v>
      </c>
      <c r="K127" s="221">
        <v>0</v>
      </c>
      <c r="L127" s="221">
        <v>0</v>
      </c>
      <c r="M127" s="221">
        <v>0</v>
      </c>
      <c r="N127" s="221">
        <v>0</v>
      </c>
      <c r="O127" s="73">
        <f t="shared" si="48"/>
        <v>0</v>
      </c>
      <c r="P127" s="73">
        <v>0</v>
      </c>
      <c r="Q127" s="73">
        <v>0</v>
      </c>
      <c r="R127" s="73">
        <f t="shared" si="49"/>
        <v>0</v>
      </c>
      <c r="S127" s="213"/>
      <c r="T127" s="214"/>
      <c r="U127" s="200"/>
      <c r="V127" s="197"/>
      <c r="W127" s="64"/>
      <c r="X127" s="64"/>
      <c r="Y127" s="64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65"/>
      <c r="BR127" s="65"/>
    </row>
    <row r="128" spans="1:70" ht="13.2" customHeight="1">
      <c r="A128" s="64">
        <v>16500</v>
      </c>
      <c r="B128" s="7" t="s">
        <v>199</v>
      </c>
      <c r="C128" s="221">
        <v>0</v>
      </c>
      <c r="D128" s="221">
        <v>0</v>
      </c>
      <c r="E128" s="221">
        <f>E152/2</f>
        <v>2335.7765979799019</v>
      </c>
      <c r="F128" s="221">
        <v>0</v>
      </c>
      <c r="G128" s="221"/>
      <c r="H128" s="221">
        <f>E128</f>
        <v>2335.7765979799019</v>
      </c>
      <c r="I128" s="221">
        <v>0</v>
      </c>
      <c r="J128" s="221">
        <v>0</v>
      </c>
      <c r="K128" s="221">
        <v>0</v>
      </c>
      <c r="L128" s="221">
        <v>0</v>
      </c>
      <c r="M128" s="221">
        <v>0</v>
      </c>
      <c r="N128" s="221">
        <v>0</v>
      </c>
      <c r="O128" s="73">
        <f t="shared" si="48"/>
        <v>4671.5531959598038</v>
      </c>
      <c r="P128" s="73">
        <v>0</v>
      </c>
      <c r="Q128" s="73">
        <v>0</v>
      </c>
      <c r="R128" s="73">
        <f t="shared" si="49"/>
        <v>4671.5531959598038</v>
      </c>
      <c r="S128" s="213"/>
      <c r="T128" s="214"/>
      <c r="U128" s="200"/>
      <c r="V128" s="197"/>
      <c r="W128" s="64"/>
      <c r="X128" s="64"/>
      <c r="Y128" s="64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65"/>
      <c r="BR128" s="65"/>
    </row>
    <row r="129" spans="1:70" ht="13.2" customHeight="1">
      <c r="A129" s="64">
        <v>16500</v>
      </c>
      <c r="B129" s="7" t="s">
        <v>200</v>
      </c>
      <c r="C129" s="221">
        <v>0</v>
      </c>
      <c r="D129" s="221">
        <v>0</v>
      </c>
      <c r="E129" s="221">
        <f>H152/2</f>
        <v>15987.597102677972</v>
      </c>
      <c r="F129" s="221">
        <v>0</v>
      </c>
      <c r="G129" s="221">
        <v>0</v>
      </c>
      <c r="H129" s="221">
        <f>E129</f>
        <v>15987.597102677972</v>
      </c>
      <c r="I129" s="221">
        <v>0</v>
      </c>
      <c r="J129" s="221">
        <v>0</v>
      </c>
      <c r="K129" s="221">
        <v>0</v>
      </c>
      <c r="L129" s="221">
        <v>0</v>
      </c>
      <c r="M129" s="221">
        <v>0</v>
      </c>
      <c r="N129" s="221">
        <v>0</v>
      </c>
      <c r="O129" s="73">
        <f t="shared" si="48"/>
        <v>31975.194205355943</v>
      </c>
      <c r="P129" s="73">
        <v>0</v>
      </c>
      <c r="Q129" s="73">
        <v>0</v>
      </c>
      <c r="R129" s="73">
        <f t="shared" ref="R129" si="50">O129-P129</f>
        <v>31975.194205355943</v>
      </c>
      <c r="S129" s="213"/>
      <c r="T129" s="214"/>
      <c r="U129" s="200"/>
      <c r="V129" s="197"/>
      <c r="W129" s="64"/>
      <c r="X129" s="64"/>
      <c r="Y129" s="64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65"/>
      <c r="BR129" s="65"/>
    </row>
    <row r="130" spans="1:70" ht="13.2" customHeight="1">
      <c r="A130" s="64">
        <v>17600</v>
      </c>
      <c r="B130" s="7" t="s">
        <v>201</v>
      </c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73">
        <f t="shared" si="48"/>
        <v>0</v>
      </c>
      <c r="P130" s="73">
        <v>12425</v>
      </c>
      <c r="Q130" s="73">
        <v>0</v>
      </c>
      <c r="R130" s="73">
        <f t="shared" si="49"/>
        <v>-12425</v>
      </c>
      <c r="S130" s="213"/>
      <c r="T130" s="214"/>
      <c r="U130" s="196"/>
      <c r="V130" s="216"/>
      <c r="W130" s="64"/>
      <c r="X130" s="64"/>
      <c r="Y130" s="64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65"/>
      <c r="BR130" s="65"/>
    </row>
    <row r="131" spans="1:70" ht="13.2" customHeight="1">
      <c r="A131" s="64">
        <v>25300</v>
      </c>
      <c r="B131" s="57" t="s">
        <v>202</v>
      </c>
      <c r="C131" s="192">
        <v>3087.01</v>
      </c>
      <c r="D131" s="192">
        <v>3097.55</v>
      </c>
      <c r="E131" s="192">
        <v>3549.84</v>
      </c>
      <c r="F131" s="192">
        <v>3120.25</v>
      </c>
      <c r="G131" s="192">
        <v>3277.41</v>
      </c>
      <c r="H131" s="192">
        <v>3142.1</v>
      </c>
      <c r="I131" s="192">
        <v>3298.63</v>
      </c>
      <c r="J131" s="192">
        <v>3164.1</v>
      </c>
      <c r="K131" s="192">
        <v>3174.9</v>
      </c>
      <c r="L131" s="192">
        <v>3330.48</v>
      </c>
      <c r="M131" s="192">
        <v>3197.12</v>
      </c>
      <c r="N131" s="192">
        <v>3352.06</v>
      </c>
      <c r="O131" s="73">
        <f t="shared" si="48"/>
        <v>38791.449999999997</v>
      </c>
      <c r="P131" s="73">
        <v>-1302607</v>
      </c>
      <c r="Q131" s="73">
        <v>38791</v>
      </c>
      <c r="R131" s="73">
        <f t="shared" si="49"/>
        <v>1341398.45</v>
      </c>
      <c r="S131" s="213"/>
      <c r="T131" s="214"/>
      <c r="U131" s="196"/>
      <c r="V131" s="197"/>
      <c r="W131" s="64"/>
      <c r="X131" s="64"/>
      <c r="Y131" s="64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65"/>
      <c r="BR131" s="65"/>
    </row>
    <row r="132" spans="1:70" ht="13.2" customHeight="1">
      <c r="A132" s="64">
        <v>25301</v>
      </c>
      <c r="B132" s="7" t="s">
        <v>203</v>
      </c>
      <c r="C132" s="192">
        <v>0</v>
      </c>
      <c r="D132" s="192">
        <v>0</v>
      </c>
      <c r="E132" s="192">
        <v>0</v>
      </c>
      <c r="F132" s="192">
        <v>0</v>
      </c>
      <c r="G132" s="192">
        <v>0</v>
      </c>
      <c r="H132" s="192">
        <v>0</v>
      </c>
      <c r="I132" s="192">
        <v>0</v>
      </c>
      <c r="J132" s="192">
        <v>0</v>
      </c>
      <c r="K132" s="192">
        <v>0</v>
      </c>
      <c r="L132" s="192">
        <v>0</v>
      </c>
      <c r="M132" s="192">
        <v>0</v>
      </c>
      <c r="N132" s="192">
        <v>0</v>
      </c>
      <c r="O132" s="73">
        <f t="shared" si="48"/>
        <v>0</v>
      </c>
      <c r="P132" s="73">
        <v>0</v>
      </c>
      <c r="Q132" s="73">
        <v>0</v>
      </c>
      <c r="R132" s="73">
        <f t="shared" si="49"/>
        <v>0</v>
      </c>
      <c r="S132" s="213"/>
      <c r="T132" s="214"/>
      <c r="U132" s="196"/>
      <c r="V132" s="197"/>
      <c r="W132" s="64"/>
      <c r="X132" s="64"/>
      <c r="Y132" s="64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65"/>
      <c r="BR132" s="65"/>
    </row>
    <row r="133" spans="1:70" ht="13.2" customHeight="1">
      <c r="A133" s="64">
        <v>26600</v>
      </c>
      <c r="B133" s="7" t="s">
        <v>204</v>
      </c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73">
        <f t="shared" si="48"/>
        <v>0</v>
      </c>
      <c r="P133" s="73">
        <v>-49000</v>
      </c>
      <c r="Q133" s="73">
        <v>0</v>
      </c>
      <c r="R133" s="73">
        <f t="shared" si="49"/>
        <v>49000</v>
      </c>
      <c r="S133" s="213"/>
      <c r="T133" s="214"/>
      <c r="U133" s="196"/>
      <c r="V133" s="216"/>
      <c r="W133" s="64"/>
      <c r="X133" s="64"/>
      <c r="Y133" s="64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65"/>
      <c r="BR133" s="65"/>
    </row>
    <row r="134" spans="1:70" ht="13.2" customHeight="1">
      <c r="A134" s="64">
        <v>35000</v>
      </c>
      <c r="B134" s="7" t="s">
        <v>205</v>
      </c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73">
        <f t="shared" si="48"/>
        <v>0</v>
      </c>
      <c r="P134" s="73">
        <v>349664</v>
      </c>
      <c r="Q134" s="73">
        <v>0</v>
      </c>
      <c r="R134" s="73">
        <f t="shared" si="49"/>
        <v>-349664</v>
      </c>
      <c r="S134" s="213"/>
      <c r="T134" s="214"/>
      <c r="U134" s="196"/>
      <c r="V134" s="216"/>
      <c r="W134" s="64"/>
      <c r="X134" s="64"/>
      <c r="Y134" s="64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65"/>
      <c r="BR134" s="65"/>
    </row>
    <row r="135" spans="1:70" ht="13.2" customHeight="1">
      <c r="A135" s="64">
        <v>36000</v>
      </c>
      <c r="B135" s="7" t="s">
        <v>206</v>
      </c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73">
        <f t="shared" si="48"/>
        <v>0</v>
      </c>
      <c r="P135" s="73">
        <v>-757774</v>
      </c>
      <c r="Q135" s="73">
        <v>0</v>
      </c>
      <c r="R135" s="73">
        <f t="shared" si="49"/>
        <v>757774</v>
      </c>
      <c r="S135" s="213"/>
      <c r="T135" s="214"/>
      <c r="U135" s="196"/>
      <c r="V135" s="216"/>
      <c r="W135" s="64"/>
      <c r="X135" s="64"/>
      <c r="Y135" s="64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65"/>
      <c r="BR135" s="65"/>
    </row>
    <row r="136" spans="1:70" ht="13.2" customHeight="1">
      <c r="A136" s="64"/>
      <c r="B136" s="217" t="s">
        <v>207</v>
      </c>
      <c r="C136" s="218">
        <f>SUM(C121:C135)</f>
        <v>3087.01</v>
      </c>
      <c r="D136" s="218">
        <f t="shared" ref="D136:O136" si="51">SUM(D121:D135)</f>
        <v>3097.55</v>
      </c>
      <c r="E136" s="218">
        <f t="shared" si="51"/>
        <v>21873.213700657874</v>
      </c>
      <c r="F136" s="218">
        <f t="shared" si="51"/>
        <v>3120.25</v>
      </c>
      <c r="G136" s="218">
        <f t="shared" si="51"/>
        <v>3277.41</v>
      </c>
      <c r="H136" s="218">
        <f t="shared" si="51"/>
        <v>21465.473700657873</v>
      </c>
      <c r="I136" s="218">
        <f t="shared" si="51"/>
        <v>51778.63</v>
      </c>
      <c r="J136" s="218">
        <f t="shared" si="51"/>
        <v>3164.1</v>
      </c>
      <c r="K136" s="218">
        <f t="shared" si="51"/>
        <v>3174.9</v>
      </c>
      <c r="L136" s="218">
        <f t="shared" si="51"/>
        <v>3330.48</v>
      </c>
      <c r="M136" s="218">
        <f t="shared" si="51"/>
        <v>3197.12</v>
      </c>
      <c r="N136" s="218">
        <f t="shared" si="51"/>
        <v>3352.06</v>
      </c>
      <c r="O136" s="218">
        <f t="shared" si="51"/>
        <v>123918.19740131575</v>
      </c>
      <c r="P136" s="218">
        <f>SUM(P121:P135)</f>
        <v>-1747292</v>
      </c>
      <c r="Q136" s="218">
        <f>SUM(Q121:Q135)</f>
        <v>38791</v>
      </c>
      <c r="R136" s="218">
        <f>SUM(R121:R135)</f>
        <v>1828910.1974013157</v>
      </c>
      <c r="S136" s="219">
        <f>R136/O136</f>
        <v>14.75901228193541</v>
      </c>
      <c r="T136" s="214"/>
      <c r="U136" s="200"/>
      <c r="V136" s="197"/>
      <c r="W136" s="64"/>
      <c r="X136" s="64"/>
      <c r="Y136" s="64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65"/>
      <c r="BR136" s="65"/>
    </row>
    <row r="137" spans="1:70" ht="13.2" customHeight="1">
      <c r="A137" s="64"/>
      <c r="B137" s="7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214"/>
      <c r="U137" s="200"/>
      <c r="V137" s="197"/>
      <c r="W137" s="64"/>
      <c r="X137" s="64"/>
      <c r="Y137" s="64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65"/>
      <c r="BR137" s="65"/>
    </row>
    <row r="138" spans="1:70" ht="13.2" customHeight="1">
      <c r="A138" s="7"/>
      <c r="B138" s="217" t="s">
        <v>208</v>
      </c>
      <c r="C138" s="218">
        <f t="shared" ref="C138:R138" si="52">C109-(C116+C136)</f>
        <v>3447.380481802149</v>
      </c>
      <c r="D138" s="218">
        <f t="shared" si="52"/>
        <v>3301.380481802149</v>
      </c>
      <c r="E138" s="218">
        <f t="shared" si="52"/>
        <v>-15419.416444662178</v>
      </c>
      <c r="F138" s="218">
        <f t="shared" si="52"/>
        <v>-13126.479518197852</v>
      </c>
      <c r="G138" s="218">
        <f t="shared" si="52"/>
        <v>19067.323055623987</v>
      </c>
      <c r="H138" s="218">
        <f t="shared" si="52"/>
        <v>-5600.9506450338886</v>
      </c>
      <c r="I138" s="218">
        <f t="shared" si="52"/>
        <v>-29536.676944376013</v>
      </c>
      <c r="J138" s="218">
        <f t="shared" si="52"/>
        <v>15067.323055623987</v>
      </c>
      <c r="K138" s="218">
        <f t="shared" si="52"/>
        <v>15392.323055623987</v>
      </c>
      <c r="L138" s="218">
        <f t="shared" si="52"/>
        <v>1078.5630556239885</v>
      </c>
      <c r="M138" s="218">
        <f t="shared" si="52"/>
        <v>19207.323055623987</v>
      </c>
      <c r="N138" s="218">
        <f t="shared" si="52"/>
        <v>15593.323055623987</v>
      </c>
      <c r="O138" s="218">
        <f t="shared" si="52"/>
        <v>30980.415745078266</v>
      </c>
      <c r="P138" s="218">
        <f t="shared" si="52"/>
        <v>1761826</v>
      </c>
      <c r="Q138" s="218">
        <f t="shared" si="52"/>
        <v>-9547</v>
      </c>
      <c r="R138" s="218">
        <f t="shared" si="52"/>
        <v>-1691054.5842549216</v>
      </c>
      <c r="S138" s="219"/>
      <c r="T138" s="214"/>
      <c r="U138" s="200"/>
      <c r="V138" s="197"/>
      <c r="W138" s="64"/>
      <c r="X138" s="64"/>
      <c r="Y138" s="64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65"/>
      <c r="BR138" s="65"/>
    </row>
    <row r="139" spans="1:70" ht="13.2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214"/>
      <c r="U139" s="200"/>
      <c r="V139" s="197"/>
      <c r="W139" s="64"/>
      <c r="X139" s="64"/>
      <c r="Y139" s="64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65"/>
      <c r="BR139" s="44"/>
    </row>
    <row r="140" spans="1:70" ht="13.2" customHeight="1">
      <c r="A140" s="7"/>
      <c r="B140" s="57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7"/>
      <c r="P140" s="7"/>
      <c r="Q140" s="7"/>
      <c r="R140" s="7"/>
      <c r="S140" s="7"/>
      <c r="T140" s="214"/>
      <c r="U140" s="200"/>
      <c r="V140" s="197"/>
      <c r="W140" s="64"/>
      <c r="X140" s="64"/>
      <c r="Y140" s="64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44"/>
      <c r="BR140" s="44"/>
    </row>
    <row r="141" spans="1:70" ht="13.2" customHeight="1">
      <c r="A141" s="64"/>
      <c r="B141" s="13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214"/>
      <c r="U141" s="196"/>
      <c r="V141" s="273"/>
      <c r="W141" s="64"/>
      <c r="X141" s="64"/>
      <c r="Y141" s="64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44"/>
      <c r="BR141" s="7"/>
    </row>
    <row r="142" spans="1:70" ht="13.2" customHeight="1">
      <c r="A142" s="64"/>
      <c r="B142" s="211"/>
      <c r="C142" s="67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214"/>
      <c r="U142" s="196"/>
      <c r="V142" s="197"/>
      <c r="W142" s="64"/>
      <c r="X142" s="64"/>
      <c r="Y142" s="64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65"/>
      <c r="BR142" s="7"/>
    </row>
    <row r="143" spans="1:70" ht="13.2" customHeight="1">
      <c r="A143" s="64"/>
      <c r="B143" s="7"/>
      <c r="C143" s="73"/>
      <c r="D143" s="73"/>
      <c r="E143" s="73"/>
      <c r="F143" s="73"/>
      <c r="G143" s="73"/>
      <c r="H143" s="73"/>
      <c r="I143" s="7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214"/>
      <c r="U143" s="196"/>
      <c r="V143" s="197"/>
      <c r="W143" s="64"/>
      <c r="X143" s="64"/>
      <c r="Y143" s="64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44"/>
      <c r="BR143" s="7"/>
    </row>
    <row r="144" spans="1:70" ht="13.2" customHeight="1">
      <c r="A144" s="64"/>
      <c r="B144" s="274"/>
      <c r="C144" s="67"/>
      <c r="D144" s="73"/>
      <c r="E144" s="73"/>
      <c r="F144" s="73"/>
      <c r="G144" s="73"/>
      <c r="H144" s="275"/>
      <c r="I144" s="274"/>
      <c r="J144" s="67"/>
      <c r="K144" s="73"/>
      <c r="L144" s="73"/>
      <c r="M144" s="73"/>
      <c r="N144" s="73"/>
      <c r="O144" s="44"/>
      <c r="P144" s="274"/>
      <c r="Q144" s="275"/>
      <c r="R144" s="274"/>
      <c r="S144" s="67"/>
      <c r="T144" s="73"/>
      <c r="U144" s="73"/>
      <c r="V144" s="73"/>
      <c r="W144" s="64"/>
      <c r="X144" s="64"/>
      <c r="Y144" s="64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44"/>
      <c r="BR144" s="7"/>
    </row>
    <row r="145" spans="1:70" ht="13.2" customHeight="1">
      <c r="A145" s="64"/>
      <c r="B145" s="211" t="s">
        <v>209</v>
      </c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276">
        <f>SUM(C145:N145)</f>
        <v>0</v>
      </c>
      <c r="P145" s="276"/>
      <c r="Q145" s="73"/>
      <c r="R145" s="211"/>
      <c r="S145" s="73"/>
      <c r="T145" s="73"/>
      <c r="U145" s="73"/>
      <c r="V145" s="73"/>
      <c r="W145" s="64"/>
      <c r="X145" s="64"/>
      <c r="Y145" s="64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65"/>
      <c r="BR145" s="7"/>
    </row>
    <row r="146" spans="1:70" ht="13.2" customHeight="1">
      <c r="A146" s="64"/>
      <c r="B146" s="211" t="s">
        <v>132</v>
      </c>
      <c r="C146" s="73" t="s">
        <v>210</v>
      </c>
      <c r="D146" s="73">
        <v>618</v>
      </c>
      <c r="E146" s="73"/>
      <c r="F146" s="73" t="s">
        <v>210</v>
      </c>
      <c r="G146" s="73">
        <v>4230</v>
      </c>
      <c r="H146" s="73"/>
      <c r="I146" s="211"/>
      <c r="J146" s="73"/>
      <c r="K146" s="73"/>
      <c r="L146" s="73"/>
      <c r="M146" s="73"/>
      <c r="N146" s="73"/>
      <c r="O146" s="211"/>
      <c r="P146" s="211"/>
      <c r="Q146" s="73"/>
      <c r="R146" s="211"/>
      <c r="S146" s="73"/>
      <c r="T146" s="73"/>
      <c r="U146" s="73"/>
      <c r="V146" s="73"/>
      <c r="W146" s="64"/>
      <c r="X146" s="64"/>
      <c r="Y146" s="64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65"/>
      <c r="BR146" s="7"/>
    </row>
    <row r="147" spans="1:70">
      <c r="A147" s="7"/>
      <c r="B147" s="7"/>
      <c r="C147" s="44" t="s">
        <v>211</v>
      </c>
      <c r="D147" s="277">
        <f>23.73*618</f>
        <v>14665.14</v>
      </c>
      <c r="E147" s="7"/>
      <c r="F147" s="7"/>
      <c r="G147" s="277">
        <f>23.73*4230</f>
        <v>100377.90000000001</v>
      </c>
      <c r="H147" s="27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214"/>
      <c r="U147" s="200"/>
      <c r="V147" s="197"/>
      <c r="W147" s="64"/>
      <c r="X147" s="64"/>
      <c r="Y147" s="64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</row>
    <row r="148" spans="1:70" ht="13.2" customHeight="1">
      <c r="A148" s="7"/>
      <c r="B148" s="7"/>
      <c r="C148" s="7"/>
      <c r="D148" s="277">
        <f>D147*103%</f>
        <v>15105.0942</v>
      </c>
      <c r="E148" s="7"/>
      <c r="F148" s="7"/>
      <c r="G148" s="277">
        <f>G147*103%</f>
        <v>103389.23700000001</v>
      </c>
      <c r="H148" s="27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214"/>
      <c r="U148" s="200"/>
      <c r="V148" s="197"/>
      <c r="W148" s="64"/>
      <c r="X148" s="64"/>
      <c r="Y148" s="64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45" t="s">
        <v>23</v>
      </c>
    </row>
    <row r="149" spans="1:70" ht="13.2" customHeight="1">
      <c r="A149" s="7"/>
      <c r="B149" s="7"/>
      <c r="C149" s="7"/>
      <c r="D149" s="277">
        <f t="shared" ref="D149:D151" si="53">D148*103%</f>
        <v>15558.247025999999</v>
      </c>
      <c r="E149" s="7"/>
      <c r="F149" s="7"/>
      <c r="G149" s="277">
        <f t="shared" ref="G149:G151" si="54">G148*103%</f>
        <v>106490.91411000001</v>
      </c>
      <c r="H149" s="27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214"/>
      <c r="U149" s="200"/>
      <c r="V149" s="197"/>
      <c r="W149" s="64"/>
      <c r="X149" s="64"/>
      <c r="Y149" s="64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45" t="s">
        <v>23</v>
      </c>
    </row>
    <row r="150" spans="1:70" ht="13.2" customHeight="1">
      <c r="A150" s="7"/>
      <c r="B150" s="7"/>
      <c r="C150" s="7"/>
      <c r="D150" s="277">
        <f t="shared" si="53"/>
        <v>16024.99443678</v>
      </c>
      <c r="E150" s="7"/>
      <c r="F150" s="7"/>
      <c r="G150" s="277">
        <f t="shared" si="54"/>
        <v>109685.64153330002</v>
      </c>
      <c r="H150" s="27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214"/>
      <c r="U150" s="200"/>
      <c r="V150" s="197"/>
      <c r="W150" s="64"/>
      <c r="X150" s="64"/>
      <c r="Y150" s="64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64"/>
    </row>
    <row r="151" spans="1:70" ht="13.2" customHeight="1">
      <c r="A151" s="7"/>
      <c r="B151" s="7"/>
      <c r="C151" s="7"/>
      <c r="D151" s="277">
        <f t="shared" si="53"/>
        <v>16505.744269883402</v>
      </c>
      <c r="E151" s="7"/>
      <c r="F151" s="7"/>
      <c r="G151" s="277">
        <f t="shared" si="54"/>
        <v>112976.21077929903</v>
      </c>
      <c r="H151" s="27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214"/>
      <c r="U151" s="200"/>
      <c r="V151" s="197"/>
      <c r="W151" s="64"/>
      <c r="X151" s="64"/>
      <c r="Y151" s="64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64"/>
    </row>
    <row r="152" spans="1:70" ht="13.2" customHeight="1">
      <c r="A152" s="7"/>
      <c r="B152" s="7"/>
      <c r="C152" s="7"/>
      <c r="D152" s="277">
        <f>SUM(D147:D151)</f>
        <v>77859.2199326634</v>
      </c>
      <c r="E152" s="277">
        <f>D152*6%</f>
        <v>4671.5531959598038</v>
      </c>
      <c r="F152" s="7"/>
      <c r="G152" s="277">
        <f>SUM(G147:G151)</f>
        <v>532919.90342259908</v>
      </c>
      <c r="H152" s="277">
        <f>G152*6%</f>
        <v>31975.194205355943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214"/>
      <c r="U152" s="200"/>
      <c r="V152" s="197"/>
      <c r="W152" s="64"/>
      <c r="X152" s="64"/>
      <c r="Y152" s="64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64"/>
    </row>
    <row r="153" spans="1:70" ht="13.2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214"/>
      <c r="U153" s="200"/>
      <c r="V153" s="197"/>
      <c r="W153" s="64"/>
      <c r="X153" s="64"/>
      <c r="Y153" s="64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64"/>
    </row>
    <row r="154" spans="1:70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214"/>
      <c r="U154" s="200"/>
      <c r="V154" s="197"/>
      <c r="W154" s="64"/>
      <c r="X154" s="64"/>
      <c r="Y154" s="64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</row>
    <row r="155" spans="1:70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214"/>
      <c r="U155" s="200"/>
      <c r="V155" s="197"/>
      <c r="W155" s="64"/>
      <c r="X155" s="64"/>
      <c r="Y155" s="64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</row>
    <row r="156" spans="1:70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214"/>
      <c r="U156" s="200"/>
      <c r="V156" s="197"/>
      <c r="W156" s="64"/>
      <c r="X156" s="64"/>
      <c r="Y156" s="64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</row>
    <row r="157" spans="1:70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214"/>
      <c r="U157" s="200"/>
      <c r="V157" s="197"/>
      <c r="W157" s="64"/>
      <c r="X157" s="64"/>
      <c r="Y157" s="64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</row>
    <row r="158" spans="1:70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214"/>
      <c r="U158" s="200"/>
      <c r="V158" s="197"/>
      <c r="W158" s="64"/>
      <c r="X158" s="64"/>
      <c r="Y158" s="64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</row>
    <row r="159" spans="1:70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214"/>
      <c r="U159" s="200"/>
      <c r="V159" s="197"/>
      <c r="W159" s="64"/>
      <c r="X159" s="64"/>
      <c r="Y159" s="64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</row>
    <row r="160" spans="1:7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214"/>
      <c r="U160" s="200"/>
      <c r="V160" s="197"/>
      <c r="W160" s="64"/>
      <c r="X160" s="64"/>
      <c r="Y160" s="64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</row>
    <row r="161" spans="17:20">
      <c r="Q161" s="7"/>
      <c r="R161" s="7"/>
      <c r="S161" s="7"/>
      <c r="T161" s="214"/>
    </row>
    <row r="162" spans="17:20">
      <c r="Q162" s="7"/>
      <c r="R162" s="7"/>
      <c r="S162" s="7"/>
      <c r="T162" s="214"/>
    </row>
    <row r="163" spans="17:20">
      <c r="Q163" s="7"/>
      <c r="R163" s="7"/>
      <c r="S163" s="7"/>
      <c r="T163" s="214"/>
    </row>
    <row r="164" spans="17:20">
      <c r="Q164" s="7"/>
      <c r="R164" s="7"/>
      <c r="S164" s="7"/>
      <c r="T164" s="214"/>
    </row>
    <row r="165" spans="17:20">
      <c r="Q165" s="7"/>
      <c r="R165" s="7"/>
      <c r="S165" s="7"/>
      <c r="T165" s="214"/>
    </row>
    <row r="166" spans="17:20">
      <c r="Q166" s="7"/>
      <c r="R166" s="7"/>
      <c r="S166" s="7"/>
      <c r="T166" s="214"/>
    </row>
    <row r="167" spans="17:20">
      <c r="Q167" s="7"/>
      <c r="R167" s="7"/>
      <c r="S167" s="7"/>
      <c r="T167" s="214"/>
    </row>
    <row r="168" spans="17:20">
      <c r="Q168" s="7"/>
      <c r="R168" s="7"/>
      <c r="S168" s="7"/>
      <c r="T168" s="214"/>
    </row>
    <row r="169" spans="17:20">
      <c r="Q169" s="7"/>
      <c r="R169" s="7"/>
      <c r="S169" s="7"/>
      <c r="T169" s="214"/>
    </row>
    <row r="170" spans="17:20">
      <c r="Q170" s="7"/>
      <c r="R170" s="7"/>
      <c r="S170" s="7"/>
      <c r="T170" s="214"/>
    </row>
    <row r="171" spans="17:20">
      <c r="Q171" s="7"/>
      <c r="R171" s="7"/>
      <c r="S171" s="7"/>
      <c r="T171" s="214"/>
    </row>
    <row r="172" spans="17:20">
      <c r="Q172" s="7"/>
      <c r="R172" s="7"/>
      <c r="S172" s="7"/>
      <c r="T172" s="214"/>
    </row>
    <row r="173" spans="17:20">
      <c r="Q173" s="7"/>
      <c r="R173" s="7"/>
      <c r="S173" s="7"/>
      <c r="T173" s="214"/>
    </row>
    <row r="174" spans="17:20">
      <c r="Q174" s="7"/>
      <c r="R174" s="278"/>
      <c r="S174" s="7"/>
      <c r="T174" s="214"/>
    </row>
    <row r="175" spans="17:20">
      <c r="Q175" s="7"/>
      <c r="R175" s="278"/>
      <c r="S175" s="7"/>
      <c r="T175" s="214"/>
    </row>
    <row r="176" spans="17:20">
      <c r="Q176" s="7"/>
      <c r="R176" s="278"/>
      <c r="S176" s="7"/>
      <c r="T176" s="214"/>
    </row>
    <row r="177" spans="17:20">
      <c r="Q177" s="7"/>
      <c r="R177" s="278"/>
      <c r="S177" s="7"/>
      <c r="T177" s="214"/>
    </row>
    <row r="178" spans="17:20">
      <c r="Q178" s="7"/>
      <c r="R178" s="278"/>
      <c r="S178" s="7"/>
      <c r="T178" s="214"/>
    </row>
    <row r="179" spans="17:20">
      <c r="Q179" s="7"/>
      <c r="R179" s="278"/>
      <c r="S179" s="7"/>
      <c r="T179" s="214"/>
    </row>
    <row r="180" spans="17:20">
      <c r="Q180" s="7"/>
      <c r="R180" s="278"/>
      <c r="S180" s="7"/>
      <c r="T180" s="214"/>
    </row>
    <row r="181" spans="17:20">
      <c r="Q181" s="7"/>
      <c r="R181" s="278"/>
      <c r="S181" s="7"/>
      <c r="T181" s="214"/>
    </row>
    <row r="182" spans="17:20">
      <c r="Q182" s="7"/>
      <c r="R182" s="278"/>
      <c r="S182" s="7"/>
      <c r="T182" s="214"/>
    </row>
    <row r="183" spans="17:20">
      <c r="Q183" s="7"/>
      <c r="R183" s="278"/>
      <c r="S183" s="7"/>
      <c r="T183" s="214"/>
    </row>
    <row r="184" spans="17:20">
      <c r="Q184" s="7"/>
      <c r="R184" s="278"/>
      <c r="S184" s="7"/>
      <c r="T184" s="214"/>
    </row>
    <row r="185" spans="17:20">
      <c r="Q185" s="7"/>
      <c r="R185" s="278"/>
      <c r="S185" s="7"/>
      <c r="T185" s="214"/>
    </row>
    <row r="186" spans="17:20">
      <c r="Q186" s="7"/>
      <c r="R186" s="278"/>
      <c r="S186" s="7"/>
      <c r="T186" s="214"/>
    </row>
    <row r="187" spans="17:20">
      <c r="Q187" s="7"/>
      <c r="R187" s="278"/>
      <c r="S187" s="7"/>
      <c r="T187" s="214"/>
    </row>
    <row r="188" spans="17:20">
      <c r="Q188" s="7"/>
      <c r="R188" s="278"/>
      <c r="S188" s="7"/>
      <c r="T188" s="214"/>
    </row>
    <row r="189" spans="17:20">
      <c r="Q189" s="7"/>
      <c r="R189" s="278"/>
      <c r="S189" s="7"/>
      <c r="T189" s="214"/>
    </row>
    <row r="190" spans="17:20">
      <c r="Q190" s="7"/>
      <c r="R190" s="278"/>
      <c r="S190" s="7"/>
      <c r="T190" s="214"/>
    </row>
    <row r="191" spans="17:20">
      <c r="Q191" s="7"/>
      <c r="R191" s="278"/>
      <c r="S191" s="7"/>
      <c r="T191" s="214"/>
    </row>
    <row r="192" spans="17:20">
      <c r="Q192" s="7"/>
      <c r="R192" s="278"/>
      <c r="S192" s="7"/>
      <c r="T192" s="7"/>
    </row>
    <row r="193" spans="17:18">
      <c r="Q193" s="7"/>
      <c r="R193" s="278"/>
    </row>
    <row r="194" spans="17:18">
      <c r="Q194" s="7"/>
      <c r="R194" s="278"/>
    </row>
    <row r="195" spans="17:18">
      <c r="Q195" s="7"/>
      <c r="R195" s="278"/>
    </row>
    <row r="196" spans="17:18">
      <c r="Q196" s="7"/>
      <c r="R196" s="278"/>
    </row>
    <row r="197" spans="17:18">
      <c r="Q197" s="7"/>
      <c r="R197" s="278"/>
    </row>
    <row r="198" spans="17:18">
      <c r="Q198" s="7"/>
      <c r="R198" s="278"/>
    </row>
    <row r="199" spans="17:18">
      <c r="Q199" s="7"/>
      <c r="R199" s="278"/>
    </row>
    <row r="200" spans="17:18">
      <c r="Q200" s="7"/>
      <c r="R200" s="278"/>
    </row>
    <row r="201" spans="17:18">
      <c r="Q201" s="7"/>
      <c r="R201" s="278"/>
    </row>
    <row r="202" spans="17:18">
      <c r="Q202" s="7"/>
      <c r="R202" s="278"/>
    </row>
    <row r="203" spans="17:18">
      <c r="Q203" s="7"/>
      <c r="R203" s="278"/>
    </row>
    <row r="204" spans="17:18">
      <c r="Q204" s="7"/>
      <c r="R204" s="7"/>
    </row>
    <row r="205" spans="17:18">
      <c r="Q205" s="7"/>
      <c r="R205" s="7"/>
    </row>
    <row r="206" spans="17:18">
      <c r="Q206" s="7"/>
      <c r="R206" s="7"/>
    </row>
    <row r="207" spans="17:18">
      <c r="Q207" s="7"/>
      <c r="R207" s="7"/>
    </row>
    <row r="208" spans="17:18">
      <c r="Q208" s="7"/>
      <c r="R208" s="7"/>
    </row>
    <row r="209" spans="17:17">
      <c r="Q209" s="7"/>
    </row>
    <row r="210" spans="17:17">
      <c r="Q210" s="7"/>
    </row>
    <row r="211" spans="17:17">
      <c r="Q211" s="7"/>
    </row>
    <row r="212" spans="17:17">
      <c r="Q212" s="7"/>
    </row>
    <row r="213" spans="17:17">
      <c r="Q213" s="7"/>
    </row>
    <row r="214" spans="17:17">
      <c r="Q214" s="7"/>
    </row>
    <row r="215" spans="17:17">
      <c r="Q215" s="7"/>
    </row>
    <row r="216" spans="17:17">
      <c r="Q216" s="7"/>
    </row>
    <row r="217" spans="17:17">
      <c r="Q217" s="7"/>
    </row>
    <row r="218" spans="17:17">
      <c r="Q218" s="7"/>
    </row>
    <row r="219" spans="17:17">
      <c r="Q219" s="7"/>
    </row>
    <row r="220" spans="17:17">
      <c r="Q220" s="7"/>
    </row>
    <row r="221" spans="17:17">
      <c r="Q221" s="7"/>
    </row>
    <row r="222" spans="17:17">
      <c r="Q222" s="7"/>
    </row>
    <row r="223" spans="17:17">
      <c r="Q223" s="7"/>
    </row>
    <row r="224" spans="17:17">
      <c r="Q224" s="7"/>
    </row>
    <row r="225" spans="17:17">
      <c r="Q225" s="7"/>
    </row>
    <row r="226" spans="17:17">
      <c r="Q226" s="7"/>
    </row>
  </sheetData>
  <customSheetViews>
    <customSheetView guid="{7691FA39-7EA9-407C-9567-49BEFD6339F8}" scale="75" showPageBreaks="1" printArea="1" showRuler="0">
      <pane ySplit="10" topLeftCell="A120"/>
      <selection activeCell="A9" sqref="A9"/>
      <rowBreaks count="4" manualBreakCount="4">
        <brk id="52" max="14" man="1"/>
        <brk id="96" max="14" man="1"/>
        <brk id="98" max="14" man="1"/>
        <brk id="126" max="16383" man="1"/>
      </rowBreaks>
      <pageMargins left="0" right="0" top="0" bottom="0" header="0" footer="0"/>
      <printOptions horizontalCentered="1"/>
      <pageSetup scale="74" orientation="landscape" useFirstPageNumber="1" horizontalDpi="4294967292" r:id="rId1"/>
      <headerFooter alignWithMargins="0">
        <oddFooter>Page &amp;P</oddFooter>
      </headerFooter>
    </customSheetView>
  </customSheetViews>
  <mergeCells count="7">
    <mergeCell ref="P8:P10"/>
    <mergeCell ref="Q8:Q10"/>
    <mergeCell ref="A6:O6"/>
    <mergeCell ref="A2:O2"/>
    <mergeCell ref="A3:O3"/>
    <mergeCell ref="A4:O4"/>
    <mergeCell ref="A5:O5"/>
  </mergeCells>
  <phoneticPr fontId="3" type="noConversion"/>
  <printOptions horizontalCentered="1"/>
  <pageMargins left="0" right="0" top="0.5" bottom="0.7" header="0.5" footer="0.5"/>
  <pageSetup paperSize="3" scale="89" fitToHeight="0" orientation="landscape" useFirstPageNumber="1" r:id="rId2"/>
  <headerFooter alignWithMargins="0">
    <oddFooter>Page &amp;P</oddFooter>
  </headerFooter>
  <rowBreaks count="2" manualBreakCount="2">
    <brk id="60" max="17" man="1"/>
    <brk id="92" max="17" man="1"/>
  </rowBrea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A3A6-B621-437B-8DC7-988A2C0E2E6C}">
  <dimension ref="B3:M42"/>
  <sheetViews>
    <sheetView zoomScale="120" zoomScaleNormal="120" workbookViewId="0">
      <selection activeCell="F8" sqref="F8"/>
    </sheetView>
  </sheetViews>
  <sheetFormatPr defaultColWidth="8.6640625" defaultRowHeight="14.4"/>
  <cols>
    <col min="1" max="1" width="3.33203125" style="18" customWidth="1"/>
    <col min="2" max="2" width="31.33203125" style="18" customWidth="1"/>
    <col min="3" max="4" width="15.33203125" style="24" customWidth="1"/>
    <col min="5" max="6" width="15.33203125" style="35" customWidth="1"/>
    <col min="7" max="10" width="15.33203125" style="24" customWidth="1"/>
    <col min="11" max="11" width="45.33203125" style="18" customWidth="1"/>
    <col min="12" max="12" width="2.6640625" style="18" customWidth="1"/>
    <col min="13" max="16384" width="8.6640625" style="18"/>
  </cols>
  <sheetData>
    <row r="3" spans="2:13">
      <c r="B3" s="487" t="s">
        <v>212</v>
      </c>
      <c r="C3" s="488"/>
      <c r="D3" s="488"/>
      <c r="E3" s="488"/>
      <c r="F3" s="488"/>
      <c r="G3" s="488"/>
      <c r="H3" s="488"/>
      <c r="I3" s="488"/>
      <c r="J3" s="488"/>
      <c r="K3" s="489"/>
    </row>
    <row r="4" spans="2:13">
      <c r="B4" s="490"/>
      <c r="C4" s="491"/>
      <c r="D4" s="491"/>
      <c r="E4" s="491"/>
      <c r="F4" s="491"/>
      <c r="G4" s="491"/>
      <c r="H4" s="491"/>
      <c r="I4" s="491"/>
      <c r="J4" s="491"/>
      <c r="K4" s="492"/>
    </row>
    <row r="5" spans="2:13">
      <c r="B5" s="19" t="s">
        <v>74</v>
      </c>
      <c r="C5" s="20" t="s">
        <v>213</v>
      </c>
      <c r="D5" s="493" t="s">
        <v>214</v>
      </c>
      <c r="E5" s="493"/>
      <c r="F5" s="21" t="s">
        <v>215</v>
      </c>
      <c r="G5" s="20" t="s">
        <v>216</v>
      </c>
      <c r="H5" s="20" t="s">
        <v>217</v>
      </c>
      <c r="I5" s="20"/>
      <c r="J5" s="20"/>
      <c r="K5" s="22" t="s">
        <v>218</v>
      </c>
    </row>
    <row r="6" spans="2:13">
      <c r="B6" s="23" t="s">
        <v>219</v>
      </c>
      <c r="C6" s="24">
        <f>Summary!A56</f>
        <v>51400</v>
      </c>
      <c r="D6" s="484">
        <f>1431*5</f>
        <v>7155</v>
      </c>
      <c r="E6" s="484"/>
      <c r="F6" s="25">
        <f>D6/G6</f>
        <v>1431</v>
      </c>
      <c r="G6" s="24">
        <v>5</v>
      </c>
      <c r="H6" s="24" t="s">
        <v>220</v>
      </c>
      <c r="K6" s="26"/>
    </row>
    <row r="7" spans="2:13">
      <c r="B7" s="23" t="s">
        <v>221</v>
      </c>
      <c r="C7" s="24">
        <f>Summary!A57</f>
        <v>51220</v>
      </c>
      <c r="D7" s="484">
        <f>2509*5</f>
        <v>12545</v>
      </c>
      <c r="E7" s="484"/>
      <c r="F7" s="25">
        <f>D7/G7</f>
        <v>2509</v>
      </c>
      <c r="G7" s="24">
        <v>5</v>
      </c>
      <c r="H7" s="24" t="s">
        <v>222</v>
      </c>
      <c r="K7" s="26"/>
    </row>
    <row r="8" spans="2:13">
      <c r="B8" s="23"/>
      <c r="D8" s="484"/>
      <c r="E8" s="484"/>
      <c r="F8" s="25"/>
      <c r="K8" s="26"/>
    </row>
    <row r="9" spans="2:13">
      <c r="B9" s="23"/>
      <c r="D9" s="486"/>
      <c r="E9" s="486"/>
      <c r="F9" s="25"/>
      <c r="K9" s="26"/>
    </row>
    <row r="10" spans="2:13">
      <c r="B10" s="23"/>
      <c r="D10" s="486"/>
      <c r="E10" s="486"/>
      <c r="F10" s="25"/>
      <c r="K10" s="26"/>
    </row>
    <row r="11" spans="2:13">
      <c r="B11" s="27"/>
      <c r="C11" s="28"/>
      <c r="D11" s="494"/>
      <c r="E11" s="494"/>
      <c r="F11" s="29"/>
      <c r="G11" s="28"/>
      <c r="H11" s="28"/>
      <c r="I11" s="28"/>
      <c r="J11" s="28"/>
      <c r="K11" s="30"/>
    </row>
    <row r="13" spans="2:13">
      <c r="B13" s="487" t="s">
        <v>223</v>
      </c>
      <c r="C13" s="488"/>
      <c r="D13" s="488"/>
      <c r="E13" s="488"/>
      <c r="F13" s="488"/>
      <c r="G13" s="488"/>
      <c r="H13" s="488"/>
      <c r="I13" s="488"/>
      <c r="J13" s="488"/>
      <c r="K13" s="489"/>
    </row>
    <row r="14" spans="2:13">
      <c r="B14" s="490"/>
      <c r="C14" s="491"/>
      <c r="D14" s="491"/>
      <c r="E14" s="491"/>
      <c r="F14" s="491"/>
      <c r="G14" s="491"/>
      <c r="H14" s="491"/>
      <c r="I14" s="491"/>
      <c r="J14" s="491"/>
      <c r="K14" s="492"/>
    </row>
    <row r="15" spans="2:13" ht="15.6">
      <c r="B15" s="31"/>
      <c r="C15" s="32" t="s">
        <v>224</v>
      </c>
      <c r="D15" s="32" t="s">
        <v>224</v>
      </c>
      <c r="E15" s="32" t="s">
        <v>225</v>
      </c>
      <c r="F15" s="32" t="s">
        <v>87</v>
      </c>
      <c r="G15" s="32" t="s">
        <v>226</v>
      </c>
      <c r="H15" s="32" t="s">
        <v>226</v>
      </c>
      <c r="I15" s="32" t="s">
        <v>226</v>
      </c>
      <c r="J15" s="32" t="s">
        <v>226</v>
      </c>
      <c r="K15" s="33"/>
      <c r="M15" s="18" t="s">
        <v>227</v>
      </c>
    </row>
    <row r="16" spans="2:13">
      <c r="B16" s="19" t="s">
        <v>74</v>
      </c>
      <c r="C16" s="20">
        <v>2022</v>
      </c>
      <c r="D16" s="20">
        <v>2023</v>
      </c>
      <c r="E16" s="20">
        <v>2024</v>
      </c>
      <c r="F16" s="20">
        <v>2025</v>
      </c>
      <c r="G16" s="20">
        <v>2026</v>
      </c>
      <c r="H16" s="20">
        <v>2027</v>
      </c>
      <c r="I16" s="20">
        <v>2028</v>
      </c>
      <c r="J16" s="20">
        <v>2029</v>
      </c>
      <c r="K16" s="22" t="s">
        <v>218</v>
      </c>
    </row>
    <row r="17" spans="2:11">
      <c r="B17" s="23" t="s">
        <v>228</v>
      </c>
      <c r="C17" s="34"/>
      <c r="D17" s="35"/>
      <c r="E17" s="36"/>
      <c r="F17" s="36"/>
      <c r="G17" s="40"/>
      <c r="H17" s="34"/>
      <c r="I17" s="34"/>
      <c r="J17" s="34"/>
      <c r="K17" s="41"/>
    </row>
    <row r="18" spans="2:11">
      <c r="B18" s="23" t="s">
        <v>229</v>
      </c>
      <c r="C18" s="35"/>
      <c r="D18" s="35"/>
      <c r="E18" s="25"/>
      <c r="F18" s="25"/>
      <c r="G18" s="35"/>
      <c r="H18" s="35"/>
      <c r="I18" s="35"/>
      <c r="J18" s="35"/>
      <c r="K18" s="26"/>
    </row>
    <row r="19" spans="2:11">
      <c r="B19" s="23" t="s">
        <v>3</v>
      </c>
      <c r="C19" s="34"/>
      <c r="D19" s="34"/>
      <c r="E19" s="36"/>
      <c r="F19" s="36"/>
      <c r="G19" s="34"/>
      <c r="H19" s="34"/>
      <c r="I19" s="34"/>
      <c r="J19" s="34"/>
      <c r="K19" s="43"/>
    </row>
    <row r="20" spans="2:11">
      <c r="B20" s="23" t="s">
        <v>221</v>
      </c>
      <c r="C20" s="35"/>
      <c r="D20" s="35"/>
      <c r="E20" s="25"/>
      <c r="F20" s="25"/>
      <c r="G20" s="35"/>
      <c r="H20" s="35"/>
      <c r="I20" s="35"/>
      <c r="J20" s="35"/>
      <c r="K20" s="26"/>
    </row>
    <row r="21" spans="2:11">
      <c r="B21" s="23" t="s">
        <v>230</v>
      </c>
      <c r="C21" s="35"/>
      <c r="D21" s="35"/>
      <c r="E21" s="25"/>
      <c r="F21" s="25"/>
      <c r="G21" s="35"/>
      <c r="H21" s="35"/>
      <c r="I21" s="35"/>
      <c r="J21" s="35"/>
      <c r="K21" s="26"/>
    </row>
    <row r="22" spans="2:11">
      <c r="B22" s="23" t="s">
        <v>231</v>
      </c>
      <c r="C22" s="35"/>
      <c r="D22" s="35"/>
      <c r="E22" s="25"/>
      <c r="F22" s="25"/>
      <c r="G22" s="35"/>
      <c r="H22" s="35"/>
      <c r="I22" s="35"/>
      <c r="J22" s="35"/>
      <c r="K22" s="26"/>
    </row>
    <row r="23" spans="2:11">
      <c r="B23" s="23" t="s">
        <v>232</v>
      </c>
      <c r="C23" s="35"/>
      <c r="D23" s="35"/>
      <c r="E23" s="25"/>
      <c r="F23" s="25"/>
      <c r="G23" s="35"/>
      <c r="H23" s="35"/>
      <c r="I23" s="35"/>
      <c r="J23" s="35"/>
      <c r="K23" s="26"/>
    </row>
    <row r="24" spans="2:11">
      <c r="B24" s="23" t="s">
        <v>233</v>
      </c>
      <c r="C24" s="35"/>
      <c r="D24" s="35"/>
      <c r="E24" s="25"/>
      <c r="F24" s="25"/>
      <c r="G24" s="35"/>
      <c r="H24" s="35"/>
      <c r="I24" s="35"/>
      <c r="J24" s="35"/>
      <c r="K24" s="26"/>
    </row>
    <row r="25" spans="2:11">
      <c r="B25" s="23"/>
      <c r="C25" s="35"/>
      <c r="D25" s="35"/>
      <c r="E25" s="25"/>
      <c r="F25" s="25"/>
      <c r="G25" s="35"/>
      <c r="H25" s="35"/>
      <c r="I25" s="35"/>
      <c r="J25" s="35"/>
      <c r="K25" s="26"/>
    </row>
    <row r="26" spans="2:11">
      <c r="B26" s="27"/>
      <c r="C26" s="29"/>
      <c r="D26" s="29"/>
      <c r="E26" s="29"/>
      <c r="F26" s="29"/>
      <c r="G26" s="29"/>
      <c r="H26" s="29"/>
      <c r="I26" s="29"/>
      <c r="J26" s="29"/>
      <c r="K26" s="30"/>
    </row>
    <row r="28" spans="2:11">
      <c r="B28" s="487" t="s">
        <v>234</v>
      </c>
      <c r="C28" s="488"/>
      <c r="D28" s="488"/>
      <c r="E28" s="488"/>
      <c r="F28" s="488"/>
      <c r="G28" s="488"/>
      <c r="H28" s="488"/>
      <c r="I28" s="488"/>
      <c r="J28" s="488"/>
      <c r="K28" s="489"/>
    </row>
    <row r="29" spans="2:11">
      <c r="B29" s="490"/>
      <c r="C29" s="491"/>
      <c r="D29" s="491"/>
      <c r="E29" s="491"/>
      <c r="F29" s="491"/>
      <c r="G29" s="491"/>
      <c r="H29" s="491"/>
      <c r="I29" s="491"/>
      <c r="J29" s="491"/>
      <c r="K29" s="492"/>
    </row>
    <row r="30" spans="2:11">
      <c r="B30" s="19" t="s">
        <v>74</v>
      </c>
      <c r="C30" s="20"/>
      <c r="D30" s="21" t="s">
        <v>235</v>
      </c>
      <c r="E30" s="21" t="s">
        <v>236</v>
      </c>
      <c r="F30" s="21"/>
      <c r="G30" s="37" t="s">
        <v>237</v>
      </c>
      <c r="H30" s="37"/>
      <c r="I30" s="495" t="s">
        <v>218</v>
      </c>
      <c r="J30" s="495"/>
      <c r="K30" s="496"/>
    </row>
    <row r="31" spans="2:11">
      <c r="B31" s="482" t="s">
        <v>238</v>
      </c>
      <c r="C31" s="483"/>
      <c r="E31" s="24"/>
      <c r="F31" s="486" t="s">
        <v>239</v>
      </c>
      <c r="G31" s="486"/>
      <c r="H31" s="486"/>
      <c r="I31" s="483"/>
      <c r="J31" s="483"/>
      <c r="K31" s="485"/>
    </row>
    <row r="32" spans="2:11">
      <c r="B32" s="482" t="s">
        <v>240</v>
      </c>
      <c r="C32" s="483"/>
      <c r="E32" s="24"/>
      <c r="F32" s="486" t="s">
        <v>239</v>
      </c>
      <c r="G32" s="486"/>
      <c r="H32" s="486"/>
      <c r="I32" s="483"/>
      <c r="J32" s="483"/>
      <c r="K32" s="485"/>
    </row>
    <row r="33" spans="2:11">
      <c r="B33" s="482" t="s">
        <v>3</v>
      </c>
      <c r="C33" s="483"/>
      <c r="E33" s="24"/>
      <c r="F33" s="486" t="s">
        <v>239</v>
      </c>
      <c r="G33" s="486"/>
      <c r="H33" s="486"/>
      <c r="I33" s="483"/>
      <c r="J33" s="483"/>
      <c r="K33" s="485"/>
    </row>
    <row r="34" spans="2:11">
      <c r="B34" s="482" t="s">
        <v>221</v>
      </c>
      <c r="C34" s="483"/>
      <c r="E34" s="24"/>
      <c r="F34" s="486" t="s">
        <v>239</v>
      </c>
      <c r="G34" s="486"/>
      <c r="H34" s="486"/>
      <c r="I34" s="483"/>
      <c r="J34" s="483"/>
      <c r="K34" s="485"/>
    </row>
    <row r="35" spans="2:11">
      <c r="B35" s="482" t="s">
        <v>241</v>
      </c>
      <c r="C35" s="483"/>
      <c r="E35" s="24"/>
      <c r="F35" s="486" t="s">
        <v>239</v>
      </c>
      <c r="G35" s="486"/>
      <c r="H35" s="486"/>
      <c r="I35" s="483"/>
      <c r="J35" s="483"/>
      <c r="K35" s="485"/>
    </row>
    <row r="36" spans="2:11">
      <c r="B36" s="482"/>
      <c r="C36" s="483"/>
      <c r="D36" s="38"/>
      <c r="E36" s="25"/>
      <c r="F36" s="486"/>
      <c r="G36" s="486"/>
      <c r="H36" s="486"/>
      <c r="I36" s="483"/>
      <c r="J36" s="483"/>
      <c r="K36" s="485"/>
    </row>
    <row r="37" spans="2:11">
      <c r="B37" s="482"/>
      <c r="C37" s="483"/>
      <c r="D37" s="38"/>
      <c r="E37" s="25"/>
      <c r="F37" s="486"/>
      <c r="G37" s="486"/>
      <c r="H37" s="486"/>
      <c r="I37" s="483"/>
      <c r="J37" s="483"/>
      <c r="K37" s="485"/>
    </row>
    <row r="38" spans="2:11">
      <c r="B38" s="482"/>
      <c r="C38" s="483"/>
      <c r="D38" s="38"/>
      <c r="E38" s="25"/>
      <c r="F38" s="484"/>
      <c r="G38" s="484"/>
      <c r="H38" s="484"/>
      <c r="I38" s="483"/>
      <c r="J38" s="483"/>
      <c r="K38" s="485"/>
    </row>
    <row r="39" spans="2:11">
      <c r="B39" s="482"/>
      <c r="C39" s="483"/>
      <c r="D39" s="38"/>
      <c r="E39" s="25"/>
      <c r="F39" s="484"/>
      <c r="G39" s="484"/>
      <c r="H39" s="484"/>
      <c r="I39" s="483"/>
      <c r="J39" s="483"/>
      <c r="K39" s="485"/>
    </row>
    <row r="40" spans="2:11">
      <c r="B40" s="482"/>
      <c r="C40" s="483"/>
      <c r="D40" s="38"/>
      <c r="E40" s="25"/>
      <c r="F40" s="484"/>
      <c r="G40" s="484"/>
      <c r="H40" s="484"/>
      <c r="I40" s="483"/>
      <c r="J40" s="483"/>
      <c r="K40" s="485"/>
    </row>
    <row r="41" spans="2:11">
      <c r="B41" s="482"/>
      <c r="C41" s="483"/>
      <c r="D41" s="38"/>
      <c r="E41" s="25"/>
      <c r="F41" s="484"/>
      <c r="G41" s="484"/>
      <c r="H41" s="484"/>
      <c r="I41" s="483"/>
      <c r="J41" s="483"/>
      <c r="K41" s="485"/>
    </row>
    <row r="42" spans="2:11">
      <c r="B42" s="478"/>
      <c r="C42" s="479"/>
      <c r="D42" s="39"/>
      <c r="E42" s="29"/>
      <c r="F42" s="480"/>
      <c r="G42" s="480"/>
      <c r="H42" s="480"/>
      <c r="I42" s="479"/>
      <c r="J42" s="479"/>
      <c r="K42" s="481"/>
    </row>
  </sheetData>
  <mergeCells count="47">
    <mergeCell ref="B31:C31"/>
    <mergeCell ref="F31:H31"/>
    <mergeCell ref="I31:K31"/>
    <mergeCell ref="B3:K4"/>
    <mergeCell ref="D5:E5"/>
    <mergeCell ref="D6:E6"/>
    <mergeCell ref="D7:E7"/>
    <mergeCell ref="D8:E8"/>
    <mergeCell ref="D9:E9"/>
    <mergeCell ref="D10:E10"/>
    <mergeCell ref="D11:E11"/>
    <mergeCell ref="B13:K14"/>
    <mergeCell ref="B28:K29"/>
    <mergeCell ref="I30:K30"/>
    <mergeCell ref="B32:C32"/>
    <mergeCell ref="F32:H32"/>
    <mergeCell ref="I32:K32"/>
    <mergeCell ref="B33:C33"/>
    <mergeCell ref="F33:H33"/>
    <mergeCell ref="I33:K33"/>
    <mergeCell ref="B34:C34"/>
    <mergeCell ref="F34:H34"/>
    <mergeCell ref="I34:K34"/>
    <mergeCell ref="B35:C35"/>
    <mergeCell ref="F35:H35"/>
    <mergeCell ref="I35:K35"/>
    <mergeCell ref="B36:C36"/>
    <mergeCell ref="F36:H36"/>
    <mergeCell ref="I36:K36"/>
    <mergeCell ref="B37:C37"/>
    <mergeCell ref="F37:H37"/>
    <mergeCell ref="I37:K37"/>
    <mergeCell ref="B38:C38"/>
    <mergeCell ref="F38:H38"/>
    <mergeCell ref="I38:K38"/>
    <mergeCell ref="B39:C39"/>
    <mergeCell ref="F39:H39"/>
    <mergeCell ref="I39:K39"/>
    <mergeCell ref="B42:C42"/>
    <mergeCell ref="F42:H42"/>
    <mergeCell ref="I42:K42"/>
    <mergeCell ref="B40:C40"/>
    <mergeCell ref="F40:H40"/>
    <mergeCell ref="I40:K40"/>
    <mergeCell ref="B41:C41"/>
    <mergeCell ref="F41:H41"/>
    <mergeCell ref="I41:K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R28"/>
  <sheetViews>
    <sheetView zoomScaleNormal="100" zoomScaleSheetLayoutView="100" workbookViewId="0">
      <pane ySplit="10" topLeftCell="A15" activePane="bottomLeft" state="frozen"/>
      <selection activeCell="D34" sqref="D34"/>
      <selection pane="bottomLeft" activeCell="H16" sqref="H16"/>
    </sheetView>
  </sheetViews>
  <sheetFormatPr defaultColWidth="9.33203125" defaultRowHeight="14.4"/>
  <cols>
    <col min="1" max="1" width="43.33203125" style="123" customWidth="1"/>
    <col min="2" max="2" width="9.33203125" style="123" bestFit="1" customWidth="1"/>
    <col min="3" max="3" width="11.44140625" style="123" customWidth="1"/>
    <col min="4" max="4" width="10.6640625" style="123" bestFit="1" customWidth="1"/>
    <col min="5" max="6" width="8.33203125" style="123" bestFit="1" customWidth="1"/>
    <col min="7" max="7" width="9.33203125" style="123" bestFit="1" customWidth="1"/>
    <col min="8" max="11" width="8.33203125" style="123" bestFit="1" customWidth="1"/>
    <col min="12" max="12" width="9" style="123" bestFit="1" customWidth="1"/>
    <col min="13" max="15" width="8.33203125" style="123" bestFit="1" customWidth="1"/>
    <col min="16" max="16" width="9.33203125" style="123" customWidth="1"/>
    <col min="17" max="17" width="11.44140625" style="123" bestFit="1" customWidth="1"/>
    <col min="18" max="18" width="40" style="123" customWidth="1"/>
    <col min="19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46235</v>
      </c>
      <c r="R1" s="7">
        <f>Summary!V4</f>
        <v>0</v>
      </c>
    </row>
    <row r="2" spans="1:18">
      <c r="A2" s="476" t="str">
        <f>Summary!$A2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7"/>
    </row>
    <row r="3" spans="1:18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7"/>
    </row>
    <row r="4" spans="1:18">
      <c r="A4" s="476" t="str">
        <f>Summary!$A4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7"/>
    </row>
    <row r="5" spans="1:18">
      <c r="A5" s="476" t="str">
        <f>Summary!$A5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7"/>
    </row>
    <row r="6" spans="1:18">
      <c r="A6" s="476" t="str">
        <f>Summary!$A6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</row>
    <row r="9" spans="1:18">
      <c r="A9" s="49" t="s">
        <v>242</v>
      </c>
      <c r="B9" s="49" t="s">
        <v>243</v>
      </c>
      <c r="C9" s="49" t="s">
        <v>90</v>
      </c>
      <c r="D9" s="49" t="s">
        <v>244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49" t="s">
        <v>218</v>
      </c>
    </row>
    <row r="10" spans="1:18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</row>
    <row r="11" spans="1:18">
      <c r="A11" s="57"/>
      <c r="B11" s="7"/>
      <c r="C11" s="135"/>
      <c r="D11" s="27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7"/>
    </row>
    <row r="12" spans="1:18">
      <c r="A12" s="232" t="s">
        <v>247</v>
      </c>
      <c r="B12" s="7"/>
      <c r="C12" s="135"/>
      <c r="D12" s="27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7"/>
    </row>
    <row r="13" spans="1:18">
      <c r="A13" s="232"/>
      <c r="B13" s="7"/>
      <c r="C13" s="135"/>
      <c r="D13" s="27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7"/>
    </row>
    <row r="14" spans="1:18">
      <c r="A14" s="280"/>
      <c r="B14" s="64"/>
      <c r="C14" s="65"/>
      <c r="D14" s="67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136"/>
    </row>
    <row r="15" spans="1:18">
      <c r="A15" s="57" t="s">
        <v>15</v>
      </c>
      <c r="B15" s="64" t="s">
        <v>248</v>
      </c>
      <c r="C15" s="65">
        <v>5659</v>
      </c>
      <c r="D15" s="67">
        <f>P15*12/C15</f>
        <v>28.9818554514932</v>
      </c>
      <c r="E15" s="234">
        <v>13269.28</v>
      </c>
      <c r="F15" s="234">
        <f>E15</f>
        <v>13269.28</v>
      </c>
      <c r="G15" s="234">
        <f>F15</f>
        <v>13269.28</v>
      </c>
      <c r="H15" s="281">
        <v>13667.36</v>
      </c>
      <c r="I15" s="234">
        <f>H15</f>
        <v>13667.36</v>
      </c>
      <c r="J15" s="234">
        <f t="shared" ref="J15:P15" si="0">I15</f>
        <v>13667.36</v>
      </c>
      <c r="K15" s="234">
        <f t="shared" si="0"/>
        <v>13667.36</v>
      </c>
      <c r="L15" s="234">
        <f t="shared" si="0"/>
        <v>13667.36</v>
      </c>
      <c r="M15" s="234">
        <f t="shared" si="0"/>
        <v>13667.36</v>
      </c>
      <c r="N15" s="234">
        <f t="shared" si="0"/>
        <v>13667.36</v>
      </c>
      <c r="O15" s="234">
        <f t="shared" si="0"/>
        <v>13667.36</v>
      </c>
      <c r="P15" s="234">
        <f t="shared" si="0"/>
        <v>13667.36</v>
      </c>
      <c r="Q15" s="234">
        <f>SUM(E15:P15)</f>
        <v>162814.07999999996</v>
      </c>
      <c r="R15" s="136" t="s">
        <v>249</v>
      </c>
    </row>
    <row r="16" spans="1:18">
      <c r="A16" s="57" t="s">
        <v>18</v>
      </c>
      <c r="B16" s="64" t="s">
        <v>250</v>
      </c>
      <c r="C16" s="65">
        <v>1967</v>
      </c>
      <c r="D16" s="67">
        <f>P16*12/C16</f>
        <v>27.48799186578546</v>
      </c>
      <c r="E16" s="234">
        <v>4374.8100000000004</v>
      </c>
      <c r="F16" s="234">
        <f>E16</f>
        <v>4374.8100000000004</v>
      </c>
      <c r="G16" s="281">
        <f>(4374.81*15/31)+(4505.74*16/31)</f>
        <v>4442.3867741935483</v>
      </c>
      <c r="H16" s="234">
        <v>4505.74</v>
      </c>
      <c r="I16" s="234">
        <f>H16</f>
        <v>4505.74</v>
      </c>
      <c r="J16" s="234">
        <f t="shared" ref="J16:P16" si="1">I16</f>
        <v>4505.74</v>
      </c>
      <c r="K16" s="234">
        <f t="shared" si="1"/>
        <v>4505.74</v>
      </c>
      <c r="L16" s="234">
        <f t="shared" si="1"/>
        <v>4505.74</v>
      </c>
      <c r="M16" s="234">
        <f t="shared" si="1"/>
        <v>4505.74</v>
      </c>
      <c r="N16" s="234">
        <f t="shared" si="1"/>
        <v>4505.74</v>
      </c>
      <c r="O16" s="234">
        <f t="shared" si="1"/>
        <v>4505.74</v>
      </c>
      <c r="P16" s="234">
        <f t="shared" si="1"/>
        <v>4505.74</v>
      </c>
      <c r="Q16" s="234">
        <f t="shared" ref="Q16:Q18" si="2">SUM(E16:P16)</f>
        <v>53743.666774193531</v>
      </c>
      <c r="R16" s="136" t="s">
        <v>251</v>
      </c>
    </row>
    <row r="17" spans="1:18">
      <c r="A17" s="57" t="s">
        <v>22</v>
      </c>
      <c r="B17" s="64" t="s">
        <v>252</v>
      </c>
      <c r="C17" s="65">
        <v>618</v>
      </c>
      <c r="D17" s="67">
        <f>P17*12/C17</f>
        <v>23.64</v>
      </c>
      <c r="E17" s="234">
        <v>0</v>
      </c>
      <c r="F17" s="234">
        <f>E17</f>
        <v>0</v>
      </c>
      <c r="G17" s="234">
        <f t="shared" ref="G17:P17" si="3">F17</f>
        <v>0</v>
      </c>
      <c r="H17" s="234">
        <f t="shared" si="3"/>
        <v>0</v>
      </c>
      <c r="I17" s="234">
        <f>C17*1.97</f>
        <v>1217.46</v>
      </c>
      <c r="J17" s="234">
        <f t="shared" si="3"/>
        <v>1217.46</v>
      </c>
      <c r="K17" s="234">
        <f t="shared" si="3"/>
        <v>1217.46</v>
      </c>
      <c r="L17" s="234">
        <f t="shared" si="3"/>
        <v>1217.46</v>
      </c>
      <c r="M17" s="234">
        <f t="shared" si="3"/>
        <v>1217.46</v>
      </c>
      <c r="N17" s="234">
        <f t="shared" si="3"/>
        <v>1217.46</v>
      </c>
      <c r="O17" s="234">
        <f t="shared" si="3"/>
        <v>1217.46</v>
      </c>
      <c r="P17" s="234">
        <f t="shared" si="3"/>
        <v>1217.46</v>
      </c>
      <c r="Q17" s="234">
        <f t="shared" si="2"/>
        <v>9739.68</v>
      </c>
      <c r="R17" s="136" t="s">
        <v>253</v>
      </c>
    </row>
    <row r="18" spans="1:18">
      <c r="A18" s="57" t="s">
        <v>22</v>
      </c>
      <c r="B18" s="64" t="s">
        <v>254</v>
      </c>
      <c r="C18" s="65">
        <v>4230</v>
      </c>
      <c r="D18" s="67">
        <f>P18*12/C18</f>
        <v>23.640000000000004</v>
      </c>
      <c r="E18" s="234">
        <v>0</v>
      </c>
      <c r="F18" s="234">
        <f>E18</f>
        <v>0</v>
      </c>
      <c r="G18" s="234">
        <f t="shared" ref="G18:P18" si="4">F18</f>
        <v>0</v>
      </c>
      <c r="H18" s="234">
        <f t="shared" si="4"/>
        <v>0</v>
      </c>
      <c r="I18" s="234">
        <f>C18*1.97</f>
        <v>8333.1</v>
      </c>
      <c r="J18" s="234">
        <f t="shared" si="4"/>
        <v>8333.1</v>
      </c>
      <c r="K18" s="234">
        <f t="shared" si="4"/>
        <v>8333.1</v>
      </c>
      <c r="L18" s="234">
        <f t="shared" si="4"/>
        <v>8333.1</v>
      </c>
      <c r="M18" s="234">
        <f t="shared" si="4"/>
        <v>8333.1</v>
      </c>
      <c r="N18" s="234">
        <f t="shared" si="4"/>
        <v>8333.1</v>
      </c>
      <c r="O18" s="234">
        <f t="shared" si="4"/>
        <v>8333.1</v>
      </c>
      <c r="P18" s="234">
        <f t="shared" si="4"/>
        <v>8333.1</v>
      </c>
      <c r="Q18" s="234">
        <f t="shared" si="2"/>
        <v>66664.800000000003</v>
      </c>
      <c r="R18" s="136" t="s">
        <v>253</v>
      </c>
    </row>
    <row r="19" spans="1:18">
      <c r="A19" s="191"/>
      <c r="B19" s="7"/>
      <c r="C19" s="65"/>
      <c r="D19" s="73"/>
      <c r="E19" s="67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"/>
    </row>
    <row r="20" spans="1:18">
      <c r="A20" s="191"/>
      <c r="B20" s="7"/>
      <c r="C20" s="65"/>
      <c r="D20" s="73"/>
      <c r="E20" s="67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"/>
    </row>
    <row r="21" spans="1:18">
      <c r="A21" s="7"/>
      <c r="B21" s="7"/>
      <c r="C21" s="6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282"/>
      <c r="B22" s="283"/>
      <c r="C22" s="284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6"/>
      <c r="R22" s="7"/>
    </row>
    <row r="23" spans="1:18">
      <c r="A23" s="287" t="s">
        <v>93</v>
      </c>
      <c r="B23" s="288"/>
      <c r="C23" s="289">
        <f>SUM(C14:C22)</f>
        <v>12474</v>
      </c>
      <c r="D23" s="290"/>
      <c r="E23" s="289">
        <f t="shared" ref="E23:Q23" si="5">SUM(E14:E22)</f>
        <v>17644.09</v>
      </c>
      <c r="F23" s="289">
        <f t="shared" si="5"/>
        <v>17644.09</v>
      </c>
      <c r="G23" s="289">
        <f t="shared" si="5"/>
        <v>17711.666774193549</v>
      </c>
      <c r="H23" s="289">
        <f t="shared" si="5"/>
        <v>18173.099999999999</v>
      </c>
      <c r="I23" s="289">
        <f t="shared" si="5"/>
        <v>27723.659999999996</v>
      </c>
      <c r="J23" s="289">
        <f t="shared" si="5"/>
        <v>27723.659999999996</v>
      </c>
      <c r="K23" s="289">
        <f t="shared" si="5"/>
        <v>27723.659999999996</v>
      </c>
      <c r="L23" s="289">
        <f t="shared" si="5"/>
        <v>27723.659999999996</v>
      </c>
      <c r="M23" s="289">
        <f t="shared" si="5"/>
        <v>27723.659999999996</v>
      </c>
      <c r="N23" s="289">
        <f t="shared" si="5"/>
        <v>27723.659999999996</v>
      </c>
      <c r="O23" s="289">
        <f t="shared" si="5"/>
        <v>27723.659999999996</v>
      </c>
      <c r="P23" s="289">
        <f t="shared" si="5"/>
        <v>27723.659999999996</v>
      </c>
      <c r="Q23" s="289">
        <f t="shared" si="5"/>
        <v>292962.22677419346</v>
      </c>
      <c r="R23" s="7"/>
    </row>
    <row r="24" spans="1:18">
      <c r="A24" s="291"/>
      <c r="B24" s="292"/>
      <c r="C24" s="292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4"/>
      <c r="R24" s="7"/>
    </row>
    <row r="25" spans="1:18">
      <c r="A25" s="7"/>
      <c r="B25" s="7"/>
      <c r="C25" s="135"/>
      <c r="D25" s="27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7"/>
    </row>
    <row r="26" spans="1:18">
      <c r="A26" s="7"/>
      <c r="B26" s="7"/>
      <c r="C26" s="135"/>
      <c r="D26" s="295" t="s">
        <v>255</v>
      </c>
      <c r="E26" s="296">
        <f>E23-Summary!C13</f>
        <v>0</v>
      </c>
      <c r="F26" s="296">
        <f>F23-Summary!D13</f>
        <v>0</v>
      </c>
      <c r="G26" s="296">
        <f>G23-Summary!E13</f>
        <v>0</v>
      </c>
      <c r="H26" s="296">
        <f>H23-Summary!F13</f>
        <v>0</v>
      </c>
      <c r="I26" s="296">
        <f>I23-Summary!G13</f>
        <v>0</v>
      </c>
      <c r="J26" s="296">
        <f>J23-Summary!H13</f>
        <v>0</v>
      </c>
      <c r="K26" s="296">
        <f>K23-Summary!I13</f>
        <v>0</v>
      </c>
      <c r="L26" s="296">
        <f>L23-Summary!J13</f>
        <v>0</v>
      </c>
      <c r="M26" s="296">
        <f>M23-Summary!K13</f>
        <v>0</v>
      </c>
      <c r="N26" s="296">
        <f>N23-Summary!L13</f>
        <v>0</v>
      </c>
      <c r="O26" s="296">
        <f>O23-Summary!M13</f>
        <v>0</v>
      </c>
      <c r="P26" s="296">
        <f>P23-Summary!N13</f>
        <v>0</v>
      </c>
      <c r="Q26" s="297">
        <f>Q23-Summary!O13</f>
        <v>0</v>
      </c>
      <c r="R26" s="7"/>
    </row>
    <row r="27" spans="1:18">
      <c r="A27" s="7"/>
      <c r="B27" s="7"/>
      <c r="C27" s="214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>
      <c r="A28" s="7" t="s">
        <v>256</v>
      </c>
      <c r="B28" s="7"/>
      <c r="C28" s="214">
        <f>C23-C17-C18</f>
        <v>7626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2" firstPageNumber="5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3" type="noConversion"/>
  <printOptions horizontalCentered="1"/>
  <pageMargins left="0" right="0" top="0.5" bottom="0.7" header="0.5" footer="0.5"/>
  <pageSetup paperSize="3" scale="96" fitToHeight="0" orientation="landscape" useFirstPageNumber="1" r:id="rId2"/>
  <headerFooter alignWithMargins="0">
    <oddFooter>Page &amp;P</oddFooter>
  </headerFooter>
  <ignoredErrors>
    <ignoredError sqref="G16" formula="1"/>
  </ignoredError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S1048559"/>
  <sheetViews>
    <sheetView zoomScale="80" zoomScaleNormal="80" workbookViewId="0">
      <selection activeCell="E11" sqref="E11"/>
    </sheetView>
  </sheetViews>
  <sheetFormatPr defaultColWidth="9.33203125" defaultRowHeight="14.4"/>
  <cols>
    <col min="1" max="1" width="34" style="123" customWidth="1"/>
    <col min="2" max="2" width="10.6640625" style="123" customWidth="1"/>
    <col min="3" max="3" width="11.6640625" style="123" customWidth="1"/>
    <col min="4" max="6" width="10.33203125" style="123" bestFit="1" customWidth="1"/>
    <col min="7" max="15" width="9.33203125" style="123" bestFit="1" customWidth="1"/>
    <col min="16" max="16" width="11.44140625" style="123" bestFit="1" customWidth="1"/>
    <col min="17" max="17" width="9.33203125" style="123"/>
    <col min="18" max="19" width="11.33203125" style="123" bestFit="1" customWidth="1"/>
    <col min="20" max="16384" width="9.33203125" style="123"/>
  </cols>
  <sheetData>
    <row r="1" spans="1:19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44" t="str">
        <f>Summary!T4</f>
        <v>Date Revised:</v>
      </c>
      <c r="P1" s="45">
        <f ca="1">Summary!U4</f>
        <v>46235</v>
      </c>
      <c r="Q1" s="298">
        <f>Summary!V4</f>
        <v>0</v>
      </c>
      <c r="R1" s="7"/>
      <c r="S1" s="7"/>
    </row>
    <row r="2" spans="1:19">
      <c r="A2" s="476" t="str">
        <f>Summary!$A2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7"/>
      <c r="R2" s="7"/>
      <c r="S2" s="7"/>
    </row>
    <row r="3" spans="1:19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7"/>
      <c r="R3" s="7"/>
      <c r="S3" s="7"/>
    </row>
    <row r="4" spans="1:19">
      <c r="A4" s="476" t="str">
        <f>Summary!$A4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7"/>
      <c r="R4" s="7"/>
      <c r="S4" s="7"/>
    </row>
    <row r="5" spans="1:19">
      <c r="A5" s="476" t="str">
        <f>Summary!$A5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7"/>
      <c r="R5" s="7"/>
      <c r="S5" s="7"/>
    </row>
    <row r="6" spans="1:19">
      <c r="A6" s="476" t="str">
        <f>Summary!$A6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7"/>
      <c r="R6" s="7"/>
      <c r="S6" s="7"/>
    </row>
    <row r="7" spans="1:19">
      <c r="A7" s="7"/>
      <c r="B7" s="7"/>
      <c r="C7" s="7"/>
      <c r="D7" s="7"/>
      <c r="E7" s="7"/>
      <c r="F7" s="7"/>
      <c r="G7" s="4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7"/>
      <c r="R8" s="7"/>
      <c r="S8" s="7"/>
    </row>
    <row r="9" spans="1:19">
      <c r="A9" s="49" t="s">
        <v>242</v>
      </c>
      <c r="B9" s="49" t="s">
        <v>243</v>
      </c>
      <c r="C9" s="49" t="s">
        <v>90</v>
      </c>
      <c r="D9" s="49" t="s">
        <v>75</v>
      </c>
      <c r="E9" s="49" t="s">
        <v>76</v>
      </c>
      <c r="F9" s="49" t="s">
        <v>77</v>
      </c>
      <c r="G9" s="49" t="s">
        <v>78</v>
      </c>
      <c r="H9" s="49" t="s">
        <v>79</v>
      </c>
      <c r="I9" s="49" t="s">
        <v>80</v>
      </c>
      <c r="J9" s="49" t="s">
        <v>81</v>
      </c>
      <c r="K9" s="49" t="s">
        <v>82</v>
      </c>
      <c r="L9" s="49" t="s">
        <v>83</v>
      </c>
      <c r="M9" s="49" t="s">
        <v>84</v>
      </c>
      <c r="N9" s="49" t="s">
        <v>85</v>
      </c>
      <c r="O9" s="49" t="s">
        <v>86</v>
      </c>
      <c r="P9" s="49" t="s">
        <v>93</v>
      </c>
      <c r="Q9" s="7"/>
      <c r="R9" s="7"/>
      <c r="S9" s="7"/>
    </row>
    <row r="10" spans="1:19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7"/>
      <c r="R10" s="7"/>
      <c r="S10" s="7"/>
    </row>
    <row r="11" spans="1:19">
      <c r="A11" s="57"/>
      <c r="B11" s="7"/>
      <c r="C11" s="135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7"/>
      <c r="R11" s="7"/>
      <c r="S11" s="7"/>
    </row>
    <row r="12" spans="1:19" ht="15.75" customHeight="1">
      <c r="A12" s="299" t="s">
        <v>257</v>
      </c>
      <c r="B12" s="7"/>
      <c r="C12" s="135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7"/>
      <c r="R12" s="7"/>
      <c r="S12" s="7"/>
    </row>
    <row r="13" spans="1:19">
      <c r="A13" s="7"/>
      <c r="B13" s="7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7"/>
      <c r="R13" s="7"/>
      <c r="S13" s="7"/>
    </row>
    <row r="14" spans="1:19" s="129" customFormat="1">
      <c r="A14" s="7" t="s">
        <v>258</v>
      </c>
      <c r="B14" s="64"/>
      <c r="C14" s="65"/>
      <c r="D14" s="300">
        <v>0</v>
      </c>
      <c r="E14" s="300">
        <v>0</v>
      </c>
      <c r="F14" s="300">
        <v>0</v>
      </c>
      <c r="G14" s="300">
        <v>0</v>
      </c>
      <c r="H14" s="300">
        <v>0</v>
      </c>
      <c r="I14" s="300">
        <v>0</v>
      </c>
      <c r="J14" s="300">
        <v>0</v>
      </c>
      <c r="K14" s="300">
        <v>0</v>
      </c>
      <c r="L14" s="300">
        <v>0</v>
      </c>
      <c r="M14" s="300">
        <v>0</v>
      </c>
      <c r="N14" s="300">
        <v>0</v>
      </c>
      <c r="O14" s="300">
        <v>0</v>
      </c>
      <c r="P14" s="300">
        <f>SUM(D14:O14)</f>
        <v>0</v>
      </c>
      <c r="Q14" s="228"/>
      <c r="R14" s="300"/>
      <c r="S14" s="122"/>
    </row>
    <row r="15" spans="1:19">
      <c r="A15" s="7"/>
      <c r="B15" s="64"/>
      <c r="C15" s="65"/>
      <c r="D15" s="300"/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7"/>
      <c r="R15" s="7"/>
      <c r="S15" s="7"/>
    </row>
    <row r="16" spans="1:19">
      <c r="A16" s="7"/>
      <c r="B16" s="64"/>
      <c r="C16" s="65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7"/>
      <c r="R16" s="7"/>
      <c r="S16" s="7"/>
    </row>
    <row r="17" spans="1:19">
      <c r="A17" s="7"/>
      <c r="B17" s="7"/>
      <c r="C17" s="65"/>
      <c r="D17" s="300"/>
      <c r="E17" s="300"/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7"/>
      <c r="R17" s="7"/>
      <c r="S17" s="7"/>
    </row>
    <row r="18" spans="1:19">
      <c r="A18" s="282"/>
      <c r="B18" s="283"/>
      <c r="C18" s="284"/>
      <c r="D18" s="301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2"/>
      <c r="Q18" s="7"/>
      <c r="R18" s="7"/>
      <c r="S18" s="7"/>
    </row>
    <row r="19" spans="1:19">
      <c r="A19" s="287" t="s">
        <v>93</v>
      </c>
      <c r="B19" s="288"/>
      <c r="C19" s="289">
        <f t="shared" ref="C19:P19" si="0">SUM(C14:C14)</f>
        <v>0</v>
      </c>
      <c r="D19" s="303">
        <f t="shared" si="0"/>
        <v>0</v>
      </c>
      <c r="E19" s="303">
        <f t="shared" si="0"/>
        <v>0</v>
      </c>
      <c r="F19" s="303">
        <f t="shared" si="0"/>
        <v>0</v>
      </c>
      <c r="G19" s="303">
        <f t="shared" si="0"/>
        <v>0</v>
      </c>
      <c r="H19" s="303">
        <f t="shared" si="0"/>
        <v>0</v>
      </c>
      <c r="I19" s="303">
        <f t="shared" si="0"/>
        <v>0</v>
      </c>
      <c r="J19" s="303">
        <f t="shared" si="0"/>
        <v>0</v>
      </c>
      <c r="K19" s="303">
        <f t="shared" si="0"/>
        <v>0</v>
      </c>
      <c r="L19" s="303">
        <f t="shared" si="0"/>
        <v>0</v>
      </c>
      <c r="M19" s="303">
        <f t="shared" si="0"/>
        <v>0</v>
      </c>
      <c r="N19" s="303">
        <f t="shared" si="0"/>
        <v>0</v>
      </c>
      <c r="O19" s="303">
        <f t="shared" si="0"/>
        <v>0</v>
      </c>
      <c r="P19" s="304">
        <f t="shared" si="0"/>
        <v>0</v>
      </c>
      <c r="Q19" s="7"/>
      <c r="R19" s="7"/>
      <c r="S19" s="7"/>
    </row>
    <row r="20" spans="1:19">
      <c r="A20" s="291"/>
      <c r="B20" s="292"/>
      <c r="C20" s="293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P20" s="306"/>
      <c r="Q20" s="7"/>
      <c r="R20" s="7"/>
      <c r="S20" s="7"/>
    </row>
    <row r="21" spans="1:19">
      <c r="A21" s="7"/>
      <c r="B21" s="7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7"/>
      <c r="R21" s="7"/>
      <c r="S21" s="7"/>
    </row>
    <row r="24" spans="1:19">
      <c r="A24" s="47"/>
      <c r="B24" s="47"/>
      <c r="C24" s="48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7"/>
      <c r="R24" s="7"/>
      <c r="S24" s="7"/>
    </row>
    <row r="25" spans="1:19">
      <c r="A25" s="49" t="s">
        <v>242</v>
      </c>
      <c r="B25" s="49" t="s">
        <v>243</v>
      </c>
      <c r="C25" s="49" t="s">
        <v>90</v>
      </c>
      <c r="D25" s="49" t="s">
        <v>75</v>
      </c>
      <c r="E25" s="49" t="s">
        <v>76</v>
      </c>
      <c r="F25" s="49" t="s">
        <v>77</v>
      </c>
      <c r="G25" s="49" t="s">
        <v>78</v>
      </c>
      <c r="H25" s="49" t="s">
        <v>79</v>
      </c>
      <c r="I25" s="49" t="s">
        <v>80</v>
      </c>
      <c r="J25" s="49" t="s">
        <v>81</v>
      </c>
      <c r="K25" s="49" t="s">
        <v>82</v>
      </c>
      <c r="L25" s="49" t="s">
        <v>83</v>
      </c>
      <c r="M25" s="49" t="s">
        <v>84</v>
      </c>
      <c r="N25" s="49" t="s">
        <v>85</v>
      </c>
      <c r="O25" s="49" t="s">
        <v>86</v>
      </c>
      <c r="P25" s="49" t="s">
        <v>93</v>
      </c>
      <c r="Q25" s="7"/>
      <c r="R25" s="7"/>
      <c r="S25" s="7"/>
    </row>
    <row r="26" spans="1:19">
      <c r="A26" s="50"/>
      <c r="B26" s="51" t="s">
        <v>245</v>
      </c>
      <c r="C26" s="51" t="s">
        <v>246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7"/>
      <c r="R26" s="7"/>
      <c r="S26" s="7"/>
    </row>
    <row r="27" spans="1:19">
      <c r="A27" s="57"/>
      <c r="B27" s="7"/>
      <c r="C27" s="135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7"/>
      <c r="R27" s="7"/>
      <c r="S27" s="7"/>
    </row>
    <row r="28" spans="1:19" ht="15.75" customHeight="1">
      <c r="A28" s="307" t="s">
        <v>259</v>
      </c>
      <c r="B28" s="7"/>
      <c r="C28" s="135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7"/>
      <c r="R28" s="7"/>
      <c r="S28" s="7"/>
    </row>
    <row r="29" spans="1:19">
      <c r="A29" s="7"/>
      <c r="B29" s="7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7"/>
      <c r="R29" s="7"/>
      <c r="S29" s="7"/>
    </row>
    <row r="30" spans="1:19" s="129" customFormat="1">
      <c r="A30" s="7" t="s">
        <v>258</v>
      </c>
      <c r="B30" s="7"/>
      <c r="C30" s="7"/>
      <c r="D30" s="300">
        <v>0</v>
      </c>
      <c r="E30" s="300">
        <v>0</v>
      </c>
      <c r="F30" s="300">
        <v>0</v>
      </c>
      <c r="G30" s="300">
        <v>0</v>
      </c>
      <c r="H30" s="300">
        <v>0</v>
      </c>
      <c r="I30" s="300">
        <v>0</v>
      </c>
      <c r="J30" s="300">
        <v>0</v>
      </c>
      <c r="K30" s="300">
        <v>0</v>
      </c>
      <c r="L30" s="300">
        <v>0</v>
      </c>
      <c r="M30" s="300">
        <v>0</v>
      </c>
      <c r="N30" s="300">
        <v>0</v>
      </c>
      <c r="O30" s="300">
        <v>0</v>
      </c>
      <c r="P30" s="300">
        <f>SUM(D30:O30)</f>
        <v>0</v>
      </c>
      <c r="Q30" s="228"/>
      <c r="R30" s="300"/>
      <c r="S30" s="122"/>
    </row>
    <row r="31" spans="1:19">
      <c r="A31" s="7"/>
      <c r="B31" s="64"/>
      <c r="C31" s="65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7"/>
      <c r="R31" s="7"/>
      <c r="S31" s="7"/>
    </row>
    <row r="32" spans="1:19">
      <c r="A32" s="7"/>
      <c r="B32" s="64"/>
      <c r="C32" s="65"/>
      <c r="D32" s="300"/>
      <c r="E32" s="300"/>
      <c r="F32" s="300"/>
      <c r="G32" s="300"/>
      <c r="H32" s="300"/>
      <c r="I32" s="300"/>
      <c r="J32" s="300"/>
      <c r="K32" s="300"/>
      <c r="L32" s="300"/>
      <c r="M32" s="300"/>
      <c r="N32" s="300"/>
      <c r="O32" s="300"/>
      <c r="P32" s="300"/>
      <c r="Q32" s="7"/>
      <c r="R32" s="7"/>
      <c r="S32" s="7"/>
    </row>
    <row r="33" spans="1:16">
      <c r="A33" s="7"/>
      <c r="B33" s="7"/>
      <c r="C33" s="65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</row>
    <row r="34" spans="1:16">
      <c r="A34" s="282"/>
      <c r="B34" s="283"/>
      <c r="C34" s="284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2"/>
    </row>
    <row r="35" spans="1:16">
      <c r="A35" s="287" t="s">
        <v>93</v>
      </c>
      <c r="B35" s="288"/>
      <c r="C35" s="289">
        <f t="shared" ref="C35:P35" si="1">SUM(C30:C30)</f>
        <v>0</v>
      </c>
      <c r="D35" s="303">
        <f t="shared" si="1"/>
        <v>0</v>
      </c>
      <c r="E35" s="303">
        <f t="shared" si="1"/>
        <v>0</v>
      </c>
      <c r="F35" s="303">
        <f t="shared" si="1"/>
        <v>0</v>
      </c>
      <c r="G35" s="303">
        <f t="shared" si="1"/>
        <v>0</v>
      </c>
      <c r="H35" s="303">
        <f t="shared" si="1"/>
        <v>0</v>
      </c>
      <c r="I35" s="303">
        <f t="shared" si="1"/>
        <v>0</v>
      </c>
      <c r="J35" s="303">
        <f t="shared" si="1"/>
        <v>0</v>
      </c>
      <c r="K35" s="303">
        <f t="shared" si="1"/>
        <v>0</v>
      </c>
      <c r="L35" s="303">
        <f t="shared" si="1"/>
        <v>0</v>
      </c>
      <c r="M35" s="303">
        <f t="shared" si="1"/>
        <v>0</v>
      </c>
      <c r="N35" s="303">
        <f t="shared" si="1"/>
        <v>0</v>
      </c>
      <c r="O35" s="303">
        <f t="shared" si="1"/>
        <v>0</v>
      </c>
      <c r="P35" s="304">
        <f t="shared" si="1"/>
        <v>0</v>
      </c>
    </row>
    <row r="36" spans="1:16">
      <c r="A36" s="291"/>
      <c r="B36" s="292"/>
      <c r="C36" s="293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6"/>
    </row>
    <row r="1048559" spans="18:18">
      <c r="R1048559" s="300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6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3" type="noConversion"/>
  <printOptions horizontalCentered="1"/>
  <pageMargins left="0.5" right="0.5" top="0.5" bottom="0.75" header="0.5" footer="0.5"/>
  <pageSetup scale="68" firstPageNumber="4" orientation="landscape" useFirstPageNumber="1" r:id="rId2"/>
  <headerFooter alignWithMargins="0">
    <oddFooter>Page &amp;P</oddFooter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2"/>
  <sheetViews>
    <sheetView zoomScaleNormal="100" zoomScaleSheetLayoutView="120" workbookViewId="0">
      <selection activeCell="H16" sqref="H16"/>
    </sheetView>
  </sheetViews>
  <sheetFormatPr defaultColWidth="9.33203125" defaultRowHeight="14.4"/>
  <cols>
    <col min="1" max="1" width="37" style="123" customWidth="1"/>
    <col min="2" max="2" width="9.33203125" style="123" bestFit="1" customWidth="1"/>
    <col min="3" max="3" width="11" style="123" customWidth="1"/>
    <col min="4" max="4" width="12.6640625" style="123" customWidth="1"/>
    <col min="5" max="5" width="13.6640625" style="123" customWidth="1"/>
    <col min="6" max="7" width="10.44140625" style="123" bestFit="1" customWidth="1"/>
    <col min="8" max="8" width="10.6640625" style="123" customWidth="1"/>
    <col min="9" max="10" width="10.44140625" style="123" bestFit="1" customWidth="1"/>
    <col min="11" max="11" width="13.33203125" style="123" customWidth="1"/>
    <col min="12" max="13" width="10.44140625" style="123" bestFit="1" customWidth="1"/>
    <col min="14" max="14" width="13" style="123" customWidth="1"/>
    <col min="15" max="16" width="10.44140625" style="123" bestFit="1" customWidth="1"/>
    <col min="17" max="17" width="12.33203125" style="123" bestFit="1" customWidth="1"/>
    <col min="18" max="18" width="6.6640625" style="123" hidden="1" customWidth="1"/>
    <col min="19" max="19" width="6.5546875" style="123" hidden="1" customWidth="1"/>
    <col min="20" max="20" width="4.6640625" style="123" hidden="1" customWidth="1"/>
    <col min="21" max="16384" width="9.33203125" style="123"/>
  </cols>
  <sheetData>
    <row r="1" spans="1:2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46235</v>
      </c>
      <c r="R1" s="45"/>
      <c r="S1" s="45"/>
      <c r="T1" s="7"/>
      <c r="U1" s="7"/>
    </row>
    <row r="2" spans="1:21">
      <c r="A2" s="476" t="str">
        <f>Summary!$A2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191"/>
      <c r="S2" s="191"/>
      <c r="T2" s="7"/>
      <c r="U2" s="7"/>
    </row>
    <row r="3" spans="1:21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191"/>
      <c r="S3" s="191"/>
      <c r="T3" s="7"/>
      <c r="U3" s="7"/>
    </row>
    <row r="4" spans="1:21">
      <c r="A4" s="476" t="str">
        <f>Summary!$A4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191"/>
      <c r="S4" s="191"/>
      <c r="T4" s="7"/>
      <c r="U4" s="7"/>
    </row>
    <row r="5" spans="1:21">
      <c r="A5" s="476" t="str">
        <f>Summary!$A5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191"/>
      <c r="S5" s="191"/>
      <c r="T5" s="7"/>
      <c r="U5" s="7"/>
    </row>
    <row r="6" spans="1:21">
      <c r="A6" s="476" t="str">
        <f>Summary!$A6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191"/>
      <c r="S6" s="191"/>
      <c r="T6" s="7"/>
      <c r="U6" s="7"/>
    </row>
    <row r="7" spans="1:21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47"/>
      <c r="B8" s="47"/>
      <c r="C8" s="308"/>
      <c r="D8" s="201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7"/>
    </row>
    <row r="9" spans="1:21" ht="43.2">
      <c r="A9" s="49" t="s">
        <v>242</v>
      </c>
      <c r="B9" s="49" t="s">
        <v>243</v>
      </c>
      <c r="C9" s="287" t="s">
        <v>90</v>
      </c>
      <c r="D9" s="287" t="s">
        <v>260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49">
        <v>2015</v>
      </c>
      <c r="S9" s="204" t="s">
        <v>261</v>
      </c>
      <c r="T9" s="204">
        <v>2014</v>
      </c>
      <c r="U9" s="7" t="s">
        <v>262</v>
      </c>
    </row>
    <row r="10" spans="1:21">
      <c r="A10" s="50"/>
      <c r="B10" s="51" t="s">
        <v>245</v>
      </c>
      <c r="C10" s="309" t="s">
        <v>246</v>
      </c>
      <c r="D10" s="51" t="s">
        <v>263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7"/>
    </row>
    <row r="12" spans="1:21">
      <c r="A12" s="232" t="s">
        <v>264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7"/>
      <c r="U13" s="7"/>
    </row>
    <row r="14" spans="1:21">
      <c r="A14" s="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312"/>
      <c r="S14" s="73"/>
      <c r="T14" s="122"/>
      <c r="U14" s="122"/>
    </row>
    <row r="15" spans="1:21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C15/$C$25</f>
        <v>0.45366362033028701</v>
      </c>
      <c r="E15" s="311">
        <f>IF(Rent!E15=0,0,('Tenant Charges'!$F11))</f>
        <v>611.19377585377606</v>
      </c>
      <c r="F15" s="311">
        <f>IF(Rent!F15=0,0,('Tenant Charges'!$F11))</f>
        <v>611.19377585377606</v>
      </c>
      <c r="G15" s="311">
        <f>IF(Rent!G15=0,0,('Tenant Charges'!$F11))</f>
        <v>611.19377585377606</v>
      </c>
      <c r="H15" s="311">
        <f>IF(Rent!H15=0,0,('Tenant Charges'!$F11))</f>
        <v>611.19377585377606</v>
      </c>
      <c r="I15" s="311">
        <f>IF(Rent!I15=0,0,('Tenant Charges'!$F11))</f>
        <v>611.19377585377606</v>
      </c>
      <c r="J15" s="311">
        <f>IF(Rent!J15=0,0,('Tenant Charges'!$F11))</f>
        <v>611.19377585377606</v>
      </c>
      <c r="K15" s="311">
        <f>IF(Rent!K15=0,0,('Tenant Charges'!$F11))</f>
        <v>611.19377585377606</v>
      </c>
      <c r="L15" s="311">
        <f>IF(Rent!L15=0,0,('Tenant Charges'!$F11))</f>
        <v>611.19377585377606</v>
      </c>
      <c r="M15" s="311">
        <f>IF(Rent!M15=0,0,('Tenant Charges'!$F11))</f>
        <v>611.19377585377606</v>
      </c>
      <c r="N15" s="311">
        <f>IF(Rent!N15=0,0,('Tenant Charges'!$F11))</f>
        <v>611.19377585377606</v>
      </c>
      <c r="O15" s="311">
        <f>IF(Rent!O15=0,0,('Tenant Charges'!$F11))</f>
        <v>611.19377585377606</v>
      </c>
      <c r="P15" s="311">
        <f>IF(Rent!P15=0,0,('Tenant Charges'!$F11))</f>
        <v>611.19377585377606</v>
      </c>
      <c r="Q15" s="73">
        <f>SUM(E15:P15)</f>
        <v>7334.3253102453127</v>
      </c>
      <c r="R15" s="122">
        <f t="shared" ref="R15:R16" si="0">Q15/C15</f>
        <v>1.2960461760461766</v>
      </c>
      <c r="S15" s="73">
        <f>262.76*12</f>
        <v>3153.12</v>
      </c>
      <c r="T15" s="122">
        <f t="shared" ref="T15:T16" si="1">S15/C15</f>
        <v>0.5571867821169818</v>
      </c>
      <c r="U15" s="122">
        <f t="shared" ref="U15:U16" si="2">Q15/C15</f>
        <v>1.2960461760461766</v>
      </c>
    </row>
    <row r="16" spans="1:21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 t="shared" ref="D16:D18" si="3">C16/$C$25</f>
        <v>0.15768799102132436</v>
      </c>
      <c r="E16" s="311">
        <f>IF(Rent!E16=0,0,('Tenant Charges'!$F12))</f>
        <v>256.61670594837267</v>
      </c>
      <c r="F16" s="311">
        <f>IF(Rent!F16=0,0,('Tenant Charges'!$F12))</f>
        <v>256.61670594837267</v>
      </c>
      <c r="G16" s="311">
        <f>IF(Rent!G16=0,0,('Tenant Charges'!$F12))</f>
        <v>256.61670594837267</v>
      </c>
      <c r="H16" s="311">
        <f>IF(Rent!H16=0,0,('Tenant Charges'!$F12))</f>
        <v>256.61670594837267</v>
      </c>
      <c r="I16" s="311">
        <f>IF(Rent!I16=0,0,('Tenant Charges'!$F12))</f>
        <v>256.61670594837267</v>
      </c>
      <c r="J16" s="311">
        <f>IF(Rent!J16=0,0,('Tenant Charges'!$F12))</f>
        <v>256.61670594837267</v>
      </c>
      <c r="K16" s="311">
        <f>IF(Rent!K16=0,0,('Tenant Charges'!$F12))</f>
        <v>256.61670594837267</v>
      </c>
      <c r="L16" s="311">
        <f>IF(Rent!L16=0,0,('Tenant Charges'!$F12))</f>
        <v>256.61670594837267</v>
      </c>
      <c r="M16" s="311">
        <f>IF(Rent!M16=0,0,('Tenant Charges'!$F12))</f>
        <v>256.61670594837267</v>
      </c>
      <c r="N16" s="311">
        <f>IF(Rent!N16=0,0,('Tenant Charges'!$F12))</f>
        <v>256.61670594837267</v>
      </c>
      <c r="O16" s="311">
        <f>IF(Rent!O16=0,0,('Tenant Charges'!$F12))</f>
        <v>256.61670594837267</v>
      </c>
      <c r="P16" s="311">
        <f>IF(Rent!P16=0,0,('Tenant Charges'!$F12))</f>
        <v>256.61670594837267</v>
      </c>
      <c r="Q16" s="73">
        <f t="shared" ref="Q16" si="4">SUM(E16:P16)</f>
        <v>3079.4004713804729</v>
      </c>
      <c r="R16" s="122">
        <f t="shared" si="0"/>
        <v>1.5655315055315062</v>
      </c>
      <c r="S16" s="73">
        <v>0</v>
      </c>
      <c r="T16" s="122">
        <f t="shared" si="1"/>
        <v>0</v>
      </c>
      <c r="U16" s="122">
        <f t="shared" si="2"/>
        <v>1.5655315055315062</v>
      </c>
    </row>
    <row r="17" spans="1:21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si="3"/>
        <v>4.9543049543049542E-2</v>
      </c>
      <c r="E17" s="311">
        <f>IF(Rent!E17=0,0,('Tenant Charges'!$F13))</f>
        <v>0</v>
      </c>
      <c r="F17" s="311">
        <f>IF(Rent!F17=0,0,('Tenant Charges'!$F13))</f>
        <v>0</v>
      </c>
      <c r="G17" s="311">
        <f>IF(Rent!G17=0,0,('Tenant Charges'!$F13))</f>
        <v>0</v>
      </c>
      <c r="H17" s="311">
        <f>IF(Rent!H17=0,0,('Tenant Charges'!$F13))</f>
        <v>0</v>
      </c>
      <c r="I17" s="311">
        <f>IF(Rent!I17=0,0,('Tenant Charges'!$F13))</f>
        <v>269.86052960259616</v>
      </c>
      <c r="J17" s="311">
        <f>IF(Rent!J17=0,0,('Tenant Charges'!$F13))</f>
        <v>269.86052960259616</v>
      </c>
      <c r="K17" s="311">
        <f>IF(Rent!K17=0,0,('Tenant Charges'!$F13))</f>
        <v>269.86052960259616</v>
      </c>
      <c r="L17" s="311">
        <f>IF(Rent!L17=0,0,('Tenant Charges'!$F13))</f>
        <v>269.86052960259616</v>
      </c>
      <c r="M17" s="311">
        <f>IF(Rent!M17=0,0,('Tenant Charges'!$F13))</f>
        <v>269.86052960259616</v>
      </c>
      <c r="N17" s="311">
        <f>IF(Rent!N17=0,0,('Tenant Charges'!$F13))</f>
        <v>269.86052960259616</v>
      </c>
      <c r="O17" s="311">
        <f>IF(Rent!O17=0,0,('Tenant Charges'!$F13))</f>
        <v>269.86052960259616</v>
      </c>
      <c r="P17" s="311">
        <f>IF(Rent!P17=0,0,('Tenant Charges'!$F13))</f>
        <v>269.86052960259616</v>
      </c>
      <c r="Q17" s="73">
        <f t="shared" ref="Q17:Q18" si="5">SUM(E17:P17)</f>
        <v>2158.8842368207693</v>
      </c>
      <c r="R17" s="122">
        <f t="shared" ref="R17:R18" si="6">Q17/C17</f>
        <v>3.4933401890303708</v>
      </c>
      <c r="S17" s="73">
        <v>1</v>
      </c>
      <c r="T17" s="122">
        <f t="shared" ref="T17:T18" si="7">S17/C17</f>
        <v>1.6181229773462784E-3</v>
      </c>
      <c r="U17" s="122">
        <f t="shared" ref="U17:U18" si="8">Q17/C17</f>
        <v>3.4933401890303708</v>
      </c>
    </row>
    <row r="18" spans="1:21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3"/>
        <v>0.33910533910533913</v>
      </c>
      <c r="E18" s="311">
        <f>IF(Rent!E18=0,0,('Tenant Charges'!$F14))</f>
        <v>0</v>
      </c>
      <c r="F18" s="311">
        <f>IF(Rent!F18=0,0,('Tenant Charges'!$F14))</f>
        <v>0</v>
      </c>
      <c r="G18" s="311">
        <f>IF(Rent!G18=0,0,('Tenant Charges'!$F14))</f>
        <v>0</v>
      </c>
      <c r="H18" s="311">
        <f>IF(Rent!H18=0,0,('Tenant Charges'!$F14))</f>
        <v>0</v>
      </c>
      <c r="I18" s="311">
        <f>IF(Rent!I18=0,0,('Tenant Charges'!$F14))</f>
        <v>1847.103624949809</v>
      </c>
      <c r="J18" s="311">
        <f>IF(Rent!J18=0,0,('Tenant Charges'!$F14))</f>
        <v>1847.103624949809</v>
      </c>
      <c r="K18" s="311">
        <f>IF(Rent!K18=0,0,('Tenant Charges'!$F14))</f>
        <v>1847.103624949809</v>
      </c>
      <c r="L18" s="311">
        <f>IF(Rent!L18=0,0,('Tenant Charges'!$F14))</f>
        <v>1847.103624949809</v>
      </c>
      <c r="M18" s="311">
        <f>IF(Rent!M18=0,0,('Tenant Charges'!$F14))</f>
        <v>1847.103624949809</v>
      </c>
      <c r="N18" s="311">
        <f>IF(Rent!N18=0,0,('Tenant Charges'!$F14))</f>
        <v>1847.103624949809</v>
      </c>
      <c r="O18" s="311">
        <f>IF(Rent!O18=0,0,('Tenant Charges'!$F14))</f>
        <v>1847.103624949809</v>
      </c>
      <c r="P18" s="311">
        <f>IF(Rent!P18=0,0,('Tenant Charges'!$F14))</f>
        <v>1847.103624949809</v>
      </c>
      <c r="Q18" s="73">
        <f t="shared" si="5"/>
        <v>14776.828999598471</v>
      </c>
      <c r="R18" s="122">
        <f t="shared" si="6"/>
        <v>3.4933401890303712</v>
      </c>
      <c r="S18" s="73">
        <v>2</v>
      </c>
      <c r="T18" s="122">
        <f t="shared" si="7"/>
        <v>4.7281323877068556E-4</v>
      </c>
      <c r="U18" s="122">
        <f t="shared" si="8"/>
        <v>3.4933401890303712</v>
      </c>
    </row>
    <row r="19" spans="1:21" ht="12.75" customHeight="1">
      <c r="A19" s="7"/>
      <c r="B19" s="64"/>
      <c r="C19" s="65"/>
      <c r="D19" s="310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73"/>
      <c r="R19" s="73"/>
      <c r="S19" s="73"/>
      <c r="T19" s="122"/>
      <c r="U19" s="7"/>
    </row>
    <row r="20" spans="1:21" ht="12.75" customHeight="1">
      <c r="A20" s="7"/>
      <c r="B20" s="64"/>
      <c r="C20" s="65"/>
      <c r="D20" s="310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73"/>
      <c r="R20" s="73"/>
      <c r="S20" s="73"/>
      <c r="T20" s="122"/>
      <c r="U20" s="7"/>
    </row>
    <row r="21" spans="1:21" ht="12.75" customHeight="1">
      <c r="A21" s="7"/>
      <c r="B21" s="64"/>
      <c r="C21" s="65"/>
      <c r="D21" s="310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73"/>
      <c r="R21" s="73"/>
      <c r="S21" s="73"/>
      <c r="T21" s="122"/>
      <c r="U21" s="7"/>
    </row>
    <row r="22" spans="1:21" ht="12.75" customHeight="1">
      <c r="A22" s="7"/>
      <c r="B22" s="64"/>
      <c r="C22" s="65"/>
      <c r="D22" s="310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73"/>
      <c r="R22" s="73"/>
      <c r="S22" s="73"/>
      <c r="T22" s="122"/>
      <c r="U22" s="7"/>
    </row>
    <row r="23" spans="1:21">
      <c r="A23" s="7" t="s">
        <v>23</v>
      </c>
      <c r="B23" s="7"/>
      <c r="C23" s="65" t="s">
        <v>23</v>
      </c>
      <c r="D23" s="310" t="s">
        <v>23</v>
      </c>
      <c r="E23" s="73" t="s">
        <v>23</v>
      </c>
      <c r="F23" s="73" t="s">
        <v>23</v>
      </c>
      <c r="G23" s="73" t="s">
        <v>23</v>
      </c>
      <c r="H23" s="73" t="s">
        <v>23</v>
      </c>
      <c r="I23" s="73" t="s">
        <v>23</v>
      </c>
      <c r="J23" s="73" t="s">
        <v>23</v>
      </c>
      <c r="K23" s="73" t="s">
        <v>23</v>
      </c>
      <c r="L23" s="73" t="s">
        <v>23</v>
      </c>
      <c r="M23" s="73" t="s">
        <v>23</v>
      </c>
      <c r="N23" s="73" t="s">
        <v>23</v>
      </c>
      <c r="O23" s="73" t="s">
        <v>23</v>
      </c>
      <c r="P23" s="73" t="s">
        <v>23</v>
      </c>
      <c r="Q23" s="73" t="s">
        <v>23</v>
      </c>
      <c r="R23" s="73"/>
      <c r="S23" s="73"/>
      <c r="T23" s="7"/>
      <c r="U23" s="7"/>
    </row>
    <row r="24" spans="1:21">
      <c r="A24" s="308"/>
      <c r="B24" s="313"/>
      <c r="C24" s="314"/>
      <c r="D24" s="314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6"/>
      <c r="R24" s="275"/>
      <c r="S24" s="275"/>
      <c r="T24" s="7"/>
      <c r="U24" s="7"/>
    </row>
    <row r="25" spans="1:21">
      <c r="A25" s="287" t="s">
        <v>93</v>
      </c>
      <c r="B25" s="317"/>
      <c r="C25" s="289">
        <f>SUM(C14:C23)</f>
        <v>12474</v>
      </c>
      <c r="D25" s="318">
        <f t="shared" ref="D25:Q25" si="9">SUM(D14:D23)</f>
        <v>1</v>
      </c>
      <c r="E25" s="289">
        <f>SUM(E14:E23)</f>
        <v>867.81048180214873</v>
      </c>
      <c r="F25" s="289">
        <f t="shared" si="9"/>
        <v>867.81048180214873</v>
      </c>
      <c r="G25" s="289">
        <f t="shared" si="9"/>
        <v>867.81048180214873</v>
      </c>
      <c r="H25" s="289">
        <f t="shared" si="9"/>
        <v>867.81048180214873</v>
      </c>
      <c r="I25" s="289">
        <f t="shared" si="9"/>
        <v>2984.7746363545539</v>
      </c>
      <c r="J25" s="289">
        <f t="shared" si="9"/>
        <v>2984.7746363545539</v>
      </c>
      <c r="K25" s="289">
        <f t="shared" si="9"/>
        <v>2984.7746363545539</v>
      </c>
      <c r="L25" s="289">
        <f t="shared" si="9"/>
        <v>2984.7746363545539</v>
      </c>
      <c r="M25" s="289">
        <f t="shared" si="9"/>
        <v>2984.7746363545539</v>
      </c>
      <c r="N25" s="289">
        <f t="shared" si="9"/>
        <v>2984.7746363545539</v>
      </c>
      <c r="O25" s="289">
        <f t="shared" si="9"/>
        <v>2984.7746363545539</v>
      </c>
      <c r="P25" s="289">
        <f t="shared" si="9"/>
        <v>2984.7746363545539</v>
      </c>
      <c r="Q25" s="289">
        <f t="shared" si="9"/>
        <v>27349.439018045028</v>
      </c>
      <c r="R25" s="275"/>
      <c r="S25" s="275"/>
      <c r="T25" s="7"/>
      <c r="U25" s="7"/>
    </row>
    <row r="26" spans="1:21">
      <c r="A26" s="319"/>
      <c r="B26" s="320"/>
      <c r="C26" s="321"/>
      <c r="D26" s="321"/>
      <c r="E26" s="321"/>
      <c r="F26" s="321"/>
      <c r="G26" s="321"/>
      <c r="H26" s="321"/>
      <c r="I26" s="321"/>
      <c r="J26" s="321"/>
      <c r="K26" s="321"/>
      <c r="L26" s="321"/>
      <c r="M26" s="321"/>
      <c r="N26" s="321"/>
      <c r="O26" s="321"/>
      <c r="P26" s="321"/>
      <c r="Q26" s="322"/>
      <c r="R26" s="274"/>
      <c r="S26" s="274"/>
      <c r="T26" s="7"/>
      <c r="U26" s="7"/>
    </row>
    <row r="27" spans="1:21">
      <c r="A27" s="7"/>
      <c r="B27" s="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323" t="s">
        <v>265</v>
      </c>
      <c r="P27" s="313"/>
      <c r="Q27" s="324">
        <f>Summary!O59</f>
        <v>67042</v>
      </c>
      <c r="R27" s="325"/>
      <c r="S27" s="325"/>
      <c r="T27" s="7"/>
      <c r="U27" s="7"/>
    </row>
    <row r="28" spans="1:21">
      <c r="A28" s="7" t="s">
        <v>266</v>
      </c>
      <c r="B28" s="7"/>
      <c r="C28" s="65">
        <f>C15+C16</f>
        <v>7626</v>
      </c>
      <c r="D28" s="44"/>
      <c r="E28" s="44"/>
      <c r="F28" s="44"/>
      <c r="G28" s="44"/>
      <c r="H28" s="44"/>
      <c r="I28" s="44"/>
      <c r="J28" s="44"/>
      <c r="K28" s="325"/>
      <c r="L28" s="44"/>
      <c r="M28" s="44"/>
      <c r="N28" s="44"/>
      <c r="O28" s="326" t="s">
        <v>267</v>
      </c>
      <c r="P28" s="320"/>
      <c r="Q28" s="327">
        <f>Q25/Q27</f>
        <v>0.40794485573289918</v>
      </c>
      <c r="R28" s="328"/>
      <c r="S28" s="328"/>
      <c r="T28" s="7"/>
      <c r="U28" s="7"/>
    </row>
    <row r="29" spans="1:21">
      <c r="A29" s="7"/>
      <c r="B29" s="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329"/>
      <c r="R29" s="329"/>
      <c r="S29" s="329"/>
      <c r="T29" s="7"/>
      <c r="U29" s="7"/>
    </row>
    <row r="30" spans="1:2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65"/>
      <c r="Q30" s="65"/>
      <c r="R30" s="65"/>
      <c r="S30" s="65"/>
      <c r="T30" s="7"/>
      <c r="U30" s="7"/>
    </row>
    <row r="31" spans="1:21">
      <c r="A31" s="7"/>
      <c r="B31" s="7"/>
      <c r="C31" s="7"/>
      <c r="D31" s="295" t="s">
        <v>255</v>
      </c>
      <c r="E31" s="330">
        <f>E25-Summary!C14</f>
        <v>0</v>
      </c>
      <c r="F31" s="330">
        <f>F25-Summary!D14</f>
        <v>0</v>
      </c>
      <c r="G31" s="330">
        <f>G25-Summary!E14</f>
        <v>0</v>
      </c>
      <c r="H31" s="330">
        <f>H25-Summary!F14</f>
        <v>0</v>
      </c>
      <c r="I31" s="330">
        <f>I25-Summary!G14</f>
        <v>0</v>
      </c>
      <c r="J31" s="330">
        <f>J25-Summary!H14</f>
        <v>0</v>
      </c>
      <c r="K31" s="330">
        <f>K25-Summary!I14</f>
        <v>0</v>
      </c>
      <c r="L31" s="330">
        <f>L25-Summary!J14</f>
        <v>0</v>
      </c>
      <c r="M31" s="330">
        <f>M25-Summary!K14</f>
        <v>0</v>
      </c>
      <c r="N31" s="330">
        <f>N25-Summary!L14</f>
        <v>0</v>
      </c>
      <c r="O31" s="330">
        <f>O25-Summary!M14</f>
        <v>0</v>
      </c>
      <c r="P31" s="330">
        <f>P25-Summary!N14</f>
        <v>0</v>
      </c>
      <c r="Q31" s="331">
        <f>Q25-Summary!O14</f>
        <v>0</v>
      </c>
      <c r="R31" s="65"/>
      <c r="S31" s="65"/>
      <c r="T31" s="7"/>
      <c r="U31" s="7"/>
    </row>
    <row r="32" spans="1:21">
      <c r="A32" s="7"/>
      <c r="B32" s="7"/>
      <c r="C32" s="7"/>
      <c r="D32" s="7"/>
      <c r="E32" s="221"/>
      <c r="F32" s="7"/>
      <c r="G32" s="7"/>
      <c r="H32" s="7"/>
      <c r="I32" s="7"/>
      <c r="J32" s="7"/>
      <c r="K32" s="7"/>
      <c r="L32" s="7"/>
      <c r="M32" s="7"/>
      <c r="N32" s="7"/>
      <c r="O32" s="7"/>
      <c r="P32" s="65"/>
      <c r="Q32" s="65"/>
      <c r="R32" s="65"/>
      <c r="S32" s="65"/>
      <c r="T32" s="7"/>
      <c r="U32" s="7"/>
    </row>
  </sheetData>
  <customSheetViews>
    <customSheetView guid="{7691FA39-7EA9-407C-9567-49BEFD6339F8}" scale="75" showPageBreaks="1" printArea="1" showRuler="0" topLeftCell="A58">
      <selection activeCell="G102" sqref="G102"/>
      <rowBreaks count="1" manualBreakCount="1">
        <brk id="61" max="16" man="1"/>
      </rowBreaks>
      <pageMargins left="0" right="0" top="0" bottom="0" header="0" footer="0"/>
      <printOptions horizontalCentered="1"/>
      <pageSetup scale="65" firstPageNumber="11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3" type="noConversion"/>
  <printOptions horizontalCentered="1"/>
  <pageMargins left="0.18" right="0.16" top="0.5" bottom="0.75" header="0.5" footer="0.5"/>
  <pageSetup paperSize="5" scale="82" firstPageNumber="5" orientation="landscape" useFirstPageNumber="1" r:id="rId2"/>
  <headerFooter alignWithMargins="0">
    <oddFooter>&amp;C&amp;8Page &amp;P</oddFooter>
  </headerFooter>
  <rowBreaks count="1" manualBreakCount="1">
    <brk id="30" max="18" man="1"/>
  </rowBrea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33"/>
  <sheetViews>
    <sheetView zoomScaleNormal="100" zoomScaleSheetLayoutView="130" workbookViewId="0">
      <selection activeCell="H16" sqref="H16"/>
    </sheetView>
  </sheetViews>
  <sheetFormatPr defaultColWidth="9.33203125" defaultRowHeight="14.4"/>
  <cols>
    <col min="1" max="1" width="28" style="123" customWidth="1"/>
    <col min="2" max="2" width="9.33203125" style="123"/>
    <col min="3" max="3" width="11" style="123" customWidth="1"/>
    <col min="4" max="4" width="12" style="123" customWidth="1"/>
    <col min="5" max="10" width="9.33203125" style="123" bestFit="1" customWidth="1"/>
    <col min="11" max="11" width="9.6640625" style="123" bestFit="1" customWidth="1"/>
    <col min="12" max="16" width="9.33203125" style="123" bestFit="1" customWidth="1"/>
    <col min="17" max="17" width="12.33203125" style="123" bestFit="1" customWidth="1"/>
    <col min="18" max="18" width="9.33203125" style="123"/>
    <col min="19" max="19" width="9.33203125" style="127"/>
    <col min="20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46235</v>
      </c>
      <c r="R1" s="7">
        <f>Summary!V4</f>
        <v>0</v>
      </c>
    </row>
    <row r="2" spans="1:18">
      <c r="A2" s="476" t="str">
        <f>Summary!$A2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7"/>
    </row>
    <row r="3" spans="1:18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7"/>
    </row>
    <row r="4" spans="1:18">
      <c r="A4" s="476" t="str">
        <f>Summary!$A4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7"/>
    </row>
    <row r="5" spans="1:18">
      <c r="A5" s="476" t="str">
        <f>Summary!$A5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7"/>
    </row>
    <row r="6" spans="1:18">
      <c r="A6" s="476" t="str">
        <f>Summary!$A6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308"/>
      <c r="D8" s="201" t="s">
        <v>268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287" t="s">
        <v>90</v>
      </c>
      <c r="D9" s="287" t="s">
        <v>260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309" t="s">
        <v>246</v>
      </c>
      <c r="D10" s="51" t="s">
        <v>263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2" spans="1:18">
      <c r="A12" s="232" t="s">
        <v>269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C15/$C$26</f>
        <v>0.45366362033028701</v>
      </c>
      <c r="E15" s="311">
        <f>IF(Rent!E15=0,0,('Tenant Charges'!$G11))</f>
        <v>0</v>
      </c>
      <c r="F15" s="311">
        <f>IF(Rent!F15=0,0,('Tenant Charges'!$G11))</f>
        <v>0</v>
      </c>
      <c r="G15" s="311">
        <f>IF(Rent!G15=0,0,('Tenant Charges'!$G11))</f>
        <v>0</v>
      </c>
      <c r="H15" s="311">
        <f>IF(Rent!H15=0,0,('Tenant Charges'!$G11))</f>
        <v>0</v>
      </c>
      <c r="I15" s="311">
        <f>IF(Rent!I15=0,0,('Tenant Charges'!$G11))</f>
        <v>0</v>
      </c>
      <c r="J15" s="311">
        <f>IF(Rent!J15=0,0,('Tenant Charges'!$G11))</f>
        <v>0</v>
      </c>
      <c r="K15" s="311">
        <f>IF(Rent!K15=0,0,('Tenant Charges'!$G11))</f>
        <v>0</v>
      </c>
      <c r="L15" s="311">
        <f>IF(Rent!L15=0,0,('Tenant Charges'!$G11))</f>
        <v>0</v>
      </c>
      <c r="M15" s="311">
        <f>IF(Rent!M15=0,0,('Tenant Charges'!$G11))</f>
        <v>0</v>
      </c>
      <c r="N15" s="311">
        <f>IF(Rent!N15=0,0,('Tenant Charges'!$G11))</f>
        <v>0</v>
      </c>
      <c r="O15" s="311">
        <f>IF(Rent!O15=0,0,('Tenant Charges'!$G11))</f>
        <v>0</v>
      </c>
      <c r="P15" s="311">
        <f>IF(Rent!P15=0,0,('Tenant Charges'!$G11))</f>
        <v>0</v>
      </c>
      <c r="Q15" s="73">
        <f>SUM(E15:P15)</f>
        <v>0</v>
      </c>
      <c r="R15" s="122">
        <f t="shared" ref="R15" si="0">Q15/C15</f>
        <v>0</v>
      </c>
    </row>
    <row r="16" spans="1:18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>C16/$C$26</f>
        <v>0.15768799102132436</v>
      </c>
      <c r="E16" s="311">
        <f>IF(Rent!E16=0,0,('Tenant Charges'!$G12))</f>
        <v>0</v>
      </c>
      <c r="F16" s="311">
        <f>IF(Rent!F16=0,0,('Tenant Charges'!$G12))</f>
        <v>0</v>
      </c>
      <c r="G16" s="311">
        <f>IF(Rent!G16=0,0,('Tenant Charges'!$G12))</f>
        <v>0</v>
      </c>
      <c r="H16" s="311">
        <f>IF(Rent!H16=0,0,('Tenant Charges'!$G12))</f>
        <v>0</v>
      </c>
      <c r="I16" s="311">
        <f>IF(Rent!I16=0,0,('Tenant Charges'!$G12))</f>
        <v>0</v>
      </c>
      <c r="J16" s="311">
        <f>IF(Rent!J16=0,0,('Tenant Charges'!$G12))</f>
        <v>0</v>
      </c>
      <c r="K16" s="311">
        <f>IF(Rent!K16=0,0,('Tenant Charges'!$G12))</f>
        <v>0</v>
      </c>
      <c r="L16" s="311">
        <f>IF(Rent!L16=0,0,('Tenant Charges'!$G12))</f>
        <v>0</v>
      </c>
      <c r="M16" s="311">
        <f>IF(Rent!M16=0,0,('Tenant Charges'!$G12))</f>
        <v>0</v>
      </c>
      <c r="N16" s="311">
        <f>IF(Rent!N16=0,0,('Tenant Charges'!$G12))</f>
        <v>0</v>
      </c>
      <c r="O16" s="311">
        <f>IF(Rent!O16=0,0,('Tenant Charges'!$G12))</f>
        <v>0</v>
      </c>
      <c r="P16" s="311">
        <f>IF(Rent!P16=0,0,('Tenant Charges'!$G12))</f>
        <v>0</v>
      </c>
      <c r="Q16" s="73">
        <f t="shared" ref="Q16:Q18" si="1">SUM(E16:P16)</f>
        <v>0</v>
      </c>
      <c r="R16" s="122">
        <f t="shared" ref="R16:R18" si="2">Q16/C16</f>
        <v>0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ref="D17:D18" si="3">C17/$C$26</f>
        <v>4.9543049543049542E-2</v>
      </c>
      <c r="E17" s="311">
        <f>IF(Rent!E17=0,0,('Tenant Charges'!$G13))</f>
        <v>0</v>
      </c>
      <c r="F17" s="311">
        <f>IF(Rent!F17=0,0,('Tenant Charges'!$G13))</f>
        <v>0</v>
      </c>
      <c r="G17" s="311">
        <f>IF(Rent!G17=0,0,('Tenant Charges'!$G13))</f>
        <v>0</v>
      </c>
      <c r="H17" s="311">
        <f>IF(Rent!H17=0,0,('Tenant Charges'!$G13))</f>
        <v>0</v>
      </c>
      <c r="I17" s="311">
        <f>IF(Rent!I17=0,0,('Tenant Charges'!$G13))</f>
        <v>254.46363343701398</v>
      </c>
      <c r="J17" s="311">
        <f>IF(Rent!J17=0,0,('Tenant Charges'!$G13))</f>
        <v>254.46363343701398</v>
      </c>
      <c r="K17" s="311">
        <f>IF(Rent!K17=0,0,('Tenant Charges'!$G13))</f>
        <v>254.46363343701398</v>
      </c>
      <c r="L17" s="311">
        <f>IF(Rent!L17=0,0,('Tenant Charges'!$G13))</f>
        <v>254.46363343701398</v>
      </c>
      <c r="M17" s="311">
        <f>IF(Rent!M17=0,0,('Tenant Charges'!$G13))</f>
        <v>254.46363343701398</v>
      </c>
      <c r="N17" s="311">
        <f>IF(Rent!N17=0,0,('Tenant Charges'!$G13))</f>
        <v>254.46363343701398</v>
      </c>
      <c r="O17" s="311">
        <f>IF(Rent!O17=0,0,('Tenant Charges'!$G13))</f>
        <v>254.46363343701398</v>
      </c>
      <c r="P17" s="311">
        <f>IF(Rent!P17=0,0,('Tenant Charges'!$G13))</f>
        <v>254.46363343701398</v>
      </c>
      <c r="Q17" s="73">
        <f t="shared" si="1"/>
        <v>2035.7090674961114</v>
      </c>
      <c r="R17" s="122">
        <f t="shared" si="2"/>
        <v>3.2940276173076235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3"/>
        <v>0.33910533910533913</v>
      </c>
      <c r="E18" s="311">
        <f>IF(Rent!E18=0,0,('Tenant Charges'!$G14))</f>
        <v>0</v>
      </c>
      <c r="F18" s="311">
        <f>IF(Rent!F18=0,0,('Tenant Charges'!$G14))</f>
        <v>0</v>
      </c>
      <c r="G18" s="311">
        <f>IF(Rent!G18=0,0,('Tenant Charges'!$G14))</f>
        <v>0</v>
      </c>
      <c r="H18" s="311">
        <f>IF(Rent!H18=0,0,('Tenant Charges'!$G14))</f>
        <v>0</v>
      </c>
      <c r="I18" s="311">
        <f>IF(Rent!I18=0,0,('Tenant Charges'!$G14))</f>
        <v>1741.7171026514063</v>
      </c>
      <c r="J18" s="311">
        <f>IF(Rent!J18=0,0,('Tenant Charges'!$G14))</f>
        <v>1741.7171026514063</v>
      </c>
      <c r="K18" s="311">
        <f>IF(Rent!K18=0,0,('Tenant Charges'!$G14))</f>
        <v>1741.7171026514063</v>
      </c>
      <c r="L18" s="311">
        <f>IF(Rent!L18=0,0,('Tenant Charges'!$G14))</f>
        <v>1741.7171026514063</v>
      </c>
      <c r="M18" s="311">
        <f>IF(Rent!M18=0,0,('Tenant Charges'!$G14))</f>
        <v>1741.7171026514063</v>
      </c>
      <c r="N18" s="311">
        <f>IF(Rent!N18=0,0,('Tenant Charges'!$G14))</f>
        <v>1741.7171026514063</v>
      </c>
      <c r="O18" s="311">
        <f>IF(Rent!O18=0,0,('Tenant Charges'!$G14))</f>
        <v>1741.7171026514063</v>
      </c>
      <c r="P18" s="311">
        <f>IF(Rent!P18=0,0,('Tenant Charges'!$G14))</f>
        <v>1741.7171026514063</v>
      </c>
      <c r="Q18" s="73">
        <f t="shared" si="1"/>
        <v>13933.736821211251</v>
      </c>
      <c r="R18" s="122">
        <f t="shared" si="2"/>
        <v>3.2940276173076244</v>
      </c>
    </row>
    <row r="19" spans="1:18">
      <c r="A19" s="7"/>
      <c r="B19" s="7"/>
      <c r="C19" s="325"/>
      <c r="D19" s="310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"/>
    </row>
    <row r="20" spans="1:18">
      <c r="A20" s="7"/>
      <c r="B20" s="7"/>
      <c r="C20" s="325"/>
      <c r="D20" s="310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"/>
    </row>
    <row r="21" spans="1:18">
      <c r="A21" s="7"/>
      <c r="B21" s="7"/>
      <c r="C21" s="325"/>
      <c r="D21" s="310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7"/>
      <c r="B22" s="7"/>
      <c r="C22" s="325"/>
      <c r="D22" s="310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"/>
    </row>
    <row r="23" spans="1:18">
      <c r="A23" s="7"/>
      <c r="B23" s="7"/>
      <c r="C23" s="325"/>
      <c r="D23" s="310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"/>
    </row>
    <row r="24" spans="1:18">
      <c r="A24" s="7" t="s">
        <v>23</v>
      </c>
      <c r="B24" s="7"/>
      <c r="C24" s="65" t="s">
        <v>23</v>
      </c>
      <c r="D24" s="310" t="s">
        <v>23</v>
      </c>
      <c r="E24" s="73" t="s">
        <v>23</v>
      </c>
      <c r="F24" s="73" t="s">
        <v>23</v>
      </c>
      <c r="G24" s="73" t="s">
        <v>23</v>
      </c>
      <c r="H24" s="73" t="s">
        <v>23</v>
      </c>
      <c r="I24" s="73" t="s">
        <v>23</v>
      </c>
      <c r="J24" s="73" t="s">
        <v>23</v>
      </c>
      <c r="K24" s="73" t="s">
        <v>23</v>
      </c>
      <c r="L24" s="73" t="s">
        <v>23</v>
      </c>
      <c r="M24" s="73" t="s">
        <v>23</v>
      </c>
      <c r="N24" s="73" t="s">
        <v>23</v>
      </c>
      <c r="O24" s="73" t="s">
        <v>23</v>
      </c>
      <c r="P24" s="73" t="s">
        <v>23</v>
      </c>
      <c r="Q24" s="73" t="s">
        <v>23</v>
      </c>
      <c r="R24" s="7"/>
    </row>
    <row r="25" spans="1:18">
      <c r="A25" s="308"/>
      <c r="B25" s="313"/>
      <c r="C25" s="314"/>
      <c r="D25" s="314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6"/>
      <c r="R25" s="7"/>
    </row>
    <row r="26" spans="1:18">
      <c r="A26" s="287" t="s">
        <v>93</v>
      </c>
      <c r="B26" s="317"/>
      <c r="C26" s="289">
        <f>SUM(C14:C25)</f>
        <v>12474</v>
      </c>
      <c r="D26" s="318">
        <f t="shared" ref="D26:Q26" si="4">SUM(D14:D25)</f>
        <v>1</v>
      </c>
      <c r="E26" s="289">
        <f t="shared" si="4"/>
        <v>0</v>
      </c>
      <c r="F26" s="289">
        <f t="shared" si="4"/>
        <v>0</v>
      </c>
      <c r="G26" s="289">
        <f t="shared" si="4"/>
        <v>0</v>
      </c>
      <c r="H26" s="289">
        <f t="shared" si="4"/>
        <v>0</v>
      </c>
      <c r="I26" s="289">
        <f t="shared" si="4"/>
        <v>1996.1807360884204</v>
      </c>
      <c r="J26" s="289">
        <f t="shared" si="4"/>
        <v>1996.1807360884204</v>
      </c>
      <c r="K26" s="289">
        <f t="shared" si="4"/>
        <v>1996.1807360884204</v>
      </c>
      <c r="L26" s="289">
        <f t="shared" si="4"/>
        <v>1996.1807360884204</v>
      </c>
      <c r="M26" s="289">
        <f t="shared" si="4"/>
        <v>1996.1807360884204</v>
      </c>
      <c r="N26" s="289">
        <f t="shared" si="4"/>
        <v>1996.1807360884204</v>
      </c>
      <c r="O26" s="289">
        <f t="shared" si="4"/>
        <v>1996.1807360884204</v>
      </c>
      <c r="P26" s="289">
        <f t="shared" si="4"/>
        <v>1996.1807360884204</v>
      </c>
      <c r="Q26" s="289">
        <f t="shared" si="4"/>
        <v>15969.445888707362</v>
      </c>
      <c r="R26" s="7"/>
    </row>
    <row r="27" spans="1:18">
      <c r="A27" s="319"/>
      <c r="B27" s="320"/>
      <c r="C27" s="321"/>
      <c r="D27" s="321"/>
      <c r="E27" s="321"/>
      <c r="F27" s="321"/>
      <c r="G27" s="321"/>
      <c r="H27" s="321"/>
      <c r="I27" s="321"/>
      <c r="J27" s="321"/>
      <c r="K27" s="321"/>
      <c r="L27" s="321"/>
      <c r="M27" s="321"/>
      <c r="N27" s="321"/>
      <c r="O27" s="321"/>
      <c r="P27" s="321"/>
      <c r="Q27" s="322"/>
      <c r="R27" s="7"/>
    </row>
    <row r="28" spans="1:18">
      <c r="A28" s="7"/>
      <c r="B28" s="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323" t="s">
        <v>270</v>
      </c>
      <c r="P28" s="313"/>
      <c r="Q28" s="324">
        <f>Summary!O72</f>
        <v>38926</v>
      </c>
      <c r="R28" s="7"/>
    </row>
    <row r="29" spans="1:18">
      <c r="A29" s="7"/>
      <c r="B29" s="7"/>
      <c r="C29" s="44"/>
      <c r="D29" s="7"/>
      <c r="E29" s="7"/>
      <c r="F29" s="7"/>
      <c r="G29" s="44"/>
      <c r="H29" s="44"/>
      <c r="I29" s="44"/>
      <c r="J29" s="44"/>
      <c r="K29" s="325"/>
      <c r="L29" s="44"/>
      <c r="M29" s="44"/>
      <c r="N29" s="44"/>
      <c r="O29" s="326" t="s">
        <v>267</v>
      </c>
      <c r="P29" s="320"/>
      <c r="Q29" s="327">
        <f>Q26/Q28</f>
        <v>0.41025139723340087</v>
      </c>
      <c r="R29" s="7"/>
    </row>
    <row r="30" spans="1:18">
      <c r="A30" s="7"/>
      <c r="B30" s="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310"/>
      <c r="R30" s="7"/>
    </row>
    <row r="31" spans="1:18">
      <c r="A31" s="7"/>
      <c r="B31" s="7"/>
      <c r="C31" s="7"/>
      <c r="D31" s="295" t="s">
        <v>255</v>
      </c>
      <c r="E31" s="330">
        <f>E26-Summary!C17</f>
        <v>0</v>
      </c>
      <c r="F31" s="330">
        <f>F26-Summary!D17</f>
        <v>0</v>
      </c>
      <c r="G31" s="330">
        <f>G26-Summary!E17</f>
        <v>0</v>
      </c>
      <c r="H31" s="330">
        <f>H26-Summary!F17</f>
        <v>0</v>
      </c>
      <c r="I31" s="330">
        <f>I26-Summary!G17</f>
        <v>0</v>
      </c>
      <c r="J31" s="330">
        <f>J26-Summary!H17</f>
        <v>0</v>
      </c>
      <c r="K31" s="330">
        <f>K26-Summary!I17</f>
        <v>0</v>
      </c>
      <c r="L31" s="330">
        <f>L26-Summary!J17</f>
        <v>0</v>
      </c>
      <c r="M31" s="330">
        <f>M26-Summary!K17</f>
        <v>0</v>
      </c>
      <c r="N31" s="330">
        <f>N26-Summary!L17</f>
        <v>0</v>
      </c>
      <c r="O31" s="330">
        <f>O26-Summary!M17</f>
        <v>0</v>
      </c>
      <c r="P31" s="330">
        <f>P26-Summary!N17</f>
        <v>0</v>
      </c>
      <c r="Q31" s="331">
        <f>Q26-Summary!O17</f>
        <v>0</v>
      </c>
      <c r="R31" s="7"/>
    </row>
    <row r="32" spans="1:1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65"/>
      <c r="Q32" s="65"/>
      <c r="R32" s="7"/>
    </row>
    <row r="33" spans="16:17">
      <c r="P33" s="65"/>
      <c r="Q33" s="65"/>
    </row>
  </sheetData>
  <mergeCells count="5">
    <mergeCell ref="A6:Q6"/>
    <mergeCell ref="A2:Q2"/>
    <mergeCell ref="A3:Q3"/>
    <mergeCell ref="A4:Q4"/>
    <mergeCell ref="A5:Q5"/>
  </mergeCells>
  <phoneticPr fontId="7" type="noConversion"/>
  <printOptions horizontalCentered="1"/>
  <pageMargins left="0.7" right="0.7" top="0.75" bottom="0.75" header="0.3" footer="0.3"/>
  <pageSetup paperSize="5" scale="8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7"/>
  <sheetViews>
    <sheetView topLeftCell="B1" zoomScaleNormal="100" zoomScaleSheetLayoutView="130" workbookViewId="0">
      <selection activeCell="H16" sqref="H16"/>
    </sheetView>
  </sheetViews>
  <sheetFormatPr defaultColWidth="9.33203125" defaultRowHeight="14.4"/>
  <cols>
    <col min="1" max="1" width="34.6640625" style="123" customWidth="1"/>
    <col min="2" max="2" width="11.33203125" style="123" customWidth="1"/>
    <col min="3" max="3" width="11.5546875" style="123" customWidth="1"/>
    <col min="4" max="4" width="9.33203125" style="123" customWidth="1"/>
    <col min="5" max="5" width="9.44140625" style="123" bestFit="1" customWidth="1"/>
    <col min="6" max="16" width="9.33203125" style="123"/>
    <col min="17" max="17" width="10.6640625" style="123" customWidth="1"/>
    <col min="18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46235</v>
      </c>
      <c r="R1" s="7"/>
    </row>
    <row r="2" spans="1:18">
      <c r="A2" s="476" t="str">
        <f>Summary!$A2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7"/>
    </row>
    <row r="3" spans="1:18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7"/>
    </row>
    <row r="4" spans="1:18">
      <c r="A4" s="476" t="str">
        <f>Summary!$A4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7"/>
    </row>
    <row r="5" spans="1:18">
      <c r="A5" s="476" t="str">
        <f>Summary!$A5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7"/>
    </row>
    <row r="6" spans="1:18">
      <c r="A6" s="476" t="str">
        <f>Summary!$A6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49" t="s">
        <v>90</v>
      </c>
      <c r="D9" s="49" t="s">
        <v>244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1" spans="1:18">
      <c r="A11" s="57"/>
      <c r="B11" s="7"/>
      <c r="C11" s="135"/>
      <c r="D11" s="27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7"/>
    </row>
    <row r="12" spans="1:18">
      <c r="A12" s="232" t="s">
        <v>271</v>
      </c>
      <c r="B12" s="7"/>
      <c r="C12" s="135"/>
      <c r="D12" s="279"/>
      <c r="E12" s="209"/>
      <c r="F12" s="209"/>
      <c r="G12" s="214"/>
      <c r="H12" s="209"/>
      <c r="I12" s="209"/>
      <c r="J12" s="209"/>
      <c r="K12" s="209"/>
      <c r="L12" s="209"/>
      <c r="M12" s="209"/>
      <c r="N12" s="65"/>
      <c r="O12" s="332"/>
      <c r="P12" s="209"/>
      <c r="Q12" s="209"/>
      <c r="R12" s="7"/>
    </row>
    <row r="13" spans="1:18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57"/>
      <c r="B14" s="64"/>
      <c r="C14" s="214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v>0</v>
      </c>
      <c r="E15" s="311">
        <f>IF(Rent!E15=0,0,'Tenant Charges'!$H11)</f>
        <v>0</v>
      </c>
      <c r="F15" s="311">
        <f>IF(Rent!F15=0,0,'Tenant Charges'!$H11)</f>
        <v>0</v>
      </c>
      <c r="G15" s="311">
        <f>IF(Rent!G15=0,0,'Tenant Charges'!$H11)</f>
        <v>0</v>
      </c>
      <c r="H15" s="311">
        <f>IF(Rent!H15=0,0,'Tenant Charges'!$H11)</f>
        <v>0</v>
      </c>
      <c r="I15" s="311">
        <f>IF(Rent!I15=0,0,'Tenant Charges'!$H11)</f>
        <v>0</v>
      </c>
      <c r="J15" s="311">
        <f>IF(Rent!J15=0,0,'Tenant Charges'!$H11)</f>
        <v>0</v>
      </c>
      <c r="K15" s="311">
        <f>IF(Rent!K15=0,0,'Tenant Charges'!$H11)</f>
        <v>0</v>
      </c>
      <c r="L15" s="311">
        <f>IF(Rent!L15=0,0,'Tenant Charges'!$H11)</f>
        <v>0</v>
      </c>
      <c r="M15" s="311">
        <f>IF(Rent!M15=0,0,'Tenant Charges'!$H11)</f>
        <v>0</v>
      </c>
      <c r="N15" s="311">
        <f>IF(Rent!N15=0,0,'Tenant Charges'!$H11)</f>
        <v>0</v>
      </c>
      <c r="O15" s="311">
        <f>IF(Rent!O15=0,0,'Tenant Charges'!$H11)</f>
        <v>0</v>
      </c>
      <c r="P15" s="311">
        <f>IF(Rent!P15=0,0,'Tenant Charges'!$H11)</f>
        <v>0</v>
      </c>
      <c r="Q15" s="73">
        <f>SUM(E15:P15)</f>
        <v>0</v>
      </c>
      <c r="R15" s="122">
        <f t="shared" ref="R15" si="0">Q15/C15</f>
        <v>0</v>
      </c>
    </row>
    <row r="16" spans="1:18">
      <c r="A16" s="5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v>0</v>
      </c>
      <c r="E16" s="311">
        <f>IF(Rent!E16=0,0,'Tenant Charges'!$H12)</f>
        <v>0</v>
      </c>
      <c r="F16" s="311">
        <f>IF(Rent!F16=0,0,'Tenant Charges'!$H12)</f>
        <v>0</v>
      </c>
      <c r="G16" s="311">
        <f>IF(Rent!G16=0,0,'Tenant Charges'!$H12)</f>
        <v>0</v>
      </c>
      <c r="H16" s="311">
        <f>IF(Rent!H16=0,0,'Tenant Charges'!$H12)</f>
        <v>0</v>
      </c>
      <c r="I16" s="311">
        <f>IF(Rent!I16=0,0,'Tenant Charges'!$H12)</f>
        <v>0</v>
      </c>
      <c r="J16" s="311">
        <f>IF(Rent!J16=0,0,'Tenant Charges'!$H12)</f>
        <v>0</v>
      </c>
      <c r="K16" s="311">
        <f>IF(Rent!K16=0,0,'Tenant Charges'!$H12)</f>
        <v>0</v>
      </c>
      <c r="L16" s="311">
        <f>IF(Rent!L16=0,0,'Tenant Charges'!$H12)</f>
        <v>0</v>
      </c>
      <c r="M16" s="311">
        <f>IF(Rent!M16=0,0,'Tenant Charges'!$H12)</f>
        <v>0</v>
      </c>
      <c r="N16" s="311">
        <f>IF(Rent!N16=0,0,'Tenant Charges'!$H12)</f>
        <v>0</v>
      </c>
      <c r="O16" s="311">
        <f>IF(Rent!O16=0,0,'Tenant Charges'!$H12)</f>
        <v>0</v>
      </c>
      <c r="P16" s="311">
        <f>IF(Rent!P16=0,0,'Tenant Charges'!$H12)</f>
        <v>0</v>
      </c>
      <c r="Q16" s="73">
        <f t="shared" ref="Q16:Q18" si="1">SUM(E16:P16)</f>
        <v>0</v>
      </c>
      <c r="R16" s="122">
        <f t="shared" ref="R16:R18" si="2">Q16/C16</f>
        <v>0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v>1</v>
      </c>
      <c r="E17" s="311">
        <f>IF(Rent!E17=0,0,'Tenant Charges'!$H13)</f>
        <v>0</v>
      </c>
      <c r="F17" s="311">
        <f>IF(Rent!F17=0,0,'Tenant Charges'!$H13)</f>
        <v>0</v>
      </c>
      <c r="G17" s="311">
        <f>IF(Rent!G17=0,0,'Tenant Charges'!$H13)</f>
        <v>0</v>
      </c>
      <c r="H17" s="311">
        <f>IF(Rent!H17=0,0,'Tenant Charges'!$H13)</f>
        <v>0</v>
      </c>
      <c r="I17" s="311">
        <f>IF(Rent!I17=0,0,'Tenant Charges'!$H13)</f>
        <v>0</v>
      </c>
      <c r="J17" s="311">
        <f>IF(Rent!J17=0,0,'Tenant Charges'!$H13)</f>
        <v>0</v>
      </c>
      <c r="K17" s="311">
        <f>IF(Rent!K17=0,0,'Tenant Charges'!$H13)</f>
        <v>0</v>
      </c>
      <c r="L17" s="311">
        <f>IF(Rent!L17=0,0,'Tenant Charges'!$H13)</f>
        <v>0</v>
      </c>
      <c r="M17" s="311">
        <f>IF(Rent!M17=0,0,'Tenant Charges'!$H13)</f>
        <v>0</v>
      </c>
      <c r="N17" s="311">
        <f>IF(Rent!N17=0,0,'Tenant Charges'!$H13)</f>
        <v>0</v>
      </c>
      <c r="O17" s="311">
        <f>IF(Rent!O17=0,0,'Tenant Charges'!$H13)</f>
        <v>0</v>
      </c>
      <c r="P17" s="311">
        <f>IF(Rent!P17=0,0,'Tenant Charges'!$H13)</f>
        <v>0</v>
      </c>
      <c r="Q17" s="73">
        <f t="shared" si="1"/>
        <v>0</v>
      </c>
      <c r="R17" s="122">
        <f t="shared" si="2"/>
        <v>0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v>2</v>
      </c>
      <c r="E18" s="311">
        <f>IF(Rent!E18=0,0,'Tenant Charges'!$H14)</f>
        <v>0</v>
      </c>
      <c r="F18" s="311">
        <f>IF(Rent!F18=0,0,'Tenant Charges'!$H14)</f>
        <v>0</v>
      </c>
      <c r="G18" s="311">
        <f>IF(Rent!G18=0,0,'Tenant Charges'!$H14)</f>
        <v>0</v>
      </c>
      <c r="H18" s="311">
        <f>IF(Rent!H18=0,0,'Tenant Charges'!$H14)</f>
        <v>0</v>
      </c>
      <c r="I18" s="311">
        <f>IF(Rent!I18=0,0,'Tenant Charges'!$H14)</f>
        <v>0</v>
      </c>
      <c r="J18" s="311">
        <f>IF(Rent!J18=0,0,'Tenant Charges'!$H14)</f>
        <v>0</v>
      </c>
      <c r="K18" s="311">
        <f>IF(Rent!K18=0,0,'Tenant Charges'!$H14)</f>
        <v>0</v>
      </c>
      <c r="L18" s="311">
        <f>IF(Rent!L18=0,0,'Tenant Charges'!$H14)</f>
        <v>0</v>
      </c>
      <c r="M18" s="311">
        <f>IF(Rent!M18=0,0,'Tenant Charges'!$H14)</f>
        <v>0</v>
      </c>
      <c r="N18" s="311">
        <f>IF(Rent!N18=0,0,'Tenant Charges'!$H14)</f>
        <v>0</v>
      </c>
      <c r="O18" s="311">
        <f>IF(Rent!O18=0,0,'Tenant Charges'!$H14)</f>
        <v>0</v>
      </c>
      <c r="P18" s="311">
        <f>IF(Rent!P18=0,0,'Tenant Charges'!$H14)</f>
        <v>0</v>
      </c>
      <c r="Q18" s="73">
        <f t="shared" si="1"/>
        <v>0</v>
      </c>
      <c r="R18" s="122">
        <f t="shared" si="2"/>
        <v>0</v>
      </c>
    </row>
    <row r="19" spans="1:18">
      <c r="A19" s="7"/>
      <c r="B19" s="7"/>
      <c r="C19" s="65"/>
      <c r="D19" s="310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"/>
    </row>
    <row r="20" spans="1:18">
      <c r="A20" s="7"/>
      <c r="B20" s="7"/>
      <c r="C20" s="65"/>
      <c r="D20" s="310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"/>
    </row>
    <row r="21" spans="1:18">
      <c r="A21" s="7"/>
      <c r="B21" s="7"/>
      <c r="C21" s="65"/>
      <c r="D21" s="310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7"/>
      <c r="B22" s="7"/>
      <c r="C22" s="65"/>
      <c r="D22" s="310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"/>
    </row>
    <row r="23" spans="1:18">
      <c r="A23" s="7"/>
      <c r="B23" s="7"/>
      <c r="C23" s="65"/>
      <c r="D23" s="310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"/>
    </row>
    <row r="24" spans="1:18">
      <c r="A24" s="7" t="s">
        <v>23</v>
      </c>
      <c r="B24" s="7"/>
      <c r="C24" s="65" t="s">
        <v>23</v>
      </c>
      <c r="D24" s="310" t="s">
        <v>23</v>
      </c>
      <c r="E24" s="73" t="s">
        <v>23</v>
      </c>
      <c r="F24" s="73" t="s">
        <v>23</v>
      </c>
      <c r="G24" s="73" t="s">
        <v>23</v>
      </c>
      <c r="H24" s="73" t="s">
        <v>23</v>
      </c>
      <c r="I24" s="73" t="s">
        <v>23</v>
      </c>
      <c r="J24" s="73" t="s">
        <v>23</v>
      </c>
      <c r="K24" s="73" t="s">
        <v>23</v>
      </c>
      <c r="L24" s="73" t="s">
        <v>23</v>
      </c>
      <c r="M24" s="73" t="s">
        <v>23</v>
      </c>
      <c r="N24" s="73" t="s">
        <v>23</v>
      </c>
      <c r="O24" s="73" t="s">
        <v>23</v>
      </c>
      <c r="P24" s="73" t="s">
        <v>23</v>
      </c>
      <c r="Q24" s="73" t="s">
        <v>23</v>
      </c>
      <c r="R24" s="7"/>
    </row>
    <row r="25" spans="1:18">
      <c r="A25" s="308"/>
      <c r="B25" s="313"/>
      <c r="C25" s="314"/>
      <c r="D25" s="314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6"/>
      <c r="R25" s="7"/>
    </row>
    <row r="26" spans="1:18">
      <c r="A26" s="287" t="s">
        <v>93</v>
      </c>
      <c r="B26" s="317"/>
      <c r="C26" s="289">
        <f>SUM(C14:C25)</f>
        <v>12474</v>
      </c>
      <c r="D26" s="333"/>
      <c r="E26" s="289">
        <f>SUM(E14:E25)</f>
        <v>0</v>
      </c>
      <c r="F26" s="289">
        <f t="shared" ref="F26:Q26" si="3">SUM(F14:F25)</f>
        <v>0</v>
      </c>
      <c r="G26" s="289">
        <f t="shared" si="3"/>
        <v>0</v>
      </c>
      <c r="H26" s="289">
        <f t="shared" si="3"/>
        <v>0</v>
      </c>
      <c r="I26" s="289">
        <f t="shared" si="3"/>
        <v>0</v>
      </c>
      <c r="J26" s="289">
        <f t="shared" si="3"/>
        <v>0</v>
      </c>
      <c r="K26" s="289">
        <f t="shared" si="3"/>
        <v>0</v>
      </c>
      <c r="L26" s="289">
        <f t="shared" si="3"/>
        <v>0</v>
      </c>
      <c r="M26" s="289">
        <f t="shared" si="3"/>
        <v>0</v>
      </c>
      <c r="N26" s="289">
        <f t="shared" si="3"/>
        <v>0</v>
      </c>
      <c r="O26" s="289">
        <f t="shared" si="3"/>
        <v>0</v>
      </c>
      <c r="P26" s="289">
        <f t="shared" si="3"/>
        <v>0</v>
      </c>
      <c r="Q26" s="289">
        <f t="shared" si="3"/>
        <v>0</v>
      </c>
      <c r="R26" s="7"/>
    </row>
    <row r="27" spans="1:18">
      <c r="A27" s="319"/>
      <c r="B27" s="320"/>
      <c r="C27" s="321"/>
      <c r="D27" s="321"/>
      <c r="E27" s="321"/>
      <c r="F27" s="321"/>
      <c r="G27" s="321"/>
      <c r="H27" s="321"/>
      <c r="I27" s="321"/>
      <c r="J27" s="321"/>
      <c r="K27" s="321"/>
      <c r="L27" s="321"/>
      <c r="M27" s="321"/>
      <c r="N27" s="321"/>
      <c r="O27" s="321"/>
      <c r="P27" s="321"/>
      <c r="Q27" s="322"/>
      <c r="R27" s="7"/>
    </row>
    <row r="28" spans="1:18">
      <c r="A28" s="7"/>
      <c r="B28" s="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323" t="s">
        <v>272</v>
      </c>
      <c r="P28" s="313"/>
      <c r="Q28" s="324">
        <f>Summary!O20</f>
        <v>0</v>
      </c>
      <c r="R28" s="7"/>
    </row>
    <row r="29" spans="1:18">
      <c r="A29" s="7"/>
      <c r="B29" s="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326" t="s">
        <v>267</v>
      </c>
      <c r="P29" s="320"/>
      <c r="Q29" s="327">
        <f>IFERROR(Q26/Q28,0)</f>
        <v>0</v>
      </c>
      <c r="R29" s="7"/>
    </row>
    <row r="30" spans="1:18">
      <c r="A30" s="7"/>
      <c r="B30" s="7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329"/>
      <c r="R30" s="7"/>
    </row>
    <row r="31" spans="1:18">
      <c r="A31" s="7"/>
      <c r="B31" s="7"/>
      <c r="C31" s="7"/>
      <c r="D31" s="295" t="s">
        <v>255</v>
      </c>
      <c r="E31" s="118">
        <f>E26-Summary!C20</f>
        <v>0</v>
      </c>
      <c r="F31" s="118">
        <f>F26-Summary!D20</f>
        <v>0</v>
      </c>
      <c r="G31" s="118">
        <f>G26-Summary!E20</f>
        <v>0</v>
      </c>
      <c r="H31" s="118">
        <f>H26-Summary!F20</f>
        <v>0</v>
      </c>
      <c r="I31" s="118">
        <f>I26-Summary!G20</f>
        <v>0</v>
      </c>
      <c r="J31" s="118">
        <f>J26-Summary!H20</f>
        <v>0</v>
      </c>
      <c r="K31" s="118">
        <f>K26-Summary!I20</f>
        <v>0</v>
      </c>
      <c r="L31" s="118">
        <f>L26-Summary!J20</f>
        <v>0</v>
      </c>
      <c r="M31" s="118">
        <f>M26-Summary!K20</f>
        <v>0</v>
      </c>
      <c r="N31" s="118">
        <f>N26-Summary!L20</f>
        <v>0</v>
      </c>
      <c r="O31" s="118">
        <f>O26-Summary!M20</f>
        <v>0</v>
      </c>
      <c r="P31" s="118">
        <f>P26-Summary!N20</f>
        <v>0</v>
      </c>
      <c r="Q31" s="119">
        <f>Q26-Summary!O20</f>
        <v>0</v>
      </c>
      <c r="R31" s="7"/>
    </row>
    <row r="32" spans="1:18">
      <c r="A32" s="7"/>
      <c r="B32" s="7"/>
      <c r="C32" s="7"/>
      <c r="D32" s="7"/>
      <c r="E32" s="300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7"/>
    </row>
    <row r="33" spans="5:17"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</row>
    <row r="34" spans="5:17"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</row>
    <row r="35" spans="5:17"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</row>
    <row r="36" spans="5:17"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5:17"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7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3" type="noConversion"/>
  <printOptions horizontalCentered="1"/>
  <pageMargins left="0.5" right="0.5" top="0.75" bottom="0.5" header="0.5" footer="0.5"/>
  <pageSetup paperSize="5" scale="90" firstPageNumber="8" orientation="landscape" useFirstPageNumber="1" r:id="rId2"/>
  <headerFooter alignWithMargins="0">
    <oddFooter>Page &amp;P</oddFooter>
  </headerFooter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CAC-E4BA-4765-9925-934B5DACAED6}">
  <sheetPr>
    <pageSetUpPr fitToPage="1"/>
  </sheetPr>
  <dimension ref="A1:R29"/>
  <sheetViews>
    <sheetView topLeftCell="C3" zoomScaleNormal="100" zoomScaleSheetLayoutView="140" workbookViewId="0">
      <selection activeCell="E15" sqref="E15:Q18"/>
    </sheetView>
  </sheetViews>
  <sheetFormatPr defaultColWidth="9.33203125" defaultRowHeight="14.4"/>
  <cols>
    <col min="1" max="1" width="32.5546875" style="123" customWidth="1"/>
    <col min="2" max="2" width="9.33203125" style="123" bestFit="1" customWidth="1"/>
    <col min="3" max="3" width="13.33203125" style="123" customWidth="1"/>
    <col min="4" max="4" width="12" style="123" customWidth="1"/>
    <col min="5" max="5" width="11.33203125" style="123" customWidth="1"/>
    <col min="6" max="6" width="10.5546875" style="123" customWidth="1"/>
    <col min="7" max="7" width="9.44140625" style="123" bestFit="1" customWidth="1"/>
    <col min="8" max="8" width="10.5546875" style="123" customWidth="1"/>
    <col min="9" max="10" width="9.44140625" style="123" bestFit="1" customWidth="1"/>
    <col min="11" max="11" width="10.44140625" style="123" customWidth="1"/>
    <col min="12" max="13" width="9.44140625" style="123" bestFit="1" customWidth="1"/>
    <col min="14" max="14" width="10.5546875" style="123" customWidth="1"/>
    <col min="15" max="16" width="9.44140625" style="123" bestFit="1" customWidth="1"/>
    <col min="17" max="17" width="11.44140625" style="123" bestFit="1" customWidth="1"/>
    <col min="18" max="18" width="9.44140625" style="123" bestFit="1" customWidth="1"/>
    <col min="19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46235</v>
      </c>
      <c r="R1" s="7">
        <f>Summary!V4</f>
        <v>0</v>
      </c>
    </row>
    <row r="2" spans="1:18">
      <c r="A2" s="476" t="str">
        <f>Summary!$A2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7"/>
    </row>
    <row r="3" spans="1:18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7"/>
    </row>
    <row r="4" spans="1:18">
      <c r="A4" s="476" t="str">
        <f>Summary!$A4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7"/>
    </row>
    <row r="5" spans="1:18">
      <c r="A5" s="476" t="str">
        <f>Summary!$A5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7"/>
    </row>
    <row r="6" spans="1:18">
      <c r="A6" s="476" t="str">
        <f>Summary!$A6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49" t="s">
        <v>90</v>
      </c>
      <c r="D9" s="49" t="s">
        <v>273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51" t="s">
        <v>246</v>
      </c>
      <c r="D10" s="51" t="s">
        <v>274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2" spans="1:18">
      <c r="A12" s="232" t="s">
        <v>275</v>
      </c>
      <c r="B12" s="7"/>
      <c r="C12" s="135"/>
      <c r="D12" s="334"/>
      <c r="E12" s="209"/>
      <c r="F12" s="209"/>
      <c r="G12" s="209"/>
      <c r="H12" s="209"/>
      <c r="I12" s="209"/>
      <c r="J12" s="214"/>
      <c r="K12" s="209"/>
      <c r="L12" s="209"/>
      <c r="M12" s="209"/>
      <c r="N12" s="209"/>
      <c r="O12" s="209"/>
      <c r="P12" s="209"/>
      <c r="Q12" s="209"/>
      <c r="R12" s="7"/>
    </row>
    <row r="13" spans="1:18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C15/$C$24</f>
        <v>0.45366362033028701</v>
      </c>
      <c r="E15" s="311">
        <f>IF(Rent!E15=0,0,('Tenant Charges'!$I11))</f>
        <v>0</v>
      </c>
      <c r="F15" s="311">
        <f>IF(Rent!F15=0,0,('Tenant Charges'!$I11))</f>
        <v>0</v>
      </c>
      <c r="G15" s="311">
        <f>IF(Rent!G15=0,0,('Tenant Charges'!$I11))</f>
        <v>0</v>
      </c>
      <c r="H15" s="311">
        <f>IF(Rent!H15=0,0,('Tenant Charges'!$I11))</f>
        <v>0</v>
      </c>
      <c r="I15" s="311">
        <f>IF(Rent!I15=0,0,('Tenant Charges'!$I11))</f>
        <v>0</v>
      </c>
      <c r="J15" s="311">
        <f>IF(Rent!J15=0,0,('Tenant Charges'!$I11))</f>
        <v>0</v>
      </c>
      <c r="K15" s="311">
        <f>IF(Rent!K15=0,0,('Tenant Charges'!$I11))</f>
        <v>0</v>
      </c>
      <c r="L15" s="311">
        <f>IF(Rent!L15=0,0,('Tenant Charges'!$I11))</f>
        <v>0</v>
      </c>
      <c r="M15" s="311">
        <f>IF(Rent!M15=0,0,('Tenant Charges'!$I11))</f>
        <v>0</v>
      </c>
      <c r="N15" s="311">
        <f>IF(Rent!N15=0,0,('Tenant Charges'!$I11))</f>
        <v>0</v>
      </c>
      <c r="O15" s="311">
        <f>IF(Rent!O15=0,0,('Tenant Charges'!$I11))</f>
        <v>0</v>
      </c>
      <c r="P15" s="311">
        <f>IF(Rent!P15=0,0,('Tenant Charges'!$I11))</f>
        <v>0</v>
      </c>
      <c r="Q15" s="73">
        <f t="shared" ref="Q15" si="0">SUM(E15:P15)</f>
        <v>0</v>
      </c>
      <c r="R15" s="122">
        <f t="shared" ref="R15" si="1">Q15/C15</f>
        <v>0</v>
      </c>
    </row>
    <row r="16" spans="1:18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>C16/$C$24</f>
        <v>0.15768799102132436</v>
      </c>
      <c r="E16" s="311">
        <f>IF(Rent!E16=0,0,('Tenant Charges'!$I12))</f>
        <v>0</v>
      </c>
      <c r="F16" s="311">
        <f>IF(Rent!F16=0,0,('Tenant Charges'!$I12))</f>
        <v>0</v>
      </c>
      <c r="G16" s="311">
        <f>IF(Rent!G16=0,0,('Tenant Charges'!$I12))</f>
        <v>0</v>
      </c>
      <c r="H16" s="311">
        <f>IF(Rent!H16=0,0,('Tenant Charges'!$I12))</f>
        <v>0</v>
      </c>
      <c r="I16" s="311">
        <f>IF(Rent!I16=0,0,('Tenant Charges'!$I12))</f>
        <v>0</v>
      </c>
      <c r="J16" s="311">
        <f>IF(Rent!J16=0,0,('Tenant Charges'!$I12))</f>
        <v>0</v>
      </c>
      <c r="K16" s="311">
        <f>IF(Rent!K16=0,0,('Tenant Charges'!$I12))</f>
        <v>0</v>
      </c>
      <c r="L16" s="311">
        <f>IF(Rent!L16=0,0,('Tenant Charges'!$I12))</f>
        <v>0</v>
      </c>
      <c r="M16" s="311">
        <f>IF(Rent!M16=0,0,('Tenant Charges'!$I12))</f>
        <v>0</v>
      </c>
      <c r="N16" s="311">
        <f>IF(Rent!N16=0,0,('Tenant Charges'!$I12))</f>
        <v>0</v>
      </c>
      <c r="O16" s="311">
        <f>IF(Rent!O16=0,0,('Tenant Charges'!$I12))</f>
        <v>0</v>
      </c>
      <c r="P16" s="311">
        <f>IF(Rent!P16=0,0,('Tenant Charges'!$I12))</f>
        <v>0</v>
      </c>
      <c r="Q16" s="73">
        <f t="shared" ref="Q16:Q18" si="2">SUM(E16:P16)</f>
        <v>0</v>
      </c>
      <c r="R16" s="122">
        <f t="shared" ref="R16:R18" si="3">Q16/C16</f>
        <v>0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ref="D17:D18" si="4">C17/$C$24</f>
        <v>4.9543049543049542E-2</v>
      </c>
      <c r="E17" s="311">
        <f>IF(Rent!E17=0,0,('Tenant Charges'!$I13))</f>
        <v>0</v>
      </c>
      <c r="F17" s="311">
        <f>IF(Rent!F17=0,0,('Tenant Charges'!$I13))</f>
        <v>0</v>
      </c>
      <c r="G17" s="311">
        <f>IF(Rent!G17=0,0,('Tenant Charges'!$I13))</f>
        <v>0</v>
      </c>
      <c r="H17" s="311">
        <f>IF(Rent!H17=0,0,('Tenant Charges'!$I13))</f>
        <v>0</v>
      </c>
      <c r="I17" s="311">
        <f>IF(Rent!I17=0,0,('Tenant Charges'!$I13))</f>
        <v>144.2017752926086</v>
      </c>
      <c r="J17" s="311">
        <f>IF(Rent!J17=0,0,('Tenant Charges'!$I13))</f>
        <v>144.2017752926086</v>
      </c>
      <c r="K17" s="311">
        <f>IF(Rent!K17=0,0,('Tenant Charges'!$I13))</f>
        <v>144.2017752926086</v>
      </c>
      <c r="L17" s="311">
        <f>IF(Rent!L17=0,0,('Tenant Charges'!$I13))</f>
        <v>144.2017752926086</v>
      </c>
      <c r="M17" s="311">
        <f>IF(Rent!M17=0,0,('Tenant Charges'!$I13))</f>
        <v>144.2017752926086</v>
      </c>
      <c r="N17" s="311">
        <f>IF(Rent!N17=0,0,('Tenant Charges'!$I13))</f>
        <v>144.2017752926086</v>
      </c>
      <c r="O17" s="311">
        <f>IF(Rent!O17=0,0,('Tenant Charges'!$I13))</f>
        <v>144.2017752926086</v>
      </c>
      <c r="P17" s="311">
        <f>IF(Rent!P17=0,0,('Tenant Charges'!$I13))</f>
        <v>144.2017752926086</v>
      </c>
      <c r="Q17" s="73">
        <f t="shared" si="2"/>
        <v>1153.6142023408686</v>
      </c>
      <c r="R17" s="122">
        <f t="shared" si="3"/>
        <v>1.8666896478007582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4"/>
        <v>0.33910533910533913</v>
      </c>
      <c r="E18" s="311">
        <f>IF(Rent!E18=0,0,('Tenant Charges'!$I14))</f>
        <v>0</v>
      </c>
      <c r="F18" s="311">
        <f>IF(Rent!F18=0,0,('Tenant Charges'!$I14))</f>
        <v>0</v>
      </c>
      <c r="G18" s="311">
        <f>IF(Rent!G18=0,0,('Tenant Charges'!$I14))</f>
        <v>0</v>
      </c>
      <c r="H18" s="311">
        <f>IF(Rent!H18=0,0,('Tenant Charges'!$I14))</f>
        <v>0</v>
      </c>
      <c r="I18" s="311">
        <f>IF(Rent!I18=0,0,('Tenant Charges'!$I14))</f>
        <v>987.01215127465127</v>
      </c>
      <c r="J18" s="311">
        <f>IF(Rent!J18=0,0,('Tenant Charges'!$I14))</f>
        <v>987.01215127465127</v>
      </c>
      <c r="K18" s="311">
        <f>IF(Rent!K18=0,0,('Tenant Charges'!$I14))</f>
        <v>987.01215127465127</v>
      </c>
      <c r="L18" s="311">
        <f>IF(Rent!L18=0,0,('Tenant Charges'!$I14))</f>
        <v>987.01215127465127</v>
      </c>
      <c r="M18" s="311">
        <f>IF(Rent!M18=0,0,('Tenant Charges'!$I14))</f>
        <v>987.01215127465127</v>
      </c>
      <c r="N18" s="311">
        <f>IF(Rent!N18=0,0,('Tenant Charges'!$I14))</f>
        <v>987.01215127465127</v>
      </c>
      <c r="O18" s="311">
        <f>IF(Rent!O18=0,0,('Tenant Charges'!$I14))</f>
        <v>987.01215127465127</v>
      </c>
      <c r="P18" s="311">
        <f>IF(Rent!P18=0,0,('Tenant Charges'!$I14))</f>
        <v>987.01215127465127</v>
      </c>
      <c r="Q18" s="73">
        <f t="shared" si="2"/>
        <v>7896.0972101972093</v>
      </c>
      <c r="R18" s="122">
        <f t="shared" si="3"/>
        <v>1.8666896478007586</v>
      </c>
    </row>
    <row r="19" spans="1:18">
      <c r="A19" s="7"/>
      <c r="B19" s="64"/>
      <c r="C19" s="65"/>
      <c r="D19" s="310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73"/>
      <c r="R19" s="122"/>
    </row>
    <row r="20" spans="1:18">
      <c r="A20" s="7"/>
      <c r="B20" s="64"/>
      <c r="C20" s="65"/>
      <c r="D20" s="310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73"/>
      <c r="R20" s="122"/>
    </row>
    <row r="21" spans="1:18">
      <c r="A21" s="7"/>
      <c r="B21" s="7"/>
      <c r="C21" s="65"/>
      <c r="D21" s="310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7" t="s">
        <v>23</v>
      </c>
      <c r="B22" s="7"/>
      <c r="C22" s="65" t="s">
        <v>23</v>
      </c>
      <c r="D22" s="310" t="s">
        <v>23</v>
      </c>
      <c r="E22" s="73" t="s">
        <v>23</v>
      </c>
      <c r="F22" s="73" t="s">
        <v>23</v>
      </c>
      <c r="G22" s="73" t="s">
        <v>23</v>
      </c>
      <c r="H22" s="73" t="s">
        <v>23</v>
      </c>
      <c r="I22" s="73" t="s">
        <v>23</v>
      </c>
      <c r="J22" s="73" t="s">
        <v>23</v>
      </c>
      <c r="K22" s="73" t="s">
        <v>23</v>
      </c>
      <c r="L22" s="73" t="s">
        <v>23</v>
      </c>
      <c r="M22" s="73" t="s">
        <v>23</v>
      </c>
      <c r="N22" s="73" t="s">
        <v>23</v>
      </c>
      <c r="O22" s="73" t="s">
        <v>23</v>
      </c>
      <c r="P22" s="73" t="s">
        <v>23</v>
      </c>
      <c r="Q22" s="73" t="s">
        <v>23</v>
      </c>
      <c r="R22" s="7"/>
    </row>
    <row r="23" spans="1:18">
      <c r="A23" s="308"/>
      <c r="B23" s="313"/>
      <c r="C23" s="314"/>
      <c r="D23" s="314"/>
      <c r="E23" s="315"/>
      <c r="F23" s="315"/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6"/>
      <c r="R23" s="7"/>
    </row>
    <row r="24" spans="1:18">
      <c r="A24" s="287" t="s">
        <v>93</v>
      </c>
      <c r="B24" s="317"/>
      <c r="C24" s="289">
        <f>SUM(C14:C23)</f>
        <v>12474</v>
      </c>
      <c r="D24" s="289">
        <f t="shared" ref="D24:Q24" si="5">SUM(D14:D23)</f>
        <v>1</v>
      </c>
      <c r="E24" s="289">
        <f t="shared" si="5"/>
        <v>0</v>
      </c>
      <c r="F24" s="289">
        <f t="shared" si="5"/>
        <v>0</v>
      </c>
      <c r="G24" s="289">
        <f t="shared" si="5"/>
        <v>0</v>
      </c>
      <c r="H24" s="289">
        <f t="shared" si="5"/>
        <v>0</v>
      </c>
      <c r="I24" s="289">
        <f t="shared" si="5"/>
        <v>1131.2139265672599</v>
      </c>
      <c r="J24" s="289">
        <f t="shared" si="5"/>
        <v>1131.2139265672599</v>
      </c>
      <c r="K24" s="289">
        <f t="shared" si="5"/>
        <v>1131.2139265672599</v>
      </c>
      <c r="L24" s="289">
        <f t="shared" si="5"/>
        <v>1131.2139265672599</v>
      </c>
      <c r="M24" s="289">
        <f t="shared" si="5"/>
        <v>1131.2139265672599</v>
      </c>
      <c r="N24" s="289">
        <f t="shared" si="5"/>
        <v>1131.2139265672599</v>
      </c>
      <c r="O24" s="289">
        <f t="shared" si="5"/>
        <v>1131.2139265672599</v>
      </c>
      <c r="P24" s="289">
        <f t="shared" si="5"/>
        <v>1131.2139265672599</v>
      </c>
      <c r="Q24" s="289">
        <f t="shared" si="5"/>
        <v>9049.7114125380776</v>
      </c>
      <c r="R24" s="7"/>
    </row>
    <row r="25" spans="1:18">
      <c r="A25" s="319"/>
      <c r="B25" s="320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2"/>
      <c r="R25" s="7"/>
    </row>
    <row r="26" spans="1:18">
      <c r="A26" s="7"/>
      <c r="B26" s="7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323" t="s">
        <v>276</v>
      </c>
      <c r="P26" s="313"/>
      <c r="Q26" s="324">
        <f>Summary!O85</f>
        <v>34927.629999999997</v>
      </c>
      <c r="R26" s="7"/>
    </row>
    <row r="27" spans="1:18">
      <c r="A27" s="7"/>
      <c r="B27" s="7"/>
      <c r="C27" s="44"/>
      <c r="D27" s="310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326" t="s">
        <v>267</v>
      </c>
      <c r="P27" s="320"/>
      <c r="Q27" s="327">
        <f>Q24/Q26</f>
        <v>0.2590989257655924</v>
      </c>
      <c r="R27" s="7"/>
    </row>
    <row r="28" spans="1:18">
      <c r="A28" s="7"/>
      <c r="B28" s="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329"/>
      <c r="R28" s="7"/>
    </row>
    <row r="29" spans="1:18">
      <c r="A29" s="7"/>
      <c r="B29" s="7"/>
      <c r="C29" s="7"/>
      <c r="D29" s="295" t="s">
        <v>255</v>
      </c>
      <c r="E29" s="330">
        <f>E24-Summary!C19</f>
        <v>0</v>
      </c>
      <c r="F29" s="330">
        <f>F24-Summary!D19</f>
        <v>0</v>
      </c>
      <c r="G29" s="330">
        <f>G24-Summary!E19</f>
        <v>0</v>
      </c>
      <c r="H29" s="330">
        <f>H24-Summary!F19</f>
        <v>0</v>
      </c>
      <c r="I29" s="330">
        <f>I24-Summary!G19</f>
        <v>0</v>
      </c>
      <c r="J29" s="330">
        <f>J24-Summary!H19</f>
        <v>0</v>
      </c>
      <c r="K29" s="330">
        <f>K24-Summary!I19</f>
        <v>0</v>
      </c>
      <c r="L29" s="330">
        <f>L24-Summary!J19</f>
        <v>0</v>
      </c>
      <c r="M29" s="330">
        <f>M24-Summary!K19</f>
        <v>0</v>
      </c>
      <c r="N29" s="330">
        <f>N24-Summary!L19</f>
        <v>0</v>
      </c>
      <c r="O29" s="330">
        <f>O24-Summary!M19</f>
        <v>0</v>
      </c>
      <c r="P29" s="330">
        <f>P24-Summary!N19</f>
        <v>0</v>
      </c>
      <c r="Q29" s="331">
        <f>Q24-Summary!O19</f>
        <v>0</v>
      </c>
      <c r="R29" s="7"/>
    </row>
  </sheetData>
  <mergeCells count="5"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5" scale="85" firstPageNumber="6" orientation="landscape" useFirstPageNumber="1" r:id="rId1"/>
  <headerFooter alignWithMargins="0">
    <oddFooter>&amp;C&amp;8Page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0"/>
  <sheetViews>
    <sheetView topLeftCell="C1" zoomScaleNormal="100" zoomScaleSheetLayoutView="130" workbookViewId="0">
      <selection activeCell="J15" sqref="J15"/>
    </sheetView>
  </sheetViews>
  <sheetFormatPr defaultColWidth="9.33203125" defaultRowHeight="14.4"/>
  <cols>
    <col min="1" max="1" width="32.5546875" style="123" customWidth="1"/>
    <col min="2" max="2" width="9.33203125" style="123" bestFit="1" customWidth="1"/>
    <col min="3" max="3" width="13.33203125" style="123" customWidth="1"/>
    <col min="4" max="4" width="12" style="123" customWidth="1"/>
    <col min="5" max="5" width="11.33203125" style="123" customWidth="1"/>
    <col min="6" max="6" width="10.5546875" style="123" customWidth="1"/>
    <col min="7" max="7" width="9.44140625" style="123" bestFit="1" customWidth="1"/>
    <col min="8" max="8" width="10.5546875" style="123" customWidth="1"/>
    <col min="9" max="10" width="9.44140625" style="123" bestFit="1" customWidth="1"/>
    <col min="11" max="11" width="10.44140625" style="123" customWidth="1"/>
    <col min="12" max="13" width="9.44140625" style="123" bestFit="1" customWidth="1"/>
    <col min="14" max="14" width="10.5546875" style="123" customWidth="1"/>
    <col min="15" max="16" width="9.44140625" style="123" bestFit="1" customWidth="1"/>
    <col min="17" max="17" width="11.44140625" style="123" bestFit="1" customWidth="1"/>
    <col min="18" max="18" width="9.44140625" style="123" bestFit="1" customWidth="1"/>
    <col min="19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46235</v>
      </c>
      <c r="R1" s="7">
        <f>Summary!V4</f>
        <v>0</v>
      </c>
    </row>
    <row r="2" spans="1:18">
      <c r="A2" s="476" t="str">
        <f>Summary!$A2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7"/>
    </row>
    <row r="3" spans="1:18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7"/>
    </row>
    <row r="4" spans="1:18">
      <c r="A4" s="476" t="str">
        <f>Summary!$A4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7"/>
    </row>
    <row r="5" spans="1:18">
      <c r="A5" s="476" t="str">
        <f>Summary!$A5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7"/>
    </row>
    <row r="6" spans="1:18">
      <c r="A6" s="476" t="str">
        <f>Summary!$A6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49" t="s">
        <v>90</v>
      </c>
      <c r="D9" s="49" t="s">
        <v>273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51" t="s">
        <v>246</v>
      </c>
      <c r="D10" s="51" t="s">
        <v>274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2" spans="1:18">
      <c r="A12" s="232" t="s">
        <v>159</v>
      </c>
      <c r="B12" s="7"/>
      <c r="C12" s="135"/>
      <c r="D12" s="334"/>
      <c r="E12" s="209"/>
      <c r="F12" s="209"/>
      <c r="G12" s="209"/>
      <c r="H12" s="209"/>
      <c r="I12" s="209"/>
      <c r="J12" s="214"/>
      <c r="K12" s="209"/>
      <c r="L12" s="209"/>
      <c r="M12" s="209"/>
      <c r="N12" s="209"/>
      <c r="O12" s="209"/>
      <c r="P12" s="209"/>
      <c r="Q12" s="209"/>
      <c r="R12" s="7"/>
    </row>
    <row r="13" spans="1:18">
      <c r="A13" s="57"/>
      <c r="B13" s="7"/>
      <c r="C13" s="65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C15/$C$25</f>
        <v>0.45366362033028701</v>
      </c>
      <c r="E15" s="311">
        <f>IF(Rent!E15=0,0,('Tenant Charges'!$J11))</f>
        <v>0</v>
      </c>
      <c r="F15" s="311">
        <f>IF(Rent!F15=0,0,('Tenant Charges'!$J11))</f>
        <v>0</v>
      </c>
      <c r="G15" s="311">
        <f>IF(Rent!G15=0,0,('Tenant Charges'!$J11))</f>
        <v>0</v>
      </c>
      <c r="H15" s="311">
        <f>IF(Rent!H15=0,0,('Tenant Charges'!$J11))</f>
        <v>0</v>
      </c>
      <c r="I15" s="311">
        <f>IF(Rent!I15=0,0,('Tenant Charges'!$J11))</f>
        <v>0</v>
      </c>
      <c r="J15" s="311">
        <f>IF(Rent!J15=0,0,('Tenant Charges'!$J11))</f>
        <v>0</v>
      </c>
      <c r="K15" s="311">
        <f>IF(Rent!K15=0,0,('Tenant Charges'!$J11))</f>
        <v>0</v>
      </c>
      <c r="L15" s="311">
        <f>IF(Rent!L15=0,0,('Tenant Charges'!$J11))</f>
        <v>0</v>
      </c>
      <c r="M15" s="311">
        <f>IF(Rent!M15=0,0,('Tenant Charges'!$J11))</f>
        <v>0</v>
      </c>
      <c r="N15" s="311">
        <f>IF(Rent!N15=0,0,('Tenant Charges'!$J11))</f>
        <v>0</v>
      </c>
      <c r="O15" s="311">
        <f>IF(Rent!O15=0,0,('Tenant Charges'!$J11))</f>
        <v>0</v>
      </c>
      <c r="P15" s="311">
        <f>IF(Rent!P15=0,0,('Tenant Charges'!$J11))</f>
        <v>0</v>
      </c>
      <c r="Q15" s="73">
        <f>SUM(E15:P15)</f>
        <v>0</v>
      </c>
      <c r="R15" s="122">
        <f t="shared" ref="R15" si="0">Q15/C15</f>
        <v>0</v>
      </c>
    </row>
    <row r="16" spans="1:18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>C16/$C$25</f>
        <v>0.15768799102132436</v>
      </c>
      <c r="E16" s="311">
        <f>IF(Rent!E16=0,0,('Tenant Charges'!$J12))</f>
        <v>0</v>
      </c>
      <c r="F16" s="311">
        <f>IF(Rent!F16=0,0,('Tenant Charges'!$J12))</f>
        <v>0</v>
      </c>
      <c r="G16" s="311">
        <f>IF(Rent!G16=0,0,('Tenant Charges'!$J12))</f>
        <v>0</v>
      </c>
      <c r="H16" s="311">
        <f>IF(Rent!H16=0,0,('Tenant Charges'!$J12))</f>
        <v>0</v>
      </c>
      <c r="I16" s="311">
        <f>IF(Rent!I16=0,0,('Tenant Charges'!$J12))</f>
        <v>0</v>
      </c>
      <c r="J16" s="311">
        <f>IF(Rent!J16=0,0,('Tenant Charges'!$J12))</f>
        <v>0</v>
      </c>
      <c r="K16" s="311">
        <f>IF(Rent!K16=0,0,('Tenant Charges'!$J12))</f>
        <v>0</v>
      </c>
      <c r="L16" s="311">
        <f>IF(Rent!L16=0,0,('Tenant Charges'!$J12))</f>
        <v>0</v>
      </c>
      <c r="M16" s="311">
        <f>IF(Rent!M16=0,0,('Tenant Charges'!$J12))</f>
        <v>0</v>
      </c>
      <c r="N16" s="311">
        <f>IF(Rent!N16=0,0,('Tenant Charges'!$J12))</f>
        <v>0</v>
      </c>
      <c r="O16" s="311">
        <f>IF(Rent!O16=0,0,('Tenant Charges'!$J12))</f>
        <v>0</v>
      </c>
      <c r="P16" s="311">
        <f>IF(Rent!P16=0,0,('Tenant Charges'!$J12))</f>
        <v>0</v>
      </c>
      <c r="Q16" s="73">
        <f t="shared" ref="Q16:Q18" si="1">SUM(E16:P16)</f>
        <v>0</v>
      </c>
      <c r="R16" s="122">
        <f t="shared" ref="R16:R18" si="2">Q16/C16</f>
        <v>0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ref="D17:D18" si="3">C17/$C$25</f>
        <v>4.9543049543049542E-2</v>
      </c>
      <c r="E17" s="311">
        <f>IF(Rent!E17=0,0,('Tenant Charges'!$J13))</f>
        <v>0</v>
      </c>
      <c r="F17" s="311">
        <f>IF(Rent!F17=0,0,('Tenant Charges'!$J13))</f>
        <v>0</v>
      </c>
      <c r="G17" s="311">
        <f>IF(Rent!G17=0,0,('Tenant Charges'!$J13))</f>
        <v>0</v>
      </c>
      <c r="H17" s="311">
        <f>IF(Rent!H17=0,0,('Tenant Charges'!$J13))</f>
        <v>0</v>
      </c>
      <c r="I17" s="311">
        <f>IF(Rent!I17=0,0,('Tenant Charges'!$J13))</f>
        <v>23.202248677248679</v>
      </c>
      <c r="J17" s="311">
        <f>IF(Rent!J17=0,0,('Tenant Charges'!$J13))</f>
        <v>23.202248677248679</v>
      </c>
      <c r="K17" s="311">
        <f>IF(Rent!K17=0,0,('Tenant Charges'!$J13))</f>
        <v>23.202248677248679</v>
      </c>
      <c r="L17" s="311">
        <f>IF(Rent!L17=0,0,('Tenant Charges'!$J13))</f>
        <v>23.202248677248679</v>
      </c>
      <c r="M17" s="311">
        <f>IF(Rent!M17=0,0,('Tenant Charges'!$J13))</f>
        <v>23.202248677248679</v>
      </c>
      <c r="N17" s="311">
        <f>IF(Rent!N17=0,0,('Tenant Charges'!$J13))</f>
        <v>23.202248677248679</v>
      </c>
      <c r="O17" s="311">
        <f>IF(Rent!O17=0,0,('Tenant Charges'!$J13))</f>
        <v>23.202248677248679</v>
      </c>
      <c r="P17" s="311">
        <f>IF(Rent!P17=0,0,('Tenant Charges'!$J13))</f>
        <v>23.202248677248679</v>
      </c>
      <c r="Q17" s="73">
        <f t="shared" si="1"/>
        <v>185.61798941798946</v>
      </c>
      <c r="R17" s="122">
        <f t="shared" si="2"/>
        <v>0.30035273368606707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3"/>
        <v>0.33910533910533913</v>
      </c>
      <c r="E18" s="311">
        <f>IF(Rent!E18=0,0,('Tenant Charges'!$J14))</f>
        <v>0</v>
      </c>
      <c r="F18" s="311">
        <f>IF(Rent!F18=0,0,('Tenant Charges'!$J14))</f>
        <v>0</v>
      </c>
      <c r="G18" s="311">
        <f>IF(Rent!G18=0,0,('Tenant Charges'!$J14))</f>
        <v>0</v>
      </c>
      <c r="H18" s="311">
        <f>IF(Rent!H18=0,0,('Tenant Charges'!$J14))</f>
        <v>0</v>
      </c>
      <c r="I18" s="311">
        <f>IF(Rent!I18=0,0,('Tenant Charges'!$J14))</f>
        <v>158.81150793650798</v>
      </c>
      <c r="J18" s="311">
        <f>IF(Rent!J18=0,0,('Tenant Charges'!$J14))</f>
        <v>158.81150793650798</v>
      </c>
      <c r="K18" s="311">
        <f>IF(Rent!K18=0,0,('Tenant Charges'!$J14))</f>
        <v>158.81150793650798</v>
      </c>
      <c r="L18" s="311">
        <f>IF(Rent!L18=0,0,('Tenant Charges'!$J14))</f>
        <v>158.81150793650798</v>
      </c>
      <c r="M18" s="311">
        <f>IF(Rent!M18=0,0,('Tenant Charges'!$J14))</f>
        <v>158.81150793650798</v>
      </c>
      <c r="N18" s="311">
        <f>IF(Rent!N18=0,0,('Tenant Charges'!$J14))</f>
        <v>158.81150793650798</v>
      </c>
      <c r="O18" s="311">
        <f>IF(Rent!O18=0,0,('Tenant Charges'!$J14))</f>
        <v>158.81150793650798</v>
      </c>
      <c r="P18" s="311">
        <f>IF(Rent!P18=0,0,('Tenant Charges'!$J14))</f>
        <v>158.81150793650798</v>
      </c>
      <c r="Q18" s="73">
        <f t="shared" si="1"/>
        <v>1270.4920634920638</v>
      </c>
      <c r="R18" s="122">
        <f t="shared" si="2"/>
        <v>0.30035273368606707</v>
      </c>
    </row>
    <row r="19" spans="1:18">
      <c r="A19" s="7"/>
      <c r="B19" s="7"/>
      <c r="C19" s="65"/>
      <c r="D19" s="310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"/>
    </row>
    <row r="20" spans="1:18">
      <c r="A20" s="7"/>
      <c r="B20" s="7"/>
      <c r="C20" s="65"/>
      <c r="D20" s="310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"/>
    </row>
    <row r="21" spans="1:18">
      <c r="A21" s="7"/>
      <c r="B21" s="7"/>
      <c r="C21" s="65"/>
      <c r="D21" s="310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"/>
    </row>
    <row r="22" spans="1:18">
      <c r="A22" s="7"/>
      <c r="B22" s="7"/>
      <c r="C22" s="65"/>
      <c r="D22" s="310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"/>
    </row>
    <row r="23" spans="1:18">
      <c r="A23" s="7" t="s">
        <v>23</v>
      </c>
      <c r="B23" s="7"/>
      <c r="C23" s="65" t="s">
        <v>23</v>
      </c>
      <c r="D23" s="310" t="s">
        <v>23</v>
      </c>
      <c r="E23" s="73" t="s">
        <v>23</v>
      </c>
      <c r="F23" s="73" t="s">
        <v>23</v>
      </c>
      <c r="G23" s="73" t="s">
        <v>23</v>
      </c>
      <c r="H23" s="73" t="s">
        <v>23</v>
      </c>
      <c r="I23" s="73" t="s">
        <v>23</v>
      </c>
      <c r="J23" s="73" t="s">
        <v>23</v>
      </c>
      <c r="K23" s="73" t="s">
        <v>23</v>
      </c>
      <c r="L23" s="73" t="s">
        <v>23</v>
      </c>
      <c r="M23" s="73" t="s">
        <v>23</v>
      </c>
      <c r="N23" s="73" t="s">
        <v>23</v>
      </c>
      <c r="O23" s="73" t="s">
        <v>23</v>
      </c>
      <c r="P23" s="73" t="s">
        <v>23</v>
      </c>
      <c r="Q23" s="73" t="s">
        <v>23</v>
      </c>
      <c r="R23" s="7"/>
    </row>
    <row r="24" spans="1:18">
      <c r="A24" s="308"/>
      <c r="B24" s="313"/>
      <c r="C24" s="314"/>
      <c r="D24" s="314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6"/>
      <c r="R24" s="7"/>
    </row>
    <row r="25" spans="1:18">
      <c r="A25" s="287" t="s">
        <v>93</v>
      </c>
      <c r="B25" s="317"/>
      <c r="C25" s="289">
        <f>SUM(C14:C24)</f>
        <v>12474</v>
      </c>
      <c r="D25" s="289">
        <f t="shared" ref="D25:Q25" si="4">SUM(D14:D24)</f>
        <v>1</v>
      </c>
      <c r="E25" s="289">
        <f t="shared" si="4"/>
        <v>0</v>
      </c>
      <c r="F25" s="289">
        <f t="shared" si="4"/>
        <v>0</v>
      </c>
      <c r="G25" s="289">
        <f t="shared" si="4"/>
        <v>0</v>
      </c>
      <c r="H25" s="289">
        <f t="shared" si="4"/>
        <v>0</v>
      </c>
      <c r="I25" s="289">
        <f t="shared" si="4"/>
        <v>182.01375661375667</v>
      </c>
      <c r="J25" s="289">
        <f t="shared" si="4"/>
        <v>182.01375661375667</v>
      </c>
      <c r="K25" s="289">
        <f t="shared" si="4"/>
        <v>182.01375661375667</v>
      </c>
      <c r="L25" s="289">
        <f t="shared" si="4"/>
        <v>182.01375661375667</v>
      </c>
      <c r="M25" s="289">
        <f t="shared" si="4"/>
        <v>182.01375661375667</v>
      </c>
      <c r="N25" s="289">
        <f t="shared" si="4"/>
        <v>182.01375661375667</v>
      </c>
      <c r="O25" s="289">
        <f t="shared" si="4"/>
        <v>182.01375661375667</v>
      </c>
      <c r="P25" s="289">
        <f t="shared" si="4"/>
        <v>182.01375661375667</v>
      </c>
      <c r="Q25" s="289">
        <f t="shared" si="4"/>
        <v>1456.1100529100534</v>
      </c>
      <c r="R25" s="7"/>
    </row>
    <row r="26" spans="1:18">
      <c r="A26" s="319"/>
      <c r="B26" s="320"/>
      <c r="C26" s="321"/>
      <c r="D26" s="321"/>
      <c r="E26" s="321"/>
      <c r="F26" s="321"/>
      <c r="G26" s="321"/>
      <c r="H26" s="321"/>
      <c r="I26" s="321"/>
      <c r="J26" s="321"/>
      <c r="K26" s="321"/>
      <c r="L26" s="321"/>
      <c r="M26" s="321"/>
      <c r="N26" s="321"/>
      <c r="O26" s="321"/>
      <c r="P26" s="321"/>
      <c r="Q26" s="322"/>
      <c r="R26" s="7"/>
    </row>
    <row r="27" spans="1:18">
      <c r="A27" s="7"/>
      <c r="B27" s="7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323" t="s">
        <v>277</v>
      </c>
      <c r="P27" s="313"/>
      <c r="Q27" s="324">
        <f>Summary!O80</f>
        <v>5619.9000000000005</v>
      </c>
      <c r="R27" s="7"/>
    </row>
    <row r="28" spans="1:18">
      <c r="A28" s="7"/>
      <c r="B28" s="7"/>
      <c r="C28" s="44"/>
      <c r="D28" s="310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326" t="s">
        <v>267</v>
      </c>
      <c r="P28" s="320"/>
      <c r="Q28" s="327">
        <f>Q25/Q27</f>
        <v>0.25909892576559251</v>
      </c>
      <c r="R28" s="7"/>
    </row>
    <row r="29" spans="1:18">
      <c r="A29" s="7"/>
      <c r="B29" s="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329"/>
      <c r="R29" s="7"/>
    </row>
    <row r="30" spans="1:18">
      <c r="A30" s="7"/>
      <c r="B30" s="7"/>
      <c r="C30" s="7"/>
      <c r="D30" s="295" t="s">
        <v>255</v>
      </c>
      <c r="E30" s="330">
        <f>E25-Summary!C18</f>
        <v>0</v>
      </c>
      <c r="F30" s="330">
        <f>F25-Summary!D18</f>
        <v>0</v>
      </c>
      <c r="G30" s="330">
        <f>G25-Summary!E18</f>
        <v>0</v>
      </c>
      <c r="H30" s="330">
        <f>H25-Summary!F18</f>
        <v>0</v>
      </c>
      <c r="I30" s="330">
        <f>I25-Summary!G18</f>
        <v>0</v>
      </c>
      <c r="J30" s="330">
        <f>J25-Summary!H18</f>
        <v>0</v>
      </c>
      <c r="K30" s="330">
        <f>K25-Summary!I18</f>
        <v>0</v>
      </c>
      <c r="L30" s="330">
        <f>L25-Summary!J18</f>
        <v>0</v>
      </c>
      <c r="M30" s="330">
        <f>M25-Summary!K18</f>
        <v>0</v>
      </c>
      <c r="N30" s="330">
        <f>N25-Summary!L18</f>
        <v>0</v>
      </c>
      <c r="O30" s="330">
        <f>O25-Summary!M18</f>
        <v>0</v>
      </c>
      <c r="P30" s="330">
        <f>P25-Summary!N18</f>
        <v>0</v>
      </c>
      <c r="Q30" s="331">
        <f>Q25-Summary!O18</f>
        <v>0</v>
      </c>
      <c r="R30" s="7"/>
    </row>
  </sheetData>
  <customSheetViews>
    <customSheetView guid="{7691FA39-7EA9-407C-9567-49BEFD6339F8}" scale="75" showPageBreaks="1" fitToPage="1" showRuler="0" topLeftCell="A8">
      <selection activeCell="A8" sqref="A1:IV65536"/>
      <pageMargins left="0" right="0" top="0" bottom="0" header="0" footer="0"/>
      <printOptions horizontalCentered="1"/>
      <pageSetup scale="71" firstPageNumber="9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3" type="noConversion"/>
  <printOptions horizontalCentered="1"/>
  <pageMargins left="0.5" right="0.5" top="0.5" bottom="0.75" header="0.5" footer="0.5"/>
  <pageSetup paperSize="5" scale="85" firstPageNumber="6" orientation="landscape" useFirstPageNumber="1" r:id="rId2"/>
  <headerFooter alignWithMargins="0">
    <oddFooter>&amp;C&amp;8Page &amp;P</oddFooter>
  </headerFooter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AAFD-4F13-4779-97D4-C21D8C977C38}">
  <sheetPr>
    <pageSetUpPr fitToPage="1"/>
  </sheetPr>
  <dimension ref="A1:R26"/>
  <sheetViews>
    <sheetView zoomScaleNormal="100" zoomScaleSheetLayoutView="140" workbookViewId="0">
      <selection activeCell="H16" sqref="H16"/>
    </sheetView>
  </sheetViews>
  <sheetFormatPr defaultColWidth="9.33203125" defaultRowHeight="14.4"/>
  <cols>
    <col min="1" max="1" width="32.5546875" style="123" customWidth="1"/>
    <col min="2" max="2" width="9.33203125" style="123" bestFit="1" customWidth="1"/>
    <col min="3" max="3" width="13.33203125" style="123" customWidth="1"/>
    <col min="4" max="4" width="12" style="123" customWidth="1"/>
    <col min="5" max="5" width="11.33203125" style="123" customWidth="1"/>
    <col min="6" max="6" width="10.5546875" style="123" customWidth="1"/>
    <col min="7" max="7" width="9.44140625" style="123" bestFit="1" customWidth="1"/>
    <col min="8" max="8" width="10.5546875" style="123" customWidth="1"/>
    <col min="9" max="10" width="9.44140625" style="123" bestFit="1" customWidth="1"/>
    <col min="11" max="11" width="10.44140625" style="123" customWidth="1"/>
    <col min="12" max="13" width="9.44140625" style="123" bestFit="1" customWidth="1"/>
    <col min="14" max="14" width="10.5546875" style="123" customWidth="1"/>
    <col min="15" max="16" width="9.44140625" style="123" bestFit="1" customWidth="1"/>
    <col min="17" max="17" width="11.44140625" style="123" bestFit="1" customWidth="1"/>
    <col min="18" max="18" width="9.44140625" style="123" bestFit="1" customWidth="1"/>
    <col min="19" max="16384" width="9.33203125" style="123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 t="str">
        <f>Summary!T4</f>
        <v>Date Revised:</v>
      </c>
      <c r="Q1" s="45">
        <f ca="1">Summary!U4</f>
        <v>46235</v>
      </c>
      <c r="R1" s="7">
        <f>Summary!V4</f>
        <v>0</v>
      </c>
    </row>
    <row r="2" spans="1:18">
      <c r="A2" s="476" t="str">
        <f>Summary!$A2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7"/>
    </row>
    <row r="3" spans="1:18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7"/>
    </row>
    <row r="4" spans="1:18">
      <c r="A4" s="476" t="str">
        <f>Summary!$A4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7"/>
    </row>
    <row r="5" spans="1:18">
      <c r="A5" s="476" t="str">
        <f>Summary!$A5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7"/>
    </row>
    <row r="6" spans="1:18">
      <c r="A6" s="476" t="str">
        <f>Summary!$A6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7"/>
    </row>
    <row r="7" spans="1:18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7"/>
    </row>
    <row r="9" spans="1:18">
      <c r="A9" s="49" t="s">
        <v>242</v>
      </c>
      <c r="B9" s="49" t="s">
        <v>243</v>
      </c>
      <c r="C9" s="49" t="s">
        <v>90</v>
      </c>
      <c r="D9" s="49" t="s">
        <v>273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" t="s">
        <v>93</v>
      </c>
      <c r="R9" s="7"/>
    </row>
    <row r="10" spans="1:18">
      <c r="A10" s="50"/>
      <c r="B10" s="51" t="s">
        <v>245</v>
      </c>
      <c r="C10" s="51" t="s">
        <v>246</v>
      </c>
      <c r="D10" s="51" t="s">
        <v>274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7" t="s">
        <v>262</v>
      </c>
    </row>
    <row r="12" spans="1:18">
      <c r="A12" s="232" t="s">
        <v>275</v>
      </c>
      <c r="B12" s="7"/>
      <c r="C12" s="135"/>
      <c r="D12" s="334"/>
      <c r="E12" s="209"/>
      <c r="F12" s="209"/>
      <c r="G12" s="209"/>
      <c r="H12" s="209"/>
      <c r="I12" s="209"/>
      <c r="J12" s="214"/>
      <c r="K12" s="209"/>
      <c r="L12" s="209"/>
      <c r="M12" s="209"/>
      <c r="N12" s="209"/>
      <c r="O12" s="209"/>
      <c r="P12" s="209"/>
      <c r="Q12" s="209"/>
      <c r="R12" s="7"/>
    </row>
    <row r="13" spans="1:18">
      <c r="A13" s="57"/>
      <c r="B13" s="7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7"/>
    </row>
    <row r="14" spans="1:18">
      <c r="A14" s="57"/>
      <c r="B14" s="64"/>
      <c r="C14" s="6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73"/>
      <c r="R14" s="122"/>
    </row>
    <row r="15" spans="1:18">
      <c r="A15" s="7" t="str">
        <f>Rent!A15</f>
        <v>Occupational Medicine for Business &amp; Industry</v>
      </c>
      <c r="B15" s="64" t="str">
        <f>Rent!B15</f>
        <v>100A</v>
      </c>
      <c r="C15" s="65">
        <f>Rent!C15</f>
        <v>5659</v>
      </c>
      <c r="D15" s="310">
        <f>C15/$C$21</f>
        <v>0.45366362033028701</v>
      </c>
      <c r="E15" s="311">
        <v>329.91</v>
      </c>
      <c r="F15" s="311">
        <f>E15</f>
        <v>329.91</v>
      </c>
      <c r="G15" s="311">
        <f t="shared" ref="G15:P15" si="0">F15</f>
        <v>329.91</v>
      </c>
      <c r="H15" s="311">
        <f t="shared" si="0"/>
        <v>329.91</v>
      </c>
      <c r="I15" s="311">
        <f t="shared" si="0"/>
        <v>329.91</v>
      </c>
      <c r="J15" s="311">
        <f t="shared" si="0"/>
        <v>329.91</v>
      </c>
      <c r="K15" s="311">
        <f t="shared" si="0"/>
        <v>329.91</v>
      </c>
      <c r="L15" s="311">
        <f t="shared" si="0"/>
        <v>329.91</v>
      </c>
      <c r="M15" s="311">
        <f t="shared" si="0"/>
        <v>329.91</v>
      </c>
      <c r="N15" s="311">
        <f t="shared" si="0"/>
        <v>329.91</v>
      </c>
      <c r="O15" s="311">
        <f t="shared" si="0"/>
        <v>329.91</v>
      </c>
      <c r="P15" s="311">
        <f t="shared" si="0"/>
        <v>329.91</v>
      </c>
      <c r="Q15" s="73">
        <f t="shared" ref="Q15:Q18" si="1">SUM(E15:P15)</f>
        <v>3958.9199999999996</v>
      </c>
      <c r="R15" s="122">
        <f t="shared" ref="R15:R18" si="2">Q15/C15</f>
        <v>0.69957943099487541</v>
      </c>
    </row>
    <row r="16" spans="1:18">
      <c r="A16" s="7" t="str">
        <f>Rent!A16</f>
        <v>Arizona Sports &amp; Spine Physicians</v>
      </c>
      <c r="B16" s="64" t="str">
        <f>Rent!B16</f>
        <v>101A</v>
      </c>
      <c r="C16" s="65">
        <f>Rent!C16</f>
        <v>1967</v>
      </c>
      <c r="D16" s="310">
        <f>C16/$C$21</f>
        <v>0.15768799102132436</v>
      </c>
      <c r="E16" s="311">
        <v>119.82</v>
      </c>
      <c r="F16" s="311">
        <f>E16</f>
        <v>119.82</v>
      </c>
      <c r="G16" s="311">
        <f t="shared" ref="G16:P16" si="3">F16</f>
        <v>119.82</v>
      </c>
      <c r="H16" s="311">
        <f t="shared" si="3"/>
        <v>119.82</v>
      </c>
      <c r="I16" s="311">
        <f t="shared" si="3"/>
        <v>119.82</v>
      </c>
      <c r="J16" s="311">
        <f t="shared" si="3"/>
        <v>119.82</v>
      </c>
      <c r="K16" s="311">
        <f t="shared" si="3"/>
        <v>119.82</v>
      </c>
      <c r="L16" s="311">
        <f t="shared" si="3"/>
        <v>119.82</v>
      </c>
      <c r="M16" s="311">
        <f t="shared" si="3"/>
        <v>119.82</v>
      </c>
      <c r="N16" s="311">
        <f t="shared" si="3"/>
        <v>119.82</v>
      </c>
      <c r="O16" s="311">
        <f t="shared" si="3"/>
        <v>119.82</v>
      </c>
      <c r="P16" s="311">
        <f t="shared" si="3"/>
        <v>119.82</v>
      </c>
      <c r="Q16" s="73">
        <f t="shared" si="1"/>
        <v>1437.8399999999995</v>
      </c>
      <c r="R16" s="122">
        <f t="shared" si="2"/>
        <v>0.73098118962887615</v>
      </c>
    </row>
    <row r="17" spans="1:18">
      <c r="A17" s="7" t="str">
        <f>Rent!A17</f>
        <v>Vacant</v>
      </c>
      <c r="B17" s="64" t="str">
        <f>Rent!B17</f>
        <v>100B</v>
      </c>
      <c r="C17" s="65">
        <f>Rent!C17</f>
        <v>618</v>
      </c>
      <c r="D17" s="310">
        <f t="shared" ref="D17:D18" si="4">C17/$C$21</f>
        <v>4.9543049543049542E-2</v>
      </c>
      <c r="E17" s="73">
        <v>0</v>
      </c>
      <c r="F17" s="73">
        <f>E17</f>
        <v>0</v>
      </c>
      <c r="G17" s="73">
        <f t="shared" ref="G17:P17" si="5">F17</f>
        <v>0</v>
      </c>
      <c r="H17" s="73">
        <f t="shared" si="5"/>
        <v>0</v>
      </c>
      <c r="I17" s="73">
        <f t="shared" si="5"/>
        <v>0</v>
      </c>
      <c r="J17" s="73">
        <f t="shared" si="5"/>
        <v>0</v>
      </c>
      <c r="K17" s="73">
        <f t="shared" si="5"/>
        <v>0</v>
      </c>
      <c r="L17" s="73">
        <f t="shared" si="5"/>
        <v>0</v>
      </c>
      <c r="M17" s="73">
        <f t="shared" si="5"/>
        <v>0</v>
      </c>
      <c r="N17" s="73">
        <f t="shared" si="5"/>
        <v>0</v>
      </c>
      <c r="O17" s="73">
        <f t="shared" si="5"/>
        <v>0</v>
      </c>
      <c r="P17" s="73">
        <f t="shared" si="5"/>
        <v>0</v>
      </c>
      <c r="Q17" s="73">
        <f t="shared" si="1"/>
        <v>0</v>
      </c>
      <c r="R17" s="122">
        <f t="shared" si="2"/>
        <v>0</v>
      </c>
    </row>
    <row r="18" spans="1:18">
      <c r="A18" s="7" t="str">
        <f>Rent!A18</f>
        <v>Vacant</v>
      </c>
      <c r="B18" s="64" t="str">
        <f>Rent!B18</f>
        <v>101B/102B</v>
      </c>
      <c r="C18" s="65">
        <f>Rent!C18</f>
        <v>4230</v>
      </c>
      <c r="D18" s="310">
        <f t="shared" si="4"/>
        <v>0.33910533910533913</v>
      </c>
      <c r="E18" s="73">
        <v>0</v>
      </c>
      <c r="F18" s="73">
        <f>E18</f>
        <v>0</v>
      </c>
      <c r="G18" s="73">
        <f t="shared" ref="G18:P18" si="6">F18</f>
        <v>0</v>
      </c>
      <c r="H18" s="73">
        <f t="shared" si="6"/>
        <v>0</v>
      </c>
      <c r="I18" s="73">
        <f t="shared" si="6"/>
        <v>0</v>
      </c>
      <c r="J18" s="73">
        <f t="shared" si="6"/>
        <v>0</v>
      </c>
      <c r="K18" s="73">
        <f t="shared" si="6"/>
        <v>0</v>
      </c>
      <c r="L18" s="73">
        <f t="shared" si="6"/>
        <v>0</v>
      </c>
      <c r="M18" s="73">
        <f t="shared" si="6"/>
        <v>0</v>
      </c>
      <c r="N18" s="73">
        <f t="shared" si="6"/>
        <v>0</v>
      </c>
      <c r="O18" s="73">
        <f t="shared" si="6"/>
        <v>0</v>
      </c>
      <c r="P18" s="73">
        <f t="shared" si="6"/>
        <v>0</v>
      </c>
      <c r="Q18" s="73">
        <f t="shared" si="1"/>
        <v>0</v>
      </c>
      <c r="R18" s="122">
        <f t="shared" si="2"/>
        <v>0</v>
      </c>
    </row>
    <row r="19" spans="1:18">
      <c r="A19" s="7" t="s">
        <v>23</v>
      </c>
      <c r="B19" s="7"/>
      <c r="C19" s="65" t="s">
        <v>23</v>
      </c>
      <c r="D19" s="310" t="s">
        <v>23</v>
      </c>
      <c r="E19" s="73" t="s">
        <v>23</v>
      </c>
      <c r="F19" s="73" t="s">
        <v>23</v>
      </c>
      <c r="G19" s="73" t="s">
        <v>23</v>
      </c>
      <c r="H19" s="73" t="s">
        <v>23</v>
      </c>
      <c r="I19" s="73" t="s">
        <v>23</v>
      </c>
      <c r="J19" s="73" t="s">
        <v>23</v>
      </c>
      <c r="K19" s="73" t="s">
        <v>23</v>
      </c>
      <c r="L19" s="73" t="s">
        <v>23</v>
      </c>
      <c r="M19" s="73" t="s">
        <v>23</v>
      </c>
      <c r="N19" s="73" t="s">
        <v>23</v>
      </c>
      <c r="O19" s="73" t="s">
        <v>23</v>
      </c>
      <c r="P19" s="73" t="s">
        <v>23</v>
      </c>
      <c r="Q19" s="73" t="s">
        <v>23</v>
      </c>
      <c r="R19" s="7"/>
    </row>
    <row r="20" spans="1:18">
      <c r="A20" s="308"/>
      <c r="B20" s="313"/>
      <c r="C20" s="314"/>
      <c r="D20" s="314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6"/>
      <c r="R20" s="7"/>
    </row>
    <row r="21" spans="1:18">
      <c r="A21" s="287" t="s">
        <v>93</v>
      </c>
      <c r="B21" s="317"/>
      <c r="C21" s="289">
        <f>SUM(C14:C20)</f>
        <v>12474</v>
      </c>
      <c r="D21" s="289">
        <f t="shared" ref="D21:Q21" si="7">SUM(D14:D20)</f>
        <v>1</v>
      </c>
      <c r="E21" s="289">
        <f t="shared" si="7"/>
        <v>449.73</v>
      </c>
      <c r="F21" s="289">
        <f t="shared" si="7"/>
        <v>449.73</v>
      </c>
      <c r="G21" s="289">
        <f t="shared" si="7"/>
        <v>449.73</v>
      </c>
      <c r="H21" s="289">
        <f t="shared" si="7"/>
        <v>449.73</v>
      </c>
      <c r="I21" s="289">
        <f t="shared" si="7"/>
        <v>449.73</v>
      </c>
      <c r="J21" s="289">
        <f t="shared" si="7"/>
        <v>449.73</v>
      </c>
      <c r="K21" s="289">
        <f t="shared" si="7"/>
        <v>449.73</v>
      </c>
      <c r="L21" s="289">
        <f t="shared" si="7"/>
        <v>449.73</v>
      </c>
      <c r="M21" s="289">
        <f t="shared" si="7"/>
        <v>449.73</v>
      </c>
      <c r="N21" s="289">
        <f t="shared" si="7"/>
        <v>449.73</v>
      </c>
      <c r="O21" s="289">
        <f t="shared" si="7"/>
        <v>449.73</v>
      </c>
      <c r="P21" s="289">
        <f t="shared" si="7"/>
        <v>449.73</v>
      </c>
      <c r="Q21" s="289">
        <f t="shared" si="7"/>
        <v>5396.7599999999993</v>
      </c>
      <c r="R21" s="7"/>
    </row>
    <row r="22" spans="1:18">
      <c r="A22" s="319"/>
      <c r="B22" s="320"/>
      <c r="C22" s="321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322"/>
      <c r="R22" s="7"/>
    </row>
    <row r="23" spans="1:18">
      <c r="A23" s="7"/>
      <c r="B23" s="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323" t="s">
        <v>276</v>
      </c>
      <c r="P23" s="313"/>
      <c r="Q23" s="324">
        <f>Summary!O85</f>
        <v>34927.629999999997</v>
      </c>
      <c r="R23" s="7"/>
    </row>
    <row r="24" spans="1:18">
      <c r="A24" s="7"/>
      <c r="B24" s="7"/>
      <c r="C24" s="44"/>
      <c r="D24" s="31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326" t="s">
        <v>267</v>
      </c>
      <c r="P24" s="320"/>
      <c r="Q24" s="327">
        <f>Q21/Q23</f>
        <v>0.1545126308312359</v>
      </c>
      <c r="R24" s="7"/>
    </row>
    <row r="25" spans="1:18">
      <c r="A25" s="7"/>
      <c r="B25" s="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329"/>
      <c r="R25" s="7"/>
    </row>
    <row r="26" spans="1:18">
      <c r="A26" s="7"/>
      <c r="B26" s="7"/>
      <c r="C26" s="7"/>
      <c r="D26" s="295" t="s">
        <v>255</v>
      </c>
      <c r="E26" s="330">
        <f>E21-Summary!C21</f>
        <v>0</v>
      </c>
      <c r="F26" s="330">
        <f>F21-Summary!D21</f>
        <v>0</v>
      </c>
      <c r="G26" s="330">
        <f>G21-Summary!E21</f>
        <v>0</v>
      </c>
      <c r="H26" s="330">
        <f>H21-Summary!F21</f>
        <v>0</v>
      </c>
      <c r="I26" s="330">
        <f>I21-Summary!G21</f>
        <v>0</v>
      </c>
      <c r="J26" s="330">
        <f>J21-Summary!H21</f>
        <v>0</v>
      </c>
      <c r="K26" s="330">
        <f>K21-Summary!I21</f>
        <v>0</v>
      </c>
      <c r="L26" s="330">
        <f>L21-Summary!J21</f>
        <v>0</v>
      </c>
      <c r="M26" s="330">
        <f>M21-Summary!K21</f>
        <v>0</v>
      </c>
      <c r="N26" s="330">
        <f>N21-Summary!L21</f>
        <v>0</v>
      </c>
      <c r="O26" s="330">
        <f>O21-Summary!M21</f>
        <v>0</v>
      </c>
      <c r="P26" s="330">
        <f>P21-Summary!N21</f>
        <v>0</v>
      </c>
      <c r="Q26" s="331">
        <f>Q21-Summary!O21</f>
        <v>0</v>
      </c>
      <c r="R26" s="7"/>
    </row>
  </sheetData>
  <mergeCells count="5"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5" scale="85" firstPageNumber="6" orientation="landscape" useFirstPageNumber="1" r:id="rId1"/>
  <headerFooter alignWithMargins="0">
    <oddFooter>&amp;C&amp;8Page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48"/>
  <sheetViews>
    <sheetView zoomScaleNormal="100" zoomScaleSheetLayoutView="100" workbookViewId="0">
      <selection activeCell="R20" sqref="R20"/>
    </sheetView>
  </sheetViews>
  <sheetFormatPr defaultColWidth="9.33203125" defaultRowHeight="14.4"/>
  <cols>
    <col min="1" max="1" width="32" style="123" customWidth="1"/>
    <col min="2" max="2" width="9.33203125" style="123"/>
    <col min="3" max="15" width="11.6640625" style="123" bestFit="1" customWidth="1"/>
    <col min="16" max="16" width="12.33203125" style="123" bestFit="1" customWidth="1"/>
    <col min="17" max="17" width="10.33203125" style="123" customWidth="1"/>
    <col min="18" max="16384" width="9.33203125" style="123"/>
  </cols>
  <sheetData>
    <row r="1" spans="1:17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44" t="str">
        <f>Summary!T4</f>
        <v>Date Revised:</v>
      </c>
      <c r="P1" s="335">
        <f ca="1">Summary!U4</f>
        <v>46235</v>
      </c>
      <c r="Q1" s="7">
        <f>Summary!V4</f>
        <v>0</v>
      </c>
    </row>
    <row r="2" spans="1:17">
      <c r="A2" s="476" t="str">
        <f>Summary!$A2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7"/>
    </row>
    <row r="3" spans="1:17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7"/>
    </row>
    <row r="4" spans="1:17">
      <c r="A4" s="476" t="str">
        <f>Summary!$A4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7"/>
    </row>
    <row r="5" spans="1:17">
      <c r="A5" s="476" t="str">
        <f>Summary!$A5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7"/>
    </row>
    <row r="6" spans="1:17">
      <c r="A6" s="476" t="str">
        <f>Summary!$A6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7"/>
    </row>
    <row r="7" spans="1:17">
      <c r="A7" s="7"/>
      <c r="B7" s="7"/>
      <c r="C7" s="7"/>
      <c r="D7" s="7"/>
      <c r="E7" s="7"/>
      <c r="F7" s="7"/>
      <c r="G7" s="7"/>
      <c r="H7" s="336"/>
      <c r="I7" s="7"/>
      <c r="J7" s="7"/>
      <c r="K7" s="7"/>
      <c r="L7" s="7"/>
      <c r="M7" s="7"/>
      <c r="N7" s="7"/>
      <c r="O7" s="7"/>
      <c r="P7" s="7"/>
      <c r="Q7" s="7"/>
    </row>
    <row r="8" spans="1:17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7"/>
    </row>
    <row r="9" spans="1:17">
      <c r="A9" s="49" t="s">
        <v>242</v>
      </c>
      <c r="B9" s="49" t="s">
        <v>243</v>
      </c>
      <c r="C9" s="49" t="s">
        <v>90</v>
      </c>
      <c r="D9" s="49" t="s">
        <v>75</v>
      </c>
      <c r="E9" s="49" t="s">
        <v>76</v>
      </c>
      <c r="F9" s="49" t="s">
        <v>77</v>
      </c>
      <c r="G9" s="49" t="s">
        <v>78</v>
      </c>
      <c r="H9" s="49" t="s">
        <v>79</v>
      </c>
      <c r="I9" s="49" t="s">
        <v>80</v>
      </c>
      <c r="J9" s="49" t="s">
        <v>81</v>
      </c>
      <c r="K9" s="49" t="s">
        <v>82</v>
      </c>
      <c r="L9" s="49" t="s">
        <v>83</v>
      </c>
      <c r="M9" s="49" t="s">
        <v>84</v>
      </c>
      <c r="N9" s="49" t="s">
        <v>85</v>
      </c>
      <c r="O9" s="49" t="s">
        <v>86</v>
      </c>
      <c r="P9" s="49" t="s">
        <v>93</v>
      </c>
      <c r="Q9" s="7"/>
    </row>
    <row r="10" spans="1:17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7"/>
    </row>
    <row r="11" spans="1:17">
      <c r="A11" s="57"/>
      <c r="B11" s="7"/>
      <c r="C11" s="135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7"/>
    </row>
    <row r="12" spans="1:17">
      <c r="A12" s="232" t="s">
        <v>278</v>
      </c>
      <c r="B12" s="7"/>
      <c r="C12" s="135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7"/>
    </row>
    <row r="13" spans="1:17">
      <c r="A13" s="7"/>
      <c r="B13" s="7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7"/>
    </row>
    <row r="14" spans="1:17">
      <c r="A14" s="7"/>
      <c r="B14" s="64"/>
      <c r="C14" s="337"/>
      <c r="D14" s="238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338"/>
      <c r="Q14" s="7"/>
    </row>
    <row r="15" spans="1:17">
      <c r="A15" s="7" t="str">
        <f>Rent!A15</f>
        <v>Occupational Medicine for Business &amp; Industry</v>
      </c>
      <c r="B15" s="64" t="str">
        <f>Rent!B15</f>
        <v>100A</v>
      </c>
      <c r="C15" s="337">
        <f>Rent!C15</f>
        <v>5659</v>
      </c>
      <c r="D15" s="339">
        <f>IF(Rent!E15=0,0,($C15))</f>
        <v>5659</v>
      </c>
      <c r="E15" s="339">
        <f>IF(Rent!F15=0,0,($C15))</f>
        <v>5659</v>
      </c>
      <c r="F15" s="339">
        <f>IF(Rent!G15=0,0,($C15))</f>
        <v>5659</v>
      </c>
      <c r="G15" s="339">
        <f>IF(Rent!H15=0,0,($C15))</f>
        <v>5659</v>
      </c>
      <c r="H15" s="339">
        <f>IF(Rent!I15=0,0,($C15))</f>
        <v>5659</v>
      </c>
      <c r="I15" s="339">
        <f>IF(Rent!J15=0,0,($C15))</f>
        <v>5659</v>
      </c>
      <c r="J15" s="339">
        <f>IF(Rent!K15=0,0,($C15))</f>
        <v>5659</v>
      </c>
      <c r="K15" s="339">
        <f>IF(Rent!L15=0,0,($C15))</f>
        <v>5659</v>
      </c>
      <c r="L15" s="339">
        <f>IF(Rent!M15=0,0,($C15))</f>
        <v>5659</v>
      </c>
      <c r="M15" s="339">
        <f>IF(Rent!N15=0,0,($C15))</f>
        <v>5659</v>
      </c>
      <c r="N15" s="339">
        <f>IF(Rent!O15=0,0,($C15))</f>
        <v>5659</v>
      </c>
      <c r="O15" s="339">
        <f>IF(Rent!P15=0,0,($C15))</f>
        <v>5659</v>
      </c>
      <c r="P15" s="338">
        <f t="shared" ref="P15:P18" si="0">(SUM(D15:O15)/12)/C15</f>
        <v>1</v>
      </c>
      <c r="Q15" s="7"/>
    </row>
    <row r="16" spans="1:17">
      <c r="A16" s="7" t="str">
        <f>Rent!A16</f>
        <v>Arizona Sports &amp; Spine Physicians</v>
      </c>
      <c r="B16" s="64" t="str">
        <f>Rent!B16</f>
        <v>101A</v>
      </c>
      <c r="C16" s="337">
        <f>Rent!C16</f>
        <v>1967</v>
      </c>
      <c r="D16" s="339">
        <f>IF(Rent!E16=0,0,($C16))</f>
        <v>1967</v>
      </c>
      <c r="E16" s="339">
        <f>IF(Rent!F16=0,0,($C16))</f>
        <v>1967</v>
      </c>
      <c r="F16" s="339">
        <f>IF(Rent!G16=0,0,($C16))</f>
        <v>1967</v>
      </c>
      <c r="G16" s="339">
        <f>IF(Rent!H16=0,0,($C16))</f>
        <v>1967</v>
      </c>
      <c r="H16" s="339">
        <f>IF(Rent!I16=0,0,($C16))</f>
        <v>1967</v>
      </c>
      <c r="I16" s="339">
        <f>IF(Rent!J16=0,0,($C16))</f>
        <v>1967</v>
      </c>
      <c r="J16" s="339">
        <f>IF(Rent!K16=0,0,($C16))</f>
        <v>1967</v>
      </c>
      <c r="K16" s="339">
        <f>IF(Rent!L16=0,0,($C16))</f>
        <v>1967</v>
      </c>
      <c r="L16" s="339">
        <f>IF(Rent!M16=0,0,($C16))</f>
        <v>1967</v>
      </c>
      <c r="M16" s="339">
        <f>IF(Rent!N16=0,0,($C16))</f>
        <v>1967</v>
      </c>
      <c r="N16" s="339">
        <f>IF(Rent!O16=0,0,($C16))</f>
        <v>1967</v>
      </c>
      <c r="O16" s="339">
        <f>IF(Rent!P16=0,0,($C16))</f>
        <v>1967</v>
      </c>
      <c r="P16" s="338">
        <f t="shared" si="0"/>
        <v>1</v>
      </c>
      <c r="Q16" s="7"/>
    </row>
    <row r="17" spans="1:17">
      <c r="A17" s="7" t="str">
        <f>Rent!A17</f>
        <v>Vacant</v>
      </c>
      <c r="B17" s="64" t="str">
        <f>Rent!B17</f>
        <v>100B</v>
      </c>
      <c r="C17" s="337">
        <f>Rent!C17</f>
        <v>618</v>
      </c>
      <c r="D17" s="339">
        <f>IF(Rent!E17=0,0,($C17))</f>
        <v>0</v>
      </c>
      <c r="E17" s="339">
        <f>IF(Rent!F17=0,0,($C17))</f>
        <v>0</v>
      </c>
      <c r="F17" s="339">
        <f>IF(Rent!G17=0,0,($C17))</f>
        <v>0</v>
      </c>
      <c r="G17" s="339">
        <f>IF(Rent!H17=0,0,($C17))</f>
        <v>0</v>
      </c>
      <c r="H17" s="339">
        <f>IF(Rent!I17=0,0,($C17))</f>
        <v>618</v>
      </c>
      <c r="I17" s="339">
        <f>IF(Rent!J17=0,0,($C17))</f>
        <v>618</v>
      </c>
      <c r="J17" s="339">
        <f>IF(Rent!K17=0,0,($C17))</f>
        <v>618</v>
      </c>
      <c r="K17" s="339">
        <f>IF(Rent!L17=0,0,($C17))</f>
        <v>618</v>
      </c>
      <c r="L17" s="339">
        <f>IF(Rent!M17=0,0,($C17))</f>
        <v>618</v>
      </c>
      <c r="M17" s="339">
        <f>IF(Rent!N17=0,0,($C17))</f>
        <v>618</v>
      </c>
      <c r="N17" s="339">
        <f>IF(Rent!O17=0,0,($C17))</f>
        <v>618</v>
      </c>
      <c r="O17" s="339">
        <f>IF(Rent!P17=0,0,($C17))</f>
        <v>618</v>
      </c>
      <c r="P17" s="338">
        <f t="shared" si="0"/>
        <v>0.66666666666666663</v>
      </c>
      <c r="Q17" s="7"/>
    </row>
    <row r="18" spans="1:17">
      <c r="A18" s="7" t="str">
        <f>Rent!A18</f>
        <v>Vacant</v>
      </c>
      <c r="B18" s="64" t="str">
        <f>Rent!B18</f>
        <v>101B/102B</v>
      </c>
      <c r="C18" s="337">
        <f>Rent!C18</f>
        <v>4230</v>
      </c>
      <c r="D18" s="339">
        <f>IF(Rent!E18=0,0,($C18))</f>
        <v>0</v>
      </c>
      <c r="E18" s="339">
        <f>IF(Rent!F18=0,0,($C18))</f>
        <v>0</v>
      </c>
      <c r="F18" s="339">
        <f>IF(Rent!G18=0,0,($C18))</f>
        <v>0</v>
      </c>
      <c r="G18" s="339">
        <f>IF(Rent!H18=0,0,($C18))</f>
        <v>0</v>
      </c>
      <c r="H18" s="339">
        <f>IF(Rent!I18=0,0,($C18))</f>
        <v>4230</v>
      </c>
      <c r="I18" s="339">
        <f>IF(Rent!J18=0,0,($C18))</f>
        <v>4230</v>
      </c>
      <c r="J18" s="339">
        <f>IF(Rent!K18=0,0,($C18))</f>
        <v>4230</v>
      </c>
      <c r="K18" s="339">
        <f>IF(Rent!L18=0,0,($C18))</f>
        <v>4230</v>
      </c>
      <c r="L18" s="339">
        <f>IF(Rent!M18=0,0,($C18))</f>
        <v>4230</v>
      </c>
      <c r="M18" s="339">
        <f>IF(Rent!N18=0,0,($C18))</f>
        <v>4230</v>
      </c>
      <c r="N18" s="339">
        <f>IF(Rent!O18=0,0,($C18))</f>
        <v>4230</v>
      </c>
      <c r="O18" s="339">
        <f>IF(Rent!P18=0,0,($C18))</f>
        <v>4230</v>
      </c>
      <c r="P18" s="338">
        <f t="shared" si="0"/>
        <v>0.66666666666666663</v>
      </c>
      <c r="Q18" s="7"/>
    </row>
    <row r="19" spans="1:17">
      <c r="A19" s="7"/>
      <c r="B19" s="7"/>
      <c r="C19" s="6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"/>
    </row>
    <row r="20" spans="1:17">
      <c r="A20" s="308"/>
      <c r="B20" s="313"/>
      <c r="C20" s="314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6"/>
      <c r="Q20" s="7"/>
    </row>
    <row r="21" spans="1:17">
      <c r="A21" s="287" t="s">
        <v>93</v>
      </c>
      <c r="B21" s="317"/>
      <c r="C21" s="290">
        <f t="shared" ref="C21:O21" si="1">SUM(C14:C20)</f>
        <v>12474</v>
      </c>
      <c r="D21" s="290">
        <f t="shared" si="1"/>
        <v>7626</v>
      </c>
      <c r="E21" s="290">
        <f t="shared" si="1"/>
        <v>7626</v>
      </c>
      <c r="F21" s="290">
        <f t="shared" si="1"/>
        <v>7626</v>
      </c>
      <c r="G21" s="290">
        <f t="shared" si="1"/>
        <v>7626</v>
      </c>
      <c r="H21" s="290">
        <f t="shared" si="1"/>
        <v>12474</v>
      </c>
      <c r="I21" s="290">
        <f t="shared" si="1"/>
        <v>12474</v>
      </c>
      <c r="J21" s="290">
        <f t="shared" si="1"/>
        <v>12474</v>
      </c>
      <c r="K21" s="290">
        <f t="shared" si="1"/>
        <v>12474</v>
      </c>
      <c r="L21" s="290">
        <f t="shared" si="1"/>
        <v>12474</v>
      </c>
      <c r="M21" s="290">
        <f t="shared" si="1"/>
        <v>12474</v>
      </c>
      <c r="N21" s="290">
        <f t="shared" si="1"/>
        <v>12474</v>
      </c>
      <c r="O21" s="290">
        <f t="shared" si="1"/>
        <v>12474</v>
      </c>
      <c r="P21" s="340"/>
      <c r="Q21" s="7"/>
    </row>
    <row r="22" spans="1:17">
      <c r="A22" s="319"/>
      <c r="B22" s="320"/>
      <c r="C22" s="320"/>
      <c r="D22" s="341">
        <f>D21/$C$21</f>
        <v>0.61135161135161131</v>
      </c>
      <c r="E22" s="341">
        <f t="shared" ref="E22:N22" si="2">E21/$C$21</f>
        <v>0.61135161135161131</v>
      </c>
      <c r="F22" s="341">
        <f t="shared" si="2"/>
        <v>0.61135161135161131</v>
      </c>
      <c r="G22" s="341">
        <f t="shared" si="2"/>
        <v>0.61135161135161131</v>
      </c>
      <c r="H22" s="341">
        <f t="shared" si="2"/>
        <v>1</v>
      </c>
      <c r="I22" s="341">
        <f t="shared" si="2"/>
        <v>1</v>
      </c>
      <c r="J22" s="341">
        <f t="shared" si="2"/>
        <v>1</v>
      </c>
      <c r="K22" s="341">
        <f t="shared" si="2"/>
        <v>1</v>
      </c>
      <c r="L22" s="341">
        <f t="shared" si="2"/>
        <v>1</v>
      </c>
      <c r="M22" s="341">
        <f t="shared" si="2"/>
        <v>1</v>
      </c>
      <c r="N22" s="341">
        <f t="shared" si="2"/>
        <v>1</v>
      </c>
      <c r="O22" s="341">
        <f>O21/$C$21</f>
        <v>1</v>
      </c>
      <c r="P22" s="342"/>
      <c r="Q22" s="7"/>
    </row>
    <row r="23" spans="1:17">
      <c r="A23" s="7"/>
      <c r="B23" s="7"/>
      <c r="C23" s="135"/>
      <c r="D23" s="27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</row>
    <row r="24" spans="1:17">
      <c r="A24" s="44" t="s">
        <v>279</v>
      </c>
      <c r="B24" s="64"/>
      <c r="C24" s="65">
        <f>C15+C16</f>
        <v>7626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7"/>
    </row>
    <row r="25" spans="1:17">
      <c r="A25" s="44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7"/>
    </row>
    <row r="26" spans="1:17">
      <c r="A26" s="44" t="s">
        <v>280</v>
      </c>
      <c r="B26" s="64"/>
      <c r="C26" s="343">
        <f>C21/C24</f>
        <v>1.6357199055861527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7"/>
    </row>
    <row r="27" spans="1:17">
      <c r="A27" s="44"/>
      <c r="B27" s="64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7"/>
    </row>
    <row r="28" spans="1:17">
      <c r="A28" s="44" t="s">
        <v>281</v>
      </c>
      <c r="B28" s="64"/>
      <c r="C28" s="343">
        <f>C26*0.95</f>
        <v>1.553933910306845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7"/>
    </row>
    <row r="29" spans="1:17">
      <c r="A29" s="7"/>
      <c r="B29" s="7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7"/>
      <c r="Q29" s="7"/>
    </row>
    <row r="30" spans="1:17">
      <c r="A30" s="7"/>
      <c r="B30" s="7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7"/>
      <c r="Q30" s="7"/>
    </row>
    <row r="31" spans="1:17">
      <c r="A31" s="7"/>
      <c r="B31" s="7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7"/>
      <c r="Q31" s="7"/>
    </row>
    <row r="32" spans="1:17">
      <c r="A32" s="7"/>
      <c r="B32" s="7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7"/>
      <c r="Q32" s="7"/>
    </row>
    <row r="33" spans="3:16"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7"/>
    </row>
    <row r="34" spans="3:16"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7"/>
    </row>
    <row r="35" spans="3:16"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7"/>
    </row>
    <row r="36" spans="3:16"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7"/>
    </row>
    <row r="37" spans="3:16"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7"/>
    </row>
    <row r="38" spans="3:16"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7"/>
    </row>
    <row r="39" spans="3:16"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7"/>
    </row>
    <row r="40" spans="3:16"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7"/>
    </row>
    <row r="41" spans="3:16"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7"/>
    </row>
    <row r="42" spans="3:16"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7"/>
    </row>
    <row r="43" spans="3:16"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7"/>
    </row>
    <row r="44" spans="3:16"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7"/>
    </row>
    <row r="45" spans="3:16"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7"/>
    </row>
    <row r="46" spans="3:16"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7"/>
    </row>
    <row r="47" spans="3:16"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7"/>
    </row>
    <row r="48" spans="3:16"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</row>
  </sheetData>
  <customSheetViews>
    <customSheetView guid="{7691FA39-7EA9-407C-9567-49BEFD6339F8}" scale="75" showPageBreaks="1" printArea="1" showRuler="0">
      <selection activeCell="A32" sqref="A32"/>
      <rowBreaks count="1" manualBreakCount="1">
        <brk id="55" max="15" man="1"/>
      </rowBreaks>
      <pageMargins left="0" right="0" top="0" bottom="0" header="0" footer="0"/>
      <printOptions horizontalCentered="1"/>
      <pageSetup scale="65" firstPageNumber="13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3" type="noConversion"/>
  <printOptions horizontalCentered="1"/>
  <pageMargins left="0.5" right="0.5" top="0.75" bottom="0.75" header="0.5" footer="0.5"/>
  <pageSetup paperSize="5" scale="81" firstPageNumber="9" orientation="landscape" useFirstPageNumber="1" r:id="rId2"/>
  <headerFooter alignWithMargins="0">
    <oddFooter>Page &amp;P</oddFooter>
  </headerFooter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0C94-74A6-4040-B324-45088DEF7EBC}">
  <sheetPr>
    <tabColor rgb="FFFFFF00"/>
    <pageSetUpPr fitToPage="1"/>
  </sheetPr>
  <dimension ref="A1:V44"/>
  <sheetViews>
    <sheetView view="pageBreakPreview" zoomScaleNormal="85" zoomScaleSheetLayoutView="100" workbookViewId="0">
      <selection activeCell="H21" sqref="H21"/>
    </sheetView>
  </sheetViews>
  <sheetFormatPr defaultRowHeight="13.2"/>
  <cols>
    <col min="1" max="1" width="51.5546875" style="2" customWidth="1"/>
    <col min="2" max="2" width="22.6640625" style="2" customWidth="1"/>
    <col min="3" max="3" width="11.44140625" style="2" customWidth="1"/>
    <col min="4" max="4" width="10.5546875" style="2" bestFit="1" customWidth="1"/>
    <col min="5" max="5" width="11.6640625" style="2" bestFit="1" customWidth="1"/>
    <col min="6" max="6" width="16.33203125" style="2" bestFit="1" customWidth="1"/>
    <col min="7" max="16" width="11.5546875" style="2" bestFit="1" customWidth="1"/>
    <col min="17" max="17" width="11.44140625" style="2" bestFit="1" customWidth="1"/>
    <col min="18" max="19" width="0" style="2" hidden="1" customWidth="1"/>
    <col min="20" max="20" width="55.33203125" style="2" customWidth="1"/>
    <col min="21" max="256" width="9.33203125" style="2"/>
    <col min="257" max="257" width="51.5546875" style="2" customWidth="1"/>
    <col min="258" max="258" width="11.6640625" style="2" bestFit="1" customWidth="1"/>
    <col min="259" max="259" width="11.44140625" style="2" customWidth="1"/>
    <col min="260" max="260" width="10.5546875" style="2" bestFit="1" customWidth="1"/>
    <col min="261" max="262" width="11.6640625" style="2" bestFit="1" customWidth="1"/>
    <col min="263" max="272" width="11.5546875" style="2" bestFit="1" customWidth="1"/>
    <col min="273" max="273" width="11.44140625" style="2" bestFit="1" customWidth="1"/>
    <col min="274" max="275" width="0" style="2" hidden="1" customWidth="1"/>
    <col min="276" max="276" width="55.33203125" style="2" customWidth="1"/>
    <col min="277" max="512" width="9.33203125" style="2"/>
    <col min="513" max="513" width="51.5546875" style="2" customWidth="1"/>
    <col min="514" max="514" width="11.6640625" style="2" bestFit="1" customWidth="1"/>
    <col min="515" max="515" width="11.44140625" style="2" customWidth="1"/>
    <col min="516" max="516" width="10.5546875" style="2" bestFit="1" customWidth="1"/>
    <col min="517" max="518" width="11.6640625" style="2" bestFit="1" customWidth="1"/>
    <col min="519" max="528" width="11.5546875" style="2" bestFit="1" customWidth="1"/>
    <col min="529" max="529" width="11.44140625" style="2" bestFit="1" customWidth="1"/>
    <col min="530" max="531" width="0" style="2" hidden="1" customWidth="1"/>
    <col min="532" max="532" width="55.33203125" style="2" customWidth="1"/>
    <col min="533" max="768" width="9.33203125" style="2"/>
    <col min="769" max="769" width="51.5546875" style="2" customWidth="1"/>
    <col min="770" max="770" width="11.6640625" style="2" bestFit="1" customWidth="1"/>
    <col min="771" max="771" width="11.44140625" style="2" customWidth="1"/>
    <col min="772" max="772" width="10.5546875" style="2" bestFit="1" customWidth="1"/>
    <col min="773" max="774" width="11.6640625" style="2" bestFit="1" customWidth="1"/>
    <col min="775" max="784" width="11.5546875" style="2" bestFit="1" customWidth="1"/>
    <col min="785" max="785" width="11.44140625" style="2" bestFit="1" customWidth="1"/>
    <col min="786" max="787" width="0" style="2" hidden="1" customWidth="1"/>
    <col min="788" max="788" width="55.33203125" style="2" customWidth="1"/>
    <col min="789" max="1024" width="9.33203125" style="2"/>
    <col min="1025" max="1025" width="51.5546875" style="2" customWidth="1"/>
    <col min="1026" max="1026" width="11.6640625" style="2" bestFit="1" customWidth="1"/>
    <col min="1027" max="1027" width="11.44140625" style="2" customWidth="1"/>
    <col min="1028" max="1028" width="10.5546875" style="2" bestFit="1" customWidth="1"/>
    <col min="1029" max="1030" width="11.6640625" style="2" bestFit="1" customWidth="1"/>
    <col min="1031" max="1040" width="11.5546875" style="2" bestFit="1" customWidth="1"/>
    <col min="1041" max="1041" width="11.44140625" style="2" bestFit="1" customWidth="1"/>
    <col min="1042" max="1043" width="0" style="2" hidden="1" customWidth="1"/>
    <col min="1044" max="1044" width="55.33203125" style="2" customWidth="1"/>
    <col min="1045" max="1280" width="9.33203125" style="2"/>
    <col min="1281" max="1281" width="51.5546875" style="2" customWidth="1"/>
    <col min="1282" max="1282" width="11.6640625" style="2" bestFit="1" customWidth="1"/>
    <col min="1283" max="1283" width="11.44140625" style="2" customWidth="1"/>
    <col min="1284" max="1284" width="10.5546875" style="2" bestFit="1" customWidth="1"/>
    <col min="1285" max="1286" width="11.6640625" style="2" bestFit="1" customWidth="1"/>
    <col min="1287" max="1296" width="11.5546875" style="2" bestFit="1" customWidth="1"/>
    <col min="1297" max="1297" width="11.44140625" style="2" bestFit="1" customWidth="1"/>
    <col min="1298" max="1299" width="0" style="2" hidden="1" customWidth="1"/>
    <col min="1300" max="1300" width="55.33203125" style="2" customWidth="1"/>
    <col min="1301" max="1536" width="9.33203125" style="2"/>
    <col min="1537" max="1537" width="51.5546875" style="2" customWidth="1"/>
    <col min="1538" max="1538" width="11.6640625" style="2" bestFit="1" customWidth="1"/>
    <col min="1539" max="1539" width="11.44140625" style="2" customWidth="1"/>
    <col min="1540" max="1540" width="10.5546875" style="2" bestFit="1" customWidth="1"/>
    <col min="1541" max="1542" width="11.6640625" style="2" bestFit="1" customWidth="1"/>
    <col min="1543" max="1552" width="11.5546875" style="2" bestFit="1" customWidth="1"/>
    <col min="1553" max="1553" width="11.44140625" style="2" bestFit="1" customWidth="1"/>
    <col min="1554" max="1555" width="0" style="2" hidden="1" customWidth="1"/>
    <col min="1556" max="1556" width="55.33203125" style="2" customWidth="1"/>
    <col min="1557" max="1792" width="9.33203125" style="2"/>
    <col min="1793" max="1793" width="51.5546875" style="2" customWidth="1"/>
    <col min="1794" max="1794" width="11.6640625" style="2" bestFit="1" customWidth="1"/>
    <col min="1795" max="1795" width="11.44140625" style="2" customWidth="1"/>
    <col min="1796" max="1796" width="10.5546875" style="2" bestFit="1" customWidth="1"/>
    <col min="1797" max="1798" width="11.6640625" style="2" bestFit="1" customWidth="1"/>
    <col min="1799" max="1808" width="11.5546875" style="2" bestFit="1" customWidth="1"/>
    <col min="1809" max="1809" width="11.44140625" style="2" bestFit="1" customWidth="1"/>
    <col min="1810" max="1811" width="0" style="2" hidden="1" customWidth="1"/>
    <col min="1812" max="1812" width="55.33203125" style="2" customWidth="1"/>
    <col min="1813" max="2048" width="9.33203125" style="2"/>
    <col min="2049" max="2049" width="51.5546875" style="2" customWidth="1"/>
    <col min="2050" max="2050" width="11.6640625" style="2" bestFit="1" customWidth="1"/>
    <col min="2051" max="2051" width="11.44140625" style="2" customWidth="1"/>
    <col min="2052" max="2052" width="10.5546875" style="2" bestFit="1" customWidth="1"/>
    <col min="2053" max="2054" width="11.6640625" style="2" bestFit="1" customWidth="1"/>
    <col min="2055" max="2064" width="11.5546875" style="2" bestFit="1" customWidth="1"/>
    <col min="2065" max="2065" width="11.44140625" style="2" bestFit="1" customWidth="1"/>
    <col min="2066" max="2067" width="0" style="2" hidden="1" customWidth="1"/>
    <col min="2068" max="2068" width="55.33203125" style="2" customWidth="1"/>
    <col min="2069" max="2304" width="9.33203125" style="2"/>
    <col min="2305" max="2305" width="51.5546875" style="2" customWidth="1"/>
    <col min="2306" max="2306" width="11.6640625" style="2" bestFit="1" customWidth="1"/>
    <col min="2307" max="2307" width="11.44140625" style="2" customWidth="1"/>
    <col min="2308" max="2308" width="10.5546875" style="2" bestFit="1" customWidth="1"/>
    <col min="2309" max="2310" width="11.6640625" style="2" bestFit="1" customWidth="1"/>
    <col min="2311" max="2320" width="11.5546875" style="2" bestFit="1" customWidth="1"/>
    <col min="2321" max="2321" width="11.44140625" style="2" bestFit="1" customWidth="1"/>
    <col min="2322" max="2323" width="0" style="2" hidden="1" customWidth="1"/>
    <col min="2324" max="2324" width="55.33203125" style="2" customWidth="1"/>
    <col min="2325" max="2560" width="9.33203125" style="2"/>
    <col min="2561" max="2561" width="51.5546875" style="2" customWidth="1"/>
    <col min="2562" max="2562" width="11.6640625" style="2" bestFit="1" customWidth="1"/>
    <col min="2563" max="2563" width="11.44140625" style="2" customWidth="1"/>
    <col min="2564" max="2564" width="10.5546875" style="2" bestFit="1" customWidth="1"/>
    <col min="2565" max="2566" width="11.6640625" style="2" bestFit="1" customWidth="1"/>
    <col min="2567" max="2576" width="11.5546875" style="2" bestFit="1" customWidth="1"/>
    <col min="2577" max="2577" width="11.44140625" style="2" bestFit="1" customWidth="1"/>
    <col min="2578" max="2579" width="0" style="2" hidden="1" customWidth="1"/>
    <col min="2580" max="2580" width="55.33203125" style="2" customWidth="1"/>
    <col min="2581" max="2816" width="9.33203125" style="2"/>
    <col min="2817" max="2817" width="51.5546875" style="2" customWidth="1"/>
    <col min="2818" max="2818" width="11.6640625" style="2" bestFit="1" customWidth="1"/>
    <col min="2819" max="2819" width="11.44140625" style="2" customWidth="1"/>
    <col min="2820" max="2820" width="10.5546875" style="2" bestFit="1" customWidth="1"/>
    <col min="2821" max="2822" width="11.6640625" style="2" bestFit="1" customWidth="1"/>
    <col min="2823" max="2832" width="11.5546875" style="2" bestFit="1" customWidth="1"/>
    <col min="2833" max="2833" width="11.44140625" style="2" bestFit="1" customWidth="1"/>
    <col min="2834" max="2835" width="0" style="2" hidden="1" customWidth="1"/>
    <col min="2836" max="2836" width="55.33203125" style="2" customWidth="1"/>
    <col min="2837" max="3072" width="9.33203125" style="2"/>
    <col min="3073" max="3073" width="51.5546875" style="2" customWidth="1"/>
    <col min="3074" max="3074" width="11.6640625" style="2" bestFit="1" customWidth="1"/>
    <col min="3075" max="3075" width="11.44140625" style="2" customWidth="1"/>
    <col min="3076" max="3076" width="10.5546875" style="2" bestFit="1" customWidth="1"/>
    <col min="3077" max="3078" width="11.6640625" style="2" bestFit="1" customWidth="1"/>
    <col min="3079" max="3088" width="11.5546875" style="2" bestFit="1" customWidth="1"/>
    <col min="3089" max="3089" width="11.44140625" style="2" bestFit="1" customWidth="1"/>
    <col min="3090" max="3091" width="0" style="2" hidden="1" customWidth="1"/>
    <col min="3092" max="3092" width="55.33203125" style="2" customWidth="1"/>
    <col min="3093" max="3328" width="9.33203125" style="2"/>
    <col min="3329" max="3329" width="51.5546875" style="2" customWidth="1"/>
    <col min="3330" max="3330" width="11.6640625" style="2" bestFit="1" customWidth="1"/>
    <col min="3331" max="3331" width="11.44140625" style="2" customWidth="1"/>
    <col min="3332" max="3332" width="10.5546875" style="2" bestFit="1" customWidth="1"/>
    <col min="3333" max="3334" width="11.6640625" style="2" bestFit="1" customWidth="1"/>
    <col min="3335" max="3344" width="11.5546875" style="2" bestFit="1" customWidth="1"/>
    <col min="3345" max="3345" width="11.44140625" style="2" bestFit="1" customWidth="1"/>
    <col min="3346" max="3347" width="0" style="2" hidden="1" customWidth="1"/>
    <col min="3348" max="3348" width="55.33203125" style="2" customWidth="1"/>
    <col min="3349" max="3584" width="9.33203125" style="2"/>
    <col min="3585" max="3585" width="51.5546875" style="2" customWidth="1"/>
    <col min="3586" max="3586" width="11.6640625" style="2" bestFit="1" customWidth="1"/>
    <col min="3587" max="3587" width="11.44140625" style="2" customWidth="1"/>
    <col min="3588" max="3588" width="10.5546875" style="2" bestFit="1" customWidth="1"/>
    <col min="3589" max="3590" width="11.6640625" style="2" bestFit="1" customWidth="1"/>
    <col min="3591" max="3600" width="11.5546875" style="2" bestFit="1" customWidth="1"/>
    <col min="3601" max="3601" width="11.44140625" style="2" bestFit="1" customWidth="1"/>
    <col min="3602" max="3603" width="0" style="2" hidden="1" customWidth="1"/>
    <col min="3604" max="3604" width="55.33203125" style="2" customWidth="1"/>
    <col min="3605" max="3840" width="9.33203125" style="2"/>
    <col min="3841" max="3841" width="51.5546875" style="2" customWidth="1"/>
    <col min="3842" max="3842" width="11.6640625" style="2" bestFit="1" customWidth="1"/>
    <col min="3843" max="3843" width="11.44140625" style="2" customWidth="1"/>
    <col min="3844" max="3844" width="10.5546875" style="2" bestFit="1" customWidth="1"/>
    <col min="3845" max="3846" width="11.6640625" style="2" bestFit="1" customWidth="1"/>
    <col min="3847" max="3856" width="11.5546875" style="2" bestFit="1" customWidth="1"/>
    <col min="3857" max="3857" width="11.44140625" style="2" bestFit="1" customWidth="1"/>
    <col min="3858" max="3859" width="0" style="2" hidden="1" customWidth="1"/>
    <col min="3860" max="3860" width="55.33203125" style="2" customWidth="1"/>
    <col min="3861" max="4096" width="9.33203125" style="2"/>
    <col min="4097" max="4097" width="51.5546875" style="2" customWidth="1"/>
    <col min="4098" max="4098" width="11.6640625" style="2" bestFit="1" customWidth="1"/>
    <col min="4099" max="4099" width="11.44140625" style="2" customWidth="1"/>
    <col min="4100" max="4100" width="10.5546875" style="2" bestFit="1" customWidth="1"/>
    <col min="4101" max="4102" width="11.6640625" style="2" bestFit="1" customWidth="1"/>
    <col min="4103" max="4112" width="11.5546875" style="2" bestFit="1" customWidth="1"/>
    <col min="4113" max="4113" width="11.44140625" style="2" bestFit="1" customWidth="1"/>
    <col min="4114" max="4115" width="0" style="2" hidden="1" customWidth="1"/>
    <col min="4116" max="4116" width="55.33203125" style="2" customWidth="1"/>
    <col min="4117" max="4352" width="9.33203125" style="2"/>
    <col min="4353" max="4353" width="51.5546875" style="2" customWidth="1"/>
    <col min="4354" max="4354" width="11.6640625" style="2" bestFit="1" customWidth="1"/>
    <col min="4355" max="4355" width="11.44140625" style="2" customWidth="1"/>
    <col min="4356" max="4356" width="10.5546875" style="2" bestFit="1" customWidth="1"/>
    <col min="4357" max="4358" width="11.6640625" style="2" bestFit="1" customWidth="1"/>
    <col min="4359" max="4368" width="11.5546875" style="2" bestFit="1" customWidth="1"/>
    <col min="4369" max="4369" width="11.44140625" style="2" bestFit="1" customWidth="1"/>
    <col min="4370" max="4371" width="0" style="2" hidden="1" customWidth="1"/>
    <col min="4372" max="4372" width="55.33203125" style="2" customWidth="1"/>
    <col min="4373" max="4608" width="9.33203125" style="2"/>
    <col min="4609" max="4609" width="51.5546875" style="2" customWidth="1"/>
    <col min="4610" max="4610" width="11.6640625" style="2" bestFit="1" customWidth="1"/>
    <col min="4611" max="4611" width="11.44140625" style="2" customWidth="1"/>
    <col min="4612" max="4612" width="10.5546875" style="2" bestFit="1" customWidth="1"/>
    <col min="4613" max="4614" width="11.6640625" style="2" bestFit="1" customWidth="1"/>
    <col min="4615" max="4624" width="11.5546875" style="2" bestFit="1" customWidth="1"/>
    <col min="4625" max="4625" width="11.44140625" style="2" bestFit="1" customWidth="1"/>
    <col min="4626" max="4627" width="0" style="2" hidden="1" customWidth="1"/>
    <col min="4628" max="4628" width="55.33203125" style="2" customWidth="1"/>
    <col min="4629" max="4864" width="9.33203125" style="2"/>
    <col min="4865" max="4865" width="51.5546875" style="2" customWidth="1"/>
    <col min="4866" max="4866" width="11.6640625" style="2" bestFit="1" customWidth="1"/>
    <col min="4867" max="4867" width="11.44140625" style="2" customWidth="1"/>
    <col min="4868" max="4868" width="10.5546875" style="2" bestFit="1" customWidth="1"/>
    <col min="4869" max="4870" width="11.6640625" style="2" bestFit="1" customWidth="1"/>
    <col min="4871" max="4880" width="11.5546875" style="2" bestFit="1" customWidth="1"/>
    <col min="4881" max="4881" width="11.44140625" style="2" bestFit="1" customWidth="1"/>
    <col min="4882" max="4883" width="0" style="2" hidden="1" customWidth="1"/>
    <col min="4884" max="4884" width="55.33203125" style="2" customWidth="1"/>
    <col min="4885" max="5120" width="9.33203125" style="2"/>
    <col min="5121" max="5121" width="51.5546875" style="2" customWidth="1"/>
    <col min="5122" max="5122" width="11.6640625" style="2" bestFit="1" customWidth="1"/>
    <col min="5123" max="5123" width="11.44140625" style="2" customWidth="1"/>
    <col min="5124" max="5124" width="10.5546875" style="2" bestFit="1" customWidth="1"/>
    <col min="5125" max="5126" width="11.6640625" style="2" bestFit="1" customWidth="1"/>
    <col min="5127" max="5136" width="11.5546875" style="2" bestFit="1" customWidth="1"/>
    <col min="5137" max="5137" width="11.44140625" style="2" bestFit="1" customWidth="1"/>
    <col min="5138" max="5139" width="0" style="2" hidden="1" customWidth="1"/>
    <col min="5140" max="5140" width="55.33203125" style="2" customWidth="1"/>
    <col min="5141" max="5376" width="9.33203125" style="2"/>
    <col min="5377" max="5377" width="51.5546875" style="2" customWidth="1"/>
    <col min="5378" max="5378" width="11.6640625" style="2" bestFit="1" customWidth="1"/>
    <col min="5379" max="5379" width="11.44140625" style="2" customWidth="1"/>
    <col min="5380" max="5380" width="10.5546875" style="2" bestFit="1" customWidth="1"/>
    <col min="5381" max="5382" width="11.6640625" style="2" bestFit="1" customWidth="1"/>
    <col min="5383" max="5392" width="11.5546875" style="2" bestFit="1" customWidth="1"/>
    <col min="5393" max="5393" width="11.44140625" style="2" bestFit="1" customWidth="1"/>
    <col min="5394" max="5395" width="0" style="2" hidden="1" customWidth="1"/>
    <col min="5396" max="5396" width="55.33203125" style="2" customWidth="1"/>
    <col min="5397" max="5632" width="9.33203125" style="2"/>
    <col min="5633" max="5633" width="51.5546875" style="2" customWidth="1"/>
    <col min="5634" max="5634" width="11.6640625" style="2" bestFit="1" customWidth="1"/>
    <col min="5635" max="5635" width="11.44140625" style="2" customWidth="1"/>
    <col min="5636" max="5636" width="10.5546875" style="2" bestFit="1" customWidth="1"/>
    <col min="5637" max="5638" width="11.6640625" style="2" bestFit="1" customWidth="1"/>
    <col min="5639" max="5648" width="11.5546875" style="2" bestFit="1" customWidth="1"/>
    <col min="5649" max="5649" width="11.44140625" style="2" bestFit="1" customWidth="1"/>
    <col min="5650" max="5651" width="0" style="2" hidden="1" customWidth="1"/>
    <col min="5652" max="5652" width="55.33203125" style="2" customWidth="1"/>
    <col min="5653" max="5888" width="9.33203125" style="2"/>
    <col min="5889" max="5889" width="51.5546875" style="2" customWidth="1"/>
    <col min="5890" max="5890" width="11.6640625" style="2" bestFit="1" customWidth="1"/>
    <col min="5891" max="5891" width="11.44140625" style="2" customWidth="1"/>
    <col min="5892" max="5892" width="10.5546875" style="2" bestFit="1" customWidth="1"/>
    <col min="5893" max="5894" width="11.6640625" style="2" bestFit="1" customWidth="1"/>
    <col min="5895" max="5904" width="11.5546875" style="2" bestFit="1" customWidth="1"/>
    <col min="5905" max="5905" width="11.44140625" style="2" bestFit="1" customWidth="1"/>
    <col min="5906" max="5907" width="0" style="2" hidden="1" customWidth="1"/>
    <col min="5908" max="5908" width="55.33203125" style="2" customWidth="1"/>
    <col min="5909" max="6144" width="9.33203125" style="2"/>
    <col min="6145" max="6145" width="51.5546875" style="2" customWidth="1"/>
    <col min="6146" max="6146" width="11.6640625" style="2" bestFit="1" customWidth="1"/>
    <col min="6147" max="6147" width="11.44140625" style="2" customWidth="1"/>
    <col min="6148" max="6148" width="10.5546875" style="2" bestFit="1" customWidth="1"/>
    <col min="6149" max="6150" width="11.6640625" style="2" bestFit="1" customWidth="1"/>
    <col min="6151" max="6160" width="11.5546875" style="2" bestFit="1" customWidth="1"/>
    <col min="6161" max="6161" width="11.44140625" style="2" bestFit="1" customWidth="1"/>
    <col min="6162" max="6163" width="0" style="2" hidden="1" customWidth="1"/>
    <col min="6164" max="6164" width="55.33203125" style="2" customWidth="1"/>
    <col min="6165" max="6400" width="9.33203125" style="2"/>
    <col min="6401" max="6401" width="51.5546875" style="2" customWidth="1"/>
    <col min="6402" max="6402" width="11.6640625" style="2" bestFit="1" customWidth="1"/>
    <col min="6403" max="6403" width="11.44140625" style="2" customWidth="1"/>
    <col min="6404" max="6404" width="10.5546875" style="2" bestFit="1" customWidth="1"/>
    <col min="6405" max="6406" width="11.6640625" style="2" bestFit="1" customWidth="1"/>
    <col min="6407" max="6416" width="11.5546875" style="2" bestFit="1" customWidth="1"/>
    <col min="6417" max="6417" width="11.44140625" style="2" bestFit="1" customWidth="1"/>
    <col min="6418" max="6419" width="0" style="2" hidden="1" customWidth="1"/>
    <col min="6420" max="6420" width="55.33203125" style="2" customWidth="1"/>
    <col min="6421" max="6656" width="9.33203125" style="2"/>
    <col min="6657" max="6657" width="51.5546875" style="2" customWidth="1"/>
    <col min="6658" max="6658" width="11.6640625" style="2" bestFit="1" customWidth="1"/>
    <col min="6659" max="6659" width="11.44140625" style="2" customWidth="1"/>
    <col min="6660" max="6660" width="10.5546875" style="2" bestFit="1" customWidth="1"/>
    <col min="6661" max="6662" width="11.6640625" style="2" bestFit="1" customWidth="1"/>
    <col min="6663" max="6672" width="11.5546875" style="2" bestFit="1" customWidth="1"/>
    <col min="6673" max="6673" width="11.44140625" style="2" bestFit="1" customWidth="1"/>
    <col min="6674" max="6675" width="0" style="2" hidden="1" customWidth="1"/>
    <col min="6676" max="6676" width="55.33203125" style="2" customWidth="1"/>
    <col min="6677" max="6912" width="9.33203125" style="2"/>
    <col min="6913" max="6913" width="51.5546875" style="2" customWidth="1"/>
    <col min="6914" max="6914" width="11.6640625" style="2" bestFit="1" customWidth="1"/>
    <col min="6915" max="6915" width="11.44140625" style="2" customWidth="1"/>
    <col min="6916" max="6916" width="10.5546875" style="2" bestFit="1" customWidth="1"/>
    <col min="6917" max="6918" width="11.6640625" style="2" bestFit="1" customWidth="1"/>
    <col min="6919" max="6928" width="11.5546875" style="2" bestFit="1" customWidth="1"/>
    <col min="6929" max="6929" width="11.44140625" style="2" bestFit="1" customWidth="1"/>
    <col min="6930" max="6931" width="0" style="2" hidden="1" customWidth="1"/>
    <col min="6932" max="6932" width="55.33203125" style="2" customWidth="1"/>
    <col min="6933" max="7168" width="9.33203125" style="2"/>
    <col min="7169" max="7169" width="51.5546875" style="2" customWidth="1"/>
    <col min="7170" max="7170" width="11.6640625" style="2" bestFit="1" customWidth="1"/>
    <col min="7171" max="7171" width="11.44140625" style="2" customWidth="1"/>
    <col min="7172" max="7172" width="10.5546875" style="2" bestFit="1" customWidth="1"/>
    <col min="7173" max="7174" width="11.6640625" style="2" bestFit="1" customWidth="1"/>
    <col min="7175" max="7184" width="11.5546875" style="2" bestFit="1" customWidth="1"/>
    <col min="7185" max="7185" width="11.44140625" style="2" bestFit="1" customWidth="1"/>
    <col min="7186" max="7187" width="0" style="2" hidden="1" customWidth="1"/>
    <col min="7188" max="7188" width="55.33203125" style="2" customWidth="1"/>
    <col min="7189" max="7424" width="9.33203125" style="2"/>
    <col min="7425" max="7425" width="51.5546875" style="2" customWidth="1"/>
    <col min="7426" max="7426" width="11.6640625" style="2" bestFit="1" customWidth="1"/>
    <col min="7427" max="7427" width="11.44140625" style="2" customWidth="1"/>
    <col min="7428" max="7428" width="10.5546875" style="2" bestFit="1" customWidth="1"/>
    <col min="7429" max="7430" width="11.6640625" style="2" bestFit="1" customWidth="1"/>
    <col min="7431" max="7440" width="11.5546875" style="2" bestFit="1" customWidth="1"/>
    <col min="7441" max="7441" width="11.44140625" style="2" bestFit="1" customWidth="1"/>
    <col min="7442" max="7443" width="0" style="2" hidden="1" customWidth="1"/>
    <col min="7444" max="7444" width="55.33203125" style="2" customWidth="1"/>
    <col min="7445" max="7680" width="9.33203125" style="2"/>
    <col min="7681" max="7681" width="51.5546875" style="2" customWidth="1"/>
    <col min="7682" max="7682" width="11.6640625" style="2" bestFit="1" customWidth="1"/>
    <col min="7683" max="7683" width="11.44140625" style="2" customWidth="1"/>
    <col min="7684" max="7684" width="10.5546875" style="2" bestFit="1" customWidth="1"/>
    <col min="7685" max="7686" width="11.6640625" style="2" bestFit="1" customWidth="1"/>
    <col min="7687" max="7696" width="11.5546875" style="2" bestFit="1" customWidth="1"/>
    <col min="7697" max="7697" width="11.44140625" style="2" bestFit="1" customWidth="1"/>
    <col min="7698" max="7699" width="0" style="2" hidden="1" customWidth="1"/>
    <col min="7700" max="7700" width="55.33203125" style="2" customWidth="1"/>
    <col min="7701" max="7936" width="9.33203125" style="2"/>
    <col min="7937" max="7937" width="51.5546875" style="2" customWidth="1"/>
    <col min="7938" max="7938" width="11.6640625" style="2" bestFit="1" customWidth="1"/>
    <col min="7939" max="7939" width="11.44140625" style="2" customWidth="1"/>
    <col min="7940" max="7940" width="10.5546875" style="2" bestFit="1" customWidth="1"/>
    <col min="7941" max="7942" width="11.6640625" style="2" bestFit="1" customWidth="1"/>
    <col min="7943" max="7952" width="11.5546875" style="2" bestFit="1" customWidth="1"/>
    <col min="7953" max="7953" width="11.44140625" style="2" bestFit="1" customWidth="1"/>
    <col min="7954" max="7955" width="0" style="2" hidden="1" customWidth="1"/>
    <col min="7956" max="7956" width="55.33203125" style="2" customWidth="1"/>
    <col min="7957" max="8192" width="9.33203125" style="2"/>
    <col min="8193" max="8193" width="51.5546875" style="2" customWidth="1"/>
    <col min="8194" max="8194" width="11.6640625" style="2" bestFit="1" customWidth="1"/>
    <col min="8195" max="8195" width="11.44140625" style="2" customWidth="1"/>
    <col min="8196" max="8196" width="10.5546875" style="2" bestFit="1" customWidth="1"/>
    <col min="8197" max="8198" width="11.6640625" style="2" bestFit="1" customWidth="1"/>
    <col min="8199" max="8208" width="11.5546875" style="2" bestFit="1" customWidth="1"/>
    <col min="8209" max="8209" width="11.44140625" style="2" bestFit="1" customWidth="1"/>
    <col min="8210" max="8211" width="0" style="2" hidden="1" customWidth="1"/>
    <col min="8212" max="8212" width="55.33203125" style="2" customWidth="1"/>
    <col min="8213" max="8448" width="9.33203125" style="2"/>
    <col min="8449" max="8449" width="51.5546875" style="2" customWidth="1"/>
    <col min="8450" max="8450" width="11.6640625" style="2" bestFit="1" customWidth="1"/>
    <col min="8451" max="8451" width="11.44140625" style="2" customWidth="1"/>
    <col min="8452" max="8452" width="10.5546875" style="2" bestFit="1" customWidth="1"/>
    <col min="8453" max="8454" width="11.6640625" style="2" bestFit="1" customWidth="1"/>
    <col min="8455" max="8464" width="11.5546875" style="2" bestFit="1" customWidth="1"/>
    <col min="8465" max="8465" width="11.44140625" style="2" bestFit="1" customWidth="1"/>
    <col min="8466" max="8467" width="0" style="2" hidden="1" customWidth="1"/>
    <col min="8468" max="8468" width="55.33203125" style="2" customWidth="1"/>
    <col min="8469" max="8704" width="9.33203125" style="2"/>
    <col min="8705" max="8705" width="51.5546875" style="2" customWidth="1"/>
    <col min="8706" max="8706" width="11.6640625" style="2" bestFit="1" customWidth="1"/>
    <col min="8707" max="8707" width="11.44140625" style="2" customWidth="1"/>
    <col min="8708" max="8708" width="10.5546875" style="2" bestFit="1" customWidth="1"/>
    <col min="8709" max="8710" width="11.6640625" style="2" bestFit="1" customWidth="1"/>
    <col min="8711" max="8720" width="11.5546875" style="2" bestFit="1" customWidth="1"/>
    <col min="8721" max="8721" width="11.44140625" style="2" bestFit="1" customWidth="1"/>
    <col min="8722" max="8723" width="0" style="2" hidden="1" customWidth="1"/>
    <col min="8724" max="8724" width="55.33203125" style="2" customWidth="1"/>
    <col min="8725" max="8960" width="9.33203125" style="2"/>
    <col min="8961" max="8961" width="51.5546875" style="2" customWidth="1"/>
    <col min="8962" max="8962" width="11.6640625" style="2" bestFit="1" customWidth="1"/>
    <col min="8963" max="8963" width="11.44140625" style="2" customWidth="1"/>
    <col min="8964" max="8964" width="10.5546875" style="2" bestFit="1" customWidth="1"/>
    <col min="8965" max="8966" width="11.6640625" style="2" bestFit="1" customWidth="1"/>
    <col min="8967" max="8976" width="11.5546875" style="2" bestFit="1" customWidth="1"/>
    <col min="8977" max="8977" width="11.44140625" style="2" bestFit="1" customWidth="1"/>
    <col min="8978" max="8979" width="0" style="2" hidden="1" customWidth="1"/>
    <col min="8980" max="8980" width="55.33203125" style="2" customWidth="1"/>
    <col min="8981" max="9216" width="9.33203125" style="2"/>
    <col min="9217" max="9217" width="51.5546875" style="2" customWidth="1"/>
    <col min="9218" max="9218" width="11.6640625" style="2" bestFit="1" customWidth="1"/>
    <col min="9219" max="9219" width="11.44140625" style="2" customWidth="1"/>
    <col min="9220" max="9220" width="10.5546875" style="2" bestFit="1" customWidth="1"/>
    <col min="9221" max="9222" width="11.6640625" style="2" bestFit="1" customWidth="1"/>
    <col min="9223" max="9232" width="11.5546875" style="2" bestFit="1" customWidth="1"/>
    <col min="9233" max="9233" width="11.44140625" style="2" bestFit="1" customWidth="1"/>
    <col min="9234" max="9235" width="0" style="2" hidden="1" customWidth="1"/>
    <col min="9236" max="9236" width="55.33203125" style="2" customWidth="1"/>
    <col min="9237" max="9472" width="9.33203125" style="2"/>
    <col min="9473" max="9473" width="51.5546875" style="2" customWidth="1"/>
    <col min="9474" max="9474" width="11.6640625" style="2" bestFit="1" customWidth="1"/>
    <col min="9475" max="9475" width="11.44140625" style="2" customWidth="1"/>
    <col min="9476" max="9476" width="10.5546875" style="2" bestFit="1" customWidth="1"/>
    <col min="9477" max="9478" width="11.6640625" style="2" bestFit="1" customWidth="1"/>
    <col min="9479" max="9488" width="11.5546875" style="2" bestFit="1" customWidth="1"/>
    <col min="9489" max="9489" width="11.44140625" style="2" bestFit="1" customWidth="1"/>
    <col min="9490" max="9491" width="0" style="2" hidden="1" customWidth="1"/>
    <col min="9492" max="9492" width="55.33203125" style="2" customWidth="1"/>
    <col min="9493" max="9728" width="9.33203125" style="2"/>
    <col min="9729" max="9729" width="51.5546875" style="2" customWidth="1"/>
    <col min="9730" max="9730" width="11.6640625" style="2" bestFit="1" customWidth="1"/>
    <col min="9731" max="9731" width="11.44140625" style="2" customWidth="1"/>
    <col min="9732" max="9732" width="10.5546875" style="2" bestFit="1" customWidth="1"/>
    <col min="9733" max="9734" width="11.6640625" style="2" bestFit="1" customWidth="1"/>
    <col min="9735" max="9744" width="11.5546875" style="2" bestFit="1" customWidth="1"/>
    <col min="9745" max="9745" width="11.44140625" style="2" bestFit="1" customWidth="1"/>
    <col min="9746" max="9747" width="0" style="2" hidden="1" customWidth="1"/>
    <col min="9748" max="9748" width="55.33203125" style="2" customWidth="1"/>
    <col min="9749" max="9984" width="9.33203125" style="2"/>
    <col min="9985" max="9985" width="51.5546875" style="2" customWidth="1"/>
    <col min="9986" max="9986" width="11.6640625" style="2" bestFit="1" customWidth="1"/>
    <col min="9987" max="9987" width="11.44140625" style="2" customWidth="1"/>
    <col min="9988" max="9988" width="10.5546875" style="2" bestFit="1" customWidth="1"/>
    <col min="9989" max="9990" width="11.6640625" style="2" bestFit="1" customWidth="1"/>
    <col min="9991" max="10000" width="11.5546875" style="2" bestFit="1" customWidth="1"/>
    <col min="10001" max="10001" width="11.44140625" style="2" bestFit="1" customWidth="1"/>
    <col min="10002" max="10003" width="0" style="2" hidden="1" customWidth="1"/>
    <col min="10004" max="10004" width="55.33203125" style="2" customWidth="1"/>
    <col min="10005" max="10240" width="9.33203125" style="2"/>
    <col min="10241" max="10241" width="51.5546875" style="2" customWidth="1"/>
    <col min="10242" max="10242" width="11.6640625" style="2" bestFit="1" customWidth="1"/>
    <col min="10243" max="10243" width="11.44140625" style="2" customWidth="1"/>
    <col min="10244" max="10244" width="10.5546875" style="2" bestFit="1" customWidth="1"/>
    <col min="10245" max="10246" width="11.6640625" style="2" bestFit="1" customWidth="1"/>
    <col min="10247" max="10256" width="11.5546875" style="2" bestFit="1" customWidth="1"/>
    <col min="10257" max="10257" width="11.44140625" style="2" bestFit="1" customWidth="1"/>
    <col min="10258" max="10259" width="0" style="2" hidden="1" customWidth="1"/>
    <col min="10260" max="10260" width="55.33203125" style="2" customWidth="1"/>
    <col min="10261" max="10496" width="9.33203125" style="2"/>
    <col min="10497" max="10497" width="51.5546875" style="2" customWidth="1"/>
    <col min="10498" max="10498" width="11.6640625" style="2" bestFit="1" customWidth="1"/>
    <col min="10499" max="10499" width="11.44140625" style="2" customWidth="1"/>
    <col min="10500" max="10500" width="10.5546875" style="2" bestFit="1" customWidth="1"/>
    <col min="10501" max="10502" width="11.6640625" style="2" bestFit="1" customWidth="1"/>
    <col min="10503" max="10512" width="11.5546875" style="2" bestFit="1" customWidth="1"/>
    <col min="10513" max="10513" width="11.44140625" style="2" bestFit="1" customWidth="1"/>
    <col min="10514" max="10515" width="0" style="2" hidden="1" customWidth="1"/>
    <col min="10516" max="10516" width="55.33203125" style="2" customWidth="1"/>
    <col min="10517" max="10752" width="9.33203125" style="2"/>
    <col min="10753" max="10753" width="51.5546875" style="2" customWidth="1"/>
    <col min="10754" max="10754" width="11.6640625" style="2" bestFit="1" customWidth="1"/>
    <col min="10755" max="10755" width="11.44140625" style="2" customWidth="1"/>
    <col min="10756" max="10756" width="10.5546875" style="2" bestFit="1" customWidth="1"/>
    <col min="10757" max="10758" width="11.6640625" style="2" bestFit="1" customWidth="1"/>
    <col min="10759" max="10768" width="11.5546875" style="2" bestFit="1" customWidth="1"/>
    <col min="10769" max="10769" width="11.44140625" style="2" bestFit="1" customWidth="1"/>
    <col min="10770" max="10771" width="0" style="2" hidden="1" customWidth="1"/>
    <col min="10772" max="10772" width="55.33203125" style="2" customWidth="1"/>
    <col min="10773" max="11008" width="9.33203125" style="2"/>
    <col min="11009" max="11009" width="51.5546875" style="2" customWidth="1"/>
    <col min="11010" max="11010" width="11.6640625" style="2" bestFit="1" customWidth="1"/>
    <col min="11011" max="11011" width="11.44140625" style="2" customWidth="1"/>
    <col min="11012" max="11012" width="10.5546875" style="2" bestFit="1" customWidth="1"/>
    <col min="11013" max="11014" width="11.6640625" style="2" bestFit="1" customWidth="1"/>
    <col min="11015" max="11024" width="11.5546875" style="2" bestFit="1" customWidth="1"/>
    <col min="11025" max="11025" width="11.44140625" style="2" bestFit="1" customWidth="1"/>
    <col min="11026" max="11027" width="0" style="2" hidden="1" customWidth="1"/>
    <col min="11028" max="11028" width="55.33203125" style="2" customWidth="1"/>
    <col min="11029" max="11264" width="9.33203125" style="2"/>
    <col min="11265" max="11265" width="51.5546875" style="2" customWidth="1"/>
    <col min="11266" max="11266" width="11.6640625" style="2" bestFit="1" customWidth="1"/>
    <col min="11267" max="11267" width="11.44140625" style="2" customWidth="1"/>
    <col min="11268" max="11268" width="10.5546875" style="2" bestFit="1" customWidth="1"/>
    <col min="11269" max="11270" width="11.6640625" style="2" bestFit="1" customWidth="1"/>
    <col min="11271" max="11280" width="11.5546875" style="2" bestFit="1" customWidth="1"/>
    <col min="11281" max="11281" width="11.44140625" style="2" bestFit="1" customWidth="1"/>
    <col min="11282" max="11283" width="0" style="2" hidden="1" customWidth="1"/>
    <col min="11284" max="11284" width="55.33203125" style="2" customWidth="1"/>
    <col min="11285" max="11520" width="9.33203125" style="2"/>
    <col min="11521" max="11521" width="51.5546875" style="2" customWidth="1"/>
    <col min="11522" max="11522" width="11.6640625" style="2" bestFit="1" customWidth="1"/>
    <col min="11523" max="11523" width="11.44140625" style="2" customWidth="1"/>
    <col min="11524" max="11524" width="10.5546875" style="2" bestFit="1" customWidth="1"/>
    <col min="11525" max="11526" width="11.6640625" style="2" bestFit="1" customWidth="1"/>
    <col min="11527" max="11536" width="11.5546875" style="2" bestFit="1" customWidth="1"/>
    <col min="11537" max="11537" width="11.44140625" style="2" bestFit="1" customWidth="1"/>
    <col min="11538" max="11539" width="0" style="2" hidden="1" customWidth="1"/>
    <col min="11540" max="11540" width="55.33203125" style="2" customWidth="1"/>
    <col min="11541" max="11776" width="9.33203125" style="2"/>
    <col min="11777" max="11777" width="51.5546875" style="2" customWidth="1"/>
    <col min="11778" max="11778" width="11.6640625" style="2" bestFit="1" customWidth="1"/>
    <col min="11779" max="11779" width="11.44140625" style="2" customWidth="1"/>
    <col min="11780" max="11780" width="10.5546875" style="2" bestFit="1" customWidth="1"/>
    <col min="11781" max="11782" width="11.6640625" style="2" bestFit="1" customWidth="1"/>
    <col min="11783" max="11792" width="11.5546875" style="2" bestFit="1" customWidth="1"/>
    <col min="11793" max="11793" width="11.44140625" style="2" bestFit="1" customWidth="1"/>
    <col min="11794" max="11795" width="0" style="2" hidden="1" customWidth="1"/>
    <col min="11796" max="11796" width="55.33203125" style="2" customWidth="1"/>
    <col min="11797" max="12032" width="9.33203125" style="2"/>
    <col min="12033" max="12033" width="51.5546875" style="2" customWidth="1"/>
    <col min="12034" max="12034" width="11.6640625" style="2" bestFit="1" customWidth="1"/>
    <col min="12035" max="12035" width="11.44140625" style="2" customWidth="1"/>
    <col min="12036" max="12036" width="10.5546875" style="2" bestFit="1" customWidth="1"/>
    <col min="12037" max="12038" width="11.6640625" style="2" bestFit="1" customWidth="1"/>
    <col min="12039" max="12048" width="11.5546875" style="2" bestFit="1" customWidth="1"/>
    <col min="12049" max="12049" width="11.44140625" style="2" bestFit="1" customWidth="1"/>
    <col min="12050" max="12051" width="0" style="2" hidden="1" customWidth="1"/>
    <col min="12052" max="12052" width="55.33203125" style="2" customWidth="1"/>
    <col min="12053" max="12288" width="9.33203125" style="2"/>
    <col min="12289" max="12289" width="51.5546875" style="2" customWidth="1"/>
    <col min="12290" max="12290" width="11.6640625" style="2" bestFit="1" customWidth="1"/>
    <col min="12291" max="12291" width="11.44140625" style="2" customWidth="1"/>
    <col min="12292" max="12292" width="10.5546875" style="2" bestFit="1" customWidth="1"/>
    <col min="12293" max="12294" width="11.6640625" style="2" bestFit="1" customWidth="1"/>
    <col min="12295" max="12304" width="11.5546875" style="2" bestFit="1" customWidth="1"/>
    <col min="12305" max="12305" width="11.44140625" style="2" bestFit="1" customWidth="1"/>
    <col min="12306" max="12307" width="0" style="2" hidden="1" customWidth="1"/>
    <col min="12308" max="12308" width="55.33203125" style="2" customWidth="1"/>
    <col min="12309" max="12544" width="9.33203125" style="2"/>
    <col min="12545" max="12545" width="51.5546875" style="2" customWidth="1"/>
    <col min="12546" max="12546" width="11.6640625" style="2" bestFit="1" customWidth="1"/>
    <col min="12547" max="12547" width="11.44140625" style="2" customWidth="1"/>
    <col min="12548" max="12548" width="10.5546875" style="2" bestFit="1" customWidth="1"/>
    <col min="12549" max="12550" width="11.6640625" style="2" bestFit="1" customWidth="1"/>
    <col min="12551" max="12560" width="11.5546875" style="2" bestFit="1" customWidth="1"/>
    <col min="12561" max="12561" width="11.44140625" style="2" bestFit="1" customWidth="1"/>
    <col min="12562" max="12563" width="0" style="2" hidden="1" customWidth="1"/>
    <col min="12564" max="12564" width="55.33203125" style="2" customWidth="1"/>
    <col min="12565" max="12800" width="9.33203125" style="2"/>
    <col min="12801" max="12801" width="51.5546875" style="2" customWidth="1"/>
    <col min="12802" max="12802" width="11.6640625" style="2" bestFit="1" customWidth="1"/>
    <col min="12803" max="12803" width="11.44140625" style="2" customWidth="1"/>
    <col min="12804" max="12804" width="10.5546875" style="2" bestFit="1" customWidth="1"/>
    <col min="12805" max="12806" width="11.6640625" style="2" bestFit="1" customWidth="1"/>
    <col min="12807" max="12816" width="11.5546875" style="2" bestFit="1" customWidth="1"/>
    <col min="12817" max="12817" width="11.44140625" style="2" bestFit="1" customWidth="1"/>
    <col min="12818" max="12819" width="0" style="2" hidden="1" customWidth="1"/>
    <col min="12820" max="12820" width="55.33203125" style="2" customWidth="1"/>
    <col min="12821" max="13056" width="9.33203125" style="2"/>
    <col min="13057" max="13057" width="51.5546875" style="2" customWidth="1"/>
    <col min="13058" max="13058" width="11.6640625" style="2" bestFit="1" customWidth="1"/>
    <col min="13059" max="13059" width="11.44140625" style="2" customWidth="1"/>
    <col min="13060" max="13060" width="10.5546875" style="2" bestFit="1" customWidth="1"/>
    <col min="13061" max="13062" width="11.6640625" style="2" bestFit="1" customWidth="1"/>
    <col min="13063" max="13072" width="11.5546875" style="2" bestFit="1" customWidth="1"/>
    <col min="13073" max="13073" width="11.44140625" style="2" bestFit="1" customWidth="1"/>
    <col min="13074" max="13075" width="0" style="2" hidden="1" customWidth="1"/>
    <col min="13076" max="13076" width="55.33203125" style="2" customWidth="1"/>
    <col min="13077" max="13312" width="9.33203125" style="2"/>
    <col min="13313" max="13313" width="51.5546875" style="2" customWidth="1"/>
    <col min="13314" max="13314" width="11.6640625" style="2" bestFit="1" customWidth="1"/>
    <col min="13315" max="13315" width="11.44140625" style="2" customWidth="1"/>
    <col min="13316" max="13316" width="10.5546875" style="2" bestFit="1" customWidth="1"/>
    <col min="13317" max="13318" width="11.6640625" style="2" bestFit="1" customWidth="1"/>
    <col min="13319" max="13328" width="11.5546875" style="2" bestFit="1" customWidth="1"/>
    <col min="13329" max="13329" width="11.44140625" style="2" bestFit="1" customWidth="1"/>
    <col min="13330" max="13331" width="0" style="2" hidden="1" customWidth="1"/>
    <col min="13332" max="13332" width="55.33203125" style="2" customWidth="1"/>
    <col min="13333" max="13568" width="9.33203125" style="2"/>
    <col min="13569" max="13569" width="51.5546875" style="2" customWidth="1"/>
    <col min="13570" max="13570" width="11.6640625" style="2" bestFit="1" customWidth="1"/>
    <col min="13571" max="13571" width="11.44140625" style="2" customWidth="1"/>
    <col min="13572" max="13572" width="10.5546875" style="2" bestFit="1" customWidth="1"/>
    <col min="13573" max="13574" width="11.6640625" style="2" bestFit="1" customWidth="1"/>
    <col min="13575" max="13584" width="11.5546875" style="2" bestFit="1" customWidth="1"/>
    <col min="13585" max="13585" width="11.44140625" style="2" bestFit="1" customWidth="1"/>
    <col min="13586" max="13587" width="0" style="2" hidden="1" customWidth="1"/>
    <col min="13588" max="13588" width="55.33203125" style="2" customWidth="1"/>
    <col min="13589" max="13824" width="9.33203125" style="2"/>
    <col min="13825" max="13825" width="51.5546875" style="2" customWidth="1"/>
    <col min="13826" max="13826" width="11.6640625" style="2" bestFit="1" customWidth="1"/>
    <col min="13827" max="13827" width="11.44140625" style="2" customWidth="1"/>
    <col min="13828" max="13828" width="10.5546875" style="2" bestFit="1" customWidth="1"/>
    <col min="13829" max="13830" width="11.6640625" style="2" bestFit="1" customWidth="1"/>
    <col min="13831" max="13840" width="11.5546875" style="2" bestFit="1" customWidth="1"/>
    <col min="13841" max="13841" width="11.44140625" style="2" bestFit="1" customWidth="1"/>
    <col min="13842" max="13843" width="0" style="2" hidden="1" customWidth="1"/>
    <col min="13844" max="13844" width="55.33203125" style="2" customWidth="1"/>
    <col min="13845" max="14080" width="9.33203125" style="2"/>
    <col min="14081" max="14081" width="51.5546875" style="2" customWidth="1"/>
    <col min="14082" max="14082" width="11.6640625" style="2" bestFit="1" customWidth="1"/>
    <col min="14083" max="14083" width="11.44140625" style="2" customWidth="1"/>
    <col min="14084" max="14084" width="10.5546875" style="2" bestFit="1" customWidth="1"/>
    <col min="14085" max="14086" width="11.6640625" style="2" bestFit="1" customWidth="1"/>
    <col min="14087" max="14096" width="11.5546875" style="2" bestFit="1" customWidth="1"/>
    <col min="14097" max="14097" width="11.44140625" style="2" bestFit="1" customWidth="1"/>
    <col min="14098" max="14099" width="0" style="2" hidden="1" customWidth="1"/>
    <col min="14100" max="14100" width="55.33203125" style="2" customWidth="1"/>
    <col min="14101" max="14336" width="9.33203125" style="2"/>
    <col min="14337" max="14337" width="51.5546875" style="2" customWidth="1"/>
    <col min="14338" max="14338" width="11.6640625" style="2" bestFit="1" customWidth="1"/>
    <col min="14339" max="14339" width="11.44140625" style="2" customWidth="1"/>
    <col min="14340" max="14340" width="10.5546875" style="2" bestFit="1" customWidth="1"/>
    <col min="14341" max="14342" width="11.6640625" style="2" bestFit="1" customWidth="1"/>
    <col min="14343" max="14352" width="11.5546875" style="2" bestFit="1" customWidth="1"/>
    <col min="14353" max="14353" width="11.44140625" style="2" bestFit="1" customWidth="1"/>
    <col min="14354" max="14355" width="0" style="2" hidden="1" customWidth="1"/>
    <col min="14356" max="14356" width="55.33203125" style="2" customWidth="1"/>
    <col min="14357" max="14592" width="9.33203125" style="2"/>
    <col min="14593" max="14593" width="51.5546875" style="2" customWidth="1"/>
    <col min="14594" max="14594" width="11.6640625" style="2" bestFit="1" customWidth="1"/>
    <col min="14595" max="14595" width="11.44140625" style="2" customWidth="1"/>
    <col min="14596" max="14596" width="10.5546875" style="2" bestFit="1" customWidth="1"/>
    <col min="14597" max="14598" width="11.6640625" style="2" bestFit="1" customWidth="1"/>
    <col min="14599" max="14608" width="11.5546875" style="2" bestFit="1" customWidth="1"/>
    <col min="14609" max="14609" width="11.44140625" style="2" bestFit="1" customWidth="1"/>
    <col min="14610" max="14611" width="0" style="2" hidden="1" customWidth="1"/>
    <col min="14612" max="14612" width="55.33203125" style="2" customWidth="1"/>
    <col min="14613" max="14848" width="9.33203125" style="2"/>
    <col min="14849" max="14849" width="51.5546875" style="2" customWidth="1"/>
    <col min="14850" max="14850" width="11.6640625" style="2" bestFit="1" customWidth="1"/>
    <col min="14851" max="14851" width="11.44140625" style="2" customWidth="1"/>
    <col min="14852" max="14852" width="10.5546875" style="2" bestFit="1" customWidth="1"/>
    <col min="14853" max="14854" width="11.6640625" style="2" bestFit="1" customWidth="1"/>
    <col min="14855" max="14864" width="11.5546875" style="2" bestFit="1" customWidth="1"/>
    <col min="14865" max="14865" width="11.44140625" style="2" bestFit="1" customWidth="1"/>
    <col min="14866" max="14867" width="0" style="2" hidden="1" customWidth="1"/>
    <col min="14868" max="14868" width="55.33203125" style="2" customWidth="1"/>
    <col min="14869" max="15104" width="9.33203125" style="2"/>
    <col min="15105" max="15105" width="51.5546875" style="2" customWidth="1"/>
    <col min="15106" max="15106" width="11.6640625" style="2" bestFit="1" customWidth="1"/>
    <col min="15107" max="15107" width="11.44140625" style="2" customWidth="1"/>
    <col min="15108" max="15108" width="10.5546875" style="2" bestFit="1" customWidth="1"/>
    <col min="15109" max="15110" width="11.6640625" style="2" bestFit="1" customWidth="1"/>
    <col min="15111" max="15120" width="11.5546875" style="2" bestFit="1" customWidth="1"/>
    <col min="15121" max="15121" width="11.44140625" style="2" bestFit="1" customWidth="1"/>
    <col min="15122" max="15123" width="0" style="2" hidden="1" customWidth="1"/>
    <col min="15124" max="15124" width="55.33203125" style="2" customWidth="1"/>
    <col min="15125" max="15360" width="9.33203125" style="2"/>
    <col min="15361" max="15361" width="51.5546875" style="2" customWidth="1"/>
    <col min="15362" max="15362" width="11.6640625" style="2" bestFit="1" customWidth="1"/>
    <col min="15363" max="15363" width="11.44140625" style="2" customWidth="1"/>
    <col min="15364" max="15364" width="10.5546875" style="2" bestFit="1" customWidth="1"/>
    <col min="15365" max="15366" width="11.6640625" style="2" bestFit="1" customWidth="1"/>
    <col min="15367" max="15376" width="11.5546875" style="2" bestFit="1" customWidth="1"/>
    <col min="15377" max="15377" width="11.44140625" style="2" bestFit="1" customWidth="1"/>
    <col min="15378" max="15379" width="0" style="2" hidden="1" customWidth="1"/>
    <col min="15380" max="15380" width="55.33203125" style="2" customWidth="1"/>
    <col min="15381" max="15616" width="9.33203125" style="2"/>
    <col min="15617" max="15617" width="51.5546875" style="2" customWidth="1"/>
    <col min="15618" max="15618" width="11.6640625" style="2" bestFit="1" customWidth="1"/>
    <col min="15619" max="15619" width="11.44140625" style="2" customWidth="1"/>
    <col min="15620" max="15620" width="10.5546875" style="2" bestFit="1" customWidth="1"/>
    <col min="15621" max="15622" width="11.6640625" style="2" bestFit="1" customWidth="1"/>
    <col min="15623" max="15632" width="11.5546875" style="2" bestFit="1" customWidth="1"/>
    <col min="15633" max="15633" width="11.44140625" style="2" bestFit="1" customWidth="1"/>
    <col min="15634" max="15635" width="0" style="2" hidden="1" customWidth="1"/>
    <col min="15636" max="15636" width="55.33203125" style="2" customWidth="1"/>
    <col min="15637" max="15872" width="9.33203125" style="2"/>
    <col min="15873" max="15873" width="51.5546875" style="2" customWidth="1"/>
    <col min="15874" max="15874" width="11.6640625" style="2" bestFit="1" customWidth="1"/>
    <col min="15875" max="15875" width="11.44140625" style="2" customWidth="1"/>
    <col min="15876" max="15876" width="10.5546875" style="2" bestFit="1" customWidth="1"/>
    <col min="15877" max="15878" width="11.6640625" style="2" bestFit="1" customWidth="1"/>
    <col min="15879" max="15888" width="11.5546875" style="2" bestFit="1" customWidth="1"/>
    <col min="15889" max="15889" width="11.44140625" style="2" bestFit="1" customWidth="1"/>
    <col min="15890" max="15891" width="0" style="2" hidden="1" customWidth="1"/>
    <col min="15892" max="15892" width="55.33203125" style="2" customWidth="1"/>
    <col min="15893" max="16128" width="9.33203125" style="2"/>
    <col min="16129" max="16129" width="51.5546875" style="2" customWidth="1"/>
    <col min="16130" max="16130" width="11.6640625" style="2" bestFit="1" customWidth="1"/>
    <col min="16131" max="16131" width="11.44140625" style="2" customWidth="1"/>
    <col min="16132" max="16132" width="10.5546875" style="2" bestFit="1" customWidth="1"/>
    <col min="16133" max="16134" width="11.6640625" style="2" bestFit="1" customWidth="1"/>
    <col min="16135" max="16144" width="11.5546875" style="2" bestFit="1" customWidth="1"/>
    <col min="16145" max="16145" width="11.44140625" style="2" bestFit="1" customWidth="1"/>
    <col min="16146" max="16147" width="0" style="2" hidden="1" customWidth="1"/>
    <col min="16148" max="16148" width="55.33203125" style="2" customWidth="1"/>
    <col min="16149" max="16384" width="9.33203125" style="2"/>
  </cols>
  <sheetData>
    <row r="1" spans="1:22" ht="14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/>
      <c r="Q1" s="45"/>
      <c r="R1" s="7"/>
      <c r="S1" s="7"/>
      <c r="T1" s="7"/>
      <c r="U1" s="7"/>
      <c r="V1" s="7"/>
    </row>
    <row r="2" spans="1:22" ht="14.4">
      <c r="A2" s="476" t="s">
        <v>61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7"/>
      <c r="S2" s="7"/>
      <c r="T2" s="7"/>
      <c r="U2" s="7"/>
      <c r="V2" s="7"/>
    </row>
    <row r="3" spans="1:22" ht="14.4">
      <c r="A3" s="476" t="str">
        <f>Summary!A3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7"/>
      <c r="S3" s="7"/>
      <c r="T3" s="7"/>
      <c r="U3" s="7"/>
      <c r="V3" s="7"/>
    </row>
    <row r="4" spans="1:22" ht="14.4">
      <c r="A4" s="476" t="str">
        <f>Summary!A4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7"/>
      <c r="S4" s="7"/>
      <c r="T4" s="7"/>
      <c r="U4" s="7"/>
      <c r="V4" s="7"/>
    </row>
    <row r="5" spans="1:22" ht="14.4">
      <c r="A5" s="476" t="str">
        <f>Summary!A5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7"/>
      <c r="S5" s="7"/>
      <c r="T5" s="7"/>
      <c r="U5" s="7"/>
      <c r="V5" s="7"/>
    </row>
    <row r="6" spans="1:22" ht="14.4">
      <c r="A6" s="476" t="str">
        <f>Summary!A6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7"/>
      <c r="S6" s="7"/>
      <c r="T6" s="7"/>
      <c r="U6" s="7"/>
      <c r="V6" s="7"/>
    </row>
    <row r="7" spans="1:22" ht="14.4">
      <c r="A7" s="7"/>
      <c r="B7" s="7"/>
      <c r="C7" s="7"/>
      <c r="D7" s="7"/>
      <c r="E7" s="7"/>
      <c r="F7" s="7"/>
      <c r="G7" s="7"/>
      <c r="H7" s="4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14.4">
      <c r="A8" s="47"/>
      <c r="B8" s="47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97" t="s">
        <v>282</v>
      </c>
      <c r="R8" s="7"/>
      <c r="S8" s="7"/>
      <c r="T8" s="7"/>
      <c r="U8" s="7"/>
      <c r="V8" s="7"/>
    </row>
    <row r="9" spans="1:22" ht="14.4">
      <c r="A9" s="49" t="s">
        <v>242</v>
      </c>
      <c r="B9" s="49" t="s">
        <v>243</v>
      </c>
      <c r="C9" s="49" t="s">
        <v>90</v>
      </c>
      <c r="D9" s="49" t="s">
        <v>244</v>
      </c>
      <c r="E9" s="49" t="s">
        <v>75</v>
      </c>
      <c r="F9" s="49" t="s">
        <v>76</v>
      </c>
      <c r="G9" s="49" t="s">
        <v>77</v>
      </c>
      <c r="H9" s="49" t="s">
        <v>78</v>
      </c>
      <c r="I9" s="49" t="s">
        <v>79</v>
      </c>
      <c r="J9" s="49" t="s">
        <v>80</v>
      </c>
      <c r="K9" s="49" t="s">
        <v>81</v>
      </c>
      <c r="L9" s="49" t="s">
        <v>82</v>
      </c>
      <c r="M9" s="49" t="s">
        <v>83</v>
      </c>
      <c r="N9" s="49" t="s">
        <v>84</v>
      </c>
      <c r="O9" s="49" t="s">
        <v>85</v>
      </c>
      <c r="P9" s="49" t="s">
        <v>86</v>
      </c>
      <c r="Q9" s="498"/>
      <c r="R9" s="49" t="s">
        <v>283</v>
      </c>
      <c r="S9" s="49" t="s">
        <v>284</v>
      </c>
      <c r="T9" s="7"/>
      <c r="U9" s="7"/>
      <c r="V9" s="7"/>
    </row>
    <row r="10" spans="1:22" ht="14.4">
      <c r="A10" s="50"/>
      <c r="B10" s="51" t="s">
        <v>245</v>
      </c>
      <c r="C10" s="51" t="s">
        <v>246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499"/>
      <c r="R10" s="7"/>
      <c r="S10" s="7"/>
      <c r="T10" s="7"/>
      <c r="U10" s="7"/>
      <c r="V10" s="7"/>
    </row>
    <row r="11" spans="1:22" ht="14.4">
      <c r="A11" s="52" t="s">
        <v>285</v>
      </c>
      <c r="B11" s="53"/>
      <c r="C11" s="53"/>
      <c r="D11" s="54">
        <f>0.5%+2.5%</f>
        <v>3.0000000000000002E-2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6"/>
      <c r="R11" s="7"/>
      <c r="S11" s="7"/>
      <c r="T11" s="57"/>
      <c r="U11" s="7"/>
      <c r="V11" s="7"/>
    </row>
    <row r="12" spans="1:22" ht="14.4">
      <c r="A12" s="5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59"/>
      <c r="R12" s="7"/>
      <c r="S12" s="7"/>
      <c r="T12" s="57"/>
      <c r="U12" s="7"/>
      <c r="V12" s="7"/>
    </row>
    <row r="13" spans="1:22" ht="14.4">
      <c r="A13" s="57"/>
      <c r="B13" s="64"/>
      <c r="C13" s="65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73"/>
      <c r="R13" s="7"/>
      <c r="S13" s="7"/>
      <c r="T13" s="57"/>
      <c r="U13" s="7"/>
      <c r="V13" s="7"/>
    </row>
    <row r="14" spans="1:22" ht="14.4">
      <c r="A14" s="112" t="str">
        <f>Rent!A15</f>
        <v>Occupational Medicine for Business &amp; Industry</v>
      </c>
      <c r="B14" s="61" t="str">
        <f>Rent!B15</f>
        <v>100A</v>
      </c>
      <c r="C14" s="61">
        <f>Rent!C15</f>
        <v>5659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3">
        <f t="shared" ref="Q14" si="0">SUM(E14:P14)</f>
        <v>0</v>
      </c>
      <c r="R14" s="7"/>
      <c r="S14" s="7"/>
      <c r="T14" s="57"/>
      <c r="U14" s="7"/>
      <c r="V14" s="7"/>
    </row>
    <row r="15" spans="1:22" ht="14.4">
      <c r="A15" s="113"/>
      <c r="B15" s="64" t="s">
        <v>286</v>
      </c>
      <c r="C15" s="64"/>
      <c r="D15" s="67"/>
      <c r="E15" s="67">
        <f>IF(Rent!E15=0,0,(Rent!E15+(SUM('Tenant Charges'!$F11:$K11))))</f>
        <v>14210.383775853777</v>
      </c>
      <c r="F15" s="67">
        <f>IF(Rent!F15=0,0,(Rent!F15+(SUM('Tenant Charges'!$F11:$K11))))</f>
        <v>14210.383775853777</v>
      </c>
      <c r="G15" s="67">
        <f>IF(Rent!G15=0,0,(Rent!G15+(SUM('Tenant Charges'!$F11:$K11))))</f>
        <v>14210.383775853777</v>
      </c>
      <c r="H15" s="67">
        <f>IF(Rent!H15=0,0,(Rent!H15+(SUM('Tenant Charges'!$F11:$K11))))</f>
        <v>14608.463775853777</v>
      </c>
      <c r="I15" s="67">
        <f>IF(Rent!I15=0,0,(Rent!I15+(SUM('Tenant Charges'!$F11:$K11))))</f>
        <v>14608.463775853777</v>
      </c>
      <c r="J15" s="67">
        <f>IF(Rent!J15=0,0,(Rent!J15+(SUM('Tenant Charges'!$F11:$K11))))</f>
        <v>14608.463775853777</v>
      </c>
      <c r="K15" s="67">
        <f>IF(Rent!K15=0,0,(Rent!K15+(SUM('Tenant Charges'!$F11:$K11))))</f>
        <v>14608.463775853777</v>
      </c>
      <c r="L15" s="67">
        <f>IF(Rent!L15=0,0,(Rent!L15+(SUM('Tenant Charges'!$F11:$K11))))</f>
        <v>14608.463775853777</v>
      </c>
      <c r="M15" s="67">
        <f>IF(Rent!M15=0,0,(Rent!M15+(SUM('Tenant Charges'!$F11:$K11))))</f>
        <v>14608.463775853777</v>
      </c>
      <c r="N15" s="67">
        <f>IF(Rent!N15=0,0,(Rent!N15+(SUM('Tenant Charges'!$F11:$K11))))</f>
        <v>14608.463775853777</v>
      </c>
      <c r="O15" s="67">
        <f>IF(Rent!O15=0,0,(Rent!O15+(SUM('Tenant Charges'!$F11:$K11))))</f>
        <v>14608.463775853777</v>
      </c>
      <c r="P15" s="67">
        <f>IF(Rent!P15=0,0,(Rent!P15+(SUM('Tenant Charges'!$F11:$K11))))</f>
        <v>14608.463775853777</v>
      </c>
      <c r="Q15" s="68">
        <f>SUM(E15:P15)</f>
        <v>174107.3253102453</v>
      </c>
      <c r="R15" s="7"/>
      <c r="S15" s="7"/>
      <c r="T15" s="57"/>
      <c r="U15" s="7"/>
      <c r="V15" s="7"/>
    </row>
    <row r="16" spans="1:22" ht="14.4">
      <c r="A16" s="58"/>
      <c r="B16" s="64" t="s">
        <v>287</v>
      </c>
      <c r="C16" s="65"/>
      <c r="D16" s="66">
        <f>$D$11</f>
        <v>3.0000000000000002E-2</v>
      </c>
      <c r="E16" s="67">
        <f>E15*$D$16</f>
        <v>426.31151327561338</v>
      </c>
      <c r="F16" s="67">
        <f t="shared" ref="F16:P16" si="1">F15*$D$16</f>
        <v>426.31151327561338</v>
      </c>
      <c r="G16" s="67">
        <f t="shared" si="1"/>
        <v>426.31151327561338</v>
      </c>
      <c r="H16" s="67">
        <f t="shared" si="1"/>
        <v>438.25391327561334</v>
      </c>
      <c r="I16" s="67">
        <f t="shared" si="1"/>
        <v>438.25391327561334</v>
      </c>
      <c r="J16" s="67">
        <f t="shared" si="1"/>
        <v>438.25391327561334</v>
      </c>
      <c r="K16" s="67">
        <f t="shared" si="1"/>
        <v>438.25391327561334</v>
      </c>
      <c r="L16" s="67">
        <f t="shared" si="1"/>
        <v>438.25391327561334</v>
      </c>
      <c r="M16" s="67">
        <f t="shared" si="1"/>
        <v>438.25391327561334</v>
      </c>
      <c r="N16" s="67">
        <f t="shared" si="1"/>
        <v>438.25391327561334</v>
      </c>
      <c r="O16" s="67">
        <f t="shared" si="1"/>
        <v>438.25391327561334</v>
      </c>
      <c r="P16" s="67">
        <f t="shared" si="1"/>
        <v>438.25391327561334</v>
      </c>
      <c r="Q16" s="68">
        <f>SUM(E16:P16)</f>
        <v>5223.2197593073606</v>
      </c>
      <c r="R16" s="7"/>
      <c r="S16" s="7"/>
      <c r="T16" s="57"/>
      <c r="U16" s="7"/>
      <c r="V16" s="7"/>
    </row>
    <row r="17" spans="1:22" ht="14.4">
      <c r="A17" s="74"/>
      <c r="B17" s="69"/>
      <c r="C17" s="70" t="s">
        <v>288</v>
      </c>
      <c r="D17" s="71"/>
      <c r="E17" s="71">
        <f t="shared" ref="E17:P17" si="2">SUM(E16:E16)</f>
        <v>426.31151327561338</v>
      </c>
      <c r="F17" s="71">
        <f t="shared" si="2"/>
        <v>426.31151327561338</v>
      </c>
      <c r="G17" s="71">
        <f t="shared" si="2"/>
        <v>426.31151327561338</v>
      </c>
      <c r="H17" s="71">
        <f t="shared" si="2"/>
        <v>438.25391327561334</v>
      </c>
      <c r="I17" s="71">
        <f t="shared" si="2"/>
        <v>438.25391327561334</v>
      </c>
      <c r="J17" s="71">
        <f t="shared" si="2"/>
        <v>438.25391327561334</v>
      </c>
      <c r="K17" s="71">
        <f t="shared" si="2"/>
        <v>438.25391327561334</v>
      </c>
      <c r="L17" s="71">
        <f t="shared" si="2"/>
        <v>438.25391327561334</v>
      </c>
      <c r="M17" s="71">
        <f t="shared" si="2"/>
        <v>438.25391327561334</v>
      </c>
      <c r="N17" s="71">
        <f t="shared" si="2"/>
        <v>438.25391327561334</v>
      </c>
      <c r="O17" s="71">
        <f t="shared" si="2"/>
        <v>438.25391327561334</v>
      </c>
      <c r="P17" s="71">
        <f t="shared" si="2"/>
        <v>438.25391327561334</v>
      </c>
      <c r="Q17" s="71">
        <f>Q16</f>
        <v>5223.2197593073606</v>
      </c>
      <c r="R17" s="7"/>
      <c r="S17" s="7"/>
      <c r="T17" s="57"/>
      <c r="U17" s="7"/>
      <c r="V17" s="7"/>
    </row>
    <row r="18" spans="1:22" ht="14.4">
      <c r="A18" s="7"/>
      <c r="B18" s="64"/>
      <c r="C18" s="65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7"/>
      <c r="S18" s="7"/>
      <c r="T18" s="57"/>
      <c r="U18" s="7"/>
      <c r="V18" s="7"/>
    </row>
    <row r="19" spans="1:22" ht="14.4">
      <c r="A19" s="60" t="str">
        <f>Rent!A16</f>
        <v>Arizona Sports &amp; Spine Physicians</v>
      </c>
      <c r="B19" s="61" t="str">
        <f>Rent!B16</f>
        <v>101A</v>
      </c>
      <c r="C19" s="61">
        <f>Rent!C16</f>
        <v>1967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3">
        <f t="shared" ref="Q19:Q22" si="3">SUM(E19:P19)</f>
        <v>0</v>
      </c>
      <c r="R19" s="7"/>
      <c r="S19" s="7"/>
      <c r="T19" s="57"/>
      <c r="U19" s="7"/>
      <c r="V19" s="7"/>
    </row>
    <row r="20" spans="1:22" ht="14.4">
      <c r="A20" s="58"/>
      <c r="B20" s="64" t="s">
        <v>286</v>
      </c>
      <c r="C20" s="65"/>
      <c r="D20" s="66"/>
      <c r="E20" s="67">
        <f>IF(Rent!E16=0,0,(Rent!E16+(SUM('Tenant Charges'!$F12:$K12))))</f>
        <v>4751.2467059483733</v>
      </c>
      <c r="F20" s="67">
        <f>IF(Rent!F16=0,0,(Rent!F16+(SUM('Tenant Charges'!$F12:$K12))))</f>
        <v>4751.2467059483733</v>
      </c>
      <c r="G20" s="67">
        <f>IF(Rent!G16=0,0,(Rent!G16+(SUM('Tenant Charges'!$F12:$K12))))</f>
        <v>4818.8234801419212</v>
      </c>
      <c r="H20" s="67">
        <f>IF(Rent!H16=0,0,(Rent!H16+(SUM('Tenant Charges'!$F12:$K12))))</f>
        <v>4882.1767059483727</v>
      </c>
      <c r="I20" s="67">
        <f>IF(Rent!I16=0,0,(Rent!I16+(SUM('Tenant Charges'!$F12:$K12))))</f>
        <v>4882.1767059483727</v>
      </c>
      <c r="J20" s="67">
        <f>IF(Rent!J16=0,0,(Rent!J16+(SUM('Tenant Charges'!$F12:$K12))))</f>
        <v>4882.1767059483727</v>
      </c>
      <c r="K20" s="67">
        <f>IF(Rent!K16=0,0,(Rent!K16+(SUM('Tenant Charges'!$F12:$K12))))</f>
        <v>4882.1767059483727</v>
      </c>
      <c r="L20" s="67">
        <f>IF(Rent!L16=0,0,(Rent!L16+(SUM('Tenant Charges'!$F12:$K12))))</f>
        <v>4882.1767059483727</v>
      </c>
      <c r="M20" s="67">
        <f>IF(Rent!M16=0,0,(Rent!M16+(SUM('Tenant Charges'!$F12:$K12))))</f>
        <v>4882.1767059483727</v>
      </c>
      <c r="N20" s="67">
        <f>IF(Rent!N16=0,0,(Rent!N16+(SUM('Tenant Charges'!$F12:$K12))))</f>
        <v>4882.1767059483727</v>
      </c>
      <c r="O20" s="67">
        <f>IF(Rent!O16=0,0,(Rent!O16+(SUM('Tenant Charges'!$F12:$K12))))</f>
        <v>4882.1767059483727</v>
      </c>
      <c r="P20" s="67">
        <f>IF(Rent!P16=0,0,(Rent!P16+(SUM('Tenant Charges'!$F12:$K12))))</f>
        <v>4882.1767059483727</v>
      </c>
      <c r="Q20" s="68">
        <f t="shared" si="3"/>
        <v>58260.907245574032</v>
      </c>
      <c r="R20" s="7"/>
      <c r="S20" s="7"/>
      <c r="T20" s="57"/>
      <c r="U20" s="7"/>
      <c r="V20" s="7"/>
    </row>
    <row r="21" spans="1:22" ht="14.4">
      <c r="A21" s="58"/>
      <c r="B21" s="64" t="s">
        <v>289</v>
      </c>
      <c r="C21" s="65"/>
      <c r="D21" s="66">
        <f>$D$11</f>
        <v>3.0000000000000002E-2</v>
      </c>
      <c r="E21" s="67">
        <f>E20*$D$21</f>
        <v>142.5374011784512</v>
      </c>
      <c r="F21" s="67">
        <f t="shared" ref="F21:P21" si="4">F20*$D$21</f>
        <v>142.5374011784512</v>
      </c>
      <c r="G21" s="67">
        <f t="shared" si="4"/>
        <v>144.56470440425764</v>
      </c>
      <c r="H21" s="67">
        <f t="shared" si="4"/>
        <v>146.4653011784512</v>
      </c>
      <c r="I21" s="67">
        <f t="shared" si="4"/>
        <v>146.4653011784512</v>
      </c>
      <c r="J21" s="67">
        <f t="shared" si="4"/>
        <v>146.4653011784512</v>
      </c>
      <c r="K21" s="67">
        <f t="shared" si="4"/>
        <v>146.4653011784512</v>
      </c>
      <c r="L21" s="67">
        <f t="shared" si="4"/>
        <v>146.4653011784512</v>
      </c>
      <c r="M21" s="67">
        <f t="shared" si="4"/>
        <v>146.4653011784512</v>
      </c>
      <c r="N21" s="67">
        <f t="shared" si="4"/>
        <v>146.4653011784512</v>
      </c>
      <c r="O21" s="67">
        <f t="shared" si="4"/>
        <v>146.4653011784512</v>
      </c>
      <c r="P21" s="67">
        <f t="shared" si="4"/>
        <v>146.4653011784512</v>
      </c>
      <c r="Q21" s="68">
        <f t="shared" si="3"/>
        <v>1747.827217367221</v>
      </c>
      <c r="R21" s="7"/>
      <c r="S21" s="7"/>
      <c r="T21" s="57"/>
      <c r="U21" s="7"/>
      <c r="V21" s="7"/>
    </row>
    <row r="22" spans="1:22" ht="14.4">
      <c r="A22" s="74"/>
      <c r="B22" s="69"/>
      <c r="C22" s="70" t="s">
        <v>288</v>
      </c>
      <c r="D22" s="75"/>
      <c r="E22" s="71">
        <f>E21</f>
        <v>142.5374011784512</v>
      </c>
      <c r="F22" s="71">
        <f t="shared" ref="F22:P22" si="5">F21</f>
        <v>142.5374011784512</v>
      </c>
      <c r="G22" s="71">
        <f t="shared" si="5"/>
        <v>144.56470440425764</v>
      </c>
      <c r="H22" s="71">
        <f t="shared" si="5"/>
        <v>146.4653011784512</v>
      </c>
      <c r="I22" s="71">
        <f t="shared" si="5"/>
        <v>146.4653011784512</v>
      </c>
      <c r="J22" s="71">
        <f t="shared" si="5"/>
        <v>146.4653011784512</v>
      </c>
      <c r="K22" s="71">
        <f t="shared" si="5"/>
        <v>146.4653011784512</v>
      </c>
      <c r="L22" s="71">
        <f t="shared" si="5"/>
        <v>146.4653011784512</v>
      </c>
      <c r="M22" s="71">
        <f t="shared" si="5"/>
        <v>146.4653011784512</v>
      </c>
      <c r="N22" s="71">
        <f t="shared" si="5"/>
        <v>146.4653011784512</v>
      </c>
      <c r="O22" s="71">
        <f t="shared" si="5"/>
        <v>146.4653011784512</v>
      </c>
      <c r="P22" s="71">
        <f t="shared" si="5"/>
        <v>146.4653011784512</v>
      </c>
      <c r="Q22" s="72">
        <f t="shared" si="3"/>
        <v>1747.827217367221</v>
      </c>
      <c r="R22" s="7"/>
      <c r="S22" s="7"/>
      <c r="T22" s="57"/>
      <c r="U22" s="7"/>
      <c r="V22" s="7"/>
    </row>
    <row r="23" spans="1:22" ht="14.4">
      <c r="A23" s="57"/>
      <c r="B23" s="64"/>
      <c r="C23" s="6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73"/>
      <c r="R23" s="7"/>
      <c r="S23" s="7"/>
      <c r="T23" s="57"/>
      <c r="U23" s="7"/>
      <c r="V23" s="7"/>
    </row>
    <row r="24" spans="1:22" ht="14.4">
      <c r="A24" s="112" t="str">
        <f>Rent!A17</f>
        <v>Vacant</v>
      </c>
      <c r="B24" s="61" t="str">
        <f>Rent!B17</f>
        <v>100B</v>
      </c>
      <c r="C24" s="55">
        <f>Rent!C17</f>
        <v>618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3">
        <f t="shared" ref="Q24" si="6">SUM(E24:P24)</f>
        <v>0</v>
      </c>
      <c r="R24" s="7"/>
      <c r="S24" s="7"/>
      <c r="T24" s="57"/>
      <c r="U24" s="7"/>
      <c r="V24" s="7"/>
    </row>
    <row r="25" spans="1:22" ht="14.4">
      <c r="A25" s="113"/>
      <c r="B25" s="64" t="s">
        <v>286</v>
      </c>
      <c r="C25" s="64"/>
      <c r="D25" s="67"/>
      <c r="E25" s="67">
        <f>IF(Rent!E17=0,0,(Rent!E17+(SUM('Tenant Charges'!$F13:$K13))))</f>
        <v>0</v>
      </c>
      <c r="F25" s="67">
        <f>IF(Rent!F17=0,0,(Rent!F17+(SUM('Tenant Charges'!$F13:$K13))))</f>
        <v>0</v>
      </c>
      <c r="G25" s="67">
        <f>IF(Rent!G17=0,0,(Rent!G17+(SUM('Tenant Charges'!$F13:$K13))))</f>
        <v>0</v>
      </c>
      <c r="H25" s="67">
        <f>IF(Rent!H17=0,0,(Rent!H17+(SUM('Tenant Charges'!$F13:$K13))))</f>
        <v>0</v>
      </c>
      <c r="I25" s="67">
        <f>IF(Rent!I17=0,0,(Rent!I17+(SUM('Tenant Charges'!$F13:$K13))))</f>
        <v>1909.1881870094674</v>
      </c>
      <c r="J25" s="67">
        <f>IF(Rent!J17=0,0,(Rent!J17+(SUM('Tenant Charges'!$F13:$K13))))</f>
        <v>1909.1881870094674</v>
      </c>
      <c r="K25" s="67">
        <f>IF(Rent!K17=0,0,(Rent!K17+(SUM('Tenant Charges'!$F13:$K13))))</f>
        <v>1909.1881870094674</v>
      </c>
      <c r="L25" s="67">
        <f>IF(Rent!L17=0,0,(Rent!L17+(SUM('Tenant Charges'!$F13:$K13))))</f>
        <v>1909.1881870094674</v>
      </c>
      <c r="M25" s="67">
        <f>IF(Rent!M17=0,0,(Rent!M17+(SUM('Tenant Charges'!$F13:$K13))))</f>
        <v>1909.1881870094674</v>
      </c>
      <c r="N25" s="67">
        <f>IF(Rent!N17=0,0,(Rent!N17+(SUM('Tenant Charges'!$F13:$K13))))</f>
        <v>1909.1881870094674</v>
      </c>
      <c r="O25" s="67">
        <f>IF(Rent!O17=0,0,(Rent!O17+(SUM('Tenant Charges'!$F13:$K13))))</f>
        <v>1909.1881870094674</v>
      </c>
      <c r="P25" s="67">
        <f>IF(Rent!P17=0,0,(Rent!P17+(SUM('Tenant Charges'!$F13:$K13))))</f>
        <v>1909.1881870094674</v>
      </c>
      <c r="Q25" s="68">
        <f>SUM(E25:P25)</f>
        <v>15273.505496075739</v>
      </c>
      <c r="R25" s="7"/>
      <c r="S25" s="7"/>
      <c r="T25" s="57"/>
      <c r="U25" s="7"/>
      <c r="V25" s="7"/>
    </row>
    <row r="26" spans="1:22" ht="14.4">
      <c r="A26" s="58"/>
      <c r="B26" s="64" t="s">
        <v>287</v>
      </c>
      <c r="C26" s="65"/>
      <c r="D26" s="66">
        <f>$D$11</f>
        <v>3.0000000000000002E-2</v>
      </c>
      <c r="E26" s="67">
        <f>E25*$D$16</f>
        <v>0</v>
      </c>
      <c r="F26" s="67">
        <f t="shared" ref="F26:P26" si="7">F25*$D$16</f>
        <v>0</v>
      </c>
      <c r="G26" s="67">
        <f t="shared" si="7"/>
        <v>0</v>
      </c>
      <c r="H26" s="67">
        <f t="shared" si="7"/>
        <v>0</v>
      </c>
      <c r="I26" s="67">
        <f t="shared" si="7"/>
        <v>57.275645610284023</v>
      </c>
      <c r="J26" s="67">
        <f t="shared" si="7"/>
        <v>57.275645610284023</v>
      </c>
      <c r="K26" s="67">
        <f t="shared" si="7"/>
        <v>57.275645610284023</v>
      </c>
      <c r="L26" s="67">
        <f t="shared" si="7"/>
        <v>57.275645610284023</v>
      </c>
      <c r="M26" s="67">
        <f t="shared" si="7"/>
        <v>57.275645610284023</v>
      </c>
      <c r="N26" s="67">
        <f t="shared" si="7"/>
        <v>57.275645610284023</v>
      </c>
      <c r="O26" s="67">
        <f t="shared" si="7"/>
        <v>57.275645610284023</v>
      </c>
      <c r="P26" s="67">
        <f t="shared" si="7"/>
        <v>57.275645610284023</v>
      </c>
      <c r="Q26" s="68">
        <f>SUM(E26:P26)</f>
        <v>458.20516488227219</v>
      </c>
      <c r="R26" s="7"/>
      <c r="S26" s="7"/>
      <c r="T26" s="57"/>
      <c r="U26" s="7"/>
      <c r="V26" s="7"/>
    </row>
    <row r="27" spans="1:22" ht="14.4">
      <c r="A27" s="74"/>
      <c r="B27" s="69"/>
      <c r="C27" s="70" t="s">
        <v>288</v>
      </c>
      <c r="D27" s="71"/>
      <c r="E27" s="71">
        <f t="shared" ref="E27:P27" si="8">SUM(E26:E26)</f>
        <v>0</v>
      </c>
      <c r="F27" s="71">
        <f t="shared" si="8"/>
        <v>0</v>
      </c>
      <c r="G27" s="71">
        <f t="shared" si="8"/>
        <v>0</v>
      </c>
      <c r="H27" s="71">
        <f t="shared" si="8"/>
        <v>0</v>
      </c>
      <c r="I27" s="71">
        <f t="shared" si="8"/>
        <v>57.275645610284023</v>
      </c>
      <c r="J27" s="71">
        <f t="shared" si="8"/>
        <v>57.275645610284023</v>
      </c>
      <c r="K27" s="71">
        <f t="shared" si="8"/>
        <v>57.275645610284023</v>
      </c>
      <c r="L27" s="71">
        <f t="shared" si="8"/>
        <v>57.275645610284023</v>
      </c>
      <c r="M27" s="71">
        <f t="shared" si="8"/>
        <v>57.275645610284023</v>
      </c>
      <c r="N27" s="71">
        <f t="shared" si="8"/>
        <v>57.275645610284023</v>
      </c>
      <c r="O27" s="71">
        <f t="shared" si="8"/>
        <v>57.275645610284023</v>
      </c>
      <c r="P27" s="71">
        <f t="shared" si="8"/>
        <v>57.275645610284023</v>
      </c>
      <c r="Q27" s="71">
        <f>Q26</f>
        <v>458.20516488227219</v>
      </c>
      <c r="R27" s="7"/>
      <c r="S27" s="7"/>
      <c r="T27" s="57"/>
      <c r="U27" s="7"/>
      <c r="V27" s="7"/>
    </row>
    <row r="28" spans="1:22" ht="14.4">
      <c r="A28" s="7"/>
      <c r="B28" s="64"/>
      <c r="C28" s="65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7"/>
      <c r="S28" s="7"/>
      <c r="T28" s="57"/>
      <c r="U28" s="7"/>
      <c r="V28" s="7"/>
    </row>
    <row r="29" spans="1:22" ht="14.4">
      <c r="A29" s="60" t="str">
        <f>Rent!A18</f>
        <v>Vacant</v>
      </c>
      <c r="B29" s="61" t="str">
        <f>Rent!B18</f>
        <v>101B/102B</v>
      </c>
      <c r="C29" s="55">
        <f>Rent!C18</f>
        <v>4230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3">
        <f t="shared" ref="Q29:Q32" si="9">SUM(E29:P29)</f>
        <v>0</v>
      </c>
      <c r="R29" s="7"/>
      <c r="S29" s="7"/>
      <c r="T29" s="57"/>
      <c r="U29" s="7"/>
      <c r="V29" s="7"/>
    </row>
    <row r="30" spans="1:22" ht="14.4">
      <c r="A30" s="58"/>
      <c r="B30" s="64" t="s">
        <v>286</v>
      </c>
      <c r="C30" s="65"/>
      <c r="D30" s="66"/>
      <c r="E30" s="67">
        <f>IF(Rent!E18=0,0,(Rent!E18+(SUM('Tenant Charges'!$F14:$K14))))</f>
        <v>0</v>
      </c>
      <c r="F30" s="67">
        <f>IF(Rent!F18=0,0,(Rent!F18+(SUM('Tenant Charges'!$F14:$K14))))</f>
        <v>0</v>
      </c>
      <c r="G30" s="67">
        <f>IF(Rent!G18=0,0,(Rent!G18+(SUM('Tenant Charges'!$F14:$K14))))</f>
        <v>0</v>
      </c>
      <c r="H30" s="67">
        <f>IF(Rent!H18=0,0,(Rent!H18+(SUM('Tenant Charges'!$F14:$K14))))</f>
        <v>0</v>
      </c>
      <c r="I30" s="67">
        <f>IF(Rent!I18=0,0,(Rent!I18+(SUM('Tenant Charges'!$F14:$K14))))</f>
        <v>13067.744386812374</v>
      </c>
      <c r="J30" s="67">
        <f>IF(Rent!J18=0,0,(Rent!J18+(SUM('Tenant Charges'!$F14:$K14))))</f>
        <v>13067.744386812374</v>
      </c>
      <c r="K30" s="67">
        <f>IF(Rent!K18=0,0,(Rent!K18+(SUM('Tenant Charges'!$F14:$K14))))</f>
        <v>13067.744386812374</v>
      </c>
      <c r="L30" s="67">
        <f>IF(Rent!L18=0,0,(Rent!L18+(SUM('Tenant Charges'!$F14:$K14))))</f>
        <v>13067.744386812374</v>
      </c>
      <c r="M30" s="67">
        <f>IF(Rent!M18=0,0,(Rent!M18+(SUM('Tenant Charges'!$F14:$K14))))</f>
        <v>13067.744386812374</v>
      </c>
      <c r="N30" s="67">
        <f>IF(Rent!N18=0,0,(Rent!N18+(SUM('Tenant Charges'!$F14:$K14))))</f>
        <v>13067.744386812374</v>
      </c>
      <c r="O30" s="67">
        <f>IF(Rent!O18=0,0,(Rent!O18+(SUM('Tenant Charges'!$F14:$K14))))</f>
        <v>13067.744386812374</v>
      </c>
      <c r="P30" s="67">
        <f>IF(Rent!P18=0,0,(Rent!P18+(SUM('Tenant Charges'!$F14:$K14))))</f>
        <v>13067.744386812374</v>
      </c>
      <c r="Q30" s="68">
        <f t="shared" si="9"/>
        <v>104541.95509449899</v>
      </c>
      <c r="R30" s="7"/>
      <c r="S30" s="7"/>
      <c r="T30" s="57"/>
      <c r="U30" s="7"/>
      <c r="V30" s="7"/>
    </row>
    <row r="31" spans="1:22" ht="14.4">
      <c r="A31" s="58"/>
      <c r="B31" s="64" t="s">
        <v>289</v>
      </c>
      <c r="C31" s="65"/>
      <c r="D31" s="66">
        <f>$D$11</f>
        <v>3.0000000000000002E-2</v>
      </c>
      <c r="E31" s="67">
        <f>E30*$D$21</f>
        <v>0</v>
      </c>
      <c r="F31" s="67">
        <f t="shared" ref="F31:P31" si="10">F30*$D$21</f>
        <v>0</v>
      </c>
      <c r="G31" s="67">
        <f t="shared" si="10"/>
        <v>0</v>
      </c>
      <c r="H31" s="67">
        <f t="shared" si="10"/>
        <v>0</v>
      </c>
      <c r="I31" s="67">
        <f t="shared" si="10"/>
        <v>392.03233160437122</v>
      </c>
      <c r="J31" s="67">
        <f t="shared" si="10"/>
        <v>392.03233160437122</v>
      </c>
      <c r="K31" s="67">
        <f t="shared" si="10"/>
        <v>392.03233160437122</v>
      </c>
      <c r="L31" s="67">
        <f t="shared" si="10"/>
        <v>392.03233160437122</v>
      </c>
      <c r="M31" s="67">
        <f t="shared" si="10"/>
        <v>392.03233160437122</v>
      </c>
      <c r="N31" s="67">
        <f t="shared" si="10"/>
        <v>392.03233160437122</v>
      </c>
      <c r="O31" s="67">
        <f t="shared" si="10"/>
        <v>392.03233160437122</v>
      </c>
      <c r="P31" s="67">
        <f t="shared" si="10"/>
        <v>392.03233160437122</v>
      </c>
      <c r="Q31" s="68">
        <f t="shared" si="9"/>
        <v>3136.2586528349702</v>
      </c>
      <c r="R31" s="7"/>
      <c r="S31" s="7"/>
      <c r="T31" s="57"/>
      <c r="U31" s="7"/>
      <c r="V31" s="7"/>
    </row>
    <row r="32" spans="1:22" ht="14.4">
      <c r="A32" s="74"/>
      <c r="B32" s="69"/>
      <c r="C32" s="70" t="s">
        <v>288</v>
      </c>
      <c r="D32" s="75"/>
      <c r="E32" s="71">
        <f>E31</f>
        <v>0</v>
      </c>
      <c r="F32" s="71">
        <f t="shared" ref="F32:P32" si="11">F31</f>
        <v>0</v>
      </c>
      <c r="G32" s="71">
        <f t="shared" si="11"/>
        <v>0</v>
      </c>
      <c r="H32" s="71">
        <f t="shared" si="11"/>
        <v>0</v>
      </c>
      <c r="I32" s="71">
        <f t="shared" si="11"/>
        <v>392.03233160437122</v>
      </c>
      <c r="J32" s="71">
        <f t="shared" si="11"/>
        <v>392.03233160437122</v>
      </c>
      <c r="K32" s="71">
        <f t="shared" si="11"/>
        <v>392.03233160437122</v>
      </c>
      <c r="L32" s="71">
        <f t="shared" si="11"/>
        <v>392.03233160437122</v>
      </c>
      <c r="M32" s="71">
        <f t="shared" si="11"/>
        <v>392.03233160437122</v>
      </c>
      <c r="N32" s="71">
        <f t="shared" si="11"/>
        <v>392.03233160437122</v>
      </c>
      <c r="O32" s="71">
        <f t="shared" si="11"/>
        <v>392.03233160437122</v>
      </c>
      <c r="P32" s="71">
        <f t="shared" si="11"/>
        <v>392.03233160437122</v>
      </c>
      <c r="Q32" s="72">
        <f t="shared" si="9"/>
        <v>3136.2586528349702</v>
      </c>
      <c r="R32" s="7"/>
      <c r="S32" s="7"/>
      <c r="T32" s="57"/>
      <c r="U32" s="7"/>
      <c r="V32" s="7"/>
    </row>
    <row r="33" spans="1:22" ht="14.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6"/>
      <c r="U33" s="7"/>
      <c r="V33" s="7"/>
    </row>
    <row r="34" spans="1:22" ht="14.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6"/>
      <c r="U34" s="7"/>
      <c r="V34" s="7"/>
    </row>
    <row r="35" spans="1:22" ht="14.4">
      <c r="A35" s="77" t="s">
        <v>290</v>
      </c>
      <c r="B35" s="78"/>
      <c r="C35" s="78"/>
      <c r="D35" s="78"/>
      <c r="E35" s="79">
        <f>E17+E22+E27+E32</f>
        <v>568.84891445406458</v>
      </c>
      <c r="F35" s="79">
        <f t="shared" ref="F35:Q35" si="12">F17+F22+F27+F32</f>
        <v>568.84891445406458</v>
      </c>
      <c r="G35" s="79">
        <f t="shared" si="12"/>
        <v>570.87621767987105</v>
      </c>
      <c r="H35" s="79">
        <f t="shared" si="12"/>
        <v>584.71921445406451</v>
      </c>
      <c r="I35" s="79">
        <f t="shared" si="12"/>
        <v>1034.0271916687198</v>
      </c>
      <c r="J35" s="79">
        <f t="shared" si="12"/>
        <v>1034.0271916687198</v>
      </c>
      <c r="K35" s="79">
        <f t="shared" si="12"/>
        <v>1034.0271916687198</v>
      </c>
      <c r="L35" s="79">
        <f t="shared" si="12"/>
        <v>1034.0271916687198</v>
      </c>
      <c r="M35" s="79">
        <f t="shared" si="12"/>
        <v>1034.0271916687198</v>
      </c>
      <c r="N35" s="79">
        <f t="shared" si="12"/>
        <v>1034.0271916687198</v>
      </c>
      <c r="O35" s="79">
        <f t="shared" si="12"/>
        <v>1034.0271916687198</v>
      </c>
      <c r="P35" s="79">
        <f t="shared" si="12"/>
        <v>1034.0271916687198</v>
      </c>
      <c r="Q35" s="79">
        <f t="shared" si="12"/>
        <v>10565.510794391825</v>
      </c>
      <c r="R35" s="7"/>
      <c r="S35" s="7"/>
      <c r="T35" s="76" t="s">
        <v>291</v>
      </c>
      <c r="U35" s="7"/>
      <c r="V35" s="7"/>
    </row>
    <row r="36" spans="1:22" ht="14.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4.4">
      <c r="A37" s="7"/>
      <c r="B37" s="7"/>
      <c r="C37" s="7"/>
      <c r="D37" s="117" t="s">
        <v>255</v>
      </c>
      <c r="E37" s="118">
        <f>E35-Summary!C15</f>
        <v>0</v>
      </c>
      <c r="F37" s="118">
        <f>F35-Summary!D15</f>
        <v>0</v>
      </c>
      <c r="G37" s="118">
        <f>G35-Summary!E15</f>
        <v>0</v>
      </c>
      <c r="H37" s="118">
        <f>H35-Summary!F15</f>
        <v>0</v>
      </c>
      <c r="I37" s="118">
        <f>I35-Summary!G15</f>
        <v>0</v>
      </c>
      <c r="J37" s="118">
        <f>J35-Summary!H15</f>
        <v>0</v>
      </c>
      <c r="K37" s="118">
        <f>K35-Summary!I15</f>
        <v>0</v>
      </c>
      <c r="L37" s="118">
        <f>L35-Summary!J15</f>
        <v>0</v>
      </c>
      <c r="M37" s="118">
        <f>M35-Summary!K15</f>
        <v>0</v>
      </c>
      <c r="N37" s="118">
        <f>N35-Summary!L15</f>
        <v>0</v>
      </c>
      <c r="O37" s="118">
        <f>O35-Summary!M15</f>
        <v>0</v>
      </c>
      <c r="P37" s="118">
        <f>P35-Summary!N15</f>
        <v>0</v>
      </c>
      <c r="Q37" s="119">
        <f>Q35-Summary!O15</f>
        <v>0</v>
      </c>
      <c r="R37" s="7"/>
      <c r="S37" s="7"/>
      <c r="T37" s="7"/>
      <c r="U37" s="7"/>
      <c r="V37" s="7"/>
    </row>
    <row r="38" spans="1:22" ht="14.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4.4">
      <c r="A39" s="7"/>
      <c r="B39" s="7"/>
      <c r="C39" s="7"/>
      <c r="D39" s="7"/>
      <c r="E39" s="12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4.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4.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4" spans="1:22">
      <c r="E44"/>
    </row>
  </sheetData>
  <mergeCells count="6">
    <mergeCell ref="Q8:Q10"/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3" scale="64" firstPageNumber="3" orientation="landscape" useFirstPageNumber="1" r:id="rId1"/>
  <headerFooter alignWithMargins="0">
    <oddFooter>Page 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BO64"/>
  <sheetViews>
    <sheetView zoomScaleNormal="100" zoomScaleSheetLayoutView="140" workbookViewId="0">
      <selection activeCell="Q32" sqref="Q32"/>
    </sheetView>
  </sheetViews>
  <sheetFormatPr defaultColWidth="11.44140625" defaultRowHeight="13.8"/>
  <cols>
    <col min="1" max="1" width="9.33203125" style="80" customWidth="1"/>
    <col min="2" max="2" width="37.33203125" style="80" customWidth="1"/>
    <col min="3" max="3" width="7" style="80" customWidth="1"/>
    <col min="4" max="4" width="11.33203125" style="80" bestFit="1" customWidth="1"/>
    <col min="5" max="5" width="11.6640625" style="80" customWidth="1"/>
    <col min="6" max="7" width="12" style="80" customWidth="1"/>
    <col min="8" max="8" width="11.6640625" style="80" customWidth="1"/>
    <col min="9" max="9" width="11.33203125" style="80" customWidth="1"/>
    <col min="10" max="12" width="10.33203125" style="80" customWidth="1"/>
    <col min="13" max="14" width="11.44140625" style="80" customWidth="1"/>
    <col min="15" max="16" width="12.33203125" style="80" customWidth="1"/>
    <col min="17" max="17" width="11.6640625" style="82" bestFit="1" customWidth="1"/>
    <col min="18" max="18" width="9.6640625" style="80" customWidth="1"/>
    <col min="19" max="19" width="11.44140625" style="80" customWidth="1"/>
    <col min="20" max="20" width="7.6640625" style="80" customWidth="1"/>
    <col min="21" max="32" width="8.6640625" style="80" customWidth="1"/>
    <col min="33" max="33" width="10.44140625" style="80" customWidth="1"/>
    <col min="34" max="34" width="20.6640625" style="80" customWidth="1"/>
    <col min="35" max="35" width="8" style="80" customWidth="1"/>
    <col min="36" max="36" width="12.5546875" style="80" customWidth="1"/>
    <col min="37" max="37" width="11.6640625" style="80" customWidth="1"/>
    <col min="38" max="50" width="8.6640625" style="80" customWidth="1"/>
    <col min="51" max="51" width="26.6640625" style="80" customWidth="1"/>
    <col min="52" max="52" width="8.6640625" style="80" customWidth="1"/>
    <col min="53" max="53" width="12.6640625" style="80" customWidth="1"/>
    <col min="54" max="54" width="7.6640625" style="80" customWidth="1"/>
    <col min="55" max="67" width="8.6640625" style="80" customWidth="1"/>
    <col min="68" max="68" width="21.6640625" style="80" customWidth="1"/>
    <col min="69" max="69" width="8.6640625" style="80" customWidth="1"/>
    <col min="70" max="70" width="10.6640625" style="80" customWidth="1"/>
    <col min="71" max="83" width="8.6640625" style="80" customWidth="1"/>
    <col min="84" max="16384" width="11.44140625" style="80"/>
  </cols>
  <sheetData>
    <row r="1" spans="1:61" ht="13.2" customHeight="1">
      <c r="N1" s="81"/>
      <c r="O1" s="81"/>
      <c r="P1" s="81" t="str">
        <f>Summary!T4</f>
        <v>Date Revised:</v>
      </c>
      <c r="Q1" s="81">
        <f ca="1">Summary!U4</f>
        <v>46235</v>
      </c>
    </row>
    <row r="2" spans="1:61" ht="13.2" customHeight="1">
      <c r="A2" s="500" t="str">
        <f>Summary!A2</f>
        <v>ATHENA PROPERTY MANAGEMENT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83"/>
      <c r="P2" s="83"/>
    </row>
    <row r="3" spans="1:61" ht="13.2" customHeight="1">
      <c r="A3" s="500" t="str">
        <f>Summary!A3</f>
        <v>BELL MEDICAL</v>
      </c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  <c r="O3" s="83"/>
      <c r="P3" s="83"/>
    </row>
    <row r="4" spans="1:61" ht="13.2" customHeight="1">
      <c r="A4" s="500" t="str">
        <f>Summary!A4</f>
        <v>PROJECT NO. 802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83"/>
      <c r="P4" s="83"/>
    </row>
    <row r="5" spans="1:61" ht="13.2" customHeight="1">
      <c r="A5" s="500" t="str">
        <f>Summary!A5</f>
        <v>01/01/26-12/31/26</v>
      </c>
      <c r="B5" s="500"/>
      <c r="C5" s="500"/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83"/>
      <c r="P5" s="83"/>
    </row>
    <row r="6" spans="1:61" ht="13.2" customHeight="1">
      <c r="A6" s="500" t="str">
        <f>Summary!A6</f>
        <v>2026 OPERATING BUDGET</v>
      </c>
      <c r="B6" s="500"/>
      <c r="C6" s="500"/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83"/>
      <c r="P6" s="83"/>
    </row>
    <row r="7" spans="1:61" ht="14.4" thickBot="1">
      <c r="Q7" s="84"/>
    </row>
    <row r="8" spans="1:61" ht="55.2">
      <c r="B8" s="85" t="s">
        <v>242</v>
      </c>
      <c r="C8" s="85" t="s">
        <v>292</v>
      </c>
      <c r="D8" s="86" t="s">
        <v>210</v>
      </c>
      <c r="E8" s="86" t="s">
        <v>293</v>
      </c>
      <c r="F8" s="86" t="s">
        <v>58</v>
      </c>
      <c r="G8" s="87" t="s">
        <v>294</v>
      </c>
      <c r="H8" s="86" t="s">
        <v>295</v>
      </c>
      <c r="I8" s="86" t="s">
        <v>296</v>
      </c>
      <c r="J8" s="86" t="s">
        <v>297</v>
      </c>
      <c r="K8" s="88" t="s">
        <v>298</v>
      </c>
      <c r="L8" s="88" t="s">
        <v>299</v>
      </c>
      <c r="M8" s="88" t="s">
        <v>263</v>
      </c>
      <c r="N8" s="89" t="s">
        <v>300</v>
      </c>
      <c r="O8" s="114" t="s">
        <v>301</v>
      </c>
      <c r="P8" s="90" t="s">
        <v>70</v>
      </c>
      <c r="Q8" s="90" t="s">
        <v>302</v>
      </c>
    </row>
    <row r="9" spans="1:61" ht="15" customHeight="1">
      <c r="B9" s="92"/>
      <c r="C9" s="93"/>
      <c r="D9" s="94"/>
      <c r="E9" s="95"/>
      <c r="F9" s="95"/>
      <c r="G9" s="95"/>
      <c r="H9" s="95"/>
      <c r="I9" s="95"/>
      <c r="J9" s="95"/>
      <c r="K9" s="96"/>
      <c r="L9" s="96"/>
      <c r="M9" s="96"/>
      <c r="N9" s="97"/>
      <c r="O9" s="98"/>
      <c r="P9" s="115"/>
      <c r="Q9" s="98"/>
    </row>
    <row r="10" spans="1:61" ht="15" customHeight="1">
      <c r="B10" s="92"/>
      <c r="C10" s="93"/>
      <c r="D10" s="94"/>
      <c r="E10" s="95"/>
      <c r="F10" s="95"/>
      <c r="G10" s="95"/>
      <c r="H10" s="95"/>
      <c r="I10" s="95"/>
      <c r="J10" s="95"/>
      <c r="K10" s="96"/>
      <c r="L10" s="96"/>
      <c r="M10" s="96"/>
      <c r="N10" s="97"/>
      <c r="O10" s="98"/>
      <c r="P10" s="115"/>
      <c r="Q10" s="98"/>
    </row>
    <row r="11" spans="1:61" s="99" customFormat="1" ht="15" customHeight="1">
      <c r="B11" s="91" t="str">
        <f>Rent!A15</f>
        <v>Occupational Medicine for Business &amp; Industry</v>
      </c>
      <c r="C11" s="93" t="s">
        <v>303</v>
      </c>
      <c r="D11" s="94">
        <f>Rent!C15</f>
        <v>5659</v>
      </c>
      <c r="E11" s="95">
        <f>Rent!E15</f>
        <v>13269.28</v>
      </c>
      <c r="F11" s="95">
        <f>'CAM TENANTS'!L70/12</f>
        <v>611.19377585377606</v>
      </c>
      <c r="G11" s="116">
        <v>0</v>
      </c>
      <c r="H11" s="116">
        <f>'CAM TENANTS'!M67/12</f>
        <v>0</v>
      </c>
      <c r="I11" s="116">
        <v>0</v>
      </c>
      <c r="J11" s="116">
        <v>0</v>
      </c>
      <c r="K11" s="96">
        <f>Signage!E15</f>
        <v>329.91</v>
      </c>
      <c r="L11" s="96">
        <f>'Sales Tax'!E16</f>
        <v>426.31151327561338</v>
      </c>
      <c r="M11" s="96">
        <f t="shared" ref="M11:M14" si="0">SUM(E11:L11)</f>
        <v>14636.695289129391</v>
      </c>
      <c r="N11" s="97">
        <f>SUM(F11:K11)</f>
        <v>941.10377585377614</v>
      </c>
      <c r="O11" s="98">
        <v>62.74</v>
      </c>
      <c r="P11" s="115">
        <f>N11-O11</f>
        <v>878.36377585377613</v>
      </c>
      <c r="Q11" s="98">
        <f>N11/D11</f>
        <v>0.16630213392008766</v>
      </c>
      <c r="R11" s="100"/>
      <c r="S11" s="100"/>
    </row>
    <row r="12" spans="1:61" s="99" customFormat="1" ht="15" customHeight="1">
      <c r="B12" s="91" t="str">
        <f>Rent!A16</f>
        <v>Arizona Sports &amp; Spine Physicians</v>
      </c>
      <c r="C12" s="93" t="s">
        <v>304</v>
      </c>
      <c r="D12" s="94">
        <f>Rent!C16</f>
        <v>1967</v>
      </c>
      <c r="E12" s="95">
        <f>Rent!E16</f>
        <v>4374.8100000000004</v>
      </c>
      <c r="F12" s="95">
        <f>'CAM TENANTS'!W70/12</f>
        <v>256.61670594837267</v>
      </c>
      <c r="G12" s="116">
        <v>0</v>
      </c>
      <c r="H12" s="116">
        <f>'CAM TENANTS'!V67/12</f>
        <v>0</v>
      </c>
      <c r="I12" s="116">
        <v>0</v>
      </c>
      <c r="J12" s="116">
        <v>0</v>
      </c>
      <c r="K12" s="96">
        <f>Signage!E16</f>
        <v>119.82</v>
      </c>
      <c r="L12" s="96">
        <f>'Sales Tax'!E21</f>
        <v>142.5374011784512</v>
      </c>
      <c r="M12" s="96">
        <f t="shared" si="0"/>
        <v>4893.784107126824</v>
      </c>
      <c r="N12" s="97">
        <f>SUM(F12:K12)</f>
        <v>376.43670594837266</v>
      </c>
      <c r="O12" s="98">
        <v>254.27</v>
      </c>
      <c r="P12" s="115">
        <f t="shared" ref="P12:P14" si="1">N12-O12</f>
        <v>122.16670594837265</v>
      </c>
      <c r="Q12" s="98">
        <f t="shared" ref="Q12:Q14" si="2">N12/D12</f>
        <v>0.19137605793003185</v>
      </c>
      <c r="R12" s="100"/>
      <c r="S12" s="100"/>
    </row>
    <row r="13" spans="1:61" s="99" customFormat="1" ht="15" customHeight="1">
      <c r="B13" s="154" t="str">
        <f>Rent!A17</f>
        <v>Vacant</v>
      </c>
      <c r="C13" s="155"/>
      <c r="D13" s="156">
        <f>Rent!C17</f>
        <v>618</v>
      </c>
      <c r="E13" s="157">
        <f>Rent!E17</f>
        <v>0</v>
      </c>
      <c r="F13" s="157">
        <f>'CAM TENANTS'!AD40/12</f>
        <v>269.86052960259616</v>
      </c>
      <c r="G13" s="157">
        <f>'CAM TENANTS'!AD52/12</f>
        <v>254.46363343701398</v>
      </c>
      <c r="H13" s="157">
        <f>'CAM TENANTS'!AE75/12</f>
        <v>0</v>
      </c>
      <c r="I13" s="157">
        <f>'CAM TENANTS'!AD65/12</f>
        <v>144.2017752926086</v>
      </c>
      <c r="J13" s="157">
        <f>'CAM TENANTS'!AD60/12</f>
        <v>23.202248677248679</v>
      </c>
      <c r="K13" s="157">
        <f>Signage!E17</f>
        <v>0</v>
      </c>
      <c r="L13" s="157">
        <f>'Sales Tax'!Q27/8</f>
        <v>57.275645610284023</v>
      </c>
      <c r="M13" s="158">
        <f t="shared" si="0"/>
        <v>749.00383261975139</v>
      </c>
      <c r="N13" s="159">
        <f t="shared" ref="N13:N14" si="3">SUM(F13:K13)</f>
        <v>691.72818700946732</v>
      </c>
      <c r="O13" s="160">
        <v>0</v>
      </c>
      <c r="P13" s="161">
        <f t="shared" si="1"/>
        <v>691.72818700946732</v>
      </c>
      <c r="Q13" s="160">
        <f t="shared" si="2"/>
        <v>1.1193012734781025</v>
      </c>
      <c r="R13" s="162" t="s">
        <v>305</v>
      </c>
      <c r="S13" s="100"/>
    </row>
    <row r="14" spans="1:61" s="99" customFormat="1" ht="15" customHeight="1">
      <c r="B14" s="154" t="str">
        <f>Rent!A18</f>
        <v>Vacant</v>
      </c>
      <c r="C14" s="155"/>
      <c r="D14" s="156">
        <f>Rent!C18</f>
        <v>4230</v>
      </c>
      <c r="E14" s="157">
        <f>Rent!E18</f>
        <v>0</v>
      </c>
      <c r="F14" s="157">
        <f>'CAM TENANTS'!AM40/12</f>
        <v>1847.103624949809</v>
      </c>
      <c r="G14" s="157">
        <f>'CAM TENANTS'!AM52/12</f>
        <v>1741.7171026514063</v>
      </c>
      <c r="H14" s="157">
        <f>'CAM TENANTS'!AN75/12</f>
        <v>0</v>
      </c>
      <c r="I14" s="157">
        <f>'CAM TENANTS'!AM65/12</f>
        <v>987.01215127465127</v>
      </c>
      <c r="J14" s="157">
        <f>'CAM TENANTS'!AM60/12</f>
        <v>158.81150793650798</v>
      </c>
      <c r="K14" s="157">
        <f>Signage!E18</f>
        <v>0</v>
      </c>
      <c r="L14" s="157">
        <f>'Sales Tax'!Q32/8</f>
        <v>392.03233160437128</v>
      </c>
      <c r="M14" s="158">
        <f t="shared" si="0"/>
        <v>5126.6767184167456</v>
      </c>
      <c r="N14" s="159">
        <f t="shared" si="3"/>
        <v>4734.6443868123743</v>
      </c>
      <c r="O14" s="160">
        <v>0</v>
      </c>
      <c r="P14" s="161">
        <f t="shared" si="1"/>
        <v>4734.6443868123743</v>
      </c>
      <c r="Q14" s="160">
        <f t="shared" si="2"/>
        <v>1.1193012734781027</v>
      </c>
      <c r="R14" s="162" t="s">
        <v>305</v>
      </c>
      <c r="S14" s="100"/>
    </row>
    <row r="15" spans="1:61" s="99" customFormat="1" ht="15" customHeight="1" thickBot="1">
      <c r="B15" s="91"/>
      <c r="C15" s="93"/>
      <c r="D15" s="94"/>
      <c r="E15" s="95"/>
      <c r="F15" s="95"/>
      <c r="G15" s="95"/>
      <c r="H15" s="95"/>
      <c r="I15" s="95"/>
      <c r="J15" s="95"/>
      <c r="K15" s="96"/>
      <c r="L15" s="96"/>
      <c r="M15" s="96"/>
      <c r="N15" s="97"/>
      <c r="O15" s="98"/>
      <c r="P15" s="115"/>
      <c r="Q15" s="98"/>
      <c r="R15" s="100"/>
      <c r="S15" s="100"/>
    </row>
    <row r="16" spans="1:61" ht="13.2" customHeight="1" thickBot="1">
      <c r="B16" s="103"/>
      <c r="C16" s="103"/>
      <c r="D16" s="103">
        <f>SUM(D11:D15)</f>
        <v>12474</v>
      </c>
      <c r="E16" s="103">
        <f>SUM(E11:E15)</f>
        <v>17644.09</v>
      </c>
      <c r="F16" s="103">
        <f t="shared" ref="F16:Q16" si="4">SUM(F11:F15)</f>
        <v>2984.7746363545539</v>
      </c>
      <c r="G16" s="103">
        <f t="shared" si="4"/>
        <v>1996.1807360884204</v>
      </c>
      <c r="H16" s="103">
        <f t="shared" si="4"/>
        <v>0</v>
      </c>
      <c r="I16" s="103">
        <f t="shared" si="4"/>
        <v>1131.2139265672599</v>
      </c>
      <c r="J16" s="103">
        <f t="shared" si="4"/>
        <v>182.01375661375667</v>
      </c>
      <c r="K16" s="103">
        <f t="shared" si="4"/>
        <v>449.73</v>
      </c>
      <c r="L16" s="103">
        <f t="shared" si="4"/>
        <v>1018.1568916687199</v>
      </c>
      <c r="M16" s="103">
        <f t="shared" si="4"/>
        <v>25406.159947292712</v>
      </c>
      <c r="N16" s="103">
        <f t="shared" si="4"/>
        <v>6743.9130556239907</v>
      </c>
      <c r="O16" s="103">
        <f t="shared" si="4"/>
        <v>317.01</v>
      </c>
      <c r="P16" s="103">
        <f t="shared" si="4"/>
        <v>6426.9030556239904</v>
      </c>
      <c r="Q16" s="103">
        <f t="shared" si="4"/>
        <v>2.5962807388063247</v>
      </c>
      <c r="BH16" s="102"/>
      <c r="BI16" s="102"/>
    </row>
    <row r="17" spans="2:67" s="101" customFormat="1" ht="13.2" hidden="1" customHeight="1" thickBot="1">
      <c r="B17" s="100"/>
      <c r="E17" s="101">
        <f t="shared" ref="E17:J17" si="5">SUM(E10:E12)</f>
        <v>17644.09</v>
      </c>
      <c r="F17" s="101">
        <f t="shared" si="5"/>
        <v>867.81048180214873</v>
      </c>
      <c r="G17" s="101">
        <f t="shared" si="5"/>
        <v>0</v>
      </c>
      <c r="H17" s="101">
        <f t="shared" si="5"/>
        <v>0</v>
      </c>
      <c r="I17" s="104">
        <f t="shared" si="5"/>
        <v>0</v>
      </c>
      <c r="J17" s="101">
        <f t="shared" si="5"/>
        <v>0</v>
      </c>
      <c r="M17" s="101">
        <f>SUM(M10:M12)</f>
        <v>19530.479396256214</v>
      </c>
      <c r="N17" s="105">
        <f>SUM(N10:N16)</f>
        <v>13487.826111247981</v>
      </c>
      <c r="Q17" s="106"/>
      <c r="BH17" s="104" t="s">
        <v>23</v>
      </c>
      <c r="BI17" s="104" t="s">
        <v>23</v>
      </c>
    </row>
    <row r="18" spans="2:67" ht="13.2" customHeight="1">
      <c r="B18" s="99" t="s">
        <v>306</v>
      </c>
      <c r="F18" s="107"/>
      <c r="G18" s="107"/>
      <c r="H18" s="107"/>
      <c r="I18" s="107"/>
      <c r="J18" s="107"/>
      <c r="K18" s="107"/>
      <c r="L18" s="107"/>
      <c r="N18" s="108"/>
      <c r="Q18" s="84"/>
    </row>
    <row r="19" spans="2:67" ht="13.2" customHeight="1">
      <c r="B19" s="99"/>
      <c r="D19" s="117" t="s">
        <v>255</v>
      </c>
      <c r="E19" s="120">
        <f>E16-Rent!E23</f>
        <v>0</v>
      </c>
      <c r="F19" s="120">
        <f>F16-CAM!E25</f>
        <v>2116.964154552405</v>
      </c>
      <c r="G19" s="120">
        <f>G16-'Building Expenses'!E26</f>
        <v>1996.1807360884204</v>
      </c>
      <c r="H19" s="120">
        <f>H16-'Admin Fee'!E26</f>
        <v>0</v>
      </c>
      <c r="I19" s="120">
        <f>I16-'RE Tax'!E24</f>
        <v>1131.2139265672599</v>
      </c>
      <c r="J19" s="120">
        <f>J16-Ins.!E25</f>
        <v>182.01375661375667</v>
      </c>
      <c r="K19" s="120">
        <f>K16-Signage!E21</f>
        <v>0</v>
      </c>
      <c r="L19" s="121">
        <f>L16-'Sales Tax'!E35</f>
        <v>449.30797721465535</v>
      </c>
      <c r="Q19" s="84"/>
      <c r="BO19" s="82"/>
    </row>
    <row r="20" spans="2:67" ht="13.2" customHeight="1">
      <c r="B20" s="99"/>
      <c r="Q20" s="84"/>
      <c r="BO20" s="82"/>
    </row>
    <row r="21" spans="2:67" ht="13.2" customHeight="1">
      <c r="B21" s="109"/>
      <c r="Q21" s="84"/>
    </row>
    <row r="22" spans="2:67" ht="13.2" customHeight="1">
      <c r="B22" s="99" t="s">
        <v>307</v>
      </c>
      <c r="Q22" s="84"/>
    </row>
    <row r="23" spans="2:67" ht="13.2" customHeight="1">
      <c r="B23" s="99"/>
      <c r="Q23" s="84"/>
    </row>
    <row r="24" spans="2:67" ht="13.2" customHeight="1">
      <c r="B24" s="109"/>
      <c r="Q24" s="84"/>
      <c r="BO24" s="81" t="s">
        <v>23</v>
      </c>
    </row>
    <row r="25" spans="2:67" ht="13.2" customHeight="1">
      <c r="B25" s="99" t="s">
        <v>308</v>
      </c>
      <c r="Q25" s="84"/>
      <c r="BO25" s="81" t="s">
        <v>23</v>
      </c>
    </row>
    <row r="26" spans="2:67" ht="13.2" customHeight="1">
      <c r="B26" s="99"/>
      <c r="Q26" s="84"/>
      <c r="BO26" s="82"/>
    </row>
    <row r="27" spans="2:67" ht="13.2" customHeight="1">
      <c r="B27" s="99"/>
      <c r="Q27" s="84"/>
      <c r="BO27" s="82"/>
    </row>
    <row r="28" spans="2:67" ht="13.2" customHeight="1">
      <c r="B28" s="109"/>
      <c r="Q28" s="84"/>
      <c r="BO28" s="82"/>
    </row>
    <row r="29" spans="2:67">
      <c r="B29" s="99" t="s">
        <v>309</v>
      </c>
      <c r="Q29" s="84"/>
    </row>
    <row r="30" spans="2:67">
      <c r="Q30" s="84"/>
    </row>
    <row r="31" spans="2:67"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Q31" s="84"/>
    </row>
    <row r="32" spans="2:67">
      <c r="B32" s="102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P32" s="101"/>
      <c r="Q32" s="84"/>
    </row>
    <row r="33" spans="17:17">
      <c r="Q33" s="84"/>
    </row>
    <row r="34" spans="17:17">
      <c r="Q34" s="84"/>
    </row>
    <row r="35" spans="17:17">
      <c r="Q35" s="84"/>
    </row>
    <row r="36" spans="17:17">
      <c r="Q36" s="84"/>
    </row>
    <row r="37" spans="17:17">
      <c r="Q37" s="84"/>
    </row>
    <row r="38" spans="17:17">
      <c r="Q38" s="84"/>
    </row>
    <row r="39" spans="17:17">
      <c r="Q39" s="84"/>
    </row>
    <row r="40" spans="17:17">
      <c r="Q40" s="84"/>
    </row>
    <row r="41" spans="17:17">
      <c r="Q41" s="84"/>
    </row>
    <row r="42" spans="17:17">
      <c r="Q42" s="84"/>
    </row>
    <row r="43" spans="17:17">
      <c r="Q43" s="84"/>
    </row>
    <row r="44" spans="17:17">
      <c r="Q44" s="84"/>
    </row>
    <row r="45" spans="17:17">
      <c r="Q45" s="84"/>
    </row>
    <row r="46" spans="17:17">
      <c r="Q46" s="84"/>
    </row>
    <row r="47" spans="17:17">
      <c r="Q47" s="84"/>
    </row>
    <row r="48" spans="17:17">
      <c r="Q48" s="84"/>
    </row>
    <row r="49" spans="17:17">
      <c r="Q49" s="84"/>
    </row>
    <row r="50" spans="17:17">
      <c r="Q50" s="84"/>
    </row>
    <row r="51" spans="17:17">
      <c r="Q51" s="84"/>
    </row>
    <row r="52" spans="17:17">
      <c r="Q52" s="84"/>
    </row>
    <row r="53" spans="17:17">
      <c r="Q53" s="84"/>
    </row>
    <row r="54" spans="17:17">
      <c r="Q54" s="84"/>
    </row>
    <row r="55" spans="17:17">
      <c r="Q55" s="84"/>
    </row>
    <row r="56" spans="17:17">
      <c r="Q56" s="84"/>
    </row>
    <row r="57" spans="17:17">
      <c r="Q57" s="84"/>
    </row>
    <row r="58" spans="17:17">
      <c r="Q58" s="84"/>
    </row>
    <row r="59" spans="17:17">
      <c r="Q59" s="84"/>
    </row>
    <row r="60" spans="17:17">
      <c r="Q60" s="84"/>
    </row>
    <row r="61" spans="17:17">
      <c r="Q61" s="84"/>
    </row>
    <row r="62" spans="17:17">
      <c r="Q62" s="84"/>
    </row>
    <row r="63" spans="17:17">
      <c r="Q63" s="84"/>
    </row>
    <row r="64" spans="17:17">
      <c r="Q64" s="84"/>
    </row>
  </sheetData>
  <mergeCells count="5">
    <mergeCell ref="A6:N6"/>
    <mergeCell ref="A2:N2"/>
    <mergeCell ref="A3:N3"/>
    <mergeCell ref="A4:N4"/>
    <mergeCell ref="A5:N5"/>
  </mergeCells>
  <phoneticPr fontId="0" type="noConversion"/>
  <printOptions horizontalCentered="1"/>
  <pageMargins left="0" right="0" top="0.5" bottom="0.7" header="0.5" footer="0.5"/>
  <pageSetup paperSize="3" fitToHeight="0" orientation="landscape" useFirstPageNumber="1" r:id="rId1"/>
  <headerFooter alignWithMargins="0">
    <oddFooter>Page &amp;P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75"/>
  <sheetViews>
    <sheetView topLeftCell="A5" zoomScale="90" zoomScaleNormal="90" zoomScaleSheetLayoutView="100" workbookViewId="0">
      <selection activeCell="Q32" sqref="Q32"/>
    </sheetView>
  </sheetViews>
  <sheetFormatPr defaultColWidth="9.33203125" defaultRowHeight="14.4"/>
  <cols>
    <col min="1" max="1" width="37.33203125" style="123" bestFit="1" customWidth="1"/>
    <col min="2" max="2" width="11.33203125" style="123" customWidth="1"/>
    <col min="3" max="3" width="3.6640625" style="123" customWidth="1"/>
    <col min="4" max="8" width="11.33203125" style="123" customWidth="1"/>
    <col min="9" max="9" width="9.33203125" style="123"/>
    <col min="10" max="10" width="12" style="123" bestFit="1" customWidth="1"/>
    <col min="11" max="16384" width="9.33203125" style="123"/>
  </cols>
  <sheetData>
    <row r="1" spans="1:11">
      <c r="A1" s="7"/>
      <c r="B1" s="57"/>
      <c r="C1" s="7"/>
      <c r="D1" s="7"/>
      <c r="E1" s="7"/>
      <c r="F1" s="7"/>
      <c r="G1" s="7"/>
      <c r="H1" s="7"/>
      <c r="I1" s="7" t="str">
        <f>Summary!T4</f>
        <v>Date Revised:</v>
      </c>
      <c r="J1" s="335">
        <f ca="1">Summary!U4</f>
        <v>46235</v>
      </c>
      <c r="K1" s="298">
        <f>Summary!V4</f>
        <v>0</v>
      </c>
    </row>
    <row r="2" spans="1:11">
      <c r="A2" s="476" t="str">
        <f>Summary!A2</f>
        <v>ATHENA PROPERTY MANAGEMENT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</row>
    <row r="3" spans="1:11">
      <c r="A3" s="476" t="str">
        <f>Summary!$A3</f>
        <v>BELL MEDICAL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</row>
    <row r="4" spans="1:11">
      <c r="A4" s="476" t="str">
        <f>Summary!A4</f>
        <v>PROJECT NO. 802</v>
      </c>
      <c r="B4" s="476"/>
      <c r="C4" s="476"/>
      <c r="D4" s="476"/>
      <c r="E4" s="476"/>
      <c r="F4" s="476"/>
      <c r="G4" s="476"/>
      <c r="H4" s="476"/>
      <c r="I4" s="476"/>
      <c r="J4" s="476"/>
      <c r="K4" s="476"/>
    </row>
    <row r="5" spans="1:11">
      <c r="A5" s="476" t="str">
        <f>Summary!A5</f>
        <v>01/01/26-12/31/26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</row>
    <row r="6" spans="1:11">
      <c r="A6" s="476" t="str">
        <f>Summary!A6</f>
        <v>2026 OPERATING BUDGET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</row>
    <row r="7" spans="1:11" s="137" customFormat="1" ht="155.25" customHeight="1">
      <c r="A7" s="344" t="s">
        <v>310</v>
      </c>
      <c r="B7" s="344" t="s">
        <v>311</v>
      </c>
      <c r="C7" s="344"/>
      <c r="D7" s="344">
        <f>Rent!$A14</f>
        <v>0</v>
      </c>
      <c r="E7" s="344" t="str">
        <f>Rent!$A15</f>
        <v>Occupational Medicine for Business &amp; Industry</v>
      </c>
      <c r="F7" s="344" t="str">
        <f>Rent!A16</f>
        <v>Arizona Sports &amp; Spine Physicians</v>
      </c>
      <c r="G7" s="344" t="str">
        <f>Rent!A17</f>
        <v>Vacant</v>
      </c>
      <c r="H7" s="344" t="str">
        <f>Rent!A18</f>
        <v>Vacant</v>
      </c>
      <c r="I7" s="345" t="s">
        <v>312</v>
      </c>
      <c r="J7" s="345" t="s">
        <v>70</v>
      </c>
      <c r="K7" s="346" t="s">
        <v>313</v>
      </c>
    </row>
    <row r="8" spans="1:11" s="128" customFormat="1">
      <c r="A8" s="347"/>
      <c r="B8" s="347"/>
      <c r="C8" s="347"/>
      <c r="D8" s="347"/>
      <c r="E8" s="347"/>
      <c r="F8" s="347"/>
      <c r="G8" s="347"/>
      <c r="H8" s="347"/>
      <c r="I8" s="347"/>
      <c r="J8" s="57"/>
      <c r="K8" s="57"/>
    </row>
    <row r="9" spans="1:11">
      <c r="A9" s="57" t="str">
        <f>Summary!B29</f>
        <v>COMMON AREA EXPENSES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1" spans="1:11">
      <c r="A11" s="7" t="str">
        <f>'CAM TENANTS'!B15</f>
        <v>Landscape- Tree Trimming</v>
      </c>
      <c r="B11" s="214">
        <f>'CAM TENANTS'!C15</f>
        <v>4000</v>
      </c>
      <c r="C11" s="214"/>
      <c r="D11" s="214" t="e">
        <f>'CAM TENANTS'!#REF!</f>
        <v>#REF!</v>
      </c>
      <c r="E11" s="214">
        <f>'CAM TENANTS'!L15</f>
        <v>2819.8531340152113</v>
      </c>
      <c r="F11" s="214">
        <f>'CAM TENANTS'!U15</f>
        <v>630.75196408529746</v>
      </c>
      <c r="G11" s="214"/>
      <c r="H11" s="214"/>
      <c r="I11" s="214" t="e">
        <f t="shared" ref="I11:I34" si="0">SUM(D11:F11)</f>
        <v>#REF!</v>
      </c>
      <c r="J11" s="214" t="e">
        <f t="shared" ref="J11:J34" si="1">I11-B11</f>
        <v>#REF!</v>
      </c>
      <c r="K11" s="348" t="e">
        <f>J11/B11</f>
        <v>#REF!</v>
      </c>
    </row>
    <row r="12" spans="1:11">
      <c r="A12" s="7" t="str">
        <f>'CAM TENANTS'!B16</f>
        <v>Sprinkler Repairs</v>
      </c>
      <c r="B12" s="214">
        <f>'CAM TENANTS'!C16</f>
        <v>150</v>
      </c>
      <c r="C12" s="214"/>
      <c r="D12" s="214" t="e">
        <f>'CAM TENANTS'!#REF!</f>
        <v>#REF!</v>
      </c>
      <c r="E12" s="214">
        <f>'CAM TENANTS'!L16</f>
        <v>105.74449252557042</v>
      </c>
      <c r="F12" s="214">
        <f>'CAM TENANTS'!U16</f>
        <v>23.653198653198654</v>
      </c>
      <c r="G12" s="214"/>
      <c r="H12" s="214"/>
      <c r="I12" s="214" t="e">
        <f t="shared" si="0"/>
        <v>#REF!</v>
      </c>
      <c r="J12" s="214" t="e">
        <f t="shared" si="1"/>
        <v>#REF!</v>
      </c>
      <c r="K12" s="348" t="e">
        <f>J12/B12</f>
        <v>#REF!</v>
      </c>
    </row>
    <row r="13" spans="1:11">
      <c r="A13" s="7" t="str">
        <f>'CAM TENANTS'!B17</f>
        <v>Landscape Maintenance</v>
      </c>
      <c r="B13" s="214">
        <f>'CAM TENANTS'!C17</f>
        <v>8112</v>
      </c>
      <c r="C13" s="214"/>
      <c r="D13" s="214" t="e">
        <f>'CAM TENANTS'!#REF!</f>
        <v>#REF!</v>
      </c>
      <c r="E13" s="214">
        <f>'CAM TENANTS'!L17</f>
        <v>5718.6621557828485</v>
      </c>
      <c r="F13" s="214">
        <f>'CAM TENANTS'!U17</f>
        <v>1279.1649831649831</v>
      </c>
      <c r="G13" s="214"/>
      <c r="H13" s="214"/>
      <c r="I13" s="214" t="e">
        <f t="shared" si="0"/>
        <v>#REF!</v>
      </c>
      <c r="J13" s="214" t="e">
        <f t="shared" si="1"/>
        <v>#REF!</v>
      </c>
      <c r="K13" s="348" t="e">
        <f>J13/B13</f>
        <v>#REF!</v>
      </c>
    </row>
    <row r="14" spans="1:11">
      <c r="A14" s="7" t="str">
        <f>'CAM TENANTS'!B18</f>
        <v>Parking Lot Light Maintenance</v>
      </c>
      <c r="B14" s="214">
        <f>'CAM TENANTS'!C18</f>
        <v>75</v>
      </c>
      <c r="C14" s="214"/>
      <c r="D14" s="214" t="e">
        <f>'CAM TENANTS'!#REF!</f>
        <v>#REF!</v>
      </c>
      <c r="E14" s="214">
        <f>'CAM TENANTS'!L18</f>
        <v>52.872246262785211</v>
      </c>
      <c r="F14" s="214">
        <f>'CAM TENANTS'!U18</f>
        <v>11.826599326599327</v>
      </c>
      <c r="G14" s="214"/>
      <c r="H14" s="214"/>
      <c r="I14" s="214" t="e">
        <f t="shared" si="0"/>
        <v>#REF!</v>
      </c>
      <c r="J14" s="214" t="e">
        <f t="shared" si="1"/>
        <v>#REF!</v>
      </c>
      <c r="K14" s="348" t="e">
        <f>J14/B14</f>
        <v>#REF!</v>
      </c>
    </row>
    <row r="15" spans="1:11">
      <c r="A15" s="7" t="str">
        <f>'CAM TENANTS'!B19</f>
        <v>Parking Lot Repairs</v>
      </c>
      <c r="B15" s="214">
        <f>'CAM TENANTS'!C19</f>
        <v>0</v>
      </c>
      <c r="C15" s="214"/>
      <c r="D15" s="214" t="e">
        <f>'CAM TENANTS'!#REF!</f>
        <v>#REF!</v>
      </c>
      <c r="E15" s="214">
        <f>'CAM TENANTS'!L19</f>
        <v>0</v>
      </c>
      <c r="F15" s="214">
        <f>'CAM TENANTS'!U19</f>
        <v>0</v>
      </c>
      <c r="G15" s="214"/>
      <c r="H15" s="214"/>
      <c r="I15" s="214" t="e">
        <f t="shared" si="0"/>
        <v>#REF!</v>
      </c>
      <c r="J15" s="214" t="e">
        <f t="shared" si="1"/>
        <v>#REF!</v>
      </c>
      <c r="K15" s="348">
        <f>IFERROR(J15/B15,0)</f>
        <v>0</v>
      </c>
    </row>
    <row r="16" spans="1:11">
      <c r="A16" s="7" t="str">
        <f>'CAM TENANTS'!B20</f>
        <v>Parking Lot Light Repairs</v>
      </c>
      <c r="B16" s="214">
        <f>'CAM TENANTS'!C20</f>
        <v>900</v>
      </c>
      <c r="C16" s="214"/>
      <c r="D16" s="214" t="e">
        <f>'CAM TENANTS'!#REF!</f>
        <v>#REF!</v>
      </c>
      <c r="E16" s="214">
        <f>'CAM TENANTS'!L20</f>
        <v>634.46695515342253</v>
      </c>
      <c r="F16" s="214">
        <f>'CAM TENANTS'!U20</f>
        <v>141.91919191919192</v>
      </c>
      <c r="G16" s="214"/>
      <c r="H16" s="214"/>
      <c r="I16" s="214" t="e">
        <f t="shared" si="0"/>
        <v>#REF!</v>
      </c>
      <c r="J16" s="214" t="e">
        <f t="shared" si="1"/>
        <v>#REF!</v>
      </c>
      <c r="K16" s="348" t="e">
        <f t="shared" ref="K16:K22" si="2">J16/B16</f>
        <v>#REF!</v>
      </c>
    </row>
    <row r="17" spans="1:11">
      <c r="A17" s="7" t="str">
        <f>'CAM TENANTS'!B21</f>
        <v>General Maintenance</v>
      </c>
      <c r="B17" s="214">
        <f>'CAM TENANTS'!C21</f>
        <v>1100</v>
      </c>
      <c r="C17" s="214"/>
      <c r="D17" s="214" t="e">
        <f>'CAM TENANTS'!#REF!</f>
        <v>#REF!</v>
      </c>
      <c r="E17" s="214">
        <f>'CAM TENANTS'!L21</f>
        <v>775.45961185418309</v>
      </c>
      <c r="F17" s="214">
        <f>'CAM TENANTS'!U21</f>
        <v>173.45679012345678</v>
      </c>
      <c r="G17" s="214"/>
      <c r="H17" s="214"/>
      <c r="I17" s="214" t="e">
        <f t="shared" si="0"/>
        <v>#REF!</v>
      </c>
      <c r="J17" s="214" t="e">
        <f t="shared" si="1"/>
        <v>#REF!</v>
      </c>
      <c r="K17" s="348" t="e">
        <f t="shared" si="2"/>
        <v>#REF!</v>
      </c>
    </row>
    <row r="18" spans="1:11">
      <c r="A18" s="7" t="str">
        <f>'CAM TENANTS'!B22</f>
        <v>Janitorial</v>
      </c>
      <c r="B18" s="214">
        <f>'CAM TENANTS'!C22</f>
        <v>7800</v>
      </c>
      <c r="C18" s="214"/>
      <c r="D18" s="214" t="e">
        <f>'CAM TENANTS'!#REF!</f>
        <v>#REF!</v>
      </c>
      <c r="E18" s="214">
        <f>'CAM TENANTS'!L22</f>
        <v>5498.7136113296619</v>
      </c>
      <c r="F18" s="214">
        <f>'CAM TENANTS'!U22</f>
        <v>1229.96632996633</v>
      </c>
      <c r="G18" s="214"/>
      <c r="H18" s="214"/>
      <c r="I18" s="214" t="e">
        <f t="shared" si="0"/>
        <v>#REF!</v>
      </c>
      <c r="J18" s="214" t="e">
        <f t="shared" si="1"/>
        <v>#REF!</v>
      </c>
      <c r="K18" s="348" t="e">
        <f t="shared" si="2"/>
        <v>#REF!</v>
      </c>
    </row>
    <row r="19" spans="1:11">
      <c r="A19" s="7" t="str">
        <f>'CAM TENANTS'!B23</f>
        <v>Janitorial Supplies</v>
      </c>
      <c r="B19" s="214">
        <f>'CAM TENANTS'!C23</f>
        <v>300</v>
      </c>
      <c r="C19" s="214"/>
      <c r="D19" s="214" t="e">
        <f>'CAM TENANTS'!#REF!</f>
        <v>#REF!</v>
      </c>
      <c r="E19" s="214">
        <f>'CAM TENANTS'!L23</f>
        <v>211.48898505114084</v>
      </c>
      <c r="F19" s="214">
        <f>'CAM TENANTS'!U23</f>
        <v>47.306397306397308</v>
      </c>
      <c r="G19" s="214"/>
      <c r="H19" s="214"/>
      <c r="I19" s="214" t="e">
        <f t="shared" si="0"/>
        <v>#REF!</v>
      </c>
      <c r="J19" s="214" t="e">
        <f t="shared" si="1"/>
        <v>#REF!</v>
      </c>
      <c r="K19" s="348" t="e">
        <f t="shared" si="2"/>
        <v>#REF!</v>
      </c>
    </row>
    <row r="20" spans="1:11">
      <c r="A20" s="7" t="str">
        <f>'CAM TENANTS'!B24</f>
        <v>Pest Control</v>
      </c>
      <c r="B20" s="214">
        <f>'CAM TENANTS'!C24</f>
        <v>1416</v>
      </c>
      <c r="C20" s="214"/>
      <c r="D20" s="214" t="e">
        <f>'CAM TENANTS'!#REF!</f>
        <v>#REF!</v>
      </c>
      <c r="E20" s="214">
        <f>'CAM TENANTS'!L24</f>
        <v>998.22800944138487</v>
      </c>
      <c r="F20" s="214">
        <f>'CAM TENANTS'!U24</f>
        <v>223.28619528619529</v>
      </c>
      <c r="G20" s="214"/>
      <c r="H20" s="214"/>
      <c r="I20" s="214" t="e">
        <f t="shared" si="0"/>
        <v>#REF!</v>
      </c>
      <c r="J20" s="214" t="e">
        <f t="shared" si="1"/>
        <v>#REF!</v>
      </c>
      <c r="K20" s="348" t="e">
        <f t="shared" si="2"/>
        <v>#REF!</v>
      </c>
    </row>
    <row r="21" spans="1:11">
      <c r="A21" s="7" t="str">
        <f>'CAM TENANTS'!B25</f>
        <v xml:space="preserve">Security </v>
      </c>
      <c r="B21" s="214">
        <f>'CAM TENANTS'!C25</f>
        <v>9180</v>
      </c>
      <c r="C21" s="214"/>
      <c r="D21" s="214" t="e">
        <f>'CAM TENANTS'!#REF!</f>
        <v>#REF!</v>
      </c>
      <c r="E21" s="214">
        <f>'CAM TENANTS'!L25</f>
        <v>6471.5629425649095</v>
      </c>
      <c r="F21" s="214">
        <f>'CAM TENANTS'!U25</f>
        <v>1447.5757575757575</v>
      </c>
      <c r="G21" s="214"/>
      <c r="H21" s="214"/>
      <c r="I21" s="214" t="e">
        <f t="shared" si="0"/>
        <v>#REF!</v>
      </c>
      <c r="J21" s="214" t="e">
        <f t="shared" si="1"/>
        <v>#REF!</v>
      </c>
      <c r="K21" s="348" t="e">
        <f t="shared" si="2"/>
        <v>#REF!</v>
      </c>
    </row>
    <row r="22" spans="1:11">
      <c r="A22" s="7" t="str">
        <f>'CAM TENANTS'!B26</f>
        <v>Management Fee</v>
      </c>
      <c r="B22" s="214">
        <f>'CAM TENANTS'!C26</f>
        <v>18000</v>
      </c>
      <c r="C22" s="214"/>
      <c r="D22" s="214" t="e">
        <f>'CAM TENANTS'!#REF!</f>
        <v>#REF!</v>
      </c>
      <c r="E22" s="214">
        <f>'CAM TENANTS'!L26</f>
        <v>12689.339103068451</v>
      </c>
      <c r="F22" s="214">
        <f>'CAM TENANTS'!U26</f>
        <v>2838.3838383838383</v>
      </c>
      <c r="G22" s="214"/>
      <c r="H22" s="214"/>
      <c r="I22" s="214" t="e">
        <f t="shared" si="0"/>
        <v>#REF!</v>
      </c>
      <c r="J22" s="214" t="e">
        <f t="shared" si="1"/>
        <v>#REF!</v>
      </c>
      <c r="K22" s="348" t="e">
        <f t="shared" si="2"/>
        <v>#REF!</v>
      </c>
    </row>
    <row r="23" spans="1:11">
      <c r="A23" s="7" t="str">
        <f>'CAM TENANTS'!B27</f>
        <v>Sidewalk Maintenance</v>
      </c>
      <c r="B23" s="214">
        <f>'CAM TENANTS'!C27</f>
        <v>3500</v>
      </c>
      <c r="C23" s="214"/>
      <c r="D23" s="214" t="e">
        <f>'CAM TENANTS'!#REF!</f>
        <v>#REF!</v>
      </c>
      <c r="E23" s="214">
        <f>'CAM TENANTS'!L27</f>
        <v>2467.3714922633098</v>
      </c>
      <c r="F23" s="214">
        <f>'CAM TENANTS'!U27</f>
        <v>551.90796857463522</v>
      </c>
      <c r="G23" s="214"/>
      <c r="H23" s="214"/>
      <c r="I23" s="214" t="e">
        <f t="shared" si="0"/>
        <v>#REF!</v>
      </c>
      <c r="J23" s="214" t="e">
        <f t="shared" si="1"/>
        <v>#REF!</v>
      </c>
      <c r="K23" s="348">
        <f>IFERROR(J23/B23,0)</f>
        <v>0</v>
      </c>
    </row>
    <row r="24" spans="1:11">
      <c r="A24" s="7" t="str">
        <f>'CAM TENANTS'!B28</f>
        <v xml:space="preserve">Sign Maintenance </v>
      </c>
      <c r="B24" s="214">
        <f>'CAM TENANTS'!C28</f>
        <v>250</v>
      </c>
      <c r="C24" s="214"/>
      <c r="D24" s="214" t="e">
        <f>'CAM TENANTS'!#REF!</f>
        <v>#REF!</v>
      </c>
      <c r="E24" s="214">
        <f>'CAM TENANTS'!L28</f>
        <v>176.2408208759507</v>
      </c>
      <c r="F24" s="214">
        <f>'CAM TENANTS'!U28</f>
        <v>39.421997755331091</v>
      </c>
      <c r="G24" s="214"/>
      <c r="H24" s="214"/>
      <c r="I24" s="214" t="e">
        <f t="shared" si="0"/>
        <v>#REF!</v>
      </c>
      <c r="J24" s="214" t="e">
        <f t="shared" si="1"/>
        <v>#REF!</v>
      </c>
      <c r="K24" s="348" t="e">
        <f>J24/B24</f>
        <v>#REF!</v>
      </c>
    </row>
    <row r="25" spans="1:11">
      <c r="A25" s="7" t="str">
        <f>'CAM TENANTS'!B29</f>
        <v>Sweeping</v>
      </c>
      <c r="B25" s="214">
        <f>'CAM TENANTS'!C29</f>
        <v>1500</v>
      </c>
      <c r="C25" s="214"/>
      <c r="D25" s="214" t="e">
        <f>'CAM TENANTS'!#REF!</f>
        <v>#REF!</v>
      </c>
      <c r="E25" s="214">
        <f>'CAM TENANTS'!L29</f>
        <v>1057.4449252557042</v>
      </c>
      <c r="F25" s="214">
        <f>'CAM TENANTS'!U29</f>
        <v>236.53198653198655</v>
      </c>
      <c r="G25" s="214"/>
      <c r="H25" s="214"/>
      <c r="I25" s="214" t="e">
        <f t="shared" si="0"/>
        <v>#REF!</v>
      </c>
      <c r="J25" s="214" t="e">
        <f t="shared" si="1"/>
        <v>#REF!</v>
      </c>
      <c r="K25" s="348" t="e">
        <f>J25/B25</f>
        <v>#REF!</v>
      </c>
    </row>
    <row r="26" spans="1:11">
      <c r="A26" s="7" t="str">
        <f>'CAM TENANTS'!B30</f>
        <v>Electrical Repairs/CAM</v>
      </c>
      <c r="B26" s="214">
        <f>'CAM TENANTS'!C30</f>
        <v>0</v>
      </c>
      <c r="C26" s="214"/>
      <c r="D26" s="214" t="e">
        <f>'CAM TENANTS'!#REF!</f>
        <v>#REF!</v>
      </c>
      <c r="E26" s="214">
        <f>'CAM TENANTS'!L30</f>
        <v>0</v>
      </c>
      <c r="F26" s="214">
        <f>'CAM TENANTS'!U30</f>
        <v>0</v>
      </c>
      <c r="G26" s="214"/>
      <c r="H26" s="214"/>
      <c r="I26" s="214" t="e">
        <f t="shared" si="0"/>
        <v>#REF!</v>
      </c>
      <c r="J26" s="214" t="e">
        <f t="shared" si="1"/>
        <v>#REF!</v>
      </c>
      <c r="K26" s="348">
        <f>IFERROR(J26/B26,0)</f>
        <v>0</v>
      </c>
    </row>
    <row r="27" spans="1:11">
      <c r="A27" s="7" t="str">
        <f>'CAM TENANTS'!B31</f>
        <v>Plumbing Repairs</v>
      </c>
      <c r="B27" s="214">
        <f>'CAM TENANTS'!C31</f>
        <v>450</v>
      </c>
      <c r="C27" s="214"/>
      <c r="D27" s="214" t="e">
        <f>'CAM TENANTS'!#REF!</f>
        <v>#REF!</v>
      </c>
      <c r="E27" s="214">
        <f>'CAM TENANTS'!L31</f>
        <v>317.23347757671127</v>
      </c>
      <c r="F27" s="214">
        <f>'CAM TENANTS'!U31</f>
        <v>70.959595959595958</v>
      </c>
      <c r="G27" s="214"/>
      <c r="H27" s="214"/>
      <c r="I27" s="214" t="e">
        <f t="shared" si="0"/>
        <v>#REF!</v>
      </c>
      <c r="J27" s="214" t="e">
        <f t="shared" si="1"/>
        <v>#REF!</v>
      </c>
      <c r="K27" s="348" t="e">
        <f>J27/B27</f>
        <v>#REF!</v>
      </c>
    </row>
    <row r="28" spans="1:11">
      <c r="A28" s="7" t="str">
        <f>'CAM TENANTS'!B32</f>
        <v>Building Maint &amp; Repairs (window washing)</v>
      </c>
      <c r="B28" s="214">
        <f>'CAM TENANTS'!C32</f>
        <v>560</v>
      </c>
      <c r="C28" s="214"/>
      <c r="D28" s="214" t="e">
        <f>'CAM TENANTS'!#REF!</f>
        <v>#REF!</v>
      </c>
      <c r="E28" s="214">
        <f>'CAM TENANTS'!L32</f>
        <v>394.77943876212959</v>
      </c>
      <c r="F28" s="214">
        <f>'CAM TENANTS'!U32</f>
        <v>88.305274971941643</v>
      </c>
      <c r="G28" s="214"/>
      <c r="H28" s="214"/>
      <c r="I28" s="214" t="e">
        <f t="shared" si="0"/>
        <v>#REF!</v>
      </c>
      <c r="J28" s="214" t="e">
        <f t="shared" si="1"/>
        <v>#REF!</v>
      </c>
      <c r="K28" s="348" t="e">
        <f>J28/B28</f>
        <v>#REF!</v>
      </c>
    </row>
    <row r="29" spans="1:11">
      <c r="A29" s="7" t="str">
        <f>'CAM TENANTS'!B33</f>
        <v>Trash Removal</v>
      </c>
      <c r="B29" s="214">
        <f>'CAM TENANTS'!C33</f>
        <v>4200</v>
      </c>
      <c r="C29" s="214"/>
      <c r="D29" s="214" t="e">
        <f>'CAM TENANTS'!#REF!</f>
        <v>#REF!</v>
      </c>
      <c r="E29" s="214">
        <f>'CAM TENANTS'!L33</f>
        <v>4843.1143972450873</v>
      </c>
      <c r="F29" s="214">
        <f>'CAM TENANTS'!U33</f>
        <v>1083.3202202989771</v>
      </c>
      <c r="G29" s="214"/>
      <c r="H29" s="214"/>
      <c r="I29" s="214" t="e">
        <f t="shared" si="0"/>
        <v>#REF!</v>
      </c>
      <c r="J29" s="214" t="e">
        <f t="shared" si="1"/>
        <v>#REF!</v>
      </c>
      <c r="K29" s="348" t="e">
        <f>J29/B29</f>
        <v>#REF!</v>
      </c>
    </row>
    <row r="30" spans="1:11">
      <c r="A30" s="7" t="str">
        <f>'CAM TENANTS'!B34</f>
        <v>HVAC Maintenance</v>
      </c>
      <c r="B30" s="214">
        <f>'CAM TENANTS'!C34</f>
        <v>1340</v>
      </c>
      <c r="C30" s="214"/>
      <c r="D30" s="214" t="e">
        <f>'CAM TENANTS'!#REF!</f>
        <v>#REF!</v>
      </c>
      <c r="E30" s="214">
        <f>'CAM TENANTS'!L34</f>
        <v>1545.1841172162897</v>
      </c>
      <c r="F30" s="214">
        <f>'CAM TENANTS'!U34</f>
        <v>345.63073695253081</v>
      </c>
      <c r="G30" s="214"/>
      <c r="H30" s="214"/>
      <c r="I30" s="214" t="e">
        <f t="shared" si="0"/>
        <v>#REF!</v>
      </c>
      <c r="J30" s="214" t="e">
        <f t="shared" si="1"/>
        <v>#REF!</v>
      </c>
      <c r="K30" s="348" t="e">
        <f>J30/B30</f>
        <v>#REF!</v>
      </c>
    </row>
    <row r="31" spans="1:11">
      <c r="A31" s="7" t="str">
        <f>'CAM TENANTS'!B35</f>
        <v>HVAC Repairs</v>
      </c>
      <c r="B31" s="214">
        <f>'CAM TENANTS'!C35</f>
        <v>0</v>
      </c>
      <c r="C31" s="214"/>
      <c r="D31" s="214" t="e">
        <f>'CAM TENANTS'!#REF!</f>
        <v>#REF!</v>
      </c>
      <c r="E31" s="214">
        <f>'CAM TENANTS'!L35</f>
        <v>0</v>
      </c>
      <c r="F31" s="214">
        <f>'CAM TENANTS'!U35</f>
        <v>0</v>
      </c>
      <c r="G31" s="214"/>
      <c r="H31" s="214"/>
      <c r="I31" s="214" t="e">
        <f t="shared" si="0"/>
        <v>#REF!</v>
      </c>
      <c r="J31" s="214" t="e">
        <f t="shared" si="1"/>
        <v>#REF!</v>
      </c>
      <c r="K31" s="348">
        <f>IFERROR(J31/B31,0)</f>
        <v>0</v>
      </c>
    </row>
    <row r="32" spans="1:11">
      <c r="A32" s="7" t="str">
        <f>'CAM TENANTS'!B36</f>
        <v>Water/Common Area</v>
      </c>
      <c r="B32" s="214">
        <f>'CAM TENANTS'!C36</f>
        <v>0</v>
      </c>
      <c r="C32" s="214"/>
      <c r="D32" s="214" t="e">
        <f>'CAM TENANTS'!#REF!</f>
        <v>#REF!</v>
      </c>
      <c r="E32" s="214">
        <f>'CAM TENANTS'!L36</f>
        <v>0</v>
      </c>
      <c r="F32" s="214">
        <f>'CAM TENANTS'!U36</f>
        <v>0</v>
      </c>
      <c r="G32" s="214"/>
      <c r="H32" s="214"/>
      <c r="I32" s="214" t="e">
        <f t="shared" si="0"/>
        <v>#REF!</v>
      </c>
      <c r="J32" s="214" t="e">
        <f t="shared" si="1"/>
        <v>#REF!</v>
      </c>
      <c r="K32" s="348" t="e">
        <f>J32/B32</f>
        <v>#REF!</v>
      </c>
    </row>
    <row r="33" spans="1:11">
      <c r="A33" s="7" t="str">
        <f>'CAM TENANTS'!B37</f>
        <v>Restroom Remodel-AMORTIZATION</v>
      </c>
      <c r="B33" s="214">
        <f>'CAM TENANTS'!C37</f>
        <v>0</v>
      </c>
      <c r="C33" s="214"/>
      <c r="D33" s="214" t="e">
        <f>'CAM TENANTS'!#REF!</f>
        <v>#REF!</v>
      </c>
      <c r="E33" s="214">
        <f>'CAM TENANTS'!L37</f>
        <v>0</v>
      </c>
      <c r="F33" s="214">
        <f>'CAM TENANTS'!U37</f>
        <v>0</v>
      </c>
      <c r="G33" s="214"/>
      <c r="H33" s="214"/>
      <c r="I33" s="214" t="e">
        <f t="shared" si="0"/>
        <v>#REF!</v>
      </c>
      <c r="J33" s="214" t="e">
        <f t="shared" si="1"/>
        <v>#REF!</v>
      </c>
      <c r="K33" s="348" t="e">
        <f>J33/B33</f>
        <v>#REF!</v>
      </c>
    </row>
    <row r="34" spans="1:11">
      <c r="A34" s="7" t="str">
        <f>'CAM TENANTS'!B38</f>
        <v>Painting-AMORTIZATION</v>
      </c>
      <c r="B34" s="214">
        <f>'CAM TENANTS'!C38</f>
        <v>2509</v>
      </c>
      <c r="C34" s="214"/>
      <c r="D34" s="214" t="e">
        <f>'CAM TENANTS'!#REF!</f>
        <v>#REF!</v>
      </c>
      <c r="E34" s="214">
        <f>'CAM TENANTS'!L38</f>
        <v>1138.2420234086901</v>
      </c>
      <c r="F34" s="214">
        <f>'CAM TENANTS'!U38</f>
        <v>395.63916947250283</v>
      </c>
      <c r="G34" s="214"/>
      <c r="H34" s="214"/>
      <c r="I34" s="214" t="e">
        <f t="shared" si="0"/>
        <v>#REF!</v>
      </c>
      <c r="J34" s="214" t="e">
        <f t="shared" si="1"/>
        <v>#REF!</v>
      </c>
      <c r="K34" s="348" t="e">
        <f>J34/B34</f>
        <v>#REF!</v>
      </c>
    </row>
    <row r="35" spans="1:11">
      <c r="A35" s="7"/>
      <c r="B35" s="214"/>
      <c r="C35" s="214"/>
      <c r="D35" s="214"/>
      <c r="E35" s="214"/>
      <c r="F35" s="214"/>
      <c r="G35" s="214"/>
      <c r="H35" s="214"/>
      <c r="I35" s="214"/>
      <c r="J35" s="214"/>
      <c r="K35" s="222"/>
    </row>
    <row r="36" spans="1:11" s="128" customFormat="1">
      <c r="A36" s="349" t="str">
        <f>Summary!B59</f>
        <v>SUBTOTAL COMMON AREA</v>
      </c>
      <c r="B36" s="350">
        <f>SUM(B11:B35)</f>
        <v>65342</v>
      </c>
      <c r="C36" s="350"/>
      <c r="D36" s="350" t="e">
        <f t="shared" ref="D36:F36" si="3">SUM(D11:D35)</f>
        <v>#REF!</v>
      </c>
      <c r="E36" s="350">
        <f>SUM(E11:E35)</f>
        <v>47916.001939653441</v>
      </c>
      <c r="F36" s="350">
        <f t="shared" si="3"/>
        <v>10859.008196308747</v>
      </c>
      <c r="G36" s="350"/>
      <c r="H36" s="350"/>
      <c r="I36" s="350" t="e">
        <f>SUM(D36:F36)</f>
        <v>#REF!</v>
      </c>
      <c r="J36" s="350" t="e">
        <f>I36-B36</f>
        <v>#REF!</v>
      </c>
      <c r="K36" s="351" t="e">
        <f>J36/B36</f>
        <v>#REF!</v>
      </c>
    </row>
    <row r="37" spans="1:11" s="128" customFormat="1">
      <c r="A37" s="191"/>
      <c r="B37" s="352"/>
      <c r="C37" s="352"/>
      <c r="D37" s="352"/>
      <c r="E37" s="352"/>
      <c r="F37" s="352"/>
      <c r="G37" s="352"/>
      <c r="H37" s="352"/>
      <c r="I37" s="352"/>
      <c r="J37" s="337"/>
      <c r="K37" s="353"/>
    </row>
    <row r="38" spans="1:11" s="128" customFormat="1">
      <c r="A38" s="232" t="str">
        <f>Summary!B61</f>
        <v>BUILDING EXPENSE</v>
      </c>
      <c r="B38" s="352"/>
      <c r="C38" s="352"/>
      <c r="D38" s="352"/>
      <c r="E38" s="352"/>
      <c r="F38" s="352"/>
      <c r="G38" s="352"/>
      <c r="H38" s="352"/>
      <c r="I38" s="352"/>
      <c r="J38" s="337"/>
      <c r="K38" s="353"/>
    </row>
    <row r="39" spans="1:11" s="128" customFormat="1">
      <c r="A39" s="211" t="str">
        <f>Summary!B62</f>
        <v>Roof Maintenance</v>
      </c>
      <c r="B39" s="214">
        <f>Summary!O62</f>
        <v>1500</v>
      </c>
      <c r="C39" s="352"/>
      <c r="D39" s="214" t="e">
        <f>'CAM TENANTS'!#REF!</f>
        <v>#REF!</v>
      </c>
      <c r="E39" s="214">
        <f>'CAM TENANTS'!L43</f>
        <v>1057.4449252557042</v>
      </c>
      <c r="F39" s="214">
        <f>'CAM TENANTS'!U43</f>
        <v>236.53198653198655</v>
      </c>
      <c r="G39" s="214"/>
      <c r="H39" s="214"/>
      <c r="I39" s="214" t="e">
        <f t="shared" ref="I39:I46" si="4">SUM(D39:F39)</f>
        <v>#REF!</v>
      </c>
      <c r="J39" s="214" t="e">
        <f t="shared" ref="J39:J46" si="5">I39-B39</f>
        <v>#REF!</v>
      </c>
      <c r="K39" s="348">
        <f>IFERROR(J39/B39,0)</f>
        <v>0</v>
      </c>
    </row>
    <row r="40" spans="1:11" s="128" customFormat="1">
      <c r="A40" s="211" t="str">
        <f>Summary!B63</f>
        <v>Roof Repairs</v>
      </c>
      <c r="B40" s="214">
        <f>Summary!O63</f>
        <v>1500</v>
      </c>
      <c r="C40" s="352"/>
      <c r="D40" s="214" t="e">
        <f>'CAM TENANTS'!#REF!</f>
        <v>#REF!</v>
      </c>
      <c r="E40" s="214">
        <f>'CAM TENANTS'!L44</f>
        <v>1057.4449252557042</v>
      </c>
      <c r="F40" s="214">
        <f>'CAM TENANTS'!U44</f>
        <v>236.53198653198655</v>
      </c>
      <c r="G40" s="214"/>
      <c r="H40" s="214"/>
      <c r="I40" s="214" t="e">
        <f t="shared" si="4"/>
        <v>#REF!</v>
      </c>
      <c r="J40" s="214" t="e">
        <f t="shared" si="5"/>
        <v>#REF!</v>
      </c>
      <c r="K40" s="348" t="e">
        <f>J40/B40</f>
        <v>#REF!</v>
      </c>
    </row>
    <row r="41" spans="1:11" s="128" customFormat="1">
      <c r="A41" s="211" t="str">
        <f>Summary!B64</f>
        <v>Monitor Fire Sprinklers</v>
      </c>
      <c r="B41" s="214">
        <f>Summary!O64</f>
        <v>0</v>
      </c>
      <c r="C41" s="352"/>
      <c r="D41" s="214" t="e">
        <f>'CAM TENANTS'!#REF!</f>
        <v>#REF!</v>
      </c>
      <c r="E41" s="214">
        <f>'CAM TENANTS'!L45</f>
        <v>0</v>
      </c>
      <c r="F41" s="214">
        <f>'CAM TENANTS'!U45</f>
        <v>0</v>
      </c>
      <c r="G41" s="214"/>
      <c r="H41" s="214"/>
      <c r="I41" s="214" t="e">
        <f t="shared" si="4"/>
        <v>#REF!</v>
      </c>
      <c r="J41" s="214" t="e">
        <f t="shared" si="5"/>
        <v>#REF!</v>
      </c>
      <c r="K41" s="348">
        <v>0</v>
      </c>
    </row>
    <row r="42" spans="1:11" s="128" customFormat="1">
      <c r="A42" s="211" t="str">
        <f>Summary!B66</f>
        <v>Locks &amp; Keys</v>
      </c>
      <c r="B42" s="214">
        <f>Summary!O66</f>
        <v>0</v>
      </c>
      <c r="C42" s="352"/>
      <c r="D42" s="214" t="e">
        <f>'CAM TENANTS'!#REF!</f>
        <v>#REF!</v>
      </c>
      <c r="E42" s="214">
        <f>'CAM TENANTS'!L46</f>
        <v>0</v>
      </c>
      <c r="F42" s="214">
        <f>'CAM TENANTS'!U46</f>
        <v>0</v>
      </c>
      <c r="G42" s="214"/>
      <c r="H42" s="214"/>
      <c r="I42" s="214" t="e">
        <f t="shared" si="4"/>
        <v>#REF!</v>
      </c>
      <c r="J42" s="214" t="e">
        <f t="shared" si="5"/>
        <v>#REF!</v>
      </c>
      <c r="K42" s="348">
        <v>0</v>
      </c>
    </row>
    <row r="43" spans="1:11" s="128" customFormat="1">
      <c r="A43" s="211" t="str">
        <f>Summary!B67</f>
        <v>Backflow Maintenance</v>
      </c>
      <c r="B43" s="214">
        <f>Summary!O67</f>
        <v>55</v>
      </c>
      <c r="C43" s="352"/>
      <c r="D43" s="214" t="e">
        <f>'CAM TENANTS'!#REF!</f>
        <v>#REF!</v>
      </c>
      <c r="E43" s="214">
        <f>'CAM TENANTS'!L47</f>
        <v>38.772980592709153</v>
      </c>
      <c r="F43" s="214">
        <f>'CAM TENANTS'!U47</f>
        <v>8.6728395061728403</v>
      </c>
      <c r="G43" s="214"/>
      <c r="H43" s="214"/>
      <c r="I43" s="214" t="e">
        <f t="shared" si="4"/>
        <v>#REF!</v>
      </c>
      <c r="J43" s="214" t="e">
        <f t="shared" si="5"/>
        <v>#REF!</v>
      </c>
      <c r="K43" s="348" t="e">
        <f>J43/B43</f>
        <v>#REF!</v>
      </c>
    </row>
    <row r="44" spans="1:11" s="128" customFormat="1">
      <c r="A44" s="211" t="str">
        <f>Summary!B68</f>
        <v>Backflow Repairs</v>
      </c>
      <c r="B44" s="214">
        <f>Summary!O68</f>
        <v>150</v>
      </c>
      <c r="C44" s="352"/>
      <c r="D44" s="214" t="e">
        <f>'CAM TENANTS'!#REF!</f>
        <v>#REF!</v>
      </c>
      <c r="E44" s="214">
        <f>'CAM TENANTS'!L48</f>
        <v>105.74449252557042</v>
      </c>
      <c r="F44" s="214">
        <f>'CAM TENANTS'!U48</f>
        <v>23.653198653198654</v>
      </c>
      <c r="G44" s="214"/>
      <c r="H44" s="214"/>
      <c r="I44" s="214" t="e">
        <f t="shared" si="4"/>
        <v>#REF!</v>
      </c>
      <c r="J44" s="214" t="e">
        <f t="shared" si="5"/>
        <v>#REF!</v>
      </c>
      <c r="K44" s="348">
        <f>IFERROR(J44/B44,0)</f>
        <v>0</v>
      </c>
    </row>
    <row r="45" spans="1:11" s="128" customFormat="1">
      <c r="A45" s="211" t="str">
        <f>Summary!B69</f>
        <v>Electricity/Building</v>
      </c>
      <c r="B45" s="214">
        <f>Summary!O69</f>
        <v>27720</v>
      </c>
      <c r="C45" s="352"/>
      <c r="D45" s="214" t="e">
        <f>'CAM TENANTS'!#REF!</f>
        <v>#REF!</v>
      </c>
      <c r="E45" s="214">
        <f>'CAM TENANTS'!L49</f>
        <v>31964.555021817574</v>
      </c>
      <c r="F45" s="214">
        <f>'CAM TENANTS'!U49</f>
        <v>4371.1111111111113</v>
      </c>
      <c r="G45" s="214"/>
      <c r="H45" s="214"/>
      <c r="I45" s="214" t="e">
        <f t="shared" si="4"/>
        <v>#REF!</v>
      </c>
      <c r="J45" s="214" t="e">
        <f t="shared" si="5"/>
        <v>#REF!</v>
      </c>
      <c r="K45" s="348" t="e">
        <f>J45/B45</f>
        <v>#REF!</v>
      </c>
    </row>
    <row r="46" spans="1:11" s="128" customFormat="1">
      <c r="A46" s="211" t="str">
        <f>Summary!B70</f>
        <v>Water/Building</v>
      </c>
      <c r="B46" s="214">
        <f>Summary!O70</f>
        <v>8001</v>
      </c>
      <c r="C46" s="352"/>
      <c r="D46" s="214" t="e">
        <f>'CAM TENANTS'!#REF!</f>
        <v>#REF!</v>
      </c>
      <c r="E46" s="214">
        <f>'CAM TENANTS'!L50</f>
        <v>9226.1329267518904</v>
      </c>
      <c r="F46" s="214">
        <f>'CAM TENANTS'!U50</f>
        <v>1261.6616161616162</v>
      </c>
      <c r="G46" s="214"/>
      <c r="H46" s="214"/>
      <c r="I46" s="214" t="e">
        <f t="shared" si="4"/>
        <v>#REF!</v>
      </c>
      <c r="J46" s="214" t="e">
        <f t="shared" si="5"/>
        <v>#REF!</v>
      </c>
      <c r="K46" s="348" t="e">
        <f>J46/B46</f>
        <v>#REF!</v>
      </c>
    </row>
    <row r="47" spans="1:11" s="128" customFormat="1">
      <c r="A47" s="232" t="s">
        <v>314</v>
      </c>
      <c r="B47" s="352"/>
      <c r="C47" s="352"/>
      <c r="D47" s="138" t="e">
        <f>'CAM TENANTS'!#REF!</f>
        <v>#REF!</v>
      </c>
      <c r="E47" s="138"/>
      <c r="F47" s="138"/>
      <c r="G47" s="138"/>
      <c r="H47" s="138"/>
      <c r="I47" s="138"/>
      <c r="J47" s="139"/>
      <c r="K47" s="140"/>
    </row>
    <row r="48" spans="1:11" s="128" customFormat="1">
      <c r="A48" s="354" t="str">
        <f>Summary!B72</f>
        <v>SUBTOTAL BUILDING EXP.</v>
      </c>
      <c r="B48" s="350">
        <f>SUM(B39:B47)</f>
        <v>38926</v>
      </c>
      <c r="C48" s="350"/>
      <c r="D48" s="350" t="e">
        <f t="shared" ref="D48:F48" si="6">SUM(D39:D47)</f>
        <v>#REF!</v>
      </c>
      <c r="E48" s="350">
        <f t="shared" si="6"/>
        <v>43450.095272199149</v>
      </c>
      <c r="F48" s="350">
        <f t="shared" si="6"/>
        <v>6138.1627384960721</v>
      </c>
      <c r="G48" s="350"/>
      <c r="H48" s="350"/>
      <c r="I48" s="350" t="e">
        <f>SUM(D48:F48)</f>
        <v>#REF!</v>
      </c>
      <c r="J48" s="350" t="e">
        <f>I48-B48</f>
        <v>#REF!</v>
      </c>
      <c r="K48" s="351" t="e">
        <f>J48/B48</f>
        <v>#REF!</v>
      </c>
    </row>
    <row r="49" spans="1:11" s="128" customFormat="1">
      <c r="A49" s="191"/>
      <c r="B49" s="352"/>
      <c r="C49" s="352"/>
      <c r="D49" s="352"/>
      <c r="E49" s="352"/>
      <c r="F49" s="352"/>
      <c r="G49" s="352"/>
      <c r="H49" s="352"/>
      <c r="I49" s="352"/>
      <c r="J49" s="337"/>
      <c r="K49" s="353"/>
    </row>
    <row r="50" spans="1:11">
      <c r="A50" s="57" t="str">
        <f>Summary!B74</f>
        <v>INSURANCE</v>
      </c>
      <c r="B50" s="214"/>
      <c r="C50" s="214"/>
      <c r="D50" s="214"/>
      <c r="E50" s="214"/>
      <c r="F50" s="214"/>
      <c r="G50" s="214"/>
      <c r="H50" s="214"/>
      <c r="I50" s="214"/>
      <c r="J50" s="214"/>
      <c r="K50" s="222"/>
    </row>
    <row r="51" spans="1:11">
      <c r="A51" s="7" t="str">
        <f>Summary!B75</f>
        <v>Insurance - Property</v>
      </c>
      <c r="B51" s="214">
        <f>Summary!O75</f>
        <v>5619.9000000000005</v>
      </c>
      <c r="C51" s="214"/>
      <c r="D51" s="214" t="e">
        <f>'CAM TENANTS'!#REF!</f>
        <v>#REF!</v>
      </c>
      <c r="E51" s="214">
        <f>'CAM TENANTS'!L55</f>
        <v>3961.823156963022</v>
      </c>
      <c r="F51" s="214">
        <f>'CAM TENANTS'!U55</f>
        <v>886.19074074074081</v>
      </c>
      <c r="G51" s="214"/>
      <c r="H51" s="214"/>
      <c r="I51" s="214" t="e">
        <f>SUM(D51:F51)</f>
        <v>#REF!</v>
      </c>
      <c r="J51" s="214" t="e">
        <f>I51-B51</f>
        <v>#REF!</v>
      </c>
      <c r="K51" s="348" t="e">
        <f>J51/B51</f>
        <v>#REF!</v>
      </c>
    </row>
    <row r="52" spans="1:11">
      <c r="A52" s="7" t="str">
        <f>Summary!B76</f>
        <v>Insurance - Liability</v>
      </c>
      <c r="B52" s="214">
        <f>Summary!O76</f>
        <v>0</v>
      </c>
      <c r="C52" s="214"/>
      <c r="D52" s="214" t="e">
        <f>'CAM TENANTS'!#REF!</f>
        <v>#REF!</v>
      </c>
      <c r="E52" s="214">
        <f>'CAM TENANTS'!L56</f>
        <v>0</v>
      </c>
      <c r="F52" s="214">
        <f>'CAM TENANTS'!U56</f>
        <v>0</v>
      </c>
      <c r="G52" s="214"/>
      <c r="H52" s="214"/>
      <c r="I52" s="214" t="e">
        <f>SUM(D52:F52)</f>
        <v>#REF!</v>
      </c>
      <c r="J52" s="214" t="e">
        <f>I52-B52</f>
        <v>#REF!</v>
      </c>
      <c r="K52" s="348">
        <f>IFERROR(J52/B52,0)</f>
        <v>0</v>
      </c>
    </row>
    <row r="53" spans="1:11">
      <c r="A53" s="7" t="str">
        <f>Summary!B77</f>
        <v>Insurance - Umbrella</v>
      </c>
      <c r="B53" s="214">
        <f>Summary!O77</f>
        <v>0</v>
      </c>
      <c r="C53" s="214"/>
      <c r="D53" s="214" t="e">
        <f>'CAM TENANTS'!#REF!</f>
        <v>#REF!</v>
      </c>
      <c r="E53" s="214">
        <f>'CAM TENANTS'!L57</f>
        <v>0</v>
      </c>
      <c r="F53" s="214">
        <f>'CAM TENANTS'!U57</f>
        <v>0</v>
      </c>
      <c r="G53" s="214"/>
      <c r="H53" s="214"/>
      <c r="I53" s="214" t="e">
        <f>SUM(D53:F53)</f>
        <v>#REF!</v>
      </c>
      <c r="J53" s="214" t="e">
        <f>I53-B53</f>
        <v>#REF!</v>
      </c>
      <c r="K53" s="348">
        <f>IFERROR(J53/B53,0)</f>
        <v>0</v>
      </c>
    </row>
    <row r="54" spans="1:11">
      <c r="A54" s="7" t="str">
        <f>Summary!B78</f>
        <v>Insurance - Flood &amp; Earthquake</v>
      </c>
      <c r="B54" s="214">
        <f>Summary!O78</f>
        <v>0</v>
      </c>
      <c r="C54" s="214"/>
      <c r="D54" s="214" t="e">
        <f>'CAM TENANTS'!#REF!</f>
        <v>#REF!</v>
      </c>
      <c r="E54" s="214">
        <f>'CAM TENANTS'!L58</f>
        <v>0</v>
      </c>
      <c r="F54" s="214">
        <f>'CAM TENANTS'!U58</f>
        <v>0</v>
      </c>
      <c r="G54" s="214"/>
      <c r="H54" s="214"/>
      <c r="I54" s="214" t="e">
        <f>SUM(D54:F54)</f>
        <v>#REF!</v>
      </c>
      <c r="J54" s="214" t="e">
        <f>I54-B54</f>
        <v>#REF!</v>
      </c>
      <c r="K54" s="348">
        <v>0</v>
      </c>
    </row>
    <row r="55" spans="1:11">
      <c r="A55" s="7"/>
      <c r="B55" s="214"/>
      <c r="C55" s="214"/>
      <c r="D55" s="214"/>
      <c r="E55" s="214"/>
      <c r="F55" s="214"/>
      <c r="G55" s="214"/>
      <c r="H55" s="214"/>
      <c r="I55" s="214"/>
      <c r="J55" s="214"/>
      <c r="K55" s="7"/>
    </row>
    <row r="56" spans="1:11" s="128" customFormat="1">
      <c r="A56" s="349" t="str">
        <f>Summary!B80</f>
        <v>SUBTOTAL INSURANCE</v>
      </c>
      <c r="B56" s="350">
        <f>SUM(B51:B54)</f>
        <v>5619.9000000000005</v>
      </c>
      <c r="C56" s="350"/>
      <c r="D56" s="350" t="e">
        <f t="shared" ref="D56:F56" si="7">SUM(D51:D54)</f>
        <v>#REF!</v>
      </c>
      <c r="E56" s="350">
        <f t="shared" si="7"/>
        <v>3961.823156963022</v>
      </c>
      <c r="F56" s="350">
        <f t="shared" si="7"/>
        <v>886.19074074074081</v>
      </c>
      <c r="G56" s="350"/>
      <c r="H56" s="350"/>
      <c r="I56" s="350" t="e">
        <f>SUM(D56:F56)</f>
        <v>#REF!</v>
      </c>
      <c r="J56" s="350" t="e">
        <f>I56-B56</f>
        <v>#REF!</v>
      </c>
      <c r="K56" s="351" t="e">
        <f>J56/B56</f>
        <v>#REF!</v>
      </c>
    </row>
    <row r="57" spans="1:11">
      <c r="A57" s="7"/>
      <c r="B57" s="214"/>
      <c r="C57" s="214"/>
      <c r="D57" s="214"/>
      <c r="E57" s="214"/>
      <c r="F57" s="214"/>
      <c r="G57" s="214"/>
      <c r="H57" s="214"/>
      <c r="I57" s="214"/>
      <c r="J57" s="214"/>
      <c r="K57" s="222"/>
    </row>
    <row r="58" spans="1:11">
      <c r="A58" s="57" t="str">
        <f>Summary!B82</f>
        <v>PROPERTY TAXES</v>
      </c>
      <c r="B58" s="214"/>
      <c r="C58" s="214"/>
      <c r="D58" s="214"/>
      <c r="E58" s="214"/>
      <c r="F58" s="214"/>
      <c r="G58" s="214"/>
      <c r="H58" s="214"/>
      <c r="I58" s="214"/>
      <c r="J58" s="214"/>
      <c r="K58" s="222"/>
    </row>
    <row r="59" spans="1:11">
      <c r="A59" s="7" t="str">
        <f>Summary!B83</f>
        <v>Property Tax</v>
      </c>
      <c r="B59" s="214">
        <f>Summary!O83</f>
        <v>34927.629999999997</v>
      </c>
      <c r="C59" s="214"/>
      <c r="D59" s="214" t="e">
        <f>'CAM TENANTS'!#REF!</f>
        <v>#REF!</v>
      </c>
      <c r="E59" s="214">
        <f>'CAM TENANTS'!L63</f>
        <v>24622.696729805928</v>
      </c>
      <c r="F59" s="214">
        <f>'CAM TENANTS'!U63</f>
        <v>5507.6678058361385</v>
      </c>
      <c r="G59" s="214"/>
      <c r="H59" s="214"/>
      <c r="I59" s="355" t="e">
        <f>SUM(D59:F59)</f>
        <v>#REF!</v>
      </c>
      <c r="J59" s="214" t="e">
        <f>I59-B59</f>
        <v>#REF!</v>
      </c>
      <c r="K59" s="356" t="e">
        <f>J59/B59</f>
        <v>#REF!</v>
      </c>
    </row>
    <row r="60" spans="1:11">
      <c r="A60" s="7"/>
      <c r="B60" s="214"/>
      <c r="C60" s="214"/>
      <c r="D60" s="214"/>
      <c r="E60" s="214"/>
      <c r="F60" s="214"/>
      <c r="G60" s="214"/>
      <c r="H60" s="214"/>
      <c r="I60" s="355"/>
      <c r="J60" s="355"/>
      <c r="K60" s="357"/>
    </row>
    <row r="61" spans="1:11" s="128" customFormat="1">
      <c r="A61" s="349" t="str">
        <f>Summary!B85</f>
        <v>SUBTOTAL TAXES</v>
      </c>
      <c r="B61" s="350">
        <f>B59</f>
        <v>34927.629999999997</v>
      </c>
      <c r="C61" s="350"/>
      <c r="D61" s="350" t="e">
        <f>SUM(D59)</f>
        <v>#REF!</v>
      </c>
      <c r="E61" s="350">
        <f t="shared" ref="E61:F61" si="8">SUM(E59)</f>
        <v>24622.696729805928</v>
      </c>
      <c r="F61" s="350">
        <f t="shared" si="8"/>
        <v>5507.6678058361385</v>
      </c>
      <c r="G61" s="350"/>
      <c r="H61" s="350"/>
      <c r="I61" s="358" t="e">
        <f>SUM(D61:F61)</f>
        <v>#REF!</v>
      </c>
      <c r="J61" s="358" t="e">
        <f>I61-B61</f>
        <v>#REF!</v>
      </c>
      <c r="K61" s="359" t="e">
        <f>J61/B61</f>
        <v>#REF!</v>
      </c>
    </row>
    <row r="62" spans="1:11">
      <c r="A62" s="7"/>
      <c r="B62" s="214"/>
      <c r="C62" s="214"/>
      <c r="D62" s="214"/>
      <c r="E62" s="214"/>
      <c r="F62" s="214"/>
      <c r="G62" s="214"/>
      <c r="H62" s="214"/>
      <c r="I62" s="355"/>
      <c r="J62" s="355"/>
      <c r="K62" s="357"/>
    </row>
    <row r="63" spans="1:11" s="128" customFormat="1">
      <c r="A63" s="360" t="str">
        <f>Summary!B89</f>
        <v>TOTAL COMMON AREA</v>
      </c>
      <c r="B63" s="350">
        <f>B36+B56+B61+B48</f>
        <v>144815.53</v>
      </c>
      <c r="C63" s="350"/>
      <c r="D63" s="350" t="e">
        <f t="shared" ref="D63:F63" si="9">D36+D56+D48+D61</f>
        <v>#REF!</v>
      </c>
      <c r="E63" s="350">
        <f>E36+E56+E48+E61</f>
        <v>119950.61709862154</v>
      </c>
      <c r="F63" s="350">
        <f t="shared" si="9"/>
        <v>23391.029481381698</v>
      </c>
      <c r="G63" s="350"/>
      <c r="H63" s="350"/>
      <c r="I63" s="358" t="e">
        <f>SUM(D63:F63)</f>
        <v>#REF!</v>
      </c>
      <c r="J63" s="358" t="e">
        <f>I63-B63</f>
        <v>#REF!</v>
      </c>
      <c r="K63" s="359" t="e">
        <f>J63/B63</f>
        <v>#REF!</v>
      </c>
    </row>
    <row r="64" spans="1:11">
      <c r="A64" s="7"/>
      <c r="B64" s="214"/>
      <c r="C64" s="214"/>
      <c r="D64" s="214"/>
      <c r="E64" s="214"/>
      <c r="F64" s="214"/>
      <c r="G64" s="214"/>
      <c r="H64" s="214"/>
      <c r="I64" s="214"/>
      <c r="J64" s="214"/>
      <c r="K64" s="7"/>
    </row>
    <row r="65" spans="1:11" s="128" customFormat="1">
      <c r="A65" s="361" t="s">
        <v>315</v>
      </c>
      <c r="B65" s="350">
        <f>Summary!O20</f>
        <v>0</v>
      </c>
      <c r="C65" s="350"/>
      <c r="D65" s="350" t="e">
        <f>'CAM TENANTS'!#REF!</f>
        <v>#REF!</v>
      </c>
      <c r="E65" s="350">
        <f>'CAM TENANTS'!M67</f>
        <v>0</v>
      </c>
      <c r="F65" s="350">
        <f>'CAM TENANTS'!V67</f>
        <v>0</v>
      </c>
      <c r="G65" s="350"/>
      <c r="H65" s="350"/>
      <c r="I65" s="358" t="e">
        <f>SUM(D65:F65)</f>
        <v>#REF!</v>
      </c>
      <c r="J65" s="358" t="e">
        <f>I65-B65</f>
        <v>#REF!</v>
      </c>
      <c r="K65" s="359">
        <f>IFERROR(J65/B65,0)</f>
        <v>0</v>
      </c>
    </row>
    <row r="66" spans="1:11">
      <c r="A66" s="7"/>
      <c r="B66" s="214"/>
      <c r="C66" s="214"/>
      <c r="D66" s="214"/>
      <c r="E66" s="214"/>
      <c r="F66" s="214"/>
      <c r="G66" s="214"/>
      <c r="H66" s="214"/>
      <c r="I66" s="214"/>
      <c r="J66" s="214"/>
      <c r="K66" s="7"/>
    </row>
    <row r="67" spans="1:11" s="128" customFormat="1">
      <c r="A67" s="501" t="s">
        <v>316</v>
      </c>
      <c r="B67" s="362"/>
      <c r="C67" s="362"/>
      <c r="D67" s="362"/>
      <c r="E67" s="362"/>
      <c r="F67" s="362"/>
      <c r="G67" s="362"/>
      <c r="H67" s="362"/>
      <c r="I67" s="362"/>
      <c r="J67" s="362"/>
      <c r="K67" s="363"/>
    </row>
    <row r="68" spans="1:11" s="128" customFormat="1">
      <c r="A68" s="501"/>
      <c r="B68" s="362">
        <f>B63+B65</f>
        <v>144815.53</v>
      </c>
      <c r="C68" s="362"/>
      <c r="D68" s="362" t="e">
        <f t="shared" ref="D68:F68" si="10">D63+D65</f>
        <v>#REF!</v>
      </c>
      <c r="E68" s="362">
        <f t="shared" si="10"/>
        <v>119950.61709862154</v>
      </c>
      <c r="F68" s="362">
        <f t="shared" si="10"/>
        <v>23391.029481381698</v>
      </c>
      <c r="G68" s="362"/>
      <c r="H68" s="362"/>
      <c r="I68" s="362" t="e">
        <f>SUM(D68:F68)</f>
        <v>#REF!</v>
      </c>
      <c r="J68" s="362" t="e">
        <f>I68-B68</f>
        <v>#REF!</v>
      </c>
      <c r="K68" s="363" t="e">
        <f>J68/B68</f>
        <v>#REF!</v>
      </c>
    </row>
    <row r="69" spans="1:11">
      <c r="A69" s="502"/>
      <c r="B69" s="364"/>
      <c r="C69" s="364"/>
      <c r="D69" s="364"/>
      <c r="E69" s="364"/>
      <c r="F69" s="364"/>
      <c r="G69" s="364"/>
      <c r="H69" s="364"/>
      <c r="I69" s="364"/>
      <c r="J69" s="364"/>
      <c r="K69" s="364"/>
    </row>
    <row r="71" spans="1:11" ht="28.8">
      <c r="A71" s="365" t="s">
        <v>317</v>
      </c>
      <c r="B71" s="366">
        <f>Summary!O59+Summary!O72+Summary!O80+Summary!O85</f>
        <v>146515.53</v>
      </c>
      <c r="C71" s="7"/>
      <c r="D71" s="7"/>
      <c r="E71" s="7"/>
      <c r="F71" s="7"/>
      <c r="G71" s="7"/>
      <c r="H71" s="7"/>
      <c r="I71" s="7"/>
      <c r="J71" s="7"/>
      <c r="K71" s="7"/>
    </row>
    <row r="72" spans="1:11">
      <c r="A72" s="367" t="s">
        <v>318</v>
      </c>
      <c r="B72" s="368">
        <f>B68-B71</f>
        <v>-1700</v>
      </c>
      <c r="C72" s="7"/>
      <c r="D72" s="7"/>
      <c r="E72" s="7"/>
      <c r="F72" s="7"/>
      <c r="G72" s="7"/>
      <c r="H72" s="7"/>
      <c r="I72" s="7"/>
      <c r="J72" s="7"/>
      <c r="K72" s="7"/>
    </row>
    <row r="74" spans="1:11">
      <c r="A74" s="369" t="s">
        <v>319</v>
      </c>
      <c r="B74" s="370"/>
      <c r="C74" s="370"/>
      <c r="D74" s="370"/>
      <c r="E74" s="371">
        <f>'Tenant Charges'!N11*12</f>
        <v>11293.245310245315</v>
      </c>
      <c r="F74" s="366">
        <f>'Tenant Charges'!N12*12</f>
        <v>4517.2404713804717</v>
      </c>
      <c r="G74" s="372"/>
      <c r="H74" s="372"/>
      <c r="I74" s="7"/>
      <c r="J74" s="7"/>
      <c r="K74" s="7"/>
    </row>
    <row r="75" spans="1:11">
      <c r="A75" s="367" t="s">
        <v>318</v>
      </c>
      <c r="B75" s="373"/>
      <c r="C75" s="373"/>
      <c r="D75" s="373"/>
      <c r="E75" s="374">
        <f>E68-E74</f>
        <v>108657.37178837623</v>
      </c>
      <c r="F75" s="368">
        <f>F68-F74</f>
        <v>18873.789010001226</v>
      </c>
      <c r="G75" s="372"/>
      <c r="H75" s="372"/>
      <c r="I75" s="7"/>
      <c r="J75" s="7"/>
      <c r="K75" s="7"/>
    </row>
  </sheetData>
  <customSheetViews>
    <customSheetView guid="{7691FA39-7EA9-407C-9567-49BEFD6339F8}" showPageBreaks="1" fitToPage="1" printArea="1" showRuler="0" topLeftCell="A36">
      <selection activeCell="G53" sqref="G53"/>
      <pageMargins left="0" right="0" top="0" bottom="0" header="0" footer="0"/>
      <pageSetup scale="45" orientation="landscape" r:id="rId1"/>
      <headerFooter alignWithMargins="0"/>
    </customSheetView>
  </customSheetViews>
  <mergeCells count="6">
    <mergeCell ref="A67:A69"/>
    <mergeCell ref="A2:K2"/>
    <mergeCell ref="A3:K3"/>
    <mergeCell ref="A4:K4"/>
    <mergeCell ref="A5:K5"/>
    <mergeCell ref="A6:K6"/>
  </mergeCells>
  <phoneticPr fontId="3" type="noConversion"/>
  <pageMargins left="0" right="0" top="1" bottom="1" header="0.5" footer="0.5"/>
  <pageSetup scale="49" orientation="landscape" r:id="rId2"/>
  <headerFooter alignWithMargins="0"/>
  <ignoredErrors>
    <ignoredError sqref="K15:K64" formula="1"/>
  </ignoredErrors>
  <drawing r:id="rId3"/>
  <legacy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P88"/>
  <sheetViews>
    <sheetView topLeftCell="AA69" zoomScale="87" zoomScaleNormal="87" zoomScaleSheetLayoutView="100" workbookViewId="0">
      <selection activeCell="Q32" sqref="Q32"/>
    </sheetView>
  </sheetViews>
  <sheetFormatPr defaultColWidth="9.33203125" defaultRowHeight="14.4"/>
  <cols>
    <col min="1" max="1" width="9.33203125" style="123"/>
    <col min="2" max="2" width="41" style="123" customWidth="1"/>
    <col min="3" max="3" width="11.44140625" style="123" customWidth="1"/>
    <col min="4" max="4" width="15.33203125" style="123" customWidth="1"/>
    <col min="5" max="5" width="6" style="123" customWidth="1"/>
    <col min="6" max="6" width="11.33203125" style="123" bestFit="1" customWidth="1"/>
    <col min="7" max="7" width="27" style="123" customWidth="1"/>
    <col min="8" max="8" width="13.33203125" style="123" bestFit="1" customWidth="1"/>
    <col min="9" max="9" width="15.6640625" style="123" bestFit="1" customWidth="1"/>
    <col min="10" max="10" width="15.44140625" style="123" bestFit="1" customWidth="1"/>
    <col min="11" max="11" width="12.44140625" style="123" customWidth="1"/>
    <col min="12" max="12" width="13.6640625" style="123" bestFit="1" customWidth="1"/>
    <col min="13" max="13" width="12.44140625" style="123" customWidth="1"/>
    <col min="14" max="14" width="15" style="123" customWidth="1"/>
    <col min="15" max="15" width="11.33203125" style="123" bestFit="1" customWidth="1"/>
    <col min="16" max="16" width="27" style="123" customWidth="1"/>
    <col min="17" max="17" width="13.33203125" style="123" bestFit="1" customWidth="1"/>
    <col min="18" max="18" width="15.6640625" style="123" bestFit="1" customWidth="1"/>
    <col min="19" max="19" width="15.44140625" style="123" bestFit="1" customWidth="1"/>
    <col min="20" max="20" width="12.44140625" style="123" customWidth="1"/>
    <col min="21" max="21" width="13.6640625" style="123" bestFit="1" customWidth="1"/>
    <col min="22" max="22" width="12.44140625" style="123" customWidth="1"/>
    <col min="23" max="23" width="15" style="123" customWidth="1"/>
    <col min="24" max="24" width="11.33203125" style="123" bestFit="1" customWidth="1"/>
    <col min="25" max="25" width="27" style="123" customWidth="1"/>
    <col min="26" max="26" width="13.33203125" style="123" bestFit="1" customWidth="1"/>
    <col min="27" max="27" width="15.6640625" style="123" bestFit="1" customWidth="1"/>
    <col min="28" max="28" width="15.44140625" style="123" bestFit="1" customWidth="1"/>
    <col min="29" max="29" width="12.44140625" style="123" customWidth="1"/>
    <col min="30" max="30" width="13.6640625" style="123" bestFit="1" customWidth="1"/>
    <col min="31" max="31" width="12.44140625" style="123" customWidth="1"/>
    <col min="32" max="32" width="15" style="123" customWidth="1"/>
    <col min="33" max="33" width="11.33203125" style="123" bestFit="1" customWidth="1"/>
    <col min="34" max="34" width="27" style="123" customWidth="1"/>
    <col min="35" max="35" width="13.33203125" style="123" bestFit="1" customWidth="1"/>
    <col min="36" max="36" width="15.6640625" style="123" bestFit="1" customWidth="1"/>
    <col min="37" max="37" width="15.44140625" style="123" bestFit="1" customWidth="1"/>
    <col min="38" max="38" width="12.44140625" style="123" customWidth="1"/>
    <col min="39" max="39" width="13.6640625" style="123" bestFit="1" customWidth="1"/>
    <col min="40" max="40" width="12.44140625" style="123" customWidth="1"/>
    <col min="41" max="41" width="15" style="123" customWidth="1"/>
    <col min="42" max="42" width="6.33203125" style="123" customWidth="1"/>
    <col min="43" max="16384" width="9.33203125" style="123"/>
  </cols>
  <sheetData>
    <row r="1" spans="1:42" s="141" customFormat="1">
      <c r="A1" s="375"/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6" t="str">
        <f>Summary!T4</f>
        <v>Date Revised:</v>
      </c>
      <c r="N1" s="375">
        <f ca="1">Summary!U4</f>
        <v>46235</v>
      </c>
      <c r="O1" s="375"/>
      <c r="P1" s="375"/>
      <c r="Q1" s="375"/>
      <c r="R1" s="375"/>
      <c r="S1" s="375"/>
      <c r="T1" s="375"/>
      <c r="U1" s="375"/>
      <c r="V1" s="376" t="s">
        <v>320</v>
      </c>
      <c r="W1" s="375">
        <f ca="1">NOW()</f>
        <v>46235.072648611109</v>
      </c>
      <c r="X1" s="375"/>
      <c r="Y1" s="375"/>
      <c r="Z1" s="375"/>
      <c r="AA1" s="375"/>
      <c r="AB1" s="375"/>
      <c r="AC1" s="375"/>
      <c r="AD1" s="375"/>
      <c r="AE1" s="376" t="s">
        <v>320</v>
      </c>
      <c r="AF1" s="375">
        <f ca="1">NOW()</f>
        <v>46235.072648611109</v>
      </c>
      <c r="AG1" s="375"/>
      <c r="AH1" s="375"/>
      <c r="AI1" s="375"/>
      <c r="AJ1" s="375"/>
      <c r="AK1" s="375"/>
      <c r="AL1" s="375"/>
      <c r="AM1" s="375"/>
      <c r="AN1" s="376" t="s">
        <v>320</v>
      </c>
      <c r="AO1" s="375">
        <f ca="1">NOW()</f>
        <v>46235.072648611109</v>
      </c>
      <c r="AP1" s="375"/>
    </row>
    <row r="2" spans="1:42">
      <c r="A2" s="7"/>
      <c r="B2" s="7"/>
      <c r="C2" s="7"/>
      <c r="D2" s="7"/>
      <c r="E2" s="7"/>
      <c r="F2" s="476" t="str">
        <f>Summary!$A$3</f>
        <v>BELL MEDICAL</v>
      </c>
      <c r="G2" s="476"/>
      <c r="H2" s="476"/>
      <c r="I2" s="476"/>
      <c r="J2" s="476"/>
      <c r="K2" s="476"/>
      <c r="L2" s="476"/>
      <c r="M2" s="476"/>
      <c r="N2" s="476"/>
      <c r="O2" s="476" t="str">
        <f>Summary!$A$3</f>
        <v>BELL MEDICAL</v>
      </c>
      <c r="P2" s="476"/>
      <c r="Q2" s="476"/>
      <c r="R2" s="476"/>
      <c r="S2" s="476"/>
      <c r="T2" s="476"/>
      <c r="U2" s="476"/>
      <c r="V2" s="476"/>
      <c r="W2" s="476"/>
      <c r="X2" s="476" t="str">
        <f>Summary!$A$3</f>
        <v>BELL MEDICAL</v>
      </c>
      <c r="Y2" s="476"/>
      <c r="Z2" s="476"/>
      <c r="AA2" s="476"/>
      <c r="AB2" s="476"/>
      <c r="AC2" s="476"/>
      <c r="AD2" s="476"/>
      <c r="AE2" s="476"/>
      <c r="AF2" s="476"/>
      <c r="AG2" s="476" t="str">
        <f>Summary!$A$3</f>
        <v>BELL MEDICAL</v>
      </c>
      <c r="AH2" s="476"/>
      <c r="AI2" s="476"/>
      <c r="AJ2" s="476"/>
      <c r="AK2" s="476"/>
      <c r="AL2" s="476"/>
      <c r="AM2" s="476"/>
      <c r="AN2" s="476"/>
      <c r="AO2" s="476"/>
      <c r="AP2" s="7"/>
    </row>
    <row r="3" spans="1:42">
      <c r="A3" s="7"/>
      <c r="B3" s="7"/>
      <c r="C3" s="7"/>
      <c r="D3" s="7"/>
      <c r="E3" s="7"/>
      <c r="F3" s="476" t="str">
        <f>Summary!$A$5</f>
        <v>01/01/26-12/31/26</v>
      </c>
      <c r="G3" s="476"/>
      <c r="H3" s="476"/>
      <c r="I3" s="476"/>
      <c r="J3" s="476"/>
      <c r="K3" s="476"/>
      <c r="L3" s="476"/>
      <c r="M3" s="476"/>
      <c r="N3" s="476"/>
      <c r="O3" s="476" t="str">
        <f>Summary!$A$5</f>
        <v>01/01/26-12/31/26</v>
      </c>
      <c r="P3" s="476"/>
      <c r="Q3" s="476"/>
      <c r="R3" s="476"/>
      <c r="S3" s="476"/>
      <c r="T3" s="476"/>
      <c r="U3" s="476"/>
      <c r="V3" s="476"/>
      <c r="W3" s="476"/>
      <c r="X3" s="476" t="str">
        <f>Summary!$A$5</f>
        <v>01/01/26-12/31/26</v>
      </c>
      <c r="Y3" s="476"/>
      <c r="Z3" s="476"/>
      <c r="AA3" s="476"/>
      <c r="AB3" s="476"/>
      <c r="AC3" s="476"/>
      <c r="AD3" s="476"/>
      <c r="AE3" s="476"/>
      <c r="AF3" s="476"/>
      <c r="AG3" s="476" t="str">
        <f>Summary!$A$5</f>
        <v>01/01/26-12/31/26</v>
      </c>
      <c r="AH3" s="476"/>
      <c r="AI3" s="476"/>
      <c r="AJ3" s="476"/>
      <c r="AK3" s="476"/>
      <c r="AL3" s="476"/>
      <c r="AM3" s="476"/>
      <c r="AN3" s="476"/>
      <c r="AO3" s="476"/>
      <c r="AP3" s="7"/>
    </row>
    <row r="4" spans="1:42">
      <c r="A4" s="7"/>
      <c r="B4" s="7"/>
      <c r="C4" s="7"/>
      <c r="D4" s="7"/>
      <c r="E4" s="7"/>
      <c r="F4" s="476" t="str">
        <f>Summary!$A$6</f>
        <v>2026 OPERATING BUDGET</v>
      </c>
      <c r="G4" s="476"/>
      <c r="H4" s="476"/>
      <c r="I4" s="476"/>
      <c r="J4" s="476"/>
      <c r="K4" s="476"/>
      <c r="L4" s="476"/>
      <c r="M4" s="476"/>
      <c r="N4" s="476"/>
      <c r="O4" s="476" t="str">
        <f>Summary!$A$6</f>
        <v>2026 OPERATING BUDGET</v>
      </c>
      <c r="P4" s="476"/>
      <c r="Q4" s="476"/>
      <c r="R4" s="476"/>
      <c r="S4" s="476"/>
      <c r="T4" s="476"/>
      <c r="U4" s="476"/>
      <c r="V4" s="476"/>
      <c r="W4" s="476"/>
      <c r="X4" s="476" t="str">
        <f>Summary!$A$6</f>
        <v>2026 OPERATING BUDGET</v>
      </c>
      <c r="Y4" s="476"/>
      <c r="Z4" s="476"/>
      <c r="AA4" s="476"/>
      <c r="AB4" s="476"/>
      <c r="AC4" s="476"/>
      <c r="AD4" s="476"/>
      <c r="AE4" s="476"/>
      <c r="AF4" s="476"/>
      <c r="AG4" s="476" t="str">
        <f>Summary!$A$6</f>
        <v>2026 OPERATING BUDGET</v>
      </c>
      <c r="AH4" s="476"/>
      <c r="AI4" s="476"/>
      <c r="AJ4" s="476"/>
      <c r="AK4" s="476"/>
      <c r="AL4" s="476"/>
      <c r="AM4" s="476"/>
      <c r="AN4" s="476"/>
      <c r="AO4" s="476"/>
      <c r="AP4" s="7"/>
    </row>
    <row r="5" spans="1:42">
      <c r="A5" s="7"/>
      <c r="B5" s="7"/>
      <c r="C5" s="7"/>
      <c r="D5" s="7"/>
      <c r="E5" s="7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  <c r="AA5" s="377"/>
      <c r="AB5" s="377"/>
      <c r="AC5" s="377"/>
      <c r="AD5" s="377"/>
      <c r="AE5" s="377"/>
      <c r="AF5" s="377"/>
      <c r="AG5" s="377"/>
      <c r="AH5" s="377"/>
      <c r="AI5" s="377"/>
      <c r="AJ5" s="377"/>
      <c r="AK5" s="377"/>
      <c r="AL5" s="377"/>
      <c r="AM5" s="377"/>
      <c r="AN5" s="377"/>
      <c r="AO5" s="377"/>
      <c r="AP5" s="7"/>
    </row>
    <row r="6" spans="1:42">
      <c r="A6" s="7"/>
      <c r="B6" s="7"/>
      <c r="C6" s="7"/>
      <c r="D6" s="7"/>
      <c r="E6" s="7"/>
      <c r="F6" s="378"/>
      <c r="G6" s="379" t="s">
        <v>321</v>
      </c>
      <c r="H6" s="380" t="str">
        <f>Rent!A15</f>
        <v>Occupational Medicine for Business &amp; Industry</v>
      </c>
      <c r="I6" s="381"/>
      <c r="J6" s="283"/>
      <c r="K6" s="283"/>
      <c r="L6" s="283"/>
      <c r="M6" s="382"/>
      <c r="N6" s="383"/>
      <c r="O6" s="378"/>
      <c r="P6" s="379" t="s">
        <v>321</v>
      </c>
      <c r="Q6" s="380" t="str">
        <f>Rent!A16</f>
        <v>Arizona Sports &amp; Spine Physicians</v>
      </c>
      <c r="R6" s="381"/>
      <c r="S6" s="283"/>
      <c r="T6" s="283"/>
      <c r="U6" s="283"/>
      <c r="V6" s="382"/>
      <c r="W6" s="383"/>
      <c r="X6" s="378"/>
      <c r="Y6" s="379" t="s">
        <v>321</v>
      </c>
      <c r="Z6" s="380" t="str">
        <f>Rent!A17</f>
        <v>Vacant</v>
      </c>
      <c r="AA6" s="381"/>
      <c r="AB6" s="283"/>
      <c r="AC6" s="283"/>
      <c r="AD6" s="283"/>
      <c r="AE6" s="382"/>
      <c r="AF6" s="383"/>
      <c r="AG6" s="378"/>
      <c r="AH6" s="379" t="s">
        <v>321</v>
      </c>
      <c r="AI6" s="380" t="str">
        <f>Rent!A18</f>
        <v>Vacant</v>
      </c>
      <c r="AJ6" s="381"/>
      <c r="AK6" s="283"/>
      <c r="AL6" s="283"/>
      <c r="AM6" s="283"/>
      <c r="AN6" s="382"/>
      <c r="AO6" s="383"/>
      <c r="AP6" s="7"/>
    </row>
    <row r="7" spans="1:42">
      <c r="A7" s="7"/>
      <c r="B7" s="7"/>
      <c r="C7" s="7"/>
      <c r="D7" s="7"/>
      <c r="E7" s="7"/>
      <c r="F7" s="384"/>
      <c r="G7" s="385" t="s">
        <v>322</v>
      </c>
      <c r="H7" s="386" t="str">
        <f>Rent!B15</f>
        <v>100A</v>
      </c>
      <c r="I7" s="387"/>
      <c r="J7" s="288"/>
      <c r="K7" s="288"/>
      <c r="L7" s="288"/>
      <c r="M7" s="388"/>
      <c r="N7" s="389"/>
      <c r="O7" s="384"/>
      <c r="P7" s="385" t="s">
        <v>322</v>
      </c>
      <c r="Q7" s="386" t="str">
        <f>Rent!B16</f>
        <v>101A</v>
      </c>
      <c r="R7" s="387"/>
      <c r="S7" s="288"/>
      <c r="T7" s="288"/>
      <c r="U7" s="288"/>
      <c r="V7" s="388"/>
      <c r="W7" s="389"/>
      <c r="X7" s="384"/>
      <c r="Y7" s="385" t="s">
        <v>322</v>
      </c>
      <c r="Z7" s="386" t="str">
        <f>Rent!B17</f>
        <v>100B</v>
      </c>
      <c r="AA7" s="387"/>
      <c r="AB7" s="288"/>
      <c r="AC7" s="288"/>
      <c r="AD7" s="288"/>
      <c r="AE7" s="388"/>
      <c r="AF7" s="389"/>
      <c r="AG7" s="384"/>
      <c r="AH7" s="385" t="s">
        <v>322</v>
      </c>
      <c r="AI7" s="386" t="str">
        <f>Rent!B18</f>
        <v>101B/102B</v>
      </c>
      <c r="AJ7" s="387"/>
      <c r="AK7" s="288"/>
      <c r="AL7" s="288"/>
      <c r="AM7" s="288"/>
      <c r="AN7" s="388"/>
      <c r="AO7" s="389"/>
      <c r="AP7" s="7"/>
    </row>
    <row r="8" spans="1:42">
      <c r="A8" s="7"/>
      <c r="B8" s="7"/>
      <c r="C8" s="7"/>
      <c r="D8" s="7"/>
      <c r="E8" s="7"/>
      <c r="F8" s="390"/>
      <c r="G8" s="321" t="s">
        <v>323</v>
      </c>
      <c r="H8" s="391">
        <f>Rent!C15</f>
        <v>5659</v>
      </c>
      <c r="I8" s="392"/>
      <c r="J8" s="292"/>
      <c r="K8" s="292"/>
      <c r="L8" s="292"/>
      <c r="M8" s="393"/>
      <c r="N8" s="394"/>
      <c r="O8" s="390"/>
      <c r="P8" s="321" t="s">
        <v>323</v>
      </c>
      <c r="Q8" s="391">
        <f>Rent!C16</f>
        <v>1967</v>
      </c>
      <c r="R8" s="392"/>
      <c r="S8" s="292"/>
      <c r="T8" s="292"/>
      <c r="U8" s="292"/>
      <c r="V8" s="142"/>
      <c r="W8" s="394"/>
      <c r="X8" s="390"/>
      <c r="Y8" s="321" t="s">
        <v>323</v>
      </c>
      <c r="Z8" s="391">
        <f>Rent!C17</f>
        <v>618</v>
      </c>
      <c r="AA8" s="392"/>
      <c r="AB8" s="292"/>
      <c r="AC8" s="292"/>
      <c r="AD8" s="292"/>
      <c r="AE8" s="142"/>
      <c r="AF8" s="394"/>
      <c r="AG8" s="390"/>
      <c r="AH8" s="321" t="s">
        <v>323</v>
      </c>
      <c r="AI8" s="391">
        <f>Rent!C18</f>
        <v>4230</v>
      </c>
      <c r="AJ8" s="392"/>
      <c r="AK8" s="292"/>
      <c r="AL8" s="292"/>
      <c r="AM8" s="292"/>
      <c r="AN8" s="142"/>
      <c r="AO8" s="394"/>
      <c r="AP8" s="7"/>
    </row>
    <row r="9" spans="1:42">
      <c r="A9" s="7"/>
      <c r="B9" s="7"/>
      <c r="C9" s="7"/>
      <c r="D9" s="7"/>
      <c r="E9" s="7"/>
      <c r="F9" s="64"/>
      <c r="G9" s="274"/>
      <c r="H9" s="7"/>
      <c r="I9" s="395"/>
      <c r="J9" s="7"/>
      <c r="K9" s="7"/>
      <c r="L9" s="274"/>
      <c r="M9" s="222"/>
      <c r="N9" s="7" t="s">
        <v>23</v>
      </c>
      <c r="O9" s="64"/>
      <c r="P9" s="274"/>
      <c r="Q9" s="7"/>
      <c r="R9" s="395"/>
      <c r="S9" s="7"/>
      <c r="T9" s="7"/>
      <c r="U9" s="274"/>
      <c r="V9" s="222"/>
      <c r="W9" s="7" t="s">
        <v>23</v>
      </c>
      <c r="X9" s="64"/>
      <c r="Y9" s="274"/>
      <c r="Z9" s="7"/>
      <c r="AA9" s="395"/>
      <c r="AB9" s="7"/>
      <c r="AC9" s="7"/>
      <c r="AD9" s="274"/>
      <c r="AE9" s="222"/>
      <c r="AF9" s="7" t="s">
        <v>23</v>
      </c>
      <c r="AG9" s="64"/>
      <c r="AH9" s="274"/>
      <c r="AI9" s="7"/>
      <c r="AJ9" s="395"/>
      <c r="AK9" s="7"/>
      <c r="AL9" s="7"/>
      <c r="AM9" s="274"/>
      <c r="AN9" s="222"/>
      <c r="AO9" s="7" t="s">
        <v>23</v>
      </c>
      <c r="AP9" s="7"/>
    </row>
    <row r="10" spans="1:42">
      <c r="A10" s="7"/>
      <c r="B10" s="7"/>
      <c r="C10" s="7"/>
      <c r="D10" s="7"/>
      <c r="E10" s="7"/>
      <c r="F10" s="396"/>
      <c r="G10" s="201"/>
      <c r="H10" s="397"/>
      <c r="I10" s="201"/>
      <c r="J10" s="397"/>
      <c r="K10" s="398"/>
      <c r="L10" s="399"/>
      <c r="M10" s="400" t="s">
        <v>324</v>
      </c>
      <c r="N10" s="401"/>
      <c r="O10" s="396"/>
      <c r="P10" s="201"/>
      <c r="Q10" s="397"/>
      <c r="R10" s="201"/>
      <c r="S10" s="397"/>
      <c r="T10" s="398"/>
      <c r="U10" s="399"/>
      <c r="V10" s="400" t="s">
        <v>324</v>
      </c>
      <c r="W10" s="401"/>
      <c r="X10" s="396"/>
      <c r="Y10" s="201"/>
      <c r="Z10" s="397"/>
      <c r="AA10" s="201"/>
      <c r="AB10" s="397"/>
      <c r="AC10" s="398"/>
      <c r="AD10" s="399"/>
      <c r="AE10" s="400" t="s">
        <v>324</v>
      </c>
      <c r="AF10" s="401"/>
      <c r="AG10" s="396"/>
      <c r="AH10" s="201"/>
      <c r="AI10" s="397"/>
      <c r="AJ10" s="201"/>
      <c r="AK10" s="397"/>
      <c r="AL10" s="398"/>
      <c r="AM10" s="399"/>
      <c r="AN10" s="400" t="s">
        <v>324</v>
      </c>
      <c r="AO10" s="401"/>
      <c r="AP10" s="7"/>
    </row>
    <row r="11" spans="1:42">
      <c r="A11" s="7"/>
      <c r="B11" s="7"/>
      <c r="C11" s="7"/>
      <c r="D11" s="7"/>
      <c r="E11" s="7"/>
      <c r="F11" s="287"/>
      <c r="G11" s="49"/>
      <c r="H11" s="402" t="s">
        <v>325</v>
      </c>
      <c r="I11" s="403" t="s">
        <v>326</v>
      </c>
      <c r="J11" s="402" t="s">
        <v>327</v>
      </c>
      <c r="K11" s="404" t="s">
        <v>39</v>
      </c>
      <c r="L11" s="405" t="s">
        <v>327</v>
      </c>
      <c r="M11" s="406" t="s">
        <v>328</v>
      </c>
      <c r="N11" s="407" t="s">
        <v>288</v>
      </c>
      <c r="O11" s="287"/>
      <c r="P11" s="49"/>
      <c r="Q11" s="402" t="s">
        <v>325</v>
      </c>
      <c r="R11" s="49" t="s">
        <v>329</v>
      </c>
      <c r="S11" s="402" t="s">
        <v>327</v>
      </c>
      <c r="T11" s="404" t="s">
        <v>39</v>
      </c>
      <c r="U11" s="405" t="s">
        <v>327</v>
      </c>
      <c r="V11" s="406" t="s">
        <v>328</v>
      </c>
      <c r="W11" s="407" t="s">
        <v>288</v>
      </c>
      <c r="X11" s="287"/>
      <c r="Y11" s="49"/>
      <c r="Z11" s="402" t="s">
        <v>325</v>
      </c>
      <c r="AA11" s="49" t="s">
        <v>329</v>
      </c>
      <c r="AB11" s="402" t="s">
        <v>327</v>
      </c>
      <c r="AC11" s="404" t="s">
        <v>39</v>
      </c>
      <c r="AD11" s="405" t="s">
        <v>327</v>
      </c>
      <c r="AE11" s="406" t="s">
        <v>328</v>
      </c>
      <c r="AF11" s="407" t="s">
        <v>288</v>
      </c>
      <c r="AG11" s="287"/>
      <c r="AH11" s="49"/>
      <c r="AI11" s="402" t="s">
        <v>325</v>
      </c>
      <c r="AJ11" s="49" t="s">
        <v>329</v>
      </c>
      <c r="AK11" s="402" t="s">
        <v>327</v>
      </c>
      <c r="AL11" s="404" t="s">
        <v>39</v>
      </c>
      <c r="AM11" s="405" t="s">
        <v>327</v>
      </c>
      <c r="AN11" s="406" t="s">
        <v>328</v>
      </c>
      <c r="AO11" s="407" t="s">
        <v>288</v>
      </c>
      <c r="AP11" s="7"/>
    </row>
    <row r="12" spans="1:42">
      <c r="A12" s="7"/>
      <c r="B12" s="7"/>
      <c r="C12" s="7"/>
      <c r="D12" s="7"/>
      <c r="E12" s="7"/>
      <c r="F12" s="309" t="s">
        <v>330</v>
      </c>
      <c r="G12" s="51" t="s">
        <v>331</v>
      </c>
      <c r="H12" s="408" t="s">
        <v>288</v>
      </c>
      <c r="I12" s="409">
        <v>0.95</v>
      </c>
      <c r="J12" s="408" t="s">
        <v>332</v>
      </c>
      <c r="K12" s="410" t="s">
        <v>333</v>
      </c>
      <c r="L12" s="411" t="s">
        <v>332</v>
      </c>
      <c r="M12" s="412">
        <f>'Admin Fee'!D15</f>
        <v>0</v>
      </c>
      <c r="N12" s="413" t="s">
        <v>334</v>
      </c>
      <c r="O12" s="309" t="s">
        <v>330</v>
      </c>
      <c r="P12" s="51" t="s">
        <v>331</v>
      </c>
      <c r="Q12" s="408" t="s">
        <v>288</v>
      </c>
      <c r="R12" s="51" t="s">
        <v>335</v>
      </c>
      <c r="S12" s="408" t="s">
        <v>332</v>
      </c>
      <c r="T12" s="410" t="s">
        <v>333</v>
      </c>
      <c r="U12" s="411" t="s">
        <v>332</v>
      </c>
      <c r="V12" s="412">
        <f>'Admin Fee'!D16</f>
        <v>0</v>
      </c>
      <c r="W12" s="413" t="s">
        <v>334</v>
      </c>
      <c r="X12" s="309" t="s">
        <v>330</v>
      </c>
      <c r="Y12" s="51" t="s">
        <v>331</v>
      </c>
      <c r="Z12" s="408" t="s">
        <v>288</v>
      </c>
      <c r="AA12" s="51" t="s">
        <v>335</v>
      </c>
      <c r="AB12" s="408" t="s">
        <v>332</v>
      </c>
      <c r="AC12" s="410" t="s">
        <v>333</v>
      </c>
      <c r="AD12" s="411" t="s">
        <v>332</v>
      </c>
      <c r="AE12" s="412">
        <f>'Admin Fee'!M16</f>
        <v>0</v>
      </c>
      <c r="AF12" s="413" t="s">
        <v>334</v>
      </c>
      <c r="AG12" s="309" t="s">
        <v>330</v>
      </c>
      <c r="AH12" s="51" t="s">
        <v>331</v>
      </c>
      <c r="AI12" s="408" t="s">
        <v>288</v>
      </c>
      <c r="AJ12" s="51" t="s">
        <v>335</v>
      </c>
      <c r="AK12" s="408" t="s">
        <v>332</v>
      </c>
      <c r="AL12" s="410" t="s">
        <v>333</v>
      </c>
      <c r="AM12" s="411" t="s">
        <v>332</v>
      </c>
      <c r="AN12" s="412">
        <f>'Admin Fee'!V16</f>
        <v>0</v>
      </c>
      <c r="AO12" s="413" t="s">
        <v>334</v>
      </c>
      <c r="AP12" s="7"/>
    </row>
    <row r="13" spans="1:42">
      <c r="A13" s="7"/>
      <c r="B13" s="7"/>
      <c r="C13" s="7"/>
      <c r="D13" s="7"/>
      <c r="E13" s="7"/>
      <c r="F13" s="191"/>
      <c r="G13" s="191"/>
      <c r="H13" s="191"/>
      <c r="I13" s="191"/>
      <c r="J13" s="191"/>
      <c r="K13" s="414"/>
      <c r="L13" s="415"/>
      <c r="M13" s="415"/>
      <c r="N13" s="415"/>
      <c r="O13" s="191"/>
      <c r="P13" s="191"/>
      <c r="Q13" s="191"/>
      <c r="R13" s="191"/>
      <c r="S13" s="191"/>
      <c r="T13" s="414"/>
      <c r="U13" s="415"/>
      <c r="V13" s="415"/>
      <c r="W13" s="415"/>
      <c r="X13" s="191"/>
      <c r="Y13" s="191"/>
      <c r="Z13" s="191"/>
      <c r="AA13" s="191"/>
      <c r="AB13" s="191"/>
      <c r="AC13" s="414"/>
      <c r="AD13" s="415"/>
      <c r="AE13" s="415"/>
      <c r="AF13" s="415"/>
      <c r="AG13" s="191"/>
      <c r="AH13" s="191"/>
      <c r="AI13" s="191"/>
      <c r="AJ13" s="191"/>
      <c r="AK13" s="191"/>
      <c r="AL13" s="414"/>
      <c r="AM13" s="415"/>
      <c r="AN13" s="415"/>
      <c r="AO13" s="415"/>
      <c r="AP13" s="7"/>
    </row>
    <row r="14" spans="1:42">
      <c r="A14" s="7"/>
      <c r="B14" s="232" t="str">
        <f>Summary!B29</f>
        <v>COMMON AREA EXPENSES</v>
      </c>
      <c r="C14" s="191"/>
      <c r="D14" s="191" t="s">
        <v>336</v>
      </c>
      <c r="E14" s="191"/>
      <c r="F14" s="64"/>
      <c r="G14" s="57" t="str">
        <f>'CAM TENANTS'!$B$14</f>
        <v>COMMON AREA EXPENSES</v>
      </c>
      <c r="H14" s="334"/>
      <c r="I14" s="416"/>
      <c r="J14" s="334"/>
      <c r="K14" s="222"/>
      <c r="L14" s="415"/>
      <c r="M14" s="415"/>
      <c r="N14" s="415"/>
      <c r="O14" s="64"/>
      <c r="P14" s="57" t="str">
        <f>'CAM TENANTS'!$B$14</f>
        <v>COMMON AREA EXPENSES</v>
      </c>
      <c r="Q14" s="334"/>
      <c r="R14" s="416"/>
      <c r="S14" s="334"/>
      <c r="T14" s="222"/>
      <c r="U14" s="415"/>
      <c r="V14" s="415"/>
      <c r="W14" s="415"/>
      <c r="X14" s="64"/>
      <c r="Y14" s="57" t="str">
        <f>'CAM TENANTS'!$B$14</f>
        <v>COMMON AREA EXPENSES</v>
      </c>
      <c r="Z14" s="334"/>
      <c r="AA14" s="416"/>
      <c r="AB14" s="334"/>
      <c r="AC14" s="222"/>
      <c r="AD14" s="415"/>
      <c r="AE14" s="415"/>
      <c r="AF14" s="415"/>
      <c r="AG14" s="64"/>
      <c r="AH14" s="57" t="str">
        <f>'CAM TENANTS'!$B$14</f>
        <v>COMMON AREA EXPENSES</v>
      </c>
      <c r="AI14" s="334"/>
      <c r="AJ14" s="416"/>
      <c r="AK14" s="334"/>
      <c r="AL14" s="222"/>
      <c r="AM14" s="415"/>
      <c r="AN14" s="415"/>
      <c r="AO14" s="415"/>
      <c r="AP14" s="191"/>
    </row>
    <row r="15" spans="1:42">
      <c r="A15" s="64">
        <f>Summary!A31</f>
        <v>50150</v>
      </c>
      <c r="B15" s="211" t="str">
        <f>Summary!B31</f>
        <v>Landscape- Tree Trimming</v>
      </c>
      <c r="C15" s="311">
        <f>Summary!O31</f>
        <v>4000</v>
      </c>
      <c r="D15" s="214">
        <f>Rent!C$23</f>
        <v>12474</v>
      </c>
      <c r="E15" s="214"/>
      <c r="F15" s="64">
        <f>Summary!A31</f>
        <v>50150</v>
      </c>
      <c r="G15" s="7" t="str">
        <f>'CAM TENANTS'!B15</f>
        <v>Landscape- Tree Trimming</v>
      </c>
      <c r="H15" s="417">
        <f>'CAM TENANTS'!C15</f>
        <v>4000</v>
      </c>
      <c r="I15" s="416">
        <f>H15*'Occup,'!$C$28</f>
        <v>6215.7356412273803</v>
      </c>
      <c r="J15" s="334">
        <f t="shared" ref="J15:J38" si="0">IF(I15=0,H15,I15)</f>
        <v>6215.7356412273803</v>
      </c>
      <c r="K15" s="222">
        <f>$H$8/'CAM TENANTS'!D15</f>
        <v>0.45366362033028701</v>
      </c>
      <c r="L15" s="418">
        <f t="shared" ref="L15:L38" si="1">J15*K15</f>
        <v>2819.8531340152113</v>
      </c>
      <c r="M15" s="418">
        <f t="shared" ref="M15:M38" si="2">L15*$M$12</f>
        <v>0</v>
      </c>
      <c r="N15" s="419">
        <f t="shared" ref="N15:N38" si="3">L15+M15</f>
        <v>2819.8531340152113</v>
      </c>
      <c r="O15" s="64">
        <f>'CAM TENANTS'!A15</f>
        <v>50150</v>
      </c>
      <c r="P15" s="211" t="str">
        <f>'CAM TENANTS'!B15</f>
        <v>Landscape- Tree Trimming</v>
      </c>
      <c r="Q15" s="417">
        <f>'CAM TENANTS'!C15</f>
        <v>4000</v>
      </c>
      <c r="R15" s="416">
        <v>0</v>
      </c>
      <c r="S15" s="334">
        <f t="shared" ref="S15:S38" si="4">Q15+R15</f>
        <v>4000</v>
      </c>
      <c r="T15" s="222">
        <f>$Q$8/'CAM TENANTS'!D15</f>
        <v>0.15768799102132436</v>
      </c>
      <c r="U15" s="418">
        <f t="shared" ref="U15:U38" si="5">S15*T15</f>
        <v>630.75196408529746</v>
      </c>
      <c r="V15" s="418">
        <f t="shared" ref="V15:V38" si="6">U15*$V$12</f>
        <v>0</v>
      </c>
      <c r="W15" s="419">
        <f t="shared" ref="W15:W38" si="7">U15+V15</f>
        <v>630.75196408529746</v>
      </c>
      <c r="X15" s="64">
        <f>'CAM TENANTS'!A15</f>
        <v>50150</v>
      </c>
      <c r="Y15" s="211" t="str">
        <f>'CAM TENANTS'!B15</f>
        <v>Landscape- Tree Trimming</v>
      </c>
      <c r="Z15" s="417">
        <f>'CAM TENANTS'!C15</f>
        <v>4000</v>
      </c>
      <c r="AA15" s="416">
        <v>0</v>
      </c>
      <c r="AB15" s="334">
        <f t="shared" ref="AB15:AB38" si="8">Z15+AA15</f>
        <v>4000</v>
      </c>
      <c r="AC15" s="222">
        <f>$Z$8/'CAM TENANTS'!D15</f>
        <v>4.9543049543049542E-2</v>
      </c>
      <c r="AD15" s="418">
        <f t="shared" ref="AD15:AD38" si="9">AB15*AC15</f>
        <v>198.17219817219816</v>
      </c>
      <c r="AE15" s="418">
        <f t="shared" ref="AE15:AE38" si="10">AD15*$V$12</f>
        <v>0</v>
      </c>
      <c r="AF15" s="419">
        <f t="shared" ref="AF15:AF38" si="11">AD15+AE15</f>
        <v>198.17219817219816</v>
      </c>
      <c r="AG15" s="64">
        <f>'CAM TENANTS'!A15</f>
        <v>50150</v>
      </c>
      <c r="AH15" s="211" t="str">
        <f>'CAM TENANTS'!B15</f>
        <v>Landscape- Tree Trimming</v>
      </c>
      <c r="AI15" s="44">
        <f>'CAM TENANTS'!C15</f>
        <v>4000</v>
      </c>
      <c r="AJ15" s="416">
        <v>0</v>
      </c>
      <c r="AK15" s="334">
        <f t="shared" ref="AK15:AK38" si="12">AI15+AJ15</f>
        <v>4000</v>
      </c>
      <c r="AL15" s="222">
        <f>$AI$8/'CAM TENANTS'!D15</f>
        <v>0.33910533910533913</v>
      </c>
      <c r="AM15" s="418">
        <f t="shared" ref="AM15:AM38" si="13">AK15*AL15</f>
        <v>1356.4213564213564</v>
      </c>
      <c r="AN15" s="418">
        <f t="shared" ref="AN15:AN38" si="14">AM15*$V$12</f>
        <v>0</v>
      </c>
      <c r="AO15" s="419">
        <f t="shared" ref="AO15:AO38" si="15">AM15+AN15</f>
        <v>1356.4213564213564</v>
      </c>
      <c r="AP15" s="355"/>
    </row>
    <row r="16" spans="1:42">
      <c r="A16" s="64">
        <f>Summary!A33</f>
        <v>50190</v>
      </c>
      <c r="B16" s="211" t="str">
        <f>Summary!B33</f>
        <v>Sprinkler Repairs</v>
      </c>
      <c r="C16" s="311">
        <f>Summary!O33</f>
        <v>150</v>
      </c>
      <c r="D16" s="214">
        <f>Rent!C$23</f>
        <v>12474</v>
      </c>
      <c r="E16" s="214"/>
      <c r="F16" s="64">
        <f>Summary!A33</f>
        <v>50190</v>
      </c>
      <c r="G16" s="7" t="str">
        <f>'CAM TENANTS'!B16</f>
        <v>Sprinkler Repairs</v>
      </c>
      <c r="H16" s="417">
        <f>'CAM TENANTS'!C16</f>
        <v>150</v>
      </c>
      <c r="I16" s="416">
        <f>H16*'Occup,'!$C$28</f>
        <v>233.09008654602675</v>
      </c>
      <c r="J16" s="334">
        <f t="shared" si="0"/>
        <v>233.09008654602675</v>
      </c>
      <c r="K16" s="222">
        <f>$H$8/'CAM TENANTS'!D16</f>
        <v>0.45366362033028701</v>
      </c>
      <c r="L16" s="418">
        <f t="shared" si="1"/>
        <v>105.74449252557042</v>
      </c>
      <c r="M16" s="418">
        <f t="shared" si="2"/>
        <v>0</v>
      </c>
      <c r="N16" s="419">
        <f t="shared" si="3"/>
        <v>105.74449252557042</v>
      </c>
      <c r="O16" s="64">
        <f>'CAM TENANTS'!A16</f>
        <v>50190</v>
      </c>
      <c r="P16" s="211" t="str">
        <f>'CAM TENANTS'!B16</f>
        <v>Sprinkler Repairs</v>
      </c>
      <c r="Q16" s="417">
        <f>'CAM TENANTS'!C16</f>
        <v>150</v>
      </c>
      <c r="R16" s="416">
        <v>0</v>
      </c>
      <c r="S16" s="334">
        <f t="shared" si="4"/>
        <v>150</v>
      </c>
      <c r="T16" s="222">
        <f>$Q$8/'CAM TENANTS'!D16</f>
        <v>0.15768799102132436</v>
      </c>
      <c r="U16" s="418">
        <f t="shared" si="5"/>
        <v>23.653198653198654</v>
      </c>
      <c r="V16" s="418">
        <f t="shared" si="6"/>
        <v>0</v>
      </c>
      <c r="W16" s="419">
        <f t="shared" si="7"/>
        <v>23.653198653198654</v>
      </c>
      <c r="X16" s="64">
        <f>'CAM TENANTS'!A16</f>
        <v>50190</v>
      </c>
      <c r="Y16" s="211" t="str">
        <f>'CAM TENANTS'!B16</f>
        <v>Sprinkler Repairs</v>
      </c>
      <c r="Z16" s="417">
        <f>'CAM TENANTS'!C16</f>
        <v>150</v>
      </c>
      <c r="AA16" s="416">
        <v>0</v>
      </c>
      <c r="AB16" s="334">
        <f t="shared" si="8"/>
        <v>150</v>
      </c>
      <c r="AC16" s="222">
        <f>$Z$8/'CAM TENANTS'!D16</f>
        <v>4.9543049543049542E-2</v>
      </c>
      <c r="AD16" s="418">
        <f t="shared" si="9"/>
        <v>7.4314574314574315</v>
      </c>
      <c r="AE16" s="418">
        <f t="shared" si="10"/>
        <v>0</v>
      </c>
      <c r="AF16" s="419">
        <f t="shared" si="11"/>
        <v>7.4314574314574315</v>
      </c>
      <c r="AG16" s="64">
        <f>'CAM TENANTS'!A16</f>
        <v>50190</v>
      </c>
      <c r="AH16" s="211" t="str">
        <f>'CAM TENANTS'!B16</f>
        <v>Sprinkler Repairs</v>
      </c>
      <c r="AI16" s="44">
        <f>'CAM TENANTS'!C16</f>
        <v>150</v>
      </c>
      <c r="AJ16" s="416">
        <v>0</v>
      </c>
      <c r="AK16" s="334">
        <f t="shared" si="12"/>
        <v>150</v>
      </c>
      <c r="AL16" s="222">
        <f>$AI$8/'CAM TENANTS'!D16</f>
        <v>0.33910533910533913</v>
      </c>
      <c r="AM16" s="418">
        <f t="shared" si="13"/>
        <v>50.865800865800871</v>
      </c>
      <c r="AN16" s="418">
        <f t="shared" si="14"/>
        <v>0</v>
      </c>
      <c r="AO16" s="419">
        <f t="shared" si="15"/>
        <v>50.865800865800871</v>
      </c>
      <c r="AP16" s="355"/>
    </row>
    <row r="17" spans="1:42">
      <c r="A17" s="64">
        <f>Summary!A34</f>
        <v>50170</v>
      </c>
      <c r="B17" s="211" t="str">
        <f>Summary!B34</f>
        <v>Landscape Maintenance</v>
      </c>
      <c r="C17" s="311">
        <f>Summary!O34</f>
        <v>8112</v>
      </c>
      <c r="D17" s="214">
        <f>Rent!C$23</f>
        <v>12474</v>
      </c>
      <c r="E17" s="214"/>
      <c r="F17" s="64">
        <f>'CAM TENANTS'!A17</f>
        <v>50170</v>
      </c>
      <c r="G17" s="7" t="str">
        <f>'CAM TENANTS'!B17</f>
        <v>Landscape Maintenance</v>
      </c>
      <c r="H17" s="417">
        <f>'CAM TENANTS'!C17</f>
        <v>8112</v>
      </c>
      <c r="I17" s="416">
        <f>H17*'Occup,'!$C$28</f>
        <v>12605.511880409127</v>
      </c>
      <c r="J17" s="334">
        <f t="shared" si="0"/>
        <v>12605.511880409127</v>
      </c>
      <c r="K17" s="222">
        <f>$H$8/'CAM TENANTS'!D17</f>
        <v>0.45366362033028701</v>
      </c>
      <c r="L17" s="418">
        <f t="shared" si="1"/>
        <v>5718.6621557828485</v>
      </c>
      <c r="M17" s="418">
        <f t="shared" si="2"/>
        <v>0</v>
      </c>
      <c r="N17" s="419">
        <f t="shared" si="3"/>
        <v>5718.6621557828485</v>
      </c>
      <c r="O17" s="64">
        <f>'CAM TENANTS'!A17</f>
        <v>50170</v>
      </c>
      <c r="P17" s="211" t="str">
        <f>'CAM TENANTS'!B17</f>
        <v>Landscape Maintenance</v>
      </c>
      <c r="Q17" s="417">
        <f>'CAM TENANTS'!C17</f>
        <v>8112</v>
      </c>
      <c r="R17" s="416">
        <v>0</v>
      </c>
      <c r="S17" s="334">
        <f t="shared" si="4"/>
        <v>8112</v>
      </c>
      <c r="T17" s="222">
        <f>$Q$8/'CAM TENANTS'!D17</f>
        <v>0.15768799102132436</v>
      </c>
      <c r="U17" s="418">
        <f t="shared" si="5"/>
        <v>1279.1649831649831</v>
      </c>
      <c r="V17" s="418">
        <f t="shared" si="6"/>
        <v>0</v>
      </c>
      <c r="W17" s="419">
        <f t="shared" si="7"/>
        <v>1279.1649831649831</v>
      </c>
      <c r="X17" s="64">
        <f>'CAM TENANTS'!A17</f>
        <v>50170</v>
      </c>
      <c r="Y17" s="211" t="str">
        <f>'CAM TENANTS'!B17</f>
        <v>Landscape Maintenance</v>
      </c>
      <c r="Z17" s="417">
        <f>'CAM TENANTS'!C17</f>
        <v>8112</v>
      </c>
      <c r="AA17" s="416">
        <v>0</v>
      </c>
      <c r="AB17" s="334">
        <f t="shared" si="8"/>
        <v>8112</v>
      </c>
      <c r="AC17" s="222">
        <f>$Z$8/'CAM TENANTS'!D17</f>
        <v>4.9543049543049542E-2</v>
      </c>
      <c r="AD17" s="418">
        <f t="shared" si="9"/>
        <v>401.89321789321787</v>
      </c>
      <c r="AE17" s="418">
        <f t="shared" si="10"/>
        <v>0</v>
      </c>
      <c r="AF17" s="419">
        <f t="shared" si="11"/>
        <v>401.89321789321787</v>
      </c>
      <c r="AG17" s="64">
        <f>'CAM TENANTS'!A17</f>
        <v>50170</v>
      </c>
      <c r="AH17" s="211" t="str">
        <f>'CAM TENANTS'!B17</f>
        <v>Landscape Maintenance</v>
      </c>
      <c r="AI17" s="44">
        <f>'CAM TENANTS'!C17</f>
        <v>8112</v>
      </c>
      <c r="AJ17" s="416">
        <v>0</v>
      </c>
      <c r="AK17" s="334">
        <f t="shared" si="12"/>
        <v>8112</v>
      </c>
      <c r="AL17" s="222">
        <f>$AI$8/'CAM TENANTS'!D17</f>
        <v>0.33910533910533913</v>
      </c>
      <c r="AM17" s="418">
        <f t="shared" si="13"/>
        <v>2750.822510822511</v>
      </c>
      <c r="AN17" s="418">
        <f t="shared" si="14"/>
        <v>0</v>
      </c>
      <c r="AO17" s="419">
        <f t="shared" si="15"/>
        <v>2750.822510822511</v>
      </c>
      <c r="AP17" s="355"/>
    </row>
    <row r="18" spans="1:42">
      <c r="A18" s="64">
        <f>Summary!A35</f>
        <v>50510</v>
      </c>
      <c r="B18" s="211" t="str">
        <f>Summary!B35</f>
        <v>Parking Lot Light Maintenance</v>
      </c>
      <c r="C18" s="311">
        <f>Summary!O35</f>
        <v>75</v>
      </c>
      <c r="D18" s="214">
        <f>Rent!C$23</f>
        <v>12474</v>
      </c>
      <c r="E18" s="214"/>
      <c r="F18" s="64">
        <f>'CAM TENANTS'!A18</f>
        <v>50510</v>
      </c>
      <c r="G18" s="7" t="str">
        <f>'CAM TENANTS'!B18</f>
        <v>Parking Lot Light Maintenance</v>
      </c>
      <c r="H18" s="417">
        <f>'CAM TENANTS'!C18</f>
        <v>75</v>
      </c>
      <c r="I18" s="416">
        <f>H18*'Occup,'!$C$28</f>
        <v>116.54504327301338</v>
      </c>
      <c r="J18" s="334">
        <f t="shared" si="0"/>
        <v>116.54504327301338</v>
      </c>
      <c r="K18" s="222">
        <f>$H$8/'CAM TENANTS'!D18</f>
        <v>0.45366362033028701</v>
      </c>
      <c r="L18" s="418">
        <f t="shared" si="1"/>
        <v>52.872246262785211</v>
      </c>
      <c r="M18" s="418">
        <f t="shared" si="2"/>
        <v>0</v>
      </c>
      <c r="N18" s="419">
        <f t="shared" si="3"/>
        <v>52.872246262785211</v>
      </c>
      <c r="O18" s="64">
        <f>'CAM TENANTS'!A18</f>
        <v>50510</v>
      </c>
      <c r="P18" s="211" t="str">
        <f>'CAM TENANTS'!B18</f>
        <v>Parking Lot Light Maintenance</v>
      </c>
      <c r="Q18" s="417">
        <f>'CAM TENANTS'!C18</f>
        <v>75</v>
      </c>
      <c r="R18" s="416">
        <v>0</v>
      </c>
      <c r="S18" s="334">
        <f t="shared" si="4"/>
        <v>75</v>
      </c>
      <c r="T18" s="222">
        <f>$Q$8/'CAM TENANTS'!D18</f>
        <v>0.15768799102132436</v>
      </c>
      <c r="U18" s="418">
        <f t="shared" si="5"/>
        <v>11.826599326599327</v>
      </c>
      <c r="V18" s="418">
        <f t="shared" si="6"/>
        <v>0</v>
      </c>
      <c r="W18" s="419">
        <f t="shared" si="7"/>
        <v>11.826599326599327</v>
      </c>
      <c r="X18" s="64">
        <f>'CAM TENANTS'!A18</f>
        <v>50510</v>
      </c>
      <c r="Y18" s="211" t="str">
        <f>'CAM TENANTS'!B18</f>
        <v>Parking Lot Light Maintenance</v>
      </c>
      <c r="Z18" s="417">
        <f>'CAM TENANTS'!C18</f>
        <v>75</v>
      </c>
      <c r="AA18" s="416">
        <v>0</v>
      </c>
      <c r="AB18" s="334">
        <f t="shared" si="8"/>
        <v>75</v>
      </c>
      <c r="AC18" s="222">
        <f>$Z$8/'CAM TENANTS'!D18</f>
        <v>4.9543049543049542E-2</v>
      </c>
      <c r="AD18" s="418">
        <f t="shared" si="9"/>
        <v>3.7157287157287158</v>
      </c>
      <c r="AE18" s="418">
        <f t="shared" si="10"/>
        <v>0</v>
      </c>
      <c r="AF18" s="419">
        <f t="shared" si="11"/>
        <v>3.7157287157287158</v>
      </c>
      <c r="AG18" s="64">
        <f>'CAM TENANTS'!A18</f>
        <v>50510</v>
      </c>
      <c r="AH18" s="211" t="str">
        <f>'CAM TENANTS'!B18</f>
        <v>Parking Lot Light Maintenance</v>
      </c>
      <c r="AI18" s="44">
        <f>'CAM TENANTS'!C18</f>
        <v>75</v>
      </c>
      <c r="AJ18" s="416">
        <v>0</v>
      </c>
      <c r="AK18" s="334">
        <f t="shared" si="12"/>
        <v>75</v>
      </c>
      <c r="AL18" s="222">
        <f>$AI$8/'CAM TENANTS'!D18</f>
        <v>0.33910533910533913</v>
      </c>
      <c r="AM18" s="418">
        <f t="shared" si="13"/>
        <v>25.432900432900436</v>
      </c>
      <c r="AN18" s="418">
        <f t="shared" si="14"/>
        <v>0</v>
      </c>
      <c r="AO18" s="419">
        <f t="shared" si="15"/>
        <v>25.432900432900436</v>
      </c>
      <c r="AP18" s="214"/>
    </row>
    <row r="19" spans="1:42">
      <c r="A19" s="64">
        <f>Summary!A36</f>
        <v>50540</v>
      </c>
      <c r="B19" s="211" t="str">
        <f>Summary!B36</f>
        <v>Parking Lot Repairs</v>
      </c>
      <c r="C19" s="311">
        <f>Summary!O36</f>
        <v>0</v>
      </c>
      <c r="D19" s="214">
        <f>Rent!C$23</f>
        <v>12474</v>
      </c>
      <c r="E19" s="214"/>
      <c r="F19" s="64">
        <f>'CAM TENANTS'!A19</f>
        <v>50540</v>
      </c>
      <c r="G19" s="7" t="str">
        <f>'CAM TENANTS'!B19</f>
        <v>Parking Lot Repairs</v>
      </c>
      <c r="H19" s="417">
        <f>'CAM TENANTS'!C19</f>
        <v>0</v>
      </c>
      <c r="I19" s="416">
        <f>H19*'Occup,'!$C$28</f>
        <v>0</v>
      </c>
      <c r="J19" s="334">
        <f t="shared" si="0"/>
        <v>0</v>
      </c>
      <c r="K19" s="222">
        <f>$H$8/'CAM TENANTS'!D19</f>
        <v>0.45366362033028701</v>
      </c>
      <c r="L19" s="418">
        <f t="shared" si="1"/>
        <v>0</v>
      </c>
      <c r="M19" s="418">
        <f t="shared" si="2"/>
        <v>0</v>
      </c>
      <c r="N19" s="419">
        <f t="shared" si="3"/>
        <v>0</v>
      </c>
      <c r="O19" s="64">
        <f>'CAM TENANTS'!A19</f>
        <v>50540</v>
      </c>
      <c r="P19" s="211" t="str">
        <f>'CAM TENANTS'!B19</f>
        <v>Parking Lot Repairs</v>
      </c>
      <c r="Q19" s="417">
        <f>'CAM TENANTS'!C19</f>
        <v>0</v>
      </c>
      <c r="R19" s="416">
        <v>0</v>
      </c>
      <c r="S19" s="334">
        <f t="shared" si="4"/>
        <v>0</v>
      </c>
      <c r="T19" s="222">
        <f>$Q$8/'CAM TENANTS'!D19</f>
        <v>0.15768799102132436</v>
      </c>
      <c r="U19" s="418">
        <f t="shared" si="5"/>
        <v>0</v>
      </c>
      <c r="V19" s="418">
        <f t="shared" si="6"/>
        <v>0</v>
      </c>
      <c r="W19" s="419">
        <f t="shared" si="7"/>
        <v>0</v>
      </c>
      <c r="X19" s="64">
        <f>'CAM TENANTS'!A19</f>
        <v>50540</v>
      </c>
      <c r="Y19" s="211" t="str">
        <f>'CAM TENANTS'!B19</f>
        <v>Parking Lot Repairs</v>
      </c>
      <c r="Z19" s="417">
        <f>'CAM TENANTS'!C19</f>
        <v>0</v>
      </c>
      <c r="AA19" s="416">
        <v>0</v>
      </c>
      <c r="AB19" s="334">
        <f t="shared" si="8"/>
        <v>0</v>
      </c>
      <c r="AC19" s="222">
        <f>$Z$8/'CAM TENANTS'!D19</f>
        <v>4.9543049543049542E-2</v>
      </c>
      <c r="AD19" s="418">
        <f t="shared" si="9"/>
        <v>0</v>
      </c>
      <c r="AE19" s="418">
        <f t="shared" si="10"/>
        <v>0</v>
      </c>
      <c r="AF19" s="419">
        <f t="shared" si="11"/>
        <v>0</v>
      </c>
      <c r="AG19" s="64">
        <f>'CAM TENANTS'!A19</f>
        <v>50540</v>
      </c>
      <c r="AH19" s="211" t="str">
        <f>'CAM TENANTS'!B19</f>
        <v>Parking Lot Repairs</v>
      </c>
      <c r="AI19" s="44">
        <f>'CAM TENANTS'!C19</f>
        <v>0</v>
      </c>
      <c r="AJ19" s="416">
        <v>0</v>
      </c>
      <c r="AK19" s="334">
        <f t="shared" si="12"/>
        <v>0</v>
      </c>
      <c r="AL19" s="222">
        <f>$AI$8/'CAM TENANTS'!D19</f>
        <v>0.33910533910533913</v>
      </c>
      <c r="AM19" s="418">
        <f t="shared" si="13"/>
        <v>0</v>
      </c>
      <c r="AN19" s="418">
        <f t="shared" si="14"/>
        <v>0</v>
      </c>
      <c r="AO19" s="419">
        <f t="shared" si="15"/>
        <v>0</v>
      </c>
      <c r="AP19" s="214"/>
    </row>
    <row r="20" spans="1:42">
      <c r="A20" s="64">
        <f>Summary!A38</f>
        <v>50530</v>
      </c>
      <c r="B20" s="211" t="str">
        <f>Summary!B38</f>
        <v>Parking Lot Light Repairs</v>
      </c>
      <c r="C20" s="311">
        <f>Summary!O38</f>
        <v>900</v>
      </c>
      <c r="D20" s="214">
        <f>Rent!C$23</f>
        <v>12474</v>
      </c>
      <c r="E20" s="214"/>
      <c r="F20" s="64">
        <f>'CAM TENANTS'!A20</f>
        <v>50530</v>
      </c>
      <c r="G20" s="7" t="str">
        <f>'CAM TENANTS'!B20</f>
        <v>Parking Lot Light Repairs</v>
      </c>
      <c r="H20" s="417">
        <f>'CAM TENANTS'!C20</f>
        <v>900</v>
      </c>
      <c r="I20" s="416">
        <f>H20*'Occup,'!$C$28</f>
        <v>1398.5405192761605</v>
      </c>
      <c r="J20" s="334">
        <f t="shared" si="0"/>
        <v>1398.5405192761605</v>
      </c>
      <c r="K20" s="222">
        <f>$H$8/'CAM TENANTS'!D20</f>
        <v>0.45366362033028701</v>
      </c>
      <c r="L20" s="418">
        <f t="shared" si="1"/>
        <v>634.46695515342253</v>
      </c>
      <c r="M20" s="418">
        <f t="shared" si="2"/>
        <v>0</v>
      </c>
      <c r="N20" s="419">
        <f t="shared" si="3"/>
        <v>634.46695515342253</v>
      </c>
      <c r="O20" s="64">
        <f>'CAM TENANTS'!A20</f>
        <v>50530</v>
      </c>
      <c r="P20" s="211" t="str">
        <f>'CAM TENANTS'!B20</f>
        <v>Parking Lot Light Repairs</v>
      </c>
      <c r="Q20" s="417">
        <f>'CAM TENANTS'!C20</f>
        <v>900</v>
      </c>
      <c r="R20" s="416">
        <v>0</v>
      </c>
      <c r="S20" s="334">
        <f t="shared" si="4"/>
        <v>900</v>
      </c>
      <c r="T20" s="222">
        <f>$Q$8/'CAM TENANTS'!D20</f>
        <v>0.15768799102132436</v>
      </c>
      <c r="U20" s="418">
        <f t="shared" si="5"/>
        <v>141.91919191919192</v>
      </c>
      <c r="V20" s="418">
        <f t="shared" si="6"/>
        <v>0</v>
      </c>
      <c r="W20" s="419">
        <f t="shared" si="7"/>
        <v>141.91919191919192</v>
      </c>
      <c r="X20" s="64">
        <f>'CAM TENANTS'!A20</f>
        <v>50530</v>
      </c>
      <c r="Y20" s="211" t="str">
        <f>'CAM TENANTS'!B20</f>
        <v>Parking Lot Light Repairs</v>
      </c>
      <c r="Z20" s="417">
        <f>'CAM TENANTS'!C20</f>
        <v>900</v>
      </c>
      <c r="AA20" s="416">
        <v>0</v>
      </c>
      <c r="AB20" s="334">
        <f t="shared" si="8"/>
        <v>900</v>
      </c>
      <c r="AC20" s="222">
        <f>$Z$8/'CAM TENANTS'!D20</f>
        <v>4.9543049543049542E-2</v>
      </c>
      <c r="AD20" s="418">
        <f t="shared" si="9"/>
        <v>44.588744588744589</v>
      </c>
      <c r="AE20" s="418">
        <f t="shared" si="10"/>
        <v>0</v>
      </c>
      <c r="AF20" s="419">
        <f t="shared" si="11"/>
        <v>44.588744588744589</v>
      </c>
      <c r="AG20" s="64">
        <f>'CAM TENANTS'!A20</f>
        <v>50530</v>
      </c>
      <c r="AH20" s="211" t="str">
        <f>'CAM TENANTS'!B20</f>
        <v>Parking Lot Light Repairs</v>
      </c>
      <c r="AI20" s="44">
        <f>'CAM TENANTS'!C20</f>
        <v>900</v>
      </c>
      <c r="AJ20" s="416">
        <v>0</v>
      </c>
      <c r="AK20" s="334">
        <f t="shared" si="12"/>
        <v>900</v>
      </c>
      <c r="AL20" s="222">
        <f>$AI$8/'CAM TENANTS'!D20</f>
        <v>0.33910533910533913</v>
      </c>
      <c r="AM20" s="418">
        <f t="shared" si="13"/>
        <v>305.19480519480521</v>
      </c>
      <c r="AN20" s="418">
        <f t="shared" si="14"/>
        <v>0</v>
      </c>
      <c r="AO20" s="419">
        <f t="shared" si="15"/>
        <v>305.19480519480521</v>
      </c>
      <c r="AP20" s="214"/>
    </row>
    <row r="21" spans="1:42">
      <c r="A21" s="64">
        <f>Summary!A40</f>
        <v>51020</v>
      </c>
      <c r="B21" s="211" t="str">
        <f>Summary!B40</f>
        <v>General Maintenance</v>
      </c>
      <c r="C21" s="311">
        <f>Summary!O40</f>
        <v>1100</v>
      </c>
      <c r="D21" s="214">
        <f>Rent!C$23</f>
        <v>12474</v>
      </c>
      <c r="E21" s="214"/>
      <c r="F21" s="64">
        <f>'CAM TENANTS'!A21</f>
        <v>51020</v>
      </c>
      <c r="G21" s="7" t="str">
        <f>'CAM TENANTS'!B21</f>
        <v>General Maintenance</v>
      </c>
      <c r="H21" s="417">
        <f>'CAM TENANTS'!C21</f>
        <v>1100</v>
      </c>
      <c r="I21" s="416">
        <f>H21*'Occup,'!$C$28</f>
        <v>1709.3273013375294</v>
      </c>
      <c r="J21" s="334">
        <f t="shared" si="0"/>
        <v>1709.3273013375294</v>
      </c>
      <c r="K21" s="222">
        <f>$H$8/'CAM TENANTS'!D21</f>
        <v>0.45366362033028701</v>
      </c>
      <c r="L21" s="418">
        <f t="shared" si="1"/>
        <v>775.45961185418309</v>
      </c>
      <c r="M21" s="418">
        <f t="shared" si="2"/>
        <v>0</v>
      </c>
      <c r="N21" s="419">
        <f t="shared" si="3"/>
        <v>775.45961185418309</v>
      </c>
      <c r="O21" s="64">
        <f>'CAM TENANTS'!A21</f>
        <v>51020</v>
      </c>
      <c r="P21" s="211" t="str">
        <f>'CAM TENANTS'!B21</f>
        <v>General Maintenance</v>
      </c>
      <c r="Q21" s="417">
        <f>'CAM TENANTS'!C21</f>
        <v>1100</v>
      </c>
      <c r="R21" s="416">
        <v>0</v>
      </c>
      <c r="S21" s="334">
        <f t="shared" si="4"/>
        <v>1100</v>
      </c>
      <c r="T21" s="222">
        <f>$Q$8/'CAM TENANTS'!D21</f>
        <v>0.15768799102132436</v>
      </c>
      <c r="U21" s="418">
        <f t="shared" si="5"/>
        <v>173.45679012345678</v>
      </c>
      <c r="V21" s="418">
        <f t="shared" si="6"/>
        <v>0</v>
      </c>
      <c r="W21" s="419">
        <f t="shared" si="7"/>
        <v>173.45679012345678</v>
      </c>
      <c r="X21" s="64">
        <f>'CAM TENANTS'!A21</f>
        <v>51020</v>
      </c>
      <c r="Y21" s="211" t="str">
        <f>'CAM TENANTS'!B21</f>
        <v>General Maintenance</v>
      </c>
      <c r="Z21" s="417">
        <f>'CAM TENANTS'!C21</f>
        <v>1100</v>
      </c>
      <c r="AA21" s="416">
        <v>0</v>
      </c>
      <c r="AB21" s="334">
        <f t="shared" si="8"/>
        <v>1100</v>
      </c>
      <c r="AC21" s="222">
        <f>$Z$8/'CAM TENANTS'!D21</f>
        <v>4.9543049543049542E-2</v>
      </c>
      <c r="AD21" s="418">
        <f t="shared" si="9"/>
        <v>54.497354497354493</v>
      </c>
      <c r="AE21" s="418">
        <f t="shared" si="10"/>
        <v>0</v>
      </c>
      <c r="AF21" s="419">
        <f t="shared" si="11"/>
        <v>54.497354497354493</v>
      </c>
      <c r="AG21" s="64">
        <f>'CAM TENANTS'!A21</f>
        <v>51020</v>
      </c>
      <c r="AH21" s="211" t="str">
        <f>'CAM TENANTS'!B21</f>
        <v>General Maintenance</v>
      </c>
      <c r="AI21" s="44">
        <f>'CAM TENANTS'!C21</f>
        <v>1100</v>
      </c>
      <c r="AJ21" s="416">
        <v>0</v>
      </c>
      <c r="AK21" s="334">
        <f t="shared" si="12"/>
        <v>1100</v>
      </c>
      <c r="AL21" s="222">
        <f>$AI$8/'CAM TENANTS'!D21</f>
        <v>0.33910533910533913</v>
      </c>
      <c r="AM21" s="418">
        <f t="shared" si="13"/>
        <v>373.01587301587307</v>
      </c>
      <c r="AN21" s="418">
        <f t="shared" si="14"/>
        <v>0</v>
      </c>
      <c r="AO21" s="419">
        <f t="shared" si="15"/>
        <v>373.01587301587307</v>
      </c>
      <c r="AP21" s="214"/>
    </row>
    <row r="22" spans="1:42">
      <c r="A22" s="64">
        <f>Summary!A41</f>
        <v>51040</v>
      </c>
      <c r="B22" s="211" t="str">
        <f>Summary!B41</f>
        <v>Janitorial</v>
      </c>
      <c r="C22" s="311">
        <f>Summary!O41</f>
        <v>7800</v>
      </c>
      <c r="D22" s="214">
        <f>Rent!C$23</f>
        <v>12474</v>
      </c>
      <c r="E22" s="214"/>
      <c r="F22" s="64">
        <f>'CAM TENANTS'!A22</f>
        <v>51040</v>
      </c>
      <c r="G22" s="7" t="str">
        <f>'CAM TENANTS'!B22</f>
        <v>Janitorial</v>
      </c>
      <c r="H22" s="417">
        <f>'CAM TENANTS'!C22</f>
        <v>7800</v>
      </c>
      <c r="I22" s="416">
        <f>H22*'Occup,'!$C$28</f>
        <v>12120.68450039339</v>
      </c>
      <c r="J22" s="334">
        <f t="shared" si="0"/>
        <v>12120.68450039339</v>
      </c>
      <c r="K22" s="222">
        <f>$H$8/'CAM TENANTS'!D22</f>
        <v>0.45366362033028701</v>
      </c>
      <c r="L22" s="418">
        <f t="shared" si="1"/>
        <v>5498.7136113296619</v>
      </c>
      <c r="M22" s="418">
        <f t="shared" si="2"/>
        <v>0</v>
      </c>
      <c r="N22" s="419">
        <f t="shared" si="3"/>
        <v>5498.7136113296619</v>
      </c>
      <c r="O22" s="64">
        <f>'CAM TENANTS'!A22</f>
        <v>51040</v>
      </c>
      <c r="P22" s="211" t="str">
        <f>'CAM TENANTS'!B22</f>
        <v>Janitorial</v>
      </c>
      <c r="Q22" s="417">
        <f>'CAM TENANTS'!C22</f>
        <v>7800</v>
      </c>
      <c r="R22" s="416">
        <v>0</v>
      </c>
      <c r="S22" s="334">
        <f t="shared" si="4"/>
        <v>7800</v>
      </c>
      <c r="T22" s="222">
        <f>$Q$8/'CAM TENANTS'!D22</f>
        <v>0.15768799102132436</v>
      </c>
      <c r="U22" s="418">
        <f t="shared" si="5"/>
        <v>1229.96632996633</v>
      </c>
      <c r="V22" s="418">
        <f t="shared" si="6"/>
        <v>0</v>
      </c>
      <c r="W22" s="419">
        <f t="shared" si="7"/>
        <v>1229.96632996633</v>
      </c>
      <c r="X22" s="64">
        <f>'CAM TENANTS'!A22</f>
        <v>51040</v>
      </c>
      <c r="Y22" s="211" t="str">
        <f>'CAM TENANTS'!B22</f>
        <v>Janitorial</v>
      </c>
      <c r="Z22" s="417">
        <f>'CAM TENANTS'!C22</f>
        <v>7800</v>
      </c>
      <c r="AA22" s="416">
        <v>0</v>
      </c>
      <c r="AB22" s="334">
        <f t="shared" si="8"/>
        <v>7800</v>
      </c>
      <c r="AC22" s="222">
        <f>$Z$8/'CAM TENANTS'!D22</f>
        <v>4.9543049543049542E-2</v>
      </c>
      <c r="AD22" s="418">
        <f t="shared" si="9"/>
        <v>386.43578643578644</v>
      </c>
      <c r="AE22" s="418">
        <f t="shared" si="10"/>
        <v>0</v>
      </c>
      <c r="AF22" s="419">
        <f t="shared" si="11"/>
        <v>386.43578643578644</v>
      </c>
      <c r="AG22" s="64">
        <f>'CAM TENANTS'!A22</f>
        <v>51040</v>
      </c>
      <c r="AH22" s="211" t="str">
        <f>'CAM TENANTS'!B22</f>
        <v>Janitorial</v>
      </c>
      <c r="AI22" s="44">
        <f>'CAM TENANTS'!C22</f>
        <v>7800</v>
      </c>
      <c r="AJ22" s="416">
        <v>0</v>
      </c>
      <c r="AK22" s="334">
        <f t="shared" si="12"/>
        <v>7800</v>
      </c>
      <c r="AL22" s="222">
        <f>$AI$8/'CAM TENANTS'!D22</f>
        <v>0.33910533910533913</v>
      </c>
      <c r="AM22" s="418">
        <f t="shared" si="13"/>
        <v>2645.0216450216453</v>
      </c>
      <c r="AN22" s="418">
        <f t="shared" si="14"/>
        <v>0</v>
      </c>
      <c r="AO22" s="419">
        <f t="shared" si="15"/>
        <v>2645.0216450216453</v>
      </c>
      <c r="AP22" s="214"/>
    </row>
    <row r="23" spans="1:42">
      <c r="A23" s="64">
        <f>Summary!A42</f>
        <v>52010</v>
      </c>
      <c r="B23" s="211" t="str">
        <f>Summary!B42</f>
        <v>Janitorial Supplies</v>
      </c>
      <c r="C23" s="311">
        <f>Summary!O42</f>
        <v>300</v>
      </c>
      <c r="D23" s="214">
        <f>Rent!C$23</f>
        <v>12474</v>
      </c>
      <c r="E23" s="214"/>
      <c r="F23" s="64">
        <f>'CAM TENANTS'!A23</f>
        <v>52010</v>
      </c>
      <c r="G23" s="7" t="str">
        <f>'CAM TENANTS'!B23</f>
        <v>Janitorial Supplies</v>
      </c>
      <c r="H23" s="417">
        <f>'CAM TENANTS'!C23</f>
        <v>300</v>
      </c>
      <c r="I23" s="416">
        <f>H23*'Occup,'!$C$28</f>
        <v>466.18017309205351</v>
      </c>
      <c r="J23" s="334">
        <f t="shared" si="0"/>
        <v>466.18017309205351</v>
      </c>
      <c r="K23" s="222">
        <f>$H$8/'CAM TENANTS'!D23</f>
        <v>0.45366362033028701</v>
      </c>
      <c r="L23" s="418">
        <f t="shared" si="1"/>
        <v>211.48898505114084</v>
      </c>
      <c r="M23" s="418">
        <f t="shared" si="2"/>
        <v>0</v>
      </c>
      <c r="N23" s="419">
        <f t="shared" si="3"/>
        <v>211.48898505114084</v>
      </c>
      <c r="O23" s="64">
        <f>'CAM TENANTS'!A23</f>
        <v>52010</v>
      </c>
      <c r="P23" s="211" t="str">
        <f>'CAM TENANTS'!B23</f>
        <v>Janitorial Supplies</v>
      </c>
      <c r="Q23" s="417">
        <f>'CAM TENANTS'!C23</f>
        <v>300</v>
      </c>
      <c r="R23" s="416">
        <v>0</v>
      </c>
      <c r="S23" s="334">
        <f t="shared" si="4"/>
        <v>300</v>
      </c>
      <c r="T23" s="222">
        <f>$Q$8/'CAM TENANTS'!D23</f>
        <v>0.15768799102132436</v>
      </c>
      <c r="U23" s="418">
        <f t="shared" si="5"/>
        <v>47.306397306397308</v>
      </c>
      <c r="V23" s="418">
        <f t="shared" si="6"/>
        <v>0</v>
      </c>
      <c r="W23" s="419">
        <f t="shared" si="7"/>
        <v>47.306397306397308</v>
      </c>
      <c r="X23" s="64">
        <f>'CAM TENANTS'!A23</f>
        <v>52010</v>
      </c>
      <c r="Y23" s="211" t="str">
        <f>'CAM TENANTS'!B23</f>
        <v>Janitorial Supplies</v>
      </c>
      <c r="Z23" s="417">
        <f>'CAM TENANTS'!C23</f>
        <v>300</v>
      </c>
      <c r="AA23" s="416">
        <v>0</v>
      </c>
      <c r="AB23" s="334">
        <f t="shared" si="8"/>
        <v>300</v>
      </c>
      <c r="AC23" s="222">
        <f>$Z$8/'CAM TENANTS'!D23</f>
        <v>4.9543049543049542E-2</v>
      </c>
      <c r="AD23" s="418">
        <f t="shared" si="9"/>
        <v>14.862914862914863</v>
      </c>
      <c r="AE23" s="418">
        <f t="shared" si="10"/>
        <v>0</v>
      </c>
      <c r="AF23" s="419">
        <f t="shared" si="11"/>
        <v>14.862914862914863</v>
      </c>
      <c r="AG23" s="64">
        <f>'CAM TENANTS'!A23</f>
        <v>52010</v>
      </c>
      <c r="AH23" s="211" t="str">
        <f>'CAM TENANTS'!B23</f>
        <v>Janitorial Supplies</v>
      </c>
      <c r="AI23" s="44">
        <f>'CAM TENANTS'!C23</f>
        <v>300</v>
      </c>
      <c r="AJ23" s="416">
        <v>0</v>
      </c>
      <c r="AK23" s="334">
        <f t="shared" si="12"/>
        <v>300</v>
      </c>
      <c r="AL23" s="222">
        <f>$AI$8/'CAM TENANTS'!D23</f>
        <v>0.33910533910533913</v>
      </c>
      <c r="AM23" s="418">
        <f t="shared" si="13"/>
        <v>101.73160173160174</v>
      </c>
      <c r="AN23" s="418">
        <f t="shared" si="14"/>
        <v>0</v>
      </c>
      <c r="AO23" s="419">
        <f t="shared" si="15"/>
        <v>101.73160173160174</v>
      </c>
      <c r="AP23" s="214"/>
    </row>
    <row r="24" spans="1:42">
      <c r="A24" s="64">
        <f>Summary!A43</f>
        <v>51050</v>
      </c>
      <c r="B24" s="211" t="str">
        <f>Summary!B43</f>
        <v>Pest Control</v>
      </c>
      <c r="C24" s="311">
        <f>Summary!O43</f>
        <v>1416</v>
      </c>
      <c r="D24" s="214">
        <f>Rent!C$23</f>
        <v>12474</v>
      </c>
      <c r="E24" s="214"/>
      <c r="F24" s="64">
        <f>'CAM TENANTS'!A24</f>
        <v>51050</v>
      </c>
      <c r="G24" s="7" t="str">
        <f>'CAM TENANTS'!B24</f>
        <v>Pest Control</v>
      </c>
      <c r="H24" s="417">
        <f>'CAM TENANTS'!C24</f>
        <v>1416</v>
      </c>
      <c r="I24" s="416">
        <f>H24*'Occup,'!$C$28</f>
        <v>2200.3704169944926</v>
      </c>
      <c r="J24" s="334">
        <f t="shared" si="0"/>
        <v>2200.3704169944926</v>
      </c>
      <c r="K24" s="222">
        <f>$H$8/'CAM TENANTS'!D24</f>
        <v>0.45366362033028701</v>
      </c>
      <c r="L24" s="418">
        <f t="shared" si="1"/>
        <v>998.22800944138487</v>
      </c>
      <c r="M24" s="418">
        <f t="shared" si="2"/>
        <v>0</v>
      </c>
      <c r="N24" s="419">
        <f t="shared" si="3"/>
        <v>998.22800944138487</v>
      </c>
      <c r="O24" s="64">
        <f>'CAM TENANTS'!A24</f>
        <v>51050</v>
      </c>
      <c r="P24" s="211" t="str">
        <f>'CAM TENANTS'!B24</f>
        <v>Pest Control</v>
      </c>
      <c r="Q24" s="417">
        <f>'CAM TENANTS'!C24</f>
        <v>1416</v>
      </c>
      <c r="R24" s="416">
        <v>0</v>
      </c>
      <c r="S24" s="334">
        <f t="shared" si="4"/>
        <v>1416</v>
      </c>
      <c r="T24" s="222">
        <f>$Q$8/'CAM TENANTS'!D24</f>
        <v>0.15768799102132436</v>
      </c>
      <c r="U24" s="418">
        <f t="shared" si="5"/>
        <v>223.28619528619529</v>
      </c>
      <c r="V24" s="418">
        <f t="shared" si="6"/>
        <v>0</v>
      </c>
      <c r="W24" s="419">
        <f t="shared" si="7"/>
        <v>223.28619528619529</v>
      </c>
      <c r="X24" s="64">
        <f>'CAM TENANTS'!A24</f>
        <v>51050</v>
      </c>
      <c r="Y24" s="211" t="str">
        <f>'CAM TENANTS'!B24</f>
        <v>Pest Control</v>
      </c>
      <c r="Z24" s="417">
        <f>'CAM TENANTS'!C24</f>
        <v>1416</v>
      </c>
      <c r="AA24" s="416">
        <v>0</v>
      </c>
      <c r="AB24" s="334">
        <f t="shared" si="8"/>
        <v>1416</v>
      </c>
      <c r="AC24" s="222">
        <f>$Z$8/'CAM TENANTS'!D24</f>
        <v>4.9543049543049542E-2</v>
      </c>
      <c r="AD24" s="418">
        <f t="shared" si="9"/>
        <v>70.152958152958149</v>
      </c>
      <c r="AE24" s="418">
        <f t="shared" si="10"/>
        <v>0</v>
      </c>
      <c r="AF24" s="419">
        <f t="shared" si="11"/>
        <v>70.152958152958149</v>
      </c>
      <c r="AG24" s="64">
        <f>'CAM TENANTS'!A24</f>
        <v>51050</v>
      </c>
      <c r="AH24" s="211" t="str">
        <f>'CAM TENANTS'!B24</f>
        <v>Pest Control</v>
      </c>
      <c r="AI24" s="44">
        <f>'CAM TENANTS'!C24</f>
        <v>1416</v>
      </c>
      <c r="AJ24" s="416">
        <v>0</v>
      </c>
      <c r="AK24" s="334">
        <f t="shared" si="12"/>
        <v>1416</v>
      </c>
      <c r="AL24" s="222">
        <f>$AI$8/'CAM TENANTS'!D24</f>
        <v>0.33910533910533913</v>
      </c>
      <c r="AM24" s="418">
        <f t="shared" si="13"/>
        <v>480.17316017316023</v>
      </c>
      <c r="AN24" s="418">
        <f t="shared" si="14"/>
        <v>0</v>
      </c>
      <c r="AO24" s="419">
        <f t="shared" si="15"/>
        <v>480.17316017316023</v>
      </c>
      <c r="AP24" s="214"/>
    </row>
    <row r="25" spans="1:42">
      <c r="A25" s="64">
        <f>Summary!A44</f>
        <v>51160</v>
      </c>
      <c r="B25" s="211" t="str">
        <f>Summary!B44</f>
        <v xml:space="preserve">Security </v>
      </c>
      <c r="C25" s="311">
        <f>Summary!O44</f>
        <v>9180</v>
      </c>
      <c r="D25" s="214">
        <f>Rent!C$23</f>
        <v>12474</v>
      </c>
      <c r="E25" s="214"/>
      <c r="F25" s="64">
        <f>'CAM TENANTS'!A25</f>
        <v>51160</v>
      </c>
      <c r="G25" s="7" t="str">
        <f>'CAM TENANTS'!B25</f>
        <v xml:space="preserve">Security </v>
      </c>
      <c r="H25" s="417">
        <f>'CAM TENANTS'!C25</f>
        <v>9180</v>
      </c>
      <c r="I25" s="416">
        <f>H25*'Occup,'!$C$28</f>
        <v>14265.113296616837</v>
      </c>
      <c r="J25" s="334">
        <f t="shared" si="0"/>
        <v>14265.113296616837</v>
      </c>
      <c r="K25" s="222">
        <f>$H$8/'CAM TENANTS'!D25</f>
        <v>0.45366362033028701</v>
      </c>
      <c r="L25" s="418">
        <f t="shared" si="1"/>
        <v>6471.5629425649095</v>
      </c>
      <c r="M25" s="418">
        <f t="shared" si="2"/>
        <v>0</v>
      </c>
      <c r="N25" s="419">
        <f t="shared" si="3"/>
        <v>6471.5629425649095</v>
      </c>
      <c r="O25" s="64">
        <f>'CAM TENANTS'!A25</f>
        <v>51160</v>
      </c>
      <c r="P25" s="211" t="str">
        <f>'CAM TENANTS'!B25</f>
        <v xml:space="preserve">Security </v>
      </c>
      <c r="Q25" s="417">
        <f>'CAM TENANTS'!C25</f>
        <v>9180</v>
      </c>
      <c r="R25" s="416">
        <v>0</v>
      </c>
      <c r="S25" s="334">
        <f t="shared" si="4"/>
        <v>9180</v>
      </c>
      <c r="T25" s="222">
        <f>$Q$8/'CAM TENANTS'!D25</f>
        <v>0.15768799102132436</v>
      </c>
      <c r="U25" s="418">
        <f t="shared" si="5"/>
        <v>1447.5757575757575</v>
      </c>
      <c r="V25" s="418">
        <f t="shared" si="6"/>
        <v>0</v>
      </c>
      <c r="W25" s="419">
        <f t="shared" si="7"/>
        <v>1447.5757575757575</v>
      </c>
      <c r="X25" s="64">
        <f>'CAM TENANTS'!A25</f>
        <v>51160</v>
      </c>
      <c r="Y25" s="211" t="str">
        <f>'CAM TENANTS'!B25</f>
        <v xml:space="preserve">Security </v>
      </c>
      <c r="Z25" s="417">
        <f>'CAM TENANTS'!C25</f>
        <v>9180</v>
      </c>
      <c r="AA25" s="416">
        <v>0</v>
      </c>
      <c r="AB25" s="334">
        <f t="shared" si="8"/>
        <v>9180</v>
      </c>
      <c r="AC25" s="222">
        <f>$Z$8/'CAM TENANTS'!D25</f>
        <v>4.9543049543049542E-2</v>
      </c>
      <c r="AD25" s="418">
        <f t="shared" si="9"/>
        <v>454.80519480519479</v>
      </c>
      <c r="AE25" s="418">
        <f t="shared" si="10"/>
        <v>0</v>
      </c>
      <c r="AF25" s="419">
        <f t="shared" si="11"/>
        <v>454.80519480519479</v>
      </c>
      <c r="AG25" s="64">
        <f>'CAM TENANTS'!A25</f>
        <v>51160</v>
      </c>
      <c r="AH25" s="211" t="str">
        <f>'CAM TENANTS'!B25</f>
        <v xml:space="preserve">Security </v>
      </c>
      <c r="AI25" s="44">
        <f>'CAM TENANTS'!C25</f>
        <v>9180</v>
      </c>
      <c r="AJ25" s="416">
        <v>0</v>
      </c>
      <c r="AK25" s="334">
        <f t="shared" si="12"/>
        <v>9180</v>
      </c>
      <c r="AL25" s="222">
        <f>$AI$8/'CAM TENANTS'!D25</f>
        <v>0.33910533910533913</v>
      </c>
      <c r="AM25" s="418">
        <f t="shared" si="13"/>
        <v>3112.9870129870133</v>
      </c>
      <c r="AN25" s="418">
        <f t="shared" si="14"/>
        <v>0</v>
      </c>
      <c r="AO25" s="419">
        <f t="shared" si="15"/>
        <v>3112.9870129870133</v>
      </c>
      <c r="AP25" s="214"/>
    </row>
    <row r="26" spans="1:42">
      <c r="A26" s="64">
        <f>Summary!A45</f>
        <v>51080</v>
      </c>
      <c r="B26" s="211" t="str">
        <f>Summary!B45</f>
        <v>Management Fee</v>
      </c>
      <c r="C26" s="311">
        <f>Summary!O45</f>
        <v>18000</v>
      </c>
      <c r="D26" s="214">
        <f>Rent!C$23</f>
        <v>12474</v>
      </c>
      <c r="E26" s="214"/>
      <c r="F26" s="64">
        <f>'CAM TENANTS'!A26</f>
        <v>51080</v>
      </c>
      <c r="G26" s="7" t="str">
        <f>'CAM TENANTS'!B26</f>
        <v>Management Fee</v>
      </c>
      <c r="H26" s="417">
        <f>'CAM TENANTS'!C26</f>
        <v>18000</v>
      </c>
      <c r="I26" s="416">
        <f>H26*'Occup,'!$C$28</f>
        <v>27970.810385523211</v>
      </c>
      <c r="J26" s="334">
        <f t="shared" si="0"/>
        <v>27970.810385523211</v>
      </c>
      <c r="K26" s="222">
        <f>$H$8/'CAM TENANTS'!D26</f>
        <v>0.45366362033028701</v>
      </c>
      <c r="L26" s="418">
        <f t="shared" si="1"/>
        <v>12689.339103068451</v>
      </c>
      <c r="M26" s="418">
        <f t="shared" si="2"/>
        <v>0</v>
      </c>
      <c r="N26" s="419">
        <f t="shared" si="3"/>
        <v>12689.339103068451</v>
      </c>
      <c r="O26" s="64">
        <f>'CAM TENANTS'!A26</f>
        <v>51080</v>
      </c>
      <c r="P26" s="211" t="str">
        <f>'CAM TENANTS'!B26</f>
        <v>Management Fee</v>
      </c>
      <c r="Q26" s="417">
        <f>'CAM TENANTS'!C26</f>
        <v>18000</v>
      </c>
      <c r="R26" s="416">
        <v>0</v>
      </c>
      <c r="S26" s="334">
        <f t="shared" si="4"/>
        <v>18000</v>
      </c>
      <c r="T26" s="222">
        <f>$Q$8/'CAM TENANTS'!D26</f>
        <v>0.15768799102132436</v>
      </c>
      <c r="U26" s="418">
        <f t="shared" si="5"/>
        <v>2838.3838383838383</v>
      </c>
      <c r="V26" s="418">
        <f t="shared" si="6"/>
        <v>0</v>
      </c>
      <c r="W26" s="419">
        <f t="shared" si="7"/>
        <v>2838.3838383838383</v>
      </c>
      <c r="X26" s="64">
        <f>'CAM TENANTS'!A26</f>
        <v>51080</v>
      </c>
      <c r="Y26" s="211" t="str">
        <f>'CAM TENANTS'!B26</f>
        <v>Management Fee</v>
      </c>
      <c r="Z26" s="417">
        <f>'CAM TENANTS'!C26</f>
        <v>18000</v>
      </c>
      <c r="AA26" s="416">
        <v>0</v>
      </c>
      <c r="AB26" s="334">
        <f t="shared" si="8"/>
        <v>18000</v>
      </c>
      <c r="AC26" s="222">
        <f>$Z$8/'CAM TENANTS'!D26</f>
        <v>4.9543049543049542E-2</v>
      </c>
      <c r="AD26" s="418">
        <f t="shared" si="9"/>
        <v>891.77489177489178</v>
      </c>
      <c r="AE26" s="418">
        <f t="shared" si="10"/>
        <v>0</v>
      </c>
      <c r="AF26" s="419">
        <f t="shared" si="11"/>
        <v>891.77489177489178</v>
      </c>
      <c r="AG26" s="64">
        <f>'CAM TENANTS'!A26</f>
        <v>51080</v>
      </c>
      <c r="AH26" s="211" t="str">
        <f>'CAM TENANTS'!B26</f>
        <v>Management Fee</v>
      </c>
      <c r="AI26" s="44">
        <f>'CAM TENANTS'!C26</f>
        <v>18000</v>
      </c>
      <c r="AJ26" s="416">
        <v>0</v>
      </c>
      <c r="AK26" s="334">
        <f t="shared" si="12"/>
        <v>18000</v>
      </c>
      <c r="AL26" s="222">
        <f>$AI$8/'CAM TENANTS'!D26</f>
        <v>0.33910533910533913</v>
      </c>
      <c r="AM26" s="418">
        <f t="shared" si="13"/>
        <v>6103.8961038961043</v>
      </c>
      <c r="AN26" s="418">
        <f t="shared" si="14"/>
        <v>0</v>
      </c>
      <c r="AO26" s="419">
        <f t="shared" si="15"/>
        <v>6103.8961038961043</v>
      </c>
      <c r="AP26" s="214"/>
    </row>
    <row r="27" spans="1:42">
      <c r="A27" s="64">
        <f>Summary!A46</f>
        <v>51100</v>
      </c>
      <c r="B27" s="211" t="str">
        <f>Summary!B46</f>
        <v>Sidewalk Maintenance</v>
      </c>
      <c r="C27" s="311">
        <f>Summary!O46</f>
        <v>3500</v>
      </c>
      <c r="D27" s="214">
        <f>Rent!C$23</f>
        <v>12474</v>
      </c>
      <c r="E27" s="214"/>
      <c r="F27" s="64">
        <f>'CAM TENANTS'!A27</f>
        <v>51100</v>
      </c>
      <c r="G27" s="7" t="str">
        <f>'CAM TENANTS'!B27</f>
        <v>Sidewalk Maintenance</v>
      </c>
      <c r="H27" s="417">
        <f>'CAM TENANTS'!C27</f>
        <v>3500</v>
      </c>
      <c r="I27" s="416">
        <f>H27*'Occup,'!$C$28</f>
        <v>5438.7686860739577</v>
      </c>
      <c r="J27" s="334">
        <f t="shared" si="0"/>
        <v>5438.7686860739577</v>
      </c>
      <c r="K27" s="222">
        <f>$H$8/'CAM TENANTS'!D27</f>
        <v>0.45366362033028701</v>
      </c>
      <c r="L27" s="418">
        <f t="shared" si="1"/>
        <v>2467.3714922633098</v>
      </c>
      <c r="M27" s="418">
        <f t="shared" si="2"/>
        <v>0</v>
      </c>
      <c r="N27" s="419">
        <f t="shared" si="3"/>
        <v>2467.3714922633098</v>
      </c>
      <c r="O27" s="64">
        <f>'CAM TENANTS'!A27</f>
        <v>51100</v>
      </c>
      <c r="P27" s="211" t="str">
        <f>'CAM TENANTS'!B27</f>
        <v>Sidewalk Maintenance</v>
      </c>
      <c r="Q27" s="417">
        <f>'CAM TENANTS'!C27</f>
        <v>3500</v>
      </c>
      <c r="R27" s="416">
        <v>0</v>
      </c>
      <c r="S27" s="334">
        <f t="shared" si="4"/>
        <v>3500</v>
      </c>
      <c r="T27" s="222">
        <f>$Q$8/'CAM TENANTS'!D27</f>
        <v>0.15768799102132436</v>
      </c>
      <c r="U27" s="418">
        <f t="shared" si="5"/>
        <v>551.90796857463522</v>
      </c>
      <c r="V27" s="418">
        <f t="shared" si="6"/>
        <v>0</v>
      </c>
      <c r="W27" s="419">
        <f t="shared" si="7"/>
        <v>551.90796857463522</v>
      </c>
      <c r="X27" s="64">
        <f>'CAM TENANTS'!A27</f>
        <v>51100</v>
      </c>
      <c r="Y27" s="211" t="str">
        <f>'CAM TENANTS'!B27</f>
        <v>Sidewalk Maintenance</v>
      </c>
      <c r="Z27" s="417">
        <f>'CAM TENANTS'!C27</f>
        <v>3500</v>
      </c>
      <c r="AA27" s="416">
        <f>-Z27</f>
        <v>-3500</v>
      </c>
      <c r="AB27" s="334">
        <f t="shared" si="8"/>
        <v>0</v>
      </c>
      <c r="AC27" s="222">
        <f>$Z$8/'CAM TENANTS'!D27</f>
        <v>4.9543049543049542E-2</v>
      </c>
      <c r="AD27" s="418">
        <f t="shared" si="9"/>
        <v>0</v>
      </c>
      <c r="AE27" s="418">
        <f t="shared" si="10"/>
        <v>0</v>
      </c>
      <c r="AF27" s="419">
        <f t="shared" si="11"/>
        <v>0</v>
      </c>
      <c r="AG27" s="64">
        <f>'CAM TENANTS'!A27</f>
        <v>51100</v>
      </c>
      <c r="AH27" s="211" t="str">
        <f>'CAM TENANTS'!B27</f>
        <v>Sidewalk Maintenance</v>
      </c>
      <c r="AI27" s="44">
        <f>'CAM TENANTS'!C27</f>
        <v>3500</v>
      </c>
      <c r="AJ27" s="416">
        <f>-AI27</f>
        <v>-3500</v>
      </c>
      <c r="AK27" s="334">
        <f t="shared" si="12"/>
        <v>0</v>
      </c>
      <c r="AL27" s="222">
        <f>$AI$8/'CAM TENANTS'!D27</f>
        <v>0.33910533910533913</v>
      </c>
      <c r="AM27" s="418">
        <f t="shared" si="13"/>
        <v>0</v>
      </c>
      <c r="AN27" s="418">
        <f t="shared" si="14"/>
        <v>0</v>
      </c>
      <c r="AO27" s="419">
        <f t="shared" si="15"/>
        <v>0</v>
      </c>
      <c r="AP27" s="214"/>
    </row>
    <row r="28" spans="1:42">
      <c r="A28" s="64">
        <f>Summary!A47</f>
        <v>50550</v>
      </c>
      <c r="B28" s="211" t="str">
        <f>Summary!B47</f>
        <v xml:space="preserve">Sign Maintenance </v>
      </c>
      <c r="C28" s="311">
        <f>Summary!O47</f>
        <v>250</v>
      </c>
      <c r="D28" s="214">
        <f>Rent!C$23</f>
        <v>12474</v>
      </c>
      <c r="E28" s="214"/>
      <c r="F28" s="64">
        <f>'CAM TENANTS'!A28</f>
        <v>50550</v>
      </c>
      <c r="G28" s="7" t="str">
        <f>'CAM TENANTS'!B28</f>
        <v xml:space="preserve">Sign Maintenance </v>
      </c>
      <c r="H28" s="417">
        <f>'CAM TENANTS'!C28</f>
        <v>250</v>
      </c>
      <c r="I28" s="416">
        <f>H28*'Occup,'!$C$28</f>
        <v>388.48347757671127</v>
      </c>
      <c r="J28" s="334">
        <f t="shared" si="0"/>
        <v>388.48347757671127</v>
      </c>
      <c r="K28" s="222">
        <f>$H$8/'CAM TENANTS'!D28</f>
        <v>0.45366362033028701</v>
      </c>
      <c r="L28" s="418">
        <f t="shared" si="1"/>
        <v>176.2408208759507</v>
      </c>
      <c r="M28" s="418">
        <f t="shared" si="2"/>
        <v>0</v>
      </c>
      <c r="N28" s="419">
        <f t="shared" si="3"/>
        <v>176.2408208759507</v>
      </c>
      <c r="O28" s="64">
        <f>'CAM TENANTS'!A28</f>
        <v>50550</v>
      </c>
      <c r="P28" s="211" t="str">
        <f>'CAM TENANTS'!B28</f>
        <v xml:space="preserve">Sign Maintenance </v>
      </c>
      <c r="Q28" s="417">
        <f>'CAM TENANTS'!C28</f>
        <v>250</v>
      </c>
      <c r="R28" s="416">
        <v>0</v>
      </c>
      <c r="S28" s="334">
        <f t="shared" si="4"/>
        <v>250</v>
      </c>
      <c r="T28" s="222">
        <f>$Q$8/'CAM TENANTS'!D28</f>
        <v>0.15768799102132436</v>
      </c>
      <c r="U28" s="418">
        <f t="shared" si="5"/>
        <v>39.421997755331091</v>
      </c>
      <c r="V28" s="418">
        <f t="shared" si="6"/>
        <v>0</v>
      </c>
      <c r="W28" s="419">
        <f t="shared" si="7"/>
        <v>39.421997755331091</v>
      </c>
      <c r="X28" s="64">
        <f>'CAM TENANTS'!A28</f>
        <v>50550</v>
      </c>
      <c r="Y28" s="211" t="str">
        <f>'CAM TENANTS'!B28</f>
        <v xml:space="preserve">Sign Maintenance </v>
      </c>
      <c r="Z28" s="417">
        <f>'CAM TENANTS'!C28</f>
        <v>250</v>
      </c>
      <c r="AA28" s="416">
        <v>0</v>
      </c>
      <c r="AB28" s="334">
        <f t="shared" si="8"/>
        <v>250</v>
      </c>
      <c r="AC28" s="222">
        <f>$Z$8/'CAM TENANTS'!D28</f>
        <v>4.9543049543049542E-2</v>
      </c>
      <c r="AD28" s="418">
        <f t="shared" si="9"/>
        <v>12.385762385762385</v>
      </c>
      <c r="AE28" s="418">
        <f t="shared" si="10"/>
        <v>0</v>
      </c>
      <c r="AF28" s="419">
        <f t="shared" si="11"/>
        <v>12.385762385762385</v>
      </c>
      <c r="AG28" s="64">
        <f>'CAM TENANTS'!A28</f>
        <v>50550</v>
      </c>
      <c r="AH28" s="211" t="str">
        <f>'CAM TENANTS'!B28</f>
        <v xml:space="preserve">Sign Maintenance </v>
      </c>
      <c r="AI28" s="44">
        <f>'CAM TENANTS'!C28</f>
        <v>250</v>
      </c>
      <c r="AJ28" s="416">
        <v>0</v>
      </c>
      <c r="AK28" s="334">
        <f t="shared" si="12"/>
        <v>250</v>
      </c>
      <c r="AL28" s="222">
        <f>$AI$8/'CAM TENANTS'!D28</f>
        <v>0.33910533910533913</v>
      </c>
      <c r="AM28" s="418">
        <f t="shared" si="13"/>
        <v>84.776334776334778</v>
      </c>
      <c r="AN28" s="418">
        <f t="shared" si="14"/>
        <v>0</v>
      </c>
      <c r="AO28" s="419">
        <f t="shared" si="15"/>
        <v>84.776334776334778</v>
      </c>
      <c r="AP28" s="214"/>
    </row>
    <row r="29" spans="1:42">
      <c r="A29" s="64">
        <f>Summary!A48</f>
        <v>51150</v>
      </c>
      <c r="B29" s="211" t="str">
        <f>Summary!B48</f>
        <v>Sweeping</v>
      </c>
      <c r="C29" s="311">
        <f>Summary!O48</f>
        <v>1500</v>
      </c>
      <c r="D29" s="214">
        <f>Rent!C$23</f>
        <v>12474</v>
      </c>
      <c r="E29" s="214"/>
      <c r="F29" s="64">
        <f>'CAM TENANTS'!A29</f>
        <v>51150</v>
      </c>
      <c r="G29" s="7" t="str">
        <f>'CAM TENANTS'!B29</f>
        <v>Sweeping</v>
      </c>
      <c r="H29" s="417">
        <f>'CAM TENANTS'!C29</f>
        <v>1500</v>
      </c>
      <c r="I29" s="416">
        <f>H29*'Occup,'!$C$28</f>
        <v>2330.9008654602676</v>
      </c>
      <c r="J29" s="334">
        <f t="shared" si="0"/>
        <v>2330.9008654602676</v>
      </c>
      <c r="K29" s="222">
        <f>$H$8/'CAM TENANTS'!D29</f>
        <v>0.45366362033028701</v>
      </c>
      <c r="L29" s="418">
        <f t="shared" si="1"/>
        <v>1057.4449252557042</v>
      </c>
      <c r="M29" s="418">
        <f t="shared" si="2"/>
        <v>0</v>
      </c>
      <c r="N29" s="419">
        <f t="shared" si="3"/>
        <v>1057.4449252557042</v>
      </c>
      <c r="O29" s="64">
        <f>'CAM TENANTS'!A29</f>
        <v>51150</v>
      </c>
      <c r="P29" s="211" t="str">
        <f>'CAM TENANTS'!B29</f>
        <v>Sweeping</v>
      </c>
      <c r="Q29" s="417">
        <f>'CAM TENANTS'!C29</f>
        <v>1500</v>
      </c>
      <c r="R29" s="416">
        <v>0</v>
      </c>
      <c r="S29" s="334">
        <f t="shared" si="4"/>
        <v>1500</v>
      </c>
      <c r="T29" s="222">
        <f>$Q$8/'CAM TENANTS'!D29</f>
        <v>0.15768799102132436</v>
      </c>
      <c r="U29" s="418">
        <f t="shared" si="5"/>
        <v>236.53198653198655</v>
      </c>
      <c r="V29" s="418">
        <f t="shared" si="6"/>
        <v>0</v>
      </c>
      <c r="W29" s="419">
        <f t="shared" si="7"/>
        <v>236.53198653198655</v>
      </c>
      <c r="X29" s="64">
        <f>'CAM TENANTS'!A29</f>
        <v>51150</v>
      </c>
      <c r="Y29" s="211" t="str">
        <f>'CAM TENANTS'!B29</f>
        <v>Sweeping</v>
      </c>
      <c r="Z29" s="417">
        <f>'CAM TENANTS'!C29</f>
        <v>1500</v>
      </c>
      <c r="AA29" s="416">
        <v>0</v>
      </c>
      <c r="AB29" s="334">
        <f t="shared" si="8"/>
        <v>1500</v>
      </c>
      <c r="AC29" s="222">
        <f>$Z$8/'CAM TENANTS'!D29</f>
        <v>4.9543049543049542E-2</v>
      </c>
      <c r="AD29" s="418">
        <f t="shared" si="9"/>
        <v>74.314574314574315</v>
      </c>
      <c r="AE29" s="418">
        <f t="shared" si="10"/>
        <v>0</v>
      </c>
      <c r="AF29" s="419">
        <f t="shared" si="11"/>
        <v>74.314574314574315</v>
      </c>
      <c r="AG29" s="64">
        <f>'CAM TENANTS'!A29</f>
        <v>51150</v>
      </c>
      <c r="AH29" s="211" t="str">
        <f>'CAM TENANTS'!B29</f>
        <v>Sweeping</v>
      </c>
      <c r="AI29" s="44">
        <f>'CAM TENANTS'!C29</f>
        <v>1500</v>
      </c>
      <c r="AJ29" s="416">
        <v>0</v>
      </c>
      <c r="AK29" s="334">
        <f t="shared" si="12"/>
        <v>1500</v>
      </c>
      <c r="AL29" s="222">
        <f>$AI$8/'CAM TENANTS'!D29</f>
        <v>0.33910533910533913</v>
      </c>
      <c r="AM29" s="418">
        <f t="shared" si="13"/>
        <v>508.65800865800873</v>
      </c>
      <c r="AN29" s="418">
        <f t="shared" si="14"/>
        <v>0</v>
      </c>
      <c r="AO29" s="419">
        <f t="shared" si="15"/>
        <v>508.65800865800873</v>
      </c>
      <c r="AP29" s="214"/>
    </row>
    <row r="30" spans="1:42">
      <c r="A30" s="64">
        <f>Summary!A49</f>
        <v>51200</v>
      </c>
      <c r="B30" s="211" t="str">
        <f>Summary!B49</f>
        <v>Electrical Repairs/CAM</v>
      </c>
      <c r="C30" s="311">
        <f>Summary!O49</f>
        <v>0</v>
      </c>
      <c r="D30" s="214">
        <f>Rent!C$23</f>
        <v>12474</v>
      </c>
      <c r="E30" s="214"/>
      <c r="F30" s="64">
        <f>'CAM TENANTS'!A30</f>
        <v>51200</v>
      </c>
      <c r="G30" s="7" t="str">
        <f>'CAM TENANTS'!B30</f>
        <v>Electrical Repairs/CAM</v>
      </c>
      <c r="H30" s="417">
        <f>'CAM TENANTS'!C30</f>
        <v>0</v>
      </c>
      <c r="I30" s="416">
        <f>H30*'Occup,'!$C$28</f>
        <v>0</v>
      </c>
      <c r="J30" s="334">
        <f t="shared" si="0"/>
        <v>0</v>
      </c>
      <c r="K30" s="222">
        <f>$H$8/'CAM TENANTS'!D30</f>
        <v>0.45366362033028701</v>
      </c>
      <c r="L30" s="418">
        <f t="shared" si="1"/>
        <v>0</v>
      </c>
      <c r="M30" s="418">
        <f t="shared" si="2"/>
        <v>0</v>
      </c>
      <c r="N30" s="419">
        <f t="shared" si="3"/>
        <v>0</v>
      </c>
      <c r="O30" s="64">
        <f>'CAM TENANTS'!A30</f>
        <v>51200</v>
      </c>
      <c r="P30" s="211" t="str">
        <f>'CAM TENANTS'!B30</f>
        <v>Electrical Repairs/CAM</v>
      </c>
      <c r="Q30" s="417">
        <f>'CAM TENANTS'!C30</f>
        <v>0</v>
      </c>
      <c r="R30" s="416">
        <v>0</v>
      </c>
      <c r="S30" s="334">
        <f t="shared" si="4"/>
        <v>0</v>
      </c>
      <c r="T30" s="222">
        <f>$Q$8/'CAM TENANTS'!D30</f>
        <v>0.15768799102132436</v>
      </c>
      <c r="U30" s="418">
        <f t="shared" si="5"/>
        <v>0</v>
      </c>
      <c r="V30" s="418">
        <f t="shared" si="6"/>
        <v>0</v>
      </c>
      <c r="W30" s="419">
        <f t="shared" si="7"/>
        <v>0</v>
      </c>
      <c r="X30" s="64">
        <f>'CAM TENANTS'!A30</f>
        <v>51200</v>
      </c>
      <c r="Y30" s="211" t="str">
        <f>'CAM TENANTS'!B30</f>
        <v>Electrical Repairs/CAM</v>
      </c>
      <c r="Z30" s="417">
        <f>'CAM TENANTS'!C30</f>
        <v>0</v>
      </c>
      <c r="AA30" s="416">
        <v>0</v>
      </c>
      <c r="AB30" s="334">
        <f t="shared" si="8"/>
        <v>0</v>
      </c>
      <c r="AC30" s="222">
        <f>$Z$8/'CAM TENANTS'!D30</f>
        <v>4.9543049543049542E-2</v>
      </c>
      <c r="AD30" s="418">
        <f t="shared" si="9"/>
        <v>0</v>
      </c>
      <c r="AE30" s="418">
        <f t="shared" si="10"/>
        <v>0</v>
      </c>
      <c r="AF30" s="419">
        <f t="shared" si="11"/>
        <v>0</v>
      </c>
      <c r="AG30" s="64">
        <f>'CAM TENANTS'!A30</f>
        <v>51200</v>
      </c>
      <c r="AH30" s="211" t="str">
        <f>'CAM TENANTS'!B30</f>
        <v>Electrical Repairs/CAM</v>
      </c>
      <c r="AI30" s="44">
        <f>'CAM TENANTS'!C30</f>
        <v>0</v>
      </c>
      <c r="AJ30" s="416">
        <v>0</v>
      </c>
      <c r="AK30" s="334">
        <f t="shared" si="12"/>
        <v>0</v>
      </c>
      <c r="AL30" s="222">
        <f>$AI$8/'CAM TENANTS'!D30</f>
        <v>0.33910533910533913</v>
      </c>
      <c r="AM30" s="418">
        <f t="shared" si="13"/>
        <v>0</v>
      </c>
      <c r="AN30" s="418">
        <f t="shared" si="14"/>
        <v>0</v>
      </c>
      <c r="AO30" s="419">
        <f t="shared" si="15"/>
        <v>0</v>
      </c>
      <c r="AP30" s="214"/>
    </row>
    <row r="31" spans="1:42">
      <c r="A31" s="144">
        <f>Summary!A50</f>
        <v>51210</v>
      </c>
      <c r="B31" s="145" t="str">
        <f>Summary!B50</f>
        <v>Plumbing Repairs</v>
      </c>
      <c r="C31" s="146">
        <f>Summary!O50</f>
        <v>450</v>
      </c>
      <c r="D31" s="214">
        <f>Rent!C$23</f>
        <v>12474</v>
      </c>
      <c r="E31" s="214"/>
      <c r="F31" s="420">
        <f>'CAM TENANTS'!A31</f>
        <v>51210</v>
      </c>
      <c r="G31" s="278" t="str">
        <f>'CAM TENANTS'!B31</f>
        <v>Plumbing Repairs</v>
      </c>
      <c r="H31" s="417">
        <f>'CAM TENANTS'!C31</f>
        <v>450</v>
      </c>
      <c r="I31" s="416">
        <f>H31*'Occup,'!$C$28</f>
        <v>699.27025963808023</v>
      </c>
      <c r="J31" s="334">
        <f t="shared" si="0"/>
        <v>699.27025963808023</v>
      </c>
      <c r="K31" s="357">
        <f>$H$8/'CAM TENANTS'!D31</f>
        <v>0.45366362033028701</v>
      </c>
      <c r="L31" s="418">
        <f t="shared" si="1"/>
        <v>317.23347757671127</v>
      </c>
      <c r="M31" s="418">
        <f t="shared" si="2"/>
        <v>0</v>
      </c>
      <c r="N31" s="419">
        <f t="shared" si="3"/>
        <v>317.23347757671127</v>
      </c>
      <c r="O31" s="420">
        <f>'CAM TENANTS'!A31</f>
        <v>51210</v>
      </c>
      <c r="P31" s="421" t="str">
        <f>'CAM TENANTS'!B31</f>
        <v>Plumbing Repairs</v>
      </c>
      <c r="Q31" s="417">
        <f>'CAM TENANTS'!C31</f>
        <v>450</v>
      </c>
      <c r="R31" s="422">
        <v>0</v>
      </c>
      <c r="S31" s="417">
        <f t="shared" si="4"/>
        <v>450</v>
      </c>
      <c r="T31" s="357">
        <f>$Q$8/'CAM TENANTS'!D31</f>
        <v>0.15768799102132436</v>
      </c>
      <c r="U31" s="418">
        <f t="shared" si="5"/>
        <v>70.959595959595958</v>
      </c>
      <c r="V31" s="418">
        <f t="shared" si="6"/>
        <v>0</v>
      </c>
      <c r="W31" s="419">
        <f t="shared" si="7"/>
        <v>70.959595959595958</v>
      </c>
      <c r="X31" s="64">
        <f>'CAM TENANTS'!A31</f>
        <v>51210</v>
      </c>
      <c r="Y31" s="211" t="str">
        <f>'CAM TENANTS'!B31</f>
        <v>Plumbing Repairs</v>
      </c>
      <c r="Z31" s="417">
        <f>'CAM TENANTS'!C31</f>
        <v>450</v>
      </c>
      <c r="AA31" s="422">
        <v>0</v>
      </c>
      <c r="AB31" s="417">
        <f t="shared" si="8"/>
        <v>450</v>
      </c>
      <c r="AC31" s="222">
        <f>$Z$8/'CAM TENANTS'!D31</f>
        <v>4.9543049543049542E-2</v>
      </c>
      <c r="AD31" s="418">
        <f t="shared" si="9"/>
        <v>22.294372294372295</v>
      </c>
      <c r="AE31" s="418">
        <f t="shared" si="10"/>
        <v>0</v>
      </c>
      <c r="AF31" s="419">
        <f t="shared" si="11"/>
        <v>22.294372294372295</v>
      </c>
      <c r="AG31" s="64">
        <f>'CAM TENANTS'!A31</f>
        <v>51210</v>
      </c>
      <c r="AH31" s="211" t="str">
        <f>'CAM TENANTS'!B31</f>
        <v>Plumbing Repairs</v>
      </c>
      <c r="AI31" s="44">
        <f>'CAM TENANTS'!C31</f>
        <v>450</v>
      </c>
      <c r="AJ31" s="422">
        <v>0</v>
      </c>
      <c r="AK31" s="417">
        <f t="shared" si="12"/>
        <v>450</v>
      </c>
      <c r="AL31" s="222">
        <f>$AI$8/'CAM TENANTS'!D31</f>
        <v>0.33910533910533913</v>
      </c>
      <c r="AM31" s="418">
        <f t="shared" si="13"/>
        <v>152.59740259740261</v>
      </c>
      <c r="AN31" s="418">
        <f t="shared" si="14"/>
        <v>0</v>
      </c>
      <c r="AO31" s="419">
        <f t="shared" si="15"/>
        <v>152.59740259740261</v>
      </c>
      <c r="AP31" s="214"/>
    </row>
    <row r="32" spans="1:42">
      <c r="A32" s="64">
        <f>Summary!A51</f>
        <v>51043</v>
      </c>
      <c r="B32" s="211" t="str">
        <f>Summary!B51</f>
        <v>Building Maint &amp; Repairs (window washing)</v>
      </c>
      <c r="C32" s="311">
        <f>Summary!O51</f>
        <v>560</v>
      </c>
      <c r="D32" s="214">
        <f>Rent!C$23</f>
        <v>12474</v>
      </c>
      <c r="E32" s="214"/>
      <c r="F32" s="64">
        <f>'CAM TENANTS'!A32</f>
        <v>51043</v>
      </c>
      <c r="G32" s="7" t="str">
        <f>'CAM TENANTS'!B32</f>
        <v>Building Maint &amp; Repairs (window washing)</v>
      </c>
      <c r="H32" s="417">
        <f>'CAM TENANTS'!C32</f>
        <v>560</v>
      </c>
      <c r="I32" s="416">
        <f>H32*'Occup,'!$C$28</f>
        <v>870.20298977183324</v>
      </c>
      <c r="J32" s="334">
        <f t="shared" si="0"/>
        <v>870.20298977183324</v>
      </c>
      <c r="K32" s="222">
        <f>$H$8/'CAM TENANTS'!D32</f>
        <v>0.45366362033028701</v>
      </c>
      <c r="L32" s="418">
        <f t="shared" si="1"/>
        <v>394.77943876212959</v>
      </c>
      <c r="M32" s="418">
        <f t="shared" si="2"/>
        <v>0</v>
      </c>
      <c r="N32" s="419">
        <f t="shared" si="3"/>
        <v>394.77943876212959</v>
      </c>
      <c r="O32" s="64">
        <f>'CAM TENANTS'!A32</f>
        <v>51043</v>
      </c>
      <c r="P32" s="211" t="str">
        <f>'CAM TENANTS'!B32</f>
        <v>Building Maint &amp; Repairs (window washing)</v>
      </c>
      <c r="Q32" s="417">
        <f>'CAM TENANTS'!C32</f>
        <v>560</v>
      </c>
      <c r="R32" s="416">
        <v>0</v>
      </c>
      <c r="S32" s="334">
        <f t="shared" si="4"/>
        <v>560</v>
      </c>
      <c r="T32" s="222">
        <f>$Q$8/'CAM TENANTS'!D32</f>
        <v>0.15768799102132436</v>
      </c>
      <c r="U32" s="418">
        <f t="shared" si="5"/>
        <v>88.305274971941643</v>
      </c>
      <c r="V32" s="418">
        <f t="shared" si="6"/>
        <v>0</v>
      </c>
      <c r="W32" s="419">
        <f t="shared" si="7"/>
        <v>88.305274971941643</v>
      </c>
      <c r="X32" s="64">
        <f>'CAM TENANTS'!A32</f>
        <v>51043</v>
      </c>
      <c r="Y32" s="211" t="str">
        <f>'CAM TENANTS'!B32</f>
        <v>Building Maint &amp; Repairs (window washing)</v>
      </c>
      <c r="Z32" s="417">
        <f>'CAM TENANTS'!C32</f>
        <v>560</v>
      </c>
      <c r="AA32" s="416">
        <v>0</v>
      </c>
      <c r="AB32" s="334">
        <f t="shared" si="8"/>
        <v>560</v>
      </c>
      <c r="AC32" s="222">
        <f>$Z$8/'CAM TENANTS'!D32</f>
        <v>4.9543049543049542E-2</v>
      </c>
      <c r="AD32" s="418">
        <f t="shared" si="9"/>
        <v>27.744107744107744</v>
      </c>
      <c r="AE32" s="418">
        <f t="shared" si="10"/>
        <v>0</v>
      </c>
      <c r="AF32" s="419">
        <f t="shared" si="11"/>
        <v>27.744107744107744</v>
      </c>
      <c r="AG32" s="64">
        <f>'CAM TENANTS'!A32</f>
        <v>51043</v>
      </c>
      <c r="AH32" s="211" t="str">
        <f>'CAM TENANTS'!B32</f>
        <v>Building Maint &amp; Repairs (window washing)</v>
      </c>
      <c r="AI32" s="44">
        <f>'CAM TENANTS'!C32</f>
        <v>560</v>
      </c>
      <c r="AJ32" s="416">
        <v>0</v>
      </c>
      <c r="AK32" s="334">
        <f t="shared" si="12"/>
        <v>560</v>
      </c>
      <c r="AL32" s="222">
        <f>$AI$8/'CAM TENANTS'!D32</f>
        <v>0.33910533910533913</v>
      </c>
      <c r="AM32" s="418">
        <f t="shared" si="13"/>
        <v>189.89898989898992</v>
      </c>
      <c r="AN32" s="418">
        <f t="shared" si="14"/>
        <v>0</v>
      </c>
      <c r="AO32" s="419">
        <f t="shared" si="15"/>
        <v>189.89898989898992</v>
      </c>
      <c r="AP32" s="214"/>
    </row>
    <row r="33" spans="1:42">
      <c r="A33" s="147">
        <f>Summary!A52</f>
        <v>55120</v>
      </c>
      <c r="B33" s="148" t="str">
        <f>Summary!B52</f>
        <v>Trash Removal</v>
      </c>
      <c r="C33" s="149">
        <f>Summary!O52</f>
        <v>4200</v>
      </c>
      <c r="D33" s="152">
        <f>Rent!$C$28</f>
        <v>7626</v>
      </c>
      <c r="E33" s="214"/>
      <c r="F33" s="64">
        <f>'CAM TENANTS'!A33</f>
        <v>55120</v>
      </c>
      <c r="G33" s="7" t="str">
        <f>'CAM TENANTS'!B33</f>
        <v>Trash Removal</v>
      </c>
      <c r="H33" s="417">
        <f>'CAM TENANTS'!C33</f>
        <v>4200</v>
      </c>
      <c r="I33" s="416">
        <f>H33*'Occup,'!$C$28</f>
        <v>6526.5224232887495</v>
      </c>
      <c r="J33" s="334">
        <f t="shared" si="0"/>
        <v>6526.5224232887495</v>
      </c>
      <c r="K33" s="222">
        <f>$H$8/'CAM TENANTS'!D33</f>
        <v>0.74206661421452924</v>
      </c>
      <c r="L33" s="418">
        <f t="shared" si="1"/>
        <v>4843.1143972450873</v>
      </c>
      <c r="M33" s="418">
        <f t="shared" si="2"/>
        <v>0</v>
      </c>
      <c r="N33" s="419">
        <f t="shared" si="3"/>
        <v>4843.1143972450873</v>
      </c>
      <c r="O33" s="64">
        <f>'CAM TENANTS'!A33</f>
        <v>55120</v>
      </c>
      <c r="P33" s="211" t="str">
        <f>'CAM TENANTS'!B33</f>
        <v>Trash Removal</v>
      </c>
      <c r="Q33" s="417">
        <f>'CAM TENANTS'!C33</f>
        <v>4200</v>
      </c>
      <c r="R33" s="416">
        <v>0</v>
      </c>
      <c r="S33" s="334">
        <f t="shared" si="4"/>
        <v>4200</v>
      </c>
      <c r="T33" s="222">
        <f>$Q$8/'CAM TENANTS'!D33</f>
        <v>0.25793338578547076</v>
      </c>
      <c r="U33" s="418">
        <f t="shared" si="5"/>
        <v>1083.3202202989771</v>
      </c>
      <c r="V33" s="418">
        <f t="shared" si="6"/>
        <v>0</v>
      </c>
      <c r="W33" s="419">
        <f t="shared" si="7"/>
        <v>1083.3202202989771</v>
      </c>
      <c r="X33" s="64">
        <f>'CAM TENANTS'!A33</f>
        <v>55120</v>
      </c>
      <c r="Y33" s="211" t="str">
        <f>'CAM TENANTS'!B33</f>
        <v>Trash Removal</v>
      </c>
      <c r="Z33" s="417">
        <f>'CAM TENANTS'!C33</f>
        <v>4200</v>
      </c>
      <c r="AA33" s="416">
        <v>0</v>
      </c>
      <c r="AB33" s="334">
        <f t="shared" si="8"/>
        <v>4200</v>
      </c>
      <c r="AC33" s="222">
        <f>$Z$8/'CAM TENANTS'!D33</f>
        <v>8.1038552321007082E-2</v>
      </c>
      <c r="AD33" s="418">
        <f t="shared" si="9"/>
        <v>340.36191974822975</v>
      </c>
      <c r="AE33" s="418">
        <f t="shared" si="10"/>
        <v>0</v>
      </c>
      <c r="AF33" s="419">
        <f t="shared" si="11"/>
        <v>340.36191974822975</v>
      </c>
      <c r="AG33" s="64">
        <f>'CAM TENANTS'!A33</f>
        <v>55120</v>
      </c>
      <c r="AH33" s="211" t="str">
        <f>'CAM TENANTS'!B33</f>
        <v>Trash Removal</v>
      </c>
      <c r="AI33" s="44">
        <f>'CAM TENANTS'!C33</f>
        <v>4200</v>
      </c>
      <c r="AJ33" s="416">
        <v>0</v>
      </c>
      <c r="AK33" s="334">
        <f t="shared" si="12"/>
        <v>4200</v>
      </c>
      <c r="AL33" s="222">
        <f>$AI$8/'CAM TENANTS'!D33</f>
        <v>0.55468135326514556</v>
      </c>
      <c r="AM33" s="418">
        <f t="shared" si="13"/>
        <v>2329.6616837136112</v>
      </c>
      <c r="AN33" s="418">
        <f t="shared" si="14"/>
        <v>0</v>
      </c>
      <c r="AO33" s="419">
        <f t="shared" si="15"/>
        <v>2329.6616837136112</v>
      </c>
      <c r="AP33" s="214"/>
    </row>
    <row r="34" spans="1:42">
      <c r="A34" s="147">
        <f>Summary!A53</f>
        <v>51130</v>
      </c>
      <c r="B34" s="148" t="str">
        <f>Summary!B53</f>
        <v>HVAC Maintenance</v>
      </c>
      <c r="C34" s="149">
        <f>Summary!O53</f>
        <v>1340</v>
      </c>
      <c r="D34" s="152">
        <f>Rent!$C$28</f>
        <v>7626</v>
      </c>
      <c r="E34" s="214"/>
      <c r="F34" s="64">
        <f>'CAM TENANTS'!A34</f>
        <v>51130</v>
      </c>
      <c r="G34" s="7" t="str">
        <f>'CAM TENANTS'!B34</f>
        <v>HVAC Maintenance</v>
      </c>
      <c r="H34" s="417">
        <f>'CAM TENANTS'!C34</f>
        <v>1340</v>
      </c>
      <c r="I34" s="416">
        <f>H34*'Occup,'!$C$28</f>
        <v>2082.2714398111725</v>
      </c>
      <c r="J34" s="334">
        <f t="shared" si="0"/>
        <v>2082.2714398111725</v>
      </c>
      <c r="K34" s="222">
        <f>$H$8/'CAM TENANTS'!D34</f>
        <v>0.74206661421452924</v>
      </c>
      <c r="L34" s="418">
        <f t="shared" si="1"/>
        <v>1545.1841172162897</v>
      </c>
      <c r="M34" s="418">
        <f t="shared" si="2"/>
        <v>0</v>
      </c>
      <c r="N34" s="419">
        <f t="shared" si="3"/>
        <v>1545.1841172162897</v>
      </c>
      <c r="O34" s="64">
        <f>'CAM TENANTS'!A34</f>
        <v>51130</v>
      </c>
      <c r="P34" s="211" t="str">
        <f>'CAM TENANTS'!B34</f>
        <v>HVAC Maintenance</v>
      </c>
      <c r="Q34" s="417">
        <f>'CAM TENANTS'!C34</f>
        <v>1340</v>
      </c>
      <c r="R34" s="416">
        <v>0</v>
      </c>
      <c r="S34" s="334">
        <f t="shared" si="4"/>
        <v>1340</v>
      </c>
      <c r="T34" s="222">
        <f>$Q$8/'CAM TENANTS'!D34</f>
        <v>0.25793338578547076</v>
      </c>
      <c r="U34" s="418">
        <f t="shared" si="5"/>
        <v>345.63073695253081</v>
      </c>
      <c r="V34" s="418">
        <f t="shared" si="6"/>
        <v>0</v>
      </c>
      <c r="W34" s="419">
        <f t="shared" si="7"/>
        <v>345.63073695253081</v>
      </c>
      <c r="X34" s="64">
        <f>'CAM TENANTS'!A34</f>
        <v>51130</v>
      </c>
      <c r="Y34" s="211" t="str">
        <f>'CAM TENANTS'!B34</f>
        <v>HVAC Maintenance</v>
      </c>
      <c r="Z34" s="417">
        <f>'CAM TENANTS'!C34</f>
        <v>1340</v>
      </c>
      <c r="AA34" s="416">
        <v>0</v>
      </c>
      <c r="AB34" s="334">
        <f t="shared" si="8"/>
        <v>1340</v>
      </c>
      <c r="AC34" s="222">
        <f>$Z$8/'CAM TENANTS'!D34</f>
        <v>8.1038552321007082E-2</v>
      </c>
      <c r="AD34" s="418">
        <f t="shared" si="9"/>
        <v>108.59166011014949</v>
      </c>
      <c r="AE34" s="418">
        <f t="shared" si="10"/>
        <v>0</v>
      </c>
      <c r="AF34" s="419">
        <f t="shared" si="11"/>
        <v>108.59166011014949</v>
      </c>
      <c r="AG34" s="64">
        <f>'CAM TENANTS'!A34</f>
        <v>51130</v>
      </c>
      <c r="AH34" s="211" t="str">
        <f>'CAM TENANTS'!B34</f>
        <v>HVAC Maintenance</v>
      </c>
      <c r="AI34" s="44">
        <f>'CAM TENANTS'!C34</f>
        <v>1340</v>
      </c>
      <c r="AJ34" s="416">
        <v>0</v>
      </c>
      <c r="AK34" s="334">
        <f t="shared" si="12"/>
        <v>1340</v>
      </c>
      <c r="AL34" s="222">
        <f>$AI$8/'CAM TENANTS'!D34</f>
        <v>0.55468135326514556</v>
      </c>
      <c r="AM34" s="418">
        <f t="shared" si="13"/>
        <v>743.27301337529502</v>
      </c>
      <c r="AN34" s="418">
        <f t="shared" si="14"/>
        <v>0</v>
      </c>
      <c r="AO34" s="419">
        <f t="shared" si="15"/>
        <v>743.27301337529502</v>
      </c>
      <c r="AP34" s="214"/>
    </row>
    <row r="35" spans="1:42">
      <c r="A35" s="147">
        <f>Summary!A54</f>
        <v>51140</v>
      </c>
      <c r="B35" s="148" t="str">
        <f>Summary!B54</f>
        <v>HVAC Repairs</v>
      </c>
      <c r="C35" s="149">
        <f>Summary!O54</f>
        <v>0</v>
      </c>
      <c r="D35" s="152">
        <f>Rent!$C$28</f>
        <v>7626</v>
      </c>
      <c r="E35" s="214"/>
      <c r="F35" s="64">
        <f>'CAM TENANTS'!A35</f>
        <v>51140</v>
      </c>
      <c r="G35" s="7" t="str">
        <f>'CAM TENANTS'!B35</f>
        <v>HVAC Repairs</v>
      </c>
      <c r="H35" s="417">
        <f>'CAM TENANTS'!C35</f>
        <v>0</v>
      </c>
      <c r="I35" s="416">
        <f>H35*'Occup,'!$C$28</f>
        <v>0</v>
      </c>
      <c r="J35" s="334">
        <f t="shared" si="0"/>
        <v>0</v>
      </c>
      <c r="K35" s="222">
        <f>$H$8/'CAM TENANTS'!D35</f>
        <v>0.74206661421452924</v>
      </c>
      <c r="L35" s="418">
        <f t="shared" si="1"/>
        <v>0</v>
      </c>
      <c r="M35" s="418">
        <f t="shared" si="2"/>
        <v>0</v>
      </c>
      <c r="N35" s="419">
        <f t="shared" si="3"/>
        <v>0</v>
      </c>
      <c r="O35" s="64">
        <f>'CAM TENANTS'!A35</f>
        <v>51140</v>
      </c>
      <c r="P35" s="211" t="str">
        <f>'CAM TENANTS'!B35</f>
        <v>HVAC Repairs</v>
      </c>
      <c r="Q35" s="417">
        <f>'CAM TENANTS'!C35</f>
        <v>0</v>
      </c>
      <c r="R35" s="416">
        <v>0</v>
      </c>
      <c r="S35" s="334">
        <f t="shared" si="4"/>
        <v>0</v>
      </c>
      <c r="T35" s="222">
        <f>$Q$8/'CAM TENANTS'!D35</f>
        <v>0.25793338578547076</v>
      </c>
      <c r="U35" s="418">
        <f t="shared" si="5"/>
        <v>0</v>
      </c>
      <c r="V35" s="418">
        <f t="shared" si="6"/>
        <v>0</v>
      </c>
      <c r="W35" s="419">
        <f t="shared" si="7"/>
        <v>0</v>
      </c>
      <c r="X35" s="64">
        <f>'CAM TENANTS'!A35</f>
        <v>51140</v>
      </c>
      <c r="Y35" s="211" t="str">
        <f>'CAM TENANTS'!B35</f>
        <v>HVAC Repairs</v>
      </c>
      <c r="Z35" s="417">
        <f>'CAM TENANTS'!C35</f>
        <v>0</v>
      </c>
      <c r="AA35" s="416">
        <v>0</v>
      </c>
      <c r="AB35" s="334">
        <f t="shared" si="8"/>
        <v>0</v>
      </c>
      <c r="AC35" s="222">
        <f>$Z$8/'CAM TENANTS'!D35</f>
        <v>8.1038552321007082E-2</v>
      </c>
      <c r="AD35" s="418">
        <f t="shared" si="9"/>
        <v>0</v>
      </c>
      <c r="AE35" s="418">
        <f t="shared" si="10"/>
        <v>0</v>
      </c>
      <c r="AF35" s="419">
        <f t="shared" si="11"/>
        <v>0</v>
      </c>
      <c r="AG35" s="64">
        <f>'CAM TENANTS'!A35</f>
        <v>51140</v>
      </c>
      <c r="AH35" s="211" t="str">
        <f>'CAM TENANTS'!B35</f>
        <v>HVAC Repairs</v>
      </c>
      <c r="AI35" s="44">
        <f>'CAM TENANTS'!C35</f>
        <v>0</v>
      </c>
      <c r="AJ35" s="416">
        <v>0</v>
      </c>
      <c r="AK35" s="334">
        <f t="shared" si="12"/>
        <v>0</v>
      </c>
      <c r="AL35" s="222">
        <f>$AI$8/'CAM TENANTS'!D35</f>
        <v>0.55468135326514556</v>
      </c>
      <c r="AM35" s="418">
        <f t="shared" si="13"/>
        <v>0</v>
      </c>
      <c r="AN35" s="418">
        <f t="shared" si="14"/>
        <v>0</v>
      </c>
      <c r="AO35" s="419">
        <f t="shared" si="15"/>
        <v>0</v>
      </c>
      <c r="AP35" s="214"/>
    </row>
    <row r="36" spans="1:42">
      <c r="A36" s="144">
        <f>Summary!A55</f>
        <v>55140</v>
      </c>
      <c r="B36" s="145" t="str">
        <f>Summary!B55</f>
        <v>Water/Common Area</v>
      </c>
      <c r="C36" s="151">
        <f>Summary!O55</f>
        <v>0</v>
      </c>
      <c r="D36" s="153">
        <f>Rent!$C$28</f>
        <v>7626</v>
      </c>
      <c r="E36" s="214"/>
      <c r="F36" s="64">
        <f>'CAM TENANTS'!A36</f>
        <v>55140</v>
      </c>
      <c r="G36" s="7" t="str">
        <f>'CAM TENANTS'!B36</f>
        <v>Water/Common Area</v>
      </c>
      <c r="H36" s="417">
        <f>'CAM TENANTS'!C36</f>
        <v>0</v>
      </c>
      <c r="I36" s="416">
        <f>H36*'Occup,'!$C$28</f>
        <v>0</v>
      </c>
      <c r="J36" s="334">
        <f t="shared" si="0"/>
        <v>0</v>
      </c>
      <c r="K36" s="222">
        <f>$H$8/'CAM TENANTS'!D36</f>
        <v>0.74206661421452924</v>
      </c>
      <c r="L36" s="418">
        <f t="shared" si="1"/>
        <v>0</v>
      </c>
      <c r="M36" s="418">
        <f t="shared" si="2"/>
        <v>0</v>
      </c>
      <c r="N36" s="419">
        <f t="shared" si="3"/>
        <v>0</v>
      </c>
      <c r="O36" s="64">
        <f>'CAM TENANTS'!A36</f>
        <v>55140</v>
      </c>
      <c r="P36" s="211" t="str">
        <f>'CAM TENANTS'!B36</f>
        <v>Water/Common Area</v>
      </c>
      <c r="Q36" s="417">
        <f>'CAM TENANTS'!C36</f>
        <v>0</v>
      </c>
      <c r="R36" s="416">
        <v>0</v>
      </c>
      <c r="S36" s="334">
        <f t="shared" si="4"/>
        <v>0</v>
      </c>
      <c r="T36" s="222">
        <f>$Q$8/'CAM TENANTS'!D36</f>
        <v>0.25793338578547076</v>
      </c>
      <c r="U36" s="418">
        <f t="shared" si="5"/>
        <v>0</v>
      </c>
      <c r="V36" s="418">
        <f t="shared" si="6"/>
        <v>0</v>
      </c>
      <c r="W36" s="419">
        <f t="shared" si="7"/>
        <v>0</v>
      </c>
      <c r="X36" s="64">
        <f>'CAM TENANTS'!A36</f>
        <v>55140</v>
      </c>
      <c r="Y36" s="211" t="str">
        <f>'CAM TENANTS'!B36</f>
        <v>Water/Common Area</v>
      </c>
      <c r="Z36" s="417">
        <f>'CAM TENANTS'!C36</f>
        <v>0</v>
      </c>
      <c r="AA36" s="416">
        <v>0</v>
      </c>
      <c r="AB36" s="334">
        <f t="shared" si="8"/>
        <v>0</v>
      </c>
      <c r="AC36" s="222">
        <f>$Z$8/'CAM TENANTS'!D36</f>
        <v>8.1038552321007082E-2</v>
      </c>
      <c r="AD36" s="418">
        <f t="shared" si="9"/>
        <v>0</v>
      </c>
      <c r="AE36" s="418">
        <f t="shared" si="10"/>
        <v>0</v>
      </c>
      <c r="AF36" s="419">
        <f t="shared" si="11"/>
        <v>0</v>
      </c>
      <c r="AG36" s="64">
        <f>'CAM TENANTS'!A36</f>
        <v>55140</v>
      </c>
      <c r="AH36" s="211" t="str">
        <f>'CAM TENANTS'!B36</f>
        <v>Water/Common Area</v>
      </c>
      <c r="AI36" s="44">
        <f>'CAM TENANTS'!C36</f>
        <v>0</v>
      </c>
      <c r="AJ36" s="416">
        <v>0</v>
      </c>
      <c r="AK36" s="334">
        <f t="shared" si="12"/>
        <v>0</v>
      </c>
      <c r="AL36" s="222">
        <f>$AI$8/'CAM TENANTS'!D36</f>
        <v>0.55468135326514556</v>
      </c>
      <c r="AM36" s="418">
        <f t="shared" si="13"/>
        <v>0</v>
      </c>
      <c r="AN36" s="418">
        <f t="shared" si="14"/>
        <v>0</v>
      </c>
      <c r="AO36" s="419">
        <f t="shared" si="15"/>
        <v>0</v>
      </c>
      <c r="AP36" s="355"/>
    </row>
    <row r="37" spans="1:42">
      <c r="A37" s="227">
        <f>Summary!A56</f>
        <v>51400</v>
      </c>
      <c r="B37" s="239" t="str">
        <f>Summary!B56</f>
        <v>Restroom Remodel-AMORTIZATION</v>
      </c>
      <c r="C37" s="423">
        <f>Summary!O56</f>
        <v>0</v>
      </c>
      <c r="D37" s="226">
        <f>Rent!$C$28</f>
        <v>7626</v>
      </c>
      <c r="E37" s="214"/>
      <c r="F37" s="64">
        <f>'CAM TENANTS'!A37</f>
        <v>51400</v>
      </c>
      <c r="G37" s="7" t="str">
        <f>'CAM TENANTS'!B37</f>
        <v>Restroom Remodel-AMORTIZATION</v>
      </c>
      <c r="H37" s="417">
        <f>'CAM TENANTS'!C37</f>
        <v>0</v>
      </c>
      <c r="I37" s="416">
        <v>0</v>
      </c>
      <c r="J37" s="334">
        <f t="shared" si="0"/>
        <v>0</v>
      </c>
      <c r="K37" s="222">
        <f>$H$8/'CAM TENANTS'!D37</f>
        <v>0.74206661421452924</v>
      </c>
      <c r="L37" s="418">
        <f t="shared" si="1"/>
        <v>0</v>
      </c>
      <c r="M37" s="418">
        <f t="shared" si="2"/>
        <v>0</v>
      </c>
      <c r="N37" s="419">
        <f t="shared" si="3"/>
        <v>0</v>
      </c>
      <c r="O37" s="64">
        <f>'CAM TENANTS'!A37</f>
        <v>51400</v>
      </c>
      <c r="P37" s="211" t="str">
        <f>'CAM TENANTS'!B37</f>
        <v>Restroom Remodel-AMORTIZATION</v>
      </c>
      <c r="Q37" s="417">
        <f>'CAM TENANTS'!C37</f>
        <v>0</v>
      </c>
      <c r="R37" s="416">
        <v>0</v>
      </c>
      <c r="S37" s="334">
        <f t="shared" si="4"/>
        <v>0</v>
      </c>
      <c r="T37" s="222">
        <f>$Q$8/'CAM TENANTS'!D37</f>
        <v>0.25793338578547076</v>
      </c>
      <c r="U37" s="418">
        <f t="shared" si="5"/>
        <v>0</v>
      </c>
      <c r="V37" s="418">
        <f t="shared" si="6"/>
        <v>0</v>
      </c>
      <c r="W37" s="419">
        <f t="shared" si="7"/>
        <v>0</v>
      </c>
      <c r="X37" s="64">
        <f>'CAM TENANTS'!A37</f>
        <v>51400</v>
      </c>
      <c r="Y37" s="211" t="str">
        <f>'CAM TENANTS'!B37</f>
        <v>Restroom Remodel-AMORTIZATION</v>
      </c>
      <c r="Z37" s="417">
        <f>'CAM TENANTS'!C37</f>
        <v>0</v>
      </c>
      <c r="AA37" s="416">
        <v>0</v>
      </c>
      <c r="AB37" s="334">
        <f t="shared" si="8"/>
        <v>0</v>
      </c>
      <c r="AC37" s="222">
        <f>$Z$8/'CAM TENANTS'!D37</f>
        <v>8.1038552321007082E-2</v>
      </c>
      <c r="AD37" s="418">
        <f t="shared" si="9"/>
        <v>0</v>
      </c>
      <c r="AE37" s="418">
        <f t="shared" si="10"/>
        <v>0</v>
      </c>
      <c r="AF37" s="419">
        <f t="shared" si="11"/>
        <v>0</v>
      </c>
      <c r="AG37" s="64">
        <f>'CAM TENANTS'!A37</f>
        <v>51400</v>
      </c>
      <c r="AH37" s="211" t="str">
        <f>'CAM TENANTS'!B37</f>
        <v>Restroom Remodel-AMORTIZATION</v>
      </c>
      <c r="AI37" s="44">
        <f>'CAM TENANTS'!C37</f>
        <v>0</v>
      </c>
      <c r="AJ37" s="416">
        <v>0</v>
      </c>
      <c r="AK37" s="334">
        <f t="shared" si="12"/>
        <v>0</v>
      </c>
      <c r="AL37" s="222">
        <f>$AI$8/'CAM TENANTS'!D37</f>
        <v>0.55468135326514556</v>
      </c>
      <c r="AM37" s="418">
        <f t="shared" si="13"/>
        <v>0</v>
      </c>
      <c r="AN37" s="418">
        <f t="shared" si="14"/>
        <v>0</v>
      </c>
      <c r="AO37" s="419">
        <f t="shared" si="15"/>
        <v>0</v>
      </c>
      <c r="AP37" s="355"/>
    </row>
    <row r="38" spans="1:42">
      <c r="A38" s="227">
        <f>Summary!A57</f>
        <v>51220</v>
      </c>
      <c r="B38" s="239" t="str">
        <f>Summary!B57</f>
        <v>Painting-AMORTIZATION</v>
      </c>
      <c r="C38" s="423">
        <f>Summary!O57</f>
        <v>2509</v>
      </c>
      <c r="D38" s="226">
        <v>12474</v>
      </c>
      <c r="E38" s="214"/>
      <c r="F38" s="64">
        <f>'CAM TENANTS'!A38</f>
        <v>51220</v>
      </c>
      <c r="G38" s="7" t="str">
        <f>'CAM TENANTS'!B38</f>
        <v>Painting-AMORTIZATION</v>
      </c>
      <c r="H38" s="417">
        <f>'CAM TENANTS'!C38</f>
        <v>2509</v>
      </c>
      <c r="I38" s="416">
        <v>0</v>
      </c>
      <c r="J38" s="334">
        <f t="shared" si="0"/>
        <v>2509</v>
      </c>
      <c r="K38" s="222">
        <f>$H$8/'CAM TENANTS'!D38</f>
        <v>0.45366362033028701</v>
      </c>
      <c r="L38" s="418">
        <f t="shared" si="1"/>
        <v>1138.2420234086901</v>
      </c>
      <c r="M38" s="418">
        <f t="shared" si="2"/>
        <v>0</v>
      </c>
      <c r="N38" s="419">
        <f t="shared" si="3"/>
        <v>1138.2420234086901</v>
      </c>
      <c r="O38" s="64">
        <f>'CAM TENANTS'!A38</f>
        <v>51220</v>
      </c>
      <c r="P38" s="211" t="str">
        <f>'CAM TENANTS'!B38</f>
        <v>Painting-AMORTIZATION</v>
      </c>
      <c r="Q38" s="417">
        <f>'CAM TENANTS'!C38</f>
        <v>2509</v>
      </c>
      <c r="R38" s="416">
        <v>0</v>
      </c>
      <c r="S38" s="334">
        <f t="shared" si="4"/>
        <v>2509</v>
      </c>
      <c r="T38" s="222">
        <f>$Q$8/'CAM TENANTS'!D38</f>
        <v>0.15768799102132436</v>
      </c>
      <c r="U38" s="418">
        <f t="shared" si="5"/>
        <v>395.63916947250283</v>
      </c>
      <c r="V38" s="418">
        <f t="shared" si="6"/>
        <v>0</v>
      </c>
      <c r="W38" s="419">
        <f t="shared" si="7"/>
        <v>395.63916947250283</v>
      </c>
      <c r="X38" s="64">
        <f>'CAM TENANTS'!A38</f>
        <v>51220</v>
      </c>
      <c r="Y38" s="211" t="str">
        <f>'CAM TENANTS'!B38</f>
        <v>Painting-AMORTIZATION</v>
      </c>
      <c r="Z38" s="417">
        <f>'CAM TENANTS'!C38</f>
        <v>2509</v>
      </c>
      <c r="AA38" s="416">
        <v>0</v>
      </c>
      <c r="AB38" s="334">
        <f t="shared" si="8"/>
        <v>2509</v>
      </c>
      <c r="AC38" s="222">
        <f>$Z$8/'CAM TENANTS'!D38</f>
        <v>4.9543049543049542E-2</v>
      </c>
      <c r="AD38" s="418">
        <f t="shared" si="9"/>
        <v>124.3035113035113</v>
      </c>
      <c r="AE38" s="418">
        <f t="shared" si="10"/>
        <v>0</v>
      </c>
      <c r="AF38" s="419">
        <f t="shared" si="11"/>
        <v>124.3035113035113</v>
      </c>
      <c r="AG38" s="64">
        <f>'CAM TENANTS'!A38</f>
        <v>51220</v>
      </c>
      <c r="AH38" s="211" t="str">
        <f>'CAM TENANTS'!B38</f>
        <v>Painting-AMORTIZATION</v>
      </c>
      <c r="AI38" s="44">
        <f>'CAM TENANTS'!C38</f>
        <v>2509</v>
      </c>
      <c r="AJ38" s="416">
        <v>0</v>
      </c>
      <c r="AK38" s="334">
        <f t="shared" si="12"/>
        <v>2509</v>
      </c>
      <c r="AL38" s="222">
        <f>$AI$8/'CAM TENANTS'!D38</f>
        <v>0.33910533910533913</v>
      </c>
      <c r="AM38" s="418">
        <f t="shared" si="13"/>
        <v>850.81529581529583</v>
      </c>
      <c r="AN38" s="418">
        <f t="shared" si="14"/>
        <v>0</v>
      </c>
      <c r="AO38" s="419">
        <f t="shared" si="15"/>
        <v>850.81529581529583</v>
      </c>
      <c r="AP38" s="355"/>
    </row>
    <row r="39" spans="1:42">
      <c r="A39" s="64"/>
      <c r="B39" s="211"/>
      <c r="C39" s="424"/>
      <c r="D39" s="7"/>
      <c r="E39" s="7"/>
      <c r="F39" s="64"/>
      <c r="G39" s="57"/>
      <c r="H39" s="417" t="s">
        <v>23</v>
      </c>
      <c r="I39" s="416" t="s">
        <v>23</v>
      </c>
      <c r="J39" s="334" t="s">
        <v>23</v>
      </c>
      <c r="K39" s="222" t="s">
        <v>23</v>
      </c>
      <c r="L39" s="334"/>
      <c r="M39" s="7"/>
      <c r="N39" s="122"/>
      <c r="O39" s="64"/>
      <c r="P39" s="57"/>
      <c r="Q39" s="417" t="s">
        <v>23</v>
      </c>
      <c r="R39" s="416" t="s">
        <v>23</v>
      </c>
      <c r="S39" s="334" t="s">
        <v>23</v>
      </c>
      <c r="T39" s="222" t="s">
        <v>23</v>
      </c>
      <c r="U39" s="334"/>
      <c r="V39" s="7"/>
      <c r="W39" s="122"/>
      <c r="X39" s="64"/>
      <c r="Y39" s="57"/>
      <c r="Z39" s="417" t="s">
        <v>23</v>
      </c>
      <c r="AA39" s="416" t="s">
        <v>23</v>
      </c>
      <c r="AB39" s="334" t="s">
        <v>23</v>
      </c>
      <c r="AC39" s="222"/>
      <c r="AD39" s="334"/>
      <c r="AE39" s="7"/>
      <c r="AF39" s="122"/>
      <c r="AG39" s="64"/>
      <c r="AH39" s="57"/>
      <c r="AI39" s="417" t="s">
        <v>23</v>
      </c>
      <c r="AJ39" s="416" t="s">
        <v>23</v>
      </c>
      <c r="AK39" s="334" t="s">
        <v>23</v>
      </c>
      <c r="AL39" s="222" t="s">
        <v>23</v>
      </c>
      <c r="AM39" s="334"/>
      <c r="AN39" s="7"/>
      <c r="AO39" s="122"/>
      <c r="AP39" s="7"/>
    </row>
    <row r="40" spans="1:42">
      <c r="A40" s="64"/>
      <c r="B40" s="211"/>
      <c r="C40" s="424"/>
      <c r="D40" s="7"/>
      <c r="E40" s="7"/>
      <c r="F40" s="64"/>
      <c r="G40" s="425" t="str">
        <f>'CAM TENANTS'!$B$41</f>
        <v>SUBTOTAL COMMON AREA</v>
      </c>
      <c r="H40" s="426">
        <f>SUM(H15:H38)</f>
        <v>65342</v>
      </c>
      <c r="I40" s="426">
        <f>SUM(I15:I38)</f>
        <v>97638.329386309997</v>
      </c>
      <c r="J40" s="426">
        <f>SUM(J15:J38)</f>
        <v>100147.32938631</v>
      </c>
      <c r="K40" s="426"/>
      <c r="L40" s="427">
        <f>SUM(L15:L38)</f>
        <v>47916.001939653441</v>
      </c>
      <c r="M40" s="427">
        <f>SUM(M15:M38)</f>
        <v>0</v>
      </c>
      <c r="N40" s="427">
        <f>SUM(N15:N38)</f>
        <v>47916.001939653441</v>
      </c>
      <c r="O40" s="64"/>
      <c r="P40" s="425" t="str">
        <f>'CAM TENANTS'!$B$41</f>
        <v>SUBTOTAL COMMON AREA</v>
      </c>
      <c r="Q40" s="426">
        <f>SUM(Q15:Q38)</f>
        <v>65342</v>
      </c>
      <c r="R40" s="426">
        <f>SUM(R15:R38)</f>
        <v>0</v>
      </c>
      <c r="S40" s="426">
        <f>SUM(S15:S38)</f>
        <v>65342</v>
      </c>
      <c r="T40" s="428"/>
      <c r="U40" s="427">
        <f>SUM(U15:U38)</f>
        <v>10859.008196308747</v>
      </c>
      <c r="V40" s="427">
        <f>SUM(V15:V38)</f>
        <v>0</v>
      </c>
      <c r="W40" s="427">
        <f>SUM(W15:W38)</f>
        <v>10859.008196308747</v>
      </c>
      <c r="X40" s="64"/>
      <c r="Y40" s="425" t="str">
        <f>'CAM TENANTS'!$B$41</f>
        <v>SUBTOTAL COMMON AREA</v>
      </c>
      <c r="Z40" s="426">
        <f>SUM(Z15:Z38)</f>
        <v>65342</v>
      </c>
      <c r="AA40" s="426">
        <f>SUM(AA15:AA38)</f>
        <v>-3500</v>
      </c>
      <c r="AB40" s="426">
        <f>SUM(AB15:AB38)</f>
        <v>61842</v>
      </c>
      <c r="AC40" s="428"/>
      <c r="AD40" s="427">
        <f>SUM(AD15:AD38)</f>
        <v>3238.3263552311541</v>
      </c>
      <c r="AE40" s="427">
        <f>SUM(AE15:AE38)</f>
        <v>0</v>
      </c>
      <c r="AF40" s="427">
        <f>SUM(AF15:AF38)</f>
        <v>3238.3263552311541</v>
      </c>
      <c r="AG40" s="64"/>
      <c r="AH40" s="425" t="str">
        <f>'CAM TENANTS'!$B$41</f>
        <v>SUBTOTAL COMMON AREA</v>
      </c>
      <c r="AI40" s="426">
        <f>SUM(AI15:AI38)</f>
        <v>65342</v>
      </c>
      <c r="AJ40" s="426">
        <f>SUM(AJ15:AJ38)</f>
        <v>-3500</v>
      </c>
      <c r="AK40" s="426">
        <f>SUM(AK15:AK38)</f>
        <v>61842</v>
      </c>
      <c r="AL40" s="428"/>
      <c r="AM40" s="427">
        <f>SUM(AM15:AM38)</f>
        <v>22165.243499397708</v>
      </c>
      <c r="AN40" s="427">
        <f>SUM(AN15:AN38)</f>
        <v>0</v>
      </c>
      <c r="AO40" s="427">
        <f>SUM(AO15:AO38)</f>
        <v>22165.243499397708</v>
      </c>
      <c r="AP40" s="7"/>
    </row>
    <row r="41" spans="1:42">
      <c r="A41" s="64"/>
      <c r="B41" s="232" t="str">
        <f>Summary!B59</f>
        <v>SUBTOTAL COMMON AREA</v>
      </c>
      <c r="C41" s="429">
        <f>SUM(C15:C38)</f>
        <v>65342</v>
      </c>
      <c r="D41" s="57"/>
      <c r="E41" s="57"/>
      <c r="F41" s="64"/>
      <c r="G41" s="57"/>
      <c r="H41" s="430"/>
      <c r="I41" s="431"/>
      <c r="J41" s="431"/>
      <c r="K41" s="353"/>
      <c r="L41" s="7"/>
      <c r="M41" s="7"/>
      <c r="N41" s="7"/>
      <c r="O41" s="64"/>
      <c r="P41" s="57"/>
      <c r="Q41" s="430"/>
      <c r="R41" s="431"/>
      <c r="S41" s="431"/>
      <c r="T41" s="353"/>
      <c r="U41" s="7"/>
      <c r="V41" s="7"/>
      <c r="W41" s="7"/>
      <c r="X41" s="64"/>
      <c r="Y41" s="57"/>
      <c r="Z41" s="430"/>
      <c r="AA41" s="431"/>
      <c r="AB41" s="431"/>
      <c r="AC41" s="353"/>
      <c r="AD41" s="7"/>
      <c r="AE41" s="7"/>
      <c r="AF41" s="7"/>
      <c r="AG41" s="64"/>
      <c r="AH41" s="57"/>
      <c r="AI41" s="430"/>
      <c r="AJ41" s="431"/>
      <c r="AK41" s="431"/>
      <c r="AL41" s="353"/>
      <c r="AM41" s="7"/>
      <c r="AN41" s="7"/>
      <c r="AO41" s="7"/>
      <c r="AP41" s="317"/>
    </row>
    <row r="42" spans="1:42">
      <c r="A42" s="64"/>
      <c r="B42" s="7"/>
      <c r="C42" s="424"/>
      <c r="D42" s="7"/>
      <c r="E42" s="7"/>
      <c r="F42" s="64"/>
      <c r="G42" s="57" t="str">
        <f>'CAM TENANTS'!$B$43</f>
        <v>BUILDING EXPENSE</v>
      </c>
      <c r="H42" s="430"/>
      <c r="I42" s="431"/>
      <c r="J42" s="431"/>
      <c r="K42" s="353"/>
      <c r="L42" s="431"/>
      <c r="M42" s="7"/>
      <c r="N42" s="431"/>
      <c r="O42" s="64"/>
      <c r="P42" s="57" t="str">
        <f>'CAM TENANTS'!$B$43</f>
        <v>BUILDING EXPENSE</v>
      </c>
      <c r="Q42" s="430"/>
      <c r="R42" s="431"/>
      <c r="S42" s="431"/>
      <c r="T42" s="353"/>
      <c r="U42" s="431"/>
      <c r="V42" s="7"/>
      <c r="W42" s="431"/>
      <c r="X42" s="64"/>
      <c r="Y42" s="57" t="str">
        <f>'CAM TENANTS'!$B$43</f>
        <v>BUILDING EXPENSE</v>
      </c>
      <c r="Z42" s="430"/>
      <c r="AA42" s="431"/>
      <c r="AB42" s="431"/>
      <c r="AC42" s="353"/>
      <c r="AD42" s="431"/>
      <c r="AE42" s="7"/>
      <c r="AF42" s="431"/>
      <c r="AG42" s="64"/>
      <c r="AH42" s="57" t="str">
        <f>'CAM TENANTS'!$B$43</f>
        <v>BUILDING EXPENSE</v>
      </c>
      <c r="AI42" s="430"/>
      <c r="AJ42" s="431"/>
      <c r="AK42" s="431"/>
      <c r="AL42" s="353"/>
      <c r="AM42" s="431"/>
      <c r="AN42" s="7"/>
      <c r="AO42" s="431"/>
      <c r="AP42" s="7"/>
    </row>
    <row r="43" spans="1:42">
      <c r="A43" s="64"/>
      <c r="B43" s="232" t="str">
        <f>Summary!B61</f>
        <v>BUILDING EXPENSE</v>
      </c>
      <c r="C43" s="424"/>
      <c r="D43" s="232"/>
      <c r="E43" s="232"/>
      <c r="F43" s="64">
        <f>'CAM TENANTS'!$A$44</f>
        <v>51060</v>
      </c>
      <c r="G43" s="7" t="str">
        <f>'CAM TENANTS'!$B$44</f>
        <v>Roof Maintenance</v>
      </c>
      <c r="H43" s="417">
        <f>'CAM TENANTS'!$C$44</f>
        <v>1500</v>
      </c>
      <c r="I43" s="416">
        <f>H43*'Occup,'!$C$28</f>
        <v>2330.9008654602676</v>
      </c>
      <c r="J43" s="334">
        <f t="shared" ref="J43:J50" si="16">IF(I43=0,H43,I43)</f>
        <v>2330.9008654602676</v>
      </c>
      <c r="K43" s="222">
        <f>$H$8/'CAM TENANTS'!D44</f>
        <v>0.45366362033028701</v>
      </c>
      <c r="L43" s="418">
        <f t="shared" ref="L43:L50" si="17">J43*K43</f>
        <v>1057.4449252557042</v>
      </c>
      <c r="M43" s="418">
        <f t="shared" ref="M43:M50" si="18">L43*$M$12</f>
        <v>0</v>
      </c>
      <c r="N43" s="419">
        <f t="shared" ref="N43:N50" si="19">L43+M43</f>
        <v>1057.4449252557042</v>
      </c>
      <c r="O43" s="64">
        <f>'CAM TENANTS'!$A$44</f>
        <v>51060</v>
      </c>
      <c r="P43" s="7" t="str">
        <f>'CAM TENANTS'!$B$44</f>
        <v>Roof Maintenance</v>
      </c>
      <c r="Q43" s="417">
        <f>'CAM TENANTS'!$C$44</f>
        <v>1500</v>
      </c>
      <c r="R43" s="416">
        <v>0</v>
      </c>
      <c r="S43" s="334">
        <f t="shared" ref="S43:S50" si="20">Q43+R43</f>
        <v>1500</v>
      </c>
      <c r="T43" s="222">
        <f>$Q$8/'CAM TENANTS'!$D$44</f>
        <v>0.15768799102132436</v>
      </c>
      <c r="U43" s="418">
        <f t="shared" ref="U43:U50" si="21">S43*T43</f>
        <v>236.53198653198655</v>
      </c>
      <c r="V43" s="418">
        <f t="shared" ref="V43:V50" si="22">U43*$V$12</f>
        <v>0</v>
      </c>
      <c r="W43" s="419">
        <f t="shared" ref="W43:W50" si="23">U43+V43</f>
        <v>236.53198653198655</v>
      </c>
      <c r="X43" s="64">
        <f>'CAM TENANTS'!$A$44</f>
        <v>51060</v>
      </c>
      <c r="Y43" s="7" t="str">
        <f>'CAM TENANTS'!$B$44</f>
        <v>Roof Maintenance</v>
      </c>
      <c r="Z43" s="417">
        <f>'CAM TENANTS'!$C$44</f>
        <v>1500</v>
      </c>
      <c r="AA43" s="416">
        <v>0</v>
      </c>
      <c r="AB43" s="334">
        <f t="shared" ref="AB43:AB50" si="24">Z43+AA43</f>
        <v>1500</v>
      </c>
      <c r="AC43" s="222">
        <f>$Z$8/'CAM TENANTS'!D44</f>
        <v>4.9543049543049542E-2</v>
      </c>
      <c r="AD43" s="418">
        <f t="shared" ref="AD43:AD50" si="25">AB43*AC43</f>
        <v>74.314574314574315</v>
      </c>
      <c r="AE43" s="418">
        <f t="shared" ref="AE43:AE50" si="26">AD43*$V$12</f>
        <v>0</v>
      </c>
      <c r="AF43" s="419">
        <f t="shared" ref="AF43:AF50" si="27">AD43+AE43</f>
        <v>74.314574314574315</v>
      </c>
      <c r="AG43" s="64">
        <f>'CAM TENANTS'!$A$44</f>
        <v>51060</v>
      </c>
      <c r="AH43" s="7" t="str">
        <f>'CAM TENANTS'!$B$44</f>
        <v>Roof Maintenance</v>
      </c>
      <c r="AI43" s="417">
        <f>'CAM TENANTS'!$C$44</f>
        <v>1500</v>
      </c>
      <c r="AJ43" s="416">
        <v>0</v>
      </c>
      <c r="AK43" s="334">
        <f t="shared" ref="AK43:AK50" si="28">AI43+AJ43</f>
        <v>1500</v>
      </c>
      <c r="AL43" s="222">
        <f>$AI$8/'CAM TENANTS'!D44</f>
        <v>0.33910533910533913</v>
      </c>
      <c r="AM43" s="418">
        <f t="shared" ref="AM43:AM50" si="29">AK43*AL43</f>
        <v>508.65800865800873</v>
      </c>
      <c r="AN43" s="418">
        <f t="shared" ref="AN43:AN50" si="30">AM43*$V$12</f>
        <v>0</v>
      </c>
      <c r="AO43" s="419">
        <f t="shared" ref="AO43:AO50" si="31">AM43+AN43</f>
        <v>508.65800865800873</v>
      </c>
      <c r="AP43" s="232"/>
    </row>
    <row r="44" spans="1:42">
      <c r="A44" s="163">
        <f>Summary!A62</f>
        <v>51060</v>
      </c>
      <c r="B44" s="164" t="str">
        <f>Summary!B62</f>
        <v>Roof Maintenance</v>
      </c>
      <c r="C44" s="165">
        <f>Summary!O62</f>
        <v>1500</v>
      </c>
      <c r="D44" s="166">
        <v>12474</v>
      </c>
      <c r="E44" s="214"/>
      <c r="F44" s="64">
        <f>'CAM TENANTS'!$A$45</f>
        <v>51070</v>
      </c>
      <c r="G44" s="7" t="str">
        <f>'CAM TENANTS'!$B$45</f>
        <v>Roof Repairs</v>
      </c>
      <c r="H44" s="417">
        <f>'CAM TENANTS'!$C$45</f>
        <v>1500</v>
      </c>
      <c r="I44" s="416">
        <f>H44*'Occup,'!$C$28</f>
        <v>2330.9008654602676</v>
      </c>
      <c r="J44" s="334">
        <f t="shared" si="16"/>
        <v>2330.9008654602676</v>
      </c>
      <c r="K44" s="222">
        <f>$H$8/'CAM TENANTS'!D45</f>
        <v>0.45366362033028701</v>
      </c>
      <c r="L44" s="418">
        <f t="shared" si="17"/>
        <v>1057.4449252557042</v>
      </c>
      <c r="M44" s="418">
        <f t="shared" si="18"/>
        <v>0</v>
      </c>
      <c r="N44" s="419">
        <f t="shared" si="19"/>
        <v>1057.4449252557042</v>
      </c>
      <c r="O44" s="64">
        <f>'CAM TENANTS'!$A$45</f>
        <v>51070</v>
      </c>
      <c r="P44" s="7" t="str">
        <f>'CAM TENANTS'!$B$45</f>
        <v>Roof Repairs</v>
      </c>
      <c r="Q44" s="417">
        <f>'CAM TENANTS'!$C$45</f>
        <v>1500</v>
      </c>
      <c r="R44" s="416">
        <v>0</v>
      </c>
      <c r="S44" s="334">
        <f t="shared" si="20"/>
        <v>1500</v>
      </c>
      <c r="T44" s="222">
        <f>$Q$8/'CAM TENANTS'!$D$44</f>
        <v>0.15768799102132436</v>
      </c>
      <c r="U44" s="418">
        <f t="shared" si="21"/>
        <v>236.53198653198655</v>
      </c>
      <c r="V44" s="418">
        <f t="shared" si="22"/>
        <v>0</v>
      </c>
      <c r="W44" s="419">
        <f t="shared" si="23"/>
        <v>236.53198653198655</v>
      </c>
      <c r="X44" s="64">
        <f>'CAM TENANTS'!$A$45</f>
        <v>51070</v>
      </c>
      <c r="Y44" s="7" t="str">
        <f>'CAM TENANTS'!$B$45</f>
        <v>Roof Repairs</v>
      </c>
      <c r="Z44" s="417">
        <f>'CAM TENANTS'!$C$45</f>
        <v>1500</v>
      </c>
      <c r="AA44" s="416">
        <v>0</v>
      </c>
      <c r="AB44" s="334">
        <f t="shared" si="24"/>
        <v>1500</v>
      </c>
      <c r="AC44" s="222">
        <f>$Z$8/'CAM TENANTS'!D45</f>
        <v>4.9543049543049542E-2</v>
      </c>
      <c r="AD44" s="418">
        <f t="shared" si="25"/>
        <v>74.314574314574315</v>
      </c>
      <c r="AE44" s="418">
        <f t="shared" si="26"/>
        <v>0</v>
      </c>
      <c r="AF44" s="419">
        <f t="shared" si="27"/>
        <v>74.314574314574315</v>
      </c>
      <c r="AG44" s="64">
        <f>'CAM TENANTS'!$A$45</f>
        <v>51070</v>
      </c>
      <c r="AH44" s="7" t="str">
        <f>'CAM TENANTS'!$B$45</f>
        <v>Roof Repairs</v>
      </c>
      <c r="AI44" s="417">
        <f>'CAM TENANTS'!$C$45</f>
        <v>1500</v>
      </c>
      <c r="AJ44" s="416">
        <v>0</v>
      </c>
      <c r="AK44" s="334">
        <f t="shared" si="28"/>
        <v>1500</v>
      </c>
      <c r="AL44" s="222">
        <f>$AI$8/'CAM TENANTS'!D45</f>
        <v>0.33910533910533913</v>
      </c>
      <c r="AM44" s="418">
        <f t="shared" si="29"/>
        <v>508.65800865800873</v>
      </c>
      <c r="AN44" s="418">
        <f t="shared" si="30"/>
        <v>0</v>
      </c>
      <c r="AO44" s="419">
        <f t="shared" si="31"/>
        <v>508.65800865800873</v>
      </c>
      <c r="AP44" s="355"/>
    </row>
    <row r="45" spans="1:42">
      <c r="A45" s="163">
        <f>Summary!A63</f>
        <v>51070</v>
      </c>
      <c r="B45" s="164" t="str">
        <f>Summary!B63</f>
        <v>Roof Repairs</v>
      </c>
      <c r="C45" s="165">
        <f>Summary!O63</f>
        <v>1500</v>
      </c>
      <c r="D45" s="166">
        <v>12474</v>
      </c>
      <c r="E45" s="214"/>
      <c r="F45" s="64">
        <f>'CAM TENANTS'!$A$46</f>
        <v>51110</v>
      </c>
      <c r="G45" s="7" t="str">
        <f>'CAM TENANTS'!$B$46</f>
        <v>Monitor Fire Sprinklers</v>
      </c>
      <c r="H45" s="417">
        <f>'CAM TENANTS'!$C$46</f>
        <v>0</v>
      </c>
      <c r="I45" s="416">
        <f>H45*'Occup,'!$C$28</f>
        <v>0</v>
      </c>
      <c r="J45" s="334">
        <f t="shared" si="16"/>
        <v>0</v>
      </c>
      <c r="K45" s="222">
        <f>$H$8/'CAM TENANTS'!D46</f>
        <v>0.45366362033028701</v>
      </c>
      <c r="L45" s="418">
        <f t="shared" si="17"/>
        <v>0</v>
      </c>
      <c r="M45" s="418">
        <f t="shared" si="18"/>
        <v>0</v>
      </c>
      <c r="N45" s="419">
        <f t="shared" si="19"/>
        <v>0</v>
      </c>
      <c r="O45" s="64">
        <f>'CAM TENANTS'!$A$46</f>
        <v>51110</v>
      </c>
      <c r="P45" s="7" t="str">
        <f>'CAM TENANTS'!$B$46</f>
        <v>Monitor Fire Sprinklers</v>
      </c>
      <c r="Q45" s="417">
        <f>'CAM TENANTS'!$C$46</f>
        <v>0</v>
      </c>
      <c r="R45" s="416">
        <v>0</v>
      </c>
      <c r="S45" s="334">
        <f t="shared" si="20"/>
        <v>0</v>
      </c>
      <c r="T45" s="222">
        <f>$Q$8/'CAM TENANTS'!$D$44</f>
        <v>0.15768799102132436</v>
      </c>
      <c r="U45" s="418">
        <f t="shared" si="21"/>
        <v>0</v>
      </c>
      <c r="V45" s="418">
        <f t="shared" si="22"/>
        <v>0</v>
      </c>
      <c r="W45" s="419">
        <f t="shared" si="23"/>
        <v>0</v>
      </c>
      <c r="X45" s="64">
        <f>'CAM TENANTS'!$A$46</f>
        <v>51110</v>
      </c>
      <c r="Y45" s="7" t="str">
        <f>'CAM TENANTS'!$B$46</f>
        <v>Monitor Fire Sprinklers</v>
      </c>
      <c r="Z45" s="417">
        <f>'CAM TENANTS'!$C$46</f>
        <v>0</v>
      </c>
      <c r="AA45" s="416">
        <v>0</v>
      </c>
      <c r="AB45" s="334">
        <f t="shared" si="24"/>
        <v>0</v>
      </c>
      <c r="AC45" s="222">
        <f>$Z$8/'CAM TENANTS'!D46</f>
        <v>4.9543049543049542E-2</v>
      </c>
      <c r="AD45" s="418">
        <f t="shared" si="25"/>
        <v>0</v>
      </c>
      <c r="AE45" s="418">
        <f t="shared" si="26"/>
        <v>0</v>
      </c>
      <c r="AF45" s="419">
        <f t="shared" si="27"/>
        <v>0</v>
      </c>
      <c r="AG45" s="64">
        <f>'CAM TENANTS'!$A$46</f>
        <v>51110</v>
      </c>
      <c r="AH45" s="7" t="str">
        <f>'CAM TENANTS'!$B$46</f>
        <v>Monitor Fire Sprinklers</v>
      </c>
      <c r="AI45" s="417">
        <f>'CAM TENANTS'!$C$46</f>
        <v>0</v>
      </c>
      <c r="AJ45" s="416">
        <v>0</v>
      </c>
      <c r="AK45" s="334">
        <f t="shared" si="28"/>
        <v>0</v>
      </c>
      <c r="AL45" s="222">
        <f>$AI$8/'CAM TENANTS'!D46</f>
        <v>0.33910533910533913</v>
      </c>
      <c r="AM45" s="418">
        <f t="shared" si="29"/>
        <v>0</v>
      </c>
      <c r="AN45" s="418">
        <f t="shared" si="30"/>
        <v>0</v>
      </c>
      <c r="AO45" s="419">
        <f t="shared" si="31"/>
        <v>0</v>
      </c>
      <c r="AP45" s="355"/>
    </row>
    <row r="46" spans="1:42">
      <c r="A46" s="163">
        <f>Summary!A64</f>
        <v>51110</v>
      </c>
      <c r="B46" s="164" t="str">
        <f>Summary!B64</f>
        <v>Monitor Fire Sprinklers</v>
      </c>
      <c r="C46" s="165">
        <f>Summary!O64</f>
        <v>0</v>
      </c>
      <c r="D46" s="166">
        <f t="shared" ref="D46:D51" si="32">D45</f>
        <v>12474</v>
      </c>
      <c r="E46" s="214"/>
      <c r="F46" s="64">
        <f>'CAM TENANTS'!$A$47</f>
        <v>51170</v>
      </c>
      <c r="G46" s="7" t="str">
        <f>'CAM TENANTS'!$B$47</f>
        <v>Locks &amp; Keys</v>
      </c>
      <c r="H46" s="417">
        <f>'CAM TENANTS'!$C$47</f>
        <v>0</v>
      </c>
      <c r="I46" s="416">
        <f>H46*'Occup,'!$C$28</f>
        <v>0</v>
      </c>
      <c r="J46" s="334">
        <f t="shared" si="16"/>
        <v>0</v>
      </c>
      <c r="K46" s="222">
        <f>$H$8/'CAM TENANTS'!D47</f>
        <v>0.45366362033028701</v>
      </c>
      <c r="L46" s="418">
        <f t="shared" si="17"/>
        <v>0</v>
      </c>
      <c r="M46" s="418">
        <f t="shared" si="18"/>
        <v>0</v>
      </c>
      <c r="N46" s="419">
        <f t="shared" si="19"/>
        <v>0</v>
      </c>
      <c r="O46" s="64">
        <f>'CAM TENANTS'!$A$47</f>
        <v>51170</v>
      </c>
      <c r="P46" s="7" t="str">
        <f>'CAM TENANTS'!$B$47</f>
        <v>Locks &amp; Keys</v>
      </c>
      <c r="Q46" s="417">
        <f>'CAM TENANTS'!$C$47</f>
        <v>0</v>
      </c>
      <c r="R46" s="416">
        <v>0</v>
      </c>
      <c r="S46" s="334">
        <f t="shared" si="20"/>
        <v>0</v>
      </c>
      <c r="T46" s="222">
        <f>$Q$8/'CAM TENANTS'!$D$44</f>
        <v>0.15768799102132436</v>
      </c>
      <c r="U46" s="418">
        <f t="shared" si="21"/>
        <v>0</v>
      </c>
      <c r="V46" s="418">
        <f t="shared" si="22"/>
        <v>0</v>
      </c>
      <c r="W46" s="419">
        <f t="shared" si="23"/>
        <v>0</v>
      </c>
      <c r="X46" s="64">
        <f>'CAM TENANTS'!$A$47</f>
        <v>51170</v>
      </c>
      <c r="Y46" s="7" t="str">
        <f>'CAM TENANTS'!$B$47</f>
        <v>Locks &amp; Keys</v>
      </c>
      <c r="Z46" s="417">
        <f>'CAM TENANTS'!$C$47</f>
        <v>0</v>
      </c>
      <c r="AA46" s="416">
        <v>0</v>
      </c>
      <c r="AB46" s="334">
        <f t="shared" si="24"/>
        <v>0</v>
      </c>
      <c r="AC46" s="222">
        <f>$Z$8/'CAM TENANTS'!D47</f>
        <v>4.9543049543049542E-2</v>
      </c>
      <c r="AD46" s="418">
        <f t="shared" si="25"/>
        <v>0</v>
      </c>
      <c r="AE46" s="418">
        <f t="shared" si="26"/>
        <v>0</v>
      </c>
      <c r="AF46" s="419">
        <f t="shared" si="27"/>
        <v>0</v>
      </c>
      <c r="AG46" s="64">
        <f>'CAM TENANTS'!$A$47</f>
        <v>51170</v>
      </c>
      <c r="AH46" s="7" t="str">
        <f>'CAM TENANTS'!$B$47</f>
        <v>Locks &amp; Keys</v>
      </c>
      <c r="AI46" s="417">
        <f>'CAM TENANTS'!$C$47</f>
        <v>0</v>
      </c>
      <c r="AJ46" s="416">
        <v>0</v>
      </c>
      <c r="AK46" s="334">
        <f t="shared" si="28"/>
        <v>0</v>
      </c>
      <c r="AL46" s="222">
        <f>$AI$8/'CAM TENANTS'!D47</f>
        <v>0.33910533910533913</v>
      </c>
      <c r="AM46" s="418">
        <f t="shared" si="29"/>
        <v>0</v>
      </c>
      <c r="AN46" s="418">
        <f t="shared" si="30"/>
        <v>0</v>
      </c>
      <c r="AO46" s="419">
        <f t="shared" si="31"/>
        <v>0</v>
      </c>
      <c r="AP46" s="355"/>
    </row>
    <row r="47" spans="1:42">
      <c r="A47" s="163">
        <f>Summary!A66</f>
        <v>51170</v>
      </c>
      <c r="B47" s="164" t="str">
        <f>Summary!B66</f>
        <v>Locks &amp; Keys</v>
      </c>
      <c r="C47" s="165">
        <f>Summary!O66</f>
        <v>0</v>
      </c>
      <c r="D47" s="166">
        <f t="shared" si="32"/>
        <v>12474</v>
      </c>
      <c r="E47" s="214"/>
      <c r="F47" s="64">
        <f>'CAM TENANTS'!$A$48</f>
        <v>52020</v>
      </c>
      <c r="G47" s="7" t="str">
        <f>'CAM TENANTS'!$B$48</f>
        <v>Backflow Maintenance</v>
      </c>
      <c r="H47" s="417">
        <f>'CAM TENANTS'!$C$48</f>
        <v>55</v>
      </c>
      <c r="I47" s="416">
        <f>H47*'Occup,'!$C$28</f>
        <v>85.466365066876477</v>
      </c>
      <c r="J47" s="334">
        <f t="shared" si="16"/>
        <v>85.466365066876477</v>
      </c>
      <c r="K47" s="222">
        <f>$H$8/'CAM TENANTS'!D48</f>
        <v>0.45366362033028701</v>
      </c>
      <c r="L47" s="418">
        <f t="shared" si="17"/>
        <v>38.772980592709153</v>
      </c>
      <c r="M47" s="418">
        <f t="shared" si="18"/>
        <v>0</v>
      </c>
      <c r="N47" s="419">
        <f t="shared" si="19"/>
        <v>38.772980592709153</v>
      </c>
      <c r="O47" s="64">
        <f>'CAM TENANTS'!$A$48</f>
        <v>52020</v>
      </c>
      <c r="P47" s="7" t="str">
        <f>'CAM TENANTS'!$B$48</f>
        <v>Backflow Maintenance</v>
      </c>
      <c r="Q47" s="417">
        <f>'CAM TENANTS'!$C$48</f>
        <v>55</v>
      </c>
      <c r="R47" s="416">
        <v>0</v>
      </c>
      <c r="S47" s="334">
        <f t="shared" si="20"/>
        <v>55</v>
      </c>
      <c r="T47" s="222">
        <f>$Q$8/'CAM TENANTS'!$D$44</f>
        <v>0.15768799102132436</v>
      </c>
      <c r="U47" s="418">
        <f t="shared" si="21"/>
        <v>8.6728395061728403</v>
      </c>
      <c r="V47" s="418">
        <f t="shared" si="22"/>
        <v>0</v>
      </c>
      <c r="W47" s="419">
        <f t="shared" si="23"/>
        <v>8.6728395061728403</v>
      </c>
      <c r="X47" s="64">
        <f>'CAM TENANTS'!$A$48</f>
        <v>52020</v>
      </c>
      <c r="Y47" s="7" t="str">
        <f>'CAM TENANTS'!$B$48</f>
        <v>Backflow Maintenance</v>
      </c>
      <c r="Z47" s="417">
        <f>'CAM TENANTS'!$C$48</f>
        <v>55</v>
      </c>
      <c r="AA47" s="416">
        <v>0</v>
      </c>
      <c r="AB47" s="334">
        <f t="shared" si="24"/>
        <v>55</v>
      </c>
      <c r="AC47" s="222">
        <f>$Z$8/'CAM TENANTS'!D48</f>
        <v>4.9543049543049542E-2</v>
      </c>
      <c r="AD47" s="418">
        <f t="shared" si="25"/>
        <v>2.7248677248677247</v>
      </c>
      <c r="AE47" s="418">
        <f t="shared" si="26"/>
        <v>0</v>
      </c>
      <c r="AF47" s="419">
        <f t="shared" si="27"/>
        <v>2.7248677248677247</v>
      </c>
      <c r="AG47" s="64">
        <f>'CAM TENANTS'!$A$48</f>
        <v>52020</v>
      </c>
      <c r="AH47" s="7" t="str">
        <f>'CAM TENANTS'!$B$48</f>
        <v>Backflow Maintenance</v>
      </c>
      <c r="AI47" s="417">
        <f>'CAM TENANTS'!$C$48</f>
        <v>55</v>
      </c>
      <c r="AJ47" s="416">
        <v>0</v>
      </c>
      <c r="AK47" s="334">
        <f t="shared" si="28"/>
        <v>55</v>
      </c>
      <c r="AL47" s="222">
        <f>$AI$8/'CAM TENANTS'!D48</f>
        <v>0.33910533910533913</v>
      </c>
      <c r="AM47" s="418">
        <f t="shared" si="29"/>
        <v>18.650793650793652</v>
      </c>
      <c r="AN47" s="418">
        <f t="shared" si="30"/>
        <v>0</v>
      </c>
      <c r="AO47" s="419">
        <f t="shared" si="31"/>
        <v>18.650793650793652</v>
      </c>
      <c r="AP47" s="355"/>
    </row>
    <row r="48" spans="1:42">
      <c r="A48" s="163">
        <f>Summary!A67</f>
        <v>52020</v>
      </c>
      <c r="B48" s="164" t="str">
        <f>Summary!B67</f>
        <v>Backflow Maintenance</v>
      </c>
      <c r="C48" s="165">
        <f>Summary!O67</f>
        <v>55</v>
      </c>
      <c r="D48" s="166">
        <f t="shared" si="32"/>
        <v>12474</v>
      </c>
      <c r="E48" s="214"/>
      <c r="F48" s="64">
        <f>'CAM TENANTS'!$A$49</f>
        <v>52030</v>
      </c>
      <c r="G48" s="7" t="str">
        <f>'CAM TENANTS'!$B$49</f>
        <v>Backflow Repairs</v>
      </c>
      <c r="H48" s="417">
        <f>'CAM TENANTS'!$C$49</f>
        <v>150</v>
      </c>
      <c r="I48" s="416">
        <f>H48*'Occup,'!$C$28</f>
        <v>233.09008654602675</v>
      </c>
      <c r="J48" s="334">
        <f t="shared" si="16"/>
        <v>233.09008654602675</v>
      </c>
      <c r="K48" s="222">
        <f>$H$8/'CAM TENANTS'!D49</f>
        <v>0.45366362033028701</v>
      </c>
      <c r="L48" s="418">
        <f t="shared" si="17"/>
        <v>105.74449252557042</v>
      </c>
      <c r="M48" s="418">
        <f t="shared" si="18"/>
        <v>0</v>
      </c>
      <c r="N48" s="419">
        <f t="shared" si="19"/>
        <v>105.74449252557042</v>
      </c>
      <c r="O48" s="64">
        <f>'CAM TENANTS'!$A$49</f>
        <v>52030</v>
      </c>
      <c r="P48" s="7" t="str">
        <f>'CAM TENANTS'!$B$49</f>
        <v>Backflow Repairs</v>
      </c>
      <c r="Q48" s="417">
        <f>'CAM TENANTS'!$C$49</f>
        <v>150</v>
      </c>
      <c r="R48" s="416">
        <v>0</v>
      </c>
      <c r="S48" s="334">
        <f t="shared" si="20"/>
        <v>150</v>
      </c>
      <c r="T48" s="222">
        <f>$Q$8/'CAM TENANTS'!$D$44</f>
        <v>0.15768799102132436</v>
      </c>
      <c r="U48" s="418">
        <f t="shared" si="21"/>
        <v>23.653198653198654</v>
      </c>
      <c r="V48" s="418">
        <f t="shared" si="22"/>
        <v>0</v>
      </c>
      <c r="W48" s="419">
        <f t="shared" si="23"/>
        <v>23.653198653198654</v>
      </c>
      <c r="X48" s="64">
        <f>'CAM TENANTS'!$A$49</f>
        <v>52030</v>
      </c>
      <c r="Y48" s="7" t="str">
        <f>'CAM TENANTS'!$B$49</f>
        <v>Backflow Repairs</v>
      </c>
      <c r="Z48" s="417">
        <f>'CAM TENANTS'!$C$49</f>
        <v>150</v>
      </c>
      <c r="AA48" s="416">
        <v>0</v>
      </c>
      <c r="AB48" s="334">
        <f t="shared" si="24"/>
        <v>150</v>
      </c>
      <c r="AC48" s="222">
        <f>$Z$8/'CAM TENANTS'!D49</f>
        <v>4.9543049543049542E-2</v>
      </c>
      <c r="AD48" s="418">
        <f t="shared" si="25"/>
        <v>7.4314574314574315</v>
      </c>
      <c r="AE48" s="418">
        <f t="shared" si="26"/>
        <v>0</v>
      </c>
      <c r="AF48" s="419">
        <f t="shared" si="27"/>
        <v>7.4314574314574315</v>
      </c>
      <c r="AG48" s="64">
        <f>'CAM TENANTS'!$A$49</f>
        <v>52030</v>
      </c>
      <c r="AH48" s="7" t="str">
        <f>'CAM TENANTS'!$B$49</f>
        <v>Backflow Repairs</v>
      </c>
      <c r="AI48" s="417">
        <f>'CAM TENANTS'!$C$49</f>
        <v>150</v>
      </c>
      <c r="AJ48" s="416">
        <v>0</v>
      </c>
      <c r="AK48" s="334">
        <f t="shared" si="28"/>
        <v>150</v>
      </c>
      <c r="AL48" s="222">
        <f>$AI$8/'CAM TENANTS'!D49</f>
        <v>0.33910533910533913</v>
      </c>
      <c r="AM48" s="418">
        <f t="shared" si="29"/>
        <v>50.865800865800871</v>
      </c>
      <c r="AN48" s="418">
        <f t="shared" si="30"/>
        <v>0</v>
      </c>
      <c r="AO48" s="419">
        <f t="shared" si="31"/>
        <v>50.865800865800871</v>
      </c>
      <c r="AP48" s="355"/>
    </row>
    <row r="49" spans="1:42">
      <c r="A49" s="163">
        <f>Summary!A68</f>
        <v>52030</v>
      </c>
      <c r="B49" s="164" t="str">
        <f>Summary!B68</f>
        <v>Backflow Repairs</v>
      </c>
      <c r="C49" s="165">
        <f>Summary!O68</f>
        <v>150</v>
      </c>
      <c r="D49" s="166">
        <f t="shared" si="32"/>
        <v>12474</v>
      </c>
      <c r="E49" s="214"/>
      <c r="F49" s="64">
        <f>'CAM TENANTS'!$A$50</f>
        <v>55102</v>
      </c>
      <c r="G49" s="7" t="str">
        <f>'CAM TENANTS'!$B$50</f>
        <v>Electricity/Building</v>
      </c>
      <c r="H49" s="417">
        <f>'CAM TENANTS'!$C$50</f>
        <v>27720</v>
      </c>
      <c r="I49" s="416">
        <f>H49*'Occup,'!$C$28</f>
        <v>43075.047993705746</v>
      </c>
      <c r="J49" s="334">
        <f t="shared" si="16"/>
        <v>43075.047993705746</v>
      </c>
      <c r="K49" s="222">
        <f>$H$8/'CAM TENANTS'!D50</f>
        <v>0.74206661421452924</v>
      </c>
      <c r="L49" s="418">
        <f t="shared" si="17"/>
        <v>31964.555021817574</v>
      </c>
      <c r="M49" s="418">
        <f t="shared" si="18"/>
        <v>0</v>
      </c>
      <c r="N49" s="419">
        <f t="shared" si="19"/>
        <v>31964.555021817574</v>
      </c>
      <c r="O49" s="64">
        <f>'CAM TENANTS'!$A$50</f>
        <v>55102</v>
      </c>
      <c r="P49" s="7" t="str">
        <f>'CAM TENANTS'!$B$50</f>
        <v>Electricity/Building</v>
      </c>
      <c r="Q49" s="417">
        <f>'CAM TENANTS'!$C$50</f>
        <v>27720</v>
      </c>
      <c r="R49" s="416">
        <v>0</v>
      </c>
      <c r="S49" s="334">
        <f t="shared" si="20"/>
        <v>27720</v>
      </c>
      <c r="T49" s="222">
        <f>$Q$8/'CAM TENANTS'!$D$44</f>
        <v>0.15768799102132436</v>
      </c>
      <c r="U49" s="418">
        <f t="shared" si="21"/>
        <v>4371.1111111111113</v>
      </c>
      <c r="V49" s="418">
        <f t="shared" si="22"/>
        <v>0</v>
      </c>
      <c r="W49" s="419">
        <f t="shared" si="23"/>
        <v>4371.1111111111113</v>
      </c>
      <c r="X49" s="64">
        <f>'CAM TENANTS'!$A$50</f>
        <v>55102</v>
      </c>
      <c r="Y49" s="7" t="str">
        <f>'CAM TENANTS'!$B$50</f>
        <v>Electricity/Building</v>
      </c>
      <c r="Z49" s="417">
        <f>'CAM TENANTS'!$C$50</f>
        <v>27720</v>
      </c>
      <c r="AA49" s="416">
        <v>0</v>
      </c>
      <c r="AB49" s="334">
        <f t="shared" si="24"/>
        <v>27720</v>
      </c>
      <c r="AC49" s="222">
        <f>$Z$8/'CAM TENANTS'!D50</f>
        <v>8.1038552321007082E-2</v>
      </c>
      <c r="AD49" s="418">
        <f t="shared" si="25"/>
        <v>2246.3886703383164</v>
      </c>
      <c r="AE49" s="418">
        <f t="shared" si="26"/>
        <v>0</v>
      </c>
      <c r="AF49" s="419">
        <f t="shared" si="27"/>
        <v>2246.3886703383164</v>
      </c>
      <c r="AG49" s="64">
        <f>'CAM TENANTS'!$A$50</f>
        <v>55102</v>
      </c>
      <c r="AH49" s="7" t="str">
        <f>'CAM TENANTS'!$B$50</f>
        <v>Electricity/Building</v>
      </c>
      <c r="AI49" s="417">
        <f>'CAM TENANTS'!$C$50</f>
        <v>27720</v>
      </c>
      <c r="AJ49" s="416">
        <v>0</v>
      </c>
      <c r="AK49" s="334">
        <f t="shared" si="28"/>
        <v>27720</v>
      </c>
      <c r="AL49" s="222">
        <f>$AI$8/'CAM TENANTS'!D50</f>
        <v>0.55468135326514556</v>
      </c>
      <c r="AM49" s="418">
        <f t="shared" si="29"/>
        <v>15375.767112509835</v>
      </c>
      <c r="AN49" s="418">
        <f t="shared" si="30"/>
        <v>0</v>
      </c>
      <c r="AO49" s="419">
        <f t="shared" si="31"/>
        <v>15375.767112509835</v>
      </c>
      <c r="AP49" s="355"/>
    </row>
    <row r="50" spans="1:42">
      <c r="A50" s="147">
        <f>Summary!A69</f>
        <v>55102</v>
      </c>
      <c r="B50" s="148" t="str">
        <f>Summary!B69</f>
        <v>Electricity/Building</v>
      </c>
      <c r="C50" s="150">
        <f>Summary!O69</f>
        <v>27720</v>
      </c>
      <c r="D50" s="152">
        <f>Rent!C28</f>
        <v>7626</v>
      </c>
      <c r="E50" s="214"/>
      <c r="F50" s="64">
        <f>'CAM TENANTS'!$A$51</f>
        <v>55130</v>
      </c>
      <c r="G50" s="7" t="str">
        <f>'CAM TENANTS'!$B$51</f>
        <v>Water/Building</v>
      </c>
      <c r="H50" s="417">
        <f>'CAM TENANTS'!$C$51</f>
        <v>8001</v>
      </c>
      <c r="I50" s="416">
        <f>H50*'Occup,'!$C$28</f>
        <v>12433.025216365068</v>
      </c>
      <c r="J50" s="334">
        <f t="shared" si="16"/>
        <v>12433.025216365068</v>
      </c>
      <c r="K50" s="222">
        <f>$H$8/'CAM TENANTS'!D51</f>
        <v>0.74206661421452924</v>
      </c>
      <c r="L50" s="418">
        <f t="shared" si="17"/>
        <v>9226.1329267518904</v>
      </c>
      <c r="M50" s="418">
        <f t="shared" si="18"/>
        <v>0</v>
      </c>
      <c r="N50" s="419">
        <f t="shared" si="19"/>
        <v>9226.1329267518904</v>
      </c>
      <c r="O50" s="64">
        <f>'CAM TENANTS'!$A$51</f>
        <v>55130</v>
      </c>
      <c r="P50" s="7" t="str">
        <f>'CAM TENANTS'!$B$51</f>
        <v>Water/Building</v>
      </c>
      <c r="Q50" s="417">
        <f>'CAM TENANTS'!$C$51</f>
        <v>8001</v>
      </c>
      <c r="R50" s="416">
        <v>0</v>
      </c>
      <c r="S50" s="334">
        <f t="shared" si="20"/>
        <v>8001</v>
      </c>
      <c r="T50" s="222">
        <f>$Q$8/'CAM TENANTS'!$D$44</f>
        <v>0.15768799102132436</v>
      </c>
      <c r="U50" s="418">
        <f t="shared" si="21"/>
        <v>1261.6616161616162</v>
      </c>
      <c r="V50" s="418">
        <f t="shared" si="22"/>
        <v>0</v>
      </c>
      <c r="W50" s="419">
        <f t="shared" si="23"/>
        <v>1261.6616161616162</v>
      </c>
      <c r="X50" s="64">
        <f>'CAM TENANTS'!$A$51</f>
        <v>55130</v>
      </c>
      <c r="Y50" s="7" t="str">
        <f>'CAM TENANTS'!$B$51</f>
        <v>Water/Building</v>
      </c>
      <c r="Z50" s="417">
        <f>'CAM TENANTS'!$C$51</f>
        <v>8001</v>
      </c>
      <c r="AA50" s="416">
        <v>0</v>
      </c>
      <c r="AB50" s="334">
        <f t="shared" si="24"/>
        <v>8001</v>
      </c>
      <c r="AC50" s="222">
        <f>$Z$8/'CAM TENANTS'!D51</f>
        <v>8.1038552321007082E-2</v>
      </c>
      <c r="AD50" s="418">
        <f t="shared" si="25"/>
        <v>648.38945712037764</v>
      </c>
      <c r="AE50" s="418">
        <f t="shared" si="26"/>
        <v>0</v>
      </c>
      <c r="AF50" s="419">
        <f t="shared" si="27"/>
        <v>648.38945712037764</v>
      </c>
      <c r="AG50" s="64">
        <f>'CAM TENANTS'!$A$51</f>
        <v>55130</v>
      </c>
      <c r="AH50" s="7" t="str">
        <f>'CAM TENANTS'!$B$51</f>
        <v>Water/Building</v>
      </c>
      <c r="AI50" s="417">
        <f>'CAM TENANTS'!$C$51</f>
        <v>8001</v>
      </c>
      <c r="AJ50" s="416">
        <v>0</v>
      </c>
      <c r="AK50" s="334">
        <f t="shared" si="28"/>
        <v>8001</v>
      </c>
      <c r="AL50" s="222">
        <f>$AI$8/'CAM TENANTS'!D51</f>
        <v>0.55468135326514556</v>
      </c>
      <c r="AM50" s="418">
        <f t="shared" si="29"/>
        <v>4438.0055074744296</v>
      </c>
      <c r="AN50" s="418">
        <f t="shared" si="30"/>
        <v>0</v>
      </c>
      <c r="AO50" s="419">
        <f t="shared" si="31"/>
        <v>4438.0055074744296</v>
      </c>
      <c r="AP50" s="355"/>
    </row>
    <row r="51" spans="1:42">
      <c r="A51" s="147">
        <f>Summary!A70</f>
        <v>55130</v>
      </c>
      <c r="B51" s="148" t="str">
        <f>Summary!B70</f>
        <v>Water/Building</v>
      </c>
      <c r="C51" s="150">
        <f>Summary!O70</f>
        <v>8001</v>
      </c>
      <c r="D51" s="152">
        <f t="shared" si="32"/>
        <v>7626</v>
      </c>
      <c r="E51" s="214"/>
      <c r="F51" s="64"/>
      <c r="G51" s="57"/>
      <c r="H51" s="417"/>
      <c r="I51" s="431"/>
      <c r="J51" s="431"/>
      <c r="K51" s="353"/>
      <c r="L51" s="431"/>
      <c r="M51" s="7"/>
      <c r="N51" s="431"/>
      <c r="O51" s="64"/>
      <c r="P51" s="57"/>
      <c r="Q51" s="417"/>
      <c r="R51" s="431"/>
      <c r="S51" s="431"/>
      <c r="T51" s="353"/>
      <c r="U51" s="431"/>
      <c r="V51" s="7"/>
      <c r="W51" s="431"/>
      <c r="X51" s="64"/>
      <c r="Y51" s="57"/>
      <c r="Z51" s="417"/>
      <c r="AA51" s="431"/>
      <c r="AB51" s="431"/>
      <c r="AC51" s="353"/>
      <c r="AD51" s="431"/>
      <c r="AE51" s="7"/>
      <c r="AF51" s="431"/>
      <c r="AG51" s="64"/>
      <c r="AH51" s="57"/>
      <c r="AI51" s="417"/>
      <c r="AJ51" s="431"/>
      <c r="AK51" s="431"/>
      <c r="AL51" s="353"/>
      <c r="AM51" s="431"/>
      <c r="AN51" s="7"/>
      <c r="AO51" s="431"/>
      <c r="AP51" s="355"/>
    </row>
    <row r="52" spans="1:42">
      <c r="A52" s="64"/>
      <c r="B52" s="211"/>
      <c r="C52" s="424"/>
      <c r="D52" s="7"/>
      <c r="E52" s="7"/>
      <c r="F52" s="64"/>
      <c r="G52" s="425" t="str">
        <f>'CAM TENANTS'!$B$53</f>
        <v>SUBTOTAL BUILDING EXP.</v>
      </c>
      <c r="H52" s="426">
        <f>SUM(H43:H50)</f>
        <v>38926</v>
      </c>
      <c r="I52" s="426">
        <f>SUM(I43:I50)</f>
        <v>60488.431392604252</v>
      </c>
      <c r="J52" s="426">
        <f>SUM(J43:J50)</f>
        <v>60488.431392604252</v>
      </c>
      <c r="K52" s="426"/>
      <c r="L52" s="427">
        <f>SUM(L43:L50)</f>
        <v>43450.095272199149</v>
      </c>
      <c r="M52" s="427">
        <f>SUM(M43:M50)</f>
        <v>0</v>
      </c>
      <c r="N52" s="427">
        <f>SUM(N43:N50)</f>
        <v>43450.095272199149</v>
      </c>
      <c r="O52" s="64"/>
      <c r="P52" s="425" t="str">
        <f>'CAM TENANTS'!$B$53</f>
        <v>SUBTOTAL BUILDING EXP.</v>
      </c>
      <c r="Q52" s="426">
        <f>SUM(Q43:Q50)</f>
        <v>38926</v>
      </c>
      <c r="R52" s="426">
        <f>SUM(R43:R50)</f>
        <v>0</v>
      </c>
      <c r="S52" s="426">
        <f>SUM(S43:S50)</f>
        <v>38926</v>
      </c>
      <c r="T52" s="426"/>
      <c r="U52" s="427">
        <f>SUM(U43:U50)</f>
        <v>6138.1627384960721</v>
      </c>
      <c r="V52" s="427">
        <f>SUM(V43:V50)</f>
        <v>0</v>
      </c>
      <c r="W52" s="427">
        <f>SUM(W43:W50)</f>
        <v>6138.1627384960721</v>
      </c>
      <c r="X52" s="64"/>
      <c r="Y52" s="425" t="str">
        <f>'CAM TENANTS'!$B$53</f>
        <v>SUBTOTAL BUILDING EXP.</v>
      </c>
      <c r="Z52" s="426">
        <f>SUM(Z43:Z50)</f>
        <v>38926</v>
      </c>
      <c r="AA52" s="426">
        <f>SUM(AA43:AA50)</f>
        <v>0</v>
      </c>
      <c r="AB52" s="426">
        <f>SUM(AB43:AB50)</f>
        <v>38926</v>
      </c>
      <c r="AC52" s="426"/>
      <c r="AD52" s="427">
        <f>SUM(AD43:AD50)</f>
        <v>3053.5636012441678</v>
      </c>
      <c r="AE52" s="427">
        <f>SUM(AE43:AE50)</f>
        <v>0</v>
      </c>
      <c r="AF52" s="427">
        <f>SUM(AF43:AF50)</f>
        <v>3053.5636012441678</v>
      </c>
      <c r="AG52" s="64"/>
      <c r="AH52" s="425" t="str">
        <f>'CAM TENANTS'!$B$53</f>
        <v>SUBTOTAL BUILDING EXP.</v>
      </c>
      <c r="AI52" s="426">
        <f>SUM(AI43:AI50)</f>
        <v>38926</v>
      </c>
      <c r="AJ52" s="426">
        <f>SUM(AJ43:AJ50)</f>
        <v>0</v>
      </c>
      <c r="AK52" s="426">
        <f>SUM(AK43:AK50)</f>
        <v>38926</v>
      </c>
      <c r="AL52" s="426"/>
      <c r="AM52" s="427">
        <f>SUM(AM43:AM50)</f>
        <v>20900.605231816877</v>
      </c>
      <c r="AN52" s="427">
        <f>SUM(AN43:AN50)</f>
        <v>0</v>
      </c>
      <c r="AO52" s="427">
        <f>SUM(AO43:AO50)</f>
        <v>20900.605231816877</v>
      </c>
      <c r="AP52" s="7"/>
    </row>
    <row r="53" spans="1:42">
      <c r="A53" s="64"/>
      <c r="B53" s="232" t="str">
        <f>Summary!B72</f>
        <v>SUBTOTAL BUILDING EXP.</v>
      </c>
      <c r="C53" s="429">
        <f>SUM(C44:C51)</f>
        <v>38926</v>
      </c>
      <c r="D53" s="57"/>
      <c r="E53" s="57"/>
      <c r="F53" s="64"/>
      <c r="G53" s="57"/>
      <c r="H53" s="417"/>
      <c r="I53" s="431"/>
      <c r="J53" s="431"/>
      <c r="K53" s="353"/>
      <c r="L53" s="431"/>
      <c r="M53" s="7"/>
      <c r="N53" s="431"/>
      <c r="O53" s="64"/>
      <c r="P53" s="57"/>
      <c r="Q53" s="417"/>
      <c r="R53" s="431"/>
      <c r="S53" s="431"/>
      <c r="T53" s="353"/>
      <c r="U53" s="431"/>
      <c r="V53" s="7"/>
      <c r="W53" s="431"/>
      <c r="X53" s="64"/>
      <c r="Y53" s="57"/>
      <c r="Z53" s="417"/>
      <c r="AA53" s="431"/>
      <c r="AB53" s="431"/>
      <c r="AC53" s="353"/>
      <c r="AD53" s="431"/>
      <c r="AE53" s="7"/>
      <c r="AF53" s="431"/>
      <c r="AG53" s="64"/>
      <c r="AH53" s="57"/>
      <c r="AI53" s="417"/>
      <c r="AJ53" s="431"/>
      <c r="AK53" s="431"/>
      <c r="AL53" s="353"/>
      <c r="AM53" s="431"/>
      <c r="AN53" s="7"/>
      <c r="AO53" s="431"/>
      <c r="AP53" s="317"/>
    </row>
    <row r="54" spans="1:42">
      <c r="A54" s="64"/>
      <c r="B54" s="57"/>
      <c r="C54" s="424"/>
      <c r="D54" s="57"/>
      <c r="E54" s="57"/>
      <c r="F54" s="64"/>
      <c r="G54" s="57" t="str">
        <f>'CAM TENANTS'!$B$55</f>
        <v>INSURANCE</v>
      </c>
      <c r="H54" s="278"/>
      <c r="I54" s="7"/>
      <c r="J54" s="7"/>
      <c r="K54" s="222"/>
      <c r="L54" s="7"/>
      <c r="M54" s="7"/>
      <c r="N54" s="7"/>
      <c r="O54" s="64"/>
      <c r="P54" s="57" t="str">
        <f>'CAM TENANTS'!$B$55</f>
        <v>INSURANCE</v>
      </c>
      <c r="Q54" s="278"/>
      <c r="R54" s="7"/>
      <c r="S54" s="7"/>
      <c r="T54" s="222"/>
      <c r="U54" s="7"/>
      <c r="V54" s="7"/>
      <c r="W54" s="7"/>
      <c r="X54" s="64"/>
      <c r="Y54" s="57" t="str">
        <f>'CAM TENANTS'!$B$55</f>
        <v>INSURANCE</v>
      </c>
      <c r="Z54" s="278"/>
      <c r="AA54" s="7"/>
      <c r="AB54" s="7"/>
      <c r="AC54" s="222"/>
      <c r="AD54" s="7"/>
      <c r="AE54" s="7"/>
      <c r="AF54" s="7"/>
      <c r="AG54" s="64"/>
      <c r="AH54" s="57" t="str">
        <f>'CAM TENANTS'!$B$55</f>
        <v>INSURANCE</v>
      </c>
      <c r="AI54" s="278"/>
      <c r="AJ54" s="7"/>
      <c r="AK54" s="7"/>
      <c r="AL54" s="222"/>
      <c r="AM54" s="7"/>
      <c r="AN54" s="7"/>
      <c r="AO54" s="7"/>
      <c r="AP54" s="57"/>
    </row>
    <row r="55" spans="1:42">
      <c r="A55" s="64"/>
      <c r="B55" s="57" t="str">
        <f>Summary!B74</f>
        <v>INSURANCE</v>
      </c>
      <c r="C55" s="424"/>
      <c r="D55" s="57"/>
      <c r="E55" s="57"/>
      <c r="F55" s="64">
        <f>'CAM TENANTS'!$A$56</f>
        <v>50111</v>
      </c>
      <c r="G55" s="7" t="str">
        <f>'CAM TENANTS'!$B$56</f>
        <v>Insurance - Property</v>
      </c>
      <c r="H55" s="417">
        <f>'CAM TENANTS'!$C$56</f>
        <v>5619.9000000000005</v>
      </c>
      <c r="I55" s="416">
        <f>H55*'Occup,'!$C$28</f>
        <v>8732.9531825334398</v>
      </c>
      <c r="J55" s="334">
        <f>IF(I55=0,H55,I55)</f>
        <v>8732.9531825334398</v>
      </c>
      <c r="K55" s="222">
        <f>$H$8/'CAM TENANTS'!D56</f>
        <v>0.45366362033028701</v>
      </c>
      <c r="L55" s="418">
        <f>J55*K55</f>
        <v>3961.823156963022</v>
      </c>
      <c r="M55" s="418">
        <v>0</v>
      </c>
      <c r="N55" s="419">
        <f>L55+M55</f>
        <v>3961.823156963022</v>
      </c>
      <c r="O55" s="64">
        <f>'CAM TENANTS'!$A$56</f>
        <v>50111</v>
      </c>
      <c r="P55" s="7" t="str">
        <f>'CAM TENANTS'!$B$56</f>
        <v>Insurance - Property</v>
      </c>
      <c r="Q55" s="417">
        <f>'CAM TENANTS'!$C$56</f>
        <v>5619.9000000000005</v>
      </c>
      <c r="R55" s="416">
        <v>0</v>
      </c>
      <c r="S55" s="334">
        <f>Q55+R55</f>
        <v>5619.9000000000005</v>
      </c>
      <c r="T55" s="222">
        <f>$Q$8/'CAM TENANTS'!$D$56</f>
        <v>0.15768799102132436</v>
      </c>
      <c r="U55" s="418">
        <f>S55*T55</f>
        <v>886.19074074074081</v>
      </c>
      <c r="V55" s="418">
        <v>0</v>
      </c>
      <c r="W55" s="419">
        <f>U55+V55</f>
        <v>886.19074074074081</v>
      </c>
      <c r="X55" s="64">
        <f>'CAM TENANTS'!$A$56</f>
        <v>50111</v>
      </c>
      <c r="Y55" s="7" t="str">
        <f>'CAM TENANTS'!$B$56</f>
        <v>Insurance - Property</v>
      </c>
      <c r="Z55" s="417">
        <f>'CAM TENANTS'!$C$56</f>
        <v>5619.9000000000005</v>
      </c>
      <c r="AA55" s="416">
        <v>0</v>
      </c>
      <c r="AB55" s="334">
        <f>Z55+AA55</f>
        <v>5619.9000000000005</v>
      </c>
      <c r="AC55" s="222">
        <f>$Z$8/'CAM TENANTS'!D56</f>
        <v>4.9543049543049542E-2</v>
      </c>
      <c r="AD55" s="418">
        <f>AB55*AC55</f>
        <v>278.42698412698417</v>
      </c>
      <c r="AE55" s="418">
        <v>0</v>
      </c>
      <c r="AF55" s="419">
        <f>AD55+AE55</f>
        <v>278.42698412698417</v>
      </c>
      <c r="AG55" s="64">
        <f>'CAM TENANTS'!$A$56</f>
        <v>50111</v>
      </c>
      <c r="AH55" s="7" t="str">
        <f>'CAM TENANTS'!$B$56</f>
        <v>Insurance - Property</v>
      </c>
      <c r="AI55" s="417">
        <f>'CAM TENANTS'!$C$56</f>
        <v>5619.9000000000005</v>
      </c>
      <c r="AJ55" s="416">
        <v>0</v>
      </c>
      <c r="AK55" s="334">
        <f>AI55+AJ55</f>
        <v>5619.9000000000005</v>
      </c>
      <c r="AL55" s="222">
        <f>$AI$8/'CAM TENANTS'!D56</f>
        <v>0.33910533910533913</v>
      </c>
      <c r="AM55" s="418">
        <f>AK55*AL55</f>
        <v>1905.7380952380956</v>
      </c>
      <c r="AN55" s="418">
        <v>0</v>
      </c>
      <c r="AO55" s="419">
        <f>AM55+AN55</f>
        <v>1905.7380952380956</v>
      </c>
      <c r="AP55" s="57"/>
    </row>
    <row r="56" spans="1:42">
      <c r="A56" s="64">
        <f>Summary!A75</f>
        <v>50111</v>
      </c>
      <c r="B56" s="7" t="str">
        <f>Summary!B75</f>
        <v>Insurance - Property</v>
      </c>
      <c r="C56" s="424">
        <f>Summary!O75</f>
        <v>5619.9000000000005</v>
      </c>
      <c r="D56" s="214">
        <f>Rent!C$23</f>
        <v>12474</v>
      </c>
      <c r="E56" s="214"/>
      <c r="F56" s="64">
        <f>'CAM TENANTS'!$A$57</f>
        <v>50112</v>
      </c>
      <c r="G56" s="7" t="str">
        <f>'CAM TENANTS'!$B$57</f>
        <v>Insurance - Liability</v>
      </c>
      <c r="H56" s="417">
        <f>'CAM TENANTS'!$C$57</f>
        <v>0</v>
      </c>
      <c r="I56" s="416">
        <f>H56*'Occup,'!$C$28</f>
        <v>0</v>
      </c>
      <c r="J56" s="334">
        <f>IF(I56=0,H56,I56)</f>
        <v>0</v>
      </c>
      <c r="K56" s="222">
        <f>$H$8/'CAM TENANTS'!D57</f>
        <v>0.45366362033028701</v>
      </c>
      <c r="L56" s="418">
        <f>J56*K56</f>
        <v>0</v>
      </c>
      <c r="M56" s="418">
        <f>L56*$M$12</f>
        <v>0</v>
      </c>
      <c r="N56" s="419">
        <f>L56+M56</f>
        <v>0</v>
      </c>
      <c r="O56" s="64">
        <f>'CAM TENANTS'!$A$57</f>
        <v>50112</v>
      </c>
      <c r="P56" s="7" t="str">
        <f>'CAM TENANTS'!$B$57</f>
        <v>Insurance - Liability</v>
      </c>
      <c r="Q56" s="417">
        <f>'CAM TENANTS'!$C$57</f>
        <v>0</v>
      </c>
      <c r="R56" s="416">
        <v>0</v>
      </c>
      <c r="S56" s="334">
        <f>Q56+R56</f>
        <v>0</v>
      </c>
      <c r="T56" s="222">
        <f>$Q$8/'CAM TENANTS'!$D$56</f>
        <v>0.15768799102132436</v>
      </c>
      <c r="U56" s="418">
        <f>S56*T56</f>
        <v>0</v>
      </c>
      <c r="V56" s="418">
        <f>U56*$V$12</f>
        <v>0</v>
      </c>
      <c r="W56" s="419">
        <f>U56+V56</f>
        <v>0</v>
      </c>
      <c r="X56" s="64">
        <f>'CAM TENANTS'!$A$57</f>
        <v>50112</v>
      </c>
      <c r="Y56" s="7" t="str">
        <f>'CAM TENANTS'!$B$57</f>
        <v>Insurance - Liability</v>
      </c>
      <c r="Z56" s="417">
        <f>'CAM TENANTS'!$C$57</f>
        <v>0</v>
      </c>
      <c r="AA56" s="416">
        <v>0</v>
      </c>
      <c r="AB56" s="334">
        <f>Z56+AA56</f>
        <v>0</v>
      </c>
      <c r="AC56" s="222">
        <f>$Z$8/'CAM TENANTS'!D57</f>
        <v>4.9543049543049542E-2</v>
      </c>
      <c r="AD56" s="418">
        <f>AB56*AC56</f>
        <v>0</v>
      </c>
      <c r="AE56" s="418">
        <f>AD56*$V$12</f>
        <v>0</v>
      </c>
      <c r="AF56" s="419">
        <f>AD56+AE56</f>
        <v>0</v>
      </c>
      <c r="AG56" s="64">
        <f>'CAM TENANTS'!$A$57</f>
        <v>50112</v>
      </c>
      <c r="AH56" s="7" t="str">
        <f>'CAM TENANTS'!$B$57</f>
        <v>Insurance - Liability</v>
      </c>
      <c r="AI56" s="417">
        <f>'CAM TENANTS'!$C$57</f>
        <v>0</v>
      </c>
      <c r="AJ56" s="416">
        <v>0</v>
      </c>
      <c r="AK56" s="334">
        <f>AI56+AJ56</f>
        <v>0</v>
      </c>
      <c r="AL56" s="222">
        <f>$AI$8/'CAM TENANTS'!D57</f>
        <v>0.33910533910533913</v>
      </c>
      <c r="AM56" s="418">
        <f>AK56*AL56</f>
        <v>0</v>
      </c>
      <c r="AN56" s="418">
        <f>AM56*$V$12</f>
        <v>0</v>
      </c>
      <c r="AO56" s="419">
        <f>AM56+AN56</f>
        <v>0</v>
      </c>
      <c r="AP56" s="355"/>
    </row>
    <row r="57" spans="1:42">
      <c r="A57" s="64">
        <f>Summary!A76</f>
        <v>50112</v>
      </c>
      <c r="B57" s="7" t="str">
        <f>Summary!B76</f>
        <v>Insurance - Liability</v>
      </c>
      <c r="C57" s="424">
        <f>Summary!O76</f>
        <v>0</v>
      </c>
      <c r="D57" s="214">
        <f>Rent!C$23</f>
        <v>12474</v>
      </c>
      <c r="E57" s="214"/>
      <c r="F57" s="64">
        <f>'CAM TENANTS'!$A$58</f>
        <v>50130</v>
      </c>
      <c r="G57" s="7" t="str">
        <f>'CAM TENANTS'!$B$58</f>
        <v>Insurance - Umbrella</v>
      </c>
      <c r="H57" s="417">
        <f>'CAM TENANTS'!$C$58</f>
        <v>0</v>
      </c>
      <c r="I57" s="416">
        <f>H57*'Occup,'!$C$28</f>
        <v>0</v>
      </c>
      <c r="J57" s="334">
        <f>IF(I57=0,H57,I57)</f>
        <v>0</v>
      </c>
      <c r="K57" s="222">
        <f>$H$8/'CAM TENANTS'!D58</f>
        <v>0.45366362033028701</v>
      </c>
      <c r="L57" s="418">
        <f>J57*K57</f>
        <v>0</v>
      </c>
      <c r="M57" s="418">
        <v>0</v>
      </c>
      <c r="N57" s="419">
        <f>L57+M57</f>
        <v>0</v>
      </c>
      <c r="O57" s="64">
        <f>'CAM TENANTS'!$A$58</f>
        <v>50130</v>
      </c>
      <c r="P57" s="7" t="str">
        <f>'CAM TENANTS'!$B$58</f>
        <v>Insurance - Umbrella</v>
      </c>
      <c r="Q57" s="417">
        <f>'CAM TENANTS'!$C$58</f>
        <v>0</v>
      </c>
      <c r="R57" s="416">
        <v>0</v>
      </c>
      <c r="S57" s="334">
        <f>Q57+R57</f>
        <v>0</v>
      </c>
      <c r="T57" s="222">
        <f>$Q$8/'CAM TENANTS'!$D$56</f>
        <v>0.15768799102132436</v>
      </c>
      <c r="U57" s="418">
        <f>S57*T57</f>
        <v>0</v>
      </c>
      <c r="V57" s="418">
        <v>0</v>
      </c>
      <c r="W57" s="419">
        <f>U57+V57</f>
        <v>0</v>
      </c>
      <c r="X57" s="64">
        <f>'CAM TENANTS'!$A$58</f>
        <v>50130</v>
      </c>
      <c r="Y57" s="7" t="str">
        <f>'CAM TENANTS'!$B$58</f>
        <v>Insurance - Umbrella</v>
      </c>
      <c r="Z57" s="417">
        <f>'CAM TENANTS'!$C$58</f>
        <v>0</v>
      </c>
      <c r="AA57" s="416">
        <v>0</v>
      </c>
      <c r="AB57" s="334">
        <f>Z57+AA57</f>
        <v>0</v>
      </c>
      <c r="AC57" s="222">
        <f>$Z$8/'CAM TENANTS'!D58</f>
        <v>4.9543049543049542E-2</v>
      </c>
      <c r="AD57" s="418">
        <f>AB57*AC57</f>
        <v>0</v>
      </c>
      <c r="AE57" s="418">
        <v>0</v>
      </c>
      <c r="AF57" s="419">
        <f>AD57+AE57</f>
        <v>0</v>
      </c>
      <c r="AG57" s="64">
        <f>'CAM TENANTS'!$A$58</f>
        <v>50130</v>
      </c>
      <c r="AH57" s="7" t="str">
        <f>'CAM TENANTS'!$B$58</f>
        <v>Insurance - Umbrella</v>
      </c>
      <c r="AI57" s="417">
        <f>'CAM TENANTS'!$C$58</f>
        <v>0</v>
      </c>
      <c r="AJ57" s="416">
        <v>0</v>
      </c>
      <c r="AK57" s="334">
        <f>AI57+AJ57</f>
        <v>0</v>
      </c>
      <c r="AL57" s="222">
        <f>$AI$8/'CAM TENANTS'!D58</f>
        <v>0.33910533910533913</v>
      </c>
      <c r="AM57" s="418">
        <f>AK57*AL57</f>
        <v>0</v>
      </c>
      <c r="AN57" s="418">
        <v>0</v>
      </c>
      <c r="AO57" s="419">
        <f>AM57+AN57</f>
        <v>0</v>
      </c>
      <c r="AP57" s="355"/>
    </row>
    <row r="58" spans="1:42">
      <c r="A58" s="64">
        <f>Summary!A77</f>
        <v>50130</v>
      </c>
      <c r="B58" s="7" t="str">
        <f>Summary!B77</f>
        <v>Insurance - Umbrella</v>
      </c>
      <c r="C58" s="424">
        <f>Summary!O77</f>
        <v>0</v>
      </c>
      <c r="D58" s="214">
        <f>Rent!C$23</f>
        <v>12474</v>
      </c>
      <c r="E58" s="214"/>
      <c r="F58" s="420">
        <f>'CAM TENANTS'!$A$59</f>
        <v>50140</v>
      </c>
      <c r="G58" s="278" t="str">
        <f>'CAM TENANTS'!$B$59</f>
        <v>Insurance - Flood &amp; Earthquake</v>
      </c>
      <c r="H58" s="417">
        <f>'CAM TENANTS'!$C$59</f>
        <v>0</v>
      </c>
      <c r="I58" s="416">
        <f>H58*'Occup,'!$C$28</f>
        <v>0</v>
      </c>
      <c r="J58" s="334">
        <f>IF(I58=0,H58,I58)</f>
        <v>0</v>
      </c>
      <c r="K58" s="357">
        <f>$H$8/'CAM TENANTS'!D59</f>
        <v>0.45366362033028701</v>
      </c>
      <c r="L58" s="418">
        <f>J58*K58</f>
        <v>0</v>
      </c>
      <c r="M58" s="418">
        <f>L58*$M$12</f>
        <v>0</v>
      </c>
      <c r="N58" s="419">
        <f>L58+M58</f>
        <v>0</v>
      </c>
      <c r="O58" s="420">
        <f>'CAM TENANTS'!$A$59</f>
        <v>50140</v>
      </c>
      <c r="P58" s="278" t="str">
        <f>'CAM TENANTS'!$B$59</f>
        <v>Insurance - Flood &amp; Earthquake</v>
      </c>
      <c r="Q58" s="417">
        <f>'CAM TENANTS'!$C$59</f>
        <v>0</v>
      </c>
      <c r="R58" s="422">
        <f>-Q58</f>
        <v>0</v>
      </c>
      <c r="S58" s="417">
        <f>Q58+R58</f>
        <v>0</v>
      </c>
      <c r="T58" s="357">
        <f>$Q$8/'CAM TENANTS'!$D$56</f>
        <v>0.15768799102132436</v>
      </c>
      <c r="U58" s="418">
        <f>S58*T58</f>
        <v>0</v>
      </c>
      <c r="V58" s="418">
        <v>0</v>
      </c>
      <c r="W58" s="419">
        <f>U58+V58</f>
        <v>0</v>
      </c>
      <c r="X58" s="420">
        <f>'CAM TENANTS'!$A$59</f>
        <v>50140</v>
      </c>
      <c r="Y58" s="278" t="str">
        <f>'CAM TENANTS'!$B$59</f>
        <v>Insurance - Flood &amp; Earthquake</v>
      </c>
      <c r="Z58" s="417">
        <f>'CAM TENANTS'!$C$59</f>
        <v>0</v>
      </c>
      <c r="AA58" s="422">
        <f>-Z58</f>
        <v>0</v>
      </c>
      <c r="AB58" s="417">
        <f>Z58+AA58</f>
        <v>0</v>
      </c>
      <c r="AC58" s="222">
        <f>$Z$8/'CAM TENANTS'!D59</f>
        <v>4.9543049543049542E-2</v>
      </c>
      <c r="AD58" s="418">
        <f>AB58*AC58</f>
        <v>0</v>
      </c>
      <c r="AE58" s="418">
        <v>0</v>
      </c>
      <c r="AF58" s="419">
        <f>AD58+AE58</f>
        <v>0</v>
      </c>
      <c r="AG58" s="420">
        <f>'CAM TENANTS'!$A$59</f>
        <v>50140</v>
      </c>
      <c r="AH58" s="278" t="str">
        <f>'CAM TENANTS'!$B$59</f>
        <v>Insurance - Flood &amp; Earthquake</v>
      </c>
      <c r="AI58" s="417">
        <f>'CAM TENANTS'!$C$59</f>
        <v>0</v>
      </c>
      <c r="AJ58" s="422">
        <f>-AI58</f>
        <v>0</v>
      </c>
      <c r="AK58" s="417">
        <f>AI58+AJ58</f>
        <v>0</v>
      </c>
      <c r="AL58" s="222">
        <f>$AI$8/'CAM TENANTS'!D59</f>
        <v>0.33910533910533913</v>
      </c>
      <c r="AM58" s="418">
        <f>AK58*AL58</f>
        <v>0</v>
      </c>
      <c r="AN58" s="418">
        <v>0</v>
      </c>
      <c r="AO58" s="419">
        <f>AM58+AN58</f>
        <v>0</v>
      </c>
      <c r="AP58" s="355"/>
    </row>
    <row r="59" spans="1:42">
      <c r="A59" s="64">
        <f>Summary!A78</f>
        <v>50140</v>
      </c>
      <c r="B59" s="7" t="str">
        <f>Summary!B78</f>
        <v>Insurance - Flood &amp; Earthquake</v>
      </c>
      <c r="C59" s="424">
        <f>Summary!O78</f>
        <v>0</v>
      </c>
      <c r="D59" s="214">
        <f>Rent!C$23</f>
        <v>12474</v>
      </c>
      <c r="E59" s="214"/>
      <c r="F59" s="64"/>
      <c r="G59" s="57"/>
      <c r="H59" s="417"/>
      <c r="I59" s="416"/>
      <c r="J59" s="334"/>
      <c r="K59" s="222"/>
      <c r="L59" s="334"/>
      <c r="M59" s="222"/>
      <c r="N59" s="122"/>
      <c r="O59" s="64"/>
      <c r="P59" s="57"/>
      <c r="Q59" s="417"/>
      <c r="R59" s="416"/>
      <c r="S59" s="334"/>
      <c r="T59" s="222"/>
      <c r="U59" s="334"/>
      <c r="V59" s="222"/>
      <c r="W59" s="122"/>
      <c r="X59" s="64"/>
      <c r="Y59" s="57"/>
      <c r="Z59" s="417"/>
      <c r="AA59" s="416"/>
      <c r="AB59" s="334"/>
      <c r="AC59" s="222"/>
      <c r="AD59" s="334"/>
      <c r="AE59" s="222"/>
      <c r="AF59" s="122"/>
      <c r="AG59" s="64"/>
      <c r="AH59" s="57"/>
      <c r="AI59" s="417"/>
      <c r="AJ59" s="416"/>
      <c r="AK59" s="334"/>
      <c r="AL59" s="222"/>
      <c r="AM59" s="334"/>
      <c r="AN59" s="222"/>
      <c r="AO59" s="122"/>
      <c r="AP59" s="355"/>
    </row>
    <row r="60" spans="1:42">
      <c r="A60" s="64"/>
      <c r="B60" s="7"/>
      <c r="C60" s="424"/>
      <c r="D60" s="211"/>
      <c r="E60" s="211"/>
      <c r="F60" s="64"/>
      <c r="G60" s="425" t="str">
        <f>'CAM TENANTS'!$B$61</f>
        <v>SUBTOTAL INSURANCE</v>
      </c>
      <c r="H60" s="426">
        <f>SUM(H55:H58)</f>
        <v>5619.9000000000005</v>
      </c>
      <c r="I60" s="426">
        <f>SUM(I55:I58)</f>
        <v>8732.9531825334398</v>
      </c>
      <c r="J60" s="426">
        <f>SUM(J55:J58)</f>
        <v>8732.9531825334398</v>
      </c>
      <c r="K60" s="426"/>
      <c r="L60" s="427">
        <f>SUM(L55:L58)</f>
        <v>3961.823156963022</v>
      </c>
      <c r="M60" s="427">
        <f>SUM(M55:M58)</f>
        <v>0</v>
      </c>
      <c r="N60" s="427">
        <f>SUM(N55:N58)</f>
        <v>3961.823156963022</v>
      </c>
      <c r="O60" s="64"/>
      <c r="P60" s="425" t="str">
        <f>'CAM TENANTS'!$B$61</f>
        <v>SUBTOTAL INSURANCE</v>
      </c>
      <c r="Q60" s="426">
        <f>SUM(Q55:Q58)</f>
        <v>5619.9000000000005</v>
      </c>
      <c r="R60" s="426">
        <f>SUM(R55:R58)</f>
        <v>0</v>
      </c>
      <c r="S60" s="426">
        <f>SUM(S55:S58)</f>
        <v>5619.9000000000005</v>
      </c>
      <c r="T60" s="426"/>
      <c r="U60" s="427">
        <f>SUM(U55:U58)</f>
        <v>886.19074074074081</v>
      </c>
      <c r="V60" s="427">
        <f>SUM(V55:V58)</f>
        <v>0</v>
      </c>
      <c r="W60" s="427">
        <f>SUM(W55:W58)</f>
        <v>886.19074074074081</v>
      </c>
      <c r="X60" s="64"/>
      <c r="Y60" s="425" t="str">
        <f>'CAM TENANTS'!$B$61</f>
        <v>SUBTOTAL INSURANCE</v>
      </c>
      <c r="Z60" s="426">
        <f>SUM(Z55:Z58)</f>
        <v>5619.9000000000005</v>
      </c>
      <c r="AA60" s="426">
        <f>SUM(AA55:AA58)</f>
        <v>0</v>
      </c>
      <c r="AB60" s="426">
        <f>SUM(AB55:AB58)</f>
        <v>5619.9000000000005</v>
      </c>
      <c r="AC60" s="426"/>
      <c r="AD60" s="427">
        <f>SUM(AD55:AD58)</f>
        <v>278.42698412698417</v>
      </c>
      <c r="AE60" s="427">
        <f>SUM(AE55:AE58)</f>
        <v>0</v>
      </c>
      <c r="AF60" s="427">
        <f>SUM(AF55:AF58)</f>
        <v>278.42698412698417</v>
      </c>
      <c r="AG60" s="64"/>
      <c r="AH60" s="425" t="str">
        <f>'CAM TENANTS'!$B$61</f>
        <v>SUBTOTAL INSURANCE</v>
      </c>
      <c r="AI60" s="426">
        <f>SUM(AI55:AI58)</f>
        <v>5619.9000000000005</v>
      </c>
      <c r="AJ60" s="426">
        <f>SUM(AJ55:AJ58)</f>
        <v>0</v>
      </c>
      <c r="AK60" s="426">
        <f>SUM(AK55:AK58)</f>
        <v>5619.9000000000005</v>
      </c>
      <c r="AL60" s="426"/>
      <c r="AM60" s="427">
        <f>SUM(AM55:AM58)</f>
        <v>1905.7380952380956</v>
      </c>
      <c r="AN60" s="427">
        <f>SUM(AN55:AN58)</f>
        <v>0</v>
      </c>
      <c r="AO60" s="427">
        <f>SUM(AO55:AO58)</f>
        <v>1905.7380952380956</v>
      </c>
      <c r="AP60" s="211"/>
    </row>
    <row r="61" spans="1:42">
      <c r="A61" s="64"/>
      <c r="B61" s="57" t="str">
        <f>Summary!B80</f>
        <v>SUBTOTAL INSURANCE</v>
      </c>
      <c r="C61" s="429">
        <f>SUM(C56:C59)</f>
        <v>5619.9000000000005</v>
      </c>
      <c r="D61" s="57"/>
      <c r="E61" s="57"/>
      <c r="F61" s="64"/>
      <c r="G61" s="57"/>
      <c r="H61" s="417"/>
      <c r="I61" s="416"/>
      <c r="J61" s="334"/>
      <c r="K61" s="222"/>
      <c r="L61" s="7"/>
      <c r="M61" s="7"/>
      <c r="N61" s="7"/>
      <c r="O61" s="64"/>
      <c r="P61" s="57"/>
      <c r="Q61" s="417"/>
      <c r="R61" s="416"/>
      <c r="S61" s="334"/>
      <c r="T61" s="222"/>
      <c r="U61" s="7"/>
      <c r="V61" s="7"/>
      <c r="W61" s="7"/>
      <c r="X61" s="64"/>
      <c r="Y61" s="57"/>
      <c r="Z61" s="417"/>
      <c r="AA61" s="416"/>
      <c r="AB61" s="334"/>
      <c r="AC61" s="222"/>
      <c r="AD61" s="7"/>
      <c r="AE61" s="7"/>
      <c r="AF61" s="7"/>
      <c r="AG61" s="64"/>
      <c r="AH61" s="57"/>
      <c r="AI61" s="417"/>
      <c r="AJ61" s="416"/>
      <c r="AK61" s="334"/>
      <c r="AL61" s="222"/>
      <c r="AM61" s="7"/>
      <c r="AN61" s="7"/>
      <c r="AO61" s="7"/>
      <c r="AP61" s="317"/>
    </row>
    <row r="62" spans="1:42">
      <c r="A62" s="64"/>
      <c r="B62" s="7"/>
      <c r="C62" s="424"/>
      <c r="D62" s="211"/>
      <c r="E62" s="211"/>
      <c r="F62" s="64"/>
      <c r="G62" s="57" t="str">
        <f>'CAM TENANTS'!$B$63</f>
        <v>PROPERTY TAXES</v>
      </c>
      <c r="H62" s="417" t="s">
        <v>23</v>
      </c>
      <c r="I62" s="416" t="s">
        <v>23</v>
      </c>
      <c r="J62" s="334" t="s">
        <v>23</v>
      </c>
      <c r="K62" s="222" t="s">
        <v>23</v>
      </c>
      <c r="L62" s="334" t="s">
        <v>23</v>
      </c>
      <c r="M62" s="7"/>
      <c r="N62" s="122" t="s">
        <v>23</v>
      </c>
      <c r="O62" s="64"/>
      <c r="P62" s="57" t="str">
        <f>'CAM TENANTS'!$B$63</f>
        <v>PROPERTY TAXES</v>
      </c>
      <c r="Q62" s="417" t="s">
        <v>23</v>
      </c>
      <c r="R62" s="416" t="s">
        <v>23</v>
      </c>
      <c r="S62" s="334" t="s">
        <v>23</v>
      </c>
      <c r="T62" s="222" t="s">
        <v>23</v>
      </c>
      <c r="U62" s="334" t="s">
        <v>23</v>
      </c>
      <c r="V62" s="7"/>
      <c r="W62" s="122" t="s">
        <v>23</v>
      </c>
      <c r="X62" s="64"/>
      <c r="Y62" s="57" t="str">
        <f>'CAM TENANTS'!$B$63</f>
        <v>PROPERTY TAXES</v>
      </c>
      <c r="Z62" s="417" t="s">
        <v>23</v>
      </c>
      <c r="AA62" s="416" t="s">
        <v>23</v>
      </c>
      <c r="AB62" s="334" t="s">
        <v>23</v>
      </c>
      <c r="AC62" s="222" t="s">
        <v>23</v>
      </c>
      <c r="AD62" s="334" t="s">
        <v>23</v>
      </c>
      <c r="AE62" s="7"/>
      <c r="AF62" s="122" t="s">
        <v>23</v>
      </c>
      <c r="AG62" s="64"/>
      <c r="AH62" s="57" t="str">
        <f>'CAM TENANTS'!$B$63</f>
        <v>PROPERTY TAXES</v>
      </c>
      <c r="AI62" s="417" t="s">
        <v>23</v>
      </c>
      <c r="AJ62" s="416" t="s">
        <v>23</v>
      </c>
      <c r="AK62" s="334" t="s">
        <v>23</v>
      </c>
      <c r="AL62" s="222" t="s">
        <v>23</v>
      </c>
      <c r="AM62" s="334" t="s">
        <v>23</v>
      </c>
      <c r="AN62" s="7"/>
      <c r="AO62" s="122" t="s">
        <v>23</v>
      </c>
      <c r="AP62" s="211"/>
    </row>
    <row r="63" spans="1:42">
      <c r="A63" s="64"/>
      <c r="B63" s="57" t="str">
        <f>Summary!B82</f>
        <v>PROPERTY TAXES</v>
      </c>
      <c r="C63" s="424"/>
      <c r="D63" s="232"/>
      <c r="E63" s="232"/>
      <c r="F63" s="64">
        <f>'CAM TENANTS'!$A$64</f>
        <v>54000</v>
      </c>
      <c r="G63" s="7" t="str">
        <f>'CAM TENANTS'!$B$64</f>
        <v>Property Tax</v>
      </c>
      <c r="H63" s="417">
        <f>'CAM TENANTS'!$C$64</f>
        <v>34927.629999999997</v>
      </c>
      <c r="I63" s="416">
        <f>H63*'Occup,'!$C$28</f>
        <v>54275.228663650669</v>
      </c>
      <c r="J63" s="334">
        <f>IF(I63=0,H63,I63)</f>
        <v>54275.228663650669</v>
      </c>
      <c r="K63" s="222">
        <f>$H$8/'CAM TENANTS'!D64</f>
        <v>0.45366362033028701</v>
      </c>
      <c r="L63" s="418">
        <f>J63*K63</f>
        <v>24622.696729805928</v>
      </c>
      <c r="M63" s="418">
        <v>0</v>
      </c>
      <c r="N63" s="419">
        <f>L63+M63</f>
        <v>24622.696729805928</v>
      </c>
      <c r="O63" s="64">
        <f>'CAM TENANTS'!$A$64</f>
        <v>54000</v>
      </c>
      <c r="P63" s="7" t="str">
        <f>'CAM TENANTS'!$B$64</f>
        <v>Property Tax</v>
      </c>
      <c r="Q63" s="417">
        <f>'CAM TENANTS'!$C$64</f>
        <v>34927.629999999997</v>
      </c>
      <c r="R63" s="416">
        <v>0</v>
      </c>
      <c r="S63" s="334">
        <f>+Q63+R63</f>
        <v>34927.629999999997</v>
      </c>
      <c r="T63" s="222">
        <f>$Q$8/'CAM TENANTS'!D64</f>
        <v>0.15768799102132436</v>
      </c>
      <c r="U63" s="418">
        <f>S63*T63</f>
        <v>5507.6678058361385</v>
      </c>
      <c r="V63" s="418">
        <v>0</v>
      </c>
      <c r="W63" s="419">
        <f>U63+V63</f>
        <v>5507.6678058361385</v>
      </c>
      <c r="X63" s="64">
        <f>'CAM TENANTS'!$A$64</f>
        <v>54000</v>
      </c>
      <c r="Y63" s="7" t="str">
        <f>'CAM TENANTS'!$B$64</f>
        <v>Property Tax</v>
      </c>
      <c r="Z63" s="417">
        <f>'CAM TENANTS'!$C$64</f>
        <v>34927.629999999997</v>
      </c>
      <c r="AA63" s="416">
        <v>0</v>
      </c>
      <c r="AB63" s="334">
        <f>+Z63+AA63</f>
        <v>34927.629999999997</v>
      </c>
      <c r="AC63" s="222">
        <f>$Z$8/'CAM TENANTS'!D64</f>
        <v>4.9543049543049542E-2</v>
      </c>
      <c r="AD63" s="418">
        <f>AB63*AC63</f>
        <v>1730.4213035113032</v>
      </c>
      <c r="AE63" s="418">
        <v>0</v>
      </c>
      <c r="AF63" s="419">
        <f>AD63+AE63</f>
        <v>1730.4213035113032</v>
      </c>
      <c r="AG63" s="64">
        <f>'CAM TENANTS'!$A$64</f>
        <v>54000</v>
      </c>
      <c r="AH63" s="7" t="str">
        <f>'CAM TENANTS'!$B$64</f>
        <v>Property Tax</v>
      </c>
      <c r="AI63" s="417">
        <f>'CAM TENANTS'!$C$64</f>
        <v>34927.629999999997</v>
      </c>
      <c r="AJ63" s="416">
        <v>0</v>
      </c>
      <c r="AK63" s="334">
        <f>+AI63+AJ63</f>
        <v>34927.629999999997</v>
      </c>
      <c r="AL63" s="222">
        <f>$AI$8/'CAM TENANTS'!D64</f>
        <v>0.33910533910533913</v>
      </c>
      <c r="AM63" s="418">
        <f>AK63*AL63</f>
        <v>11844.145815295815</v>
      </c>
      <c r="AN63" s="418">
        <v>0</v>
      </c>
      <c r="AO63" s="419">
        <f>AM63+AN63</f>
        <v>11844.145815295815</v>
      </c>
      <c r="AP63" s="232"/>
    </row>
    <row r="64" spans="1:42">
      <c r="A64" s="64">
        <f>Summary!A83</f>
        <v>54000</v>
      </c>
      <c r="B64" s="7" t="str">
        <f>Summary!B83</f>
        <v>Property Tax</v>
      </c>
      <c r="C64" s="424">
        <f>Summary!O83</f>
        <v>34927.629999999997</v>
      </c>
      <c r="D64" s="214">
        <f>Rent!C$23</f>
        <v>12474</v>
      </c>
      <c r="E64" s="214"/>
      <c r="F64" s="64"/>
      <c r="G64" s="57"/>
      <c r="H64" s="417"/>
      <c r="I64" s="416"/>
      <c r="J64" s="334"/>
      <c r="K64" s="334"/>
      <c r="L64" s="334"/>
      <c r="M64" s="222"/>
      <c r="N64" s="122"/>
      <c r="O64" s="64"/>
      <c r="P64" s="57"/>
      <c r="Q64" s="334"/>
      <c r="R64" s="416"/>
      <c r="S64" s="334"/>
      <c r="T64" s="334"/>
      <c r="U64" s="334"/>
      <c r="V64" s="222"/>
      <c r="W64" s="122"/>
      <c r="X64" s="64"/>
      <c r="Y64" s="57"/>
      <c r="Z64" s="334"/>
      <c r="AA64" s="416"/>
      <c r="AB64" s="334"/>
      <c r="AC64" s="334"/>
      <c r="AD64" s="334"/>
      <c r="AE64" s="222"/>
      <c r="AF64" s="122"/>
      <c r="AG64" s="64"/>
      <c r="AH64" s="57"/>
      <c r="AI64" s="334"/>
      <c r="AJ64" s="416"/>
      <c r="AK64" s="334"/>
      <c r="AL64" s="334"/>
      <c r="AM64" s="334"/>
      <c r="AN64" s="222"/>
      <c r="AO64" s="122"/>
      <c r="AP64" s="355"/>
    </row>
    <row r="65" spans="2:42">
      <c r="B65" s="7"/>
      <c r="C65" s="424"/>
      <c r="D65" s="7"/>
      <c r="E65" s="7"/>
      <c r="F65" s="64"/>
      <c r="G65" s="425" t="str">
        <f>'CAM TENANTS'!$B$66</f>
        <v>SUBTOTAL TAXES</v>
      </c>
      <c r="H65" s="426">
        <f>SUM(H63)</f>
        <v>34927.629999999997</v>
      </c>
      <c r="I65" s="426">
        <f>SUM(I63)</f>
        <v>54275.228663650669</v>
      </c>
      <c r="J65" s="426">
        <f>SUM(J63)</f>
        <v>54275.228663650669</v>
      </c>
      <c r="K65" s="426"/>
      <c r="L65" s="427">
        <f>SUM(L63)</f>
        <v>24622.696729805928</v>
      </c>
      <c r="M65" s="427">
        <f>SUM(M63)</f>
        <v>0</v>
      </c>
      <c r="N65" s="427">
        <f>SUM(N63)</f>
        <v>24622.696729805928</v>
      </c>
      <c r="O65" s="64"/>
      <c r="P65" s="425" t="str">
        <f>$G$65</f>
        <v>SUBTOTAL TAXES</v>
      </c>
      <c r="Q65" s="427">
        <f>SUM(Q63)</f>
        <v>34927.629999999997</v>
      </c>
      <c r="R65" s="427">
        <f>SUM(R63)</f>
        <v>0</v>
      </c>
      <c r="S65" s="427">
        <f>SUM(S63)</f>
        <v>34927.629999999997</v>
      </c>
      <c r="T65" s="427"/>
      <c r="U65" s="427">
        <f>SUM(U63)</f>
        <v>5507.6678058361385</v>
      </c>
      <c r="V65" s="427">
        <f>SUM(V63)</f>
        <v>0</v>
      </c>
      <c r="W65" s="427">
        <f>SUM(W63)</f>
        <v>5507.6678058361385</v>
      </c>
      <c r="X65" s="64"/>
      <c r="Y65" s="425" t="str">
        <f>$G$65</f>
        <v>SUBTOTAL TAXES</v>
      </c>
      <c r="Z65" s="427">
        <f>SUM(Z63)</f>
        <v>34927.629999999997</v>
      </c>
      <c r="AA65" s="427">
        <f>SUM(AA63)</f>
        <v>0</v>
      </c>
      <c r="AB65" s="427">
        <f>SUM(AB63)</f>
        <v>34927.629999999997</v>
      </c>
      <c r="AC65" s="427"/>
      <c r="AD65" s="427">
        <f>SUM(AD63)</f>
        <v>1730.4213035113032</v>
      </c>
      <c r="AE65" s="427">
        <f>SUM(AE63)</f>
        <v>0</v>
      </c>
      <c r="AF65" s="427">
        <f>SUM(AF63)</f>
        <v>1730.4213035113032</v>
      </c>
      <c r="AG65" s="64"/>
      <c r="AH65" s="425" t="str">
        <f>$G$65</f>
        <v>SUBTOTAL TAXES</v>
      </c>
      <c r="AI65" s="427">
        <f>SUM(AI63)</f>
        <v>34927.629999999997</v>
      </c>
      <c r="AJ65" s="427">
        <f>SUM(AJ63)</f>
        <v>0</v>
      </c>
      <c r="AK65" s="427">
        <f>SUM(AK63)</f>
        <v>34927.629999999997</v>
      </c>
      <c r="AL65" s="427"/>
      <c r="AM65" s="427">
        <f>SUM(AM63)</f>
        <v>11844.145815295815</v>
      </c>
      <c r="AN65" s="427">
        <f>SUM(AN63)</f>
        <v>0</v>
      </c>
      <c r="AO65" s="427">
        <f>SUM(AO63)</f>
        <v>11844.145815295815</v>
      </c>
      <c r="AP65" s="7"/>
    </row>
    <row r="66" spans="2:42">
      <c r="B66" s="57" t="str">
        <f>Summary!B85</f>
        <v>SUBTOTAL TAXES</v>
      </c>
      <c r="C66" s="429">
        <f>SUM(C64)</f>
        <v>34927.629999999997</v>
      </c>
      <c r="D66" s="57"/>
      <c r="E66" s="57"/>
      <c r="F66" s="64"/>
      <c r="G66" s="57"/>
      <c r="H66" s="417"/>
      <c r="I66" s="416"/>
      <c r="J66" s="334"/>
      <c r="K66" s="334"/>
      <c r="L66" s="334"/>
      <c r="M66" s="222"/>
      <c r="N66" s="122"/>
      <c r="O66" s="64"/>
      <c r="P66" s="57"/>
      <c r="Q66" s="334"/>
      <c r="R66" s="416"/>
      <c r="S66" s="334"/>
      <c r="T66" s="334"/>
      <c r="U66" s="334"/>
      <c r="V66" s="222"/>
      <c r="W66" s="122"/>
      <c r="X66" s="64"/>
      <c r="Y66" s="57"/>
      <c r="Z66" s="334"/>
      <c r="AA66" s="416"/>
      <c r="AB66" s="334"/>
      <c r="AC66" s="334"/>
      <c r="AD66" s="334"/>
      <c r="AE66" s="222"/>
      <c r="AF66" s="122"/>
      <c r="AG66" s="64"/>
      <c r="AH66" s="57"/>
      <c r="AI66" s="334"/>
      <c r="AJ66" s="416"/>
      <c r="AK66" s="334"/>
      <c r="AL66" s="334"/>
      <c r="AM66" s="334"/>
      <c r="AN66" s="222"/>
      <c r="AO66" s="122"/>
      <c r="AP66" s="317"/>
    </row>
    <row r="67" spans="2:42">
      <c r="B67" s="7"/>
      <c r="C67" s="424"/>
      <c r="D67" s="57"/>
      <c r="E67" s="57"/>
      <c r="F67" s="64"/>
      <c r="G67" s="425" t="str">
        <f>'CAM TENANTS'!$B$68</f>
        <v>TOTAL COMMON AREA</v>
      </c>
      <c r="H67" s="426">
        <f>H40+H52+H60+H65</f>
        <v>144815.53</v>
      </c>
      <c r="I67" s="427">
        <f>I40+I52+I60+I65</f>
        <v>221134.94262509837</v>
      </c>
      <c r="J67" s="427">
        <f>J40+J52+J60+J65</f>
        <v>223643.94262509837</v>
      </c>
      <c r="K67" s="427"/>
      <c r="L67" s="427">
        <f>SUM(L65,L60,L52,L40)</f>
        <v>119950.61709862153</v>
      </c>
      <c r="M67" s="427">
        <f>SUM(M65,M60,M52,M40)</f>
        <v>0</v>
      </c>
      <c r="N67" s="427">
        <f>N65+N60+N52+N40</f>
        <v>119950.61709862153</v>
      </c>
      <c r="O67" s="64"/>
      <c r="P67" s="425" t="str">
        <f>$G$67</f>
        <v>TOTAL COMMON AREA</v>
      </c>
      <c r="Q67" s="427">
        <f>Q40+Q52+Q60+Q65</f>
        <v>144815.53</v>
      </c>
      <c r="R67" s="427">
        <f>R40+R52+R60+R65</f>
        <v>0</v>
      </c>
      <c r="S67" s="427">
        <f>S40+S52+S60+S65</f>
        <v>144815.53</v>
      </c>
      <c r="T67" s="427"/>
      <c r="U67" s="427">
        <f>SUM(U65,U60,U52,U40)</f>
        <v>23391.029481381698</v>
      </c>
      <c r="V67" s="427">
        <f>SUM(V65,V60,V52,V40)</f>
        <v>0</v>
      </c>
      <c r="W67" s="427">
        <f>W65+W60+W52+W40</f>
        <v>23391.029481381698</v>
      </c>
      <c r="X67" s="64"/>
      <c r="Y67" s="425" t="str">
        <f>$G$67</f>
        <v>TOTAL COMMON AREA</v>
      </c>
      <c r="Z67" s="427">
        <f>Z40+Z52+Z60+Z65</f>
        <v>144815.53</v>
      </c>
      <c r="AA67" s="427">
        <f>AA40+AA52+AA60+AA65</f>
        <v>-3500</v>
      </c>
      <c r="AB67" s="427">
        <f>AB40+AB52+AB60+AB65</f>
        <v>141315.53</v>
      </c>
      <c r="AC67" s="427"/>
      <c r="AD67" s="427">
        <f>SUM(AD65,AD60,AD52,AD40)</f>
        <v>8300.7382441136087</v>
      </c>
      <c r="AE67" s="427">
        <f>SUM(AE65,AE60,AE52,AE40)</f>
        <v>0</v>
      </c>
      <c r="AF67" s="427">
        <f>AF65+AF60+AF52+AF40</f>
        <v>8300.7382441136087</v>
      </c>
      <c r="AG67" s="64"/>
      <c r="AH67" s="425" t="str">
        <f>$G$67</f>
        <v>TOTAL COMMON AREA</v>
      </c>
      <c r="AI67" s="427">
        <f>AI40+AI52+AI60+AI65</f>
        <v>144815.53</v>
      </c>
      <c r="AJ67" s="427">
        <f>AJ40+AJ52+AJ60+AJ65</f>
        <v>-3500</v>
      </c>
      <c r="AK67" s="427">
        <f>AK40+AK52+AK60+AK65</f>
        <v>141315.53</v>
      </c>
      <c r="AL67" s="427"/>
      <c r="AM67" s="427">
        <f>SUM(AM65,AM60,AM52,AM40)</f>
        <v>56815.732641748495</v>
      </c>
      <c r="AN67" s="427">
        <f>SUM(AN65,AN60,AN52,AN40)</f>
        <v>0</v>
      </c>
      <c r="AO67" s="427">
        <f>AO65+AO60+AO52+AO40</f>
        <v>56815.732641748495</v>
      </c>
      <c r="AP67" s="57"/>
    </row>
    <row r="68" spans="2:42">
      <c r="B68" s="57" t="str">
        <f>Summary!B89</f>
        <v>TOTAL COMMON AREA</v>
      </c>
      <c r="C68" s="429">
        <f>C41+C53+C61+C66</f>
        <v>144815.53</v>
      </c>
      <c r="D68" s="57"/>
      <c r="E68" s="57"/>
      <c r="F68" s="64"/>
      <c r="G68" s="57"/>
      <c r="H68" s="430"/>
      <c r="I68" s="432"/>
      <c r="J68" s="430"/>
      <c r="K68" s="430"/>
      <c r="L68" s="430"/>
      <c r="M68" s="430"/>
      <c r="N68" s="430"/>
      <c r="O68" s="64"/>
      <c r="P68" s="57"/>
      <c r="Q68" s="430"/>
      <c r="R68" s="432"/>
      <c r="S68" s="430"/>
      <c r="T68" s="430"/>
      <c r="U68" s="430"/>
      <c r="V68" s="430"/>
      <c r="W68" s="430"/>
      <c r="X68" s="64"/>
      <c r="Y68" s="57"/>
      <c r="Z68" s="430"/>
      <c r="AA68" s="432"/>
      <c r="AB68" s="430"/>
      <c r="AC68" s="430"/>
      <c r="AD68" s="430"/>
      <c r="AE68" s="430"/>
      <c r="AF68" s="430"/>
      <c r="AG68" s="64"/>
      <c r="AH68" s="57"/>
      <c r="AI68" s="430"/>
      <c r="AJ68" s="432"/>
      <c r="AK68" s="430"/>
      <c r="AL68" s="430"/>
      <c r="AM68" s="430"/>
      <c r="AN68" s="430"/>
      <c r="AO68" s="430"/>
      <c r="AP68" s="317"/>
    </row>
    <row r="69" spans="2:42">
      <c r="B69" s="7"/>
      <c r="C69" s="7"/>
      <c r="D69" s="7"/>
      <c r="E69" s="7"/>
      <c r="F69" s="64"/>
      <c r="G69" s="7"/>
      <c r="H69" s="7"/>
      <c r="I69" s="7"/>
      <c r="J69" s="7"/>
      <c r="K69" s="7"/>
      <c r="L69" s="7"/>
      <c r="M69" s="222"/>
      <c r="N69" s="122"/>
      <c r="O69" s="64"/>
      <c r="P69" s="7"/>
      <c r="Q69" s="7"/>
      <c r="R69" s="7"/>
      <c r="S69" s="7"/>
      <c r="T69" s="7"/>
      <c r="U69" s="7"/>
      <c r="V69" s="222"/>
      <c r="W69" s="122"/>
      <c r="X69" s="64"/>
      <c r="Y69" s="7"/>
      <c r="Z69" s="7"/>
      <c r="AA69" s="7"/>
      <c r="AB69" s="7"/>
      <c r="AC69" s="7"/>
      <c r="AD69" s="7"/>
      <c r="AE69" s="222"/>
      <c r="AF69" s="122"/>
      <c r="AG69" s="64"/>
      <c r="AH69" s="7"/>
      <c r="AI69" s="7"/>
      <c r="AJ69" s="7"/>
      <c r="AK69" s="7"/>
      <c r="AL69" s="7"/>
      <c r="AM69" s="7"/>
      <c r="AN69" s="222"/>
      <c r="AO69" s="122"/>
      <c r="AP69" s="7"/>
    </row>
    <row r="70" spans="2:42">
      <c r="B70" s="7"/>
      <c r="C70" s="311"/>
      <c r="D70" s="7"/>
      <c r="E70" s="7"/>
      <c r="F70" s="64"/>
      <c r="G70" s="217" t="s">
        <v>337</v>
      </c>
      <c r="H70" s="427">
        <f>H67</f>
        <v>144815.53</v>
      </c>
      <c r="I70" s="433">
        <v>-128648.65</v>
      </c>
      <c r="J70" s="427">
        <f>I70+H70</f>
        <v>16166.880000000005</v>
      </c>
      <c r="K70" s="434">
        <f>K63</f>
        <v>0.45366362033028701</v>
      </c>
      <c r="L70" s="427">
        <f>K70*J70</f>
        <v>7334.3253102453127</v>
      </c>
      <c r="M70" s="435">
        <f>L70*M12</f>
        <v>0</v>
      </c>
      <c r="N70" s="436">
        <f>M70+L70</f>
        <v>7334.3253102453127</v>
      </c>
      <c r="O70" s="64"/>
      <c r="P70" s="217" t="s">
        <v>338</v>
      </c>
      <c r="Q70" s="427">
        <f>Q67</f>
        <v>144815.53</v>
      </c>
      <c r="R70" s="433">
        <v>-125287.09</v>
      </c>
      <c r="S70" s="427">
        <f>R70+Q70</f>
        <v>19528.440000000002</v>
      </c>
      <c r="T70" s="434">
        <f>T63</f>
        <v>0.15768799102132436</v>
      </c>
      <c r="U70" s="427">
        <f>T70*S70</f>
        <v>3079.400471380472</v>
      </c>
      <c r="V70" s="435">
        <f>U70*V12</f>
        <v>0</v>
      </c>
      <c r="W70" s="436">
        <f>V70+U70</f>
        <v>3079.400471380472</v>
      </c>
      <c r="X70" s="64"/>
      <c r="Y70" s="217" t="s">
        <v>338</v>
      </c>
      <c r="Z70" s="427">
        <f>Z67</f>
        <v>144815.53</v>
      </c>
      <c r="AA70" s="433"/>
      <c r="AB70" s="427">
        <f>AA70+Z70</f>
        <v>144815.53</v>
      </c>
      <c r="AC70" s="434">
        <f>AC63</f>
        <v>4.9543049543049542E-2</v>
      </c>
      <c r="AD70" s="427">
        <f>AC70*AB70</f>
        <v>7174.6029773929768</v>
      </c>
      <c r="AE70" s="435">
        <f>AD70*AE12</f>
        <v>0</v>
      </c>
      <c r="AF70" s="436">
        <f>AE70+AD70</f>
        <v>7174.6029773929768</v>
      </c>
      <c r="AG70" s="64"/>
      <c r="AH70" s="217" t="s">
        <v>338</v>
      </c>
      <c r="AI70" s="427">
        <f>AI67</f>
        <v>144815.53</v>
      </c>
      <c r="AJ70" s="433"/>
      <c r="AK70" s="427">
        <f>AJ70+AI70</f>
        <v>144815.53</v>
      </c>
      <c r="AL70" s="434">
        <f>AL63</f>
        <v>0.33910533910533913</v>
      </c>
      <c r="AM70" s="427">
        <f>AL70*AK70</f>
        <v>49107.719408369412</v>
      </c>
      <c r="AN70" s="435">
        <f>AM70*AN12</f>
        <v>0</v>
      </c>
      <c r="AO70" s="436">
        <f>AN70+AM70</f>
        <v>49107.719408369412</v>
      </c>
      <c r="AP70" s="7"/>
    </row>
    <row r="71" spans="2:42">
      <c r="B71" s="7"/>
      <c r="C71" s="7"/>
      <c r="D71" s="7"/>
      <c r="E71" s="7"/>
      <c r="F71" s="64"/>
      <c r="G71" s="7"/>
      <c r="H71" s="7"/>
      <c r="I71" s="7"/>
      <c r="J71" s="7"/>
      <c r="K71" s="7"/>
      <c r="L71" s="7"/>
      <c r="M71" s="222"/>
      <c r="N71" s="122"/>
      <c r="O71" s="64"/>
      <c r="P71" s="7"/>
      <c r="Q71" s="7"/>
      <c r="R71" s="7"/>
      <c r="S71" s="7"/>
      <c r="T71" s="7"/>
      <c r="U71" s="7"/>
      <c r="V71" s="222"/>
      <c r="W71" s="122"/>
      <c r="X71" s="64"/>
      <c r="Y71" s="7"/>
      <c r="Z71" s="7"/>
      <c r="AA71" s="7"/>
      <c r="AB71" s="7"/>
      <c r="AC71" s="7"/>
      <c r="AD71" s="7"/>
      <c r="AE71" s="222"/>
      <c r="AF71" s="122"/>
      <c r="AG71" s="64"/>
      <c r="AH71" s="7"/>
      <c r="AI71" s="7"/>
      <c r="AJ71" s="7"/>
      <c r="AK71" s="7"/>
      <c r="AL71" s="7"/>
      <c r="AM71" s="7"/>
      <c r="AN71" s="222"/>
      <c r="AO71" s="122"/>
      <c r="AP71" s="7"/>
    </row>
    <row r="72" spans="2:42">
      <c r="B72" s="7"/>
      <c r="C72" s="7"/>
      <c r="D72" s="7"/>
      <c r="E72" s="7"/>
      <c r="F72" s="64"/>
      <c r="G72" s="308"/>
      <c r="H72" s="437"/>
      <c r="I72" s="438" t="s">
        <v>339</v>
      </c>
      <c r="J72" s="437" t="s">
        <v>340</v>
      </c>
      <c r="K72" s="437" t="s">
        <v>341</v>
      </c>
      <c r="L72" s="437"/>
      <c r="M72" s="439"/>
      <c r="N72" s="440"/>
      <c r="O72" s="64"/>
      <c r="P72" s="308"/>
      <c r="Q72" s="437"/>
      <c r="R72" s="438" t="s">
        <v>339</v>
      </c>
      <c r="S72" s="437" t="s">
        <v>340</v>
      </c>
      <c r="T72" s="437" t="s">
        <v>341</v>
      </c>
      <c r="U72" s="437"/>
      <c r="V72" s="439"/>
      <c r="W72" s="440"/>
      <c r="X72" s="64"/>
      <c r="Y72" s="308"/>
      <c r="Z72" s="437"/>
      <c r="AA72" s="438" t="s">
        <v>339</v>
      </c>
      <c r="AB72" s="437" t="s">
        <v>340</v>
      </c>
      <c r="AC72" s="437" t="s">
        <v>341</v>
      </c>
      <c r="AD72" s="437"/>
      <c r="AE72" s="439"/>
      <c r="AF72" s="440"/>
      <c r="AG72" s="64"/>
      <c r="AH72" s="308"/>
      <c r="AI72" s="437"/>
      <c r="AJ72" s="438" t="s">
        <v>339</v>
      </c>
      <c r="AK72" s="437" t="s">
        <v>340</v>
      </c>
      <c r="AL72" s="437" t="s">
        <v>341</v>
      </c>
      <c r="AM72" s="437"/>
      <c r="AN72" s="439"/>
      <c r="AO72" s="440"/>
      <c r="AP72" s="7"/>
    </row>
    <row r="73" spans="2:42">
      <c r="B73" s="7"/>
      <c r="C73" s="7"/>
      <c r="D73" s="7"/>
      <c r="E73" s="7"/>
      <c r="F73" s="64"/>
      <c r="G73" s="319" t="s">
        <v>342</v>
      </c>
      <c r="H73" s="441"/>
      <c r="I73" s="442">
        <v>365</v>
      </c>
      <c r="J73" s="442">
        <v>365</v>
      </c>
      <c r="K73" s="443">
        <v>1</v>
      </c>
      <c r="L73" s="441"/>
      <c r="M73" s="443"/>
      <c r="N73" s="444">
        <f>N70*K73</f>
        <v>7334.3253102453127</v>
      </c>
      <c r="O73" s="64"/>
      <c r="P73" s="319" t="s">
        <v>342</v>
      </c>
      <c r="Q73" s="441"/>
      <c r="R73" s="442">
        <v>365</v>
      </c>
      <c r="S73" s="442">
        <v>365</v>
      </c>
      <c r="T73" s="443">
        <v>1</v>
      </c>
      <c r="U73" s="441"/>
      <c r="V73" s="443"/>
      <c r="W73" s="444">
        <f>W70*T73</f>
        <v>3079.400471380472</v>
      </c>
      <c r="X73" s="64"/>
      <c r="Y73" s="319" t="s">
        <v>342</v>
      </c>
      <c r="Z73" s="441"/>
      <c r="AA73" s="442">
        <v>365</v>
      </c>
      <c r="AB73" s="442">
        <v>365</v>
      </c>
      <c r="AC73" s="443">
        <v>1</v>
      </c>
      <c r="AD73" s="441"/>
      <c r="AE73" s="443"/>
      <c r="AF73" s="444">
        <f>AF70*AC73</f>
        <v>7174.6029773929768</v>
      </c>
      <c r="AG73" s="64"/>
      <c r="AH73" s="319" t="s">
        <v>342</v>
      </c>
      <c r="AI73" s="441"/>
      <c r="AJ73" s="442">
        <v>365</v>
      </c>
      <c r="AK73" s="442">
        <v>365</v>
      </c>
      <c r="AL73" s="443">
        <v>1</v>
      </c>
      <c r="AM73" s="441"/>
      <c r="AN73" s="443"/>
      <c r="AO73" s="444">
        <f>AO70*AL73</f>
        <v>49107.719408369412</v>
      </c>
      <c r="AP73" s="7"/>
    </row>
    <row r="74" spans="2:42">
      <c r="B74" s="7"/>
      <c r="C74" s="7"/>
      <c r="D74" s="7"/>
      <c r="E74" s="7"/>
      <c r="F74" s="64"/>
      <c r="G74" s="7"/>
      <c r="H74" s="7"/>
      <c r="I74" s="7" t="s">
        <v>23</v>
      </c>
      <c r="J74" s="7"/>
      <c r="K74" s="7"/>
      <c r="L74" s="7"/>
      <c r="M74" s="222"/>
      <c r="N74" s="122"/>
      <c r="O74" s="64"/>
      <c r="P74" s="7"/>
      <c r="Q74" s="7"/>
      <c r="R74" s="7" t="s">
        <v>23</v>
      </c>
      <c r="S74" s="7"/>
      <c r="T74" s="7"/>
      <c r="U74" s="7"/>
      <c r="V74" s="222"/>
      <c r="W74" s="122"/>
      <c r="X74" s="64"/>
      <c r="Y74" s="7"/>
      <c r="Z74" s="7"/>
      <c r="AA74" s="7" t="s">
        <v>23</v>
      </c>
      <c r="AB74" s="7"/>
      <c r="AC74" s="7"/>
      <c r="AD74" s="7"/>
      <c r="AE74" s="222"/>
      <c r="AF74" s="122"/>
      <c r="AG74" s="64"/>
      <c r="AH74" s="7"/>
      <c r="AI74" s="7"/>
      <c r="AJ74" s="7" t="s">
        <v>23</v>
      </c>
      <c r="AK74" s="7"/>
      <c r="AL74" s="7"/>
      <c r="AM74" s="7"/>
      <c r="AN74" s="222"/>
      <c r="AO74" s="122"/>
      <c r="AP74" s="7"/>
    </row>
    <row r="75" spans="2:42">
      <c r="B75" s="7"/>
      <c r="C75" s="7"/>
      <c r="D75" s="7"/>
      <c r="E75" s="7"/>
      <c r="F75" s="64"/>
      <c r="G75" s="217" t="s">
        <v>326</v>
      </c>
      <c r="H75" s="427"/>
      <c r="I75" s="433"/>
      <c r="J75" s="427"/>
      <c r="K75" s="445">
        <f>N73</f>
        <v>7334.3253102453127</v>
      </c>
      <c r="L75" s="427">
        <v>0.95</v>
      </c>
      <c r="M75" s="435">
        <f>L75*M17</f>
        <v>0</v>
      </c>
      <c r="N75" s="436">
        <f>M75+L75</f>
        <v>0.95</v>
      </c>
      <c r="O75" s="64"/>
      <c r="P75" s="217" t="s">
        <v>338</v>
      </c>
      <c r="Q75" s="427">
        <f>Q72</f>
        <v>0</v>
      </c>
      <c r="R75" s="433">
        <v>-125287.09</v>
      </c>
      <c r="S75" s="427">
        <f>R75+Q75</f>
        <v>-125287.09</v>
      </c>
      <c r="T75" s="434">
        <f>T68</f>
        <v>0</v>
      </c>
      <c r="U75" s="427">
        <f>T75*S75</f>
        <v>0</v>
      </c>
      <c r="V75" s="435">
        <f>U75*V17</f>
        <v>0</v>
      </c>
      <c r="W75" s="436">
        <f>V75+U75</f>
        <v>0</v>
      </c>
      <c r="X75" s="64"/>
      <c r="Y75" s="217" t="s">
        <v>338</v>
      </c>
      <c r="Z75" s="427">
        <f>Z72</f>
        <v>0</v>
      </c>
      <c r="AA75" s="433"/>
      <c r="AB75" s="427">
        <f>AA75+Z75</f>
        <v>0</v>
      </c>
      <c r="AC75" s="434">
        <f>AC68</f>
        <v>0</v>
      </c>
      <c r="AD75" s="427">
        <f>AC75*AB75</f>
        <v>0</v>
      </c>
      <c r="AE75" s="435">
        <f>AD75*AE17</f>
        <v>0</v>
      </c>
      <c r="AF75" s="436">
        <f>AF73</f>
        <v>7174.6029773929768</v>
      </c>
      <c r="AG75" s="64"/>
      <c r="AH75" s="217" t="s">
        <v>338</v>
      </c>
      <c r="AI75" s="427">
        <f>AI72</f>
        <v>0</v>
      </c>
      <c r="AJ75" s="433">
        <v>0</v>
      </c>
      <c r="AK75" s="427">
        <f>AJ75+AI75</f>
        <v>0</v>
      </c>
      <c r="AL75" s="434">
        <f>AL68</f>
        <v>0</v>
      </c>
      <c r="AM75" s="427">
        <f>AL75*AK75</f>
        <v>0</v>
      </c>
      <c r="AN75" s="435">
        <f>AM75*AN17</f>
        <v>0</v>
      </c>
      <c r="AO75" s="436">
        <f>AO73</f>
        <v>49107.719408369412</v>
      </c>
      <c r="AP75" s="7"/>
    </row>
    <row r="76" spans="2:42">
      <c r="B76" s="7"/>
      <c r="C76" s="7"/>
      <c r="D76" s="7"/>
      <c r="E76" s="7"/>
      <c r="F76" s="64"/>
      <c r="G76" s="7"/>
      <c r="H76" s="7"/>
      <c r="I76" s="7"/>
      <c r="J76" s="7"/>
      <c r="K76" s="7"/>
      <c r="L76" s="7"/>
      <c r="M76" s="222"/>
      <c r="N76" s="122"/>
      <c r="O76" s="64"/>
      <c r="P76" s="7"/>
      <c r="Q76" s="64"/>
      <c r="R76" s="191"/>
      <c r="S76" s="7"/>
      <c r="T76" s="7"/>
      <c r="U76" s="7"/>
      <c r="V76" s="310"/>
      <c r="W76" s="122"/>
      <c r="X76" s="64"/>
      <c r="Y76" s="7"/>
      <c r="Z76" s="64"/>
      <c r="AA76" s="191"/>
      <c r="AB76" s="7"/>
      <c r="AC76" s="7"/>
      <c r="AD76" s="7"/>
      <c r="AE76" s="310"/>
      <c r="AF76" s="122"/>
      <c r="AG76" s="64"/>
      <c r="AH76" s="7"/>
      <c r="AI76" s="64"/>
      <c r="AJ76" s="191"/>
      <c r="AK76" s="7"/>
      <c r="AL76" s="7"/>
      <c r="AM76" s="7"/>
      <c r="AN76" s="310"/>
      <c r="AO76" s="122"/>
      <c r="AP76" s="7"/>
    </row>
    <row r="77" spans="2:42">
      <c r="B77" s="7"/>
      <c r="C77" s="7"/>
      <c r="D77" s="7"/>
      <c r="E77" s="7"/>
      <c r="F77" s="64"/>
      <c r="G77" s="7"/>
      <c r="H77" s="7"/>
      <c r="I77" s="7"/>
      <c r="J77" s="7"/>
      <c r="K77" s="7"/>
      <c r="L77" s="7"/>
      <c r="M77" s="222"/>
      <c r="N77" s="416"/>
      <c r="O77" s="64"/>
      <c r="P77" s="7"/>
      <c r="Q77" s="446"/>
      <c r="R77" s="447"/>
      <c r="S77" s="7"/>
      <c r="T77" s="7"/>
      <c r="U77" s="7"/>
      <c r="V77" s="310"/>
      <c r="W77" s="416"/>
      <c r="X77" s="64"/>
      <c r="Y77" s="7"/>
      <c r="Z77" s="446"/>
      <c r="AA77" s="447"/>
      <c r="AB77" s="7"/>
      <c r="AC77" s="7"/>
      <c r="AD77" s="7"/>
      <c r="AE77" s="310"/>
      <c r="AF77" s="416"/>
      <c r="AG77" s="64"/>
      <c r="AH77" s="7"/>
      <c r="AI77" s="446"/>
      <c r="AJ77" s="447"/>
      <c r="AK77" s="7"/>
      <c r="AL77" s="7"/>
      <c r="AM77" s="7"/>
      <c r="AN77" s="310"/>
      <c r="AO77" s="416"/>
      <c r="AP77" s="7"/>
    </row>
    <row r="78" spans="2:42">
      <c r="B78" s="7"/>
      <c r="C78" s="7"/>
      <c r="D78" s="7"/>
      <c r="E78" s="7"/>
      <c r="F78" s="64"/>
      <c r="G78" s="7"/>
      <c r="H78" s="7"/>
      <c r="I78" s="7"/>
      <c r="J78" s="7"/>
      <c r="K78" s="7"/>
      <c r="L78" s="7"/>
      <c r="M78" s="222"/>
      <c r="N78" s="122"/>
      <c r="O78" s="64"/>
      <c r="P78" s="7"/>
      <c r="Q78" s="7"/>
      <c r="R78" s="7"/>
      <c r="S78" s="7"/>
      <c r="T78" s="7"/>
      <c r="U78" s="7"/>
      <c r="V78" s="222"/>
      <c r="W78" s="122"/>
      <c r="X78" s="64"/>
      <c r="Y78" s="7"/>
      <c r="Z78" s="7"/>
      <c r="AA78" s="7"/>
      <c r="AB78" s="7"/>
      <c r="AC78" s="7"/>
      <c r="AD78" s="7"/>
      <c r="AE78" s="222"/>
      <c r="AF78" s="122"/>
      <c r="AG78" s="64"/>
      <c r="AH78" s="7"/>
      <c r="AI78" s="7"/>
      <c r="AJ78" s="7"/>
      <c r="AK78" s="7"/>
      <c r="AL78" s="7"/>
      <c r="AM78" s="7"/>
      <c r="AN78" s="222"/>
      <c r="AO78" s="122"/>
      <c r="AP78" s="7"/>
    </row>
    <row r="79" spans="2:42">
      <c r="B79" s="7"/>
      <c r="C79" s="7"/>
      <c r="D79" s="7"/>
      <c r="E79" s="7"/>
      <c r="F79" s="64"/>
      <c r="G79" s="217" t="s">
        <v>343</v>
      </c>
      <c r="H79" s="448"/>
      <c r="I79" s="433"/>
      <c r="J79" s="427"/>
      <c r="K79" s="427"/>
      <c r="L79" s="427"/>
      <c r="M79" s="428"/>
      <c r="N79" s="436">
        <f>N73</f>
        <v>7334.3253102453127</v>
      </c>
      <c r="O79" s="64"/>
      <c r="P79" s="217" t="s">
        <v>343</v>
      </c>
      <c r="Q79" s="448"/>
      <c r="R79" s="433"/>
      <c r="S79" s="427"/>
      <c r="T79" s="427"/>
      <c r="U79" s="427"/>
      <c r="V79" s="428"/>
      <c r="W79" s="436">
        <f>W73</f>
        <v>3079.400471380472</v>
      </c>
      <c r="X79" s="64"/>
      <c r="Y79" s="217" t="s">
        <v>343</v>
      </c>
      <c r="Z79" s="448"/>
      <c r="AA79" s="433"/>
      <c r="AB79" s="427"/>
      <c r="AC79" s="427"/>
      <c r="AD79" s="427"/>
      <c r="AE79" s="428"/>
      <c r="AF79" s="436">
        <f>AF73</f>
        <v>7174.6029773929768</v>
      </c>
      <c r="AG79" s="64"/>
      <c r="AH79" s="217" t="s">
        <v>343</v>
      </c>
      <c r="AI79" s="448"/>
      <c r="AJ79" s="433"/>
      <c r="AK79" s="427"/>
      <c r="AL79" s="427"/>
      <c r="AM79" s="427"/>
      <c r="AN79" s="428"/>
      <c r="AO79" s="436">
        <f>AO73</f>
        <v>49107.719408369412</v>
      </c>
      <c r="AP79" s="7"/>
    </row>
    <row r="80" spans="2:42">
      <c r="B80" s="7"/>
      <c r="C80" s="7"/>
      <c r="D80" s="7"/>
      <c r="E80" s="7"/>
      <c r="F80" s="64"/>
      <c r="G80" s="7"/>
      <c r="H80" s="7"/>
      <c r="I80" s="7"/>
      <c r="J80" s="7"/>
      <c r="K80" s="7"/>
      <c r="L80" s="7"/>
      <c r="M80" s="449" t="s">
        <v>344</v>
      </c>
      <c r="N80" s="450">
        <f>N79/12</f>
        <v>611.19377585377606</v>
      </c>
      <c r="O80" s="64"/>
      <c r="P80" s="7"/>
      <c r="Q80" s="7"/>
      <c r="R80" s="7"/>
      <c r="S80" s="7"/>
      <c r="T80" s="7"/>
      <c r="U80" s="7"/>
      <c r="V80" s="449" t="s">
        <v>344</v>
      </c>
      <c r="W80" s="450">
        <f>W79/12</f>
        <v>256.61670594837267</v>
      </c>
      <c r="X80" s="64"/>
      <c r="Y80" s="7"/>
      <c r="Z80" s="7"/>
      <c r="AA80" s="7"/>
      <c r="AB80" s="7"/>
      <c r="AC80" s="7"/>
      <c r="AD80" s="7"/>
      <c r="AE80" s="449" t="s">
        <v>344</v>
      </c>
      <c r="AF80" s="450">
        <f>AF79/12</f>
        <v>597.88358144941469</v>
      </c>
      <c r="AG80" s="64"/>
      <c r="AH80" s="7"/>
      <c r="AI80" s="7"/>
      <c r="AJ80" s="7"/>
      <c r="AK80" s="7"/>
      <c r="AL80" s="7"/>
      <c r="AM80" s="7"/>
      <c r="AN80" s="449" t="s">
        <v>344</v>
      </c>
      <c r="AO80" s="450">
        <f>AO79/12</f>
        <v>4092.3099506974509</v>
      </c>
      <c r="AP80" s="7"/>
    </row>
    <row r="81" spans="6:41">
      <c r="F81" s="64"/>
      <c r="G81" s="7"/>
      <c r="H81" s="7"/>
      <c r="I81" s="7"/>
      <c r="J81" s="7"/>
      <c r="K81" s="7"/>
      <c r="L81" s="7"/>
      <c r="M81" s="222"/>
      <c r="N81" s="122"/>
      <c r="O81" s="64"/>
      <c r="P81" s="7"/>
      <c r="Q81" s="7"/>
      <c r="R81" s="7"/>
      <c r="S81" s="7"/>
      <c r="T81" s="7"/>
      <c r="U81" s="7"/>
      <c r="V81" s="222"/>
      <c r="W81" s="122"/>
      <c r="X81" s="64"/>
      <c r="Y81" s="7"/>
      <c r="Z81" s="7"/>
      <c r="AA81" s="7"/>
      <c r="AB81" s="7"/>
      <c r="AC81" s="7"/>
      <c r="AD81" s="7"/>
      <c r="AE81" s="222"/>
      <c r="AF81" s="122"/>
      <c r="AG81" s="64"/>
      <c r="AH81" s="7"/>
      <c r="AI81" s="7"/>
      <c r="AJ81" s="7"/>
      <c r="AK81" s="7"/>
      <c r="AL81" s="7"/>
      <c r="AM81" s="7"/>
      <c r="AN81" s="222"/>
      <c r="AO81" s="122"/>
    </row>
    <row r="82" spans="6:41">
      <c r="F82" s="64"/>
      <c r="G82" s="7"/>
      <c r="H82" s="334"/>
      <c r="I82" s="222"/>
      <c r="J82" s="7"/>
      <c r="K82" s="7"/>
      <c r="L82" s="7"/>
      <c r="M82" s="222"/>
      <c r="N82" s="122">
        <f>N79/12</f>
        <v>611.19377585377606</v>
      </c>
      <c r="O82" s="64"/>
      <c r="P82" s="57"/>
      <c r="Q82" s="57"/>
      <c r="R82" s="7"/>
      <c r="S82" s="7"/>
      <c r="T82" s="7"/>
      <c r="U82" s="7"/>
      <c r="V82" s="222"/>
      <c r="W82" s="122">
        <f>W79/12</f>
        <v>256.61670594837267</v>
      </c>
      <c r="X82" s="64"/>
      <c r="Y82" s="57"/>
      <c r="Z82" s="57"/>
      <c r="AA82" s="7"/>
      <c r="AB82" s="7"/>
      <c r="AC82" s="7"/>
      <c r="AD82" s="7"/>
      <c r="AE82" s="222"/>
      <c r="AF82" s="122">
        <f>AF79/12</f>
        <v>597.88358144941469</v>
      </c>
      <c r="AG82" s="64"/>
      <c r="AH82" s="57"/>
      <c r="AI82" s="57"/>
      <c r="AJ82" s="7"/>
      <c r="AK82" s="7"/>
      <c r="AL82" s="7"/>
      <c r="AM82" s="7"/>
      <c r="AN82" s="222"/>
      <c r="AO82" s="122">
        <f>AO79/12</f>
        <v>4092.3099506974509</v>
      </c>
    </row>
    <row r="83" spans="6:41">
      <c r="F83" s="7"/>
      <c r="G83" s="7"/>
      <c r="H83" s="7"/>
      <c r="I83" s="7"/>
      <c r="J83" s="7"/>
      <c r="K83" s="7" t="s">
        <v>345</v>
      </c>
      <c r="L83" s="277">
        <f>N67/12</f>
        <v>9995.8847582184608</v>
      </c>
      <c r="M83" s="7"/>
      <c r="N83" s="7"/>
      <c r="O83" s="7"/>
      <c r="P83" s="7"/>
      <c r="Q83" s="7"/>
      <c r="R83" s="7"/>
      <c r="S83" s="7"/>
      <c r="T83" s="7" t="s">
        <v>345</v>
      </c>
      <c r="U83" s="277">
        <f>W67/12</f>
        <v>1949.2524567818082</v>
      </c>
      <c r="V83" s="122"/>
      <c r="W83" s="7"/>
      <c r="X83" s="7"/>
      <c r="Y83" s="7"/>
      <c r="Z83" s="7"/>
      <c r="AA83" s="7"/>
      <c r="AB83" s="7"/>
      <c r="AC83" s="7" t="s">
        <v>345</v>
      </c>
      <c r="AD83" s="277">
        <f>AF67/12</f>
        <v>691.72818700946743</v>
      </c>
      <c r="AE83" s="122"/>
      <c r="AF83" s="7"/>
      <c r="AG83" s="7"/>
      <c r="AH83" s="7"/>
      <c r="AI83" s="7"/>
      <c r="AJ83" s="7"/>
      <c r="AK83" s="7"/>
      <c r="AL83" s="7" t="s">
        <v>345</v>
      </c>
      <c r="AM83" s="277">
        <f>AO67/12</f>
        <v>4734.6443868123743</v>
      </c>
      <c r="AN83" s="122"/>
      <c r="AO83" s="7"/>
    </row>
    <row r="84" spans="6:41">
      <c r="F84" s="7"/>
      <c r="G84" s="7"/>
      <c r="H84" s="7"/>
      <c r="I84" s="334"/>
      <c r="J84" s="7"/>
      <c r="K84" s="7" t="s">
        <v>346</v>
      </c>
      <c r="L84" s="277">
        <f>L83/H8</f>
        <v>1.7663694571865101</v>
      </c>
      <c r="M84" s="7"/>
      <c r="N84" s="7"/>
      <c r="O84" s="7"/>
      <c r="P84" s="143"/>
      <c r="Q84" s="7"/>
      <c r="R84" s="7"/>
      <c r="S84" s="7"/>
      <c r="T84" s="7" t="s">
        <v>346</v>
      </c>
      <c r="U84" s="277">
        <f>U83/Q8</f>
        <v>0.99097735474418314</v>
      </c>
      <c r="V84" s="7"/>
      <c r="W84" s="7">
        <f>W67/12</f>
        <v>1949.2524567818082</v>
      </c>
      <c r="X84" s="7"/>
      <c r="Y84" s="143"/>
      <c r="Z84" s="7"/>
      <c r="AA84" s="7"/>
      <c r="AB84" s="7"/>
      <c r="AC84" s="7" t="s">
        <v>346</v>
      </c>
      <c r="AD84" s="277">
        <f>AD83/Z8</f>
        <v>1.1193012734781027</v>
      </c>
      <c r="AE84" s="7"/>
      <c r="AF84" s="7"/>
      <c r="AG84" s="7"/>
      <c r="AH84" s="143"/>
      <c r="AI84" s="7"/>
      <c r="AJ84" s="7"/>
      <c r="AK84" s="7"/>
      <c r="AL84" s="7" t="s">
        <v>346</v>
      </c>
      <c r="AM84" s="277">
        <f>AM83/AI8</f>
        <v>1.1193012734781027</v>
      </c>
      <c r="AN84" s="7"/>
      <c r="AO84" s="7"/>
    </row>
    <row r="85" spans="6:41">
      <c r="F85" s="7"/>
      <c r="G85" s="76" t="s">
        <v>347</v>
      </c>
      <c r="H85" s="7"/>
      <c r="I85" s="7"/>
      <c r="J85" s="7"/>
      <c r="K85" s="7"/>
      <c r="L85" s="7"/>
      <c r="M85" s="7"/>
      <c r="N85" s="7"/>
      <c r="O85" s="7"/>
      <c r="P85" s="76" t="s">
        <v>348</v>
      </c>
      <c r="Q85" s="7"/>
      <c r="R85" s="7"/>
      <c r="S85" s="7"/>
      <c r="T85" s="7"/>
      <c r="U85" s="7"/>
      <c r="V85" s="7"/>
      <c r="W85" s="7">
        <f>W84/Q8</f>
        <v>0.99097735474418314</v>
      </c>
      <c r="X85" s="7"/>
      <c r="Y85" s="76"/>
      <c r="Z85" s="7"/>
      <c r="AA85" s="7"/>
      <c r="AB85" s="7"/>
      <c r="AC85" s="7"/>
      <c r="AD85" s="277"/>
      <c r="AE85" s="7"/>
      <c r="AF85" s="7"/>
      <c r="AG85" s="7"/>
      <c r="AH85" s="76"/>
      <c r="AI85" s="7"/>
      <c r="AJ85" s="7"/>
      <c r="AK85" s="7"/>
      <c r="AL85" s="7"/>
      <c r="AM85" s="7"/>
      <c r="AN85" s="7"/>
      <c r="AO85" s="7"/>
    </row>
    <row r="86" spans="6:41">
      <c r="F86" s="7"/>
      <c r="G86" s="7" t="s">
        <v>349</v>
      </c>
      <c r="H86" s="7"/>
      <c r="I86" s="34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>
        <f>W85*12</f>
        <v>11.891728256930197</v>
      </c>
      <c r="X86" s="7"/>
      <c r="Y86" s="7"/>
      <c r="Z86" s="7"/>
      <c r="AA86" s="7"/>
      <c r="AB86" s="7"/>
      <c r="AC86" s="7" t="s">
        <v>350</v>
      </c>
      <c r="AD86" s="7">
        <v>24.75</v>
      </c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6:41"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 t="s">
        <v>351</v>
      </c>
      <c r="AD87" s="277">
        <f>AD86-AD84</f>
        <v>23.630698726521896</v>
      </c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6:41"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 t="s">
        <v>352</v>
      </c>
      <c r="AD88" s="277">
        <f>AD87/12</f>
        <v>1.9692248938768246</v>
      </c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</sheetData>
  <customSheetViews>
    <customSheetView guid="{7691FA39-7EA9-407C-9567-49BEFD6339F8}" scale="75" showPageBreaks="1" showRuler="0">
      <selection activeCell="A13" sqref="A13"/>
      <rowBreaks count="1" manualBreakCount="1">
        <brk id="85" max="16383" man="1"/>
      </rowBreaks>
      <colBreaks count="3" manualBreakCount="3">
        <brk id="10" max="1048575" man="1"/>
        <brk id="20" max="1048575" man="1"/>
        <brk id="36" max="1048575" man="1"/>
      </colBreaks>
      <pageMargins left="0" right="0" top="0" bottom="0" header="0" footer="0"/>
      <pageSetup scale="61" orientation="portrait" r:id="rId1"/>
      <headerFooter alignWithMargins="0"/>
    </customSheetView>
  </customSheetViews>
  <mergeCells count="12">
    <mergeCell ref="F2:N2"/>
    <mergeCell ref="F3:N3"/>
    <mergeCell ref="F4:N4"/>
    <mergeCell ref="O2:W2"/>
    <mergeCell ref="O3:W3"/>
    <mergeCell ref="O4:W4"/>
    <mergeCell ref="X2:AF2"/>
    <mergeCell ref="X3:AF3"/>
    <mergeCell ref="X4:AF4"/>
    <mergeCell ref="AG2:AO2"/>
    <mergeCell ref="AG3:AO3"/>
    <mergeCell ref="AG4:AO4"/>
  </mergeCells>
  <phoneticPr fontId="3" type="noConversion"/>
  <printOptions horizontalCentered="1"/>
  <pageMargins left="0.5" right="0.5" top="0.75" bottom="0.75" header="0.5" footer="0.5"/>
  <pageSetup scale="51" fitToWidth="3" orientation="portrait" horizontalDpi="4294967293" r:id="rId2"/>
  <headerFooter alignWithMargins="0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FD71-A959-4F23-BB08-D5108AD2E92C}">
  <dimension ref="A1:E13"/>
  <sheetViews>
    <sheetView workbookViewId="0">
      <selection activeCell="Q32" sqref="Q32"/>
    </sheetView>
  </sheetViews>
  <sheetFormatPr defaultRowHeight="13.2"/>
  <cols>
    <col min="1" max="1" width="16.6640625" customWidth="1"/>
    <col min="2" max="2" width="15.6640625" customWidth="1"/>
    <col min="3" max="3" width="14.6640625" customWidth="1"/>
    <col min="4" max="4" width="17.5546875" customWidth="1"/>
  </cols>
  <sheetData>
    <row r="1" spans="1:5">
      <c r="A1" s="503" t="s">
        <v>353</v>
      </c>
      <c r="B1" s="503"/>
      <c r="C1" s="503"/>
      <c r="D1" s="503"/>
      <c r="E1" s="503"/>
    </row>
    <row r="2" spans="1:5">
      <c r="A2" s="503"/>
      <c r="B2" s="503"/>
      <c r="C2" s="503"/>
      <c r="D2" s="503"/>
      <c r="E2" s="503"/>
    </row>
    <row r="4" spans="1:5">
      <c r="A4" s="1" t="s">
        <v>354</v>
      </c>
      <c r="B4" s="1"/>
      <c r="C4" s="1"/>
      <c r="D4" s="1"/>
      <c r="E4" s="1"/>
    </row>
    <row r="5" spans="1:5">
      <c r="A5" s="1"/>
      <c r="B5" s="1" t="s">
        <v>355</v>
      </c>
      <c r="C5" s="1" t="s">
        <v>356</v>
      </c>
      <c r="D5" s="1" t="s">
        <v>357</v>
      </c>
      <c r="E5" s="1"/>
    </row>
    <row r="6" spans="1:5">
      <c r="A6" t="s">
        <v>358</v>
      </c>
      <c r="B6" s="3">
        <f>Summary!C13</f>
        <v>17644.09</v>
      </c>
      <c r="C6" s="3">
        <f>Rent!E23</f>
        <v>17644.09</v>
      </c>
      <c r="D6" s="3">
        <f>'Tenant Charges'!E16</f>
        <v>17644.09</v>
      </c>
      <c r="E6" t="b" cm="1">
        <f t="array" ref="E6">AND(EXACT(B6:D6,B6))</f>
        <v>1</v>
      </c>
    </row>
    <row r="7" spans="1:5">
      <c r="A7" t="s">
        <v>58</v>
      </c>
      <c r="B7" s="3">
        <f>Summary!C14</f>
        <v>867.81048180214873</v>
      </c>
      <c r="C7" s="3">
        <f>CAM!E25</f>
        <v>867.81048180214873</v>
      </c>
      <c r="D7" s="3">
        <f>'Tenant Charges'!F16</f>
        <v>2984.7746363545539</v>
      </c>
      <c r="E7" t="b" cm="1">
        <f t="array" ref="E7">AND(EXACT(B7:D7,B7))</f>
        <v>0</v>
      </c>
    </row>
    <row r="8" spans="1:5">
      <c r="A8" t="s">
        <v>359</v>
      </c>
      <c r="B8" s="3">
        <f>Summary!C17</f>
        <v>0</v>
      </c>
      <c r="C8" s="3">
        <f>'Building Expenses'!E26</f>
        <v>0</v>
      </c>
      <c r="D8" s="3">
        <f>'Tenant Charges'!G16</f>
        <v>1996.1807360884204</v>
      </c>
      <c r="E8" t="b" cm="1">
        <f t="array" ref="E8">AND(EXACT(B8:D8,B8))</f>
        <v>0</v>
      </c>
    </row>
    <row r="9" spans="1:5">
      <c r="A9" t="s">
        <v>360</v>
      </c>
      <c r="B9" s="3">
        <f>Summary!C18</f>
        <v>0</v>
      </c>
      <c r="C9" s="3">
        <f>Ins.!E25</f>
        <v>0</v>
      </c>
      <c r="D9" s="3">
        <f>'Tenant Charges'!J16</f>
        <v>182.01375661375667</v>
      </c>
      <c r="E9" t="b" cm="1">
        <f t="array" ref="E9">AND(EXACT(B9:D9,B9))</f>
        <v>0</v>
      </c>
    </row>
    <row r="10" spans="1:5">
      <c r="A10" t="s">
        <v>361</v>
      </c>
      <c r="B10" s="3">
        <f>Summary!C19</f>
        <v>0</v>
      </c>
      <c r="C10" s="3">
        <f>'RE Tax'!E24</f>
        <v>0</v>
      </c>
      <c r="D10" s="3">
        <f>'Tenant Charges'!I16</f>
        <v>1131.2139265672599</v>
      </c>
      <c r="E10" t="b" cm="1">
        <f t="array" ref="E10">AND(EXACT(B10:D10,B10))</f>
        <v>0</v>
      </c>
    </row>
    <row r="11" spans="1:5">
      <c r="A11" t="s">
        <v>362</v>
      </c>
      <c r="B11" s="3">
        <f>Summary!C20</f>
        <v>0</v>
      </c>
      <c r="C11" s="3">
        <f>'Admin Fee'!E26</f>
        <v>0</v>
      </c>
      <c r="D11" s="3">
        <f>'Tenant Charges'!H16</f>
        <v>0</v>
      </c>
      <c r="E11" t="b" cm="1">
        <f t="array" ref="E11">AND(EXACT(B11:D11,B11))</f>
        <v>1</v>
      </c>
    </row>
    <row r="13" spans="1:5">
      <c r="A13" s="4"/>
      <c r="B13" s="5"/>
      <c r="C13" s="5"/>
      <c r="D13" s="5" t="s">
        <v>363</v>
      </c>
      <c r="E13" s="6" t="b">
        <f>COUNTIF(E6:E11,FALSE)=0</f>
        <v>0</v>
      </c>
    </row>
  </sheetData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2CF68C055114DA97EF8D138719082" ma:contentTypeVersion="20" ma:contentTypeDescription="Create a new document." ma:contentTypeScope="" ma:versionID="b5c0750b72c46c851de52cf1d6b36029">
  <xsd:schema xmlns:xsd="http://www.w3.org/2001/XMLSchema" xmlns:xs="http://www.w3.org/2001/XMLSchema" xmlns:p="http://schemas.microsoft.com/office/2006/metadata/properties" xmlns:ns2="069880a5-8f46-414f-ac65-5519fcf06b35" xmlns:ns3="3f9c4c49-468b-4537-8750-498022e10f14" targetNamespace="http://schemas.microsoft.com/office/2006/metadata/properties" ma:root="true" ma:fieldsID="5f9bc3218f61d724115d45943e1be625" ns2:_="" ns3:_="">
    <xsd:import namespace="069880a5-8f46-414f-ac65-5519fcf06b35"/>
    <xsd:import namespace="3f9c4c49-468b-4537-8750-498022e10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80a5-8f46-414f-ac65-5519fcf06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71a3b6-96de-4df1-a824-c11b63785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4c49-468b-4537-8750-498022e10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055440-4ea0-421c-ac8c-ae1343c94cdc}" ma:internalName="TaxCatchAll" ma:showField="CatchAllData" ma:web="3f9c4c49-468b-4537-8750-498022e10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880a5-8f46-414f-ac65-5519fcf06b35">
      <Terms xmlns="http://schemas.microsoft.com/office/infopath/2007/PartnerControls"/>
    </lcf76f155ced4ddcb4097134ff3c332f>
    <TaxCatchAll xmlns="3f9c4c49-468b-4537-8750-498022e10f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D8C9F-319B-4152-A27F-903F286F4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880a5-8f46-414f-ac65-5519fcf06b35"/>
    <ds:schemaRef ds:uri="3f9c4c49-468b-4537-8750-498022e10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1A09A-5033-45A8-B0E6-FF2816921B53}">
  <ds:schemaRefs>
    <ds:schemaRef ds:uri="http://schemas.microsoft.com/office/2006/metadata/properties"/>
    <ds:schemaRef ds:uri="http://schemas.microsoft.com/office/infopath/2007/PartnerControls"/>
    <ds:schemaRef ds:uri="069880a5-8f46-414f-ac65-5519fcf06b35"/>
    <ds:schemaRef ds:uri="3f9c4c49-468b-4537-8750-498022e10f14"/>
  </ds:schemaRefs>
</ds:datastoreItem>
</file>

<file path=customXml/itemProps3.xml><?xml version="1.0" encoding="utf-8"?>
<ds:datastoreItem xmlns:ds="http://schemas.openxmlformats.org/officeDocument/2006/customXml" ds:itemID="{6CD91E25-53FC-4D37-AB96-3B5886888B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16</vt:i4>
      </vt:variant>
    </vt:vector>
  </HeadingPairs>
  <TitlesOfParts>
    <vt:vector size="38" baseType="lpstr">
      <vt:lpstr>Notes</vt:lpstr>
      <vt:lpstr>Variance</vt:lpstr>
      <vt:lpstr>Final Data</vt:lpstr>
      <vt:lpstr>Detail1</vt:lpstr>
      <vt:lpstr>Pivot</vt:lpstr>
      <vt:lpstr>DATA</vt:lpstr>
      <vt:lpstr>Summary</vt:lpstr>
      <vt:lpstr>Cap-EX</vt:lpstr>
      <vt:lpstr>Rent</vt:lpstr>
      <vt:lpstr>Rent Deferral Recovery</vt:lpstr>
      <vt:lpstr>CAM</vt:lpstr>
      <vt:lpstr>Building Expenses</vt:lpstr>
      <vt:lpstr>Admin Fee</vt:lpstr>
      <vt:lpstr>RE Tax</vt:lpstr>
      <vt:lpstr>Ins.</vt:lpstr>
      <vt:lpstr>Signage</vt:lpstr>
      <vt:lpstr>Occup,</vt:lpstr>
      <vt:lpstr>Sales Tax</vt:lpstr>
      <vt:lpstr>Tenant Charges</vt:lpstr>
      <vt:lpstr>Slippage</vt:lpstr>
      <vt:lpstr>CAM TENANTS</vt:lpstr>
      <vt:lpstr>Checks and Balances</vt:lpstr>
      <vt:lpstr>'Admin Fee'!Print_Area</vt:lpstr>
      <vt:lpstr>'Building Expenses'!Print_Area</vt:lpstr>
      <vt:lpstr>CAM!Print_Area</vt:lpstr>
      <vt:lpstr>Ins.!Print_Area</vt:lpstr>
      <vt:lpstr>Notes!Print_Area</vt:lpstr>
      <vt:lpstr>'Occup,'!Print_Area</vt:lpstr>
      <vt:lpstr>'RE Tax'!Print_Area</vt:lpstr>
      <vt:lpstr>Rent!Print_Area</vt:lpstr>
      <vt:lpstr>'Sales Tax'!Print_Area</vt:lpstr>
      <vt:lpstr>Signage!Print_Area</vt:lpstr>
      <vt:lpstr>Slippage!Print_Area</vt:lpstr>
      <vt:lpstr>Summary!Print_Area</vt:lpstr>
      <vt:lpstr>'Tenant Charges'!Print_Area</vt:lpstr>
      <vt:lpstr>'Occup,'!Print_Titles</vt:lpstr>
      <vt:lpstr>Summary!Print_Titles</vt:lpstr>
      <vt:lpstr>'Tenant Charges'!Print_Titles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Garner</dc:creator>
  <cp:keywords/>
  <dc:description/>
  <cp:lastModifiedBy>Kumar, Jai</cp:lastModifiedBy>
  <cp:revision/>
  <dcterms:created xsi:type="dcterms:W3CDTF">1998-08-21T21:44:49Z</dcterms:created>
  <dcterms:modified xsi:type="dcterms:W3CDTF">2026-07-31T20:14:38Z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0x010100E822CF68C055114DA97EF8D138719082</vt:lpwstr>
  </property>
  <property fmtid="{D5CDD505-2E9C-101B-9397-08002B2CF9AE}" pid="3" name="Order">
    <vt:r8>1658200</vt:r8>
  </property>
  <property fmtid="{D5CDD505-2E9C-101B-9397-08002B2CF9AE}" pid="4" name="AuthorIds_UIVersion_512">
    <vt:lpwstr>31</vt:lpwstr>
  </property>
  <property fmtid="{D5CDD505-2E9C-101B-9397-08002B2CF9AE}" pid="5" name="AuthorIds_UIVersion_3584">
    <vt:lpwstr>24</vt:lpwstr>
  </property>
  <property fmtid="{D5CDD505-2E9C-101B-9397-08002B2CF9AE}" pid="6" name="MediaServiceImageTags">
    <vt:lpwstr/>
  </property>
</Properties>
</file>