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J:\JH PROPERTIES\COCONUT GROVE\MONTHLY REPORTS\2026\07.26\"/>
    </mc:Choice>
  </mc:AlternateContent>
  <xr:revisionPtr revIDLastSave="0" documentId="13_ncr:1_{610C5B1B-BFD9-455D-A99D-42C676B0062A}" xr6:coauthVersionLast="47" xr6:coauthVersionMax="47" xr10:uidLastSave="{00000000-0000-0000-0000-000000000000}"/>
  <bookViews>
    <workbookView xWindow="-28920" yWindow="-120" windowWidth="29040" windowHeight="15720" xr2:uid="{00000000-000D-0000-FFFF-FFFF00000000}"/>
  </bookViews>
  <sheets>
    <sheet name="Executive Summary" sheetId="1" r:id="rId1"/>
    <sheet name="Tenant Delinquency" sheetId="2" r:id="rId2"/>
    <sheet name="COVID 19-Rent Recovery" sheetId="4" r:id="rId3"/>
    <sheet name="Tenant COI Tracking " sheetId="3" r:id="rId4"/>
    <sheet name="Tenant Maintenance Tracking" sheetId="5" r:id="rId5"/>
    <sheet name="Fosters Rebuild Costs" sheetId="7" r:id="rId6"/>
  </sheets>
  <definedNames>
    <definedName name="_xlnm.Print_Area" localSheetId="2">'COVID 19-Rent Recovery'!$A$1:$K$16</definedName>
    <definedName name="_xlnm.Print_Area" localSheetId="0">'Executive Summary'!$A$1:$I$50</definedName>
    <definedName name="_xlnm.Print_Area" localSheetId="5">'Fosters Rebuild Costs'!$A$1:$E$74</definedName>
    <definedName name="_xlnm.Print_Area" localSheetId="3">'Tenant COI Tracking '!$A$1:$G$32</definedName>
    <definedName name="_xlnm.Print_Area" localSheetId="1">'Tenant Delinquency'!$A$1:$I$19</definedName>
    <definedName name="_xlnm.Print_Area" localSheetId="4">'Tenant Maintenance Tracking'!$A$1:$E$28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0" i="7" l="1"/>
  <c r="B73" i="7"/>
  <c r="B59" i="7"/>
  <c r="J26" i="1" l="1"/>
  <c r="L26" i="1"/>
  <c r="K26" i="1"/>
  <c r="J23" i="1"/>
  <c r="A3" i="7"/>
  <c r="A3" i="5"/>
  <c r="B34" i="7"/>
  <c r="B15" i="7" l="1"/>
  <c r="B67" i="7"/>
  <c r="B42" i="7"/>
  <c r="M26" i="1"/>
  <c r="P26" i="1"/>
  <c r="A3" i="3"/>
  <c r="A4" i="4"/>
  <c r="A3" i="2"/>
  <c r="B17" i="2"/>
  <c r="N26" i="1"/>
  <c r="D13" i="1" l="1"/>
  <c r="E13" i="1" s="1"/>
  <c r="D18" i="1"/>
  <c r="E18" i="1" s="1"/>
  <c r="H19" i="1"/>
  <c r="I19" i="1" s="1"/>
  <c r="O13" i="4"/>
  <c r="Q13" i="4" s="1"/>
  <c r="R13" i="4" s="1"/>
  <c r="B13" i="4" s="1"/>
  <c r="B14" i="4" s="1"/>
  <c r="H16" i="1"/>
  <c r="I16" i="1" s="1"/>
  <c r="H18" i="1"/>
  <c r="I18" i="1" s="1"/>
  <c r="H8" i="4"/>
  <c r="H14" i="1"/>
  <c r="I14" i="1" s="1"/>
  <c r="D19" i="1"/>
  <c r="E19" i="1" s="1"/>
  <c r="D16" i="1"/>
  <c r="E16" i="1" s="1"/>
  <c r="G15" i="1"/>
  <c r="G17" i="1" s="1"/>
  <c r="F15" i="1"/>
  <c r="F17" i="1" s="1"/>
  <c r="F20" i="1" s="1"/>
  <c r="C15" i="1"/>
  <c r="C17" i="1" s="1"/>
  <c r="C20" i="1" s="1"/>
  <c r="B15" i="1"/>
  <c r="D14" i="1"/>
  <c r="E14" i="1" s="1"/>
  <c r="H13" i="1"/>
  <c r="I13" i="1" s="1"/>
  <c r="H6" i="2"/>
  <c r="D15" i="1" l="1"/>
  <c r="D17" i="1" s="1"/>
  <c r="D20" i="1" s="1"/>
  <c r="E20" i="1" s="1"/>
  <c r="H15" i="1"/>
  <c r="I15" i="1" s="1"/>
  <c r="B17" i="1"/>
  <c r="B20" i="1" s="1"/>
  <c r="G20" i="1"/>
  <c r="E15" i="1" l="1"/>
  <c r="E17" i="1"/>
  <c r="H17" i="1"/>
  <c r="H20" i="1" s="1"/>
  <c r="I20" i="1" s="1"/>
  <c r="I1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Emily Franklin</author>
  </authors>
  <commentList>
    <comment ref="G7" authorId="0" shapeId="0" xr:uid="{00000000-0006-0000-0100-000001000000}">
      <text>
        <r>
          <rPr>
            <b/>
            <sz val="9"/>
            <color indexed="81"/>
            <rFont val="Tahoma"/>
            <family val="2"/>
          </rPr>
          <t>Emily Franklin:</t>
        </r>
        <r>
          <rPr>
            <sz val="9"/>
            <color indexed="81"/>
            <rFont val="Tahoma"/>
            <family val="2"/>
          </rPr>
          <t xml:space="preserve">
Total Square Footage of all occupied suites and all new leases who have not taken possession of the space. Calculate manually </t>
        </r>
      </text>
    </comment>
    <comment ref="G8" authorId="0" shapeId="0" xr:uid="{00000000-0006-0000-0100-000002000000}">
      <text>
        <r>
          <rPr>
            <b/>
            <sz val="9"/>
            <color indexed="81"/>
            <rFont val="Tahoma"/>
            <family val="2"/>
          </rPr>
          <t>Emily Franklin:</t>
        </r>
        <r>
          <rPr>
            <sz val="9"/>
            <color indexed="81"/>
            <rFont val="Tahoma"/>
            <family val="2"/>
          </rPr>
          <t xml:space="preserve">
Percentage of spaces that are currently occupied by tenants. Found on Rent Roll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Emily Franklin</author>
  </authors>
  <commentList>
    <comment ref="M13" authorId="0" shapeId="0" xr:uid="{DF19E5FC-2022-4914-BEA0-C19A2EB644E7}">
      <text>
        <r>
          <rPr>
            <b/>
            <sz val="9"/>
            <color indexed="81"/>
            <rFont val="Tahoma"/>
            <family val="2"/>
          </rPr>
          <t>Emily Franklin:</t>
        </r>
        <r>
          <rPr>
            <sz val="9"/>
            <color indexed="81"/>
            <rFont val="Tahoma"/>
            <family val="2"/>
          </rPr>
          <t xml:space="preserve">
Per the 1st Amendment. </t>
        </r>
      </text>
    </comment>
  </commentList>
</comments>
</file>

<file path=xl/sharedStrings.xml><?xml version="1.0" encoding="utf-8"?>
<sst xmlns="http://schemas.openxmlformats.org/spreadsheetml/2006/main" count="371" uniqueCount="155">
  <si>
    <t>Executive Summary</t>
  </si>
  <si>
    <t>Coconut Grove</t>
  </si>
  <si>
    <t>Operations Manager</t>
  </si>
  <si>
    <t>Danielle Cebrero</t>
  </si>
  <si>
    <t>Assistant Property Manager:</t>
  </si>
  <si>
    <t>Audrey Verrette</t>
  </si>
  <si>
    <t>Square Feet:</t>
  </si>
  <si>
    <t>% Leased:</t>
  </si>
  <si>
    <t>% Occupied:</t>
  </si>
  <si>
    <t>CASH</t>
  </si>
  <si>
    <t>Monthly
Actual</t>
  </si>
  <si>
    <t>Monthly
Budget</t>
  </si>
  <si>
    <t>Variance</t>
  </si>
  <si>
    <t>% Change</t>
  </si>
  <si>
    <t>YTD                    Actual</t>
  </si>
  <si>
    <t>YTD                                         Budget</t>
  </si>
  <si>
    <t>Total Income</t>
  </si>
  <si>
    <t>Total Operating Expenses</t>
  </si>
  <si>
    <t>Net Operating Income</t>
  </si>
  <si>
    <t>Total Owners Expense</t>
  </si>
  <si>
    <t>Adjusted Net Operating Income</t>
  </si>
  <si>
    <t xml:space="preserve">Corporate G&amp;A Expenses </t>
  </si>
  <si>
    <t xml:space="preserve">Interest Expense </t>
  </si>
  <si>
    <t>Net Income after G&amp;A &amp; Interest</t>
  </si>
  <si>
    <t>Revenue  (per cash income statement)</t>
  </si>
  <si>
    <t>Operating Expenses (per cash income statement)</t>
  </si>
  <si>
    <t>Owner Expenses</t>
  </si>
  <si>
    <t>New Leases</t>
  </si>
  <si>
    <t>Chong Quin Hot Pot (old Outback space)</t>
  </si>
  <si>
    <t>Executed Renewals (12 months from current period)</t>
  </si>
  <si>
    <t>ABC Store 75 (SF 3,000)</t>
  </si>
  <si>
    <t>Kona Gear (SF 962)</t>
  </si>
  <si>
    <t>Renewals (12 months from current period)</t>
  </si>
  <si>
    <t>Big Island Running (525 sf)</t>
  </si>
  <si>
    <t>Renewal Period: 11/1/24-10/31/2029
Rent: $2,625/mo. - $5.00 psf, Annual 3% Increases                                                                                                                  Option: One (1), Five (5) year option                                                  
Management sent tenant LOI on January 11, 2024. Off is One (1), Five (5) year renewal at $6.00 PSF with 3% Annual Increases. Offer included One (1), Five (5)  Year Option at FMV. Tenant countered at $5.00 PSF. Landlord agreed and Amendment was signed on 2/7/2024.</t>
  </si>
  <si>
    <t>Café Kona (SF 994)</t>
  </si>
  <si>
    <t xml:space="preserve">Gross Sales Reporting (Trends &amp; Issues) </t>
  </si>
  <si>
    <t>Tenant Issues</t>
  </si>
  <si>
    <t>Foster's Fire</t>
  </si>
  <si>
    <t>Operation Issues</t>
  </si>
  <si>
    <t>Capital Projects / Tenant Improvements</t>
  </si>
  <si>
    <t>.</t>
  </si>
  <si>
    <t xml:space="preserve">Coconut Grove </t>
  </si>
  <si>
    <t>Operations Manager:</t>
  </si>
  <si>
    <t xml:space="preserve">%Occupied </t>
  </si>
  <si>
    <t>Tenant Delinquency</t>
  </si>
  <si>
    <t>Tenant</t>
  </si>
  <si>
    <t>Over $2,500</t>
  </si>
  <si>
    <t>Action Taken / Legal Update</t>
  </si>
  <si>
    <t>Lucasie</t>
  </si>
  <si>
    <t>Total</t>
  </si>
  <si>
    <t xml:space="preserve"> </t>
  </si>
  <si>
    <t xml:space="preserve">Covid 10 - Deferred Rent Notes </t>
  </si>
  <si>
    <t xml:space="preserve">Outstanding </t>
  </si>
  <si>
    <t xml:space="preserve">Rent Recovery Agreement </t>
  </si>
  <si>
    <t>Taka Sushi</t>
  </si>
  <si>
    <t xml:space="preserve">Past due balance due to delayed opening. Tenant will pay back $26,581.50 beginning January 1, 2023 over the remainder of the term at $443.03/mo. </t>
  </si>
  <si>
    <t xml:space="preserve">RRC CALC. </t>
  </si>
  <si>
    <t>Total:</t>
  </si>
  <si>
    <t>Group</t>
  </si>
  <si>
    <t>Tracked</t>
  </si>
  <si>
    <t>COI on File</t>
  </si>
  <si>
    <t>COI in Compliance</t>
  </si>
  <si>
    <t>DOC on File</t>
  </si>
  <si>
    <t>DOC in Compliance</t>
  </si>
  <si>
    <t>Notes</t>
  </si>
  <si>
    <t>Coconut Grove Retail XIII LLC</t>
  </si>
  <si>
    <t>ABC Stores #75</t>
  </si>
  <si>
    <t>Yes</t>
  </si>
  <si>
    <t>No</t>
  </si>
  <si>
    <t>Big Island Running Company</t>
  </si>
  <si>
    <t>Kona Haven USA Corp./Cafe Kona</t>
  </si>
  <si>
    <t>Colors of Paradise Gallery</t>
  </si>
  <si>
    <t>yes</t>
  </si>
  <si>
    <t>Foster's Kitchen</t>
  </si>
  <si>
    <t xml:space="preserve">Tenant COI and endorsement pages are expired. Management following up on renewal. </t>
  </si>
  <si>
    <t>Gecko Girlz</t>
  </si>
  <si>
    <t>Gypsea Gelato</t>
  </si>
  <si>
    <t>Humpy's Big Island Alehouse</t>
  </si>
  <si>
    <t>Island Lava Java</t>
  </si>
  <si>
    <t>Jack's Diving Locker</t>
  </si>
  <si>
    <t>Kanaka Kava, Inc.</t>
  </si>
  <si>
    <t xml:space="preserve">Tenant COI expired. Management following up on renewal. </t>
  </si>
  <si>
    <t>Kona Gear</t>
  </si>
  <si>
    <t xml:space="preserve">Lucasie </t>
  </si>
  <si>
    <t>Tenant is in compliance with the exception of Auto Coverage. Management to follow up on policy.</t>
  </si>
  <si>
    <t>Laverne's</t>
  </si>
  <si>
    <t>Oceans Sports Bar and Grill</t>
  </si>
  <si>
    <t>Q Pot Kona</t>
  </si>
  <si>
    <t>%Occupied:</t>
  </si>
  <si>
    <t>Service</t>
  </si>
  <si>
    <t>Doc on File</t>
  </si>
  <si>
    <t>Doc in Compliance</t>
  </si>
  <si>
    <t>Cafe Kona</t>
  </si>
  <si>
    <t>Hood</t>
  </si>
  <si>
    <t>Management requested docs from tenant.</t>
  </si>
  <si>
    <t>Jack's Dive Locker</t>
  </si>
  <si>
    <t>HVAC</t>
  </si>
  <si>
    <t>Grease Interceptor</t>
  </si>
  <si>
    <t>Lucasie Limited</t>
  </si>
  <si>
    <t xml:space="preserve">Parking: Parking rates were updated mid year and we have seen consistent growth in Parking Revenue since the change. Parking revenue is up almost 100% from $18k in 2024 to $35k in 2025. Parking complaints have greatly reduced. Now the Village Businesses are concerned parking rates are too high in the Village. A portion of the 2024 parking revenue was applied to tenant accounts to help offset NNN charges. Coconut Grove Marketplace is very competitive. There is a parking ordinance being circulated through the County Council limiting rates to be charged. 
Humpy's and Laverne's: Third Amendment has been fully executed. Beginning July 1, 2025, and expiring on August 31, 2026, the Monthly Gross Rent that shall be due and payable shall equal the greater of (i) ten percent (10%) of gross sales plus sales tax on that amount and (ii) twenty-five thousand and 0/100 dollars ($25,000.00) each month (the “New Conditional Rent”). On September 1, 2026, Tenant shall resume paying Monthly Minimum Rent, Percentage Rent, and all Additional Rent due under the Lease. Landlord applied $11k security deposit to Humpy's outstanding balance. The remaining balance of $110,521.46 will be deferred through 8/31/26. 
Humpy's is looking to assign lease/sell the business; CEO of TS Restaurants liked the space and location. SVN waiting to hear back.  
Fosters - Kitchen fire occurred 7/1/25. Kona Pele and Tasty Kona were affected but were able to reopen within a day or two. Management worked with several vendors in both tenant spaces to mitigate damage. Kona Haven was able to reopen on 7/3/25. Fosters is undergoing insurance investigation and may be closed for several months. The cause of the fire seems to be from a fryer spark. Rents will be paid via the Insurance companies in the meantime. Final insurance inspection completed and rebuilding process will begin. Fosters has complained about parking and sent a breach of contract notice to Landlord. Response was sent to tenant's attorney on 9/12. The insurance company has released rent and NNN through the end of 2025. Demo has been completed and restoration planning has begun. Fosters is still complaining about parking and may use in renegotiation of opening back up. Landlord is negotiating restructure with tenant. 
Outback - PYC is resolved, termination fee was received, premises was returned to Landlord October 2025.
Kona Gear - SVN has replaced ceiling tiles and will keep track of any new leaks. </t>
  </si>
  <si>
    <t>Sales are up for December at Coconut Grove Marketplace:
- Big Island Running: $80,252 for December 2025, Up 8.7% from December 2024.
- Cafe Kona: $33,801 for December 2025, Up 1.7% from December 2024.
- ABC Stores: $537,658 for December 2025, Up 2.6% from December 2024.
- Kona Gear: $80,995 for December 2025, Up 9.2% from December 2024.
- Kanaka Kava: $29,195 for December 2025, Up 1.5% from December 2024.
- Ocean's: $142,623 for December 2025, Down 2.7% from December 2024.
- Island Lava Java: $473,006 for December 2025, Down 3.8% from December 2024.
- Gecko Girlz: $55,513 for December 2025, Up 10.5% from December 2024.
- Taka Sushi: $64,208 for December 2025, Up 2.4% from December 2024.</t>
  </si>
  <si>
    <t>Ocean's Sports Bar and Grill</t>
  </si>
  <si>
    <t>Lease Expiration Date: 12/31/2030
Rent: $8.00 PSF                                                                                                                          
Option: Tenant has one (1) remaining, five (5) year option. Notice due 120 days prior to expiration.  
Notes: Tenant exercised one of its remaining two options to extend the term at $8/PSF. Second Amendment was executed
 on 7/17/25. New lease term commenced 1/1/2026.</t>
  </si>
  <si>
    <t xml:space="preserve">Tenant DOC/ WOS expired. Management following up on renewal. </t>
  </si>
  <si>
    <t>c</t>
  </si>
  <si>
    <t>Payments Received</t>
  </si>
  <si>
    <t>Construction Management Fee</t>
  </si>
  <si>
    <t>Remaining Rent</t>
  </si>
  <si>
    <t>Balance</t>
  </si>
  <si>
    <t>Rent and NNN To Date</t>
  </si>
  <si>
    <t>Fosters Mechanical fee</t>
  </si>
  <si>
    <t>Dry off panel board from water, turn on circuit breakers 50% Dep</t>
  </si>
  <si>
    <t xml:space="preserve">Diagnose a problem </t>
  </si>
  <si>
    <t>Foster Fire Claim</t>
  </si>
  <si>
    <t>Foster Restoration</t>
  </si>
  <si>
    <t>Café Kona Restoration</t>
  </si>
  <si>
    <t xml:space="preserve">Foster Insurance claim </t>
  </si>
  <si>
    <t>Expenses to Date</t>
  </si>
  <si>
    <t>Future Expenses</t>
  </si>
  <si>
    <t>Balance of Initial Contract</t>
  </si>
  <si>
    <t>Anticipated Additional Work</t>
  </si>
  <si>
    <t>Total Paid Expenses to Date and Forecasted</t>
  </si>
  <si>
    <t xml:space="preserve">Tenant DOC expired. Management following up on renewal. </t>
  </si>
  <si>
    <t xml:space="preserve">Additional endorsement pages expired. Management following up on renewal. </t>
  </si>
  <si>
    <t>Kitchen Equipment</t>
  </si>
  <si>
    <t>Additional Kitchen Equipment</t>
  </si>
  <si>
    <t>Humpy's</t>
  </si>
  <si>
    <t>Gypsea Gelato (SF 500)</t>
  </si>
  <si>
    <t xml:space="preserve">Lease Expiration Date: 5/31/2027
Rent: $5.46 PSF                                                                                                                          
Option: Tenant has zero (0) remaining options.
Notes: Management reached out to tenant to discuss renewal. </t>
  </si>
  <si>
    <t xml:space="preserve">Credit reflects 2025 PYC reversal . The balance is being deferred as part of the amendment. </t>
  </si>
  <si>
    <t>Lease Expiration Date: 3/31/2029
Rent: $6.70 PSF for 3 years/$80.40 PSF, plus NNNs  
Percentage Rent: Remains at 10%, including the 1% marketing fee                                                                                                                       
Option: Tenant has one (1) remaining, three (3) year option with a 3% Base Rent increase. 
Termination Option: 150-day notice with a $10,000 termination fee/buyout. 
Notes: New lease term commenced 4/1/2026.</t>
  </si>
  <si>
    <t>Lease Expiration Date: 8/31/2031
Rent: $3.85 PSF until Foster's opens (approximately 10/26), then increases 3%.                                                                                                                 
Option: Tenant has one (1) remaining, five (5) year option at FMV. Notice due 180 days prior to expiration.  
Notes: New lease term commences 9/1/2026.
- 5 year option - Landlord approved FMV Rent - flat until Foster's open, then 3% increase w/annual increases thereafter.
- Parking - Landlord denied request to have his customers to get 1 hour free with validation then half-off and no complimentary parking for owner's vehicles.
 - Eric Kim would like to be added to the lease (all guarantors remain in place). Landlord approved and management requesting his financials.
- Waive 2024 PYC - $7K - 2025 PYC is a credit of $3,700 - Management will tell him we are waiving billing for both and clear it up internally.
- Exclusive Use as a tenant that "operates a primary coffee shop or cafe concept" - Landlord approved primary coffee shop, no other tenant with more than 50% sales from coffee, we will NOT agree to the word "cafe" in the exclusion.</t>
  </si>
  <si>
    <t>Parking: Parking rates were updated mid year and we have seen consistent growth in Parking Revenue since the change. Parking revenue is up almost 100% from $18k in 2024 to $35k in 2025. Parking complaints have greatly reduced. Now the Village Businesses are concerned parking rates are too high in the Village. A portion of the 2024 parking revenue was applied to tenant accounts to help offset NNN charges. Coconut Grove Marketplace is very competitive. The parking ordinance (Bill 133) did not pass and City Council will not be limiting parking rates. Parklinq has added parking rates to all entrance signs. 
Humpy's and Laverne's: Third Amendment has been fully executed. Beginning July 1, 2025, and expiring on August 31, 2026, the Monthly Gross Rent that shall be due and payable shall equal the greater of (i) ten percent (10%) of gross sales plus sales tax on that amount and (ii) twenty-five thousand and 0/100 dollars ($25,000.00) each month (the “New Conditional Rent”). On September 1, 2026, Tenant shall resume paying Monthly Minimum Rent, Percentage Rent, and all Additional Rent due under the Lease. Landlord applied $11k security deposit to Humpy's outstanding balance. The remaining balance of $110,521.46 will be deferred through 8/31/26. 
Humpy's is looking to assign lease/sell the business; CEO of TS Restaurants liked the space and location. SVN waiting to hear back.  
Fosters - Kitchen fire occurred 7/1/25. Kona Pele and Tasty Kona were affected but were able to reopen within a day or two. Management worked with several vendors in both tenant spaces to mitigate damage. Kona Haven was able to reopen on 7/3/25. Fosters is undergoing insurance investigation and may be closed for several months. The cause of the fire seems to be from a fryer spark. Rents will be paid via the Insurance companies in the meantime. Final insurance inspection completed and rebuilding process will begin. Fosters has complained about parking and sent a breach of contract notice to Landlord. Response was sent to tenant's attorney on 9/12. The insurance company has released rent and NNN through the end of 2025. Demo has been completed and restoration planning has begun. Fosters is still complaining about parking and may use in renegotiation of opening back up. Landlord is negotiating restructure with tenant. Roof work has been completed. Estimated reopening date is November 2026.</t>
  </si>
  <si>
    <t>Foster's Kitchen fire incident was reported on 7/1/25, and Foster's has been closed since that date. Tasty Kona and Café Kona were closed until 7/5/25 due to water damage and electrical concerns. The fire and water damage remediation work has been completed, and the restoration proposals are being reviewed by the adjuster. Insurance payment of $250K was received to cover rent from the date of the incident to December 2025 as well as some of the cleaning and demo work. Management received an additional $190k to cover restoration costs and 2026 rent and impounds. Contract was signed and payments have been mailed to Premier Hawaii Restoration, BH Properties and Bargreen. Roof work has been completed. We have received a new bid and are awaiting one more, and we will revise the estimates after receipt and review of the new bids. Estimated reopening date is November 2026.</t>
  </si>
  <si>
    <r>
      <t xml:space="preserve">Parking Lot - SVN received bids slurry/seal and stipe of the parking lot, but the original set came in high. SVN obtaining additional bids for Landlord review. 
Elevator Lava Java - Elevator mod has been completed all deficiencies have been addressed. Pending final state re-inspection before the permit is issued and final payment released. 
Bee infestation - This seems to be resolved now. New trash cans will be delivered in June. 
Monument Sign Kuakini - Sign was damaged during the recent storms. Management reviewed design specs of new sign and approved. Waiting on pricing from SVN.
Concrete Curbing to be replaced - contractor has been delayed. SVN to provide update on scheduling. 
Paid Parking w. Parklinq -   In May 2026, Coconut Grove Marketplace generated $35,429.50 in net revenue, reflecting a 10% increase from April’s $32,117.71. Year-over-year, revenue increased 90% compared to May 2025’s $18,654.12, continuing the property's strong growth trend. A total of 3,935 paid vehicles parked in May, generating $35,429.50 in parking revenue.  Each parking stall produced an average of $528.80 in revenue, and the average length of stay remained at 2 hours. Sunday remained the busiest day of the week, while peak activity occurred between 10:00 AM and 1:00 PM. This represents a notable shift from the property's typical evening demand pattern observed throughout much of the past year. Compliance &amp; Tenant Parking: Compliance improved to 97%, up from 96% in April, with 0 vehicles towed after repeated violations. Employee and permit parking activity remained stable at 580 registered license plates. Overall, May reflected another strong month for the Coconut Grove Marketplace, with double-digit month-over-month revenue growth, continued year-over-year gains, improved compliance, and healthy participation across both paid and kamaʻāina parking programs. The property continues to demonstrate strong demand while maintaining balanced utilization across standard, validated, and free parking users.
</t>
    </r>
    <r>
      <rPr>
        <b/>
        <sz val="11"/>
        <color rgb="FFFF0000"/>
        <rFont val="Arial"/>
        <family val="2"/>
      </rPr>
      <t xml:space="preserve">Parking rates updated as of April 2026: 3 hours free parking for locals with validation and $3/hr after first 3 hours; $12 max/day. Tourist rates are $6/hr with validation; $18 max/day. Parking rates are also prorated, so if a customer buys 30 minutes of parking at $6/hr, they will receive a refund and only pay $3/hr with validation plus they receive an hour of free parking. Parklinq has also added parking rates at entrance signs and is working with the county's improvement district for sign permits. Bill 133 for the Parking Ordinance did not pass. 
</t>
    </r>
    <r>
      <rPr>
        <sz val="11"/>
        <color rgb="FFFF0000"/>
        <rFont val="Arial"/>
        <family val="2"/>
      </rPr>
      <t xml:space="preserve">
Tourism: Overall air count down up by 6.7% island wide. West Hawaii was up 4.5%. Hotel occupancy is about 76% which is 1.4 % down from 2025 in West Hawaii and 0.4% down in the Kohala Coast. University of Hawaii Economic Office is projecting Hawaii will be in a recession in 2026.</t>
    </r>
  </si>
  <si>
    <t>MTD Revenue variance is over budget due to:
- $12K Parking Rent higher than anticipated
This is offset by:
-($3.5K) PCR slightly less than anticipated</t>
  </si>
  <si>
    <t xml:space="preserve">YTD Revenue variance is under budget due to:
- ($65.5k) Humpy's PYC deferral
- ($22K) PYC credits
- ($5K) PCR less than anticipated
Offset by:
- $51K Parking Rent higher than anticipated  
</t>
  </si>
  <si>
    <t>MTD Expenses variance is under budget due to:
- ($14K) Site Furnishing (unbudgeted repair/replacement of trash receptacles)
This is offset by:
-$10K Timing of Trash and Electric invoices</t>
  </si>
  <si>
    <r>
      <t xml:space="preserve">Term: 10 years w/2 5-yr Options
Rent: $13,000 YR 1-2 with increases in years 3 &amp; 6
Possession Date: 10/28/25
RCD: 6/25/26 (240 days after possession date)
Lease has been fully executed and tenant is designing space for permitting. Tenant has finalized plans and submitting to County for permits. Satisfaction of Contingencies letter sent 10/28/25. </t>
    </r>
    <r>
      <rPr>
        <b/>
        <sz val="11"/>
        <color theme="1"/>
        <rFont val="Arial"/>
        <family val="2"/>
      </rPr>
      <t>Tenant has paid first month's rent and Security Deposit. Tenant has submitted plans and is in Health Department for permitting. Minor issue surfaced on enclosing the patio and mechanical drawings have been resubmitted to the County of Hawaii, EPIC. Paper plans were also sent express mail to Kona for hand delivery and processing at the State of Hawaii, Department of Health, Sanitation Branch. The EPIC review  was completed fairly quick and returned to tenant in early March. Tenant submitted revised plans to the County and structural and fire comments were received back. Tenant is addressing both issues with their architect.</t>
    </r>
  </si>
  <si>
    <t>1) Parking Lot Sealing and Striping - SVN received bids slurry/seal and stipe of the parking lot, but the original set came in high. SVN obtaining additional bids for Landlord review. 
2) UIC Well - Bongo Ben's - Bid approved for 2026 maintenance. Working on contract with vendor. 
3) TS Restaurants is passing on the space for now.	 Alex Blust and Sammy Hagar are looking at putting a two concepts, Sammy Hagar Bar and Grill and Cabo Wabo in Kona. Cabo Wabo would be in Laverne's.
4) Foster's Kitchen - Tenant negotiating agreement with Landlord and looking to reopen by November 2026.
5) Q Pot building - Roof work completed. 
6) Exterior Painting - all buildings are due for exterior painting. SVN obtaining bids for 2027 budget</t>
  </si>
  <si>
    <t>Balance due reflects 2026 NNN short pays and 2025 PYC offset by 2024 PYC credit. Working with Nir Levav to pay the remaining balance.</t>
  </si>
  <si>
    <t>Chong Hot Pot</t>
  </si>
  <si>
    <t xml:space="preserve">Balance due reflects June and July charges offset by Pre-paid Rent. Tenant has not paid August either. They are disputing their Rent Commencement Date. Management continues to follow up. </t>
  </si>
  <si>
    <t>Lavernes</t>
  </si>
  <si>
    <r>
      <t xml:space="preserve">
</t>
    </r>
    <r>
      <rPr>
        <b/>
        <sz val="11"/>
        <rFont val="Arial"/>
        <family val="2"/>
      </rPr>
      <t xml:space="preserve">Gross Sales increased for the following tenants:
</t>
    </r>
    <r>
      <rPr>
        <sz val="11"/>
        <rFont val="Arial"/>
        <family val="2"/>
      </rPr>
      <t xml:space="preserve">- Big Island Running: In July 2026, tenant generated $57,003 in sales, reflecting a 23% increase over June and 14% over prior year 
- ABC Stores: In July 2026, tenant generated $600,118 in sales, reflecting an 11% increase over June and 3% over prior year 
- Ocean's: In July 2026, tenant generated $136,150 in sales, reflecting an 8% increase over June and 16% over prior year 
- Gypsea Gelato: In July 2026, tenant generated $59,806 in sales, reflecting a 3% increase from June, but a 1% decrease from prior year
- Taka Sushi: n July 2026, tenant generated $59,432 in sales, reflecting a 9% increase over June and 14.5% over prior year 
</t>
    </r>
    <r>
      <rPr>
        <b/>
        <sz val="11"/>
        <rFont val="Arial"/>
        <family val="2"/>
      </rPr>
      <t xml:space="preserve">Gross Sales decreased for the following tenants:
</t>
    </r>
    <r>
      <rPr>
        <sz val="11"/>
        <rFont val="Arial"/>
        <family val="2"/>
      </rPr>
      <t>- Kona Gear: In July 2026, tenant generated $98,254 in sales, reflecting an 6% decrease from June and 3% less than prior year</t>
    </r>
    <r>
      <rPr>
        <b/>
        <sz val="11"/>
        <rFont val="Arial"/>
        <family val="2"/>
      </rPr>
      <t xml:space="preserve">
</t>
    </r>
    <r>
      <rPr>
        <sz val="11"/>
        <rFont val="Arial"/>
        <family val="2"/>
      </rPr>
      <t xml:space="preserve">- Island Lava Java: In July 2026, tenant generated $409,811 in sales, reflecting a 3% increase from June, but an 18% decrease from prior year
</t>
    </r>
  </si>
  <si>
    <t xml:space="preserve">YTD Expenses are under budget due to:
- $26K Timing of Security invoices. Management is holding payment due to non-compliant insurance. Release in July and August
- $27K Timing of Parking Lot Repairs - SVN is gathering bids 
- $21K Timing of Trash Invoices due to change in vendor
- $27K Unused contingency for Plumbing, Landscape Consumables
- $26K Water/Sewer less than anticipated 
Offset by:
- ($10.3K) Property Insurance higher than allocated
- ($17K) Site Furnishing (unbudgeted repair/replacement of trash receptacles) </t>
  </si>
  <si>
    <t>July 2026</t>
  </si>
  <si>
    <t>Bargreen Ellingson</t>
  </si>
  <si>
    <t>SCL Builders Deposit</t>
  </si>
  <si>
    <t>Premier Restoration</t>
  </si>
  <si>
    <t>Balance due reflects July rents paid in August. Tenant has a $0.00 balance</t>
  </si>
  <si>
    <r>
      <t xml:space="preserve">Parking Lot - SVN received bids slurry/seal and stipe of the parking lot, but the original set came in high. SVN obtaining additional bids for Landlord review. 
Elevator Lava Java - Elevator mod has been completed all deficiencies have been addressed. Pending final state re-inspection before the permit is issued and final payment released. 
Monument Sign Kuakini - Sign was damaged during the recent storms. Management reviewed design specs of new sign and approved. One proposal was received ($12.6k), SVN obtaining second bid before work is approved. Management continues to follow up.
Concrete Curbing replacement was completed in June 2026.
Paid Parking w. Parklinq -    In July 2026, Coconut Grove Marketplace generated $44,202.54 in net revenue, reflecting a 5% increase from June's $42,007.06. Year-over-year, revenue increased 60% compared to $27,700.51 in July 2025, continuing the property’s strong growth trend. A total of 4,423 paid vehicles parked in July, a 2% increase from June. Each parking stall produced an average of $659.74 in revenue, while the average length of stay remained at 3 hours. Friday was the busiest day of the week, while peak activity occurred between 10:00 AM and 1:00 PM. Reservation Distribution: A total of 8,287 vehicle reservations were recorded in July, approximately 2% more than June. Compliance &amp; Tenant Parking: Compliance remained strong at 96%. Employee and permit parking registrations increased to 601 license plates, compared to 598 in June. Overall, July reflected another strong month for Coconut Grove Marketplace, with steady month-over-month revenue, and revenue more than doubling year-over-year, higher paid parking activity, and healthy participation across the property’s standard, validated, and kamaʻāina parking programs. The property continues to demonstrate strong demand while maintaining balanced utilization across standard, validated, and free parking users.
</t>
    </r>
    <r>
      <rPr>
        <b/>
        <sz val="11"/>
        <rFont val="Arial"/>
        <family val="2"/>
      </rPr>
      <t xml:space="preserve">Parking rates were updated as of April 2026: 3 hours free parking for locals with validation and $3/hr after first 3 hours; $12 max/day. Tourist rates are $6/hr with validation; $18 max/day. Parking rates are also prorated, so if a customer buys 30 minutes of parking at $6/hr, they will receive a refund and only pay $3/hr with validation plus they receive an hour of free parking. Parklinq has also added parking rates at entrance signs and is working with the county's improvement district for sign permits. Bill 133 for the Parking Ordinance did not pass. 
</t>
    </r>
    <r>
      <rPr>
        <sz val="11"/>
        <rFont val="Arial"/>
        <family val="2"/>
      </rPr>
      <t xml:space="preserve">
Tourism: Tourism is up 6.8% in Kona. Hotel occupancy is 72.6% which is 1.6% down from 2025 in West Hawaii and 2.7% down in the Kohala Coast. University of Hawaii Economic Office is projecting Hawaii will be in a recession in 2026. Air traffic numbers are still unavailable.</t>
    </r>
  </si>
  <si>
    <t xml:space="preserve">MTD Owner expenses are over budget due to:
-($3K) Legal Fees - Fosters
-($4K) Professional Fees
Please see the "Fosters Rebuild Costs" tab for more details. </t>
  </si>
  <si>
    <t xml:space="preserve">YTD Owner expenses are over budget due to:
-($5K) Legal Fees - Fosters
-($10K) Professional Fees - Paracorp, Tax Prep, and ICSC
This is offset by:
-$4K Marketing
-$5K Utilities and Licensing
Please see the "Fosters Rebuild Costs" tab for more details.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</si>
</sst>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43" formatCode="_(* #,##0.00_);_(* \(#,##0.00\);_(* &quot;-&quot;??_);_(@_)"/>
    <numFmt numFmtId="164" formatCode="_(* #,##0_);_(* \(#,##0\);_(* &quot;-&quot;??_);_(@_)"/>
  </numFmts>
  <fonts count="4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b/>
      <sz val="10"/>
      <name val="Arial"/>
      <family val="2"/>
    </font>
    <font>
      <sz val="11"/>
      <name val="Arial"/>
      <family val="2"/>
    </font>
    <font>
      <sz val="9"/>
      <color indexed="81"/>
      <name val="Tahoma"/>
      <family val="2"/>
    </font>
    <font>
      <b/>
      <sz val="9"/>
      <color indexed="81"/>
      <name val="Tahoma"/>
      <family val="2"/>
    </font>
    <font>
      <b/>
      <sz val="11"/>
      <name val="Arial"/>
      <family val="2"/>
    </font>
    <font>
      <sz val="9"/>
      <name val="Arial"/>
      <family val="2"/>
    </font>
    <font>
      <b/>
      <sz val="14"/>
      <name val="Arial"/>
      <family val="2"/>
    </font>
    <font>
      <b/>
      <sz val="9"/>
      <name val="Arial"/>
      <family val="2"/>
    </font>
    <font>
      <sz val="10"/>
      <name val="Arial"/>
      <family val="2"/>
    </font>
    <font>
      <sz val="10"/>
      <name val="Arial"/>
      <family val="2"/>
    </font>
    <font>
      <sz val="10"/>
      <color rgb="FF000000"/>
      <name val="Arial"/>
      <family val="2"/>
    </font>
    <font>
      <sz val="10"/>
      <color rgb="FFFF0000"/>
      <name val="Arial"/>
      <family val="2"/>
    </font>
    <font>
      <sz val="11"/>
      <color rgb="FFFF0000"/>
      <name val="Arial"/>
      <family val="2"/>
    </font>
    <font>
      <sz val="9"/>
      <color rgb="FFFF0000"/>
      <name val="Arial"/>
      <family val="2"/>
    </font>
    <font>
      <sz val="10"/>
      <name val="Arial"/>
      <family val="2"/>
    </font>
    <font>
      <b/>
      <sz val="12"/>
      <name val="Arial"/>
      <family val="2"/>
    </font>
    <font>
      <sz val="11"/>
      <color rgb="FFFF0000"/>
      <name val="Calibri"/>
      <family val="2"/>
      <scheme val="minor"/>
    </font>
    <font>
      <i/>
      <sz val="10"/>
      <name val="Arial"/>
      <family val="2"/>
    </font>
    <font>
      <b/>
      <u/>
      <sz val="10"/>
      <name val="Arial"/>
      <family val="2"/>
    </font>
    <font>
      <b/>
      <u/>
      <sz val="11"/>
      <color rgb="FF000000"/>
      <name val="Calibri"/>
      <family val="2"/>
    </font>
    <font>
      <sz val="10"/>
      <color theme="1"/>
      <name val="Arial"/>
      <family val="2"/>
    </font>
    <font>
      <b/>
      <sz val="11"/>
      <color rgb="FFFF0000"/>
      <name val="Arial"/>
      <family val="2"/>
    </font>
    <font>
      <b/>
      <sz val="10"/>
      <color rgb="FFFF0000"/>
      <name val="Arial"/>
      <family val="2"/>
    </font>
    <font>
      <sz val="11"/>
      <color rgb="FFFF0000"/>
      <name val="Calibri"/>
      <family val="2"/>
    </font>
    <font>
      <b/>
      <sz val="11"/>
      <color theme="1"/>
      <name val="Arial"/>
      <family val="2"/>
    </font>
    <font>
      <b/>
      <sz val="14"/>
      <color theme="1"/>
      <name val="Arial"/>
      <family val="2"/>
    </font>
    <font>
      <b/>
      <sz val="9"/>
      <color theme="1"/>
      <name val="Arial"/>
      <family val="2"/>
    </font>
    <font>
      <b/>
      <sz val="10"/>
      <color theme="1"/>
      <name val="Arial"/>
      <family val="2"/>
    </font>
    <font>
      <b/>
      <i/>
      <sz val="11"/>
      <color theme="1"/>
      <name val="Arial"/>
      <family val="2"/>
    </font>
    <font>
      <b/>
      <i/>
      <sz val="10"/>
      <color theme="1"/>
      <name val="Arial"/>
      <family val="2"/>
    </font>
    <font>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bgColor rgb="FFFFFFFF"/>
      </patternFill>
    </fill>
    <fill>
      <patternFill patternType="solid">
        <fgColor theme="0" tint="-0.14999847407452621"/>
        <bgColor rgb="FF000000"/>
      </patternFill>
    </fill>
    <fill>
      <patternFill patternType="solid">
        <fgColor indexed="22"/>
        <bgColor indexed="64"/>
      </patternFill>
    </fill>
    <fill>
      <patternFill patternType="solid">
        <fgColor theme="0" tint="-0.14999847407452621"/>
        <bgColor rgb="FFFFFFFF"/>
      </patternFill>
    </fill>
    <fill>
      <patternFill patternType="solid">
        <fgColor theme="0" tint="-0.249977111117893"/>
        <bgColor indexed="64"/>
      </patternFill>
    </fill>
    <fill>
      <patternFill patternType="solid">
        <fgColor rgb="FFD9D9D9"/>
        <bgColor indexed="64"/>
      </patternFill>
    </fill>
    <fill>
      <patternFill patternType="solid">
        <fgColor theme="0" tint="-0.34998626667073579"/>
        <bgColor indexed="64"/>
      </patternFill>
    </fill>
    <fill>
      <patternFill patternType="solid">
        <fgColor rgb="FFD9D9D9"/>
        <bgColor rgb="FF000000"/>
      </patternFill>
    </fill>
    <fill>
      <patternFill patternType="solid">
        <fgColor rgb="FFFFFFFF"/>
        <bgColor rgb="FF000000"/>
      </patternFill>
    </fill>
    <fill>
      <patternFill patternType="solid">
        <fgColor rgb="FFFFFF00"/>
        <bgColor rgb="FF000000"/>
      </patternFill>
    </fill>
    <fill>
      <patternFill patternType="solid">
        <fgColor rgb="FF92D050"/>
        <bgColor indexed="64"/>
      </patternFill>
    </fill>
  </fills>
  <borders count="2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bottom style="thin">
        <color rgb="FF000000"/>
      </bottom>
      <diagonal/>
    </border>
    <border>
      <left style="thin">
        <color indexed="64"/>
      </left>
      <right style="thin">
        <color indexed="64"/>
      </right>
      <top/>
      <bottom/>
      <diagonal/>
    </border>
    <border>
      <left/>
      <right style="thin">
        <color rgb="FF000000"/>
      </right>
      <top style="thin">
        <color indexed="64"/>
      </top>
      <bottom/>
      <diagonal/>
    </border>
    <border>
      <left style="thin">
        <color indexed="64"/>
      </left>
      <right style="thin">
        <color rgb="FF000000"/>
      </right>
      <top style="thin">
        <color rgb="FF000000"/>
      </top>
      <bottom/>
      <diagonal/>
    </border>
  </borders>
  <cellStyleXfs count="1066">
    <xf numFmtId="0" fontId="0" fillId="0" borderId="0"/>
    <xf numFmtId="43" fontId="14" fillId="0" borderId="0" applyFont="0" applyFill="0" applyBorder="0" applyAlignment="0" applyProtection="0"/>
    <xf numFmtId="43" fontId="25" fillId="0" borderId="0" applyFont="0" applyFill="0" applyBorder="0" applyAlignment="0" applyProtection="0"/>
    <xf numFmtId="43" fontId="16" fillId="0" borderId="0" applyFont="0" applyFill="0" applyBorder="0" applyAlignment="0" applyProtection="0"/>
    <xf numFmtId="43" fontId="26" fillId="0" borderId="0" applyFont="0" applyFill="0" applyBorder="0" applyAlignment="0" applyProtection="0"/>
    <xf numFmtId="44" fontId="14" fillId="0" borderId="0" applyFont="0" applyFill="0" applyBorder="0" applyAlignment="0" applyProtection="0"/>
    <xf numFmtId="44" fontId="25" fillId="0" borderId="0" applyFont="0" applyFill="0" applyBorder="0" applyAlignment="0" applyProtection="0"/>
    <xf numFmtId="44" fontId="16" fillId="0" borderId="0" applyFont="0" applyFill="0" applyBorder="0" applyAlignment="0" applyProtection="0"/>
    <xf numFmtId="44" fontId="26" fillId="0" borderId="0" applyFont="0" applyFill="0" applyBorder="0" applyAlignment="0" applyProtection="0"/>
    <xf numFmtId="0" fontId="27" fillId="0" borderId="0"/>
    <xf numFmtId="9" fontId="14" fillId="0" borderId="0" applyFont="0" applyFill="0" applyBorder="0" applyAlignment="0" applyProtection="0"/>
    <xf numFmtId="9" fontId="25"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43" fontId="31" fillId="0" borderId="0" applyFont="0" applyFill="0" applyBorder="0" applyAlignment="0" applyProtection="0"/>
    <xf numFmtId="44" fontId="31" fillId="0" borderId="0" applyFont="0" applyFill="0" applyBorder="0" applyAlignment="0" applyProtection="0"/>
    <xf numFmtId="9" fontId="31" fillId="0" borderId="0" applyFont="0" applyFill="0" applyBorder="0" applyAlignment="0" applyProtection="0"/>
    <xf numFmtId="0" fontId="13"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2" fillId="0" borderId="0"/>
    <xf numFmtId="0" fontId="11" fillId="0" borderId="0"/>
    <xf numFmtId="0" fontId="11"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cellStyleXfs>
  <cellXfs count="320">
    <xf numFmtId="0" fontId="0" fillId="0" borderId="0" xfId="0"/>
    <xf numFmtId="0" fontId="22" fillId="0" borderId="0" xfId="0" applyFont="1"/>
    <xf numFmtId="49" fontId="24" fillId="0" borderId="7" xfId="0" applyNumberFormat="1" applyFont="1" applyBorder="1" applyAlignment="1">
      <alignment horizontal="right"/>
    </xf>
    <xf numFmtId="0" fontId="22" fillId="0" borderId="0" xfId="0" applyFont="1" applyAlignment="1">
      <alignment horizontal="center"/>
    </xf>
    <xf numFmtId="0" fontId="18" fillId="0" borderId="0" xfId="0" applyFont="1"/>
    <xf numFmtId="0" fontId="22" fillId="0" borderId="0" xfId="0" applyFont="1" applyAlignment="1">
      <alignment horizontal="left" vertical="center"/>
    </xf>
    <xf numFmtId="49" fontId="17" fillId="0" borderId="1" xfId="0" applyNumberFormat="1" applyFont="1" applyBorder="1" applyAlignment="1">
      <alignment horizontal="center"/>
    </xf>
    <xf numFmtId="49" fontId="17" fillId="0" borderId="2" xfId="0" applyNumberFormat="1" applyFont="1" applyBorder="1" applyAlignment="1">
      <alignment horizontal="center"/>
    </xf>
    <xf numFmtId="49" fontId="17" fillId="0" borderId="3" xfId="0" applyNumberFormat="1" applyFont="1" applyBorder="1" applyAlignment="1">
      <alignment horizontal="center"/>
    </xf>
    <xf numFmtId="0" fontId="17" fillId="0" borderId="4" xfId="0" applyFont="1" applyBorder="1" applyAlignment="1">
      <alignment horizontal="right"/>
    </xf>
    <xf numFmtId="49" fontId="17" fillId="0" borderId="5" xfId="0" applyNumberFormat="1" applyFont="1" applyBorder="1" applyAlignment="1">
      <alignment horizontal="center"/>
    </xf>
    <xf numFmtId="0" fontId="14" fillId="0" borderId="0" xfId="0" applyFont="1"/>
    <xf numFmtId="0" fontId="14" fillId="0" borderId="0" xfId="0" applyFont="1" applyAlignment="1">
      <alignment wrapText="1"/>
    </xf>
    <xf numFmtId="44" fontId="22" fillId="0" borderId="0" xfId="5" applyFont="1"/>
    <xf numFmtId="44" fontId="22" fillId="0" borderId="0" xfId="0" applyNumberFormat="1" applyFont="1"/>
    <xf numFmtId="44" fontId="18" fillId="0" borderId="0" xfId="5" applyFont="1"/>
    <xf numFmtId="44" fontId="22" fillId="0" borderId="0" xfId="5" applyFont="1" applyAlignment="1">
      <alignment horizontal="left" vertical="center"/>
    </xf>
    <xf numFmtId="0" fontId="0" fillId="2" borderId="0" xfId="0" applyFill="1"/>
    <xf numFmtId="0" fontId="17" fillId="2" borderId="0" xfId="0" applyFont="1" applyFill="1" applyAlignment="1">
      <alignment horizontal="center" vertical="center"/>
    </xf>
    <xf numFmtId="3" fontId="17" fillId="2" borderId="16" xfId="0" applyNumberFormat="1" applyFont="1" applyFill="1" applyBorder="1" applyAlignment="1">
      <alignment horizontal="left"/>
    </xf>
    <xf numFmtId="10" fontId="17" fillId="2" borderId="16" xfId="0" applyNumberFormat="1" applyFont="1" applyFill="1" applyBorder="1" applyAlignment="1">
      <alignment horizontal="left"/>
    </xf>
    <xf numFmtId="49" fontId="24" fillId="2" borderId="17" xfId="0" applyNumberFormat="1" applyFont="1" applyFill="1" applyBorder="1" applyAlignment="1">
      <alignment horizontal="right"/>
    </xf>
    <xf numFmtId="49" fontId="24" fillId="2" borderId="18" xfId="0" applyNumberFormat="1" applyFont="1" applyFill="1" applyBorder="1" applyAlignment="1">
      <alignment horizontal="right"/>
    </xf>
    <xf numFmtId="10" fontId="24" fillId="2" borderId="19" xfId="0" applyNumberFormat="1" applyFont="1" applyFill="1" applyBorder="1" applyAlignment="1">
      <alignment horizontal="left"/>
    </xf>
    <xf numFmtId="0" fontId="0" fillId="2" borderId="12" xfId="0" applyFill="1" applyBorder="1"/>
    <xf numFmtId="0" fontId="14" fillId="2" borderId="12" xfId="0" applyFont="1" applyFill="1" applyBorder="1"/>
    <xf numFmtId="0" fontId="18" fillId="0" borderId="0" xfId="9" applyFont="1"/>
    <xf numFmtId="0" fontId="18" fillId="0" borderId="0" xfId="9" applyFont="1" applyAlignment="1">
      <alignment horizontal="center"/>
    </xf>
    <xf numFmtId="49" fontId="21" fillId="0" borderId="0" xfId="9" applyNumberFormat="1" applyFont="1" applyAlignment="1">
      <alignment horizontal="center"/>
    </xf>
    <xf numFmtId="0" fontId="18" fillId="0" borderId="2" xfId="9" applyFont="1" applyBorder="1" applyAlignment="1">
      <alignment horizontal="center"/>
    </xf>
    <xf numFmtId="0" fontId="18" fillId="0" borderId="3" xfId="9" applyFont="1" applyBorder="1" applyAlignment="1">
      <alignment horizontal="center"/>
    </xf>
    <xf numFmtId="0" fontId="21" fillId="0" borderId="0" xfId="9" applyFont="1"/>
    <xf numFmtId="0" fontId="21" fillId="0" borderId="0" xfId="9" applyFont="1" applyAlignment="1">
      <alignment horizontal="right"/>
    </xf>
    <xf numFmtId="3" fontId="21" fillId="0" borderId="0" xfId="9" applyNumberFormat="1" applyFont="1" applyAlignment="1">
      <alignment horizontal="right"/>
    </xf>
    <xf numFmtId="0" fontId="21" fillId="0" borderId="5" xfId="9" applyFont="1" applyBorder="1" applyAlignment="1">
      <alignment horizontal="center"/>
    </xf>
    <xf numFmtId="10" fontId="21" fillId="0" borderId="0" xfId="9" applyNumberFormat="1" applyFont="1" applyAlignment="1">
      <alignment horizontal="right"/>
    </xf>
    <xf numFmtId="0" fontId="21" fillId="0" borderId="6" xfId="9" applyFont="1" applyBorder="1" applyAlignment="1">
      <alignment horizontal="right"/>
    </xf>
    <xf numFmtId="0" fontId="21" fillId="0" borderId="7" xfId="9" applyFont="1" applyBorder="1"/>
    <xf numFmtId="10" fontId="21" fillId="0" borderId="7" xfId="9" applyNumberFormat="1" applyFont="1" applyBorder="1"/>
    <xf numFmtId="0" fontId="21" fillId="0" borderId="7" xfId="9" applyFont="1" applyBorder="1" applyAlignment="1">
      <alignment horizontal="center"/>
    </xf>
    <xf numFmtId="10" fontId="21" fillId="0" borderId="7" xfId="9" applyNumberFormat="1" applyFont="1" applyBorder="1" applyAlignment="1">
      <alignment horizontal="right"/>
    </xf>
    <xf numFmtId="0" fontId="21" fillId="0" borderId="8" xfId="9" applyFont="1" applyBorder="1" applyAlignment="1">
      <alignment horizontal="center"/>
    </xf>
    <xf numFmtId="0" fontId="21" fillId="6" borderId="12" xfId="9" applyFont="1" applyFill="1" applyBorder="1" applyAlignment="1">
      <alignment horizontal="center" vertical="center"/>
    </xf>
    <xf numFmtId="0" fontId="21" fillId="0" borderId="12" xfId="9" applyFont="1" applyBorder="1" applyAlignment="1">
      <alignment horizontal="left" vertical="center"/>
    </xf>
    <xf numFmtId="0" fontId="21" fillId="0" borderId="12" xfId="9" applyFont="1" applyBorder="1" applyAlignment="1">
      <alignment horizontal="center" vertical="center"/>
    </xf>
    <xf numFmtId="49" fontId="21" fillId="0" borderId="2" xfId="0" applyNumberFormat="1" applyFont="1" applyBorder="1" applyAlignment="1">
      <alignment horizontal="center"/>
    </xf>
    <xf numFmtId="49" fontId="21" fillId="0" borderId="3" xfId="0" applyNumberFormat="1" applyFont="1" applyBorder="1" applyAlignment="1">
      <alignment horizontal="center"/>
    </xf>
    <xf numFmtId="49" fontId="21" fillId="0" borderId="5" xfId="0" applyNumberFormat="1" applyFont="1" applyBorder="1" applyAlignment="1">
      <alignment horizontal="center"/>
    </xf>
    <xf numFmtId="49" fontId="17" fillId="0" borderId="6" xfId="0" applyNumberFormat="1" applyFont="1" applyBorder="1" applyAlignment="1">
      <alignment horizontal="center"/>
    </xf>
    <xf numFmtId="49" fontId="17" fillId="0" borderId="7" xfId="0" applyNumberFormat="1" applyFont="1" applyBorder="1" applyAlignment="1">
      <alignment horizontal="center"/>
    </xf>
    <xf numFmtId="49" fontId="21" fillId="0" borderId="7" xfId="0" applyNumberFormat="1" applyFont="1" applyBorder="1" applyAlignment="1">
      <alignment horizontal="center"/>
    </xf>
    <xf numFmtId="10" fontId="21" fillId="0" borderId="7" xfId="0" applyNumberFormat="1" applyFont="1" applyBorder="1" applyAlignment="1">
      <alignment horizontal="left"/>
    </xf>
    <xf numFmtId="49" fontId="17" fillId="0" borderId="8" xfId="0" applyNumberFormat="1" applyFont="1" applyBorder="1" applyAlignment="1">
      <alignment horizontal="center"/>
    </xf>
    <xf numFmtId="0" fontId="21" fillId="0" borderId="9" xfId="0" applyFont="1" applyBorder="1" applyAlignment="1">
      <alignment horizontal="left" vertical="center"/>
    </xf>
    <xf numFmtId="0" fontId="17" fillId="0" borderId="10" xfId="0" applyFont="1" applyBorder="1" applyAlignment="1">
      <alignment horizontal="center" vertical="center"/>
    </xf>
    <xf numFmtId="0" fontId="14" fillId="0" borderId="10" xfId="0" applyFont="1" applyBorder="1" applyAlignment="1">
      <alignment horizontal="left" vertical="center"/>
    </xf>
    <xf numFmtId="0" fontId="14" fillId="0" borderId="11" xfId="0" applyFont="1" applyBorder="1" applyAlignment="1">
      <alignment horizontal="left" vertical="center"/>
    </xf>
    <xf numFmtId="0" fontId="17" fillId="0" borderId="2" xfId="0" applyFont="1" applyBorder="1" applyAlignment="1">
      <alignment horizontal="center" vertical="center"/>
    </xf>
    <xf numFmtId="0" fontId="30" fillId="0" borderId="0" xfId="0" applyFont="1"/>
    <xf numFmtId="0" fontId="30" fillId="0" borderId="0" xfId="0" applyFont="1" applyAlignment="1">
      <alignment horizontal="center"/>
    </xf>
    <xf numFmtId="0" fontId="33" fillId="0" borderId="0" xfId="0" applyFont="1" applyAlignment="1">
      <alignment horizontal="left" vertical="top" wrapText="1"/>
    </xf>
    <xf numFmtId="0" fontId="17" fillId="3" borderId="9" xfId="0" applyFont="1" applyFill="1" applyBorder="1"/>
    <xf numFmtId="0" fontId="17" fillId="0" borderId="0" xfId="0" applyFont="1" applyAlignment="1">
      <alignment horizontal="right"/>
    </xf>
    <xf numFmtId="0" fontId="17" fillId="0" borderId="0" xfId="0" applyFont="1"/>
    <xf numFmtId="49" fontId="24" fillId="0" borderId="4" xfId="0" applyNumberFormat="1" applyFont="1" applyBorder="1" applyAlignment="1">
      <alignment horizontal="center"/>
    </xf>
    <xf numFmtId="49" fontId="24" fillId="0" borderId="0" xfId="0" applyNumberFormat="1" applyFont="1" applyAlignment="1">
      <alignment horizontal="center"/>
    </xf>
    <xf numFmtId="0" fontId="21" fillId="0" borderId="0" xfId="0" applyFont="1" applyAlignment="1">
      <alignment horizontal="right"/>
    </xf>
    <xf numFmtId="3" fontId="21" fillId="0" borderId="0" xfId="0" applyNumberFormat="1" applyFont="1" applyAlignment="1">
      <alignment horizontal="left"/>
    </xf>
    <xf numFmtId="0" fontId="21" fillId="0" borderId="0" xfId="0" applyFont="1"/>
    <xf numFmtId="10" fontId="21" fillId="0" borderId="0" xfId="10" applyNumberFormat="1" applyFont="1" applyFill="1" applyBorder="1" applyAlignment="1">
      <alignment horizontal="left"/>
    </xf>
    <xf numFmtId="0" fontId="14" fillId="0" borderId="4" xfId="0" applyFont="1" applyBorder="1"/>
    <xf numFmtId="0" fontId="14" fillId="0" borderId="0" xfId="0" applyFont="1" applyAlignment="1">
      <alignment horizontal="center"/>
    </xf>
    <xf numFmtId="0" fontId="28" fillId="0" borderId="0" xfId="0" applyFont="1" applyAlignment="1">
      <alignment horizontal="center"/>
    </xf>
    <xf numFmtId="49" fontId="24" fillId="0" borderId="5" xfId="0" applyNumberFormat="1" applyFont="1" applyBorder="1" applyAlignment="1">
      <alignment horizontal="center"/>
    </xf>
    <xf numFmtId="0" fontId="14" fillId="0" borderId="5" xfId="0" applyFont="1" applyBorder="1" applyAlignment="1">
      <alignment horizontal="center"/>
    </xf>
    <xf numFmtId="49" fontId="24" fillId="2" borderId="0" xfId="0" applyNumberFormat="1" applyFont="1" applyFill="1" applyAlignment="1">
      <alignment horizontal="center"/>
    </xf>
    <xf numFmtId="49" fontId="21" fillId="0" borderId="2" xfId="0" applyNumberFormat="1" applyFont="1" applyBorder="1" applyAlignment="1">
      <alignment horizontal="left"/>
    </xf>
    <xf numFmtId="49" fontId="21" fillId="0" borderId="1" xfId="0" applyNumberFormat="1" applyFont="1" applyBorder="1" applyAlignment="1">
      <alignment horizontal="right"/>
    </xf>
    <xf numFmtId="0" fontId="21" fillId="0" borderId="1" xfId="9" applyFont="1" applyBorder="1" applyAlignment="1">
      <alignment horizontal="right"/>
    </xf>
    <xf numFmtId="0" fontId="0" fillId="2" borderId="12" xfId="0" applyFill="1" applyBorder="1" applyAlignment="1">
      <alignment vertical="center"/>
    </xf>
    <xf numFmtId="0" fontId="14" fillId="2" borderId="12" xfId="0" applyFont="1" applyFill="1" applyBorder="1" applyAlignment="1">
      <alignment vertical="center"/>
    </xf>
    <xf numFmtId="0" fontId="14" fillId="2" borderId="12" xfId="0" applyFont="1" applyFill="1" applyBorder="1" applyAlignment="1">
      <alignment vertical="center" wrapText="1"/>
    </xf>
    <xf numFmtId="0" fontId="17" fillId="3" borderId="15" xfId="0" applyFont="1" applyFill="1" applyBorder="1"/>
    <xf numFmtId="0" fontId="17" fillId="3" borderId="15" xfId="0" applyFont="1" applyFill="1" applyBorder="1" applyAlignment="1">
      <alignment horizontal="left"/>
    </xf>
    <xf numFmtId="0" fontId="0" fillId="0" borderId="0" xfId="0" applyAlignment="1">
      <alignment vertical="center"/>
    </xf>
    <xf numFmtId="0" fontId="14" fillId="0" borderId="0" xfId="0" applyFont="1" applyAlignment="1">
      <alignment vertical="center"/>
    </xf>
    <xf numFmtId="0" fontId="21" fillId="8" borderId="1" xfId="0" applyFont="1" applyFill="1" applyBorder="1" applyAlignment="1">
      <alignment horizontal="center" vertical="center"/>
    </xf>
    <xf numFmtId="0" fontId="21" fillId="8" borderId="12" xfId="0" applyFont="1" applyFill="1" applyBorder="1" applyAlignment="1">
      <alignment horizontal="center" vertical="center"/>
    </xf>
    <xf numFmtId="0" fontId="21" fillId="8" borderId="12" xfId="0" applyFont="1" applyFill="1" applyBorder="1" applyAlignment="1">
      <alignment vertical="center" wrapText="1"/>
    </xf>
    <xf numFmtId="44" fontId="21" fillId="8" borderId="13" xfId="5" applyFont="1" applyFill="1" applyBorder="1" applyAlignment="1">
      <alignment horizontal="center" vertical="center"/>
    </xf>
    <xf numFmtId="0" fontId="28" fillId="0" borderId="0" xfId="0" applyFont="1" applyAlignment="1">
      <alignment vertical="center"/>
    </xf>
    <xf numFmtId="0" fontId="21" fillId="2" borderId="1" xfId="0" applyFont="1" applyFill="1" applyBorder="1" applyAlignment="1">
      <alignment horizontal="center" vertical="center"/>
    </xf>
    <xf numFmtId="49" fontId="21" fillId="0" borderId="0" xfId="0" applyNumberFormat="1" applyFont="1" applyAlignment="1">
      <alignment horizontal="left"/>
    </xf>
    <xf numFmtId="0" fontId="29" fillId="8" borderId="7" xfId="0" applyFont="1" applyFill="1" applyBorder="1"/>
    <xf numFmtId="0" fontId="29" fillId="8" borderId="8" xfId="0" applyFont="1" applyFill="1" applyBorder="1"/>
    <xf numFmtId="0" fontId="0" fillId="0" borderId="12" xfId="0" applyBorder="1" applyAlignment="1">
      <alignment vertical="center"/>
    </xf>
    <xf numFmtId="0" fontId="14" fillId="0" borderId="12" xfId="0" applyFont="1" applyBorder="1" applyAlignment="1">
      <alignment vertical="center"/>
    </xf>
    <xf numFmtId="0" fontId="14" fillId="0" borderId="12" xfId="0" applyFont="1" applyBorder="1" applyAlignment="1">
      <alignment vertical="center" wrapText="1"/>
    </xf>
    <xf numFmtId="0" fontId="0" fillId="0" borderId="12" xfId="0" applyBorder="1" applyAlignment="1">
      <alignment vertical="center" wrapText="1"/>
    </xf>
    <xf numFmtId="0" fontId="0" fillId="0" borderId="0" xfId="0" applyAlignment="1">
      <alignment wrapText="1"/>
    </xf>
    <xf numFmtId="0" fontId="22" fillId="0" borderId="0" xfId="0" applyFont="1" applyAlignment="1">
      <alignment wrapText="1"/>
    </xf>
    <xf numFmtId="0" fontId="0" fillId="0" borderId="4" xfId="0" applyBorder="1"/>
    <xf numFmtId="0" fontId="14" fillId="0" borderId="12" xfId="0" applyFont="1" applyBorder="1" applyAlignment="1">
      <alignment wrapText="1"/>
    </xf>
    <xf numFmtId="0" fontId="0" fillId="0" borderId="12" xfId="0" applyBorder="1"/>
    <xf numFmtId="0" fontId="0" fillId="9" borderId="15" xfId="0" applyFill="1" applyBorder="1"/>
    <xf numFmtId="0" fontId="0" fillId="9" borderId="15" xfId="0" applyFill="1" applyBorder="1" applyAlignment="1">
      <alignment horizontal="left"/>
    </xf>
    <xf numFmtId="0" fontId="34" fillId="0" borderId="0" xfId="0" applyFont="1"/>
    <xf numFmtId="0" fontId="0" fillId="0" borderId="24" xfId="0" applyBorder="1" applyAlignment="1">
      <alignment vertical="center"/>
    </xf>
    <xf numFmtId="0" fontId="22" fillId="0" borderId="0" xfId="0" applyFont="1" applyAlignment="1">
      <alignment horizontal="center" wrapText="1"/>
    </xf>
    <xf numFmtId="44" fontId="21" fillId="2" borderId="12" xfId="5" applyFont="1" applyFill="1" applyBorder="1" applyAlignment="1">
      <alignment horizontal="center" vertical="center"/>
    </xf>
    <xf numFmtId="0" fontId="0" fillId="2" borderId="12" xfId="0" applyFill="1" applyBorder="1" applyAlignment="1">
      <alignment vertical="center" wrapText="1"/>
    </xf>
    <xf numFmtId="0" fontId="14" fillId="0" borderId="12" xfId="0" applyFont="1" applyBorder="1"/>
    <xf numFmtId="0" fontId="17" fillId="0" borderId="0" xfId="0" applyFont="1" applyAlignment="1">
      <alignment horizontal="left"/>
    </xf>
    <xf numFmtId="49" fontId="24" fillId="0" borderId="7" xfId="0" applyNumberFormat="1" applyFont="1" applyBorder="1" applyAlignment="1">
      <alignment horizontal="center"/>
    </xf>
    <xf numFmtId="49" fontId="21" fillId="0" borderId="4" xfId="0" applyNumberFormat="1" applyFont="1" applyBorder="1" applyAlignment="1">
      <alignment horizontal="right"/>
    </xf>
    <xf numFmtId="0" fontId="21" fillId="0" borderId="4" xfId="9" applyFont="1" applyBorder="1" applyAlignment="1">
      <alignment horizontal="right"/>
    </xf>
    <xf numFmtId="0" fontId="17" fillId="2" borderId="0" xfId="0" applyFont="1" applyFill="1"/>
    <xf numFmtId="49" fontId="17" fillId="2" borderId="1" xfId="0" applyNumberFormat="1" applyFont="1" applyFill="1" applyBorder="1" applyAlignment="1">
      <alignment horizontal="right"/>
    </xf>
    <xf numFmtId="49" fontId="17" fillId="2" borderId="2" xfId="0" applyNumberFormat="1" applyFont="1" applyFill="1" applyBorder="1" applyAlignment="1">
      <alignment horizontal="left" vertical="top"/>
    </xf>
    <xf numFmtId="49" fontId="17" fillId="2" borderId="2" xfId="0" applyNumberFormat="1" applyFont="1" applyFill="1" applyBorder="1" applyAlignment="1">
      <alignment horizontal="center"/>
    </xf>
    <xf numFmtId="49" fontId="17" fillId="2" borderId="25" xfId="0" applyNumberFormat="1" applyFont="1" applyFill="1" applyBorder="1" applyAlignment="1">
      <alignment horizontal="center"/>
    </xf>
    <xf numFmtId="0" fontId="14" fillId="0" borderId="13" xfId="0" applyFont="1" applyBorder="1" applyAlignment="1">
      <alignment vertical="center" wrapText="1"/>
    </xf>
    <xf numFmtId="0" fontId="14" fillId="0" borderId="13" xfId="0" applyFont="1" applyBorder="1" applyAlignment="1">
      <alignment vertical="center"/>
    </xf>
    <xf numFmtId="0" fontId="0" fillId="9" borderId="26" xfId="0" applyFill="1" applyBorder="1"/>
    <xf numFmtId="49" fontId="24" fillId="0" borderId="6" xfId="0" applyNumberFormat="1" applyFont="1" applyBorder="1" applyAlignment="1">
      <alignment horizontal="center"/>
    </xf>
    <xf numFmtId="10" fontId="24" fillId="0" borderId="7" xfId="10" quotePrefix="1" applyNumberFormat="1" applyFont="1" applyFill="1" applyBorder="1" applyAlignment="1">
      <alignment horizontal="left"/>
    </xf>
    <xf numFmtId="49" fontId="24" fillId="0" borderId="8" xfId="0" applyNumberFormat="1" applyFont="1" applyBorder="1" applyAlignment="1">
      <alignment horizontal="center"/>
    </xf>
    <xf numFmtId="3" fontId="17" fillId="0" borderId="0" xfId="0" applyNumberFormat="1" applyFont="1" applyAlignment="1">
      <alignment horizontal="left"/>
    </xf>
    <xf numFmtId="10" fontId="17" fillId="0" borderId="0" xfId="0" applyNumberFormat="1" applyFont="1" applyAlignment="1">
      <alignment horizontal="left"/>
    </xf>
    <xf numFmtId="49" fontId="24" fillId="0" borderId="0" xfId="0" applyNumberFormat="1" applyFont="1" applyAlignment="1">
      <alignment horizontal="right"/>
    </xf>
    <xf numFmtId="10" fontId="24" fillId="0" borderId="0" xfId="10" quotePrefix="1" applyNumberFormat="1" applyFont="1" applyFill="1" applyBorder="1" applyAlignment="1">
      <alignment horizontal="left"/>
    </xf>
    <xf numFmtId="49" fontId="24" fillId="0" borderId="2" xfId="0" applyNumberFormat="1" applyFont="1" applyBorder="1" applyAlignment="1">
      <alignment horizontal="center"/>
    </xf>
    <xf numFmtId="14" fontId="0" fillId="0" borderId="12" xfId="0" applyNumberFormat="1" applyBorder="1" applyAlignment="1">
      <alignment horizontal="left"/>
    </xf>
    <xf numFmtId="0" fontId="27" fillId="0" borderId="12" xfId="0" applyFont="1" applyBorder="1" applyAlignment="1">
      <alignment horizontal="left" vertical="top" wrapText="1"/>
    </xf>
    <xf numFmtId="0" fontId="27" fillId="0" borderId="12" xfId="0" applyFont="1" applyBorder="1" applyAlignment="1">
      <alignment horizontal="left" vertical="top"/>
    </xf>
    <xf numFmtId="8" fontId="0" fillId="0" borderId="12" xfId="0" applyNumberFormat="1" applyBorder="1"/>
    <xf numFmtId="0" fontId="36" fillId="0" borderId="12" xfId="0" applyFont="1" applyBorder="1" applyAlignment="1">
      <alignment horizontal="center"/>
    </xf>
    <xf numFmtId="8" fontId="17" fillId="0" borderId="12" xfId="0" applyNumberFormat="1" applyFont="1" applyBorder="1"/>
    <xf numFmtId="0" fontId="36" fillId="0" borderId="0" xfId="0" applyFont="1" applyAlignment="1">
      <alignment horizontal="center"/>
    </xf>
    <xf numFmtId="0" fontId="14" fillId="12" borderId="0" xfId="0" applyFont="1" applyFill="1"/>
    <xf numFmtId="4" fontId="27" fillId="0" borderId="12" xfId="0" applyNumberFormat="1" applyFont="1" applyBorder="1" applyAlignment="1">
      <alignment horizontal="left" vertical="top"/>
    </xf>
    <xf numFmtId="16" fontId="0" fillId="0" borderId="12" xfId="0" applyNumberFormat="1" applyBorder="1"/>
    <xf numFmtId="0" fontId="36" fillId="11" borderId="12" xfId="0" applyFont="1" applyFill="1" applyBorder="1" applyAlignment="1">
      <alignment horizontal="center"/>
    </xf>
    <xf numFmtId="8" fontId="0" fillId="11" borderId="12" xfId="0" applyNumberFormat="1" applyFill="1" applyBorder="1"/>
    <xf numFmtId="0" fontId="36" fillId="13" borderId="12" xfId="0" applyFont="1" applyFill="1" applyBorder="1" applyAlignment="1">
      <alignment horizontal="center"/>
    </xf>
    <xf numFmtId="8" fontId="17" fillId="13" borderId="12" xfId="0" applyNumberFormat="1" applyFont="1" applyFill="1" applyBorder="1"/>
    <xf numFmtId="4" fontId="0" fillId="0" borderId="12" xfId="0" applyNumberFormat="1" applyBorder="1" applyAlignment="1">
      <alignment horizontal="right"/>
    </xf>
    <xf numFmtId="8" fontId="0" fillId="0" borderId="12" xfId="0" applyNumberFormat="1" applyBorder="1" applyAlignment="1">
      <alignment horizontal="right"/>
    </xf>
    <xf numFmtId="8" fontId="17" fillId="0" borderId="12" xfId="0" applyNumberFormat="1" applyFont="1" applyBorder="1" applyAlignment="1">
      <alignment horizontal="right"/>
    </xf>
    <xf numFmtId="0" fontId="28" fillId="0" borderId="0" xfId="0" applyFont="1"/>
    <xf numFmtId="0" fontId="30" fillId="0" borderId="0" xfId="0" applyFont="1" applyAlignment="1">
      <alignment horizontal="right"/>
    </xf>
    <xf numFmtId="0" fontId="28" fillId="0" borderId="0" xfId="0" applyFont="1" applyAlignment="1">
      <alignment wrapText="1"/>
    </xf>
    <xf numFmtId="0" fontId="28" fillId="0" borderId="0" xfId="0" applyFont="1" applyAlignment="1">
      <alignment horizontal="left" wrapText="1"/>
    </xf>
    <xf numFmtId="0" fontId="29" fillId="0" borderId="0" xfId="0" applyFont="1" applyAlignment="1">
      <alignment horizontal="left" wrapText="1"/>
    </xf>
    <xf numFmtId="0" fontId="29" fillId="0" borderId="0" xfId="0" applyFont="1"/>
    <xf numFmtId="0" fontId="29" fillId="0" borderId="0" xfId="0" applyFont="1" applyAlignment="1">
      <alignment horizontal="left" vertical="center" wrapText="1"/>
    </xf>
    <xf numFmtId="0" fontId="29" fillId="3" borderId="10" xfId="0" applyFont="1" applyFill="1" applyBorder="1" applyAlignment="1">
      <alignment horizontal="center"/>
    </xf>
    <xf numFmtId="0" fontId="29" fillId="3" borderId="11" xfId="0" applyFont="1" applyFill="1" applyBorder="1" applyAlignment="1">
      <alignment horizontal="center"/>
    </xf>
    <xf numFmtId="0" fontId="29" fillId="0" borderId="0" xfId="0" applyFont="1" applyAlignment="1">
      <alignment horizontal="left"/>
    </xf>
    <xf numFmtId="0" fontId="29" fillId="2" borderId="0" xfId="0" applyFont="1" applyFill="1"/>
    <xf numFmtId="0" fontId="29" fillId="2" borderId="6" xfId="0" applyFont="1" applyFill="1" applyBorder="1" applyAlignment="1">
      <alignment horizontal="left" vertical="center" wrapText="1"/>
    </xf>
    <xf numFmtId="0" fontId="29" fillId="2" borderId="7" xfId="0" applyFont="1" applyFill="1" applyBorder="1" applyAlignment="1">
      <alignment horizontal="left" vertical="center" wrapText="1"/>
    </xf>
    <xf numFmtId="0" fontId="29" fillId="2" borderId="8" xfId="0" applyFont="1" applyFill="1" applyBorder="1" applyAlignment="1">
      <alignment horizontal="left" vertical="center" wrapText="1"/>
    </xf>
    <xf numFmtId="0" fontId="29" fillId="0" borderId="0" xfId="0" applyFont="1" applyAlignment="1">
      <alignment vertical="center"/>
    </xf>
    <xf numFmtId="0" fontId="29" fillId="0" borderId="0" xfId="0" applyFont="1" applyAlignment="1">
      <alignment vertical="center" wrapText="1"/>
    </xf>
    <xf numFmtId="0" fontId="39" fillId="3" borderId="10" xfId="0" applyFont="1" applyFill="1" applyBorder="1" applyAlignment="1">
      <alignment horizontal="center"/>
    </xf>
    <xf numFmtId="0" fontId="39" fillId="3" borderId="11" xfId="0" applyFont="1" applyFill="1" applyBorder="1" applyAlignment="1">
      <alignment horizontal="center"/>
    </xf>
    <xf numFmtId="0" fontId="29" fillId="0" borderId="0" xfId="0" applyFont="1" applyAlignment="1">
      <alignment vertical="top"/>
    </xf>
    <xf numFmtId="0" fontId="40" fillId="0" borderId="0" xfId="0" applyFont="1" applyAlignment="1">
      <alignment vertical="center" wrapText="1"/>
    </xf>
    <xf numFmtId="49" fontId="44" fillId="0" borderId="1" xfId="0" applyNumberFormat="1" applyFont="1" applyBorder="1" applyAlignment="1">
      <alignment horizontal="center"/>
    </xf>
    <xf numFmtId="49" fontId="44" fillId="0" borderId="2" xfId="0" applyNumberFormat="1" applyFont="1" applyBorder="1" applyAlignment="1">
      <alignment horizontal="center"/>
    </xf>
    <xf numFmtId="49" fontId="44" fillId="0" borderId="3" xfId="0" applyNumberFormat="1" applyFont="1" applyBorder="1" applyAlignment="1">
      <alignment horizontal="center"/>
    </xf>
    <xf numFmtId="49" fontId="44" fillId="0" borderId="4" xfId="0" applyNumberFormat="1" applyFont="1" applyBorder="1" applyAlignment="1">
      <alignment horizontal="right"/>
    </xf>
    <xf numFmtId="49" fontId="44" fillId="0" borderId="0" xfId="0" applyNumberFormat="1" applyFont="1" applyAlignment="1">
      <alignment horizontal="center"/>
    </xf>
    <xf numFmtId="49" fontId="44" fillId="0" borderId="5" xfId="0" applyNumberFormat="1" applyFont="1" applyBorder="1" applyAlignment="1">
      <alignment horizontal="center"/>
    </xf>
    <xf numFmtId="0" fontId="44" fillId="0" borderId="0" xfId="0" applyFont="1" applyAlignment="1">
      <alignment horizontal="right"/>
    </xf>
    <xf numFmtId="0" fontId="44" fillId="0" borderId="12" xfId="0" applyFont="1" applyBorder="1" applyAlignment="1">
      <alignment horizontal="right"/>
    </xf>
    <xf numFmtId="3" fontId="44" fillId="0" borderId="12" xfId="0" applyNumberFormat="1" applyFont="1" applyBorder="1" applyAlignment="1">
      <alignment horizontal="left"/>
    </xf>
    <xf numFmtId="0" fontId="44" fillId="0" borderId="4" xfId="0" applyFont="1" applyBorder="1" applyAlignment="1">
      <alignment horizontal="right"/>
    </xf>
    <xf numFmtId="0" fontId="44" fillId="0" borderId="0" xfId="0" applyFont="1"/>
    <xf numFmtId="10" fontId="44" fillId="0" borderId="12" xfId="0" applyNumberFormat="1" applyFont="1" applyBorder="1" applyAlignment="1">
      <alignment horizontal="left"/>
    </xf>
    <xf numFmtId="0" fontId="44" fillId="0" borderId="6" xfId="0" applyFont="1" applyBorder="1" applyAlignment="1">
      <alignment horizontal="right"/>
    </xf>
    <xf numFmtId="0" fontId="44" fillId="0" borderId="7" xfId="0" applyFont="1" applyBorder="1"/>
    <xf numFmtId="49" fontId="44" fillId="0" borderId="12" xfId="0" applyNumberFormat="1" applyFont="1" applyBorder="1" applyAlignment="1">
      <alignment horizontal="right"/>
    </xf>
    <xf numFmtId="49" fontId="44" fillId="0" borderId="8" xfId="0" applyNumberFormat="1" applyFont="1" applyBorder="1" applyAlignment="1">
      <alignment horizontal="center"/>
    </xf>
    <xf numFmtId="49" fontId="43" fillId="0" borderId="6" xfId="0" applyNumberFormat="1" applyFont="1" applyBorder="1" applyAlignment="1">
      <alignment horizontal="right"/>
    </xf>
    <xf numFmtId="0" fontId="37" fillId="0" borderId="0" xfId="0" applyFont="1"/>
    <xf numFmtId="49" fontId="43" fillId="0" borderId="7" xfId="0" applyNumberFormat="1" applyFont="1" applyBorder="1" applyAlignment="1">
      <alignment horizontal="right"/>
    </xf>
    <xf numFmtId="0" fontId="43" fillId="2" borderId="7" xfId="0" applyFont="1" applyFill="1" applyBorder="1" applyAlignment="1">
      <alignment horizontal="right"/>
    </xf>
    <xf numFmtId="10" fontId="43" fillId="2" borderId="7" xfId="0" applyNumberFormat="1" applyFont="1" applyFill="1" applyBorder="1" applyAlignment="1">
      <alignment horizontal="left"/>
    </xf>
    <xf numFmtId="49" fontId="43" fillId="0" borderId="8" xfId="0" applyNumberFormat="1" applyFont="1" applyBorder="1" applyAlignment="1">
      <alignment horizontal="right"/>
    </xf>
    <xf numFmtId="0" fontId="45" fillId="2" borderId="9" xfId="0" applyFont="1" applyFill="1" applyBorder="1"/>
    <xf numFmtId="0" fontId="41" fillId="2" borderId="10" xfId="0" applyFont="1" applyFill="1" applyBorder="1" applyAlignment="1">
      <alignment horizontal="center" wrapText="1"/>
    </xf>
    <xf numFmtId="0" fontId="41" fillId="2" borderId="10" xfId="0" applyFont="1" applyFill="1" applyBorder="1" applyAlignment="1">
      <alignment horizontal="center"/>
    </xf>
    <xf numFmtId="0" fontId="41" fillId="2" borderId="11" xfId="0" applyFont="1" applyFill="1" applyBorder="1" applyAlignment="1">
      <alignment horizontal="center"/>
    </xf>
    <xf numFmtId="0" fontId="37" fillId="2" borderId="12" xfId="0" applyFont="1" applyFill="1" applyBorder="1"/>
    <xf numFmtId="164" fontId="37" fillId="2" borderId="12" xfId="1" applyNumberFormat="1" applyFont="1" applyFill="1" applyBorder="1" applyAlignment="1">
      <alignment horizontal="center"/>
    </xf>
    <xf numFmtId="10" fontId="37" fillId="2" borderId="12" xfId="1" applyNumberFormat="1" applyFont="1" applyFill="1" applyBorder="1" applyAlignment="1">
      <alignment horizontal="right"/>
    </xf>
    <xf numFmtId="0" fontId="46" fillId="2" borderId="12" xfId="0" applyFont="1" applyFill="1" applyBorder="1"/>
    <xf numFmtId="164" fontId="46" fillId="2" borderId="12" xfId="1" applyNumberFormat="1" applyFont="1" applyFill="1" applyBorder="1" applyAlignment="1">
      <alignment horizontal="center"/>
    </xf>
    <xf numFmtId="10" fontId="46" fillId="2" borderId="12" xfId="1" applyNumberFormat="1" applyFont="1" applyFill="1" applyBorder="1" applyAlignment="1">
      <alignment horizontal="right"/>
    </xf>
    <xf numFmtId="0" fontId="37" fillId="2" borderId="12" xfId="0" applyFont="1" applyFill="1" applyBorder="1" applyAlignment="1">
      <alignment horizontal="left"/>
    </xf>
    <xf numFmtId="0" fontId="46" fillId="2" borderId="12" xfId="0" applyFont="1" applyFill="1" applyBorder="1" applyAlignment="1">
      <alignment horizontal="left"/>
    </xf>
    <xf numFmtId="0" fontId="46" fillId="2" borderId="14" xfId="0" applyFont="1" applyFill="1" applyBorder="1" applyAlignment="1">
      <alignment horizontal="left"/>
    </xf>
    <xf numFmtId="164" fontId="46" fillId="2" borderId="14" xfId="1" applyNumberFormat="1" applyFont="1" applyFill="1" applyBorder="1" applyAlignment="1">
      <alignment horizontal="center"/>
    </xf>
    <xf numFmtId="10" fontId="44" fillId="2" borderId="12" xfId="1" applyNumberFormat="1" applyFont="1" applyFill="1" applyBorder="1" applyAlignment="1">
      <alignment horizontal="right"/>
    </xf>
    <xf numFmtId="0" fontId="41" fillId="3" borderId="20" xfId="0" applyFont="1" applyFill="1" applyBorder="1"/>
    <xf numFmtId="0" fontId="47" fillId="3" borderId="21" xfId="0" applyFont="1" applyFill="1" applyBorder="1" applyAlignment="1">
      <alignment horizontal="center"/>
    </xf>
    <xf numFmtId="0" fontId="47" fillId="3" borderId="22" xfId="0" applyFont="1" applyFill="1" applyBorder="1" applyAlignment="1">
      <alignment horizontal="center"/>
    </xf>
    <xf numFmtId="0" fontId="41" fillId="3" borderId="9" xfId="0" applyFont="1" applyFill="1" applyBorder="1"/>
    <xf numFmtId="0" fontId="41" fillId="3" borderId="1" xfId="0" applyFont="1" applyFill="1" applyBorder="1"/>
    <xf numFmtId="0" fontId="47" fillId="3" borderId="2" xfId="0" applyFont="1" applyFill="1" applyBorder="1" applyAlignment="1">
      <alignment horizontal="center"/>
    </xf>
    <xf numFmtId="0" fontId="47" fillId="3" borderId="3" xfId="0" applyFont="1" applyFill="1" applyBorder="1" applyAlignment="1">
      <alignment horizontal="center"/>
    </xf>
    <xf numFmtId="0" fontId="41" fillId="3" borderId="1" xfId="0" applyFont="1" applyFill="1" applyBorder="1" applyAlignment="1">
      <alignment vertical="top"/>
    </xf>
    <xf numFmtId="0" fontId="41" fillId="3" borderId="10" xfId="0" applyFont="1" applyFill="1" applyBorder="1" applyAlignment="1">
      <alignment horizontal="center"/>
    </xf>
    <xf numFmtId="0" fontId="41" fillId="3" borderId="11" xfId="0" applyFont="1" applyFill="1" applyBorder="1" applyAlignment="1">
      <alignment horizontal="center"/>
    </xf>
    <xf numFmtId="0" fontId="47" fillId="0" borderId="12" xfId="0" applyFont="1" applyBorder="1" applyAlignment="1">
      <alignment vertical="center" wrapText="1"/>
    </xf>
    <xf numFmtId="0" fontId="41" fillId="0" borderId="13" xfId="0" applyFont="1" applyBorder="1" applyAlignment="1">
      <alignment vertical="center"/>
    </xf>
    <xf numFmtId="0" fontId="41" fillId="0" borderId="12" xfId="0" applyFont="1" applyBorder="1" applyAlignment="1">
      <alignment horizontal="left" vertical="center" wrapText="1"/>
    </xf>
    <xf numFmtId="0" fontId="47" fillId="0" borderId="0" xfId="0" applyFont="1" applyAlignment="1">
      <alignment vertical="center"/>
    </xf>
    <xf numFmtId="0" fontId="47" fillId="14" borderId="0" xfId="0" applyFont="1" applyFill="1" applyAlignment="1">
      <alignment vertical="center"/>
    </xf>
    <xf numFmtId="0" fontId="41" fillId="4" borderId="12" xfId="0" applyFont="1" applyFill="1" applyBorder="1" applyAlignment="1">
      <alignment horizontal="left" vertical="top" wrapText="1"/>
    </xf>
    <xf numFmtId="0" fontId="47" fillId="0" borderId="0" xfId="0" applyFont="1"/>
    <xf numFmtId="0" fontId="18" fillId="0" borderId="9" xfId="18" applyFont="1" applyBorder="1" applyAlignment="1">
      <alignment horizontal="left" vertical="center" wrapText="1"/>
    </xf>
    <xf numFmtId="0" fontId="18" fillId="0" borderId="10" xfId="18" applyFont="1" applyBorder="1" applyAlignment="1">
      <alignment horizontal="left" vertical="center" wrapText="1"/>
    </xf>
    <xf numFmtId="0" fontId="18" fillId="0" borderId="11" xfId="18" applyFont="1" applyBorder="1" applyAlignment="1">
      <alignment horizontal="left" vertical="center" wrapText="1"/>
    </xf>
    <xf numFmtId="0" fontId="47" fillId="0" borderId="10" xfId="0" applyFont="1" applyBorder="1" applyAlignment="1">
      <alignment horizontal="left" vertical="center" wrapText="1"/>
    </xf>
    <xf numFmtId="0" fontId="37" fillId="0" borderId="10" xfId="0" applyFont="1" applyBorder="1" applyAlignment="1">
      <alignment horizontal="left" vertical="center" wrapText="1"/>
    </xf>
    <xf numFmtId="0" fontId="37" fillId="0" borderId="11" xfId="0" applyFont="1" applyBorder="1" applyAlignment="1">
      <alignment horizontal="left" vertical="center" wrapText="1"/>
    </xf>
    <xf numFmtId="0" fontId="29" fillId="0" borderId="9" xfId="18" applyFont="1" applyBorder="1" applyAlignment="1">
      <alignment horizontal="left" vertical="center" wrapText="1"/>
    </xf>
    <xf numFmtId="0" fontId="29" fillId="0" borderId="10" xfId="18" applyFont="1" applyBorder="1" applyAlignment="1">
      <alignment horizontal="left" vertical="center" wrapText="1"/>
    </xf>
    <xf numFmtId="0" fontId="29" fillId="0" borderId="11" xfId="18" applyFont="1" applyBorder="1" applyAlignment="1">
      <alignment horizontal="left" vertical="center" wrapText="1"/>
    </xf>
    <xf numFmtId="0" fontId="47" fillId="0" borderId="9" xfId="18" applyFont="1" applyBorder="1" applyAlignment="1">
      <alignment horizontal="left" vertical="center" wrapText="1"/>
    </xf>
    <xf numFmtId="0" fontId="41" fillId="0" borderId="10" xfId="18" applyFont="1" applyBorder="1" applyAlignment="1">
      <alignment horizontal="left" vertical="center" wrapText="1"/>
    </xf>
    <xf numFmtId="0" fontId="41" fillId="0" borderId="11" xfId="18" applyFont="1" applyBorder="1" applyAlignment="1">
      <alignment horizontal="left" vertical="center" wrapText="1"/>
    </xf>
    <xf numFmtId="0" fontId="41" fillId="7" borderId="12" xfId="0" applyFont="1" applyFill="1" applyBorder="1" applyAlignment="1">
      <alignment horizontal="left" vertical="top" wrapText="1"/>
    </xf>
    <xf numFmtId="0" fontId="47" fillId="4" borderId="10" xfId="0" applyFont="1" applyFill="1" applyBorder="1" applyAlignment="1">
      <alignment horizontal="left" vertical="top" wrapText="1"/>
    </xf>
    <xf numFmtId="0" fontId="37" fillId="2" borderId="10" xfId="0" applyFont="1" applyFill="1" applyBorder="1" applyAlignment="1">
      <alignment horizontal="left" vertical="top" wrapText="1"/>
    </xf>
    <xf numFmtId="0" fontId="37" fillId="2" borderId="11" xfId="0" applyFont="1" applyFill="1" applyBorder="1" applyAlignment="1">
      <alignment horizontal="left" vertical="top" wrapText="1"/>
    </xf>
    <xf numFmtId="0" fontId="17" fillId="5" borderId="9" xfId="0" applyFont="1" applyFill="1" applyBorder="1" applyAlignment="1">
      <alignment horizontal="left" vertical="top" wrapText="1"/>
    </xf>
    <xf numFmtId="0" fontId="17" fillId="5" borderId="10" xfId="0" applyFont="1" applyFill="1" applyBorder="1" applyAlignment="1">
      <alignment horizontal="left" vertical="top" wrapText="1"/>
    </xf>
    <xf numFmtId="0" fontId="17" fillId="5" borderId="11" xfId="0" applyFont="1" applyFill="1" applyBorder="1" applyAlignment="1">
      <alignment horizontal="left" vertical="top" wrapText="1"/>
    </xf>
    <xf numFmtId="0" fontId="17" fillId="3" borderId="9" xfId="0" quotePrefix="1" applyFont="1" applyFill="1" applyBorder="1" applyAlignment="1">
      <alignment horizontal="left" vertical="center" wrapText="1"/>
    </xf>
    <xf numFmtId="0" fontId="17" fillId="3" borderId="10" xfId="0" quotePrefix="1" applyFont="1" applyFill="1" applyBorder="1" applyAlignment="1">
      <alignment horizontal="left" vertical="center" wrapText="1"/>
    </xf>
    <xf numFmtId="0" fontId="17" fillId="3" borderId="11" xfId="0" quotePrefix="1" applyFont="1" applyFill="1" applyBorder="1" applyAlignment="1">
      <alignment horizontal="left" vertical="center" wrapText="1"/>
    </xf>
    <xf numFmtId="0" fontId="18" fillId="0" borderId="9" xfId="0" applyFont="1" applyBorder="1" applyAlignment="1">
      <alignment horizontal="left" vertical="top" wrapText="1"/>
    </xf>
    <xf numFmtId="0" fontId="18" fillId="0" borderId="10" xfId="0" applyFont="1" applyBorder="1" applyAlignment="1">
      <alignment horizontal="left" vertical="top" wrapText="1"/>
    </xf>
    <xf numFmtId="0" fontId="18" fillId="0" borderId="11" xfId="0" applyFont="1" applyBorder="1" applyAlignment="1">
      <alignment horizontal="left" vertical="top" wrapText="1"/>
    </xf>
    <xf numFmtId="0" fontId="47" fillId="0" borderId="10" xfId="18" applyFont="1" applyBorder="1" applyAlignment="1">
      <alignment horizontal="left" vertical="center" wrapText="1"/>
    </xf>
    <xf numFmtId="0" fontId="47" fillId="0" borderId="11" xfId="18" applyFont="1" applyBorder="1" applyAlignment="1">
      <alignment horizontal="left" vertical="center" wrapText="1"/>
    </xf>
    <xf numFmtId="0" fontId="44" fillId="5" borderId="9" xfId="0" applyFont="1" applyFill="1" applyBorder="1" applyAlignment="1">
      <alignment horizontal="left" vertical="top" wrapText="1"/>
    </xf>
    <xf numFmtId="0" fontId="44" fillId="5" borderId="10" xfId="0" applyFont="1" applyFill="1" applyBorder="1" applyAlignment="1">
      <alignment horizontal="left" vertical="top" wrapText="1"/>
    </xf>
    <xf numFmtId="0" fontId="44" fillId="5" borderId="11" xfId="0" applyFont="1" applyFill="1" applyBorder="1" applyAlignment="1">
      <alignment horizontal="left" vertical="top" wrapText="1"/>
    </xf>
    <xf numFmtId="0" fontId="41" fillId="0" borderId="0" xfId="0" applyFont="1" applyAlignment="1">
      <alignment horizontal="center"/>
    </xf>
    <xf numFmtId="0" fontId="42" fillId="0" borderId="0" xfId="0" applyFont="1" applyAlignment="1">
      <alignment horizontal="center"/>
    </xf>
    <xf numFmtId="49" fontId="41" fillId="0" borderId="0" xfId="0" applyNumberFormat="1" applyFont="1" applyAlignment="1">
      <alignment horizontal="center"/>
    </xf>
    <xf numFmtId="49" fontId="44" fillId="0" borderId="0" xfId="0" applyNumberFormat="1" applyFont="1" applyAlignment="1">
      <alignment horizontal="left"/>
    </xf>
    <xf numFmtId="0" fontId="44" fillId="0" borderId="0" xfId="0" applyFont="1" applyAlignment="1">
      <alignment horizontal="center" vertical="center"/>
    </xf>
    <xf numFmtId="49" fontId="43" fillId="0" borderId="7" xfId="0" applyNumberFormat="1" applyFont="1" applyBorder="1" applyAlignment="1">
      <alignment horizontal="center"/>
    </xf>
    <xf numFmtId="0" fontId="41" fillId="10" borderId="0" xfId="0" applyFont="1" applyFill="1" applyAlignment="1">
      <alignment horizontal="left" vertical="center"/>
    </xf>
    <xf numFmtId="0" fontId="41" fillId="10" borderId="5" xfId="0" applyFont="1" applyFill="1" applyBorder="1" applyAlignment="1">
      <alignment horizontal="left" vertical="center"/>
    </xf>
    <xf numFmtId="0" fontId="47" fillId="0" borderId="9" xfId="0" applyFont="1" applyBorder="1" applyAlignment="1">
      <alignment horizontal="left" vertical="center" wrapText="1"/>
    </xf>
    <xf numFmtId="0" fontId="47" fillId="0" borderId="11" xfId="0" applyFont="1" applyBorder="1" applyAlignment="1">
      <alignment horizontal="left" vertical="center" wrapText="1"/>
    </xf>
    <xf numFmtId="0" fontId="47" fillId="0" borderId="18" xfId="9" applyFont="1" applyBorder="1" applyAlignment="1">
      <alignment horizontal="left" vertical="center" wrapText="1"/>
    </xf>
    <xf numFmtId="0" fontId="37" fillId="0" borderId="18" xfId="9" applyFont="1" applyBorder="1" applyAlignment="1">
      <alignment vertical="center"/>
    </xf>
    <xf numFmtId="0" fontId="37" fillId="0" borderId="23" xfId="9" applyFont="1" applyBorder="1" applyAlignment="1">
      <alignment vertical="center"/>
    </xf>
    <xf numFmtId="0" fontId="44" fillId="0" borderId="0" xfId="0" applyFont="1" applyAlignment="1">
      <alignment horizontal="left"/>
    </xf>
    <xf numFmtId="49" fontId="43" fillId="0" borderId="10" xfId="0" applyNumberFormat="1" applyFont="1" applyBorder="1" applyAlignment="1">
      <alignment horizontal="center"/>
    </xf>
    <xf numFmtId="0" fontId="47" fillId="0" borderId="10" xfId="0" applyFont="1" applyBorder="1" applyAlignment="1">
      <alignment horizontal="left" vertical="center"/>
    </xf>
    <xf numFmtId="0" fontId="47" fillId="0" borderId="11" xfId="0" applyFont="1" applyBorder="1" applyAlignment="1">
      <alignment horizontal="left" vertical="center"/>
    </xf>
    <xf numFmtId="0" fontId="47" fillId="0" borderId="1" xfId="0" applyFont="1" applyBorder="1" applyAlignment="1">
      <alignment horizontal="left" vertical="center" wrapText="1"/>
    </xf>
    <xf numFmtId="0" fontId="47" fillId="0" borderId="2" xfId="0" applyFont="1" applyBorder="1" applyAlignment="1">
      <alignment horizontal="left" vertical="center" wrapText="1"/>
    </xf>
    <xf numFmtId="0" fontId="47" fillId="0" borderId="3" xfId="0" applyFont="1" applyBorder="1" applyAlignment="1">
      <alignment horizontal="left" vertical="center" wrapText="1"/>
    </xf>
    <xf numFmtId="0" fontId="22" fillId="0" borderId="0" xfId="0" applyFont="1" applyAlignment="1">
      <alignment horizontal="left" wrapText="1"/>
    </xf>
    <xf numFmtId="0" fontId="18" fillId="2" borderId="9" xfId="0" applyFont="1" applyFill="1" applyBorder="1" applyAlignment="1">
      <alignment horizontal="left" vertical="center" wrapText="1"/>
    </xf>
    <xf numFmtId="0" fontId="0" fillId="2" borderId="10" xfId="0" applyFill="1" applyBorder="1" applyAlignment="1">
      <alignment horizontal="left" vertical="center" wrapText="1"/>
    </xf>
    <xf numFmtId="0" fontId="0" fillId="2" borderId="11" xfId="0" applyFill="1" applyBorder="1" applyAlignment="1">
      <alignment horizontal="left" vertical="center" wrapText="1"/>
    </xf>
    <xf numFmtId="0" fontId="21" fillId="0" borderId="1" xfId="0" applyFont="1" applyBorder="1" applyAlignment="1">
      <alignment horizontal="center"/>
    </xf>
    <xf numFmtId="0" fontId="21" fillId="0" borderId="2" xfId="0" applyFont="1" applyBorder="1" applyAlignment="1">
      <alignment horizontal="center"/>
    </xf>
    <xf numFmtId="0" fontId="21" fillId="0" borderId="3" xfId="0" applyFont="1" applyBorder="1" applyAlignment="1">
      <alignment horizontal="center"/>
    </xf>
    <xf numFmtId="0" fontId="21" fillId="8" borderId="2" xfId="0" applyFont="1" applyFill="1" applyBorder="1" applyAlignment="1">
      <alignment horizontal="center" vertical="center"/>
    </xf>
    <xf numFmtId="0" fontId="21" fillId="8" borderId="3" xfId="0" applyFont="1" applyFill="1" applyBorder="1" applyAlignment="1">
      <alignment horizontal="center" vertical="center"/>
    </xf>
    <xf numFmtId="0" fontId="23" fillId="0" borderId="4" xfId="0" applyFont="1" applyBorder="1" applyAlignment="1">
      <alignment horizontal="center"/>
    </xf>
    <xf numFmtId="0" fontId="23" fillId="0" borderId="0" xfId="0" applyFont="1" applyAlignment="1">
      <alignment horizontal="center"/>
    </xf>
    <xf numFmtId="0" fontId="23" fillId="0" borderId="5" xfId="0" applyFont="1" applyBorder="1" applyAlignment="1">
      <alignment horizontal="center"/>
    </xf>
    <xf numFmtId="49" fontId="21" fillId="0" borderId="4" xfId="0" applyNumberFormat="1" applyFont="1" applyBorder="1" applyAlignment="1">
      <alignment horizontal="center"/>
    </xf>
    <xf numFmtId="0" fontId="21" fillId="0" borderId="0" xfId="0" applyFont="1" applyAlignment="1">
      <alignment horizontal="center"/>
    </xf>
    <xf numFmtId="0" fontId="21" fillId="0" borderId="5" xfId="0" applyFont="1" applyBorder="1" applyAlignment="1">
      <alignment horizontal="center"/>
    </xf>
    <xf numFmtId="0" fontId="21" fillId="0" borderId="0" xfId="0" applyFont="1" applyAlignment="1">
      <alignment horizontal="center" vertical="center"/>
    </xf>
    <xf numFmtId="0" fontId="18" fillId="2" borderId="10" xfId="0" applyFont="1" applyFill="1" applyBorder="1" applyAlignment="1">
      <alignment horizontal="left" vertical="center" wrapText="1"/>
    </xf>
    <xf numFmtId="0" fontId="18" fillId="2" borderId="11" xfId="0" applyFont="1" applyFill="1" applyBorder="1" applyAlignment="1">
      <alignment horizontal="left" vertical="center" wrapText="1"/>
    </xf>
    <xf numFmtId="0" fontId="0" fillId="0" borderId="0" xfId="0" applyAlignment="1">
      <alignment horizontal="left" wrapText="1"/>
    </xf>
    <xf numFmtId="0" fontId="21" fillId="0" borderId="0" xfId="9" applyFont="1" applyAlignment="1">
      <alignment horizontal="center"/>
    </xf>
    <xf numFmtId="0" fontId="32" fillId="0" borderId="0" xfId="9" applyFont="1" applyAlignment="1">
      <alignment horizontal="center"/>
    </xf>
    <xf numFmtId="49" fontId="21" fillId="0" borderId="0" xfId="9" applyNumberFormat="1" applyFont="1" applyAlignment="1">
      <alignment horizontal="center"/>
    </xf>
    <xf numFmtId="0" fontId="21" fillId="0" borderId="0" xfId="9" applyFont="1" applyAlignment="1">
      <alignment horizontal="left"/>
    </xf>
    <xf numFmtId="0" fontId="21" fillId="0" borderId="2" xfId="9" applyFont="1" applyBorder="1" applyAlignment="1">
      <alignment horizontal="left"/>
    </xf>
    <xf numFmtId="0" fontId="21" fillId="6" borderId="12" xfId="9" applyFont="1" applyFill="1" applyBorder="1" applyAlignment="1">
      <alignment horizontal="center" vertical="center"/>
    </xf>
    <xf numFmtId="0" fontId="21" fillId="6" borderId="12" xfId="9" applyFont="1" applyFill="1" applyBorder="1" applyAlignment="1">
      <alignment horizontal="left" vertical="center"/>
    </xf>
    <xf numFmtId="44" fontId="18" fillId="0" borderId="12" xfId="0" applyNumberFormat="1" applyFont="1" applyBorder="1" applyAlignment="1">
      <alignment horizontal="center" vertical="center"/>
    </xf>
    <xf numFmtId="0" fontId="18" fillId="0" borderId="12" xfId="0" applyFont="1" applyBorder="1" applyAlignment="1">
      <alignment horizontal="left" vertical="center" wrapText="1"/>
    </xf>
    <xf numFmtId="44" fontId="21" fillId="0" borderId="10" xfId="9" applyNumberFormat="1" applyFont="1" applyBorder="1" applyAlignment="1">
      <alignment horizontal="center" vertical="center"/>
    </xf>
    <xf numFmtId="44" fontId="21" fillId="0" borderId="11" xfId="9" applyNumberFormat="1" applyFont="1" applyBorder="1" applyAlignment="1">
      <alignment horizontal="center" vertical="center"/>
    </xf>
    <xf numFmtId="0" fontId="17" fillId="2" borderId="0" xfId="0" applyFont="1" applyFill="1" applyAlignment="1">
      <alignment horizontal="center"/>
    </xf>
    <xf numFmtId="49" fontId="17" fillId="2" borderId="18" xfId="0" applyNumberFormat="1" applyFont="1" applyFill="1" applyBorder="1" applyAlignment="1">
      <alignment horizontal="center"/>
    </xf>
    <xf numFmtId="0" fontId="21" fillId="2" borderId="0" xfId="0" applyFont="1" applyFill="1" applyAlignment="1">
      <alignment horizontal="center"/>
    </xf>
    <xf numFmtId="0" fontId="23" fillId="2" borderId="0" xfId="0" applyFont="1" applyFill="1" applyAlignment="1">
      <alignment horizontal="center"/>
    </xf>
    <xf numFmtId="49" fontId="21" fillId="2" borderId="0" xfId="0" applyNumberFormat="1" applyFont="1" applyFill="1" applyAlignment="1">
      <alignment horizontal="center"/>
    </xf>
    <xf numFmtId="0" fontId="24" fillId="2" borderId="0" xfId="0" applyFont="1" applyFill="1" applyAlignment="1">
      <alignment horizontal="center"/>
    </xf>
    <xf numFmtId="49" fontId="23" fillId="0" borderId="0" xfId="0" applyNumberFormat="1" applyFont="1" applyAlignment="1">
      <alignment horizontal="center"/>
    </xf>
    <xf numFmtId="2" fontId="21" fillId="0" borderId="0" xfId="0" quotePrefix="1" applyNumberFormat="1" applyFont="1" applyAlignment="1">
      <alignment horizontal="center"/>
    </xf>
    <xf numFmtId="2" fontId="21" fillId="0" borderId="0" xfId="0" applyNumberFormat="1" applyFont="1" applyAlignment="1">
      <alignment horizontal="center"/>
    </xf>
    <xf numFmtId="49" fontId="24" fillId="0" borderId="7" xfId="0" applyNumberFormat="1" applyFont="1" applyBorder="1" applyAlignment="1">
      <alignment horizontal="center"/>
    </xf>
    <xf numFmtId="0" fontId="35" fillId="11" borderId="9" xfId="0" applyFont="1" applyFill="1" applyBorder="1" applyAlignment="1">
      <alignment horizontal="center" vertical="center"/>
    </xf>
    <xf numFmtId="0" fontId="35" fillId="11" borderId="10" xfId="0" applyFont="1" applyFill="1" applyBorder="1" applyAlignment="1">
      <alignment horizontal="center" vertical="center"/>
    </xf>
    <xf numFmtId="0" fontId="36" fillId="11" borderId="9" xfId="0" applyFont="1" applyFill="1" applyBorder="1" applyAlignment="1">
      <alignment horizontal="center"/>
    </xf>
    <xf numFmtId="0" fontId="36" fillId="11" borderId="10" xfId="0" applyFont="1" applyFill="1" applyBorder="1" applyAlignment="1">
      <alignment horizontal="center"/>
    </xf>
    <xf numFmtId="49" fontId="23" fillId="0" borderId="0" xfId="0" quotePrefix="1" applyNumberFormat="1" applyFont="1" applyAlignment="1">
      <alignment horizontal="center"/>
    </xf>
    <xf numFmtId="0" fontId="35" fillId="11" borderId="9" xfId="0" applyFont="1" applyFill="1" applyBorder="1" applyAlignment="1">
      <alignment horizontal="center"/>
    </xf>
    <xf numFmtId="0" fontId="35" fillId="11" borderId="10" xfId="0" applyFont="1" applyFill="1" applyBorder="1" applyAlignment="1">
      <alignment horizontal="center"/>
    </xf>
  </cellXfs>
  <cellStyles count="1066">
    <cellStyle name="Comma" xfId="1" builtinId="3"/>
    <cellStyle name="Comma 2" xfId="2" xr:uid="{00000000-0005-0000-0000-000001000000}"/>
    <cellStyle name="Comma 2 2" xfId="3" xr:uid="{00000000-0005-0000-0000-000002000000}"/>
    <cellStyle name="Comma 2 2 2" xfId="20" xr:uid="{50FE5F14-B3F7-4882-BDE3-063FA4377576}"/>
    <cellStyle name="Comma 2 3" xfId="19" xr:uid="{02F77802-DDDC-4053-A64A-6B96565FCE87}"/>
    <cellStyle name="Comma 3" xfId="4" xr:uid="{00000000-0005-0000-0000-000003000000}"/>
    <cellStyle name="Comma 3 2" xfId="21" xr:uid="{D9BCDB81-8FBC-4900-BE9B-A1D89A3D61BD}"/>
    <cellStyle name="Comma 4" xfId="14" xr:uid="{1ED8C234-F601-47C3-AC06-25CDFC25A8C3}"/>
    <cellStyle name="Comma 4 2" xfId="28" xr:uid="{FA58C685-C900-4E52-8DB0-65B4500C758E}"/>
    <cellStyle name="Comma 5" xfId="543" xr:uid="{7C32D8F1-43E1-4CDB-952B-BF4406B92B59}"/>
    <cellStyle name="Comma 5 2" xfId="1061" xr:uid="{E22FE6ED-3B6A-408D-99DF-D9CFD755D070}"/>
    <cellStyle name="Comma 6" xfId="546" xr:uid="{E8EB3398-DFA6-4D9F-A8BD-87A609B78C4A}"/>
    <cellStyle name="Comma 6 2" xfId="1064" xr:uid="{E5A82BCA-C6F1-4FE3-8FA7-A7A1284151A7}"/>
    <cellStyle name="Currency" xfId="5" builtinId="4"/>
    <cellStyle name="Currency 2" xfId="6" xr:uid="{00000000-0005-0000-0000-000005000000}"/>
    <cellStyle name="Currency 2 2" xfId="7" xr:uid="{00000000-0005-0000-0000-000006000000}"/>
    <cellStyle name="Currency 2 2 2" xfId="23" xr:uid="{1B48B153-A999-425E-B933-890244CA0E5C}"/>
    <cellStyle name="Currency 2 3" xfId="22" xr:uid="{FBE4ACD9-18E4-45C9-94C2-5EF0A2227E2F}"/>
    <cellStyle name="Currency 3" xfId="8" xr:uid="{00000000-0005-0000-0000-000007000000}"/>
    <cellStyle name="Currency 3 2" xfId="24" xr:uid="{4DE4EBB5-5AED-4807-8852-877EE05ED547}"/>
    <cellStyle name="Currency 4" xfId="15" xr:uid="{569082E5-4D43-4F20-AA08-618C20A0C654}"/>
    <cellStyle name="Currency 4 2" xfId="29" xr:uid="{93C43FA1-C624-43B0-B87F-E80ACB223857}"/>
    <cellStyle name="Normal" xfId="0" builtinId="0"/>
    <cellStyle name="Normal 2" xfId="9" xr:uid="{00000000-0005-0000-0000-000009000000}"/>
    <cellStyle name="Normal 3" xfId="17" xr:uid="{CA6833F2-7CCE-4BB8-AE38-ADA0AAC4734A}"/>
    <cellStyle name="Normal 3 10" xfId="286" xr:uid="{FD502CCA-3DAE-4536-805D-7BB08F7D62B2}"/>
    <cellStyle name="Normal 3 10 2" xfId="804" xr:uid="{54DED278-1EB2-4A7B-8289-1FBE6C84E5CF}"/>
    <cellStyle name="Normal 3 11" xfId="548" xr:uid="{23C176E6-2793-48F9-BCA6-2E57E31F681C}"/>
    <cellStyle name="Normal 3 2" xfId="31" xr:uid="{9144AC36-2919-4374-B45D-9227E345AEC4}"/>
    <cellStyle name="Normal 3 2 10" xfId="549" xr:uid="{68B1246E-5A1E-4E70-9178-CA5C427656B4}"/>
    <cellStyle name="Normal 3 2 2" xfId="33" xr:uid="{EF679C5D-A90A-4E91-BA07-AC152150634F}"/>
    <cellStyle name="Normal 3 2 2 2" xfId="37" xr:uid="{5682CEA3-EDB4-47AD-9D13-1E24BF733262}"/>
    <cellStyle name="Normal 3 2 2 2 2" xfId="45" xr:uid="{E8D62535-C0EE-46DB-BC0E-751E89AA8194}"/>
    <cellStyle name="Normal 3 2 2 2 2 2" xfId="61" xr:uid="{981DD0F9-F379-4EC5-BF52-D4F587138C56}"/>
    <cellStyle name="Normal 3 2 2 2 2 2 2" xfId="93" xr:uid="{8EBF77B1-994E-42F9-A3E6-26B39C31DB19}"/>
    <cellStyle name="Normal 3 2 2 2 2 2 2 2" xfId="157" xr:uid="{434FF65A-45FD-418D-99B5-292833433435}"/>
    <cellStyle name="Normal 3 2 2 2 2 2 2 2 2" xfId="285" xr:uid="{17B00D19-CD0A-4B39-BC05-46E0809AD379}"/>
    <cellStyle name="Normal 3 2 2 2 2 2 2 2 2 2" xfId="541" xr:uid="{A0946FDD-6FD8-45A5-8739-D522A4F76229}"/>
    <cellStyle name="Normal 3 2 2 2 2 2 2 2 2 2 2" xfId="1059" xr:uid="{A6C59A41-02D5-4280-B099-E3B8A4D13519}"/>
    <cellStyle name="Normal 3 2 2 2 2 2 2 2 2 3" xfId="803" xr:uid="{67E0CB91-52CD-4D32-A3D6-B8664E8F31F0}"/>
    <cellStyle name="Normal 3 2 2 2 2 2 2 2 3" xfId="413" xr:uid="{BC1F0BC6-1EDA-4A16-BF3F-98437BE60730}"/>
    <cellStyle name="Normal 3 2 2 2 2 2 2 2 3 2" xfId="931" xr:uid="{933DF33F-609A-4676-B2B7-025FAD868A72}"/>
    <cellStyle name="Normal 3 2 2 2 2 2 2 2 4" xfId="675" xr:uid="{E65AEE50-6F50-4958-ACAD-41F1A912523D}"/>
    <cellStyle name="Normal 3 2 2 2 2 2 2 3" xfId="221" xr:uid="{110076D6-D116-4C03-BA91-4B543859171A}"/>
    <cellStyle name="Normal 3 2 2 2 2 2 2 3 2" xfId="477" xr:uid="{1F6282B2-5F34-4A1D-B120-76ECDB122238}"/>
    <cellStyle name="Normal 3 2 2 2 2 2 2 3 2 2" xfId="995" xr:uid="{3FFC56BF-ADE9-493E-A88E-3DAF24DB711D}"/>
    <cellStyle name="Normal 3 2 2 2 2 2 2 3 3" xfId="739" xr:uid="{64E33B25-8177-4B29-91C5-94D8BD67BE8E}"/>
    <cellStyle name="Normal 3 2 2 2 2 2 2 4" xfId="349" xr:uid="{53627A29-E09E-44BD-9CB7-9B38261421EE}"/>
    <cellStyle name="Normal 3 2 2 2 2 2 2 4 2" xfId="867" xr:uid="{4705D1E9-751E-49D2-BC47-842DA9F08234}"/>
    <cellStyle name="Normal 3 2 2 2 2 2 2 5" xfId="611" xr:uid="{FFD52EF3-C014-4501-AE0E-5FBE3BAF0899}"/>
    <cellStyle name="Normal 3 2 2 2 2 2 3" xfId="125" xr:uid="{1EDC5C19-C2B6-48FF-A253-3586DE68AD66}"/>
    <cellStyle name="Normal 3 2 2 2 2 2 3 2" xfId="253" xr:uid="{1D440C25-9379-4A1D-B6B2-F9BA95E17D6E}"/>
    <cellStyle name="Normal 3 2 2 2 2 2 3 2 2" xfId="509" xr:uid="{AA10E3E3-187C-438F-AA37-412BE5A01745}"/>
    <cellStyle name="Normal 3 2 2 2 2 2 3 2 2 2" xfId="1027" xr:uid="{1231754B-12D7-4CB7-8D4B-E3530230FE74}"/>
    <cellStyle name="Normal 3 2 2 2 2 2 3 2 3" xfId="771" xr:uid="{6C20AEAF-2027-4758-A6A7-6717C9449295}"/>
    <cellStyle name="Normal 3 2 2 2 2 2 3 3" xfId="381" xr:uid="{6F9AD896-CD31-418E-9B2B-8A0B6184660E}"/>
    <cellStyle name="Normal 3 2 2 2 2 2 3 3 2" xfId="899" xr:uid="{D7F28643-47B6-45B9-8F9E-3C6A64E8F6C6}"/>
    <cellStyle name="Normal 3 2 2 2 2 2 3 4" xfId="643" xr:uid="{5182DB24-D9C4-4B3C-8CCE-9725C247BF76}"/>
    <cellStyle name="Normal 3 2 2 2 2 2 4" xfId="189" xr:uid="{6E9E873B-D962-4D80-8B23-003EBF3EA1FA}"/>
    <cellStyle name="Normal 3 2 2 2 2 2 4 2" xfId="445" xr:uid="{5A69B78B-7BCF-4CC7-A297-968499D43582}"/>
    <cellStyle name="Normal 3 2 2 2 2 2 4 2 2" xfId="963" xr:uid="{F72C9E50-B789-467C-9D53-1F6702A03CB7}"/>
    <cellStyle name="Normal 3 2 2 2 2 2 4 3" xfId="707" xr:uid="{3BA06E21-D8D1-409D-B21F-20101ADA68DC}"/>
    <cellStyle name="Normal 3 2 2 2 2 2 5" xfId="317" xr:uid="{35B8D761-CA0D-4727-8BDD-271F4D7C925D}"/>
    <cellStyle name="Normal 3 2 2 2 2 2 5 2" xfId="835" xr:uid="{2AB3D30F-D820-42E4-8C68-50A9CCAE62D1}"/>
    <cellStyle name="Normal 3 2 2 2 2 2 6" xfId="579" xr:uid="{0856D661-CA2D-444E-8C6C-67DE8C7E00B8}"/>
    <cellStyle name="Normal 3 2 2 2 2 3" xfId="77" xr:uid="{64820F49-46C4-49B7-9C9F-8DE211D320D0}"/>
    <cellStyle name="Normal 3 2 2 2 2 3 2" xfId="141" xr:uid="{89EDAAFC-DBCB-4478-818C-81D7177236E3}"/>
    <cellStyle name="Normal 3 2 2 2 2 3 2 2" xfId="269" xr:uid="{19836885-7AC5-4264-9D51-DEF3CA3605B0}"/>
    <cellStyle name="Normal 3 2 2 2 2 3 2 2 2" xfId="525" xr:uid="{04A65796-D5DF-41C0-8589-7C7D29DF7F08}"/>
    <cellStyle name="Normal 3 2 2 2 2 3 2 2 2 2" xfId="1043" xr:uid="{D64C6872-514A-4883-8D9C-E0ED55291D4E}"/>
    <cellStyle name="Normal 3 2 2 2 2 3 2 2 3" xfId="787" xr:uid="{95423173-48C7-410D-92D2-3E326AB32037}"/>
    <cellStyle name="Normal 3 2 2 2 2 3 2 3" xfId="397" xr:uid="{FA3EED51-C89E-4863-A97B-2D18DA17A532}"/>
    <cellStyle name="Normal 3 2 2 2 2 3 2 3 2" xfId="915" xr:uid="{FA1A1B5F-A8EA-42C2-9D13-172F7708B160}"/>
    <cellStyle name="Normal 3 2 2 2 2 3 2 4" xfId="659" xr:uid="{AB72AFAF-8788-4B9D-905F-41972FBC8055}"/>
    <cellStyle name="Normal 3 2 2 2 2 3 3" xfId="205" xr:uid="{B102F316-5CAF-4A8D-BEDE-913CBD710F84}"/>
    <cellStyle name="Normal 3 2 2 2 2 3 3 2" xfId="461" xr:uid="{E72C7A50-071E-4A92-831C-9FE98B7CF6BF}"/>
    <cellStyle name="Normal 3 2 2 2 2 3 3 2 2" xfId="979" xr:uid="{C44E42AD-1D88-4FD6-BBF1-4CDDAAFDF237}"/>
    <cellStyle name="Normal 3 2 2 2 2 3 3 3" xfId="723" xr:uid="{C2B3B94E-CFA5-4046-8E09-84E40AF704D7}"/>
    <cellStyle name="Normal 3 2 2 2 2 3 4" xfId="333" xr:uid="{43D25F04-C9A0-4762-B0F5-C3782A32F802}"/>
    <cellStyle name="Normal 3 2 2 2 2 3 4 2" xfId="851" xr:uid="{1FE60DBD-4E29-488A-98A9-34565F852A20}"/>
    <cellStyle name="Normal 3 2 2 2 2 3 5" xfId="595" xr:uid="{651C24F3-EED3-465E-8AEE-0BD1361CF6F8}"/>
    <cellStyle name="Normal 3 2 2 2 2 4" xfId="109" xr:uid="{67E48600-627A-4847-94B9-E0F1AEFC2558}"/>
    <cellStyle name="Normal 3 2 2 2 2 4 2" xfId="237" xr:uid="{734AF01C-7004-4C43-B450-93B80DB1D895}"/>
    <cellStyle name="Normal 3 2 2 2 2 4 2 2" xfId="493" xr:uid="{A9C603D9-0DAA-47EB-985F-FCCFED15B1BF}"/>
    <cellStyle name="Normal 3 2 2 2 2 4 2 2 2" xfId="1011" xr:uid="{52350B7C-08E2-4421-8A04-4821B619135F}"/>
    <cellStyle name="Normal 3 2 2 2 2 4 2 3" xfId="755" xr:uid="{2D89D975-E706-4060-8810-AB0144EAB0F9}"/>
    <cellStyle name="Normal 3 2 2 2 2 4 3" xfId="365" xr:uid="{226C7781-1AA8-419B-8D34-C227294E619F}"/>
    <cellStyle name="Normal 3 2 2 2 2 4 3 2" xfId="883" xr:uid="{C57042A1-322F-41E6-95EB-3E432BA22DD9}"/>
    <cellStyle name="Normal 3 2 2 2 2 4 4" xfId="627" xr:uid="{4D34FDEC-439E-4710-B6B2-1773F3BD184F}"/>
    <cellStyle name="Normal 3 2 2 2 2 5" xfId="173" xr:uid="{C8122F9F-A2E5-4AB5-AD41-00D3B7C5DCE8}"/>
    <cellStyle name="Normal 3 2 2 2 2 5 2" xfId="429" xr:uid="{219707AE-3F38-448D-A512-927CFF48C46B}"/>
    <cellStyle name="Normal 3 2 2 2 2 5 2 2" xfId="947" xr:uid="{AE71C209-3BDB-4F55-A9CC-6897CB853E1A}"/>
    <cellStyle name="Normal 3 2 2 2 2 5 3" xfId="691" xr:uid="{E18C3C40-203B-47C4-BD31-4C9BC6E96E61}"/>
    <cellStyle name="Normal 3 2 2 2 2 6" xfId="301" xr:uid="{E2EA7794-0936-4ACD-BC9D-B2042A271CD7}"/>
    <cellStyle name="Normal 3 2 2 2 2 6 2" xfId="819" xr:uid="{C25271FF-B323-4BCA-A641-5AE675A64805}"/>
    <cellStyle name="Normal 3 2 2 2 2 7" xfId="563" xr:uid="{A9B18210-0567-4CB0-BB21-93EB9BCDCFA7}"/>
    <cellStyle name="Normal 3 2 2 2 3" xfId="53" xr:uid="{C022C396-5A87-45C1-B6F1-F1E2A6452198}"/>
    <cellStyle name="Normal 3 2 2 2 3 2" xfId="85" xr:uid="{B14AB53C-4872-4B68-94CD-C49C678BFCF2}"/>
    <cellStyle name="Normal 3 2 2 2 3 2 2" xfId="149" xr:uid="{C39AA4AA-306D-4460-8ACC-D95AB1374353}"/>
    <cellStyle name="Normal 3 2 2 2 3 2 2 2" xfId="277" xr:uid="{8F3DBAB1-F2D9-4827-B687-A1DBCADF5B12}"/>
    <cellStyle name="Normal 3 2 2 2 3 2 2 2 2" xfId="533" xr:uid="{4C2D9752-2D35-443E-B811-2A0F47632178}"/>
    <cellStyle name="Normal 3 2 2 2 3 2 2 2 2 2" xfId="1051" xr:uid="{2EB2524E-E293-4037-B5FB-0B57D89ED1C4}"/>
    <cellStyle name="Normal 3 2 2 2 3 2 2 2 3" xfId="795" xr:uid="{29A28372-9D48-4150-A337-DDD005A88BB0}"/>
    <cellStyle name="Normal 3 2 2 2 3 2 2 3" xfId="405" xr:uid="{01EAC53E-76E7-4331-AC82-ACF11DF7C517}"/>
    <cellStyle name="Normal 3 2 2 2 3 2 2 3 2" xfId="923" xr:uid="{52EB5149-DEEA-45C6-8E6D-90DC9C716FE3}"/>
    <cellStyle name="Normal 3 2 2 2 3 2 2 4" xfId="667" xr:uid="{650E4159-04B3-4884-994E-997E30F35B57}"/>
    <cellStyle name="Normal 3 2 2 2 3 2 3" xfId="213" xr:uid="{D85AA37B-9B0C-4057-85D4-D1EA60EC38C7}"/>
    <cellStyle name="Normal 3 2 2 2 3 2 3 2" xfId="469" xr:uid="{D98D9092-F9AE-4E7E-A581-AD4296C40843}"/>
    <cellStyle name="Normal 3 2 2 2 3 2 3 2 2" xfId="987" xr:uid="{0E7BA90C-A2A9-48AE-9400-1C88D72D9BAA}"/>
    <cellStyle name="Normal 3 2 2 2 3 2 3 3" xfId="731" xr:uid="{62F36302-873D-4513-8EAD-004105983C04}"/>
    <cellStyle name="Normal 3 2 2 2 3 2 4" xfId="341" xr:uid="{AE8960E3-3A4E-407D-9A7F-ED95E2775BA7}"/>
    <cellStyle name="Normal 3 2 2 2 3 2 4 2" xfId="859" xr:uid="{AEB3DDD1-7817-4047-AA84-A2DC44BB7C3F}"/>
    <cellStyle name="Normal 3 2 2 2 3 2 5" xfId="603" xr:uid="{D847EE0F-1C69-449E-BA67-FD02A7D9DC21}"/>
    <cellStyle name="Normal 3 2 2 2 3 3" xfId="117" xr:uid="{CB0C567A-5024-4089-9E52-A68F4BE9A90A}"/>
    <cellStyle name="Normal 3 2 2 2 3 3 2" xfId="245" xr:uid="{5F81F240-0DD2-4F1C-A9AC-B65C6E1E381A}"/>
    <cellStyle name="Normal 3 2 2 2 3 3 2 2" xfId="501" xr:uid="{BDE865B9-CF47-40CE-ADCB-759ED7A3A7F4}"/>
    <cellStyle name="Normal 3 2 2 2 3 3 2 2 2" xfId="1019" xr:uid="{428C3259-FEAE-4745-B5F1-335A9AF65AAB}"/>
    <cellStyle name="Normal 3 2 2 2 3 3 2 3" xfId="763" xr:uid="{F18B9AA1-D8BE-47E5-9ECC-C19287D822C7}"/>
    <cellStyle name="Normal 3 2 2 2 3 3 3" xfId="373" xr:uid="{32A415E2-B01D-41D0-9EF2-1080986B1196}"/>
    <cellStyle name="Normal 3 2 2 2 3 3 3 2" xfId="891" xr:uid="{9B0A78F1-4DF2-4221-853F-EB9863D09ACE}"/>
    <cellStyle name="Normal 3 2 2 2 3 3 4" xfId="635" xr:uid="{6271E2E9-0F8A-41C3-AAD2-0347D4407BA0}"/>
    <cellStyle name="Normal 3 2 2 2 3 4" xfId="181" xr:uid="{871D8BDA-1E2C-4C66-8842-ADC3D128093E}"/>
    <cellStyle name="Normal 3 2 2 2 3 4 2" xfId="437" xr:uid="{400EEE38-68D6-4AB0-8EE6-39EC788193ED}"/>
    <cellStyle name="Normal 3 2 2 2 3 4 2 2" xfId="955" xr:uid="{80746ABC-8E4B-43B3-AFD0-0025C34E7C99}"/>
    <cellStyle name="Normal 3 2 2 2 3 4 3" xfId="699" xr:uid="{AB989CC0-CA65-4E34-9559-8D5C9DD928DD}"/>
    <cellStyle name="Normal 3 2 2 2 3 5" xfId="309" xr:uid="{9E37B270-E662-4192-AEE6-9C7FE7EBCB51}"/>
    <cellStyle name="Normal 3 2 2 2 3 5 2" xfId="827" xr:uid="{3093404C-EB73-4ECD-A50D-F4D9F92665C5}"/>
    <cellStyle name="Normal 3 2 2 2 3 6" xfId="571" xr:uid="{52606141-4F13-4E32-9368-82BDB01B28C7}"/>
    <cellStyle name="Normal 3 2 2 2 4" xfId="69" xr:uid="{D9FEECAE-9E8C-4B2F-9DE6-380879C71C33}"/>
    <cellStyle name="Normal 3 2 2 2 4 2" xfId="133" xr:uid="{9237E2ED-0C6F-44B1-9C53-18796FDFF87C}"/>
    <cellStyle name="Normal 3 2 2 2 4 2 2" xfId="261" xr:uid="{45C3483D-8590-4D97-BE2D-F79A3E363CEF}"/>
    <cellStyle name="Normal 3 2 2 2 4 2 2 2" xfId="517" xr:uid="{6659586D-20EA-49AF-B547-AF091031FC52}"/>
    <cellStyle name="Normal 3 2 2 2 4 2 2 2 2" xfId="1035" xr:uid="{05775E4A-559A-491D-9E00-7E71D2C757F4}"/>
    <cellStyle name="Normal 3 2 2 2 4 2 2 3" xfId="779" xr:uid="{3CC0B918-732E-4000-826A-B651C2FF62E3}"/>
    <cellStyle name="Normal 3 2 2 2 4 2 3" xfId="389" xr:uid="{48F7507A-F6FE-4FB4-9440-E64C516A7CD2}"/>
    <cellStyle name="Normal 3 2 2 2 4 2 3 2" xfId="907" xr:uid="{3FB2B069-4ABF-4B8B-8DE9-52031A6A85C1}"/>
    <cellStyle name="Normal 3 2 2 2 4 2 4" xfId="651" xr:uid="{DB943EBD-ECB8-48B4-BAE0-54F3DAB679B2}"/>
    <cellStyle name="Normal 3 2 2 2 4 3" xfId="197" xr:uid="{735C74D2-DA46-4060-AEBA-DD941E18F9FE}"/>
    <cellStyle name="Normal 3 2 2 2 4 3 2" xfId="453" xr:uid="{AD9AE119-96FC-4DA1-8943-2BACBAEB5C7A}"/>
    <cellStyle name="Normal 3 2 2 2 4 3 2 2" xfId="971" xr:uid="{0405D003-AC95-4914-B42A-963804FEE0B9}"/>
    <cellStyle name="Normal 3 2 2 2 4 3 3" xfId="715" xr:uid="{F3AF07A2-F218-496D-943E-35DD82437254}"/>
    <cellStyle name="Normal 3 2 2 2 4 4" xfId="325" xr:uid="{DD167128-7290-4B4A-B5CE-55A005200E36}"/>
    <cellStyle name="Normal 3 2 2 2 4 4 2" xfId="843" xr:uid="{14331F3B-83F5-4FBB-BA2B-91695E95291E}"/>
    <cellStyle name="Normal 3 2 2 2 4 5" xfId="587" xr:uid="{46B9FFA6-AFC0-45F5-813A-B61A4E5196A7}"/>
    <cellStyle name="Normal 3 2 2 2 5" xfId="101" xr:uid="{1BC7DB40-113A-403C-B5DD-3676B4591639}"/>
    <cellStyle name="Normal 3 2 2 2 5 2" xfId="229" xr:uid="{2D777FD0-A140-4BB5-B5B8-5DC96224098B}"/>
    <cellStyle name="Normal 3 2 2 2 5 2 2" xfId="485" xr:uid="{BD9A3F77-C47C-4E3F-8B86-93305EDCB717}"/>
    <cellStyle name="Normal 3 2 2 2 5 2 2 2" xfId="1003" xr:uid="{D402B765-CE47-40C5-827F-5E51103890A5}"/>
    <cellStyle name="Normal 3 2 2 2 5 2 3" xfId="747" xr:uid="{ED43DD18-B664-40A4-BC89-F43FA7A88D99}"/>
    <cellStyle name="Normal 3 2 2 2 5 3" xfId="357" xr:uid="{90AB9486-2FC6-4E1A-BFFA-B9D67E0BA012}"/>
    <cellStyle name="Normal 3 2 2 2 5 3 2" xfId="875" xr:uid="{19A7556A-8E24-4518-BF42-C79C4CFEFAD6}"/>
    <cellStyle name="Normal 3 2 2 2 5 4" xfId="619" xr:uid="{BFE75AB3-EC5A-47E0-8232-3D42D9FBA00F}"/>
    <cellStyle name="Normal 3 2 2 2 6" xfId="165" xr:uid="{62218C57-1E71-420A-A9F3-098EC781CF3E}"/>
    <cellStyle name="Normal 3 2 2 2 6 2" xfId="421" xr:uid="{3A329552-20D6-4EB1-9B90-402828305BA2}"/>
    <cellStyle name="Normal 3 2 2 2 6 2 2" xfId="939" xr:uid="{44595066-7C0C-492F-B180-027BA0522617}"/>
    <cellStyle name="Normal 3 2 2 2 6 3" xfId="683" xr:uid="{04DE89B2-B283-49DA-ACA3-8DAB4B299B21}"/>
    <cellStyle name="Normal 3 2 2 2 7" xfId="293" xr:uid="{85EBB0B9-B5BD-4003-B3E8-E1006A60075A}"/>
    <cellStyle name="Normal 3 2 2 2 7 2" xfId="811" xr:uid="{8F0689F5-17F0-42C0-9F4E-465803232141}"/>
    <cellStyle name="Normal 3 2 2 2 8" xfId="555" xr:uid="{F952F56A-F337-40BE-94BA-88F824E72FF5}"/>
    <cellStyle name="Normal 3 2 2 3" xfId="41" xr:uid="{9EE06B94-5F54-406A-B875-BEA596BC5BF9}"/>
    <cellStyle name="Normal 3 2 2 3 2" xfId="57" xr:uid="{14A9C71B-0943-49B9-A10B-27A54724C94B}"/>
    <cellStyle name="Normal 3 2 2 3 2 2" xfId="89" xr:uid="{399EFDE3-A72D-42E1-B5FA-CDD7D38928AD}"/>
    <cellStyle name="Normal 3 2 2 3 2 2 2" xfId="153" xr:uid="{D90B9668-E2CD-4854-94C9-DEEF12CB43EA}"/>
    <cellStyle name="Normal 3 2 2 3 2 2 2 2" xfId="281" xr:uid="{D671C1C6-F2F0-49A3-8E8B-C53B7EB7B294}"/>
    <cellStyle name="Normal 3 2 2 3 2 2 2 2 2" xfId="537" xr:uid="{C55203C8-87AA-4B66-8495-BDF1E5A104EA}"/>
    <cellStyle name="Normal 3 2 2 3 2 2 2 2 2 2" xfId="1055" xr:uid="{7A97F4DF-3C54-48EC-BAEE-706DB60E54CD}"/>
    <cellStyle name="Normal 3 2 2 3 2 2 2 2 3" xfId="799" xr:uid="{2C41B38A-DCCF-4D4F-8736-72043CEF31AE}"/>
    <cellStyle name="Normal 3 2 2 3 2 2 2 3" xfId="409" xr:uid="{B4DC51C7-8044-4AA4-A099-0CD1A27A3167}"/>
    <cellStyle name="Normal 3 2 2 3 2 2 2 3 2" xfId="927" xr:uid="{309D2E14-CE0C-4460-96A9-37D69C9F3DB7}"/>
    <cellStyle name="Normal 3 2 2 3 2 2 2 4" xfId="671" xr:uid="{BE6B0EF7-268F-4BC6-B846-7C2F30F3C6A3}"/>
    <cellStyle name="Normal 3 2 2 3 2 2 3" xfId="217" xr:uid="{FAD56F16-27C3-4508-B7F9-9D7034EA681A}"/>
    <cellStyle name="Normal 3 2 2 3 2 2 3 2" xfId="473" xr:uid="{55E7C62E-7C4E-4F47-BAE3-A3CED6E86288}"/>
    <cellStyle name="Normal 3 2 2 3 2 2 3 2 2" xfId="991" xr:uid="{CA7A4651-F324-4F51-9E0C-A1BC163566EE}"/>
    <cellStyle name="Normal 3 2 2 3 2 2 3 3" xfId="735" xr:uid="{1CAD2870-A133-4635-AC2C-F6C9001451F6}"/>
    <cellStyle name="Normal 3 2 2 3 2 2 4" xfId="345" xr:uid="{020E1D40-30EF-4D7D-9E86-F7424A4153A5}"/>
    <cellStyle name="Normal 3 2 2 3 2 2 4 2" xfId="863" xr:uid="{2A4CAEC0-A8DE-4FFC-83A8-26BA6E961D36}"/>
    <cellStyle name="Normal 3 2 2 3 2 2 5" xfId="607" xr:uid="{4C3A3897-FC85-4C9D-BB9B-9721F4EF6FE0}"/>
    <cellStyle name="Normal 3 2 2 3 2 3" xfId="121" xr:uid="{C467A5D8-F14F-4E18-AD6B-F9305474C8A3}"/>
    <cellStyle name="Normal 3 2 2 3 2 3 2" xfId="249" xr:uid="{76F27320-23D6-48F6-9093-C4BE065379E9}"/>
    <cellStyle name="Normal 3 2 2 3 2 3 2 2" xfId="505" xr:uid="{F6A3E17A-C260-4C39-8EFF-E49DBAB6F084}"/>
    <cellStyle name="Normal 3 2 2 3 2 3 2 2 2" xfId="1023" xr:uid="{C7CB9921-8C89-4F05-AF30-4CC9C72FC26A}"/>
    <cellStyle name="Normal 3 2 2 3 2 3 2 3" xfId="767" xr:uid="{D900FAFA-E4E8-4686-B72D-6C904A064C5C}"/>
    <cellStyle name="Normal 3 2 2 3 2 3 3" xfId="377" xr:uid="{97636268-7039-40E9-89B1-70DC7762AA29}"/>
    <cellStyle name="Normal 3 2 2 3 2 3 3 2" xfId="895" xr:uid="{7E98ADB0-D2F9-4C4E-A0C8-DE74B0E8DD0F}"/>
    <cellStyle name="Normal 3 2 2 3 2 3 4" xfId="639" xr:uid="{E9F8BD84-8892-4B0C-AB6F-D8EB2D9CC881}"/>
    <cellStyle name="Normal 3 2 2 3 2 4" xfId="185" xr:uid="{B74CA33C-FAB4-4811-BDEB-8F74CA776E65}"/>
    <cellStyle name="Normal 3 2 2 3 2 4 2" xfId="441" xr:uid="{C29197A2-90FD-4CE2-B8FE-DCB53934F5F4}"/>
    <cellStyle name="Normal 3 2 2 3 2 4 2 2" xfId="959" xr:uid="{EF997BF8-A9F5-40EF-AB5C-66EFFA7E9949}"/>
    <cellStyle name="Normal 3 2 2 3 2 4 3" xfId="703" xr:uid="{3D0400A7-113F-431A-BFDB-212507AA9DCF}"/>
    <cellStyle name="Normal 3 2 2 3 2 5" xfId="313" xr:uid="{E40EDF90-03F4-4A7F-9092-B031B2EEB052}"/>
    <cellStyle name="Normal 3 2 2 3 2 5 2" xfId="831" xr:uid="{D82D108D-F3A9-4FF4-8E1B-E27EB3632601}"/>
    <cellStyle name="Normal 3 2 2 3 2 6" xfId="575" xr:uid="{99096F63-CA0D-4093-82F4-C210A3772824}"/>
    <cellStyle name="Normal 3 2 2 3 3" xfId="73" xr:uid="{D96A4C27-385A-4F01-8060-CE907E2ADB9F}"/>
    <cellStyle name="Normal 3 2 2 3 3 2" xfId="137" xr:uid="{0A658F56-888E-41DE-AEA0-909919956CBE}"/>
    <cellStyle name="Normal 3 2 2 3 3 2 2" xfId="265" xr:uid="{8F7E3AD4-9D69-4CFD-B732-B628661FA6EC}"/>
    <cellStyle name="Normal 3 2 2 3 3 2 2 2" xfId="521" xr:uid="{0940B8A5-3872-499B-86C4-F07F93CC5D56}"/>
    <cellStyle name="Normal 3 2 2 3 3 2 2 2 2" xfId="1039" xr:uid="{11232494-E3B3-4FE3-A07A-88C428117817}"/>
    <cellStyle name="Normal 3 2 2 3 3 2 2 3" xfId="783" xr:uid="{89A0ED55-9BEA-4E05-87FD-3AB35396B1C9}"/>
    <cellStyle name="Normal 3 2 2 3 3 2 3" xfId="393" xr:uid="{C87516BB-1962-4811-B04B-65C739911F44}"/>
    <cellStyle name="Normal 3 2 2 3 3 2 3 2" xfId="911" xr:uid="{10263FD3-3C6C-45E2-B170-89715F1FD540}"/>
    <cellStyle name="Normal 3 2 2 3 3 2 4" xfId="655" xr:uid="{DDF0DC93-1C48-41FC-A5EC-5FE71D8762EB}"/>
    <cellStyle name="Normal 3 2 2 3 3 3" xfId="201" xr:uid="{2B1AA70D-D172-4BDE-918A-10E456992ABF}"/>
    <cellStyle name="Normal 3 2 2 3 3 3 2" xfId="457" xr:uid="{37143D98-9869-4BF2-80CD-0FBF87F9C940}"/>
    <cellStyle name="Normal 3 2 2 3 3 3 2 2" xfId="975" xr:uid="{34E0B3E4-F4D6-4FE9-A340-45668D513D74}"/>
    <cellStyle name="Normal 3 2 2 3 3 3 3" xfId="719" xr:uid="{CB19ABB7-E4AC-458A-AB08-5F145FD8BFF2}"/>
    <cellStyle name="Normal 3 2 2 3 3 4" xfId="329" xr:uid="{1BCE79BA-E369-4E9E-911F-A8D986B1ABF3}"/>
    <cellStyle name="Normal 3 2 2 3 3 4 2" xfId="847" xr:uid="{E796AF25-3BF7-495C-AB9D-9FE8280F3AC9}"/>
    <cellStyle name="Normal 3 2 2 3 3 5" xfId="591" xr:uid="{18B1EA39-9C3C-4BFF-AF44-4D5C5A618B44}"/>
    <cellStyle name="Normal 3 2 2 3 4" xfId="105" xr:uid="{8784212F-EF6F-47CF-9B5F-102846A2B480}"/>
    <cellStyle name="Normal 3 2 2 3 4 2" xfId="233" xr:uid="{21527BC1-D812-4496-94FA-11C40BAD36AB}"/>
    <cellStyle name="Normal 3 2 2 3 4 2 2" xfId="489" xr:uid="{FD89B407-AA2F-4233-87C1-C8F787B8B191}"/>
    <cellStyle name="Normal 3 2 2 3 4 2 2 2" xfId="1007" xr:uid="{CF2FA353-D5B0-4F6E-A776-E996A64A41B5}"/>
    <cellStyle name="Normal 3 2 2 3 4 2 3" xfId="751" xr:uid="{51752984-0FF4-4632-A993-C58A3863B484}"/>
    <cellStyle name="Normal 3 2 2 3 4 3" xfId="361" xr:uid="{DE2B680F-8EA9-4E2F-9E13-22AEF69EEFE6}"/>
    <cellStyle name="Normal 3 2 2 3 4 3 2" xfId="879" xr:uid="{E803DFF1-D531-42B3-8B0D-05AAE0327DB0}"/>
    <cellStyle name="Normal 3 2 2 3 4 4" xfId="623" xr:uid="{78177A96-2227-416C-B765-7F9977D232BB}"/>
    <cellStyle name="Normal 3 2 2 3 5" xfId="169" xr:uid="{D1526555-0AC9-48D0-8435-4E345FA14464}"/>
    <cellStyle name="Normal 3 2 2 3 5 2" xfId="425" xr:uid="{D49593A9-4611-4769-AF41-B4D83CE442B8}"/>
    <cellStyle name="Normal 3 2 2 3 5 2 2" xfId="943" xr:uid="{CCEEDF00-FA76-4523-AF38-CDA00A27CD95}"/>
    <cellStyle name="Normal 3 2 2 3 5 3" xfId="687" xr:uid="{B7902F03-BC3A-45FD-89CC-7330D414DE2B}"/>
    <cellStyle name="Normal 3 2 2 3 6" xfId="297" xr:uid="{53398B72-A4DE-44CA-BEF5-1B6CECC22E1B}"/>
    <cellStyle name="Normal 3 2 2 3 6 2" xfId="815" xr:uid="{3E0D3599-73CE-48FA-92F9-9E2EF0A2B457}"/>
    <cellStyle name="Normal 3 2 2 3 7" xfId="559" xr:uid="{CDB52271-81D7-402C-838C-112AD1DBDBF7}"/>
    <cellStyle name="Normal 3 2 2 4" xfId="49" xr:uid="{43C4D93C-46F0-416D-88AA-9F796322B211}"/>
    <cellStyle name="Normal 3 2 2 4 2" xfId="81" xr:uid="{6B5DEAE8-6FB1-4D95-B044-EC44AC841A40}"/>
    <cellStyle name="Normal 3 2 2 4 2 2" xfId="145" xr:uid="{6A372A04-48E3-47AB-84CC-786238AD5BBC}"/>
    <cellStyle name="Normal 3 2 2 4 2 2 2" xfId="273" xr:uid="{1EB7AAED-5351-45F9-86AE-E82B6149C8A1}"/>
    <cellStyle name="Normal 3 2 2 4 2 2 2 2" xfId="529" xr:uid="{A39F86F3-A038-4103-B1BE-3672BB56F9B0}"/>
    <cellStyle name="Normal 3 2 2 4 2 2 2 2 2" xfId="1047" xr:uid="{20BBFBAC-2CB2-425F-8162-3B1FA325E9A5}"/>
    <cellStyle name="Normal 3 2 2 4 2 2 2 3" xfId="791" xr:uid="{49BC21B5-498C-4127-99DC-4D6EDA8BACE2}"/>
    <cellStyle name="Normal 3 2 2 4 2 2 3" xfId="401" xr:uid="{792A54F4-547A-4EE1-8BBC-277BC2171E76}"/>
    <cellStyle name="Normal 3 2 2 4 2 2 3 2" xfId="919" xr:uid="{39658785-94AA-4D2E-AC7B-39D86AD1BD07}"/>
    <cellStyle name="Normal 3 2 2 4 2 2 4" xfId="663" xr:uid="{8A9BBA5C-6AC4-47AB-860A-FC8ED7014158}"/>
    <cellStyle name="Normal 3 2 2 4 2 3" xfId="209" xr:uid="{97BE2DBC-3E96-44B0-9FE8-345680B10E37}"/>
    <cellStyle name="Normal 3 2 2 4 2 3 2" xfId="465" xr:uid="{3114A919-0BD8-4ABC-A66E-A1207860FCAC}"/>
    <cellStyle name="Normal 3 2 2 4 2 3 2 2" xfId="983" xr:uid="{1A942F73-AC60-4234-BC67-2B2996AF923A}"/>
    <cellStyle name="Normal 3 2 2 4 2 3 3" xfId="727" xr:uid="{9495ACAA-3CA0-4F6C-84FF-782BC629D1C8}"/>
    <cellStyle name="Normal 3 2 2 4 2 4" xfId="337" xr:uid="{7ACA1EED-B768-44CD-9429-F21A71217C9C}"/>
    <cellStyle name="Normal 3 2 2 4 2 4 2" xfId="855" xr:uid="{48A99F4E-66DA-403D-9108-9A6C3435D744}"/>
    <cellStyle name="Normal 3 2 2 4 2 5" xfId="599" xr:uid="{99B3D4AA-469F-445B-B44E-98B84F0422A1}"/>
    <cellStyle name="Normal 3 2 2 4 3" xfId="113" xr:uid="{F7D1E587-0075-4241-8482-85D0D47DB6B0}"/>
    <cellStyle name="Normal 3 2 2 4 3 2" xfId="241" xr:uid="{2EBB2C49-F9CE-4000-96D2-F98CF57CCDA4}"/>
    <cellStyle name="Normal 3 2 2 4 3 2 2" xfId="497" xr:uid="{B4430804-D5CA-4312-B96C-EF8FC30EFC1B}"/>
    <cellStyle name="Normal 3 2 2 4 3 2 2 2" xfId="1015" xr:uid="{81A4D1A4-3BE1-4AFC-B85F-0931EC8E0A44}"/>
    <cellStyle name="Normal 3 2 2 4 3 2 3" xfId="759" xr:uid="{FC7243A2-3123-48AD-BF5A-CFEA202509A6}"/>
    <cellStyle name="Normal 3 2 2 4 3 3" xfId="369" xr:uid="{3D70AEFD-E862-4972-97AF-5F6C4FB309A1}"/>
    <cellStyle name="Normal 3 2 2 4 3 3 2" xfId="887" xr:uid="{6874E039-B963-408E-887D-9F2138BD24A0}"/>
    <cellStyle name="Normal 3 2 2 4 3 4" xfId="631" xr:uid="{15B4261A-EDC1-4E88-9A52-2279FC43B08B}"/>
    <cellStyle name="Normal 3 2 2 4 4" xfId="177" xr:uid="{85B0583E-EEB3-413E-A838-3D3E0747D4EE}"/>
    <cellStyle name="Normal 3 2 2 4 4 2" xfId="433" xr:uid="{D87B070A-BEDA-45EE-B5E8-DCFE96D30E65}"/>
    <cellStyle name="Normal 3 2 2 4 4 2 2" xfId="951" xr:uid="{C85973FB-56CD-4DB5-89FB-51AD842C794B}"/>
    <cellStyle name="Normal 3 2 2 4 4 3" xfId="695" xr:uid="{F4909F39-6EEE-4173-AFF1-B2383C0492D3}"/>
    <cellStyle name="Normal 3 2 2 4 5" xfId="305" xr:uid="{B4CDD3A1-FDEE-449C-853C-6342497C5C96}"/>
    <cellStyle name="Normal 3 2 2 4 5 2" xfId="823" xr:uid="{9D1ACC0F-8D92-44C8-98C4-1FAE3453A155}"/>
    <cellStyle name="Normal 3 2 2 4 6" xfId="567" xr:uid="{F4A21215-D931-49E4-88A2-B05730110307}"/>
    <cellStyle name="Normal 3 2 2 5" xfId="65" xr:uid="{AF5185CC-5CDA-4C72-9045-90AAE19E52B6}"/>
    <cellStyle name="Normal 3 2 2 5 2" xfId="129" xr:uid="{B0363C14-ADF9-4EF8-A138-CD5BE6B4B8B9}"/>
    <cellStyle name="Normal 3 2 2 5 2 2" xfId="257" xr:uid="{69D8079C-22E4-4A73-B258-DDFC35462DAC}"/>
    <cellStyle name="Normal 3 2 2 5 2 2 2" xfId="513" xr:uid="{5BBB84CD-2C19-4F70-9876-BE2AB4A9BBCF}"/>
    <cellStyle name="Normal 3 2 2 5 2 2 2 2" xfId="1031" xr:uid="{DDA358F1-A978-46AD-9FE9-6DE5FEE3A562}"/>
    <cellStyle name="Normal 3 2 2 5 2 2 3" xfId="775" xr:uid="{A9B5B8AE-4F01-4D7F-B7D1-407F4ED6C2EA}"/>
    <cellStyle name="Normal 3 2 2 5 2 3" xfId="385" xr:uid="{5BF475DA-031F-4511-8C2D-2A87D9998BD4}"/>
    <cellStyle name="Normal 3 2 2 5 2 3 2" xfId="903" xr:uid="{9BD59962-DFBE-42C8-9A56-1A8006CF72B0}"/>
    <cellStyle name="Normal 3 2 2 5 2 4" xfId="647" xr:uid="{C90375C2-86F8-4298-B58D-852257D0EDDB}"/>
    <cellStyle name="Normal 3 2 2 5 3" xfId="193" xr:uid="{4C280B36-B85F-46E9-A9E1-914C02866BC8}"/>
    <cellStyle name="Normal 3 2 2 5 3 2" xfId="449" xr:uid="{1E2EFFBD-7933-4CB2-A24A-7824AABD1A47}"/>
    <cellStyle name="Normal 3 2 2 5 3 2 2" xfId="967" xr:uid="{47ABD7FA-B65B-4115-AA29-A70E018747D6}"/>
    <cellStyle name="Normal 3 2 2 5 3 3" xfId="711" xr:uid="{6C08159A-B5CF-43B5-8AC7-E1A881442FAD}"/>
    <cellStyle name="Normal 3 2 2 5 4" xfId="321" xr:uid="{35210757-8BE6-4120-941F-2BD19008EBA5}"/>
    <cellStyle name="Normal 3 2 2 5 4 2" xfId="839" xr:uid="{C3054C2C-3D80-4762-A6F4-001717801E26}"/>
    <cellStyle name="Normal 3 2 2 5 5" xfId="583" xr:uid="{1475ADB3-0090-410A-B647-75B5F368C25E}"/>
    <cellStyle name="Normal 3 2 2 6" xfId="97" xr:uid="{6B37C8F3-1F76-4997-90E8-DE8F401589B8}"/>
    <cellStyle name="Normal 3 2 2 6 2" xfId="225" xr:uid="{4D671771-3198-41ED-B5AA-0FE93D59669B}"/>
    <cellStyle name="Normal 3 2 2 6 2 2" xfId="481" xr:uid="{40FE61FA-4435-4340-9E99-7748F433188D}"/>
    <cellStyle name="Normal 3 2 2 6 2 2 2" xfId="999" xr:uid="{4EA07A5C-978C-4000-85E4-B2DCDC559DEC}"/>
    <cellStyle name="Normal 3 2 2 6 2 3" xfId="743" xr:uid="{D4CCB24B-27D6-4819-999C-181D36E82CF2}"/>
    <cellStyle name="Normal 3 2 2 6 3" xfId="353" xr:uid="{26391564-F108-4FBC-8771-5C12088E0A37}"/>
    <cellStyle name="Normal 3 2 2 6 3 2" xfId="871" xr:uid="{2F9D354C-3C12-463A-8D5D-E1E0934714EF}"/>
    <cellStyle name="Normal 3 2 2 6 4" xfId="615" xr:uid="{EE9BB7C2-DA70-4CAC-B14C-669463B23DA2}"/>
    <cellStyle name="Normal 3 2 2 7" xfId="161" xr:uid="{93A6723F-780C-4221-A088-3834C289B33D}"/>
    <cellStyle name="Normal 3 2 2 7 2" xfId="417" xr:uid="{E6A304F0-4B2E-4802-BCDF-EEE33D199DF5}"/>
    <cellStyle name="Normal 3 2 2 7 2 2" xfId="935" xr:uid="{61E55964-D4A7-4172-BD4B-44FFFB1B06ED}"/>
    <cellStyle name="Normal 3 2 2 7 3" xfId="679" xr:uid="{6E38C605-0000-48BC-BCE8-3BCF79FD78EA}"/>
    <cellStyle name="Normal 3 2 2 8" xfId="289" xr:uid="{55A64B9E-71D9-40DA-ABDC-796A46950665}"/>
    <cellStyle name="Normal 3 2 2 8 2" xfId="807" xr:uid="{B49D5E82-DD83-4912-8B97-513F3256FE23}"/>
    <cellStyle name="Normal 3 2 2 9" xfId="551" xr:uid="{0591D61A-4FAE-4FB0-A30F-E7CC94167BFE}"/>
    <cellStyle name="Normal 3 2 3" xfId="35" xr:uid="{4537F5D3-3D0A-43F3-A233-BD2FDC9D20D3}"/>
    <cellStyle name="Normal 3 2 3 2" xfId="43" xr:uid="{56C4A64B-A52C-4070-923B-451E72E7E493}"/>
    <cellStyle name="Normal 3 2 3 2 2" xfId="59" xr:uid="{6ED126F9-B363-4D50-A65D-61D3340A77DE}"/>
    <cellStyle name="Normal 3 2 3 2 2 2" xfId="91" xr:uid="{113AF067-50D8-468A-9268-3DAF0C4D2B98}"/>
    <cellStyle name="Normal 3 2 3 2 2 2 2" xfId="155" xr:uid="{37AB04B8-CFF4-494B-81E6-5BDF0EA5A188}"/>
    <cellStyle name="Normal 3 2 3 2 2 2 2 2" xfId="283" xr:uid="{88BC8CD6-3055-4B64-88C9-EA48AEDAED8A}"/>
    <cellStyle name="Normal 3 2 3 2 2 2 2 2 2" xfId="539" xr:uid="{0A168C7C-4129-4721-ABD1-7A065D014D6A}"/>
    <cellStyle name="Normal 3 2 3 2 2 2 2 2 2 2" xfId="1057" xr:uid="{3F9A6EE4-F398-4D4B-A583-28E462B5CF29}"/>
    <cellStyle name="Normal 3 2 3 2 2 2 2 2 3" xfId="801" xr:uid="{E76AEDB2-A0EC-415D-9666-4CA64FAE6A71}"/>
    <cellStyle name="Normal 3 2 3 2 2 2 2 3" xfId="411" xr:uid="{51C24DAF-A4B1-4AC9-8B89-83EB4044547B}"/>
    <cellStyle name="Normal 3 2 3 2 2 2 2 3 2" xfId="929" xr:uid="{85AE3D05-11D3-43BD-8477-3819C11EABA3}"/>
    <cellStyle name="Normal 3 2 3 2 2 2 2 4" xfId="673" xr:uid="{13BD29F0-8B4B-49BE-B2E8-A627A726ACE4}"/>
    <cellStyle name="Normal 3 2 3 2 2 2 3" xfId="219" xr:uid="{5E11A8BB-0100-4F5B-AAFE-96520CE3B2DA}"/>
    <cellStyle name="Normal 3 2 3 2 2 2 3 2" xfId="475" xr:uid="{548861BB-E3DF-4199-B1E3-001AFE92A9D6}"/>
    <cellStyle name="Normal 3 2 3 2 2 2 3 2 2" xfId="993" xr:uid="{D167BCFB-A3E9-4E05-A5DA-F379F9441167}"/>
    <cellStyle name="Normal 3 2 3 2 2 2 3 3" xfId="737" xr:uid="{54374E6A-6496-4F58-8458-7FB22AF8FA7E}"/>
    <cellStyle name="Normal 3 2 3 2 2 2 4" xfId="347" xr:uid="{285001F8-1D80-4D25-93CA-0AA0E82F96C7}"/>
    <cellStyle name="Normal 3 2 3 2 2 2 4 2" xfId="865" xr:uid="{01F40D4A-FEAD-43F2-A9F5-A54C4A5EAB0F}"/>
    <cellStyle name="Normal 3 2 3 2 2 2 5" xfId="609" xr:uid="{E1D24FB6-BA7A-4156-AE6C-067FEAE11A84}"/>
    <cellStyle name="Normal 3 2 3 2 2 3" xfId="123" xr:uid="{B15387EA-A5A0-445F-94C6-46BDBC0BD96A}"/>
    <cellStyle name="Normal 3 2 3 2 2 3 2" xfId="251" xr:uid="{B430963A-4A79-4521-BD73-1A9052363BD2}"/>
    <cellStyle name="Normal 3 2 3 2 2 3 2 2" xfId="507" xr:uid="{2FC76D87-C447-487E-8810-6AD34B01D943}"/>
    <cellStyle name="Normal 3 2 3 2 2 3 2 2 2" xfId="1025" xr:uid="{22DF276B-D277-4551-8C31-99DD4F2C98DA}"/>
    <cellStyle name="Normal 3 2 3 2 2 3 2 3" xfId="769" xr:uid="{C9F9EDD9-A03D-4465-93E6-5AC9DA12B466}"/>
    <cellStyle name="Normal 3 2 3 2 2 3 3" xfId="379" xr:uid="{8326AA28-968C-4FD3-B7FA-D2031D314079}"/>
    <cellStyle name="Normal 3 2 3 2 2 3 3 2" xfId="897" xr:uid="{3767A611-E812-4BF2-BD51-DBDA5EE10FE6}"/>
    <cellStyle name="Normal 3 2 3 2 2 3 4" xfId="641" xr:uid="{22B547BA-85FD-47DE-BFF8-C88E5EAE437F}"/>
    <cellStyle name="Normal 3 2 3 2 2 4" xfId="187" xr:uid="{D4D17AFA-BF38-4A69-B734-BB372E3E792A}"/>
    <cellStyle name="Normal 3 2 3 2 2 4 2" xfId="443" xr:uid="{392DCCF4-CF35-40EF-B805-745AA59B3DAF}"/>
    <cellStyle name="Normal 3 2 3 2 2 4 2 2" xfId="961" xr:uid="{4DB6CAA0-387D-4E19-A896-702111F0B7CC}"/>
    <cellStyle name="Normal 3 2 3 2 2 4 3" xfId="705" xr:uid="{99DE269B-B17C-4DAA-A96B-0DFC54C1CB73}"/>
    <cellStyle name="Normal 3 2 3 2 2 5" xfId="315" xr:uid="{3CF28FED-71BF-4CB9-B342-985155B419F5}"/>
    <cellStyle name="Normal 3 2 3 2 2 5 2" xfId="833" xr:uid="{1277B304-715B-4F1C-96E9-31A051D27486}"/>
    <cellStyle name="Normal 3 2 3 2 2 6" xfId="577" xr:uid="{CDF4108F-F4BE-4AE9-A92C-FB6FFA39905B}"/>
    <cellStyle name="Normal 3 2 3 2 3" xfId="75" xr:uid="{D982835B-9CF3-49EB-849D-7C00BD464F20}"/>
    <cellStyle name="Normal 3 2 3 2 3 2" xfId="139" xr:uid="{00245A40-B82B-4EA5-A6C3-C5F5564835C4}"/>
    <cellStyle name="Normal 3 2 3 2 3 2 2" xfId="267" xr:uid="{F2A210E9-E59F-4676-A916-FFF01AA2DB97}"/>
    <cellStyle name="Normal 3 2 3 2 3 2 2 2" xfId="523" xr:uid="{DC306134-4B51-46FD-9A9A-D09F288CFF74}"/>
    <cellStyle name="Normal 3 2 3 2 3 2 2 2 2" xfId="1041" xr:uid="{A7F1B906-A8B3-4FEF-A5FD-5BFA76A546AE}"/>
    <cellStyle name="Normal 3 2 3 2 3 2 2 3" xfId="785" xr:uid="{7EC1C1B4-DCB2-44AC-891B-E84FC4053A22}"/>
    <cellStyle name="Normal 3 2 3 2 3 2 3" xfId="395" xr:uid="{EB039260-E83C-4F1F-A170-CA16A0A1D56A}"/>
    <cellStyle name="Normal 3 2 3 2 3 2 3 2" xfId="913" xr:uid="{2F130ECC-3E8F-4EAF-A68F-C311ACA7D5F2}"/>
    <cellStyle name="Normal 3 2 3 2 3 2 4" xfId="657" xr:uid="{B189EF50-6238-42A2-810B-B6BA19D78E4B}"/>
    <cellStyle name="Normal 3 2 3 2 3 3" xfId="203" xr:uid="{2F536007-FF0F-4ED2-8CD8-BDD8AFF3B1EB}"/>
    <cellStyle name="Normal 3 2 3 2 3 3 2" xfId="459" xr:uid="{1C727FC5-A9EC-4D40-AD00-3265E2CA061B}"/>
    <cellStyle name="Normal 3 2 3 2 3 3 2 2" xfId="977" xr:uid="{58EEDCFD-B2DE-4D01-9F74-0EB87DF208FB}"/>
    <cellStyle name="Normal 3 2 3 2 3 3 3" xfId="721" xr:uid="{D29A4136-9828-46C8-8437-4C05A24EAF34}"/>
    <cellStyle name="Normal 3 2 3 2 3 4" xfId="331" xr:uid="{461DCDF0-C81E-49AF-AC13-E5DF87C870D1}"/>
    <cellStyle name="Normal 3 2 3 2 3 4 2" xfId="849" xr:uid="{F9D7225F-0F17-4876-8B2B-53AA0F787688}"/>
    <cellStyle name="Normal 3 2 3 2 3 5" xfId="593" xr:uid="{B04B945B-418C-4D2F-B503-675BDA7A6CB1}"/>
    <cellStyle name="Normal 3 2 3 2 4" xfId="107" xr:uid="{9B3E089A-5F33-4EBB-8CAA-F4E1563CE1A4}"/>
    <cellStyle name="Normal 3 2 3 2 4 2" xfId="235" xr:uid="{FF7B353C-1862-4BF4-A1FB-EAEA8738A3CE}"/>
    <cellStyle name="Normal 3 2 3 2 4 2 2" xfId="491" xr:uid="{7FF15B47-6173-4C7B-913B-7793C2A8DF00}"/>
    <cellStyle name="Normal 3 2 3 2 4 2 2 2" xfId="1009" xr:uid="{04B90340-8E09-4292-996B-AC8E4D07F8A0}"/>
    <cellStyle name="Normal 3 2 3 2 4 2 3" xfId="753" xr:uid="{35FE7192-4D10-4C6A-83B6-49DC09B1A84A}"/>
    <cellStyle name="Normal 3 2 3 2 4 3" xfId="363" xr:uid="{3B6AF772-73BD-47D6-B308-4E4F78768058}"/>
    <cellStyle name="Normal 3 2 3 2 4 3 2" xfId="881" xr:uid="{AF7D8DF3-638B-46AC-96A1-028685FB3B22}"/>
    <cellStyle name="Normal 3 2 3 2 4 4" xfId="625" xr:uid="{1BBDA955-0B78-472E-89FF-B70E1A69648B}"/>
    <cellStyle name="Normal 3 2 3 2 5" xfId="171" xr:uid="{E3ED6C82-BE1E-45EE-9025-45F942BD3801}"/>
    <cellStyle name="Normal 3 2 3 2 5 2" xfId="427" xr:uid="{505D3805-8F5E-4B12-97F5-32CB5E8A12C9}"/>
    <cellStyle name="Normal 3 2 3 2 5 2 2" xfId="945" xr:uid="{589FDBBE-34A3-454A-BA88-D7F7626C6F56}"/>
    <cellStyle name="Normal 3 2 3 2 5 3" xfId="689" xr:uid="{341E02E4-7D31-47EC-9D33-FD0E57A62D44}"/>
    <cellStyle name="Normal 3 2 3 2 6" xfId="299" xr:uid="{B952E76B-03D7-4B56-87BE-8515AE4D6DB4}"/>
    <cellStyle name="Normal 3 2 3 2 6 2" xfId="817" xr:uid="{11D094FF-EC83-4E2F-A50D-ABC93D471D02}"/>
    <cellStyle name="Normal 3 2 3 2 7" xfId="561" xr:uid="{C69E3EB8-61A8-4715-AE7F-1F8401C62A14}"/>
    <cellStyle name="Normal 3 2 3 3" xfId="51" xr:uid="{A3B2BB75-7636-4C70-8DE4-AFB1685B64CC}"/>
    <cellStyle name="Normal 3 2 3 3 2" xfId="83" xr:uid="{CB174BC6-6672-4BD5-99E6-251577B4FEDC}"/>
    <cellStyle name="Normal 3 2 3 3 2 2" xfId="147" xr:uid="{B9FC82E5-DC50-4E85-87D2-77A161B52A37}"/>
    <cellStyle name="Normal 3 2 3 3 2 2 2" xfId="275" xr:uid="{87741D1D-5C68-4DF0-A0CA-FD2F7717649B}"/>
    <cellStyle name="Normal 3 2 3 3 2 2 2 2" xfId="531" xr:uid="{E427C60C-6565-4226-BBE6-7427BEDF7548}"/>
    <cellStyle name="Normal 3 2 3 3 2 2 2 2 2" xfId="1049" xr:uid="{3417CB87-DBB3-4B85-A936-FBE1DFBAD700}"/>
    <cellStyle name="Normal 3 2 3 3 2 2 2 3" xfId="793" xr:uid="{CB671CB9-6D77-4716-8977-A00F6210E15E}"/>
    <cellStyle name="Normal 3 2 3 3 2 2 3" xfId="403" xr:uid="{30D774BC-0140-4BC5-976D-35C66EA53A06}"/>
    <cellStyle name="Normal 3 2 3 3 2 2 3 2" xfId="921" xr:uid="{3F591580-7338-4BAF-8667-2D45C139E895}"/>
    <cellStyle name="Normal 3 2 3 3 2 2 4" xfId="665" xr:uid="{413858F1-DC7A-42CD-9857-AD02C2C2F660}"/>
    <cellStyle name="Normal 3 2 3 3 2 3" xfId="211" xr:uid="{1B8D4AC6-17EC-4FB2-BEF8-750783C72D0B}"/>
    <cellStyle name="Normal 3 2 3 3 2 3 2" xfId="467" xr:uid="{84C386F6-A7C0-4CB5-B9BD-63F9114D93FE}"/>
    <cellStyle name="Normal 3 2 3 3 2 3 2 2" xfId="985" xr:uid="{F5C7074A-4E1A-4BCA-94A5-256B322DE4A4}"/>
    <cellStyle name="Normal 3 2 3 3 2 3 3" xfId="729" xr:uid="{4872EBC5-20C4-4FEB-84DB-F41DD36F4ED9}"/>
    <cellStyle name="Normal 3 2 3 3 2 4" xfId="339" xr:uid="{DF185A5F-61DB-44F9-800B-2E8655606B21}"/>
    <cellStyle name="Normal 3 2 3 3 2 4 2" xfId="857" xr:uid="{319E887D-9386-42E7-9442-C600F689E36E}"/>
    <cellStyle name="Normal 3 2 3 3 2 5" xfId="601" xr:uid="{64B5125C-5AA2-4A8C-91FE-7956798418F5}"/>
    <cellStyle name="Normal 3 2 3 3 3" xfId="115" xr:uid="{3AFB53B4-DA7F-4467-820E-4F0BE6EB33B2}"/>
    <cellStyle name="Normal 3 2 3 3 3 2" xfId="243" xr:uid="{7EE03271-3754-4D2E-8AF1-250C5D9008AC}"/>
    <cellStyle name="Normal 3 2 3 3 3 2 2" xfId="499" xr:uid="{942834C8-B124-4621-B2BE-4F88B684204A}"/>
    <cellStyle name="Normal 3 2 3 3 3 2 2 2" xfId="1017" xr:uid="{2232E865-43FD-42AB-8CA5-EE24279430B5}"/>
    <cellStyle name="Normal 3 2 3 3 3 2 3" xfId="761" xr:uid="{4A7C87D7-B945-415C-B655-CDCC4D79A9B8}"/>
    <cellStyle name="Normal 3 2 3 3 3 3" xfId="371" xr:uid="{BAF6BCAC-0DE8-4AE4-9158-2A189C154852}"/>
    <cellStyle name="Normal 3 2 3 3 3 3 2" xfId="889" xr:uid="{9F9D3954-5414-41C4-A4D0-BE0C72C52AE9}"/>
    <cellStyle name="Normal 3 2 3 3 3 4" xfId="633" xr:uid="{C5AE943F-ACD5-4ABB-98B7-400ED88DD61E}"/>
    <cellStyle name="Normal 3 2 3 3 4" xfId="179" xr:uid="{677C46B2-6671-4BBF-9448-0884A461A021}"/>
    <cellStyle name="Normal 3 2 3 3 4 2" xfId="435" xr:uid="{05469729-9D0E-4907-A86C-783F9EF58AA1}"/>
    <cellStyle name="Normal 3 2 3 3 4 2 2" xfId="953" xr:uid="{3FD8C467-98DD-4760-82D2-91C8A4B98B05}"/>
    <cellStyle name="Normal 3 2 3 3 4 3" xfId="697" xr:uid="{F0A10E99-C60B-4CE6-9A0C-6BCFE2212954}"/>
    <cellStyle name="Normal 3 2 3 3 5" xfId="307" xr:uid="{AC2BB7A7-1F09-4B52-8C21-BCE3598E7835}"/>
    <cellStyle name="Normal 3 2 3 3 5 2" xfId="825" xr:uid="{214DDDD2-02AD-46EC-98A1-14DD76FE931A}"/>
    <cellStyle name="Normal 3 2 3 3 6" xfId="569" xr:uid="{680B2D43-04C9-49A4-A78E-665EF0B34176}"/>
    <cellStyle name="Normal 3 2 3 4" xfId="67" xr:uid="{3E333CFD-8D59-4302-8430-22B5FC88ADAC}"/>
    <cellStyle name="Normal 3 2 3 4 2" xfId="131" xr:uid="{A111DC6B-FC82-4356-910E-33B991A1A98C}"/>
    <cellStyle name="Normal 3 2 3 4 2 2" xfId="259" xr:uid="{C00D1F47-7E0B-416D-8A01-539A84EDD5E9}"/>
    <cellStyle name="Normal 3 2 3 4 2 2 2" xfId="515" xr:uid="{CBC68B94-DEA9-41DD-A09D-EF30DC83A125}"/>
    <cellStyle name="Normal 3 2 3 4 2 2 2 2" xfId="1033" xr:uid="{BAFFDF2B-C616-4C5F-9BEE-8494DD64ABEC}"/>
    <cellStyle name="Normal 3 2 3 4 2 2 3" xfId="777" xr:uid="{DABCBE51-FD5E-423D-AC6F-18364B357B26}"/>
    <cellStyle name="Normal 3 2 3 4 2 3" xfId="387" xr:uid="{EB012F2F-F996-4EA7-B370-60400EA2D032}"/>
    <cellStyle name="Normal 3 2 3 4 2 3 2" xfId="905" xr:uid="{9170735A-8E21-4080-8EC7-3FF16E54DCE4}"/>
    <cellStyle name="Normal 3 2 3 4 2 4" xfId="649" xr:uid="{2AFCFC98-767E-4495-AEB3-F3EF87E90768}"/>
    <cellStyle name="Normal 3 2 3 4 3" xfId="195" xr:uid="{0C8EBF71-59CF-405F-8560-47B1A19952A5}"/>
    <cellStyle name="Normal 3 2 3 4 3 2" xfId="451" xr:uid="{47AE13E4-1C21-4DDF-9825-7E10D51DDFC1}"/>
    <cellStyle name="Normal 3 2 3 4 3 2 2" xfId="969" xr:uid="{14F79A3E-1F30-499A-8277-490D31981A4B}"/>
    <cellStyle name="Normal 3 2 3 4 3 3" xfId="713" xr:uid="{75650AF8-BCCB-4033-A436-5A1D211099F2}"/>
    <cellStyle name="Normal 3 2 3 4 4" xfId="323" xr:uid="{B78DEA31-E3F5-4A60-BA8A-FCD1FB9B31EA}"/>
    <cellStyle name="Normal 3 2 3 4 4 2" xfId="841" xr:uid="{8069B9D6-BA33-4ABD-8BD6-24105D21F30C}"/>
    <cellStyle name="Normal 3 2 3 4 5" xfId="585" xr:uid="{3429A200-629D-474F-8DF9-C1A603CD4A13}"/>
    <cellStyle name="Normal 3 2 3 5" xfId="99" xr:uid="{2D2CBCB8-80F3-4D4D-9F3F-D2C1A38345AB}"/>
    <cellStyle name="Normal 3 2 3 5 2" xfId="227" xr:uid="{A2EA2E9E-CD7C-4D12-9624-9A7CDB7C7FCB}"/>
    <cellStyle name="Normal 3 2 3 5 2 2" xfId="483" xr:uid="{F79C86E5-FFC6-4D6C-AA66-D7D696F43A44}"/>
    <cellStyle name="Normal 3 2 3 5 2 2 2" xfId="1001" xr:uid="{394CE1C3-8A60-4B2C-90DE-7758CDFD3184}"/>
    <cellStyle name="Normal 3 2 3 5 2 3" xfId="745" xr:uid="{D826C727-1643-46A4-BB13-D0C05C5FF2E6}"/>
    <cellStyle name="Normal 3 2 3 5 3" xfId="355" xr:uid="{7F6198E7-447F-47CA-A8E2-77B289C0484E}"/>
    <cellStyle name="Normal 3 2 3 5 3 2" xfId="873" xr:uid="{04D76960-1DD9-462C-8041-FABDDD5A71E8}"/>
    <cellStyle name="Normal 3 2 3 5 4" xfId="617" xr:uid="{77A2005C-05D7-4DC7-A236-2786EF994E45}"/>
    <cellStyle name="Normal 3 2 3 6" xfId="163" xr:uid="{63FA8D6B-290E-42D6-8C8F-1D005055A5D3}"/>
    <cellStyle name="Normal 3 2 3 6 2" xfId="419" xr:uid="{A7C2A177-E184-468C-B6A7-870FC1076621}"/>
    <cellStyle name="Normal 3 2 3 6 2 2" xfId="937" xr:uid="{9036A031-4E1C-4A61-85EE-8EF3914951FE}"/>
    <cellStyle name="Normal 3 2 3 6 3" xfId="681" xr:uid="{4DD6D251-3E16-48FD-9D8D-AE526D31281D}"/>
    <cellStyle name="Normal 3 2 3 7" xfId="291" xr:uid="{715F32B0-FC9A-46C3-BDAC-0F97EE0F4F93}"/>
    <cellStyle name="Normal 3 2 3 7 2" xfId="809" xr:uid="{8F8EF65A-15DC-4086-B35E-B5ED367CAABE}"/>
    <cellStyle name="Normal 3 2 3 8" xfId="553" xr:uid="{42C75129-1AE1-40AC-A612-C2754F7E2955}"/>
    <cellStyle name="Normal 3 2 4" xfId="39" xr:uid="{137CD99F-299D-4E1E-BD05-BF6CBCFF23E3}"/>
    <cellStyle name="Normal 3 2 4 2" xfId="55" xr:uid="{301854BA-D039-4061-97CF-9924B86D6179}"/>
    <cellStyle name="Normal 3 2 4 2 2" xfId="87" xr:uid="{223692E6-6050-40EC-A007-8904DA88A4E2}"/>
    <cellStyle name="Normal 3 2 4 2 2 2" xfId="151" xr:uid="{72C13761-E65E-44C4-916A-C017A859518D}"/>
    <cellStyle name="Normal 3 2 4 2 2 2 2" xfId="279" xr:uid="{2EAD480B-05ED-4AEA-8167-70EE09301177}"/>
    <cellStyle name="Normal 3 2 4 2 2 2 2 2" xfId="535" xr:uid="{7978B3D5-A3F3-4EF6-8369-7E74A8A65A08}"/>
    <cellStyle name="Normal 3 2 4 2 2 2 2 2 2" xfId="1053" xr:uid="{BD50A14E-3C2B-43E8-8C9C-06CEF0EA9C9B}"/>
    <cellStyle name="Normal 3 2 4 2 2 2 2 3" xfId="797" xr:uid="{5F8EB8A4-970E-4E81-BD91-C96F8FCBC35A}"/>
    <cellStyle name="Normal 3 2 4 2 2 2 3" xfId="407" xr:uid="{6E5CD0CC-EA84-42CB-AAC4-D69E40DA723F}"/>
    <cellStyle name="Normal 3 2 4 2 2 2 3 2" xfId="925" xr:uid="{361EBCA6-1A08-4AD9-B094-6494CF70D514}"/>
    <cellStyle name="Normal 3 2 4 2 2 2 4" xfId="669" xr:uid="{01D89B62-E898-409A-8DEC-C29C5819D4C9}"/>
    <cellStyle name="Normal 3 2 4 2 2 3" xfId="215" xr:uid="{BA16AA12-D6FC-40AD-84E7-EAB55A6012D3}"/>
    <cellStyle name="Normal 3 2 4 2 2 3 2" xfId="471" xr:uid="{0744954C-E5C9-4194-8B20-007285991A09}"/>
    <cellStyle name="Normal 3 2 4 2 2 3 2 2" xfId="989" xr:uid="{400A1391-BA61-43EC-8BC3-85B0DA167292}"/>
    <cellStyle name="Normal 3 2 4 2 2 3 3" xfId="733" xr:uid="{9F4C160C-FCCE-4766-A235-6A4E21A8A6B5}"/>
    <cellStyle name="Normal 3 2 4 2 2 4" xfId="343" xr:uid="{92A6EF75-75C0-4312-AEE7-3674A3F6B64E}"/>
    <cellStyle name="Normal 3 2 4 2 2 4 2" xfId="861" xr:uid="{6B1B21F7-66A6-4C90-851A-73B86877B0B0}"/>
    <cellStyle name="Normal 3 2 4 2 2 5" xfId="605" xr:uid="{66AEA093-3DB4-4E34-A992-F02BD86052EC}"/>
    <cellStyle name="Normal 3 2 4 2 3" xfId="119" xr:uid="{9D17E915-8628-414C-BE8F-72A9B8DCCF96}"/>
    <cellStyle name="Normal 3 2 4 2 3 2" xfId="247" xr:uid="{0713A8E9-F918-427D-8F19-03308D44A088}"/>
    <cellStyle name="Normal 3 2 4 2 3 2 2" xfId="503" xr:uid="{EBCA58D3-8515-4860-8465-A418FD0E5800}"/>
    <cellStyle name="Normal 3 2 4 2 3 2 2 2" xfId="1021" xr:uid="{781110E9-53E5-4901-95D1-20D217387B69}"/>
    <cellStyle name="Normal 3 2 4 2 3 2 3" xfId="765" xr:uid="{439B9070-F742-42F7-8875-B207655E9461}"/>
    <cellStyle name="Normal 3 2 4 2 3 3" xfId="375" xr:uid="{6B045C51-AF76-491F-B44D-3FE128056488}"/>
    <cellStyle name="Normal 3 2 4 2 3 3 2" xfId="893" xr:uid="{82BCDC77-EF6F-49B3-A0F4-27DD6DFB11E4}"/>
    <cellStyle name="Normal 3 2 4 2 3 4" xfId="637" xr:uid="{5FEE4C4F-39B1-4DBE-AEBA-5A70066213BA}"/>
    <cellStyle name="Normal 3 2 4 2 4" xfId="183" xr:uid="{248D3C35-97B8-429A-A563-9194BBD32A32}"/>
    <cellStyle name="Normal 3 2 4 2 4 2" xfId="439" xr:uid="{5B271A5C-F7CE-47CB-A280-21CF8CB9259A}"/>
    <cellStyle name="Normal 3 2 4 2 4 2 2" xfId="957" xr:uid="{5EE04334-54D8-4462-ADDC-C63BE12BBD34}"/>
    <cellStyle name="Normal 3 2 4 2 4 3" xfId="701" xr:uid="{B1E20B77-D7F2-4901-9496-0C34FE8DB9E0}"/>
    <cellStyle name="Normal 3 2 4 2 5" xfId="311" xr:uid="{420288D6-3FF7-49D6-AE58-882FEDE4DB58}"/>
    <cellStyle name="Normal 3 2 4 2 5 2" xfId="829" xr:uid="{1A97F9A0-C5C5-4093-99C5-A6A4E8F389D0}"/>
    <cellStyle name="Normal 3 2 4 2 6" xfId="573" xr:uid="{C9188AF1-8CAE-48FC-AC4D-1E3928D2E3C5}"/>
    <cellStyle name="Normal 3 2 4 3" xfId="71" xr:uid="{B16543AA-E591-4146-BD6A-55E599D8B6AD}"/>
    <cellStyle name="Normal 3 2 4 3 2" xfId="135" xr:uid="{4A3E1EAE-BF78-465F-A18C-87F8CEED6561}"/>
    <cellStyle name="Normal 3 2 4 3 2 2" xfId="263" xr:uid="{0E4B3158-2431-45F5-B38C-D825062BF43B}"/>
    <cellStyle name="Normal 3 2 4 3 2 2 2" xfId="519" xr:uid="{7A122730-142B-4FEF-BA08-C5AA31A557C4}"/>
    <cellStyle name="Normal 3 2 4 3 2 2 2 2" xfId="1037" xr:uid="{1EE098B4-8B0C-4D74-9678-92F67D43349B}"/>
    <cellStyle name="Normal 3 2 4 3 2 2 3" xfId="781" xr:uid="{5078CFF3-85B9-4ED6-9A7F-83E0A4995539}"/>
    <cellStyle name="Normal 3 2 4 3 2 3" xfId="391" xr:uid="{218F519F-6ADB-41A5-9520-B666DDBBF08B}"/>
    <cellStyle name="Normal 3 2 4 3 2 3 2" xfId="909" xr:uid="{BB91C9FB-D900-4336-92F8-C70E7DDD11EA}"/>
    <cellStyle name="Normal 3 2 4 3 2 4" xfId="653" xr:uid="{8CC2C6CF-4869-4741-8C85-A31F4534542F}"/>
    <cellStyle name="Normal 3 2 4 3 3" xfId="199" xr:uid="{B74E9F96-7CF0-437C-9B28-6CB3CB546E6A}"/>
    <cellStyle name="Normal 3 2 4 3 3 2" xfId="455" xr:uid="{8F77E6B3-6293-42B7-8094-FFD798CFD029}"/>
    <cellStyle name="Normal 3 2 4 3 3 2 2" xfId="973" xr:uid="{0FFA819A-69B1-4B5A-A3D6-6F336F913393}"/>
    <cellStyle name="Normal 3 2 4 3 3 3" xfId="717" xr:uid="{E1CF9AF1-6639-43C5-9191-6506A8C6D50E}"/>
    <cellStyle name="Normal 3 2 4 3 4" xfId="327" xr:uid="{A0A167F3-3E3A-431B-8D3D-316A9C26251D}"/>
    <cellStyle name="Normal 3 2 4 3 4 2" xfId="845" xr:uid="{75CE53B2-BAC5-46D8-8303-DB912971CC50}"/>
    <cellStyle name="Normal 3 2 4 3 5" xfId="589" xr:uid="{27763D4F-3CE3-4291-80A7-3257E6C75172}"/>
    <cellStyle name="Normal 3 2 4 4" xfId="103" xr:uid="{77873ED8-2995-405E-9BEB-7F58A4C57224}"/>
    <cellStyle name="Normal 3 2 4 4 2" xfId="231" xr:uid="{6164C91B-509D-4EE8-8ADE-9BE54622218F}"/>
    <cellStyle name="Normal 3 2 4 4 2 2" xfId="487" xr:uid="{DE564A70-8BAE-4715-911C-286FD5A3DD9D}"/>
    <cellStyle name="Normal 3 2 4 4 2 2 2" xfId="1005" xr:uid="{1362C1AD-EBC0-49B5-83A1-FE43AF935CE7}"/>
    <cellStyle name="Normal 3 2 4 4 2 3" xfId="749" xr:uid="{7F52A0BF-BD50-48E2-85F0-4651563CF075}"/>
    <cellStyle name="Normal 3 2 4 4 3" xfId="359" xr:uid="{F802DB02-E523-448E-8513-D66C52C25B70}"/>
    <cellStyle name="Normal 3 2 4 4 3 2" xfId="877" xr:uid="{89958BB1-37EE-4547-957F-1659DE0987FD}"/>
    <cellStyle name="Normal 3 2 4 4 4" xfId="621" xr:uid="{60AD49A6-77D1-422E-ADF6-8C759541447F}"/>
    <cellStyle name="Normal 3 2 4 5" xfId="167" xr:uid="{B7A54025-300B-44A9-ADFF-E5FE3D817409}"/>
    <cellStyle name="Normal 3 2 4 5 2" xfId="423" xr:uid="{AEBA85ED-8F70-4F74-947D-D177D1827FF4}"/>
    <cellStyle name="Normal 3 2 4 5 2 2" xfId="941" xr:uid="{854CB65D-01E4-4114-AADC-B651A8A4D1C6}"/>
    <cellStyle name="Normal 3 2 4 5 3" xfId="685" xr:uid="{F13A7852-90D8-4D46-B7BD-AA6A9BC7CABD}"/>
    <cellStyle name="Normal 3 2 4 6" xfId="295" xr:uid="{68289CFB-E140-4ABD-8304-F958A21A37BE}"/>
    <cellStyle name="Normal 3 2 4 6 2" xfId="813" xr:uid="{C757148F-41A8-40D6-AF95-B5CFF4E4E319}"/>
    <cellStyle name="Normal 3 2 4 7" xfId="557" xr:uid="{3610A312-962E-446F-ABA0-D6442009CE9D}"/>
    <cellStyle name="Normal 3 2 5" xfId="47" xr:uid="{14874436-E9AB-482B-9BA3-F7222DADCFE6}"/>
    <cellStyle name="Normal 3 2 5 2" xfId="79" xr:uid="{04D5A159-E597-4AAD-9DE8-B207B2758AC2}"/>
    <cellStyle name="Normal 3 2 5 2 2" xfId="143" xr:uid="{DAE42A3A-B7BA-4AF1-83E5-07E5B6975D17}"/>
    <cellStyle name="Normal 3 2 5 2 2 2" xfId="271" xr:uid="{04C72312-0544-4137-A10D-477B4414D33E}"/>
    <cellStyle name="Normal 3 2 5 2 2 2 2" xfId="527" xr:uid="{8850A789-D9BD-4909-ACB4-80E87833D8A2}"/>
    <cellStyle name="Normal 3 2 5 2 2 2 2 2" xfId="1045" xr:uid="{3C8A0C57-516F-42EE-81A2-AE5D7600FA59}"/>
    <cellStyle name="Normal 3 2 5 2 2 2 3" xfId="789" xr:uid="{E2C733F4-1246-47A6-BF84-7757584E2CE8}"/>
    <cellStyle name="Normal 3 2 5 2 2 3" xfId="399" xr:uid="{B17D18EE-FBB0-466D-AD10-4407AD36F95A}"/>
    <cellStyle name="Normal 3 2 5 2 2 3 2" xfId="917" xr:uid="{98C5FCE9-7B03-467A-B7B3-3B1BBA962773}"/>
    <cellStyle name="Normal 3 2 5 2 2 4" xfId="661" xr:uid="{FC5FB600-567C-43C4-9C3D-AFF978639E73}"/>
    <cellStyle name="Normal 3 2 5 2 3" xfId="207" xr:uid="{AAB4AF4F-DBEC-42D8-8E35-3F16EAB4A0F1}"/>
    <cellStyle name="Normal 3 2 5 2 3 2" xfId="463" xr:uid="{E133D403-B0AB-4702-9A15-C3448A523CAA}"/>
    <cellStyle name="Normal 3 2 5 2 3 2 2" xfId="981" xr:uid="{98D8C4E6-23C2-4904-AE74-3E8EACA63A77}"/>
    <cellStyle name="Normal 3 2 5 2 3 3" xfId="725" xr:uid="{E4663CBB-0CBA-41BB-A7C6-5E016CE10DED}"/>
    <cellStyle name="Normal 3 2 5 2 4" xfId="335" xr:uid="{03E8F004-88EF-400B-900D-33B03CB5FF13}"/>
    <cellStyle name="Normal 3 2 5 2 4 2" xfId="853" xr:uid="{2B49A801-2AC3-4F49-AD0C-57CD992154DA}"/>
    <cellStyle name="Normal 3 2 5 2 5" xfId="597" xr:uid="{78B52EC6-E9A6-4CD3-BC92-9656375EE70F}"/>
    <cellStyle name="Normal 3 2 5 3" xfId="111" xr:uid="{703845AB-6254-4D82-AD7C-B10E734693B9}"/>
    <cellStyle name="Normal 3 2 5 3 2" xfId="239" xr:uid="{4F7C47CE-A1CD-4330-8514-D6458C99688F}"/>
    <cellStyle name="Normal 3 2 5 3 2 2" xfId="495" xr:uid="{3BB74BE4-765A-43F3-BB15-7304E1AF6F84}"/>
    <cellStyle name="Normal 3 2 5 3 2 2 2" xfId="1013" xr:uid="{4B66E6A4-0DEE-4C09-A1EF-DECC3E183F77}"/>
    <cellStyle name="Normal 3 2 5 3 2 3" xfId="757" xr:uid="{1FA6D5E6-D13E-461B-B455-02D927EAC7C9}"/>
    <cellStyle name="Normal 3 2 5 3 3" xfId="367" xr:uid="{ACB6AD21-5E36-4AD9-A9AA-36C8064AA75F}"/>
    <cellStyle name="Normal 3 2 5 3 3 2" xfId="885" xr:uid="{AFA1490F-E601-489B-8DCA-E1F654FCCC56}"/>
    <cellStyle name="Normal 3 2 5 3 4" xfId="629" xr:uid="{738FC5C6-2E3B-4B9A-97AE-8B53E6DA0CD9}"/>
    <cellStyle name="Normal 3 2 5 4" xfId="175" xr:uid="{BC02905F-E9F1-4611-8D2A-31AF58C668F1}"/>
    <cellStyle name="Normal 3 2 5 4 2" xfId="431" xr:uid="{C1D0E0A0-CE89-4F55-B17D-3A6DDC0CFDF4}"/>
    <cellStyle name="Normal 3 2 5 4 2 2" xfId="949" xr:uid="{41863500-EDD1-470F-B634-08ECACE835E4}"/>
    <cellStyle name="Normal 3 2 5 4 3" xfId="693" xr:uid="{137E84A5-5E56-4880-8F87-7A902A745D0F}"/>
    <cellStyle name="Normal 3 2 5 5" xfId="303" xr:uid="{65A94818-65F5-4EF5-A341-75A7E6207EE0}"/>
    <cellStyle name="Normal 3 2 5 5 2" xfId="821" xr:uid="{58204B9D-0416-48A3-B6AE-02D83E0E78B7}"/>
    <cellStyle name="Normal 3 2 5 6" xfId="565" xr:uid="{7463C6A2-618A-4020-B2F9-F65A102DAE53}"/>
    <cellStyle name="Normal 3 2 6" xfId="63" xr:uid="{8EED684C-6E05-4DAF-A995-193B947E6928}"/>
    <cellStyle name="Normal 3 2 6 2" xfId="127" xr:uid="{9BC2C3FC-829C-4677-AEE0-A10B97C30253}"/>
    <cellStyle name="Normal 3 2 6 2 2" xfId="255" xr:uid="{9DE6881A-2FF5-4316-97A4-EA1217E49AF5}"/>
    <cellStyle name="Normal 3 2 6 2 2 2" xfId="511" xr:uid="{B4732C82-256E-41A4-B66A-5EFF88877A5E}"/>
    <cellStyle name="Normal 3 2 6 2 2 2 2" xfId="1029" xr:uid="{C9D54EBC-AA61-4919-B7B3-5B162D857F7D}"/>
    <cellStyle name="Normal 3 2 6 2 2 3" xfId="773" xr:uid="{7D758335-68E6-4AEC-8717-21122C5CC127}"/>
    <cellStyle name="Normal 3 2 6 2 3" xfId="383" xr:uid="{34CFC715-F94A-4F4A-9D78-B2EA2BB1CEF3}"/>
    <cellStyle name="Normal 3 2 6 2 3 2" xfId="901" xr:uid="{8D4B8F82-4066-490A-97DA-C59EADAC6FEE}"/>
    <cellStyle name="Normal 3 2 6 2 4" xfId="645" xr:uid="{CC0B67A1-1A27-41E7-A259-9FED97531663}"/>
    <cellStyle name="Normal 3 2 6 3" xfId="191" xr:uid="{3F6FF35D-3FBE-4242-A445-563F38576B82}"/>
    <cellStyle name="Normal 3 2 6 3 2" xfId="447" xr:uid="{2DDF24E7-21B3-43DA-BD68-6E6DA21D32AB}"/>
    <cellStyle name="Normal 3 2 6 3 2 2" xfId="965" xr:uid="{636541DE-F7BC-4926-9993-768367313B81}"/>
    <cellStyle name="Normal 3 2 6 3 3" xfId="709" xr:uid="{2DBCAF80-465E-4D51-A598-C7B6DBB9D1A7}"/>
    <cellStyle name="Normal 3 2 6 4" xfId="319" xr:uid="{AEAAF356-CD0A-4619-8C26-06742A8D0700}"/>
    <cellStyle name="Normal 3 2 6 4 2" xfId="837" xr:uid="{B8DEF2CE-6C59-4524-A512-E9E5BAFEAAF9}"/>
    <cellStyle name="Normal 3 2 6 5" xfId="581" xr:uid="{10162C59-FC37-441A-964A-CC5554E01496}"/>
    <cellStyle name="Normal 3 2 7" xfId="95" xr:uid="{B81AD17E-ED53-4127-BE0F-AE926A13B569}"/>
    <cellStyle name="Normal 3 2 7 2" xfId="223" xr:uid="{0C7260B5-ECA5-43C6-8FF9-569DA1F5C725}"/>
    <cellStyle name="Normal 3 2 7 2 2" xfId="479" xr:uid="{78C76569-968D-4B3D-A0CE-FF5EB6BE4413}"/>
    <cellStyle name="Normal 3 2 7 2 2 2" xfId="997" xr:uid="{D5006756-9AB5-42D3-825F-B65E489231D4}"/>
    <cellStyle name="Normal 3 2 7 2 3" xfId="741" xr:uid="{AB5382B7-7041-4C55-B216-AC8CEFF4C294}"/>
    <cellStyle name="Normal 3 2 7 3" xfId="351" xr:uid="{8CEFB30D-6CE8-4402-B8C3-8D92FF6A36AE}"/>
    <cellStyle name="Normal 3 2 7 3 2" xfId="869" xr:uid="{D3B7A934-FBF2-4A1A-A25E-68E46E94CBE3}"/>
    <cellStyle name="Normal 3 2 7 4" xfId="613" xr:uid="{6C98FD47-E70A-49E7-8487-5100FA244E1E}"/>
    <cellStyle name="Normal 3 2 8" xfId="159" xr:uid="{C6DCAC1D-3705-45B2-96C3-3960B1A54C1B}"/>
    <cellStyle name="Normal 3 2 8 2" xfId="415" xr:uid="{5315E6F0-DAB9-491B-99DC-C7378AE5F588}"/>
    <cellStyle name="Normal 3 2 8 2 2" xfId="933" xr:uid="{214E87C1-AFCF-4E67-9644-CF004F7C00A4}"/>
    <cellStyle name="Normal 3 2 8 3" xfId="677" xr:uid="{64D0A74E-0B60-4ADA-AEA8-50F93F70C19C}"/>
    <cellStyle name="Normal 3 2 9" xfId="287" xr:uid="{D21AD8F3-A061-4D3A-8A53-19BAD3A476DA}"/>
    <cellStyle name="Normal 3 2 9 2" xfId="805" xr:uid="{13B79C93-50B1-497C-8D33-CDADFB946711}"/>
    <cellStyle name="Normal 3 3" xfId="32" xr:uid="{A34DF3D5-1FBD-4196-9BD9-4EF3B52A4424}"/>
    <cellStyle name="Normal 3 3 2" xfId="36" xr:uid="{6D33DEA0-EF27-4CA7-A4DE-E084E89CF642}"/>
    <cellStyle name="Normal 3 3 2 2" xfId="44" xr:uid="{D21C2936-5270-4EDA-A161-C7B263FE299D}"/>
    <cellStyle name="Normal 3 3 2 2 2" xfId="60" xr:uid="{4A95B57E-0E65-428F-9408-214198A265DB}"/>
    <cellStyle name="Normal 3 3 2 2 2 2" xfId="92" xr:uid="{DB04285C-C3F3-4606-9A13-636EF71CFAEA}"/>
    <cellStyle name="Normal 3 3 2 2 2 2 2" xfId="156" xr:uid="{45B9D2E0-3006-4DB2-8C8A-C4013F793E39}"/>
    <cellStyle name="Normal 3 3 2 2 2 2 2 2" xfId="284" xr:uid="{31047279-DA61-43F1-B90C-3D744AFF2B51}"/>
    <cellStyle name="Normal 3 3 2 2 2 2 2 2 2" xfId="540" xr:uid="{6FCC5A4D-72C2-4A3A-989E-57BB1B4AB21A}"/>
    <cellStyle name="Normal 3 3 2 2 2 2 2 2 2 2" xfId="1058" xr:uid="{971B5D1E-DF28-4124-A1C2-EB8BFE868734}"/>
    <cellStyle name="Normal 3 3 2 2 2 2 2 2 3" xfId="802" xr:uid="{93F50BD9-615D-4864-B0D3-8C9B7486B7CC}"/>
    <cellStyle name="Normal 3 3 2 2 2 2 2 3" xfId="412" xr:uid="{D38430ED-F547-4805-8C4B-C27DC198AB61}"/>
    <cellStyle name="Normal 3 3 2 2 2 2 2 3 2" xfId="930" xr:uid="{2DAB9FC7-6B75-400C-AB4F-87E2EBEEBF5F}"/>
    <cellStyle name="Normal 3 3 2 2 2 2 2 4" xfId="674" xr:uid="{CF459EC1-924D-4EF3-9F5E-9928170DCEB6}"/>
    <cellStyle name="Normal 3 3 2 2 2 2 3" xfId="220" xr:uid="{53969291-8BA1-49E0-B70A-F635FA3E2067}"/>
    <cellStyle name="Normal 3 3 2 2 2 2 3 2" xfId="476" xr:uid="{FD1639D1-25EE-4903-AF86-AD733EE66F23}"/>
    <cellStyle name="Normal 3 3 2 2 2 2 3 2 2" xfId="994" xr:uid="{C9C4856D-7903-4347-94D0-DB6C31F8413E}"/>
    <cellStyle name="Normal 3 3 2 2 2 2 3 3" xfId="738" xr:uid="{A10FFE83-6479-42E0-AC42-A83FBCF4CAD8}"/>
    <cellStyle name="Normal 3 3 2 2 2 2 4" xfId="348" xr:uid="{C9ECA80E-557B-4AF1-88DD-7C3094958CB6}"/>
    <cellStyle name="Normal 3 3 2 2 2 2 4 2" xfId="866" xr:uid="{575C4569-4125-4305-BEF4-5FF92F046973}"/>
    <cellStyle name="Normal 3 3 2 2 2 2 5" xfId="610" xr:uid="{88D0078D-5D03-4ED5-9210-7A8884176672}"/>
    <cellStyle name="Normal 3 3 2 2 2 3" xfId="124" xr:uid="{B62D6B62-1C74-414C-BB82-B5E0A5BFCA71}"/>
    <cellStyle name="Normal 3 3 2 2 2 3 2" xfId="252" xr:uid="{3EF5A9ED-8B2B-4ABC-AB0B-178292EAA662}"/>
    <cellStyle name="Normal 3 3 2 2 2 3 2 2" xfId="508" xr:uid="{ACB8BDBD-922E-4EBE-9FA9-4032EE9BFEF8}"/>
    <cellStyle name="Normal 3 3 2 2 2 3 2 2 2" xfId="1026" xr:uid="{0809CE28-DE3B-4711-A81B-E99F14D324AB}"/>
    <cellStyle name="Normal 3 3 2 2 2 3 2 3" xfId="770" xr:uid="{0ADE4CB7-9018-4C8D-9780-5CB3600052EB}"/>
    <cellStyle name="Normal 3 3 2 2 2 3 3" xfId="380" xr:uid="{9E4E1F2A-6B31-4B3C-8A5A-60C23BFBA09B}"/>
    <cellStyle name="Normal 3 3 2 2 2 3 3 2" xfId="898" xr:uid="{D471B7FE-F3CA-4FAC-B23B-B37F475266B3}"/>
    <cellStyle name="Normal 3 3 2 2 2 3 4" xfId="642" xr:uid="{03E17612-1E42-4EDF-8B47-6967973552E0}"/>
    <cellStyle name="Normal 3 3 2 2 2 4" xfId="188" xr:uid="{76D5EE5F-37A8-48D6-92B4-371F4A78BA4C}"/>
    <cellStyle name="Normal 3 3 2 2 2 4 2" xfId="444" xr:uid="{5E459954-F315-4036-8956-AAD5E7BD30AE}"/>
    <cellStyle name="Normal 3 3 2 2 2 4 2 2" xfId="962" xr:uid="{B38AAABE-B05C-4AA3-B46E-B15F66EFDA91}"/>
    <cellStyle name="Normal 3 3 2 2 2 4 3" xfId="706" xr:uid="{F7A8A8CD-326D-4B1F-8D49-8231E9AE77F2}"/>
    <cellStyle name="Normal 3 3 2 2 2 5" xfId="316" xr:uid="{5B830DDB-43B8-4A6F-A0CE-BDF7F402977D}"/>
    <cellStyle name="Normal 3 3 2 2 2 5 2" xfId="834" xr:uid="{F8A086D6-19A3-47AA-9315-A6089BFF63B1}"/>
    <cellStyle name="Normal 3 3 2 2 2 6" xfId="578" xr:uid="{C6EBC346-6C3D-4118-8FBE-B05B804ACE91}"/>
    <cellStyle name="Normal 3 3 2 2 3" xfId="76" xr:uid="{A085C9F5-5AB6-4A47-9BBB-A0E5F59025F1}"/>
    <cellStyle name="Normal 3 3 2 2 3 2" xfId="140" xr:uid="{E68A33E9-AC32-4834-8ECF-32158AB41EE7}"/>
    <cellStyle name="Normal 3 3 2 2 3 2 2" xfId="268" xr:uid="{BA9329A9-7DC4-44CA-813D-416B64825EA8}"/>
    <cellStyle name="Normal 3 3 2 2 3 2 2 2" xfId="524" xr:uid="{3243DEC7-069C-4C4F-A9A0-7CEF81495F92}"/>
    <cellStyle name="Normal 3 3 2 2 3 2 2 2 2" xfId="1042" xr:uid="{23A599C4-F84E-496F-987B-570320EB2072}"/>
    <cellStyle name="Normal 3 3 2 2 3 2 2 3" xfId="786" xr:uid="{B0883D7D-9374-480B-968A-B49AE34D3F7A}"/>
    <cellStyle name="Normal 3 3 2 2 3 2 3" xfId="396" xr:uid="{691F6321-82A7-4226-A3FD-82A00525CF08}"/>
    <cellStyle name="Normal 3 3 2 2 3 2 3 2" xfId="914" xr:uid="{656883C4-3029-402A-ACDA-E404E44DA3C8}"/>
    <cellStyle name="Normal 3 3 2 2 3 2 4" xfId="658" xr:uid="{B44E9C08-EC95-49AD-90D4-BAFB7353DCDA}"/>
    <cellStyle name="Normal 3 3 2 2 3 3" xfId="204" xr:uid="{231ED882-244F-45E7-B1C3-8BF117A3BE8A}"/>
    <cellStyle name="Normal 3 3 2 2 3 3 2" xfId="460" xr:uid="{93A4F27A-5477-42DE-861F-C822DB086B52}"/>
    <cellStyle name="Normal 3 3 2 2 3 3 2 2" xfId="978" xr:uid="{114BAA77-040A-415C-A69C-57A30F9EC7C3}"/>
    <cellStyle name="Normal 3 3 2 2 3 3 3" xfId="722" xr:uid="{060C3584-C714-48C9-82AB-64D9B44FC209}"/>
    <cellStyle name="Normal 3 3 2 2 3 4" xfId="332" xr:uid="{70F17CFB-4881-4254-93A6-AB6111C5D3C6}"/>
    <cellStyle name="Normal 3 3 2 2 3 4 2" xfId="850" xr:uid="{4E842CA0-82C2-4C60-AB53-6D6FD140AD67}"/>
    <cellStyle name="Normal 3 3 2 2 3 5" xfId="594" xr:uid="{29DF11E4-4A85-4515-B3A4-C213AA5F8D0C}"/>
    <cellStyle name="Normal 3 3 2 2 4" xfId="108" xr:uid="{7461CA0C-DAD5-4B03-9F32-4B172F3AA3DE}"/>
    <cellStyle name="Normal 3 3 2 2 4 2" xfId="236" xr:uid="{C899C0E5-2B1A-4BF8-AEFC-AFFEB20CD475}"/>
    <cellStyle name="Normal 3 3 2 2 4 2 2" xfId="492" xr:uid="{E9884C08-D494-4BB1-82D0-1C5B552395D5}"/>
    <cellStyle name="Normal 3 3 2 2 4 2 2 2" xfId="1010" xr:uid="{724299E6-DDBC-4F89-9285-6ED3C29FBF2F}"/>
    <cellStyle name="Normal 3 3 2 2 4 2 3" xfId="754" xr:uid="{2D06C93B-83AC-4D08-8749-2447E7767166}"/>
    <cellStyle name="Normal 3 3 2 2 4 3" xfId="364" xr:uid="{63F26990-1281-4CEC-AB7A-09C7A938340E}"/>
    <cellStyle name="Normal 3 3 2 2 4 3 2" xfId="882" xr:uid="{E7A7B2D5-CCF8-4495-A0DB-63F01E77909A}"/>
    <cellStyle name="Normal 3 3 2 2 4 4" xfId="626" xr:uid="{960122B8-B9D2-4362-ABBA-A059B83FA94C}"/>
    <cellStyle name="Normal 3 3 2 2 5" xfId="172" xr:uid="{D50F0481-1F92-4658-9E21-F3A2A7B238E4}"/>
    <cellStyle name="Normal 3 3 2 2 5 2" xfId="428" xr:uid="{08C884CF-D6C6-4DD9-9212-B686DF2D4C00}"/>
    <cellStyle name="Normal 3 3 2 2 5 2 2" xfId="946" xr:uid="{E74A69E2-2A8D-4AF6-8351-6A7DAFCED0A4}"/>
    <cellStyle name="Normal 3 3 2 2 5 3" xfId="690" xr:uid="{82514A29-1015-4278-859D-2F0269EC700E}"/>
    <cellStyle name="Normal 3 3 2 2 6" xfId="300" xr:uid="{E30D41FD-F4FC-4D84-9FBB-05B05B1639A2}"/>
    <cellStyle name="Normal 3 3 2 2 6 2" xfId="818" xr:uid="{7D93F163-3BFE-4ABD-97AE-E45E7A1D1A1E}"/>
    <cellStyle name="Normal 3 3 2 2 7" xfId="562" xr:uid="{2BD3103A-91B1-46CE-9AE4-FFC1ED2A4E45}"/>
    <cellStyle name="Normal 3 3 2 3" xfId="52" xr:uid="{99987F07-CCDF-470F-85D0-199DC13F391A}"/>
    <cellStyle name="Normal 3 3 2 3 2" xfId="84" xr:uid="{4FB23FFB-6FBB-4498-95BB-9BE547153585}"/>
    <cellStyle name="Normal 3 3 2 3 2 2" xfId="148" xr:uid="{DFF27178-3524-4820-B743-9E5D6EF64609}"/>
    <cellStyle name="Normal 3 3 2 3 2 2 2" xfId="276" xr:uid="{7167AF4C-7692-4B49-8184-55E2EEA03E35}"/>
    <cellStyle name="Normal 3 3 2 3 2 2 2 2" xfId="532" xr:uid="{82A4EF5D-7F3E-4CED-8400-312323568AE1}"/>
    <cellStyle name="Normal 3 3 2 3 2 2 2 2 2" xfId="1050" xr:uid="{014D1513-DDA2-4443-9575-CB960ADB5C3A}"/>
    <cellStyle name="Normal 3 3 2 3 2 2 2 3" xfId="794" xr:uid="{5894C2CD-3269-4818-8686-7F74E92546AA}"/>
    <cellStyle name="Normal 3 3 2 3 2 2 3" xfId="404" xr:uid="{CFDBD18E-C61B-4A26-989A-2A72138871C9}"/>
    <cellStyle name="Normal 3 3 2 3 2 2 3 2" xfId="922" xr:uid="{0B58BECE-9C15-4DB2-A50A-8DC0264251DF}"/>
    <cellStyle name="Normal 3 3 2 3 2 2 4" xfId="666" xr:uid="{D4066532-26AC-407F-8565-32A2A0DEBFEF}"/>
    <cellStyle name="Normal 3 3 2 3 2 3" xfId="212" xr:uid="{2A790B08-6D4D-441A-899C-DE723FFCD2B7}"/>
    <cellStyle name="Normal 3 3 2 3 2 3 2" xfId="468" xr:uid="{9B3F332E-0568-4D43-B101-F77A9B167A81}"/>
    <cellStyle name="Normal 3 3 2 3 2 3 2 2" xfId="986" xr:uid="{A0912A35-07B6-46C9-9DC5-CF1ACC93691E}"/>
    <cellStyle name="Normal 3 3 2 3 2 3 3" xfId="730" xr:uid="{F7956A96-7B29-4922-A79D-1688CC14A13E}"/>
    <cellStyle name="Normal 3 3 2 3 2 4" xfId="340" xr:uid="{C7A3519E-6510-4A22-B3A5-A262AC9DF3E7}"/>
    <cellStyle name="Normal 3 3 2 3 2 4 2" xfId="858" xr:uid="{79DD6BD9-6BF4-4A4F-B4A9-B6AF1B2740E6}"/>
    <cellStyle name="Normal 3 3 2 3 2 5" xfId="602" xr:uid="{18F80BAD-1322-4D40-A29F-B39F64DC4640}"/>
    <cellStyle name="Normal 3 3 2 3 3" xfId="116" xr:uid="{61952E12-B06B-40E9-826D-BF86CADC68D9}"/>
    <cellStyle name="Normal 3 3 2 3 3 2" xfId="244" xr:uid="{24A22F60-6E17-4725-9C29-703C48BA2BAD}"/>
    <cellStyle name="Normal 3 3 2 3 3 2 2" xfId="500" xr:uid="{7CEBD31E-F207-455A-9A10-6D90E1AE7263}"/>
    <cellStyle name="Normal 3 3 2 3 3 2 2 2" xfId="1018" xr:uid="{0CEE68F5-1E74-40E1-A34B-766B93B72BC4}"/>
    <cellStyle name="Normal 3 3 2 3 3 2 3" xfId="762" xr:uid="{79AA71DF-C0E3-4DCB-A901-1451ED2C7F29}"/>
    <cellStyle name="Normal 3 3 2 3 3 3" xfId="372" xr:uid="{AFD8F950-8AB9-49AA-95A6-4B670D7D2172}"/>
    <cellStyle name="Normal 3 3 2 3 3 3 2" xfId="890" xr:uid="{D8B83063-1107-4DD2-9B2F-8969C10ABF57}"/>
    <cellStyle name="Normal 3 3 2 3 3 4" xfId="634" xr:uid="{2B385C7F-0CBD-4D9D-8E7B-9F579926F126}"/>
    <cellStyle name="Normal 3 3 2 3 4" xfId="180" xr:uid="{80102613-21A2-4763-964E-A822256C2E7B}"/>
    <cellStyle name="Normal 3 3 2 3 4 2" xfId="436" xr:uid="{A285E39B-6CFE-4B93-A9A3-14D8EFDBB266}"/>
    <cellStyle name="Normal 3 3 2 3 4 2 2" xfId="954" xr:uid="{A241FE48-1D24-4FE4-9205-DC88B99068A2}"/>
    <cellStyle name="Normal 3 3 2 3 4 3" xfId="698" xr:uid="{9A0269B9-1928-42FE-B8F7-0CB1DB549C5A}"/>
    <cellStyle name="Normal 3 3 2 3 5" xfId="308" xr:uid="{DB3FF673-03B0-4B94-9B65-6358A83D18C9}"/>
    <cellStyle name="Normal 3 3 2 3 5 2" xfId="826" xr:uid="{3995B61D-C067-4064-A93B-BD4E718714EC}"/>
    <cellStyle name="Normal 3 3 2 3 6" xfId="570" xr:uid="{3B251A77-0138-4CF1-9414-B0E2E0D61DF7}"/>
    <cellStyle name="Normal 3 3 2 4" xfId="68" xr:uid="{4F135C36-7205-480D-9769-DDF78A92FC92}"/>
    <cellStyle name="Normal 3 3 2 4 2" xfId="132" xr:uid="{7162C68D-0E09-4B4A-8AA0-33BA6A17C461}"/>
    <cellStyle name="Normal 3 3 2 4 2 2" xfId="260" xr:uid="{7DF37E79-7881-49F3-8431-BD9D2FA559BE}"/>
    <cellStyle name="Normal 3 3 2 4 2 2 2" xfId="516" xr:uid="{FA9E7E6B-B1E5-4684-AED5-AC7CB4937B46}"/>
    <cellStyle name="Normal 3 3 2 4 2 2 2 2" xfId="1034" xr:uid="{23684662-7BF4-444B-967E-16B39FD8E289}"/>
    <cellStyle name="Normal 3 3 2 4 2 2 3" xfId="778" xr:uid="{1C37B2DF-6DAB-4A09-B745-AF252A7C0EA1}"/>
    <cellStyle name="Normal 3 3 2 4 2 3" xfId="388" xr:uid="{2A0F401C-46C9-413E-ADDF-7F634AF6E0ED}"/>
    <cellStyle name="Normal 3 3 2 4 2 3 2" xfId="906" xr:uid="{725F2253-FEAD-4A77-8883-880B4B4E26B0}"/>
    <cellStyle name="Normal 3 3 2 4 2 4" xfId="650" xr:uid="{8E2CF134-5E49-4AA7-B30A-7D0E57392CEC}"/>
    <cellStyle name="Normal 3 3 2 4 3" xfId="196" xr:uid="{124F8E62-6BAC-4A67-ABCE-5EC9BEA523B3}"/>
    <cellStyle name="Normal 3 3 2 4 3 2" xfId="452" xr:uid="{23F6166D-FF72-4144-B84E-A9BAF99B1214}"/>
    <cellStyle name="Normal 3 3 2 4 3 2 2" xfId="970" xr:uid="{9C454257-DF22-4E13-B073-D67A51CCB85D}"/>
    <cellStyle name="Normal 3 3 2 4 3 3" xfId="714" xr:uid="{F71B0137-C85C-47D9-8EA5-2B733117828B}"/>
    <cellStyle name="Normal 3 3 2 4 4" xfId="324" xr:uid="{008D666C-96C1-4EC3-B43C-A4F825E1DBBA}"/>
    <cellStyle name="Normal 3 3 2 4 4 2" xfId="842" xr:uid="{43B1A78D-C18B-41C7-95FC-B221BC541ED3}"/>
    <cellStyle name="Normal 3 3 2 4 5" xfId="586" xr:uid="{A7E365CA-9AA8-4871-A2FA-EA5657B17AB4}"/>
    <cellStyle name="Normal 3 3 2 5" xfId="100" xr:uid="{54C3A236-3C44-446B-817F-0129D27079B1}"/>
    <cellStyle name="Normal 3 3 2 5 2" xfId="228" xr:uid="{39169C89-191E-4C8F-8238-4FABA41471FC}"/>
    <cellStyle name="Normal 3 3 2 5 2 2" xfId="484" xr:uid="{DC289182-DE4F-4854-AB50-11EA7071939F}"/>
    <cellStyle name="Normal 3 3 2 5 2 2 2" xfId="1002" xr:uid="{CDF3F914-5702-4E50-A123-C41AC122A421}"/>
    <cellStyle name="Normal 3 3 2 5 2 3" xfId="746" xr:uid="{C9CA042F-528D-4CC4-ABF5-55BC059AC881}"/>
    <cellStyle name="Normal 3 3 2 5 3" xfId="356" xr:uid="{1F09E2E3-1A28-49D1-8735-25282C35561D}"/>
    <cellStyle name="Normal 3 3 2 5 3 2" xfId="874" xr:uid="{7F5C1323-2D68-4E1E-B99A-5866B8FBA56F}"/>
    <cellStyle name="Normal 3 3 2 5 4" xfId="618" xr:uid="{C849264B-C458-4296-9F0D-17BBD757DD06}"/>
    <cellStyle name="Normal 3 3 2 6" xfId="164" xr:uid="{944960DA-A9A4-408F-80DC-C447ECBAE1BC}"/>
    <cellStyle name="Normal 3 3 2 6 2" xfId="420" xr:uid="{6808FDD6-5236-4840-96AF-3A8B682237F8}"/>
    <cellStyle name="Normal 3 3 2 6 2 2" xfId="938" xr:uid="{3530DD46-4868-42FE-8CB6-41FABB50DC76}"/>
    <cellStyle name="Normal 3 3 2 6 3" xfId="682" xr:uid="{6EC13526-7299-4AED-92AE-4F3DE43EE3B2}"/>
    <cellStyle name="Normal 3 3 2 7" xfId="292" xr:uid="{31395647-7185-4414-9D70-E022C864ED10}"/>
    <cellStyle name="Normal 3 3 2 7 2" xfId="810" xr:uid="{086EBB01-B7D1-4FE1-BC7D-F08DA536B85D}"/>
    <cellStyle name="Normal 3 3 2 8" xfId="554" xr:uid="{251FE5D5-8FDC-40AE-B86B-CD6327392CF9}"/>
    <cellStyle name="Normal 3 3 3" xfId="40" xr:uid="{BE15CD73-D58F-4680-B3F0-15539FB37E88}"/>
    <cellStyle name="Normal 3 3 3 2" xfId="56" xr:uid="{BEA43FF7-9EB7-4A8B-AC81-883776B6072C}"/>
    <cellStyle name="Normal 3 3 3 2 2" xfId="88" xr:uid="{0F22572C-3C72-4A8A-A160-70BC59B5801B}"/>
    <cellStyle name="Normal 3 3 3 2 2 2" xfId="152" xr:uid="{553289A4-F10E-4B89-86A4-0EA51CAA8EEA}"/>
    <cellStyle name="Normal 3 3 3 2 2 2 2" xfId="280" xr:uid="{B52EF3B2-8C62-4D67-9186-53947F3F7605}"/>
    <cellStyle name="Normal 3 3 3 2 2 2 2 2" xfId="536" xr:uid="{68BB099A-D0B2-4F70-A745-5B3C1A900CBF}"/>
    <cellStyle name="Normal 3 3 3 2 2 2 2 2 2" xfId="1054" xr:uid="{091B114D-EB00-4DB2-9F85-4BC44ADBCDA1}"/>
    <cellStyle name="Normal 3 3 3 2 2 2 2 3" xfId="798" xr:uid="{F82319CA-0973-421D-B6E8-21832273C424}"/>
    <cellStyle name="Normal 3 3 3 2 2 2 3" xfId="408" xr:uid="{84FB0B2A-000E-4F38-843F-EF043D9A1BF3}"/>
    <cellStyle name="Normal 3 3 3 2 2 2 3 2" xfId="926" xr:uid="{B69F1402-7228-4D0A-8E18-6214D3BF5040}"/>
    <cellStyle name="Normal 3 3 3 2 2 2 4" xfId="670" xr:uid="{688A6768-55E8-46D0-B14A-8354788CED4E}"/>
    <cellStyle name="Normal 3 3 3 2 2 3" xfId="216" xr:uid="{684495F2-A4E2-46C4-9A6A-D60406EE65A7}"/>
    <cellStyle name="Normal 3 3 3 2 2 3 2" xfId="472" xr:uid="{8C9B1052-E3D3-4B89-85E6-2C484B513938}"/>
    <cellStyle name="Normal 3 3 3 2 2 3 2 2" xfId="990" xr:uid="{43375433-BD1D-4038-9646-C06C97B40769}"/>
    <cellStyle name="Normal 3 3 3 2 2 3 3" xfId="734" xr:uid="{E00CAC37-6620-4655-8B9B-F0FE81F1667F}"/>
    <cellStyle name="Normal 3 3 3 2 2 4" xfId="344" xr:uid="{DC4F7B87-F930-456D-9182-D02E4190C1CD}"/>
    <cellStyle name="Normal 3 3 3 2 2 4 2" xfId="862" xr:uid="{3BF724EA-6CFC-427C-9974-A1119E55801D}"/>
    <cellStyle name="Normal 3 3 3 2 2 5" xfId="606" xr:uid="{04C10D56-4209-4A2D-B837-4BD03CDCA525}"/>
    <cellStyle name="Normal 3 3 3 2 3" xfId="120" xr:uid="{11D08E2B-25AB-4BB9-B47B-ED7B6B532EED}"/>
    <cellStyle name="Normal 3 3 3 2 3 2" xfId="248" xr:uid="{8445DED1-A646-4B7F-9FDC-136CD60F0BC0}"/>
    <cellStyle name="Normal 3 3 3 2 3 2 2" xfId="504" xr:uid="{8F99B22E-B1BF-4DB6-B579-F5926B8773EB}"/>
    <cellStyle name="Normal 3 3 3 2 3 2 2 2" xfId="1022" xr:uid="{8995CA99-BA16-4E74-98C2-D312BC9EB07F}"/>
    <cellStyle name="Normal 3 3 3 2 3 2 3" xfId="766" xr:uid="{D34D2BF0-CDE0-4DA2-AC70-F79133939C7B}"/>
    <cellStyle name="Normal 3 3 3 2 3 3" xfId="376" xr:uid="{805F5761-8817-498C-92B5-964AD85E38F0}"/>
    <cellStyle name="Normal 3 3 3 2 3 3 2" xfId="894" xr:uid="{2380965A-4B51-4077-9118-9EA2D465BF6E}"/>
    <cellStyle name="Normal 3 3 3 2 3 4" xfId="638" xr:uid="{979E2157-6857-4CFC-8FAC-AFE0D74483A1}"/>
    <cellStyle name="Normal 3 3 3 2 4" xfId="184" xr:uid="{DF7A2479-8C47-41E9-ACFB-015578DE4E03}"/>
    <cellStyle name="Normal 3 3 3 2 4 2" xfId="440" xr:uid="{B417C138-CEDD-40B9-8153-874297B35664}"/>
    <cellStyle name="Normal 3 3 3 2 4 2 2" xfId="958" xr:uid="{28D878F0-C1AE-42A0-9724-1628FB13291F}"/>
    <cellStyle name="Normal 3 3 3 2 4 3" xfId="702" xr:uid="{6E1C444F-5350-4F59-890C-2AC178F39748}"/>
    <cellStyle name="Normal 3 3 3 2 5" xfId="312" xr:uid="{ACDA5007-3A52-4DE1-B4DE-68BFCD1CBC7E}"/>
    <cellStyle name="Normal 3 3 3 2 5 2" xfId="830" xr:uid="{EA2D3FA6-DCE2-43C0-8655-E1912E7B5551}"/>
    <cellStyle name="Normal 3 3 3 2 6" xfId="574" xr:uid="{77BEF4D8-9CD2-40C5-B133-89E427B1BB3F}"/>
    <cellStyle name="Normal 3 3 3 3" xfId="72" xr:uid="{0956A949-82DC-41AE-9B76-2CCD0D34A67B}"/>
    <cellStyle name="Normal 3 3 3 3 2" xfId="136" xr:uid="{BF0B54E3-2811-46FF-9766-3E4A3768FE19}"/>
    <cellStyle name="Normal 3 3 3 3 2 2" xfId="264" xr:uid="{38C7E97D-2F11-49B2-9DB6-96614B87B29F}"/>
    <cellStyle name="Normal 3 3 3 3 2 2 2" xfId="520" xr:uid="{248DBF09-F4A3-43AE-B2B1-B9D9E5F202F7}"/>
    <cellStyle name="Normal 3 3 3 3 2 2 2 2" xfId="1038" xr:uid="{E3D03FF5-1332-4E5F-9A48-D7B5319CC50E}"/>
    <cellStyle name="Normal 3 3 3 3 2 2 3" xfId="782" xr:uid="{CEC037D2-7CF6-44A1-B30D-4113846AD8CC}"/>
    <cellStyle name="Normal 3 3 3 3 2 3" xfId="392" xr:uid="{F35E1071-C303-4794-9EF5-9396FF5AC601}"/>
    <cellStyle name="Normal 3 3 3 3 2 3 2" xfId="910" xr:uid="{D4CA8862-2AD6-4694-A158-DAFB2ABBA48C}"/>
    <cellStyle name="Normal 3 3 3 3 2 4" xfId="654" xr:uid="{DBE1AE12-F80A-4F54-9CE3-B0CAFE03363A}"/>
    <cellStyle name="Normal 3 3 3 3 3" xfId="200" xr:uid="{C6A13F75-D329-48E0-B926-3DBC985EF28A}"/>
    <cellStyle name="Normal 3 3 3 3 3 2" xfId="456" xr:uid="{1FC60ECE-A859-486D-8AB3-A3D8FA5B6D45}"/>
    <cellStyle name="Normal 3 3 3 3 3 2 2" xfId="974" xr:uid="{6BE5B62F-E422-4321-BA9F-976163D673D6}"/>
    <cellStyle name="Normal 3 3 3 3 3 3" xfId="718" xr:uid="{CC8086EB-EAE8-4555-AF7E-217847410592}"/>
    <cellStyle name="Normal 3 3 3 3 4" xfId="328" xr:uid="{6F61484E-D7D1-474F-ACFF-5B6E6DC1C036}"/>
    <cellStyle name="Normal 3 3 3 3 4 2" xfId="846" xr:uid="{E31C97E6-14D7-40BD-BC13-9035CCB86660}"/>
    <cellStyle name="Normal 3 3 3 3 5" xfId="590" xr:uid="{C4373C87-7B40-4078-8758-230A985ADE38}"/>
    <cellStyle name="Normal 3 3 3 4" xfId="104" xr:uid="{00C83408-8628-4D5E-A99E-C2BA712F4084}"/>
    <cellStyle name="Normal 3 3 3 4 2" xfId="232" xr:uid="{9B47F34B-FDF3-440D-A27D-E2E3495FC49B}"/>
    <cellStyle name="Normal 3 3 3 4 2 2" xfId="488" xr:uid="{331F4130-69A9-475F-8458-C3824233219C}"/>
    <cellStyle name="Normal 3 3 3 4 2 2 2" xfId="1006" xr:uid="{DE84613E-A86D-4355-85FF-A95458FF7969}"/>
    <cellStyle name="Normal 3 3 3 4 2 3" xfId="750" xr:uid="{77C77335-61CE-4117-AB14-22B55F3D7375}"/>
    <cellStyle name="Normal 3 3 3 4 3" xfId="360" xr:uid="{485D21C1-B4A2-4ED9-8794-FAA7A08D9358}"/>
    <cellStyle name="Normal 3 3 3 4 3 2" xfId="878" xr:uid="{FEF0A6BB-B6EE-4FDB-9D95-BA9FF383CD9B}"/>
    <cellStyle name="Normal 3 3 3 4 4" xfId="622" xr:uid="{4C80C4B0-FE5F-4D8E-BE77-3C6246B03FDB}"/>
    <cellStyle name="Normal 3 3 3 5" xfId="168" xr:uid="{73E670CF-52A8-4728-8480-94E44D843DFA}"/>
    <cellStyle name="Normal 3 3 3 5 2" xfId="424" xr:uid="{1D94A392-A767-49B4-9160-2BDAF1D36443}"/>
    <cellStyle name="Normal 3 3 3 5 2 2" xfId="942" xr:uid="{7E7B9AEC-B45A-4EF6-920E-BD525C72A3A0}"/>
    <cellStyle name="Normal 3 3 3 5 3" xfId="686" xr:uid="{B482C81F-BA07-414D-8E62-94576EF2F0FE}"/>
    <cellStyle name="Normal 3 3 3 6" xfId="296" xr:uid="{4C6475F3-4306-46A2-9E19-A7BDFB57E934}"/>
    <cellStyle name="Normal 3 3 3 6 2" xfId="814" xr:uid="{8272D9EC-23B8-4253-8B35-7BE52DB31FE5}"/>
    <cellStyle name="Normal 3 3 3 7" xfId="558" xr:uid="{A6838625-2B33-442B-AA69-EC6BDF006C30}"/>
    <cellStyle name="Normal 3 3 4" xfId="48" xr:uid="{DA331A93-CBF2-4B9E-A282-0289AA6F8CA9}"/>
    <cellStyle name="Normal 3 3 4 2" xfId="80" xr:uid="{319D3A87-939C-4689-9D34-F56EDC82AAD8}"/>
    <cellStyle name="Normal 3 3 4 2 2" xfId="144" xr:uid="{4DACC6AF-815D-46B4-9D6E-8F729AF7F2A8}"/>
    <cellStyle name="Normal 3 3 4 2 2 2" xfId="272" xr:uid="{408FDFBF-2511-4521-A095-528FC858E220}"/>
    <cellStyle name="Normal 3 3 4 2 2 2 2" xfId="528" xr:uid="{A189E3D1-54AA-4DF3-A386-333DE7621227}"/>
    <cellStyle name="Normal 3 3 4 2 2 2 2 2" xfId="1046" xr:uid="{F4E4C394-1EA9-404A-9E92-1D3F4FDA3C4C}"/>
    <cellStyle name="Normal 3 3 4 2 2 2 3" xfId="790" xr:uid="{E8EE1733-598A-4F19-956A-1539C800A7F6}"/>
    <cellStyle name="Normal 3 3 4 2 2 3" xfId="400" xr:uid="{1E3E7FC7-7D6A-43E2-8AE9-6F6CDDF04608}"/>
    <cellStyle name="Normal 3 3 4 2 2 3 2" xfId="918" xr:uid="{ED0EAFD6-41A9-4223-AAC6-5364A90B54E9}"/>
    <cellStyle name="Normal 3 3 4 2 2 4" xfId="662" xr:uid="{F57874A2-0AC4-42C7-85BB-E0338A8FDB93}"/>
    <cellStyle name="Normal 3 3 4 2 3" xfId="208" xr:uid="{F38E73BF-8863-4A9C-A8C7-FA198007C44D}"/>
    <cellStyle name="Normal 3 3 4 2 3 2" xfId="464" xr:uid="{097BA66A-2FF8-4652-8E9E-EB08AA9CFA92}"/>
    <cellStyle name="Normal 3 3 4 2 3 2 2" xfId="982" xr:uid="{9E294FA0-02C8-48E0-9F0D-5FCCFAAF8792}"/>
    <cellStyle name="Normal 3 3 4 2 3 3" xfId="726" xr:uid="{47C2CFB4-EDD2-40D9-B169-4E79050590A1}"/>
    <cellStyle name="Normal 3 3 4 2 4" xfId="336" xr:uid="{271FC33A-2183-43BA-BED1-9D1269FD8BDB}"/>
    <cellStyle name="Normal 3 3 4 2 4 2" xfId="854" xr:uid="{363EE2AB-8CA4-4DF3-96A0-4E2B194AB255}"/>
    <cellStyle name="Normal 3 3 4 2 5" xfId="598" xr:uid="{7C2FD3DC-2DFA-44BC-914C-4D8DD7D48505}"/>
    <cellStyle name="Normal 3 3 4 3" xfId="112" xr:uid="{3C425000-4C93-456E-ACF1-558E73AE5B30}"/>
    <cellStyle name="Normal 3 3 4 3 2" xfId="240" xr:uid="{65AEFAC7-360D-42C6-BD7C-A6FAC8D111EE}"/>
    <cellStyle name="Normal 3 3 4 3 2 2" xfId="496" xr:uid="{37212748-6334-467B-9D11-BE31F3913BFF}"/>
    <cellStyle name="Normal 3 3 4 3 2 2 2" xfId="1014" xr:uid="{8AD48843-9A7D-42A0-9AD9-83FCCFF0EB58}"/>
    <cellStyle name="Normal 3 3 4 3 2 3" xfId="758" xr:uid="{EEB09C92-F190-4B8B-BE77-FA0DB431AB26}"/>
    <cellStyle name="Normal 3 3 4 3 3" xfId="368" xr:uid="{45821CE4-C411-4B03-9435-870970350902}"/>
    <cellStyle name="Normal 3 3 4 3 3 2" xfId="886" xr:uid="{F0A29877-253F-4716-993F-2D059F158597}"/>
    <cellStyle name="Normal 3 3 4 3 4" xfId="630" xr:uid="{80928F8B-9377-4E18-A6EB-64BF4970F909}"/>
    <cellStyle name="Normal 3 3 4 4" xfId="176" xr:uid="{9DC19082-41C8-41CE-94DB-A44E220BAE27}"/>
    <cellStyle name="Normal 3 3 4 4 2" xfId="432" xr:uid="{9ED79598-A7F7-4571-BB21-4AE8E53F7E31}"/>
    <cellStyle name="Normal 3 3 4 4 2 2" xfId="950" xr:uid="{24EA397F-B47C-4195-8DA7-9670CE32B37E}"/>
    <cellStyle name="Normal 3 3 4 4 3" xfId="694" xr:uid="{90008741-3D31-4058-BD00-6141A41389AE}"/>
    <cellStyle name="Normal 3 3 4 5" xfId="304" xr:uid="{26C21C47-0494-4694-96FC-930842FB7EB2}"/>
    <cellStyle name="Normal 3 3 4 5 2" xfId="822" xr:uid="{1EA61AD3-7940-4023-A715-3951499A5813}"/>
    <cellStyle name="Normal 3 3 4 6" xfId="566" xr:uid="{0C853D77-B631-4CC6-BDBA-682F3ADBDD98}"/>
    <cellStyle name="Normal 3 3 5" xfId="64" xr:uid="{8E04E369-17AB-40B9-A15C-19B5AC5C2F32}"/>
    <cellStyle name="Normal 3 3 5 2" xfId="128" xr:uid="{18C4F831-0E34-4CFC-B6C9-6ADCDEDED46D}"/>
    <cellStyle name="Normal 3 3 5 2 2" xfId="256" xr:uid="{64485297-B753-4AE0-907E-41B87AC60134}"/>
    <cellStyle name="Normal 3 3 5 2 2 2" xfId="512" xr:uid="{9C6EA03B-D79C-4AF3-B35D-5D67E89AD099}"/>
    <cellStyle name="Normal 3 3 5 2 2 2 2" xfId="1030" xr:uid="{555F6AA5-73D3-4E6F-9E87-E12835C5EC13}"/>
    <cellStyle name="Normal 3 3 5 2 2 3" xfId="774" xr:uid="{0E32BE6F-7097-4F06-B2B6-850FBE51B886}"/>
    <cellStyle name="Normal 3 3 5 2 3" xfId="384" xr:uid="{0129F155-5029-4417-9872-11EDFB7E8F00}"/>
    <cellStyle name="Normal 3 3 5 2 3 2" xfId="902" xr:uid="{A2A32D4C-1CD8-445F-B4E7-96BF37934513}"/>
    <cellStyle name="Normal 3 3 5 2 4" xfId="646" xr:uid="{E6B99ED2-5BBC-4BA0-8EA9-82B0CA36366E}"/>
    <cellStyle name="Normal 3 3 5 3" xfId="192" xr:uid="{F2326E50-9B67-48F5-BDEF-4C6BD6D01D72}"/>
    <cellStyle name="Normal 3 3 5 3 2" xfId="448" xr:uid="{D4E2224C-E74E-4CEA-9755-87BEAEC79C1C}"/>
    <cellStyle name="Normal 3 3 5 3 2 2" xfId="966" xr:uid="{CB70ED70-1B86-4984-90B6-D34D57F3D724}"/>
    <cellStyle name="Normal 3 3 5 3 3" xfId="710" xr:uid="{264936FC-C709-4513-A17E-B528782FEF17}"/>
    <cellStyle name="Normal 3 3 5 4" xfId="320" xr:uid="{A5464988-322D-4362-8773-BA523240BB81}"/>
    <cellStyle name="Normal 3 3 5 4 2" xfId="838" xr:uid="{28E90267-85C8-4F51-B9B4-8FE2C85F8DA5}"/>
    <cellStyle name="Normal 3 3 5 5" xfId="582" xr:uid="{8B00018E-8FF9-4122-B8E6-DB4832C6C3D0}"/>
    <cellStyle name="Normal 3 3 6" xfId="96" xr:uid="{064F8813-B150-47F5-ACDD-F7BBD7027E82}"/>
    <cellStyle name="Normal 3 3 6 2" xfId="224" xr:uid="{C90498C4-BD9E-4B42-9EB4-BFB84CCB9CDB}"/>
    <cellStyle name="Normal 3 3 6 2 2" xfId="480" xr:uid="{B41ED7DE-5C0A-4375-B1C5-2A541AA27764}"/>
    <cellStyle name="Normal 3 3 6 2 2 2" xfId="998" xr:uid="{605FCED1-EEAB-4FE8-90F2-01E98054DFAF}"/>
    <cellStyle name="Normal 3 3 6 2 3" xfId="742" xr:uid="{46518393-7BE0-4FB7-820A-83892AE3379D}"/>
    <cellStyle name="Normal 3 3 6 3" xfId="352" xr:uid="{0F9707F1-2B2B-43DB-99DC-1BD07C4DE69B}"/>
    <cellStyle name="Normal 3 3 6 3 2" xfId="870" xr:uid="{3AE316D2-AAC5-49DC-BBEA-ED1B5DF4C980}"/>
    <cellStyle name="Normal 3 3 6 4" xfId="614" xr:uid="{E6E52818-B6F9-43A6-80F7-93BD4A297147}"/>
    <cellStyle name="Normal 3 3 7" xfId="160" xr:uid="{6C4A80F7-1E62-47A4-BC3E-34074246FA4B}"/>
    <cellStyle name="Normal 3 3 7 2" xfId="416" xr:uid="{B4BCCAB5-BE80-4F38-A59D-E6FA3284BD31}"/>
    <cellStyle name="Normal 3 3 7 2 2" xfId="934" xr:uid="{A47F2FF0-C773-41C7-9BD8-444008B78545}"/>
    <cellStyle name="Normal 3 3 7 3" xfId="678" xr:uid="{73108E10-6EC9-4D6C-8881-48E73FA3CB9F}"/>
    <cellStyle name="Normal 3 3 8" xfId="288" xr:uid="{D382FBAC-A113-4587-8BFD-ABD8DBB60B79}"/>
    <cellStyle name="Normal 3 3 8 2" xfId="806" xr:uid="{6343FCFE-D343-43A8-BA3D-02C350F84C82}"/>
    <cellStyle name="Normal 3 3 9" xfId="550" xr:uid="{768317C6-6255-47D0-9234-3D382B236DEE}"/>
    <cellStyle name="Normal 3 4" xfId="34" xr:uid="{7B63E1CD-2BE5-4DCB-97EA-51B8A698D0B7}"/>
    <cellStyle name="Normal 3 4 2" xfId="42" xr:uid="{662749CB-7946-4B12-8BEF-8A293028582E}"/>
    <cellStyle name="Normal 3 4 2 2" xfId="58" xr:uid="{0065963F-12DD-46CB-A37E-AFBE7D8B151F}"/>
    <cellStyle name="Normal 3 4 2 2 2" xfId="90" xr:uid="{F04472A6-0CF0-4D0E-85FD-FDE81877827A}"/>
    <cellStyle name="Normal 3 4 2 2 2 2" xfId="154" xr:uid="{035D51AB-5C2D-4B8C-83BE-B4E7C8B1FFE4}"/>
    <cellStyle name="Normal 3 4 2 2 2 2 2" xfId="282" xr:uid="{017D9EBB-A33B-4311-9357-29C6C6A42406}"/>
    <cellStyle name="Normal 3 4 2 2 2 2 2 2" xfId="538" xr:uid="{95703BE1-2F9B-42CC-8F03-4696B4835D49}"/>
    <cellStyle name="Normal 3 4 2 2 2 2 2 2 2" xfId="1056" xr:uid="{5DAE5158-9027-4D76-8105-9575F9703A53}"/>
    <cellStyle name="Normal 3 4 2 2 2 2 2 3" xfId="800" xr:uid="{FB2E16A4-1D37-4EFB-906C-419EE0F4EBBB}"/>
    <cellStyle name="Normal 3 4 2 2 2 2 3" xfId="410" xr:uid="{BCACC62D-89AD-4F05-A526-97B1DEF5454F}"/>
    <cellStyle name="Normal 3 4 2 2 2 2 3 2" xfId="928" xr:uid="{D4032974-F551-4680-AABC-4FBE4AEA83FE}"/>
    <cellStyle name="Normal 3 4 2 2 2 2 4" xfId="672" xr:uid="{136FCFBE-39F3-4FFA-93D4-60B48A379321}"/>
    <cellStyle name="Normal 3 4 2 2 2 3" xfId="218" xr:uid="{3F837001-2989-453D-BCB6-DD7480099448}"/>
    <cellStyle name="Normal 3 4 2 2 2 3 2" xfId="474" xr:uid="{F02B8640-E927-4399-AAB0-0D0DD798B4A4}"/>
    <cellStyle name="Normal 3 4 2 2 2 3 2 2" xfId="992" xr:uid="{DECECDC3-692E-4096-BD40-0A570A6FF328}"/>
    <cellStyle name="Normal 3 4 2 2 2 3 3" xfId="736" xr:uid="{3A19362D-C72B-4320-8829-86D074E37942}"/>
    <cellStyle name="Normal 3 4 2 2 2 4" xfId="346" xr:uid="{8CE91D88-CB88-4569-9E2B-82E30A6B2618}"/>
    <cellStyle name="Normal 3 4 2 2 2 4 2" xfId="864" xr:uid="{20A5D93B-5ABB-4B23-9A90-4E9925DBCCC2}"/>
    <cellStyle name="Normal 3 4 2 2 2 5" xfId="608" xr:uid="{D29907E0-46D2-41C0-9A4B-85472B2DCB37}"/>
    <cellStyle name="Normal 3 4 2 2 3" xfId="122" xr:uid="{94A23F4C-3328-4FBC-B441-83B0E54BD6BC}"/>
    <cellStyle name="Normal 3 4 2 2 3 2" xfId="250" xr:uid="{B79BCAD2-4A17-4F94-BC2A-EC0DBEFE452E}"/>
    <cellStyle name="Normal 3 4 2 2 3 2 2" xfId="506" xr:uid="{75CF4C91-E298-4682-A501-EC32A8846CC8}"/>
    <cellStyle name="Normal 3 4 2 2 3 2 2 2" xfId="1024" xr:uid="{D2A79056-7C59-40E4-8C1F-1CCA836A4336}"/>
    <cellStyle name="Normal 3 4 2 2 3 2 3" xfId="768" xr:uid="{BAE5AEE5-289A-47DE-B75F-B9C3599FA3B2}"/>
    <cellStyle name="Normal 3 4 2 2 3 3" xfId="378" xr:uid="{3B50495C-E063-4F7D-8C7B-B94DBF7AD154}"/>
    <cellStyle name="Normal 3 4 2 2 3 3 2" xfId="896" xr:uid="{EBA6D051-E20A-4F2F-9214-E22FCC9C055E}"/>
    <cellStyle name="Normal 3 4 2 2 3 4" xfId="640" xr:uid="{86650A16-6F6D-4AEE-9B9F-D3372211FDB4}"/>
    <cellStyle name="Normal 3 4 2 2 4" xfId="186" xr:uid="{0BBC9962-6366-45FE-8622-25CA8120BD52}"/>
    <cellStyle name="Normal 3 4 2 2 4 2" xfId="442" xr:uid="{7815B7B8-30CA-4166-841F-9ADC2C64AE17}"/>
    <cellStyle name="Normal 3 4 2 2 4 2 2" xfId="960" xr:uid="{6C10C9C6-D084-4A16-8787-AE06F281A9D2}"/>
    <cellStyle name="Normal 3 4 2 2 4 3" xfId="704" xr:uid="{37F855A2-ADE2-4D9C-98F3-D5F2A16C9CD3}"/>
    <cellStyle name="Normal 3 4 2 2 5" xfId="314" xr:uid="{3C7BE23A-4051-43D7-9707-A4018FF31D09}"/>
    <cellStyle name="Normal 3 4 2 2 5 2" xfId="832" xr:uid="{E891499F-FA2E-4294-84F5-D4C3487B5C21}"/>
    <cellStyle name="Normal 3 4 2 2 6" xfId="576" xr:uid="{B1BA8E30-7D7F-43A5-BC53-830B751CE47A}"/>
    <cellStyle name="Normal 3 4 2 3" xfId="74" xr:uid="{42894F8D-86C2-4BD6-B652-773E684A3BBC}"/>
    <cellStyle name="Normal 3 4 2 3 2" xfId="138" xr:uid="{4BE157B4-B0CA-4A78-84AD-EA7E8058DE11}"/>
    <cellStyle name="Normal 3 4 2 3 2 2" xfId="266" xr:uid="{6CA18ED1-B6AB-439D-8E0A-F474B6CFA573}"/>
    <cellStyle name="Normal 3 4 2 3 2 2 2" xfId="522" xr:uid="{4D3B51FD-E6FA-46D3-ADF2-5FBEA07850B8}"/>
    <cellStyle name="Normal 3 4 2 3 2 2 2 2" xfId="1040" xr:uid="{C97AEA9B-F06D-4932-98EC-6FBFC50CD7CF}"/>
    <cellStyle name="Normal 3 4 2 3 2 2 3" xfId="784" xr:uid="{E4FA1713-CFBF-4E30-B515-996916CB8F82}"/>
    <cellStyle name="Normal 3 4 2 3 2 3" xfId="394" xr:uid="{56E25DC3-F860-4DEA-AF90-FB2D76F9A291}"/>
    <cellStyle name="Normal 3 4 2 3 2 3 2" xfId="912" xr:uid="{5CCB140E-5198-4CC3-95AE-343474E747FF}"/>
    <cellStyle name="Normal 3 4 2 3 2 4" xfId="656" xr:uid="{55CF9088-30C1-4606-8767-26B983CA03CB}"/>
    <cellStyle name="Normal 3 4 2 3 3" xfId="202" xr:uid="{E66EADCA-24C2-4DFD-9CBD-B83FDC2FBEA6}"/>
    <cellStyle name="Normal 3 4 2 3 3 2" xfId="458" xr:uid="{13285B7E-AF4E-48EF-B82D-AE333CF506B0}"/>
    <cellStyle name="Normal 3 4 2 3 3 2 2" xfId="976" xr:uid="{036A10B0-5BE9-48BA-BAF8-55702CC23D0A}"/>
    <cellStyle name="Normal 3 4 2 3 3 3" xfId="720" xr:uid="{5DD7E8B1-73EF-4ECA-9D5B-FC3E397E7DCE}"/>
    <cellStyle name="Normal 3 4 2 3 4" xfId="330" xr:uid="{5CC1F34D-9F20-4513-A72E-1602EB4EC568}"/>
    <cellStyle name="Normal 3 4 2 3 4 2" xfId="848" xr:uid="{E39F4E80-23CA-49C1-B8B4-949DDD430EB5}"/>
    <cellStyle name="Normal 3 4 2 3 5" xfId="592" xr:uid="{893D8BF3-4695-44D8-ABD1-25DBDCA1ED9F}"/>
    <cellStyle name="Normal 3 4 2 4" xfId="106" xr:uid="{AD19AD60-B685-49D9-ACA1-CF818147E871}"/>
    <cellStyle name="Normal 3 4 2 4 2" xfId="234" xr:uid="{670AD21E-CD5D-410A-8091-D0525F12983C}"/>
    <cellStyle name="Normal 3 4 2 4 2 2" xfId="490" xr:uid="{1DECFB1C-20B6-4D1C-96ED-D0CE79514D50}"/>
    <cellStyle name="Normal 3 4 2 4 2 2 2" xfId="1008" xr:uid="{DDB26E43-928A-4FC0-B0AE-50440BCB3405}"/>
    <cellStyle name="Normal 3 4 2 4 2 3" xfId="752" xr:uid="{21DDE587-AE4E-4A53-B566-654CF5B2AD10}"/>
    <cellStyle name="Normal 3 4 2 4 3" xfId="362" xr:uid="{3A19FC49-A726-4CFF-9998-ACD6D8443825}"/>
    <cellStyle name="Normal 3 4 2 4 3 2" xfId="880" xr:uid="{DBD3FBF6-BB68-42AC-9720-8B279222438C}"/>
    <cellStyle name="Normal 3 4 2 4 4" xfId="624" xr:uid="{FE63D5EB-5C1B-4441-B59A-91C762A1CEFD}"/>
    <cellStyle name="Normal 3 4 2 5" xfId="170" xr:uid="{8FDC2E21-93E4-4289-88C1-786F6E225BD8}"/>
    <cellStyle name="Normal 3 4 2 5 2" xfId="426" xr:uid="{8702AD74-E8DF-4AC5-8E46-3ED75C3E0CE3}"/>
    <cellStyle name="Normal 3 4 2 5 2 2" xfId="944" xr:uid="{E595033B-78A2-49F1-AA9D-1F06D3F330E8}"/>
    <cellStyle name="Normal 3 4 2 5 3" xfId="688" xr:uid="{26A66850-B959-4442-9BDC-9EF83192792D}"/>
    <cellStyle name="Normal 3 4 2 6" xfId="298" xr:uid="{E0378C40-6333-45E0-97B6-04B72E09BB8A}"/>
    <cellStyle name="Normal 3 4 2 6 2" xfId="816" xr:uid="{3C0D8FED-C571-44FB-83F1-DAC1EC9D9CCD}"/>
    <cellStyle name="Normal 3 4 2 7" xfId="560" xr:uid="{33F8F26A-1518-43A8-8021-BEF55C1198B7}"/>
    <cellStyle name="Normal 3 4 3" xfId="50" xr:uid="{755D00D7-2309-40F5-8373-430EAC87DF56}"/>
    <cellStyle name="Normal 3 4 3 2" xfId="82" xr:uid="{4538F2E2-5DCA-4133-9FC9-21D3DD26CE1B}"/>
    <cellStyle name="Normal 3 4 3 2 2" xfId="146" xr:uid="{CE12BE53-2220-4747-A97A-C27C6DE04DEC}"/>
    <cellStyle name="Normal 3 4 3 2 2 2" xfId="274" xr:uid="{F5000CA8-AC6D-42D2-9806-7D9A49280A5A}"/>
    <cellStyle name="Normal 3 4 3 2 2 2 2" xfId="530" xr:uid="{1CB92964-D5FB-4520-8B0D-2F56E1AA0ABB}"/>
    <cellStyle name="Normal 3 4 3 2 2 2 2 2" xfId="1048" xr:uid="{A3E85A49-FE0B-4F9A-A870-31C103E10EEF}"/>
    <cellStyle name="Normal 3 4 3 2 2 2 3" xfId="792" xr:uid="{70FB0B63-74C0-41C0-A37F-50FCE046A1C8}"/>
    <cellStyle name="Normal 3 4 3 2 2 3" xfId="402" xr:uid="{6A16D6E4-E133-4584-87B9-934169D5765A}"/>
    <cellStyle name="Normal 3 4 3 2 2 3 2" xfId="920" xr:uid="{8C534140-06C7-4727-B423-8AF9A518443C}"/>
    <cellStyle name="Normal 3 4 3 2 2 4" xfId="664" xr:uid="{9F1AAFB8-7397-4998-B06B-81AF5EC04862}"/>
    <cellStyle name="Normal 3 4 3 2 3" xfId="210" xr:uid="{283A912E-D93B-464F-9033-B232CD43C826}"/>
    <cellStyle name="Normal 3 4 3 2 3 2" xfId="466" xr:uid="{CF625DB6-8168-46AD-A42B-09A08D40D951}"/>
    <cellStyle name="Normal 3 4 3 2 3 2 2" xfId="984" xr:uid="{23319263-0075-42D1-8005-24EDDB23BFA0}"/>
    <cellStyle name="Normal 3 4 3 2 3 3" xfId="728" xr:uid="{01078279-7B86-4E67-92C5-72F8CAD90105}"/>
    <cellStyle name="Normal 3 4 3 2 4" xfId="338" xr:uid="{3AB5AE1E-FEDA-4E04-BDFC-51D21EC8D558}"/>
    <cellStyle name="Normal 3 4 3 2 4 2" xfId="856" xr:uid="{72D05D0A-9443-4265-9591-11B141C7CFD4}"/>
    <cellStyle name="Normal 3 4 3 2 5" xfId="600" xr:uid="{E0166DCC-CC29-421F-9996-E8FE340EAA36}"/>
    <cellStyle name="Normal 3 4 3 3" xfId="114" xr:uid="{CD86EFE3-5B12-4E78-B375-88063DF22826}"/>
    <cellStyle name="Normal 3 4 3 3 2" xfId="242" xr:uid="{DBEDE749-A7B6-4AFC-8908-04BB77623C50}"/>
    <cellStyle name="Normal 3 4 3 3 2 2" xfId="498" xr:uid="{C323E833-E027-474C-B89E-41AF1D540492}"/>
    <cellStyle name="Normal 3 4 3 3 2 2 2" xfId="1016" xr:uid="{D5305D92-ACC9-48D4-B6C2-04BDC7981BC1}"/>
    <cellStyle name="Normal 3 4 3 3 2 3" xfId="760" xr:uid="{BCD4B8E7-971C-4876-98D8-53855847315F}"/>
    <cellStyle name="Normal 3 4 3 3 3" xfId="370" xr:uid="{AA12A725-948A-4BEF-AE41-2BDDEBBC7D2F}"/>
    <cellStyle name="Normal 3 4 3 3 3 2" xfId="888" xr:uid="{24895A61-7C62-4091-BD5C-2DB127BA8AC5}"/>
    <cellStyle name="Normal 3 4 3 3 4" xfId="632" xr:uid="{88D1D6DB-8C1D-44A9-A254-4EC6C81EFE0F}"/>
    <cellStyle name="Normal 3 4 3 4" xfId="178" xr:uid="{C19AC4DB-98EA-447A-B53C-9F1F9C05F75A}"/>
    <cellStyle name="Normal 3 4 3 4 2" xfId="434" xr:uid="{FD25230B-FC16-47C6-9F9D-0830459D1620}"/>
    <cellStyle name="Normal 3 4 3 4 2 2" xfId="952" xr:uid="{D3FF8B09-FFDF-4C71-97C9-A7026D95A8BA}"/>
    <cellStyle name="Normal 3 4 3 4 3" xfId="696" xr:uid="{10CCE724-2F85-4F39-B160-369FD0269EBD}"/>
    <cellStyle name="Normal 3 4 3 5" xfId="306" xr:uid="{45793E61-52CE-45F3-BC2F-EB330CA82414}"/>
    <cellStyle name="Normal 3 4 3 5 2" xfId="824" xr:uid="{E7BE551D-7DDE-49CB-B7E9-93E02F33DC12}"/>
    <cellStyle name="Normal 3 4 3 6" xfId="568" xr:uid="{2DE062CA-878E-4A1D-83E1-A2ED876B339C}"/>
    <cellStyle name="Normal 3 4 4" xfId="66" xr:uid="{455F2697-05DB-452C-8681-C3C54451D3C0}"/>
    <cellStyle name="Normal 3 4 4 2" xfId="130" xr:uid="{58EE87F1-C355-44FB-A482-CB07D28B0232}"/>
    <cellStyle name="Normal 3 4 4 2 2" xfId="258" xr:uid="{00B504CD-0C08-4175-912F-C142257E19C9}"/>
    <cellStyle name="Normal 3 4 4 2 2 2" xfId="514" xr:uid="{0707965B-EB26-4FCA-BDE0-FA81DE99DDC5}"/>
    <cellStyle name="Normal 3 4 4 2 2 2 2" xfId="1032" xr:uid="{F3E28069-C88E-4849-A71B-A5D348C7CEE2}"/>
    <cellStyle name="Normal 3 4 4 2 2 3" xfId="776" xr:uid="{02404A98-E7A1-493F-9F2B-332209D6A037}"/>
    <cellStyle name="Normal 3 4 4 2 3" xfId="386" xr:uid="{26C421B6-1690-4639-AD44-571DCBECDA0E}"/>
    <cellStyle name="Normal 3 4 4 2 3 2" xfId="904" xr:uid="{6DF54C4E-4022-49DF-BB53-75161D540FA1}"/>
    <cellStyle name="Normal 3 4 4 2 4" xfId="648" xr:uid="{0FBECE7B-5315-4F45-983D-7F89A20F7330}"/>
    <cellStyle name="Normal 3 4 4 3" xfId="194" xr:uid="{17CCD10E-156C-4C38-8675-80E40ADD0D0E}"/>
    <cellStyle name="Normal 3 4 4 3 2" xfId="450" xr:uid="{7DF447B6-4137-422D-9558-1CCD57379543}"/>
    <cellStyle name="Normal 3 4 4 3 2 2" xfId="968" xr:uid="{5678708E-CBA9-4383-8A83-2621172C2067}"/>
    <cellStyle name="Normal 3 4 4 3 3" xfId="712" xr:uid="{9E7175A2-68D1-40C4-A32A-F08127571C1E}"/>
    <cellStyle name="Normal 3 4 4 4" xfId="322" xr:uid="{3A5D5019-FBA3-4900-B406-0F64D7CE4FB0}"/>
    <cellStyle name="Normal 3 4 4 4 2" xfId="840" xr:uid="{2569E4B3-5CE5-45EE-B6CF-F8FA871DF791}"/>
    <cellStyle name="Normal 3 4 4 5" xfId="584" xr:uid="{51F11650-34B3-4898-B3B2-42353157114A}"/>
    <cellStyle name="Normal 3 4 5" xfId="98" xr:uid="{ADE149A4-6C30-4EF5-A828-65D3663CEF9B}"/>
    <cellStyle name="Normal 3 4 5 2" xfId="226" xr:uid="{958A4500-38F5-4E68-AF2A-AE30AECD995A}"/>
    <cellStyle name="Normal 3 4 5 2 2" xfId="482" xr:uid="{9D4E05CF-D081-49D4-AF70-75E5C8B14860}"/>
    <cellStyle name="Normal 3 4 5 2 2 2" xfId="1000" xr:uid="{EE8BD1A8-78DD-49CC-8AF5-7506F9B4DD7B}"/>
    <cellStyle name="Normal 3 4 5 2 3" xfId="744" xr:uid="{BE5FF332-3F80-42E1-8910-34427959415A}"/>
    <cellStyle name="Normal 3 4 5 3" xfId="354" xr:uid="{096B4FC8-AFC0-47EC-BFA9-C4A8AAD76FE2}"/>
    <cellStyle name="Normal 3 4 5 3 2" xfId="872" xr:uid="{90FB9DA3-BDFF-4597-8E66-D50F6F412365}"/>
    <cellStyle name="Normal 3 4 5 4" xfId="616" xr:uid="{45FFEBCF-F861-4FE2-8C94-564E2AD7ADA8}"/>
    <cellStyle name="Normal 3 4 6" xfId="162" xr:uid="{8F648969-CAC2-455E-A77E-31FC62CDE673}"/>
    <cellStyle name="Normal 3 4 6 2" xfId="418" xr:uid="{9A502585-B2D5-4084-92CB-B8FB0D1376BB}"/>
    <cellStyle name="Normal 3 4 6 2 2" xfId="936" xr:uid="{25C2DB7C-C49C-45A8-91B6-770B3C999983}"/>
    <cellStyle name="Normal 3 4 6 3" xfId="680" xr:uid="{EED674AD-ECBA-4D6D-95FD-1BD04AEBB14A}"/>
    <cellStyle name="Normal 3 4 7" xfId="290" xr:uid="{64A3C66A-8376-4799-80B5-53825B4673F0}"/>
    <cellStyle name="Normal 3 4 7 2" xfId="808" xr:uid="{960AC8A2-2730-4383-9652-A5FCB684AA18}"/>
    <cellStyle name="Normal 3 4 8" xfId="552" xr:uid="{C27F7FEB-868A-41B3-B8DA-E4E20D67F83E}"/>
    <cellStyle name="Normal 3 5" xfId="38" xr:uid="{66027D2E-D602-4BA2-BB58-F05A0C720BD0}"/>
    <cellStyle name="Normal 3 5 2" xfId="54" xr:uid="{AC331AFA-D6C7-41D6-976F-2BCAB0D3A872}"/>
    <cellStyle name="Normal 3 5 2 2" xfId="86" xr:uid="{268212A9-5BAE-48D1-9A4D-236E18583C67}"/>
    <cellStyle name="Normal 3 5 2 2 2" xfId="150" xr:uid="{361256D4-9910-46B6-B0B6-879995866B69}"/>
    <cellStyle name="Normal 3 5 2 2 2 2" xfId="278" xr:uid="{0CBE4FB0-C2AE-4BED-B728-997331AC9954}"/>
    <cellStyle name="Normal 3 5 2 2 2 2 2" xfId="534" xr:uid="{DFCBF8DA-089D-47C7-A864-BA8803428BE6}"/>
    <cellStyle name="Normal 3 5 2 2 2 2 2 2" xfId="1052" xr:uid="{523D744B-8E81-4D36-9CFD-59A40E4D24EC}"/>
    <cellStyle name="Normal 3 5 2 2 2 2 3" xfId="796" xr:uid="{1173AAE9-E767-4C97-A38B-C4460D5CA92B}"/>
    <cellStyle name="Normal 3 5 2 2 2 3" xfId="406" xr:uid="{ECD8C933-C8E5-4410-8CC6-C201E77822EA}"/>
    <cellStyle name="Normal 3 5 2 2 2 3 2" xfId="924" xr:uid="{8B0B726E-1BC8-42E9-B0C6-6B33130E4327}"/>
    <cellStyle name="Normal 3 5 2 2 2 4" xfId="668" xr:uid="{669FAFC6-56BF-4549-995D-C3EABEE72833}"/>
    <cellStyle name="Normal 3 5 2 2 3" xfId="214" xr:uid="{907B1D44-8A7E-4E34-990E-9E9C68F0A269}"/>
    <cellStyle name="Normal 3 5 2 2 3 2" xfId="470" xr:uid="{FC45CC22-F177-4F2D-9E2E-BBD69088A1E2}"/>
    <cellStyle name="Normal 3 5 2 2 3 2 2" xfId="988" xr:uid="{9DB3052E-566D-42C6-9E96-B79E1F000CF1}"/>
    <cellStyle name="Normal 3 5 2 2 3 3" xfId="732" xr:uid="{6D7AC5F2-F0C3-4025-ADF1-C700F8383055}"/>
    <cellStyle name="Normal 3 5 2 2 4" xfId="342" xr:uid="{E272F176-6752-49E6-ABF0-F7917066092D}"/>
    <cellStyle name="Normal 3 5 2 2 4 2" xfId="860" xr:uid="{6FE887EC-4BEC-4F9D-98A8-680F1DEB9B51}"/>
    <cellStyle name="Normal 3 5 2 2 5" xfId="604" xr:uid="{535CFEB0-4CCF-411A-AB1B-11925315FCAD}"/>
    <cellStyle name="Normal 3 5 2 3" xfId="118" xr:uid="{60289FE2-0341-4795-94D9-921D5D721D6E}"/>
    <cellStyle name="Normal 3 5 2 3 2" xfId="246" xr:uid="{115C4AE0-7C37-43DF-9742-3C7BAA05FCF6}"/>
    <cellStyle name="Normal 3 5 2 3 2 2" xfId="502" xr:uid="{9778632C-615A-48D7-BA47-468281AEDB22}"/>
    <cellStyle name="Normal 3 5 2 3 2 2 2" xfId="1020" xr:uid="{DC6E758F-CD20-49FC-8B24-C4AC40B8C31A}"/>
    <cellStyle name="Normal 3 5 2 3 2 3" xfId="764" xr:uid="{F294D405-808E-4671-BFD7-C22A2ACA8158}"/>
    <cellStyle name="Normal 3 5 2 3 3" xfId="374" xr:uid="{A39823B5-E533-4241-95B8-DA2842E262DA}"/>
    <cellStyle name="Normal 3 5 2 3 3 2" xfId="892" xr:uid="{54DBF99C-ECB6-4938-8B81-EBE63E7CB90C}"/>
    <cellStyle name="Normal 3 5 2 3 4" xfId="636" xr:uid="{7C356F57-315C-4EEB-BEA3-C65B8E1AD5BE}"/>
    <cellStyle name="Normal 3 5 2 4" xfId="182" xr:uid="{BF042ECF-1741-407C-BD54-39F7EDD7942A}"/>
    <cellStyle name="Normal 3 5 2 4 2" xfId="438" xr:uid="{B4B2490E-7275-4497-8A47-EF4A045F50C1}"/>
    <cellStyle name="Normal 3 5 2 4 2 2" xfId="956" xr:uid="{E8091AB6-FFF3-46E9-AEF8-7E6A28E8C6C1}"/>
    <cellStyle name="Normal 3 5 2 4 3" xfId="700" xr:uid="{E5977976-0A7E-492C-929B-D3C2E67933FB}"/>
    <cellStyle name="Normal 3 5 2 5" xfId="310" xr:uid="{2B10DDCE-5243-411D-BD16-08280EB930BF}"/>
    <cellStyle name="Normal 3 5 2 5 2" xfId="828" xr:uid="{E6F0A77A-29B1-47CE-8D94-5C9131A72F4D}"/>
    <cellStyle name="Normal 3 5 2 6" xfId="572" xr:uid="{CE7E8865-014D-4683-B119-BCBEF351E597}"/>
    <cellStyle name="Normal 3 5 3" xfId="70" xr:uid="{790BC058-061C-487C-9F0E-BC39266D54D6}"/>
    <cellStyle name="Normal 3 5 3 2" xfId="134" xr:uid="{191F5BE3-6E9E-4B2C-BC1E-6F74D3138326}"/>
    <cellStyle name="Normal 3 5 3 2 2" xfId="262" xr:uid="{0468254A-2B35-4931-A4E6-9C16DA043F79}"/>
    <cellStyle name="Normal 3 5 3 2 2 2" xfId="518" xr:uid="{CFFB8FC2-F181-443A-B8A3-B7A09089D8CE}"/>
    <cellStyle name="Normal 3 5 3 2 2 2 2" xfId="1036" xr:uid="{EF05F1B5-E9A2-4476-AA01-0DBE969446A0}"/>
    <cellStyle name="Normal 3 5 3 2 2 3" xfId="780" xr:uid="{DD8C0F22-C591-4881-AEA2-59F6981B9A2E}"/>
    <cellStyle name="Normal 3 5 3 2 3" xfId="390" xr:uid="{3C300AF2-AA60-4C5D-A031-79F3A653F98E}"/>
    <cellStyle name="Normal 3 5 3 2 3 2" xfId="908" xr:uid="{C3A42E44-C200-4174-8F3C-4B51D08AA2A4}"/>
    <cellStyle name="Normal 3 5 3 2 4" xfId="652" xr:uid="{CCEDDC90-0EAB-4EF2-AD5A-17A28D815FA3}"/>
    <cellStyle name="Normal 3 5 3 3" xfId="198" xr:uid="{0F17E48D-B157-4C94-A743-A3F2B7423E45}"/>
    <cellStyle name="Normal 3 5 3 3 2" xfId="454" xr:uid="{08AC5D42-82C4-4E3F-B026-78C22F47C9C1}"/>
    <cellStyle name="Normal 3 5 3 3 2 2" xfId="972" xr:uid="{21D6CB78-E55F-4F27-BF07-3C2AC8DDA014}"/>
    <cellStyle name="Normal 3 5 3 3 3" xfId="716" xr:uid="{D38F2EBE-69A3-4994-A2A5-F827689C3E32}"/>
    <cellStyle name="Normal 3 5 3 4" xfId="326" xr:uid="{32D844D0-E3B4-4EF9-B1FE-15CA1141E349}"/>
    <cellStyle name="Normal 3 5 3 4 2" xfId="844" xr:uid="{A2948B89-EE5B-4A06-8313-30EC7970DE90}"/>
    <cellStyle name="Normal 3 5 3 5" xfId="588" xr:uid="{F95457CB-6491-455D-B5DF-90347DB1DFA1}"/>
    <cellStyle name="Normal 3 5 4" xfId="102" xr:uid="{66C898CB-4A35-4224-AF39-11BF525D1ED2}"/>
    <cellStyle name="Normal 3 5 4 2" xfId="230" xr:uid="{CBC6478F-A696-4304-9782-1060BBB731AF}"/>
    <cellStyle name="Normal 3 5 4 2 2" xfId="486" xr:uid="{B8E7E359-3874-44B6-BB0B-E7B928C7F2E7}"/>
    <cellStyle name="Normal 3 5 4 2 2 2" xfId="1004" xr:uid="{0302E18D-95C3-4FC9-895B-2DB9A1F45ED0}"/>
    <cellStyle name="Normal 3 5 4 2 3" xfId="748" xr:uid="{2623B5AD-F0EB-4760-B7C3-A2E9F46087FF}"/>
    <cellStyle name="Normal 3 5 4 3" xfId="358" xr:uid="{FE7E17B7-B1A5-4047-9908-5B68A6790684}"/>
    <cellStyle name="Normal 3 5 4 3 2" xfId="876" xr:uid="{5A1AF93F-F1A9-4398-8B32-8B51238A3DE3}"/>
    <cellStyle name="Normal 3 5 4 4" xfId="620" xr:uid="{5005A0FC-ECB8-48A2-9EF7-CDC313F29550}"/>
    <cellStyle name="Normal 3 5 5" xfId="166" xr:uid="{C7A65C42-BDB6-479E-926F-C7C7A1672ACB}"/>
    <cellStyle name="Normal 3 5 5 2" xfId="422" xr:uid="{3ED25F47-6D0C-4C35-97AE-993A8DF69892}"/>
    <cellStyle name="Normal 3 5 5 2 2" xfId="940" xr:uid="{9C35B5E1-13EC-420B-B9F3-FF706D5808B2}"/>
    <cellStyle name="Normal 3 5 5 3" xfId="684" xr:uid="{00140171-E6B9-4247-B223-9432FDE68C81}"/>
    <cellStyle name="Normal 3 5 6" xfId="294" xr:uid="{B8B9789B-99EB-42F0-B420-AFABAA3FAEED}"/>
    <cellStyle name="Normal 3 5 6 2" xfId="812" xr:uid="{47458C21-69CA-47A2-AFC5-DB5CA53E6314}"/>
    <cellStyle name="Normal 3 5 7" xfId="556" xr:uid="{4966C6CD-4160-4F7E-BFCB-70DDECC4DC45}"/>
    <cellStyle name="Normal 3 6" xfId="46" xr:uid="{CB3DBFB3-0676-4926-AB36-CD8AD3492889}"/>
    <cellStyle name="Normal 3 6 2" xfId="78" xr:uid="{0CC730D5-3AEF-4971-98FD-282AA8197BD2}"/>
    <cellStyle name="Normal 3 6 2 2" xfId="142" xr:uid="{59426E53-CA55-4DE9-B6B1-CB5062C5C3B3}"/>
    <cellStyle name="Normal 3 6 2 2 2" xfId="270" xr:uid="{EDF43AFB-B9C6-48DC-979B-2601C586C111}"/>
    <cellStyle name="Normal 3 6 2 2 2 2" xfId="526" xr:uid="{8F0931BE-3692-459F-A179-FE27BE06DD6C}"/>
    <cellStyle name="Normal 3 6 2 2 2 2 2" xfId="1044" xr:uid="{6FF943FD-5B08-44EA-92F8-FB05AC7BD0B5}"/>
    <cellStyle name="Normal 3 6 2 2 2 3" xfId="788" xr:uid="{F1CBCAD9-9D21-476E-AC36-50B9468BE93D}"/>
    <cellStyle name="Normal 3 6 2 2 3" xfId="398" xr:uid="{85555B62-F472-4228-AA38-1FE2C58E30BC}"/>
    <cellStyle name="Normal 3 6 2 2 3 2" xfId="916" xr:uid="{AA7AED07-8F73-408B-A247-C82104C7FF52}"/>
    <cellStyle name="Normal 3 6 2 2 4" xfId="660" xr:uid="{B2D220B5-86ED-4B17-9922-08171B28C654}"/>
    <cellStyle name="Normal 3 6 2 3" xfId="206" xr:uid="{FA9F32E4-AA7B-48D4-989A-4C8875407B0F}"/>
    <cellStyle name="Normal 3 6 2 3 2" xfId="462" xr:uid="{56ACF219-9CEF-4F30-B5F2-D90B1A1A85D6}"/>
    <cellStyle name="Normal 3 6 2 3 2 2" xfId="980" xr:uid="{D5868E72-5A31-4ECE-9468-C9CC5A3FB538}"/>
    <cellStyle name="Normal 3 6 2 3 3" xfId="724" xr:uid="{47FFBAA2-11AC-430E-A5F0-C14C6633CC13}"/>
    <cellStyle name="Normal 3 6 2 4" xfId="334" xr:uid="{C1D9E372-EE07-48C1-B4D0-09BDB21FED56}"/>
    <cellStyle name="Normal 3 6 2 4 2" xfId="852" xr:uid="{D5ADB543-584F-4718-83EE-C7AFDF941CF5}"/>
    <cellStyle name="Normal 3 6 2 5" xfId="596" xr:uid="{5885396A-8A63-45C2-BF81-6B71F6C55232}"/>
    <cellStyle name="Normal 3 6 3" xfId="110" xr:uid="{CB3FCE04-3132-4564-A04B-DB3A05A8A83B}"/>
    <cellStyle name="Normal 3 6 3 2" xfId="238" xr:uid="{598B6F78-665D-42DC-BD00-45B86E471266}"/>
    <cellStyle name="Normal 3 6 3 2 2" xfId="494" xr:uid="{44C84B6B-8315-4C2B-A768-696A93D539F7}"/>
    <cellStyle name="Normal 3 6 3 2 2 2" xfId="1012" xr:uid="{077C3672-FFC6-4890-A727-CBD598F7F6DA}"/>
    <cellStyle name="Normal 3 6 3 2 3" xfId="756" xr:uid="{1AC8168E-65DA-45B8-B157-F036D453DE58}"/>
    <cellStyle name="Normal 3 6 3 3" xfId="366" xr:uid="{DABE6DBD-AE35-405E-9447-DA76E126FD45}"/>
    <cellStyle name="Normal 3 6 3 3 2" xfId="884" xr:uid="{D0C54749-B217-4E1F-8828-65002B8F0F8A}"/>
    <cellStyle name="Normal 3 6 3 4" xfId="628" xr:uid="{5948BA4C-071E-43D1-9180-3DA3431360D3}"/>
    <cellStyle name="Normal 3 6 4" xfId="174" xr:uid="{3D0E20BA-4FF4-4249-95C4-58B906BDB667}"/>
    <cellStyle name="Normal 3 6 4 2" xfId="430" xr:uid="{9225723D-7DAD-4226-8761-52E6D91273DA}"/>
    <cellStyle name="Normal 3 6 4 2 2" xfId="948" xr:uid="{8DD77963-A758-4CF8-A443-47E259B54A23}"/>
    <cellStyle name="Normal 3 6 4 3" xfId="692" xr:uid="{C177974A-9268-4DA8-B799-BE09E09256EA}"/>
    <cellStyle name="Normal 3 6 5" xfId="302" xr:uid="{3D297F54-DE29-4D6B-BC66-22EAC72B947F}"/>
    <cellStyle name="Normal 3 6 5 2" xfId="820" xr:uid="{78CEC16B-D92C-4BDB-B4BE-54C32AB3565F}"/>
    <cellStyle name="Normal 3 6 6" xfId="564" xr:uid="{5305BDE6-75BA-423C-9016-B4194CB3F6CE}"/>
    <cellStyle name="Normal 3 7" xfId="62" xr:uid="{5DF3C4ED-17FB-4D1D-9AA5-BC7A80CF1B51}"/>
    <cellStyle name="Normal 3 7 2" xfId="126" xr:uid="{F1AA30EA-3911-43C5-8121-8E49E53E6F56}"/>
    <cellStyle name="Normal 3 7 2 2" xfId="254" xr:uid="{7876C098-0A2E-4779-AFAC-9AF3EB1FB1F0}"/>
    <cellStyle name="Normal 3 7 2 2 2" xfId="510" xr:uid="{564C1283-1AAE-415A-9A48-F2E908C87387}"/>
    <cellStyle name="Normal 3 7 2 2 2 2" xfId="1028" xr:uid="{AB219965-8756-4A3B-A663-3777C9C6A4A7}"/>
    <cellStyle name="Normal 3 7 2 2 3" xfId="772" xr:uid="{A202F0B6-7D33-4843-B8B2-7B4769179335}"/>
    <cellStyle name="Normal 3 7 2 3" xfId="382" xr:uid="{2A1EC411-7FA5-4A8D-8BE6-5F3C03B9BB53}"/>
    <cellStyle name="Normal 3 7 2 3 2" xfId="900" xr:uid="{CB594F68-885E-4662-8849-A083CAC2D2FF}"/>
    <cellStyle name="Normal 3 7 2 4" xfId="644" xr:uid="{E6B29645-021D-451D-9F9D-839D6BC20D93}"/>
    <cellStyle name="Normal 3 7 3" xfId="190" xr:uid="{5A290805-00B8-4038-B25D-CAD2FDDD9C7D}"/>
    <cellStyle name="Normal 3 7 3 2" xfId="446" xr:uid="{7328F2B3-98EC-4C08-B490-639B3EB724A2}"/>
    <cellStyle name="Normal 3 7 3 2 2" xfId="964" xr:uid="{0B4D6DF4-CB91-4C85-B0D5-4DD21FEF789C}"/>
    <cellStyle name="Normal 3 7 3 3" xfId="708" xr:uid="{38FDFABB-456B-4A41-B52E-1D8B6F576B84}"/>
    <cellStyle name="Normal 3 7 4" xfId="318" xr:uid="{CE8C582F-DA52-40FD-8AE8-E0C0DE55359E}"/>
    <cellStyle name="Normal 3 7 4 2" xfId="836" xr:uid="{E7AAC585-9FF1-47DF-A266-1CDCB691A587}"/>
    <cellStyle name="Normal 3 7 5" xfId="580" xr:uid="{E79F424A-EC76-41DD-A482-20BCCB5649F2}"/>
    <cellStyle name="Normal 3 8" xfId="94" xr:uid="{CEC862F5-51BA-47E9-BEF3-97E8D9D32C1F}"/>
    <cellStyle name="Normal 3 8 2" xfId="222" xr:uid="{80F4506B-E1CA-468E-B8BE-9D7AF8639FB3}"/>
    <cellStyle name="Normal 3 8 2 2" xfId="478" xr:uid="{340115D9-B4AA-4A8D-822F-A6E32EE84011}"/>
    <cellStyle name="Normal 3 8 2 2 2" xfId="996" xr:uid="{AA829490-DB8B-4B18-93C7-909ABC83B262}"/>
    <cellStyle name="Normal 3 8 2 3" xfId="740" xr:uid="{B020F20C-38BB-4C4F-9131-97FF260D81BC}"/>
    <cellStyle name="Normal 3 8 3" xfId="350" xr:uid="{04D617EA-FE6B-4B62-B445-5D26E4640EDE}"/>
    <cellStyle name="Normal 3 8 3 2" xfId="868" xr:uid="{7FA85716-AFFB-43C0-B23E-266156246788}"/>
    <cellStyle name="Normal 3 8 4" xfId="612" xr:uid="{88F85741-3677-49E4-9D63-502B8E7E7CB0}"/>
    <cellStyle name="Normal 3 9" xfId="158" xr:uid="{23BE54F5-3046-40CD-9000-5BFA5BDCB6A9}"/>
    <cellStyle name="Normal 3 9 2" xfId="414" xr:uid="{9898E220-AC9F-4AE6-8DA4-BEB4433835E2}"/>
    <cellStyle name="Normal 3 9 2 2" xfId="932" xr:uid="{AAD58AAC-11EE-4E79-B476-DB809EB164D7}"/>
    <cellStyle name="Normal 3 9 3" xfId="676" xr:uid="{695751F5-3F1A-4100-BAA3-1307FC09727F}"/>
    <cellStyle name="Normal 4" xfId="18" xr:uid="{61EBD5DD-C710-4010-8BC9-524F409FFCB9}"/>
    <cellStyle name="Normal 5" xfId="542" xr:uid="{086AB22D-DA5D-4781-A087-CA1CD3DBD0F2}"/>
    <cellStyle name="Normal 5 2" xfId="1060" xr:uid="{B5D7603B-D7FA-4686-8298-737EC28ED137}"/>
    <cellStyle name="Normal 6" xfId="545" xr:uid="{0777D32A-A0C9-4B07-9E6C-463AF99EEE43}"/>
    <cellStyle name="Normal 6 2" xfId="1063" xr:uid="{8C4213CA-7470-4D9B-A46E-B7E30F891E06}"/>
    <cellStyle name="Percent" xfId="10" builtinId="5"/>
    <cellStyle name="Percent 2" xfId="11" xr:uid="{00000000-0005-0000-0000-00000B000000}"/>
    <cellStyle name="Percent 2 2" xfId="12" xr:uid="{00000000-0005-0000-0000-00000C000000}"/>
    <cellStyle name="Percent 2 2 2" xfId="26" xr:uid="{4479F696-9113-4F5E-A73E-278C33B3A7EA}"/>
    <cellStyle name="Percent 2 3" xfId="25" xr:uid="{85475FAF-8D16-4300-A3BA-1951F0A306E0}"/>
    <cellStyle name="Percent 3" xfId="13" xr:uid="{00000000-0005-0000-0000-00000D000000}"/>
    <cellStyle name="Percent 3 2" xfId="27" xr:uid="{F1E84C08-6886-4D51-9DB4-BD4385593F3C}"/>
    <cellStyle name="Percent 4" xfId="16" xr:uid="{C72443F8-1CB6-4DC8-8A0A-38A894B9703F}"/>
    <cellStyle name="Percent 4 2" xfId="30" xr:uid="{32795FD5-E5F0-463D-9071-87DDBD43E677}"/>
    <cellStyle name="Percent 5" xfId="544" xr:uid="{3934CC71-B83D-4796-9E18-960D41B22A97}"/>
    <cellStyle name="Percent 5 2" xfId="1062" xr:uid="{2152D89D-73F4-40DF-9B3F-13061A15E7EB}"/>
    <cellStyle name="Percent 6" xfId="547" xr:uid="{D6F08EC6-77B6-40CF-A02E-3BA7C74C4F15}"/>
    <cellStyle name="Percent 6 2" xfId="1065" xr:uid="{E37CC0CD-721F-4EC5-AE7E-E184C71989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66675</xdr:rowOff>
    </xdr:from>
    <xdr:to>
      <xdr:col>0</xdr:col>
      <xdr:colOff>2505075</xdr:colOff>
      <xdr:row>3</xdr:row>
      <xdr:rowOff>76200</xdr:rowOff>
    </xdr:to>
    <xdr:pic>
      <xdr:nvPicPr>
        <xdr:cNvPr id="9561" name="Picture 2">
          <a:extLst>
            <a:ext uri="{FF2B5EF4-FFF2-40B4-BE49-F238E27FC236}">
              <a16:creationId xmlns:a16="http://schemas.microsoft.com/office/drawing/2014/main" id="{FADBEDC3-6590-4B5D-8060-B10AEF010D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66675"/>
          <a:ext cx="241935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1270</xdr:colOff>
      <xdr:row>3</xdr:row>
      <xdr:rowOff>76200</xdr:rowOff>
    </xdr:to>
    <xdr:pic>
      <xdr:nvPicPr>
        <xdr:cNvPr id="8179" name="Picture 2">
          <a:extLst>
            <a:ext uri="{FF2B5EF4-FFF2-40B4-BE49-F238E27FC236}">
              <a16:creationId xmlns:a16="http://schemas.microsoft.com/office/drawing/2014/main" id="{F29B0E2D-BF73-4997-9695-66F4CBA519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66675"/>
          <a:ext cx="21526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66675</xdr:rowOff>
    </xdr:from>
    <xdr:to>
      <xdr:col>1</xdr:col>
      <xdr:colOff>1270</xdr:colOff>
      <xdr:row>3</xdr:row>
      <xdr:rowOff>76200</xdr:rowOff>
    </xdr:to>
    <xdr:pic>
      <xdr:nvPicPr>
        <xdr:cNvPr id="8180" name="Picture 2">
          <a:extLst>
            <a:ext uri="{FF2B5EF4-FFF2-40B4-BE49-F238E27FC236}">
              <a16:creationId xmlns:a16="http://schemas.microsoft.com/office/drawing/2014/main" id="{AF9E09E6-36D7-4B58-BC95-639E298C29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66675"/>
          <a:ext cx="21526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89694</xdr:colOff>
      <xdr:row>3</xdr:row>
      <xdr:rowOff>47625</xdr:rowOff>
    </xdr:to>
    <xdr:pic>
      <xdr:nvPicPr>
        <xdr:cNvPr id="9" name="Picture 8">
          <a:extLst>
            <a:ext uri="{FF2B5EF4-FFF2-40B4-BE49-F238E27FC236}">
              <a16:creationId xmlns:a16="http://schemas.microsoft.com/office/drawing/2014/main" id="{AE53F3B5-D0DF-47BA-B873-5CBCBBAB6E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8100"/>
          <a:ext cx="204787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85725</xdr:colOff>
      <xdr:row>0</xdr:row>
      <xdr:rowOff>66675</xdr:rowOff>
    </xdr:from>
    <xdr:to>
      <xdr:col>1</xdr:col>
      <xdr:colOff>542925</xdr:colOff>
      <xdr:row>3</xdr:row>
      <xdr:rowOff>66675</xdr:rowOff>
    </xdr:to>
    <xdr:pic>
      <xdr:nvPicPr>
        <xdr:cNvPr id="2" name="Picture 2">
          <a:extLst>
            <a:ext uri="{FF2B5EF4-FFF2-40B4-BE49-F238E27FC236}">
              <a16:creationId xmlns:a16="http://schemas.microsoft.com/office/drawing/2014/main" id="{D1F528D4-835B-43AD-A389-47F84C21D4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66675"/>
          <a:ext cx="241935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95250</xdr:rowOff>
    </xdr:from>
    <xdr:ext cx="1943100" cy="619125"/>
    <xdr:pic>
      <xdr:nvPicPr>
        <xdr:cNvPr id="2" name="Picture 2">
          <a:extLst>
            <a:ext uri="{FF2B5EF4-FFF2-40B4-BE49-F238E27FC236}">
              <a16:creationId xmlns:a16="http://schemas.microsoft.com/office/drawing/2014/main" id="{23C8A736-4DDB-47F7-9C3B-874CE3832D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250"/>
          <a:ext cx="194310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95250</xdr:rowOff>
    </xdr:from>
    <xdr:ext cx="1943100" cy="619125"/>
    <xdr:pic>
      <xdr:nvPicPr>
        <xdr:cNvPr id="2" name="Picture 2">
          <a:extLst>
            <a:ext uri="{FF2B5EF4-FFF2-40B4-BE49-F238E27FC236}">
              <a16:creationId xmlns:a16="http://schemas.microsoft.com/office/drawing/2014/main" id="{6F39BCA1-7B9A-4A98-976D-05DD27CBEA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250"/>
          <a:ext cx="194310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57"/>
  <sheetViews>
    <sheetView tabSelected="1" view="pageBreakPreview" zoomScale="130" zoomScaleNormal="130" zoomScaleSheetLayoutView="130" workbookViewId="0">
      <selection activeCell="K29" sqref="K29"/>
    </sheetView>
  </sheetViews>
  <sheetFormatPr defaultColWidth="9.140625" defaultRowHeight="12" x14ac:dyDescent="0.2"/>
  <cols>
    <col min="1" max="1" width="46.85546875" style="58" customWidth="1"/>
    <col min="2" max="2" width="13.7109375" style="59" customWidth="1"/>
    <col min="3" max="3" width="16.140625" style="59" customWidth="1"/>
    <col min="4" max="4" width="14.5703125" style="59" bestFit="1" customWidth="1"/>
    <col min="5" max="5" width="12.42578125" style="59" customWidth="1"/>
    <col min="6" max="6" width="16.28515625" style="59" customWidth="1"/>
    <col min="7" max="7" width="15.5703125" style="59" bestFit="1" customWidth="1"/>
    <col min="8" max="8" width="16.5703125" style="59" customWidth="1"/>
    <col min="9" max="9" width="11.5703125" style="59" bestFit="1" customWidth="1"/>
    <col min="10" max="10" width="8.42578125" style="58" customWidth="1"/>
    <col min="11" max="11" width="9.85546875" style="58" bestFit="1" customWidth="1"/>
    <col min="12" max="12" width="9" style="58" bestFit="1" customWidth="1"/>
    <col min="13" max="15" width="9.140625" style="58"/>
    <col min="16" max="16" width="10.140625" style="58" bestFit="1" customWidth="1"/>
    <col min="17" max="16384" width="9.140625" style="58"/>
  </cols>
  <sheetData>
    <row r="1" spans="1:16" ht="15" x14ac:dyDescent="0.25">
      <c r="A1" s="253" t="s">
        <v>0</v>
      </c>
      <c r="B1" s="253"/>
      <c r="C1" s="253"/>
      <c r="D1" s="253"/>
      <c r="E1" s="253"/>
      <c r="F1" s="253"/>
      <c r="G1" s="253"/>
      <c r="H1" s="253"/>
      <c r="I1" s="253"/>
    </row>
    <row r="2" spans="1:16" ht="17.25" customHeight="1" x14ac:dyDescent="0.25">
      <c r="A2" s="254" t="s">
        <v>1</v>
      </c>
      <c r="B2" s="254"/>
      <c r="C2" s="254"/>
      <c r="D2" s="254"/>
      <c r="E2" s="254"/>
      <c r="F2" s="254"/>
      <c r="G2" s="254"/>
      <c r="H2" s="254"/>
      <c r="I2" s="254"/>
    </row>
    <row r="3" spans="1:16" ht="15" x14ac:dyDescent="0.25">
      <c r="A3" s="255" t="s">
        <v>147</v>
      </c>
      <c r="B3" s="255"/>
      <c r="C3" s="255"/>
      <c r="D3" s="255"/>
      <c r="E3" s="255"/>
      <c r="F3" s="255"/>
      <c r="G3" s="255"/>
      <c r="H3" s="255"/>
      <c r="I3" s="255"/>
    </row>
    <row r="4" spans="1:16" ht="10.5" customHeight="1" x14ac:dyDescent="0.2">
      <c r="A4" s="258"/>
      <c r="B4" s="258"/>
      <c r="C4" s="258"/>
      <c r="D4" s="258"/>
      <c r="E4" s="258"/>
      <c r="F4" s="258"/>
      <c r="G4" s="258"/>
      <c r="H4" s="258"/>
      <c r="I4" s="258"/>
      <c r="P4" s="149"/>
    </row>
    <row r="5" spans="1:16" s="149" customFormat="1" ht="9.75" customHeight="1" x14ac:dyDescent="0.2">
      <c r="A5" s="169"/>
      <c r="B5" s="170"/>
      <c r="C5" s="170"/>
      <c r="D5" s="170"/>
      <c r="E5" s="170"/>
      <c r="F5" s="170"/>
      <c r="G5" s="170"/>
      <c r="H5" s="170"/>
      <c r="I5" s="171"/>
      <c r="J5" s="58"/>
    </row>
    <row r="6" spans="1:16" s="149" customFormat="1" ht="12.75" customHeight="1" x14ac:dyDescent="0.2">
      <c r="A6" s="172" t="s">
        <v>2</v>
      </c>
      <c r="B6" s="256" t="s">
        <v>3</v>
      </c>
      <c r="C6" s="256"/>
      <c r="D6" s="173"/>
      <c r="E6" s="173"/>
      <c r="F6" s="173"/>
      <c r="G6" s="173"/>
      <c r="H6" s="173"/>
      <c r="I6" s="174"/>
      <c r="J6" s="58"/>
    </row>
    <row r="7" spans="1:16" s="149" customFormat="1" ht="12.75" x14ac:dyDescent="0.2">
      <c r="A7" s="172" t="s">
        <v>4</v>
      </c>
      <c r="B7" s="256"/>
      <c r="C7" s="256"/>
      <c r="D7" s="257"/>
      <c r="E7" s="257"/>
      <c r="F7" s="175"/>
      <c r="G7" s="176" t="s">
        <v>6</v>
      </c>
      <c r="H7" s="177">
        <v>50133</v>
      </c>
      <c r="I7" s="174"/>
      <c r="J7" s="58"/>
    </row>
    <row r="8" spans="1:16" s="149" customFormat="1" ht="12.75" x14ac:dyDescent="0.2">
      <c r="A8" s="178"/>
      <c r="B8" s="266"/>
      <c r="C8" s="266"/>
      <c r="D8" s="179"/>
      <c r="E8" s="179"/>
      <c r="F8" s="179"/>
      <c r="G8" s="176" t="s">
        <v>7</v>
      </c>
      <c r="H8" s="180">
        <v>0.94140000000000001</v>
      </c>
      <c r="I8" s="174"/>
      <c r="L8" s="58"/>
    </row>
    <row r="9" spans="1:16" s="149" customFormat="1" ht="12.75" x14ac:dyDescent="0.2">
      <c r="A9" s="181"/>
      <c r="B9" s="182"/>
      <c r="C9" s="182"/>
      <c r="D9" s="182"/>
      <c r="E9" s="182"/>
      <c r="F9" s="182"/>
      <c r="G9" s="183" t="s">
        <v>8</v>
      </c>
      <c r="H9" s="180">
        <v>0.94140000000000001</v>
      </c>
      <c r="I9" s="184"/>
      <c r="L9" s="58"/>
    </row>
    <row r="10" spans="1:16" s="150" customFormat="1" ht="13.5" customHeight="1" x14ac:dyDescent="0.2">
      <c r="A10" s="185"/>
      <c r="B10" s="186"/>
      <c r="C10" s="187"/>
      <c r="D10" s="187"/>
      <c r="E10" s="187"/>
      <c r="F10" s="187"/>
      <c r="G10" s="188"/>
      <c r="H10" s="189"/>
      <c r="I10" s="190"/>
    </row>
    <row r="11" spans="1:16" ht="13.5" customHeight="1" x14ac:dyDescent="0.2">
      <c r="A11" s="267"/>
      <c r="B11" s="267"/>
      <c r="C11" s="267"/>
      <c r="D11" s="267"/>
      <c r="E11" s="267"/>
      <c r="F11" s="267"/>
      <c r="G11" s="267"/>
      <c r="H11" s="267"/>
      <c r="I11" s="267"/>
    </row>
    <row r="12" spans="1:16" ht="30" x14ac:dyDescent="0.25">
      <c r="A12" s="191" t="s">
        <v>9</v>
      </c>
      <c r="B12" s="192" t="s">
        <v>10</v>
      </c>
      <c r="C12" s="192" t="s">
        <v>11</v>
      </c>
      <c r="D12" s="193" t="s">
        <v>12</v>
      </c>
      <c r="E12" s="193" t="s">
        <v>13</v>
      </c>
      <c r="F12" s="192" t="s">
        <v>14</v>
      </c>
      <c r="G12" s="192" t="s">
        <v>15</v>
      </c>
      <c r="H12" s="193" t="s">
        <v>12</v>
      </c>
      <c r="I12" s="194" t="s">
        <v>13</v>
      </c>
    </row>
    <row r="13" spans="1:16" ht="15.75" customHeight="1" x14ac:dyDescent="0.2">
      <c r="A13" s="195" t="s">
        <v>16</v>
      </c>
      <c r="B13" s="196">
        <v>349463.18</v>
      </c>
      <c r="C13" s="196">
        <v>340807</v>
      </c>
      <c r="D13" s="196">
        <f>+B13-C13</f>
        <v>8656.179999999993</v>
      </c>
      <c r="E13" s="197">
        <f t="shared" ref="E13:E18" si="0">IF(C13=0,"N/A",D13/C13)</f>
        <v>2.53990675074162E-2</v>
      </c>
      <c r="F13" s="196">
        <v>2174866.38</v>
      </c>
      <c r="G13" s="196">
        <v>2216321</v>
      </c>
      <c r="H13" s="196">
        <f>+F13-G13</f>
        <v>-41454.620000000112</v>
      </c>
      <c r="I13" s="197">
        <f t="shared" ref="I13:I17" si="1">IF(G13=0,"N/A",H13/G13)</f>
        <v>-1.8704249068614207E-2</v>
      </c>
    </row>
    <row r="14" spans="1:16" ht="15.75" customHeight="1" x14ac:dyDescent="0.2">
      <c r="A14" s="195" t="s">
        <v>17</v>
      </c>
      <c r="B14" s="196">
        <v>133031.76999999999</v>
      </c>
      <c r="C14" s="196">
        <v>128388.91</v>
      </c>
      <c r="D14" s="196">
        <f>+C14-B14</f>
        <v>-4642.859999999986</v>
      </c>
      <c r="E14" s="197">
        <f t="shared" si="0"/>
        <v>-3.6162469172765666E-2</v>
      </c>
      <c r="F14" s="196">
        <v>904761.01</v>
      </c>
      <c r="G14" s="196">
        <v>1032963.47</v>
      </c>
      <c r="H14" s="196">
        <f>+G14-F14</f>
        <v>128202.45999999996</v>
      </c>
      <c r="I14" s="197">
        <f t="shared" si="1"/>
        <v>0.12411132021929097</v>
      </c>
    </row>
    <row r="15" spans="1:16" ht="15.75" customHeight="1" x14ac:dyDescent="0.2">
      <c r="A15" s="198" t="s">
        <v>18</v>
      </c>
      <c r="B15" s="199">
        <f>+B13-B14</f>
        <v>216431.41</v>
      </c>
      <c r="C15" s="199">
        <f>+C13-C14</f>
        <v>212418.09</v>
      </c>
      <c r="D15" s="199">
        <f>+B15-C15</f>
        <v>4013.320000000007</v>
      </c>
      <c r="E15" s="200">
        <f t="shared" si="0"/>
        <v>1.8893494428840817E-2</v>
      </c>
      <c r="F15" s="199">
        <f>+F13-F14</f>
        <v>1270105.3699999999</v>
      </c>
      <c r="G15" s="199">
        <f>+G13-G14</f>
        <v>1183357.53</v>
      </c>
      <c r="H15" s="199">
        <f>+F15-G15</f>
        <v>86747.839999999851</v>
      </c>
      <c r="I15" s="200">
        <f t="shared" si="1"/>
        <v>7.3306534839052279E-2</v>
      </c>
    </row>
    <row r="16" spans="1:16" ht="15.75" customHeight="1" x14ac:dyDescent="0.2">
      <c r="A16" s="201" t="s">
        <v>19</v>
      </c>
      <c r="B16" s="196">
        <v>250837.22</v>
      </c>
      <c r="C16" s="196">
        <v>5025</v>
      </c>
      <c r="D16" s="196">
        <f>C16-B16</f>
        <v>-245812.22</v>
      </c>
      <c r="E16" s="197">
        <f t="shared" si="0"/>
        <v>-48.917854726368162</v>
      </c>
      <c r="F16" s="196">
        <v>-105682.96</v>
      </c>
      <c r="G16" s="196">
        <v>45075</v>
      </c>
      <c r="H16" s="196">
        <f>G16-F16</f>
        <v>150757.96000000002</v>
      </c>
      <c r="I16" s="197">
        <f>IF(G16=0,"N/A",H16/G16)</f>
        <v>3.3446025513033839</v>
      </c>
    </row>
    <row r="17" spans="1:18" ht="15.75" customHeight="1" x14ac:dyDescent="0.2">
      <c r="A17" s="202" t="s">
        <v>20</v>
      </c>
      <c r="B17" s="199">
        <f>+B15-B16</f>
        <v>-34405.81</v>
      </c>
      <c r="C17" s="199">
        <f>+C15-C16</f>
        <v>207393.09</v>
      </c>
      <c r="D17" s="199">
        <f>+D15+D16</f>
        <v>-241798.9</v>
      </c>
      <c r="E17" s="200">
        <f t="shared" si="0"/>
        <v>-1.1658966072591908</v>
      </c>
      <c r="F17" s="199">
        <f>+F15-F16</f>
        <v>1375788.3299999998</v>
      </c>
      <c r="G17" s="199">
        <f>+G15-G16</f>
        <v>1138282.53</v>
      </c>
      <c r="H17" s="199">
        <f>+H15+H16</f>
        <v>237505.79999999987</v>
      </c>
      <c r="I17" s="200">
        <f t="shared" si="1"/>
        <v>0.20865276742848707</v>
      </c>
    </row>
    <row r="18" spans="1:18" s="149" customFormat="1" ht="15.75" customHeight="1" x14ac:dyDescent="0.2">
      <c r="A18" s="201" t="s">
        <v>21</v>
      </c>
      <c r="B18" s="196">
        <v>10629.09</v>
      </c>
      <c r="C18" s="196">
        <v>18458</v>
      </c>
      <c r="D18" s="196">
        <f>C18-B18</f>
        <v>7828.91</v>
      </c>
      <c r="E18" s="197">
        <f t="shared" si="0"/>
        <v>0.42414725322353453</v>
      </c>
      <c r="F18" s="196">
        <v>111321.52</v>
      </c>
      <c r="G18" s="196">
        <v>120858</v>
      </c>
      <c r="H18" s="196">
        <f>+G18-F18</f>
        <v>9536.4799999999959</v>
      </c>
      <c r="I18" s="197">
        <f>IF(G18=0,"N/A",H18/G18)</f>
        <v>7.8906485296794546E-2</v>
      </c>
      <c r="J18" s="151"/>
      <c r="K18" s="151"/>
      <c r="L18" s="151"/>
      <c r="M18" s="151"/>
      <c r="N18" s="58"/>
    </row>
    <row r="19" spans="1:18" s="149" customFormat="1" ht="15.75" customHeight="1" x14ac:dyDescent="0.2">
      <c r="A19" s="201" t="s">
        <v>22</v>
      </c>
      <c r="B19" s="196">
        <v>145075.09</v>
      </c>
      <c r="C19" s="196">
        <v>160833</v>
      </c>
      <c r="D19" s="196">
        <f>C19-B19</f>
        <v>15757.910000000003</v>
      </c>
      <c r="E19" s="197">
        <f>IF(C19=0,"N/A",D19/C19)</f>
        <v>9.797684554786644E-2</v>
      </c>
      <c r="F19" s="196">
        <v>997163.89</v>
      </c>
      <c r="G19" s="196">
        <v>1125831</v>
      </c>
      <c r="H19" s="196">
        <f>+G19-F19</f>
        <v>128667.10999999999</v>
      </c>
      <c r="I19" s="197">
        <f>IF(G19=0,"N/A",H19/G19)</f>
        <v>0.11428634493098874</v>
      </c>
      <c r="J19" s="152"/>
      <c r="K19" s="152"/>
      <c r="L19" s="152"/>
      <c r="M19" s="152"/>
      <c r="N19" s="58"/>
    </row>
    <row r="20" spans="1:18" s="149" customFormat="1" ht="15" customHeight="1" thickBot="1" x14ac:dyDescent="0.25">
      <c r="A20" s="203" t="s">
        <v>23</v>
      </c>
      <c r="B20" s="204">
        <f>+B17-B18-B19</f>
        <v>-190109.99</v>
      </c>
      <c r="C20" s="204">
        <f>+C17-C18-C19</f>
        <v>28102.089999999997</v>
      </c>
      <c r="D20" s="204">
        <f>+D17+D18+D19</f>
        <v>-218212.08</v>
      </c>
      <c r="E20" s="205">
        <f>IF(C20=0,"N/A",D20/C20)</f>
        <v>-7.7649769109699678</v>
      </c>
      <c r="F20" s="204">
        <f>+F17-F18-F19</f>
        <v>267302.91999999981</v>
      </c>
      <c r="G20" s="204">
        <f>+G17-G18-G19</f>
        <v>-108406.46999999997</v>
      </c>
      <c r="H20" s="204">
        <f>+H17+H18+H19</f>
        <v>375709.38999999984</v>
      </c>
      <c r="I20" s="205">
        <f>IF(G20=0,"N/A",H20/G20)</f>
        <v>-3.4657469245147445</v>
      </c>
      <c r="J20" s="152"/>
      <c r="K20" s="152"/>
      <c r="L20" s="152"/>
      <c r="M20" s="152"/>
    </row>
    <row r="21" spans="1:18" s="154" customFormat="1" ht="15" customHeight="1" thickTop="1" x14ac:dyDescent="0.25">
      <c r="A21" s="206" t="s">
        <v>24</v>
      </c>
      <c r="B21" s="207"/>
      <c r="C21" s="207"/>
      <c r="D21" s="207"/>
      <c r="E21" s="207"/>
      <c r="F21" s="207"/>
      <c r="G21" s="207"/>
      <c r="H21" s="207"/>
      <c r="I21" s="208"/>
      <c r="J21" s="153"/>
      <c r="K21" s="153"/>
      <c r="L21" s="153"/>
      <c r="M21" s="153"/>
    </row>
    <row r="22" spans="1:18" s="154" customFormat="1" ht="91.5" customHeight="1" x14ac:dyDescent="0.2">
      <c r="A22" s="261" t="s">
        <v>136</v>
      </c>
      <c r="B22" s="268"/>
      <c r="C22" s="268"/>
      <c r="D22" s="268"/>
      <c r="E22" s="268"/>
      <c r="F22" s="268"/>
      <c r="G22" s="268"/>
      <c r="H22" s="268"/>
      <c r="I22" s="269"/>
      <c r="J22" s="153"/>
      <c r="K22" s="153"/>
      <c r="L22" s="153"/>
      <c r="M22" s="153"/>
    </row>
    <row r="23" spans="1:18" s="154" customFormat="1" ht="129" customHeight="1" x14ac:dyDescent="0.2">
      <c r="A23" s="261" t="s">
        <v>137</v>
      </c>
      <c r="B23" s="268"/>
      <c r="C23" s="268"/>
      <c r="D23" s="268"/>
      <c r="E23" s="268"/>
      <c r="F23" s="268"/>
      <c r="G23" s="268"/>
      <c r="H23" s="268"/>
      <c r="I23" s="269"/>
      <c r="J23" s="155">
        <f>65+22-51</f>
        <v>36</v>
      </c>
      <c r="K23" s="155"/>
      <c r="L23" s="155"/>
      <c r="M23" s="155"/>
      <c r="N23" s="155"/>
      <c r="O23" s="155"/>
      <c r="P23" s="155"/>
      <c r="Q23" s="155"/>
      <c r="R23" s="155"/>
    </row>
    <row r="24" spans="1:18" s="154" customFormat="1" ht="15.6" customHeight="1" x14ac:dyDescent="0.25">
      <c r="A24" s="209" t="s">
        <v>25</v>
      </c>
      <c r="B24" s="156"/>
      <c r="C24" s="156"/>
      <c r="D24" s="156"/>
      <c r="E24" s="156"/>
      <c r="F24" s="156"/>
      <c r="G24" s="156"/>
      <c r="H24" s="156"/>
      <c r="I24" s="157"/>
    </row>
    <row r="25" spans="1:18" s="154" customFormat="1" ht="101.25" customHeight="1" x14ac:dyDescent="0.2">
      <c r="A25" s="270" t="s">
        <v>138</v>
      </c>
      <c r="B25" s="271"/>
      <c r="C25" s="271"/>
      <c r="D25" s="271"/>
      <c r="E25" s="271"/>
      <c r="F25" s="271"/>
      <c r="G25" s="271"/>
      <c r="H25" s="271"/>
      <c r="I25" s="272"/>
    </row>
    <row r="26" spans="1:18" s="154" customFormat="1" ht="166.5" customHeight="1" x14ac:dyDescent="0.2">
      <c r="A26" s="270" t="s">
        <v>146</v>
      </c>
      <c r="B26" s="271"/>
      <c r="C26" s="271"/>
      <c r="D26" s="271"/>
      <c r="E26" s="271"/>
      <c r="F26" s="271"/>
      <c r="G26" s="271"/>
      <c r="H26" s="271"/>
      <c r="I26" s="272"/>
      <c r="J26" s="158">
        <f>26+27+21+27+26-10-17</f>
        <v>100</v>
      </c>
      <c r="K26" s="154">
        <f>16+27+21+20+26-10-17</f>
        <v>83</v>
      </c>
      <c r="L26" s="154">
        <f>83-128</f>
        <v>-45</v>
      </c>
      <c r="M26" s="154">
        <f>43652+159+9294+4177+16851</f>
        <v>74133</v>
      </c>
      <c r="N26" s="154">
        <f>26+24+10+23-13-15+4+5</f>
        <v>64</v>
      </c>
      <c r="P26" s="154">
        <f>43652+1559.45+9294.52+4177.85+5166.54</f>
        <v>63850.36</v>
      </c>
    </row>
    <row r="27" spans="1:18" s="154" customFormat="1" ht="15" x14ac:dyDescent="0.25">
      <c r="A27" s="210" t="s">
        <v>26</v>
      </c>
      <c r="B27" s="211"/>
      <c r="C27" s="211"/>
      <c r="D27" s="211"/>
      <c r="E27" s="211"/>
      <c r="F27" s="211"/>
      <c r="G27" s="211"/>
      <c r="H27" s="211"/>
      <c r="I27" s="212"/>
    </row>
    <row r="28" spans="1:18" s="159" customFormat="1" ht="75.75" customHeight="1" x14ac:dyDescent="0.2">
      <c r="A28" s="270" t="s">
        <v>153</v>
      </c>
      <c r="B28" s="271"/>
      <c r="C28" s="271"/>
      <c r="D28" s="271"/>
      <c r="E28" s="271"/>
      <c r="F28" s="271"/>
      <c r="G28" s="271"/>
      <c r="H28" s="271"/>
      <c r="I28" s="272"/>
    </row>
    <row r="29" spans="1:18" s="159" customFormat="1" ht="146.25" customHeight="1" x14ac:dyDescent="0.2">
      <c r="A29" s="270" t="s">
        <v>154</v>
      </c>
      <c r="B29" s="271"/>
      <c r="C29" s="271"/>
      <c r="D29" s="271"/>
      <c r="E29" s="271"/>
      <c r="F29" s="271"/>
      <c r="G29" s="271"/>
      <c r="H29" s="271"/>
      <c r="I29" s="272"/>
    </row>
    <row r="30" spans="1:18" s="159" customFormat="1" ht="6" customHeight="1" x14ac:dyDescent="0.2">
      <c r="A30" s="160"/>
      <c r="B30" s="161"/>
      <c r="C30" s="161"/>
      <c r="D30" s="161"/>
      <c r="E30" s="161"/>
      <c r="F30" s="161"/>
      <c r="G30" s="161"/>
      <c r="H30" s="161"/>
      <c r="I30" s="162"/>
    </row>
    <row r="31" spans="1:18" s="154" customFormat="1" ht="14.25" customHeight="1" x14ac:dyDescent="0.25">
      <c r="A31" s="213" t="s">
        <v>27</v>
      </c>
      <c r="B31" s="214"/>
      <c r="C31" s="214"/>
      <c r="D31" s="214"/>
      <c r="E31" s="214"/>
      <c r="F31" s="214"/>
      <c r="G31" s="214"/>
      <c r="H31" s="214"/>
      <c r="I31" s="215"/>
    </row>
    <row r="32" spans="1:18" s="163" customFormat="1" ht="195.75" customHeight="1" x14ac:dyDescent="0.2">
      <c r="A32" s="216" t="s">
        <v>28</v>
      </c>
      <c r="B32" s="263" t="s">
        <v>139</v>
      </c>
      <c r="C32" s="264"/>
      <c r="D32" s="264"/>
      <c r="E32" s="264"/>
      <c r="F32" s="264"/>
      <c r="G32" s="264"/>
      <c r="H32" s="264"/>
      <c r="I32" s="265"/>
    </row>
    <row r="33" spans="1:10" s="163" customFormat="1" ht="17.25" customHeight="1" x14ac:dyDescent="0.2">
      <c r="A33" s="259" t="s">
        <v>29</v>
      </c>
      <c r="B33" s="259"/>
      <c r="C33" s="259"/>
      <c r="D33" s="259"/>
      <c r="E33" s="259"/>
      <c r="F33" s="259"/>
      <c r="G33" s="259"/>
      <c r="H33" s="259"/>
      <c r="I33" s="259"/>
      <c r="J33" s="260"/>
    </row>
    <row r="34" spans="1:10" s="163" customFormat="1" ht="79.5" customHeight="1" x14ac:dyDescent="0.2">
      <c r="A34" s="217" t="s">
        <v>30</v>
      </c>
      <c r="B34" s="261" t="s">
        <v>103</v>
      </c>
      <c r="C34" s="226"/>
      <c r="D34" s="226"/>
      <c r="E34" s="226"/>
      <c r="F34" s="226"/>
      <c r="G34" s="226"/>
      <c r="H34" s="226"/>
      <c r="I34" s="226"/>
      <c r="J34" s="262"/>
    </row>
    <row r="35" spans="1:10" s="163" customFormat="1" ht="106.5" customHeight="1" x14ac:dyDescent="0.2">
      <c r="A35" s="218" t="s">
        <v>31</v>
      </c>
      <c r="B35" s="226" t="s">
        <v>131</v>
      </c>
      <c r="C35" s="227"/>
      <c r="D35" s="227"/>
      <c r="E35" s="227"/>
      <c r="F35" s="227"/>
      <c r="G35" s="227"/>
      <c r="H35" s="227"/>
      <c r="I35" s="228"/>
      <c r="J35" s="219"/>
    </row>
    <row r="36" spans="1:10" s="163" customFormat="1" ht="218.25" customHeight="1" x14ac:dyDescent="0.2">
      <c r="A36" s="218" t="s">
        <v>35</v>
      </c>
      <c r="B36" s="226" t="s">
        <v>132</v>
      </c>
      <c r="C36" s="227"/>
      <c r="D36" s="227"/>
      <c r="E36" s="227"/>
      <c r="F36" s="227"/>
      <c r="G36" s="227"/>
      <c r="H36" s="227"/>
      <c r="I36" s="228"/>
      <c r="J36" s="220"/>
    </row>
    <row r="37" spans="1:10" s="163" customFormat="1" ht="16.5" customHeight="1" x14ac:dyDescent="0.2">
      <c r="A37" s="235" t="s">
        <v>32</v>
      </c>
      <c r="B37" s="235"/>
      <c r="C37" s="235"/>
      <c r="D37" s="235"/>
      <c r="E37" s="235"/>
      <c r="F37" s="235"/>
      <c r="G37" s="235"/>
      <c r="H37" s="235"/>
      <c r="I37" s="235"/>
      <c r="J37" s="219"/>
    </row>
    <row r="38" spans="1:10" s="163" customFormat="1" ht="101.25" hidden="1" customHeight="1" x14ac:dyDescent="0.2">
      <c r="A38" s="221" t="s">
        <v>33</v>
      </c>
      <c r="B38" s="236" t="s">
        <v>34</v>
      </c>
      <c r="C38" s="237"/>
      <c r="D38" s="237"/>
      <c r="E38" s="237"/>
      <c r="F38" s="237"/>
      <c r="G38" s="237"/>
      <c r="H38" s="237"/>
      <c r="I38" s="238"/>
      <c r="J38" s="219"/>
    </row>
    <row r="39" spans="1:10" s="154" customFormat="1" ht="84.75" customHeight="1" x14ac:dyDescent="0.2">
      <c r="A39" s="218" t="s">
        <v>128</v>
      </c>
      <c r="B39" s="226" t="s">
        <v>129</v>
      </c>
      <c r="C39" s="227"/>
      <c r="D39" s="227"/>
      <c r="E39" s="227"/>
      <c r="F39" s="227"/>
      <c r="G39" s="227"/>
      <c r="H39" s="227"/>
      <c r="I39" s="228"/>
      <c r="J39" s="222"/>
    </row>
    <row r="40" spans="1:10" s="163" customFormat="1" ht="22.5" customHeight="1" x14ac:dyDescent="0.2">
      <c r="A40" s="242" t="s">
        <v>36</v>
      </c>
      <c r="B40" s="243"/>
      <c r="C40" s="243"/>
      <c r="D40" s="243"/>
      <c r="E40" s="243"/>
      <c r="F40" s="243"/>
      <c r="G40" s="243"/>
      <c r="H40" s="243"/>
      <c r="I40" s="244"/>
    </row>
    <row r="41" spans="1:10" s="163" customFormat="1" ht="175.5" customHeight="1" x14ac:dyDescent="0.2">
      <c r="A41" s="245" t="s">
        <v>145</v>
      </c>
      <c r="B41" s="246"/>
      <c r="C41" s="246"/>
      <c r="D41" s="246"/>
      <c r="E41" s="246"/>
      <c r="F41" s="246"/>
      <c r="G41" s="246"/>
      <c r="H41" s="246"/>
      <c r="I41" s="247"/>
    </row>
    <row r="42" spans="1:10" s="163" customFormat="1" ht="14.25" x14ac:dyDescent="0.2">
      <c r="A42" s="250" t="s">
        <v>37</v>
      </c>
      <c r="B42" s="251"/>
      <c r="C42" s="251"/>
      <c r="D42" s="251"/>
      <c r="E42" s="251"/>
      <c r="F42" s="251"/>
      <c r="G42" s="251"/>
      <c r="H42" s="251"/>
      <c r="I42" s="252"/>
    </row>
    <row r="43" spans="1:10" s="163" customFormat="1" ht="295.5" customHeight="1" x14ac:dyDescent="0.2">
      <c r="A43" s="232" t="s">
        <v>133</v>
      </c>
      <c r="B43" s="248"/>
      <c r="C43" s="248"/>
      <c r="D43" s="248"/>
      <c r="E43" s="248"/>
      <c r="F43" s="248"/>
      <c r="G43" s="248"/>
      <c r="H43" s="248"/>
      <c r="I43" s="249"/>
    </row>
    <row r="44" spans="1:10" s="163" customFormat="1" ht="14.25" x14ac:dyDescent="0.2">
      <c r="A44" s="250" t="s">
        <v>38</v>
      </c>
      <c r="B44" s="251"/>
      <c r="C44" s="251"/>
      <c r="D44" s="251"/>
      <c r="E44" s="251"/>
      <c r="F44" s="251"/>
      <c r="G44" s="251"/>
      <c r="H44" s="251"/>
      <c r="I44" s="252"/>
    </row>
    <row r="45" spans="1:10" s="163" customFormat="1" ht="89.25" customHeight="1" x14ac:dyDescent="0.2">
      <c r="A45" s="232" t="s">
        <v>134</v>
      </c>
      <c r="B45" s="248"/>
      <c r="C45" s="248"/>
      <c r="D45" s="248"/>
      <c r="E45" s="248"/>
      <c r="F45" s="248"/>
      <c r="G45" s="248"/>
      <c r="H45" s="248"/>
      <c r="I45" s="249"/>
    </row>
    <row r="46" spans="1:10" s="163" customFormat="1" ht="14.25" x14ac:dyDescent="0.2">
      <c r="A46" s="239" t="s">
        <v>39</v>
      </c>
      <c r="B46" s="240"/>
      <c r="C46" s="240"/>
      <c r="D46" s="240"/>
      <c r="E46" s="240"/>
      <c r="F46" s="240"/>
      <c r="G46" s="240"/>
      <c r="H46" s="240"/>
      <c r="I46" s="241"/>
      <c r="J46" s="164"/>
    </row>
    <row r="47" spans="1:10" s="163" customFormat="1" ht="9" hidden="1" customHeight="1" x14ac:dyDescent="0.2">
      <c r="A47" s="229" t="s">
        <v>135</v>
      </c>
      <c r="B47" s="230"/>
      <c r="C47" s="230"/>
      <c r="D47" s="230"/>
      <c r="E47" s="230"/>
      <c r="F47" s="230"/>
      <c r="G47" s="230"/>
      <c r="H47" s="230"/>
      <c r="I47" s="231"/>
    </row>
    <row r="48" spans="1:10" s="163" customFormat="1" ht="409.5" customHeight="1" x14ac:dyDescent="0.2">
      <c r="A48" s="223" t="s">
        <v>152</v>
      </c>
      <c r="B48" s="224"/>
      <c r="C48" s="224"/>
      <c r="D48" s="224"/>
      <c r="E48" s="224"/>
      <c r="F48" s="224"/>
      <c r="G48" s="224"/>
      <c r="H48" s="224"/>
      <c r="I48" s="225"/>
      <c r="J48" s="164"/>
    </row>
    <row r="49" spans="1:9" s="167" customFormat="1" ht="14.25" x14ac:dyDescent="0.2">
      <c r="A49" s="61" t="s">
        <v>40</v>
      </c>
      <c r="B49" s="165"/>
      <c r="C49" s="165"/>
      <c r="D49" s="165"/>
      <c r="E49" s="165"/>
      <c r="F49" s="165"/>
      <c r="G49" s="165"/>
      <c r="H49" s="165"/>
      <c r="I49" s="166"/>
    </row>
    <row r="50" spans="1:9" ht="129" customHeight="1" x14ac:dyDescent="0.2">
      <c r="A50" s="232" t="s">
        <v>140</v>
      </c>
      <c r="B50" s="233"/>
      <c r="C50" s="233"/>
      <c r="D50" s="233"/>
      <c r="E50" s="233"/>
      <c r="F50" s="233"/>
      <c r="G50" s="233"/>
      <c r="H50" s="233"/>
      <c r="I50" s="234"/>
    </row>
    <row r="51" spans="1:9" ht="15" x14ac:dyDescent="0.2">
      <c r="A51" s="60"/>
      <c r="B51" s="60"/>
      <c r="C51" s="60"/>
      <c r="D51" s="60"/>
      <c r="E51" s="60"/>
      <c r="F51" s="60"/>
      <c r="G51" s="60"/>
      <c r="H51" s="60"/>
      <c r="I51" s="60"/>
    </row>
    <row r="52" spans="1:9" ht="15" x14ac:dyDescent="0.2">
      <c r="A52" s="168"/>
    </row>
    <row r="53" spans="1:9" ht="15" x14ac:dyDescent="0.2">
      <c r="A53" s="168"/>
    </row>
    <row r="54" spans="1:9" ht="15" x14ac:dyDescent="0.2">
      <c r="A54" s="168"/>
    </row>
    <row r="55" spans="1:9" ht="15" x14ac:dyDescent="0.2">
      <c r="A55" s="168"/>
    </row>
    <row r="57" spans="1:9" x14ac:dyDescent="0.2">
      <c r="A57" s="58" t="s">
        <v>41</v>
      </c>
    </row>
  </sheetData>
  <mergeCells count="33">
    <mergeCell ref="A33:J33"/>
    <mergeCell ref="B34:J34"/>
    <mergeCell ref="B32:I32"/>
    <mergeCell ref="B8:C8"/>
    <mergeCell ref="A11:I11"/>
    <mergeCell ref="A22:I22"/>
    <mergeCell ref="A23:I23"/>
    <mergeCell ref="A25:I25"/>
    <mergeCell ref="A28:I28"/>
    <mergeCell ref="A29:I29"/>
    <mergeCell ref="A26:I26"/>
    <mergeCell ref="A1:I1"/>
    <mergeCell ref="A2:I2"/>
    <mergeCell ref="A3:I3"/>
    <mergeCell ref="B7:C7"/>
    <mergeCell ref="D7:E7"/>
    <mergeCell ref="A4:I4"/>
    <mergeCell ref="B6:C6"/>
    <mergeCell ref="A48:I48"/>
    <mergeCell ref="B35:I35"/>
    <mergeCell ref="A47:I47"/>
    <mergeCell ref="A50:I50"/>
    <mergeCell ref="B39:I39"/>
    <mergeCell ref="A37:I37"/>
    <mergeCell ref="B38:I38"/>
    <mergeCell ref="A46:I46"/>
    <mergeCell ref="A40:I40"/>
    <mergeCell ref="A41:I41"/>
    <mergeCell ref="A43:I43"/>
    <mergeCell ref="A42:I42"/>
    <mergeCell ref="A44:I44"/>
    <mergeCell ref="A45:I45"/>
    <mergeCell ref="B36:I36"/>
  </mergeCells>
  <phoneticPr fontId="15" type="noConversion"/>
  <printOptions horizontalCentered="1"/>
  <pageMargins left="0.7" right="0.7" top="0.75" bottom="0.75" header="0.3" footer="0.3"/>
  <pageSetup scale="56" fitToHeight="0" orientation="portrait" r:id="rId1"/>
  <headerFooter alignWithMargins="0">
    <oddFooter>&amp;C&amp;8Executive Summary&amp;R&amp;8Page &amp;P</oddFooter>
  </headerFooter>
  <rowBreaks count="2" manualBreakCount="2">
    <brk id="29" max="8" man="1"/>
    <brk id="41" max="8"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P44"/>
  <sheetViews>
    <sheetView view="pageBreakPreview" zoomScaleNormal="100" zoomScaleSheetLayoutView="100" workbookViewId="0">
      <selection activeCell="B16" sqref="B16"/>
    </sheetView>
  </sheetViews>
  <sheetFormatPr defaultColWidth="9.140625" defaultRowHeight="12" x14ac:dyDescent="0.2"/>
  <cols>
    <col min="1" max="1" width="34.5703125" style="1" bestFit="1" customWidth="1"/>
    <col min="2" max="2" width="20.85546875" style="3" customWidth="1"/>
    <col min="3" max="5" width="9.140625" style="3"/>
    <col min="6" max="6" width="12.85546875" style="3" customWidth="1"/>
    <col min="7" max="7" width="11.5703125" style="3" customWidth="1"/>
    <col min="8" max="8" width="9.140625" style="3"/>
    <col min="9" max="9" width="8.85546875" style="3" customWidth="1"/>
    <col min="10" max="10" width="12" style="1" bestFit="1" customWidth="1"/>
    <col min="11" max="11" width="9.140625" style="1"/>
    <col min="12" max="12" width="12" style="1" bestFit="1" customWidth="1"/>
    <col min="13" max="14" width="9.140625" style="1"/>
    <col min="15" max="15" width="12" style="13" bestFit="1" customWidth="1"/>
    <col min="16" max="16" width="11" style="1" bestFit="1" customWidth="1"/>
    <col min="17" max="16384" width="9.140625" style="1"/>
  </cols>
  <sheetData>
    <row r="1" spans="1:16" ht="15" x14ac:dyDescent="0.25">
      <c r="A1" s="277" t="s">
        <v>0</v>
      </c>
      <c r="B1" s="278"/>
      <c r="C1" s="278"/>
      <c r="D1" s="278"/>
      <c r="E1" s="278"/>
      <c r="F1" s="278"/>
      <c r="G1" s="278"/>
      <c r="H1" s="278"/>
      <c r="I1" s="279"/>
    </row>
    <row r="2" spans="1:16" ht="18" x14ac:dyDescent="0.25">
      <c r="A2" s="282" t="s">
        <v>42</v>
      </c>
      <c r="B2" s="283"/>
      <c r="C2" s="283"/>
      <c r="D2" s="283"/>
      <c r="E2" s="283"/>
      <c r="F2" s="283"/>
      <c r="G2" s="283"/>
      <c r="H2" s="283"/>
      <c r="I2" s="284"/>
    </row>
    <row r="3" spans="1:16" ht="15" x14ac:dyDescent="0.25">
      <c r="A3" s="285" t="str">
        <f>'Executive Summary'!A3</f>
        <v>July 2026</v>
      </c>
      <c r="B3" s="286"/>
      <c r="C3" s="286"/>
      <c r="D3" s="286"/>
      <c r="E3" s="286"/>
      <c r="F3" s="286"/>
      <c r="G3" s="286"/>
      <c r="H3" s="286"/>
      <c r="I3" s="287"/>
    </row>
    <row r="4" spans="1:16" x14ac:dyDescent="0.2">
      <c r="A4" s="64"/>
      <c r="B4" s="65"/>
      <c r="C4" s="65"/>
      <c r="D4" s="65"/>
      <c r="E4" s="65"/>
      <c r="F4" s="65"/>
      <c r="G4" s="65"/>
      <c r="H4" s="65"/>
      <c r="I4" s="73"/>
    </row>
    <row r="5" spans="1:16" s="4" customFormat="1" ht="15" x14ac:dyDescent="0.25">
      <c r="A5" s="77"/>
      <c r="B5" s="76"/>
      <c r="C5" s="45"/>
      <c r="D5" s="45"/>
      <c r="E5" s="45"/>
      <c r="F5" s="45"/>
      <c r="G5" s="45"/>
      <c r="H5" s="45"/>
      <c r="I5" s="46"/>
      <c r="O5" s="15"/>
    </row>
    <row r="6" spans="1:16" s="4" customFormat="1" ht="12.75" customHeight="1" x14ac:dyDescent="0.25">
      <c r="A6" s="114" t="s">
        <v>43</v>
      </c>
      <c r="B6" s="92" t="s">
        <v>3</v>
      </c>
      <c r="C6" s="288"/>
      <c r="D6" s="288"/>
      <c r="E6" s="288"/>
      <c r="F6" s="66"/>
      <c r="G6" s="66" t="s">
        <v>6</v>
      </c>
      <c r="H6" s="67">
        <f>'Executive Summary'!H7</f>
        <v>50133</v>
      </c>
      <c r="I6" s="47"/>
      <c r="O6" s="15"/>
    </row>
    <row r="7" spans="1:16" s="4" customFormat="1" ht="15" x14ac:dyDescent="0.25">
      <c r="A7" s="114" t="s">
        <v>4</v>
      </c>
      <c r="B7" s="92" t="s">
        <v>5</v>
      </c>
      <c r="C7" s="68"/>
      <c r="D7" s="68"/>
      <c r="E7" s="68"/>
      <c r="F7" s="68"/>
      <c r="G7" s="66" t="s">
        <v>7</v>
      </c>
      <c r="H7" s="69">
        <v>0.94140000000000001</v>
      </c>
      <c r="I7" s="47"/>
      <c r="O7" s="15"/>
    </row>
    <row r="8" spans="1:16" ht="15" x14ac:dyDescent="0.25">
      <c r="A8" s="48"/>
      <c r="B8" s="49"/>
      <c r="C8" s="49"/>
      <c r="D8" s="49"/>
      <c r="E8" s="49"/>
      <c r="F8" s="49"/>
      <c r="G8" s="50" t="s">
        <v>44</v>
      </c>
      <c r="H8" s="51">
        <v>0.94140000000000001</v>
      </c>
      <c r="I8" s="52"/>
    </row>
    <row r="9" spans="1:16" ht="12.75" x14ac:dyDescent="0.2">
      <c r="A9" s="70"/>
      <c r="B9" s="71"/>
      <c r="C9" s="71"/>
      <c r="D9" s="71"/>
      <c r="E9" s="71"/>
      <c r="F9" s="71"/>
      <c r="G9" s="71"/>
      <c r="H9" s="71"/>
      <c r="I9" s="74"/>
    </row>
    <row r="10" spans="1:16" s="5" customFormat="1" ht="18.75" customHeight="1" x14ac:dyDescent="0.2">
      <c r="A10" s="53" t="s">
        <v>45</v>
      </c>
      <c r="B10" s="54"/>
      <c r="C10" s="55"/>
      <c r="D10" s="55"/>
      <c r="E10" s="55"/>
      <c r="F10" s="55"/>
      <c r="G10" s="55"/>
      <c r="H10" s="55"/>
      <c r="I10" s="56"/>
      <c r="O10" s="16"/>
    </row>
    <row r="11" spans="1:16" ht="12.75" x14ac:dyDescent="0.2">
      <c r="A11" s="70"/>
      <c r="B11" s="72"/>
      <c r="C11" s="57"/>
      <c r="D11" s="72"/>
      <c r="E11" s="72"/>
      <c r="F11" s="72"/>
      <c r="G11" s="72"/>
      <c r="H11" s="72"/>
      <c r="I11" s="74"/>
    </row>
    <row r="12" spans="1:16" s="4" customFormat="1" ht="15" customHeight="1" x14ac:dyDescent="0.2">
      <c r="A12" s="86" t="s">
        <v>46</v>
      </c>
      <c r="B12" s="87" t="s">
        <v>47</v>
      </c>
      <c r="C12" s="280" t="s">
        <v>48</v>
      </c>
      <c r="D12" s="280"/>
      <c r="E12" s="280"/>
      <c r="F12" s="280"/>
      <c r="G12" s="280"/>
      <c r="H12" s="280"/>
      <c r="I12" s="281"/>
      <c r="O12" s="15"/>
    </row>
    <row r="13" spans="1:16" s="4" customFormat="1" ht="55.5" customHeight="1" x14ac:dyDescent="0.2">
      <c r="A13" s="91" t="s">
        <v>49</v>
      </c>
      <c r="B13" s="109">
        <v>3120.13</v>
      </c>
      <c r="C13" s="274" t="s">
        <v>141</v>
      </c>
      <c r="D13" s="275"/>
      <c r="E13" s="275"/>
      <c r="F13" s="275"/>
      <c r="G13" s="275"/>
      <c r="H13" s="275"/>
      <c r="I13" s="276"/>
      <c r="O13" s="15"/>
      <c r="P13" s="4">
        <v>39</v>
      </c>
    </row>
    <row r="14" spans="1:16" ht="62.25" customHeight="1" x14ac:dyDescent="0.2">
      <c r="A14" s="91" t="s">
        <v>127</v>
      </c>
      <c r="B14" s="109">
        <v>-39301.31</v>
      </c>
      <c r="C14" s="274" t="s">
        <v>130</v>
      </c>
      <c r="D14" s="289"/>
      <c r="E14" s="289"/>
      <c r="F14" s="289"/>
      <c r="G14" s="289"/>
      <c r="H14" s="289"/>
      <c r="I14" s="290"/>
    </row>
    <row r="15" spans="1:16" ht="48.75" customHeight="1" x14ac:dyDescent="0.2">
      <c r="A15" s="91" t="s">
        <v>144</v>
      </c>
      <c r="B15" s="109">
        <v>0</v>
      </c>
      <c r="C15" s="274" t="s">
        <v>151</v>
      </c>
      <c r="D15" s="275"/>
      <c r="E15" s="275"/>
      <c r="F15" s="275"/>
      <c r="G15" s="275"/>
      <c r="H15" s="275"/>
      <c r="I15" s="276"/>
      <c r="P15" s="14"/>
    </row>
    <row r="16" spans="1:16" ht="48.75" customHeight="1" x14ac:dyDescent="0.2">
      <c r="A16" s="91" t="s">
        <v>142</v>
      </c>
      <c r="B16" s="109">
        <v>5073.45</v>
      </c>
      <c r="C16" s="274" t="s">
        <v>143</v>
      </c>
      <c r="D16" s="275"/>
      <c r="E16" s="275"/>
      <c r="F16" s="275"/>
      <c r="G16" s="275"/>
      <c r="H16" s="275"/>
      <c r="I16" s="276"/>
      <c r="P16" s="14"/>
    </row>
    <row r="17" spans="1:9" ht="36.75" customHeight="1" x14ac:dyDescent="0.2">
      <c r="A17" s="88" t="s">
        <v>50</v>
      </c>
      <c r="B17" s="89">
        <f>SUM(B13:B15)</f>
        <v>-36181.18</v>
      </c>
      <c r="C17" s="93"/>
      <c r="D17" s="93"/>
      <c r="E17" s="93"/>
      <c r="F17" s="93"/>
      <c r="G17" s="93" t="s">
        <v>51</v>
      </c>
      <c r="H17" s="93"/>
      <c r="I17" s="94"/>
    </row>
    <row r="18" spans="1:9" x14ac:dyDescent="0.2">
      <c r="A18" s="58"/>
      <c r="B18" s="59"/>
      <c r="C18" s="58"/>
      <c r="D18" s="58"/>
      <c r="E18" s="58"/>
      <c r="F18" s="58"/>
      <c r="G18" s="58"/>
      <c r="H18" s="58"/>
      <c r="I18" s="1"/>
    </row>
    <row r="20" spans="1:9" ht="122.25" customHeight="1" x14ac:dyDescent="0.2">
      <c r="A20" s="100"/>
    </row>
    <row r="21" spans="1:9" ht="192" customHeight="1" x14ac:dyDescent="0.2">
      <c r="A21" s="100"/>
    </row>
    <row r="22" spans="1:9" x14ac:dyDescent="0.2">
      <c r="A22" s="100"/>
    </row>
    <row r="23" spans="1:9" ht="66" customHeight="1" x14ac:dyDescent="0.2">
      <c r="A23" s="100"/>
    </row>
    <row r="24" spans="1:9" x14ac:dyDescent="0.2">
      <c r="A24" s="100"/>
    </row>
    <row r="25" spans="1:9" ht="119.25" customHeight="1" x14ac:dyDescent="0.2">
      <c r="A25" s="100"/>
    </row>
    <row r="26" spans="1:9" ht="219" customHeight="1" x14ac:dyDescent="0.2">
      <c r="A26" s="100"/>
    </row>
    <row r="37" spans="1:9" ht="77.25" customHeight="1" x14ac:dyDescent="0.2">
      <c r="B37" s="108"/>
    </row>
    <row r="40" spans="1:9" ht="132.75" customHeight="1" x14ac:dyDescent="0.2"/>
    <row r="42" spans="1:9" ht="159.75" customHeight="1" x14ac:dyDescent="0.2">
      <c r="A42" s="273" t="s">
        <v>101</v>
      </c>
      <c r="B42" s="273"/>
      <c r="C42" s="273"/>
      <c r="D42" s="273"/>
      <c r="E42" s="273"/>
      <c r="F42" s="273"/>
      <c r="G42" s="273"/>
      <c r="H42" s="273"/>
      <c r="I42" s="273"/>
    </row>
    <row r="44" spans="1:9" ht="345" customHeight="1" x14ac:dyDescent="0.2">
      <c r="A44" s="100" t="s">
        <v>100</v>
      </c>
    </row>
  </sheetData>
  <mergeCells count="10">
    <mergeCell ref="A42:I42"/>
    <mergeCell ref="C15:I15"/>
    <mergeCell ref="A1:I1"/>
    <mergeCell ref="C12:I12"/>
    <mergeCell ref="A2:I2"/>
    <mergeCell ref="A3:I3"/>
    <mergeCell ref="C6:E6"/>
    <mergeCell ref="C13:I13"/>
    <mergeCell ref="C14:I14"/>
    <mergeCell ref="C16:I16"/>
  </mergeCells>
  <phoneticPr fontId="15" type="noConversion"/>
  <printOptions horizontalCentered="1"/>
  <pageMargins left="0" right="0" top="0" bottom="0" header="0" footer="0"/>
  <pageSetup scale="84" fitToHeight="0" orientation="portrait" r:id="rId1"/>
  <headerFooter alignWithMargins="0">
    <oddFooter>&amp;C&amp;8Executive Summary&amp;R&amp;8Page &amp;P</oddFooter>
  </headerFooter>
  <colBreaks count="1" manualBreakCount="1">
    <brk id="9" max="1048575" man="1"/>
  </col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903F2-89B4-4698-94BC-F25EFEE91CA8}">
  <sheetPr>
    <pageSetUpPr fitToPage="1"/>
  </sheetPr>
  <dimension ref="A1:R44"/>
  <sheetViews>
    <sheetView view="pageBreakPreview" zoomScale="96" zoomScaleNormal="100" zoomScaleSheetLayoutView="96" workbookViewId="0">
      <selection activeCell="F22" sqref="F22"/>
    </sheetView>
  </sheetViews>
  <sheetFormatPr defaultRowHeight="12.75" x14ac:dyDescent="0.2"/>
  <cols>
    <col min="1" max="1" width="29.85546875" customWidth="1"/>
    <col min="3" max="3" width="12" customWidth="1"/>
    <col min="11" max="11" width="17.28515625" customWidth="1"/>
    <col min="13" max="13" width="13.85546875" customWidth="1"/>
  </cols>
  <sheetData>
    <row r="1" spans="1:18" ht="14.25" x14ac:dyDescent="0.2">
      <c r="A1" s="26"/>
      <c r="B1" s="27"/>
      <c r="C1" s="27"/>
      <c r="D1" s="27"/>
      <c r="E1" s="27"/>
      <c r="F1" s="27"/>
      <c r="G1" s="27"/>
      <c r="H1" s="27"/>
      <c r="I1" s="27"/>
      <c r="J1" s="27"/>
      <c r="K1" s="27"/>
    </row>
    <row r="2" spans="1:18" ht="15" x14ac:dyDescent="0.25">
      <c r="A2" s="292" t="s">
        <v>52</v>
      </c>
      <c r="B2" s="292"/>
      <c r="C2" s="292"/>
      <c r="D2" s="292"/>
      <c r="E2" s="292"/>
      <c r="F2" s="292"/>
      <c r="G2" s="292"/>
      <c r="H2" s="292"/>
      <c r="I2" s="292"/>
      <c r="J2" s="292"/>
      <c r="K2" s="292"/>
    </row>
    <row r="3" spans="1:18" ht="15" customHeight="1" x14ac:dyDescent="0.25">
      <c r="A3" s="293" t="s">
        <v>1</v>
      </c>
      <c r="B3" s="293"/>
      <c r="C3" s="293"/>
      <c r="D3" s="293"/>
      <c r="E3" s="293"/>
      <c r="F3" s="293"/>
      <c r="G3" s="293"/>
      <c r="H3" s="293"/>
      <c r="I3" s="293"/>
      <c r="J3" s="293"/>
      <c r="K3" s="293"/>
    </row>
    <row r="4" spans="1:18" ht="15" x14ac:dyDescent="0.25">
      <c r="A4" s="294" t="str">
        <f>'Executive Summary'!A3</f>
        <v>July 2026</v>
      </c>
      <c r="B4" s="292"/>
      <c r="C4" s="292"/>
      <c r="D4" s="292"/>
      <c r="E4" s="292"/>
      <c r="F4" s="292"/>
      <c r="G4" s="292"/>
      <c r="H4" s="292"/>
      <c r="I4" s="292"/>
      <c r="J4" s="292"/>
      <c r="K4" s="292"/>
    </row>
    <row r="5" spans="1:18" ht="15" x14ac:dyDescent="0.25">
      <c r="A5" s="28"/>
      <c r="B5" s="28"/>
      <c r="C5" s="28"/>
      <c r="D5" s="28"/>
      <c r="E5" s="28"/>
      <c r="F5" s="28"/>
      <c r="G5" s="28"/>
      <c r="H5" s="28"/>
      <c r="I5" s="28"/>
      <c r="J5" s="28"/>
      <c r="K5" s="28"/>
    </row>
    <row r="6" spans="1:18" ht="15" customHeight="1" x14ac:dyDescent="0.25">
      <c r="A6" s="78"/>
      <c r="B6" s="296"/>
      <c r="C6" s="296"/>
      <c r="D6" s="29"/>
      <c r="E6" s="29"/>
      <c r="F6" s="29"/>
      <c r="G6" s="29"/>
      <c r="H6" s="29"/>
      <c r="I6" s="29"/>
      <c r="J6" s="29"/>
      <c r="K6" s="30"/>
    </row>
    <row r="7" spans="1:18" ht="15" x14ac:dyDescent="0.25">
      <c r="A7" s="115" t="s">
        <v>43</v>
      </c>
      <c r="B7" s="295" t="s">
        <v>3</v>
      </c>
      <c r="C7" s="295"/>
      <c r="D7" s="31"/>
      <c r="E7" s="31"/>
      <c r="F7" s="32"/>
      <c r="G7" s="32" t="s">
        <v>6</v>
      </c>
      <c r="H7" s="33">
        <v>50133</v>
      </c>
      <c r="I7" s="33"/>
      <c r="J7" s="33"/>
      <c r="K7" s="34"/>
    </row>
    <row r="8" spans="1:18" ht="15" x14ac:dyDescent="0.25">
      <c r="A8" s="115" t="s">
        <v>4</v>
      </c>
      <c r="B8" s="295" t="s">
        <v>5</v>
      </c>
      <c r="C8" s="295"/>
      <c r="D8" s="31"/>
      <c r="E8" s="31"/>
      <c r="F8" s="31"/>
      <c r="G8" s="32" t="s">
        <v>7</v>
      </c>
      <c r="H8" s="35">
        <f>'Executive Summary'!H8</f>
        <v>0.94140000000000001</v>
      </c>
      <c r="I8" s="35"/>
      <c r="J8" s="35"/>
      <c r="K8" s="34"/>
    </row>
    <row r="9" spans="1:18" ht="15" x14ac:dyDescent="0.25">
      <c r="A9" s="36"/>
      <c r="B9" s="37"/>
      <c r="C9" s="37"/>
      <c r="D9" s="38"/>
      <c r="E9" s="39"/>
      <c r="F9" s="39"/>
      <c r="G9" s="39"/>
      <c r="H9" s="40"/>
      <c r="I9" s="40"/>
      <c r="J9" s="40"/>
      <c r="K9" s="41"/>
    </row>
    <row r="10" spans="1:18" ht="14.25" x14ac:dyDescent="0.2">
      <c r="A10" s="26"/>
      <c r="B10" s="26"/>
      <c r="C10" s="27"/>
      <c r="D10" s="27"/>
      <c r="E10" s="27"/>
      <c r="F10" s="27"/>
      <c r="G10" s="27"/>
      <c r="H10" s="27"/>
      <c r="I10" s="27"/>
      <c r="J10" s="27"/>
      <c r="K10" s="27"/>
    </row>
    <row r="11" spans="1:18" ht="14.25" x14ac:dyDescent="0.2">
      <c r="A11" s="26"/>
      <c r="B11" s="26"/>
      <c r="C11" s="27"/>
      <c r="D11" s="27"/>
      <c r="E11" s="27"/>
      <c r="F11" s="27"/>
      <c r="G11" s="27"/>
      <c r="H11" s="27"/>
      <c r="I11" s="27"/>
      <c r="J11" s="27"/>
      <c r="K11" s="27"/>
    </row>
    <row r="12" spans="1:18" ht="15" x14ac:dyDescent="0.2">
      <c r="A12" s="42" t="s">
        <v>46</v>
      </c>
      <c r="B12" s="297" t="s">
        <v>53</v>
      </c>
      <c r="C12" s="297"/>
      <c r="D12" s="298" t="s">
        <v>54</v>
      </c>
      <c r="E12" s="298"/>
      <c r="F12" s="298"/>
      <c r="G12" s="298"/>
      <c r="H12" s="298"/>
      <c r="I12" s="298"/>
      <c r="J12" s="298"/>
      <c r="K12" s="298"/>
    </row>
    <row r="13" spans="1:18" ht="57.75" customHeight="1" x14ac:dyDescent="0.2">
      <c r="A13" s="44" t="s">
        <v>55</v>
      </c>
      <c r="B13" s="299">
        <f>R13</f>
        <v>7974.4500000000007</v>
      </c>
      <c r="C13" s="299"/>
      <c r="D13" s="300" t="s">
        <v>56</v>
      </c>
      <c r="E13" s="300"/>
      <c r="F13" s="300"/>
      <c r="G13" s="300"/>
      <c r="H13" s="300"/>
      <c r="I13" s="300"/>
      <c r="J13" s="300"/>
      <c r="K13" s="300"/>
      <c r="M13" s="85" t="s">
        <v>57</v>
      </c>
      <c r="N13" s="84">
        <v>26581.5</v>
      </c>
      <c r="O13" s="84">
        <f>N13/60</f>
        <v>443.02499999999998</v>
      </c>
      <c r="P13" s="90">
        <v>42</v>
      </c>
      <c r="Q13" s="84">
        <f>O13*P13</f>
        <v>18607.05</v>
      </c>
      <c r="R13" s="84">
        <f>N13-Q13</f>
        <v>7974.4500000000007</v>
      </c>
    </row>
    <row r="14" spans="1:18" ht="15" x14ac:dyDescent="0.2">
      <c r="A14" s="43" t="s">
        <v>58</v>
      </c>
      <c r="B14" s="301">
        <f>SUM(B13:B13)</f>
        <v>7974.4500000000007</v>
      </c>
      <c r="C14" s="302"/>
    </row>
    <row r="22" spans="1:1" ht="122.25" customHeight="1" x14ac:dyDescent="0.2">
      <c r="A22" s="99"/>
    </row>
    <row r="23" spans="1:1" ht="192" customHeight="1" x14ac:dyDescent="0.2">
      <c r="A23" s="99"/>
    </row>
    <row r="25" spans="1:1" ht="119.25" customHeight="1" x14ac:dyDescent="0.2">
      <c r="A25" s="99"/>
    </row>
    <row r="26" spans="1:1" ht="219" customHeight="1" x14ac:dyDescent="0.2">
      <c r="A26" s="99"/>
    </row>
    <row r="40" spans="1:9" ht="77.25" customHeight="1" x14ac:dyDescent="0.2">
      <c r="B40" s="99"/>
    </row>
    <row r="42" spans="1:9" ht="159.75" customHeight="1" x14ac:dyDescent="0.2">
      <c r="A42" s="291"/>
      <c r="B42" s="291"/>
      <c r="C42" s="291"/>
      <c r="D42" s="291"/>
      <c r="E42" s="291"/>
      <c r="F42" s="291"/>
      <c r="G42" s="291"/>
      <c r="H42" s="291"/>
      <c r="I42" s="291"/>
    </row>
    <row r="44" spans="1:9" ht="345" customHeight="1" x14ac:dyDescent="0.2">
      <c r="A44" s="99"/>
    </row>
  </sheetData>
  <mergeCells count="12">
    <mergeCell ref="A42:I42"/>
    <mergeCell ref="A2:K2"/>
    <mergeCell ref="A3:K3"/>
    <mergeCell ref="A4:K4"/>
    <mergeCell ref="B7:C7"/>
    <mergeCell ref="B8:C8"/>
    <mergeCell ref="B6:C6"/>
    <mergeCell ref="B12:C12"/>
    <mergeCell ref="D12:K12"/>
    <mergeCell ref="B13:C13"/>
    <mergeCell ref="D13:K13"/>
    <mergeCell ref="B14:C14"/>
  </mergeCells>
  <pageMargins left="0" right="0" top="0" bottom="0" header="0" footer="0"/>
  <pageSetup scale="80"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1FEE2-CE25-477D-90EB-2DB2EDF44AA0}">
  <sheetPr>
    <pageSetUpPr fitToPage="1"/>
  </sheetPr>
  <dimension ref="A1:I44"/>
  <sheetViews>
    <sheetView view="pageBreakPreview" topLeftCell="A3" zoomScaleNormal="100" zoomScaleSheetLayoutView="100" workbookViewId="0">
      <selection activeCell="G11" sqref="G11"/>
    </sheetView>
  </sheetViews>
  <sheetFormatPr defaultRowHeight="12.75" x14ac:dyDescent="0.2"/>
  <cols>
    <col min="1" max="1" width="29.42578125" customWidth="1"/>
    <col min="2" max="2" width="33.7109375" customWidth="1"/>
    <col min="3" max="3" width="13.85546875" customWidth="1"/>
    <col min="4" max="4" width="21.140625" customWidth="1"/>
    <col min="5" max="5" width="16.85546875" customWidth="1"/>
    <col min="6" max="6" width="21.7109375" customWidth="1"/>
    <col min="7" max="7" width="34.5703125" customWidth="1"/>
  </cols>
  <sheetData>
    <row r="1" spans="1:9" ht="15" x14ac:dyDescent="0.25">
      <c r="A1" s="305" t="s">
        <v>0</v>
      </c>
      <c r="B1" s="305"/>
      <c r="C1" s="305"/>
      <c r="D1" s="305"/>
      <c r="E1" s="305"/>
      <c r="F1" s="305"/>
      <c r="G1" s="305"/>
      <c r="H1" s="17"/>
      <c r="I1" s="17"/>
    </row>
    <row r="2" spans="1:9" ht="18" x14ac:dyDescent="0.25">
      <c r="A2" s="306" t="s">
        <v>1</v>
      </c>
      <c r="B2" s="306"/>
      <c r="C2" s="306"/>
      <c r="D2" s="306"/>
      <c r="E2" s="306"/>
      <c r="F2" s="306"/>
      <c r="G2" s="306"/>
      <c r="H2" s="17"/>
      <c r="I2" s="17"/>
    </row>
    <row r="3" spans="1:9" ht="15" x14ac:dyDescent="0.25">
      <c r="A3" s="307" t="str">
        <f>'Executive Summary'!A3</f>
        <v>July 2026</v>
      </c>
      <c r="B3" s="305"/>
      <c r="C3" s="305"/>
      <c r="D3" s="305"/>
      <c r="E3" s="305"/>
      <c r="F3" s="305"/>
      <c r="G3" s="305"/>
      <c r="H3" s="17"/>
      <c r="I3" s="17"/>
    </row>
    <row r="4" spans="1:9" x14ac:dyDescent="0.2">
      <c r="A4" s="308"/>
      <c r="B4" s="308"/>
      <c r="C4" s="308"/>
      <c r="D4" s="308"/>
      <c r="E4" s="308"/>
      <c r="F4" s="308"/>
      <c r="G4" s="308"/>
      <c r="H4" s="17"/>
      <c r="I4" s="17"/>
    </row>
    <row r="5" spans="1:9" x14ac:dyDescent="0.2">
      <c r="A5" s="75"/>
      <c r="B5" s="75"/>
      <c r="C5" s="75"/>
      <c r="D5" s="75"/>
      <c r="E5" s="75"/>
      <c r="F5" s="75"/>
      <c r="G5" s="75"/>
      <c r="H5" s="17"/>
      <c r="I5" s="17"/>
    </row>
    <row r="6" spans="1:9" x14ac:dyDescent="0.2">
      <c r="A6" s="75"/>
      <c r="B6" s="75"/>
      <c r="C6" s="75"/>
      <c r="D6" s="75"/>
      <c r="E6" s="75"/>
      <c r="F6" s="75"/>
      <c r="G6" s="75"/>
      <c r="H6" s="17"/>
      <c r="I6" s="17"/>
    </row>
    <row r="7" spans="1:9" x14ac:dyDescent="0.2">
      <c r="A7" s="117"/>
      <c r="B7" s="118"/>
      <c r="C7" s="119"/>
      <c r="D7" s="119"/>
      <c r="E7" s="119"/>
      <c r="F7" s="119"/>
      <c r="G7" s="120"/>
      <c r="H7" s="17"/>
      <c r="I7" s="17"/>
    </row>
    <row r="8" spans="1:9" ht="15" x14ac:dyDescent="0.25">
      <c r="A8" s="115" t="s">
        <v>43</v>
      </c>
      <c r="B8" s="295" t="s">
        <v>3</v>
      </c>
      <c r="C8" s="295"/>
      <c r="D8" s="18"/>
      <c r="E8" s="303" t="s">
        <v>6</v>
      </c>
      <c r="F8" s="303"/>
      <c r="G8" s="19">
        <v>50133</v>
      </c>
      <c r="H8" s="17"/>
      <c r="I8" s="17"/>
    </row>
    <row r="9" spans="1:9" ht="15" x14ac:dyDescent="0.25">
      <c r="A9" s="115" t="s">
        <v>4</v>
      </c>
      <c r="B9" s="295" t="s">
        <v>5</v>
      </c>
      <c r="C9" s="295"/>
      <c r="D9" s="116"/>
      <c r="E9" s="303" t="s">
        <v>7</v>
      </c>
      <c r="F9" s="303"/>
      <c r="G9" s="20">
        <v>0.94140000000000001</v>
      </c>
      <c r="H9" s="17"/>
      <c r="I9" s="17"/>
    </row>
    <row r="10" spans="1:9" x14ac:dyDescent="0.2">
      <c r="A10" s="21"/>
      <c r="B10" s="22"/>
      <c r="C10" s="22"/>
      <c r="D10" s="22"/>
      <c r="E10" s="304" t="s">
        <v>8</v>
      </c>
      <c r="F10" s="304"/>
      <c r="G10" s="23">
        <v>0.94140000000000001</v>
      </c>
      <c r="H10" s="17"/>
      <c r="I10" s="17"/>
    </row>
    <row r="11" spans="1:9" x14ac:dyDescent="0.2">
      <c r="A11" s="17"/>
      <c r="B11" s="17"/>
      <c r="C11" s="17"/>
      <c r="D11" s="17"/>
      <c r="E11" s="17"/>
      <c r="F11" s="17"/>
      <c r="G11" s="17"/>
      <c r="H11" s="17"/>
      <c r="I11" s="17"/>
    </row>
    <row r="12" spans="1:9" x14ac:dyDescent="0.2">
      <c r="A12" s="82" t="s">
        <v>59</v>
      </c>
      <c r="B12" s="83" t="s">
        <v>60</v>
      </c>
      <c r="C12" s="82" t="s">
        <v>61</v>
      </c>
      <c r="D12" s="82" t="s">
        <v>62</v>
      </c>
      <c r="E12" s="82" t="s">
        <v>63</v>
      </c>
      <c r="F12" s="82" t="s">
        <v>64</v>
      </c>
      <c r="G12" s="82" t="s">
        <v>65</v>
      </c>
      <c r="H12" s="17"/>
      <c r="I12" s="17"/>
    </row>
    <row r="13" spans="1:9" hidden="1" x14ac:dyDescent="0.2">
      <c r="A13" s="24"/>
      <c r="B13" s="24"/>
      <c r="C13" s="24"/>
      <c r="D13" s="24"/>
      <c r="E13" s="24"/>
      <c r="F13" s="24"/>
      <c r="G13" s="24"/>
      <c r="H13" s="17"/>
      <c r="I13" s="17"/>
    </row>
    <row r="14" spans="1:9" ht="19.5" customHeight="1" x14ac:dyDescent="0.2">
      <c r="A14" s="79" t="s">
        <v>66</v>
      </c>
      <c r="B14" s="79" t="s">
        <v>67</v>
      </c>
      <c r="C14" s="79" t="s">
        <v>68</v>
      </c>
      <c r="D14" s="79" t="s">
        <v>68</v>
      </c>
      <c r="E14" s="79" t="s">
        <v>68</v>
      </c>
      <c r="F14" s="80" t="s">
        <v>68</v>
      </c>
      <c r="G14" s="81"/>
      <c r="H14" s="17"/>
      <c r="I14" s="17"/>
    </row>
    <row r="15" spans="1:9" ht="25.5" x14ac:dyDescent="0.2">
      <c r="A15" s="79" t="s">
        <v>66</v>
      </c>
      <c r="B15" s="79" t="s">
        <v>70</v>
      </c>
      <c r="C15" s="79" t="s">
        <v>68</v>
      </c>
      <c r="D15" s="79" t="s">
        <v>68</v>
      </c>
      <c r="E15" s="79" t="s">
        <v>68</v>
      </c>
      <c r="F15" s="80" t="s">
        <v>69</v>
      </c>
      <c r="G15" s="81" t="s">
        <v>123</v>
      </c>
      <c r="H15" s="17"/>
      <c r="I15" s="17"/>
    </row>
    <row r="16" spans="1:9" ht="25.5" x14ac:dyDescent="0.2">
      <c r="A16" s="79" t="s">
        <v>66</v>
      </c>
      <c r="B16" s="80" t="s">
        <v>71</v>
      </c>
      <c r="C16" s="79" t="s">
        <v>68</v>
      </c>
      <c r="D16" s="79" t="s">
        <v>68</v>
      </c>
      <c r="E16" s="79" t="s">
        <v>68</v>
      </c>
      <c r="F16" s="79" t="s">
        <v>69</v>
      </c>
      <c r="G16" s="97" t="s">
        <v>123</v>
      </c>
      <c r="H16" s="17"/>
      <c r="I16" s="17"/>
    </row>
    <row r="17" spans="1:9" hidden="1" x14ac:dyDescent="0.2">
      <c r="A17" s="79" t="s">
        <v>66</v>
      </c>
      <c r="B17" s="79" t="s">
        <v>72</v>
      </c>
      <c r="C17" s="79" t="s">
        <v>73</v>
      </c>
      <c r="D17" s="80" t="s">
        <v>73</v>
      </c>
      <c r="E17" s="79" t="s">
        <v>73</v>
      </c>
      <c r="F17" s="80" t="s">
        <v>73</v>
      </c>
      <c r="G17" s="81"/>
      <c r="H17" s="17"/>
      <c r="I17" s="17"/>
    </row>
    <row r="18" spans="1:9" x14ac:dyDescent="0.2">
      <c r="A18" s="79" t="s">
        <v>66</v>
      </c>
      <c r="B18" s="79" t="s">
        <v>74</v>
      </c>
      <c r="C18" s="79" t="s">
        <v>68</v>
      </c>
      <c r="D18" s="80" t="s">
        <v>68</v>
      </c>
      <c r="E18" s="79" t="s">
        <v>68</v>
      </c>
      <c r="F18" s="80" t="s">
        <v>68</v>
      </c>
      <c r="G18" s="81"/>
      <c r="H18" s="17"/>
      <c r="I18" s="17"/>
    </row>
    <row r="19" spans="1:9" ht="25.5" x14ac:dyDescent="0.2">
      <c r="A19" s="79" t="s">
        <v>66</v>
      </c>
      <c r="B19" s="80" t="s">
        <v>76</v>
      </c>
      <c r="C19" s="79" t="s">
        <v>68</v>
      </c>
      <c r="D19" s="79" t="s">
        <v>68</v>
      </c>
      <c r="E19" s="79" t="s">
        <v>68</v>
      </c>
      <c r="F19" s="79" t="s">
        <v>69</v>
      </c>
      <c r="G19" s="81" t="s">
        <v>123</v>
      </c>
      <c r="H19" s="17"/>
      <c r="I19" s="17"/>
    </row>
    <row r="20" spans="1:9" x14ac:dyDescent="0.2">
      <c r="A20" s="79" t="s">
        <v>66</v>
      </c>
      <c r="B20" s="79" t="s">
        <v>77</v>
      </c>
      <c r="C20" s="79" t="s">
        <v>68</v>
      </c>
      <c r="D20" s="79" t="s">
        <v>68</v>
      </c>
      <c r="E20" s="79" t="s">
        <v>68</v>
      </c>
      <c r="F20" s="79" t="s">
        <v>68</v>
      </c>
      <c r="G20" s="81"/>
      <c r="H20" s="17"/>
      <c r="I20" s="17"/>
    </row>
    <row r="21" spans="1:9" ht="38.25" x14ac:dyDescent="0.2">
      <c r="A21" s="79" t="s">
        <v>66</v>
      </c>
      <c r="B21" s="80" t="s">
        <v>78</v>
      </c>
      <c r="C21" s="79" t="s">
        <v>68</v>
      </c>
      <c r="D21" s="80" t="s">
        <v>69</v>
      </c>
      <c r="E21" s="79" t="s">
        <v>68</v>
      </c>
      <c r="F21" s="80" t="s">
        <v>69</v>
      </c>
      <c r="G21" s="81" t="s">
        <v>75</v>
      </c>
      <c r="H21" s="17"/>
      <c r="I21" s="17"/>
    </row>
    <row r="22" spans="1:9" x14ac:dyDescent="0.2">
      <c r="A22" s="110" t="s">
        <v>66</v>
      </c>
      <c r="B22" s="80" t="s">
        <v>79</v>
      </c>
      <c r="C22" s="79" t="s">
        <v>68</v>
      </c>
      <c r="D22" s="79" t="s">
        <v>68</v>
      </c>
      <c r="E22" s="79" t="s">
        <v>68</v>
      </c>
      <c r="F22" s="80" t="s">
        <v>68</v>
      </c>
      <c r="G22" s="81"/>
      <c r="H22" s="17"/>
      <c r="I22" s="17"/>
    </row>
    <row r="23" spans="1:9" ht="25.5" x14ac:dyDescent="0.2">
      <c r="A23" s="98" t="s">
        <v>66</v>
      </c>
      <c r="B23" s="96" t="s">
        <v>80</v>
      </c>
      <c r="C23" s="79" t="s">
        <v>68</v>
      </c>
      <c r="D23" s="79" t="s">
        <v>69</v>
      </c>
      <c r="E23" s="79" t="s">
        <v>68</v>
      </c>
      <c r="F23" s="80" t="s">
        <v>68</v>
      </c>
      <c r="G23" s="97" t="s">
        <v>82</v>
      </c>
    </row>
    <row r="24" spans="1:9" ht="25.5" x14ac:dyDescent="0.2">
      <c r="A24" s="98" t="s">
        <v>66</v>
      </c>
      <c r="B24" s="96" t="s">
        <v>81</v>
      </c>
      <c r="C24" s="79" t="s">
        <v>68</v>
      </c>
      <c r="D24" s="79" t="s">
        <v>69</v>
      </c>
      <c r="E24" s="79" t="s">
        <v>68</v>
      </c>
      <c r="F24" s="80" t="s">
        <v>69</v>
      </c>
      <c r="G24" s="97" t="s">
        <v>82</v>
      </c>
    </row>
    <row r="25" spans="1:9" ht="25.5" x14ac:dyDescent="0.2">
      <c r="A25" s="110" t="s">
        <v>66</v>
      </c>
      <c r="B25" s="79" t="s">
        <v>83</v>
      </c>
      <c r="C25" s="79" t="s">
        <v>68</v>
      </c>
      <c r="D25" s="79" t="s">
        <v>68</v>
      </c>
      <c r="E25" s="79" t="s">
        <v>68</v>
      </c>
      <c r="F25" s="79" t="s">
        <v>69</v>
      </c>
      <c r="G25" s="81" t="s">
        <v>104</v>
      </c>
      <c r="H25" s="17"/>
      <c r="I25" s="17"/>
    </row>
    <row r="26" spans="1:9" ht="38.25" x14ac:dyDescent="0.2">
      <c r="A26" s="110" t="s">
        <v>66</v>
      </c>
      <c r="B26" s="80" t="s">
        <v>84</v>
      </c>
      <c r="C26" s="79" t="s">
        <v>68</v>
      </c>
      <c r="D26" s="80" t="s">
        <v>69</v>
      </c>
      <c r="E26" s="79" t="s">
        <v>68</v>
      </c>
      <c r="F26" s="79" t="s">
        <v>68</v>
      </c>
      <c r="G26" s="81" t="s">
        <v>85</v>
      </c>
      <c r="H26" s="17"/>
      <c r="I26" s="17"/>
    </row>
    <row r="27" spans="1:9" ht="38.25" x14ac:dyDescent="0.2">
      <c r="A27" s="98" t="s">
        <v>66</v>
      </c>
      <c r="B27" s="96" t="s">
        <v>86</v>
      </c>
      <c r="C27" s="79" t="s">
        <v>68</v>
      </c>
      <c r="D27" s="80" t="s">
        <v>69</v>
      </c>
      <c r="E27" s="79" t="s">
        <v>68</v>
      </c>
      <c r="F27" s="80" t="s">
        <v>69</v>
      </c>
      <c r="G27" s="81" t="s">
        <v>75</v>
      </c>
    </row>
    <row r="28" spans="1:9" x14ac:dyDescent="0.2">
      <c r="A28" s="95" t="s">
        <v>66</v>
      </c>
      <c r="B28" s="96" t="s">
        <v>87</v>
      </c>
      <c r="C28" s="79" t="s">
        <v>68</v>
      </c>
      <c r="D28" s="80" t="s">
        <v>68</v>
      </c>
      <c r="E28" s="95" t="s">
        <v>68</v>
      </c>
      <c r="F28" s="80" t="s">
        <v>68</v>
      </c>
      <c r="G28" s="81"/>
    </row>
    <row r="29" spans="1:9" x14ac:dyDescent="0.2">
      <c r="A29" s="79" t="s">
        <v>66</v>
      </c>
      <c r="B29" s="80" t="s">
        <v>88</v>
      </c>
      <c r="C29" s="79" t="s">
        <v>68</v>
      </c>
      <c r="D29" s="79" t="s">
        <v>68</v>
      </c>
      <c r="E29" s="79" t="s">
        <v>68</v>
      </c>
      <c r="F29" s="79" t="s">
        <v>68</v>
      </c>
      <c r="G29" s="81"/>
      <c r="H29" s="17"/>
      <c r="I29" s="17"/>
    </row>
    <row r="30" spans="1:9" ht="25.5" x14ac:dyDescent="0.2">
      <c r="A30" s="79" t="s">
        <v>66</v>
      </c>
      <c r="B30" s="80" t="s">
        <v>55</v>
      </c>
      <c r="C30" s="79" t="s">
        <v>68</v>
      </c>
      <c r="D30" s="79" t="s">
        <v>68</v>
      </c>
      <c r="E30" s="79" t="s">
        <v>68</v>
      </c>
      <c r="F30" s="80" t="s">
        <v>69</v>
      </c>
      <c r="G30" s="81" t="s">
        <v>124</v>
      </c>
      <c r="H30" s="17"/>
      <c r="I30" s="17"/>
    </row>
    <row r="33" spans="1:9" x14ac:dyDescent="0.2">
      <c r="A33" s="17"/>
      <c r="B33" s="17"/>
      <c r="C33" s="17"/>
      <c r="D33" s="17"/>
      <c r="E33" s="17"/>
      <c r="F33" s="17"/>
      <c r="G33" s="17"/>
      <c r="H33" s="17"/>
      <c r="I33" s="17"/>
    </row>
    <row r="34" spans="1:9" x14ac:dyDescent="0.2">
      <c r="A34" s="17"/>
      <c r="B34" s="17"/>
      <c r="C34" s="17"/>
      <c r="D34" s="17"/>
      <c r="E34" s="17"/>
      <c r="F34" s="17"/>
      <c r="G34" s="17"/>
      <c r="H34" s="17"/>
      <c r="I34" s="17"/>
    </row>
    <row r="41" spans="1:9" ht="77.25" customHeight="1" x14ac:dyDescent="0.2">
      <c r="B41" s="99"/>
    </row>
    <row r="42" spans="1:9" ht="159.75" customHeight="1" x14ac:dyDescent="0.2">
      <c r="A42" s="291"/>
      <c r="B42" s="291"/>
      <c r="C42" s="291"/>
      <c r="D42" s="291"/>
      <c r="E42" s="291"/>
      <c r="F42" s="291"/>
      <c r="G42" s="291"/>
      <c r="H42" s="291"/>
      <c r="I42" s="291"/>
    </row>
    <row r="43" spans="1:9" ht="132.75" customHeight="1" x14ac:dyDescent="0.2"/>
    <row r="44" spans="1:9" ht="345" customHeight="1" x14ac:dyDescent="0.2">
      <c r="A44" s="99" t="s">
        <v>100</v>
      </c>
    </row>
  </sheetData>
  <mergeCells count="10">
    <mergeCell ref="A42:I42"/>
    <mergeCell ref="E9:F9"/>
    <mergeCell ref="E10:F10"/>
    <mergeCell ref="A1:G1"/>
    <mergeCell ref="A2:G2"/>
    <mergeCell ref="A3:G3"/>
    <mergeCell ref="A4:G4"/>
    <mergeCell ref="B8:C8"/>
    <mergeCell ref="E8:F8"/>
    <mergeCell ref="B9:C9"/>
  </mergeCells>
  <pageMargins left="0" right="0" top="0" bottom="0" header="0" footer="0"/>
  <pageSetup scale="6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E4B86-9321-42A5-80AA-3DEF96340D4B}">
  <sheetPr>
    <pageSetUpPr fitToPage="1"/>
  </sheetPr>
  <dimension ref="A1:I49"/>
  <sheetViews>
    <sheetView view="pageBreakPreview" zoomScaleNormal="100" zoomScaleSheetLayoutView="100" workbookViewId="0">
      <selection activeCell="A23" sqref="A23:I23"/>
    </sheetView>
  </sheetViews>
  <sheetFormatPr defaultRowHeight="12.75" x14ac:dyDescent="0.2"/>
  <cols>
    <col min="1" max="1" width="32.140625" bestFit="1" customWidth="1"/>
    <col min="2" max="2" width="28.42578125" bestFit="1" customWidth="1"/>
    <col min="3" max="3" width="11.7109375" bestFit="1" customWidth="1"/>
    <col min="4" max="4" width="17.5703125" bestFit="1" customWidth="1"/>
    <col min="5" max="5" width="48.140625" customWidth="1"/>
    <col min="6" max="7" width="0" hidden="1" customWidth="1"/>
  </cols>
  <sheetData>
    <row r="1" spans="1:5" ht="15" x14ac:dyDescent="0.25">
      <c r="A1" s="286" t="s">
        <v>0</v>
      </c>
      <c r="B1" s="286"/>
      <c r="C1" s="286"/>
      <c r="D1" s="286"/>
      <c r="E1" s="286"/>
    </row>
    <row r="2" spans="1:5" ht="18" x14ac:dyDescent="0.25">
      <c r="A2" s="309" t="s">
        <v>1</v>
      </c>
      <c r="B2" s="283"/>
      <c r="C2" s="283"/>
      <c r="D2" s="283"/>
      <c r="E2" s="283"/>
    </row>
    <row r="3" spans="1:5" ht="15" x14ac:dyDescent="0.25">
      <c r="A3" s="310" t="str">
        <f>'Executive Summary'!A3</f>
        <v>July 2026</v>
      </c>
      <c r="B3" s="311"/>
      <c r="C3" s="311"/>
      <c r="D3" s="311"/>
      <c r="E3" s="311"/>
    </row>
    <row r="4" spans="1:5" x14ac:dyDescent="0.2">
      <c r="A4" s="312"/>
      <c r="B4" s="312"/>
      <c r="C4" s="312"/>
      <c r="D4" s="312"/>
      <c r="E4" s="312"/>
    </row>
    <row r="5" spans="1:5" x14ac:dyDescent="0.2">
      <c r="A5" s="6"/>
      <c r="B5" s="7"/>
      <c r="C5" s="7"/>
      <c r="D5" s="7"/>
      <c r="E5" s="8"/>
    </row>
    <row r="6" spans="1:5" x14ac:dyDescent="0.2">
      <c r="A6" s="9" t="s">
        <v>43</v>
      </c>
      <c r="B6" s="112" t="s">
        <v>3</v>
      </c>
      <c r="C6" s="62" t="s">
        <v>6</v>
      </c>
      <c r="D6" s="127">
        <v>50133</v>
      </c>
      <c r="E6" s="10"/>
    </row>
    <row r="7" spans="1:5" x14ac:dyDescent="0.2">
      <c r="A7" s="9" t="s">
        <v>4</v>
      </c>
      <c r="B7" s="63" t="s">
        <v>5</v>
      </c>
      <c r="C7" s="62" t="s">
        <v>7</v>
      </c>
      <c r="D7" s="128">
        <v>0.81410000000000005</v>
      </c>
      <c r="E7" s="10"/>
    </row>
    <row r="8" spans="1:5" x14ac:dyDescent="0.2">
      <c r="A8" s="124"/>
      <c r="B8" s="113"/>
      <c r="C8" s="2" t="s">
        <v>89</v>
      </c>
      <c r="D8" s="125">
        <v>0.81410000000000005</v>
      </c>
      <c r="E8" s="126" t="s">
        <v>105</v>
      </c>
    </row>
    <row r="10" spans="1:5" x14ac:dyDescent="0.2">
      <c r="A10" s="123" t="s">
        <v>46</v>
      </c>
      <c r="B10" s="105" t="s">
        <v>90</v>
      </c>
      <c r="C10" s="104" t="s">
        <v>91</v>
      </c>
      <c r="D10" s="104" t="s">
        <v>92</v>
      </c>
      <c r="E10" s="104" t="s">
        <v>65</v>
      </c>
    </row>
    <row r="11" spans="1:5" hidden="1" x14ac:dyDescent="0.2">
      <c r="A11" s="103"/>
      <c r="B11" s="103"/>
      <c r="C11" s="103"/>
      <c r="D11" s="103"/>
      <c r="E11" s="103"/>
    </row>
    <row r="12" spans="1:5" ht="12.75" customHeight="1" x14ac:dyDescent="0.2">
      <c r="A12" s="95" t="s">
        <v>93</v>
      </c>
      <c r="B12" s="25" t="s">
        <v>94</v>
      </c>
      <c r="C12" s="103" t="s">
        <v>69</v>
      </c>
      <c r="D12" s="103" t="s">
        <v>69</v>
      </c>
      <c r="E12" s="102" t="s">
        <v>95</v>
      </c>
    </row>
    <row r="13" spans="1:5" ht="12.75" customHeight="1" x14ac:dyDescent="0.2">
      <c r="A13" s="96" t="s">
        <v>96</v>
      </c>
      <c r="B13" s="25" t="s">
        <v>97</v>
      </c>
      <c r="C13" s="111" t="s">
        <v>68</v>
      </c>
      <c r="D13" s="111" t="s">
        <v>69</v>
      </c>
      <c r="E13" s="102" t="s">
        <v>95</v>
      </c>
    </row>
    <row r="14" spans="1:5" ht="12.75" customHeight="1" x14ac:dyDescent="0.2">
      <c r="A14" s="107" t="s">
        <v>74</v>
      </c>
      <c r="B14" s="25" t="s">
        <v>98</v>
      </c>
      <c r="C14" s="103" t="s">
        <v>69</v>
      </c>
      <c r="D14" s="103" t="s">
        <v>69</v>
      </c>
      <c r="E14" s="102" t="s">
        <v>95</v>
      </c>
    </row>
    <row r="15" spans="1:5" ht="12.75" customHeight="1" x14ac:dyDescent="0.2">
      <c r="A15" s="95" t="s">
        <v>74</v>
      </c>
      <c r="B15" s="25" t="s">
        <v>94</v>
      </c>
      <c r="C15" s="103" t="s">
        <v>69</v>
      </c>
      <c r="D15" s="103" t="s">
        <v>69</v>
      </c>
      <c r="E15" s="102" t="s">
        <v>95</v>
      </c>
    </row>
    <row r="16" spans="1:5" s="106" customFormat="1" ht="12.75" customHeight="1" x14ac:dyDescent="0.2">
      <c r="A16" s="111" t="s">
        <v>76</v>
      </c>
      <c r="B16" s="25" t="s">
        <v>98</v>
      </c>
      <c r="C16" s="111" t="s">
        <v>68</v>
      </c>
      <c r="D16" s="111" t="s">
        <v>69</v>
      </c>
      <c r="E16" s="102" t="s">
        <v>95</v>
      </c>
    </row>
    <row r="17" spans="1:8" ht="12.75" customHeight="1" x14ac:dyDescent="0.2">
      <c r="A17" s="97" t="s">
        <v>78</v>
      </c>
      <c r="B17" s="25" t="s">
        <v>98</v>
      </c>
      <c r="C17" s="103" t="s">
        <v>69</v>
      </c>
      <c r="D17" s="103" t="s">
        <v>69</v>
      </c>
      <c r="E17" s="102" t="s">
        <v>95</v>
      </c>
    </row>
    <row r="18" spans="1:8" ht="12.75" customHeight="1" x14ac:dyDescent="0.2">
      <c r="A18" s="96" t="s">
        <v>78</v>
      </c>
      <c r="B18" s="25" t="s">
        <v>94</v>
      </c>
      <c r="C18" s="103" t="s">
        <v>69</v>
      </c>
      <c r="D18" s="103" t="s">
        <v>69</v>
      </c>
      <c r="E18" s="102" t="s">
        <v>95</v>
      </c>
    </row>
    <row r="19" spans="1:8" ht="12.75" customHeight="1" x14ac:dyDescent="0.2">
      <c r="A19" s="97" t="s">
        <v>79</v>
      </c>
      <c r="B19" s="25" t="s">
        <v>94</v>
      </c>
      <c r="C19" s="103" t="s">
        <v>69</v>
      </c>
      <c r="D19" s="103" t="s">
        <v>69</v>
      </c>
      <c r="E19" s="102" t="s">
        <v>95</v>
      </c>
    </row>
    <row r="20" spans="1:8" ht="12.75" customHeight="1" x14ac:dyDescent="0.2">
      <c r="A20" s="96" t="s">
        <v>81</v>
      </c>
      <c r="B20" s="25" t="s">
        <v>98</v>
      </c>
      <c r="C20" s="103" t="s">
        <v>69</v>
      </c>
      <c r="D20" s="103" t="s">
        <v>69</v>
      </c>
      <c r="E20" s="102" t="s">
        <v>95</v>
      </c>
    </row>
    <row r="21" spans="1:8" ht="12.75" customHeight="1" x14ac:dyDescent="0.2">
      <c r="A21" s="96" t="s">
        <v>86</v>
      </c>
      <c r="B21" s="25" t="s">
        <v>98</v>
      </c>
      <c r="C21" s="103" t="s">
        <v>69</v>
      </c>
      <c r="D21" s="103" t="s">
        <v>69</v>
      </c>
      <c r="E21" s="102" t="s">
        <v>95</v>
      </c>
    </row>
    <row r="22" spans="1:8" x14ac:dyDescent="0.2">
      <c r="A22" s="97" t="s">
        <v>86</v>
      </c>
      <c r="B22" s="25" t="s">
        <v>94</v>
      </c>
      <c r="C22" s="103" t="s">
        <v>69</v>
      </c>
      <c r="D22" s="103" t="s">
        <v>69</v>
      </c>
      <c r="E22" s="102" t="s">
        <v>95</v>
      </c>
    </row>
    <row r="23" spans="1:8" x14ac:dyDescent="0.2">
      <c r="A23" s="121" t="s">
        <v>99</v>
      </c>
      <c r="B23" s="25" t="s">
        <v>98</v>
      </c>
      <c r="C23" s="111" t="s">
        <v>69</v>
      </c>
      <c r="D23" s="111" t="s">
        <v>69</v>
      </c>
      <c r="E23" s="102" t="s">
        <v>95</v>
      </c>
    </row>
    <row r="24" spans="1:8" x14ac:dyDescent="0.2">
      <c r="A24" s="122" t="s">
        <v>99</v>
      </c>
      <c r="B24" s="25" t="s">
        <v>97</v>
      </c>
      <c r="C24" s="111" t="s">
        <v>68</v>
      </c>
      <c r="D24" s="111" t="s">
        <v>69</v>
      </c>
      <c r="E24" s="102" t="s">
        <v>95</v>
      </c>
    </row>
    <row r="25" spans="1:8" x14ac:dyDescent="0.2">
      <c r="A25" s="97" t="s">
        <v>102</v>
      </c>
      <c r="B25" s="25" t="s">
        <v>98</v>
      </c>
      <c r="C25" s="103" t="s">
        <v>68</v>
      </c>
      <c r="D25" s="103" t="s">
        <v>69</v>
      </c>
      <c r="E25" s="102" t="s">
        <v>95</v>
      </c>
    </row>
    <row r="26" spans="1:8" x14ac:dyDescent="0.2">
      <c r="A26" s="97" t="s">
        <v>102</v>
      </c>
      <c r="B26" s="25" t="s">
        <v>94</v>
      </c>
      <c r="C26" s="103" t="s">
        <v>69</v>
      </c>
      <c r="D26" s="103" t="s">
        <v>69</v>
      </c>
      <c r="E26" s="102" t="s">
        <v>95</v>
      </c>
    </row>
    <row r="27" spans="1:8" x14ac:dyDescent="0.2">
      <c r="A27" s="96" t="s">
        <v>55</v>
      </c>
      <c r="B27" s="25" t="s">
        <v>98</v>
      </c>
      <c r="C27" s="111" t="s">
        <v>68</v>
      </c>
      <c r="D27" s="111" t="s">
        <v>69</v>
      </c>
      <c r="E27" s="102" t="s">
        <v>95</v>
      </c>
    </row>
    <row r="28" spans="1:8" x14ac:dyDescent="0.2">
      <c r="A28" s="96" t="s">
        <v>55</v>
      </c>
      <c r="B28" s="25" t="s">
        <v>94</v>
      </c>
      <c r="C28" s="111" t="s">
        <v>68</v>
      </c>
      <c r="D28" s="111" t="s">
        <v>69</v>
      </c>
      <c r="E28" s="102" t="s">
        <v>95</v>
      </c>
    </row>
    <row r="29" spans="1:8" x14ac:dyDescent="0.2">
      <c r="H29" s="101"/>
    </row>
    <row r="30" spans="1:8" ht="132.75" customHeight="1" x14ac:dyDescent="0.2"/>
    <row r="36" spans="1:9" x14ac:dyDescent="0.2">
      <c r="A36" s="99"/>
    </row>
    <row r="37" spans="1:9" ht="130.5" customHeight="1" x14ac:dyDescent="0.2">
      <c r="A37" s="99"/>
    </row>
    <row r="38" spans="1:9" ht="24.75" customHeight="1" x14ac:dyDescent="0.2"/>
    <row r="42" spans="1:9" ht="159.75" customHeight="1" x14ac:dyDescent="0.2">
      <c r="A42" s="291" t="s">
        <v>101</v>
      </c>
      <c r="B42" s="291"/>
      <c r="C42" s="291"/>
      <c r="D42" s="291"/>
      <c r="E42" s="291"/>
      <c r="F42" s="291"/>
      <c r="G42" s="291"/>
      <c r="H42" s="291"/>
      <c r="I42" s="291"/>
    </row>
    <row r="44" spans="1:9" ht="345" customHeight="1" x14ac:dyDescent="0.2">
      <c r="A44" s="99" t="s">
        <v>100</v>
      </c>
    </row>
    <row r="49" spans="2:2" x14ac:dyDescent="0.2">
      <c r="B49" s="99"/>
    </row>
  </sheetData>
  <mergeCells count="5">
    <mergeCell ref="A1:E1"/>
    <mergeCell ref="A2:E2"/>
    <mergeCell ref="A3:E3"/>
    <mergeCell ref="A4:E4"/>
    <mergeCell ref="A42:I42"/>
  </mergeCells>
  <printOptions horizontalCentered="1"/>
  <pageMargins left="0.5" right="0.5" top="0.49" bottom="0.68" header="0.25" footer="0.5"/>
  <pageSetup scale="70" fitToHeight="0" orientation="portrait" r:id="rId1"/>
  <headerFooter alignWithMargins="0">
    <oddFooter>&amp;C&amp;8Executive Summary&amp;R&amp;8Page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98489-5E3C-4F2F-9914-142F20A4F5B9}">
  <sheetPr>
    <pageSetUpPr fitToPage="1"/>
  </sheetPr>
  <dimension ref="A1:I73"/>
  <sheetViews>
    <sheetView zoomScaleNormal="100" zoomScaleSheetLayoutView="100" workbookViewId="0">
      <selection activeCell="D55" sqref="D55"/>
    </sheetView>
  </sheetViews>
  <sheetFormatPr defaultRowHeight="12.75" x14ac:dyDescent="0.2"/>
  <cols>
    <col min="1" max="1" width="55.42578125" bestFit="1" customWidth="1"/>
    <col min="2" max="2" width="28.42578125" bestFit="1" customWidth="1"/>
    <col min="3" max="3" width="11.7109375" bestFit="1" customWidth="1"/>
    <col min="4" max="4" width="17.5703125" bestFit="1" customWidth="1"/>
    <col min="5" max="5" width="48.140625" customWidth="1"/>
    <col min="6" max="7" width="0" hidden="1" customWidth="1"/>
  </cols>
  <sheetData>
    <row r="1" spans="1:5" ht="15" x14ac:dyDescent="0.25">
      <c r="A1" s="286" t="s">
        <v>0</v>
      </c>
      <c r="B1" s="286"/>
      <c r="C1" s="286"/>
      <c r="D1" s="286"/>
      <c r="E1" s="286"/>
    </row>
    <row r="2" spans="1:5" ht="18" x14ac:dyDescent="0.25">
      <c r="A2" s="317" t="s">
        <v>1</v>
      </c>
      <c r="B2" s="283"/>
      <c r="C2" s="283"/>
      <c r="D2" s="283"/>
      <c r="E2" s="283"/>
    </row>
    <row r="3" spans="1:5" ht="15" x14ac:dyDescent="0.25">
      <c r="A3" s="310" t="str">
        <f>'Executive Summary'!A3</f>
        <v>July 2026</v>
      </c>
      <c r="B3" s="311"/>
      <c r="C3" s="311"/>
      <c r="D3" s="311"/>
      <c r="E3" s="311"/>
    </row>
    <row r="4" spans="1:5" x14ac:dyDescent="0.2">
      <c r="A4" s="312"/>
      <c r="B4" s="312"/>
      <c r="C4" s="312"/>
      <c r="D4" s="312"/>
      <c r="E4" s="312"/>
    </row>
    <row r="5" spans="1:5" x14ac:dyDescent="0.2">
      <c r="A5" s="6"/>
      <c r="B5" s="7"/>
      <c r="C5" s="7"/>
      <c r="D5" s="7"/>
      <c r="E5" s="8"/>
    </row>
    <row r="6" spans="1:5" x14ac:dyDescent="0.2">
      <c r="A6" s="9" t="s">
        <v>43</v>
      </c>
      <c r="B6" s="112" t="s">
        <v>3</v>
      </c>
      <c r="C6" s="62" t="s">
        <v>6</v>
      </c>
      <c r="D6" s="127">
        <v>50133</v>
      </c>
      <c r="E6" s="10"/>
    </row>
    <row r="7" spans="1:5" x14ac:dyDescent="0.2">
      <c r="A7" s="9" t="s">
        <v>4</v>
      </c>
      <c r="B7" s="63"/>
      <c r="C7" s="62" t="s">
        <v>7</v>
      </c>
      <c r="D7" s="128">
        <v>0.94140000000000001</v>
      </c>
      <c r="E7" s="10"/>
    </row>
    <row r="8" spans="1:5" x14ac:dyDescent="0.2">
      <c r="A8" s="124"/>
      <c r="B8" s="65"/>
      <c r="C8" s="2" t="s">
        <v>89</v>
      </c>
      <c r="D8" s="125">
        <v>0.94140000000000001</v>
      </c>
      <c r="E8" s="126"/>
    </row>
    <row r="9" spans="1:5" x14ac:dyDescent="0.2">
      <c r="A9" s="65"/>
      <c r="B9" s="131"/>
      <c r="C9" s="129"/>
      <c r="D9" s="130"/>
      <c r="E9" s="65"/>
    </row>
    <row r="11" spans="1:5" x14ac:dyDescent="0.2">
      <c r="A11" s="318" t="s">
        <v>106</v>
      </c>
      <c r="B11" s="319"/>
    </row>
    <row r="12" spans="1:5" x14ac:dyDescent="0.2">
      <c r="A12" s="132">
        <v>45964</v>
      </c>
      <c r="B12" s="135">
        <v>250000</v>
      </c>
    </row>
    <row r="13" spans="1:5" ht="12.75" customHeight="1" x14ac:dyDescent="0.2">
      <c r="A13" s="132">
        <v>46080</v>
      </c>
      <c r="B13" s="146">
        <v>190223.76</v>
      </c>
      <c r="E13" s="12"/>
    </row>
    <row r="14" spans="1:5" ht="12.75" customHeight="1" x14ac:dyDescent="0.2">
      <c r="A14" s="132">
        <v>46090</v>
      </c>
      <c r="B14" s="147">
        <v>861186.79</v>
      </c>
      <c r="C14" s="11"/>
      <c r="D14" s="11"/>
      <c r="E14" s="12"/>
    </row>
    <row r="15" spans="1:5" ht="12.75" customHeight="1" x14ac:dyDescent="0.25">
      <c r="A15" s="136" t="s">
        <v>50</v>
      </c>
      <c r="B15" s="148">
        <f>SUM(B12:B14)</f>
        <v>1301410.55</v>
      </c>
      <c r="E15" s="12"/>
    </row>
    <row r="16" spans="1:5" ht="12.75" customHeight="1" x14ac:dyDescent="0.25">
      <c r="A16" s="138"/>
      <c r="E16" s="12"/>
    </row>
    <row r="17" spans="1:5" ht="12.75" customHeight="1" x14ac:dyDescent="0.2">
      <c r="A17" s="11"/>
      <c r="B17" s="139"/>
      <c r="E17" s="12"/>
    </row>
    <row r="18" spans="1:5" s="106" customFormat="1" ht="12.75" customHeight="1" x14ac:dyDescent="0.2">
      <c r="A18" s="313" t="s">
        <v>118</v>
      </c>
      <c r="B18" s="314"/>
      <c r="C18" s="11"/>
      <c r="D18" s="11"/>
      <c r="E18" s="12"/>
    </row>
    <row r="19" spans="1:5" ht="12.75" customHeight="1" x14ac:dyDescent="0.2">
      <c r="A19" s="133" t="s">
        <v>111</v>
      </c>
      <c r="B19" s="140">
        <v>2094.2399999999998</v>
      </c>
      <c r="E19" s="12"/>
    </row>
    <row r="20" spans="1:5" ht="12.75" customHeight="1" x14ac:dyDescent="0.2">
      <c r="A20" s="133" t="s">
        <v>112</v>
      </c>
      <c r="B20" s="140">
        <v>16906.75</v>
      </c>
      <c r="E20" s="12"/>
    </row>
    <row r="21" spans="1:5" ht="12.75" customHeight="1" x14ac:dyDescent="0.2">
      <c r="A21" s="133" t="s">
        <v>113</v>
      </c>
      <c r="B21" s="134">
        <v>393.4</v>
      </c>
      <c r="E21" s="12"/>
    </row>
    <row r="22" spans="1:5" ht="12.75" customHeight="1" x14ac:dyDescent="0.2">
      <c r="A22" s="133" t="s">
        <v>114</v>
      </c>
      <c r="B22" s="140">
        <v>1947.64</v>
      </c>
      <c r="E22" s="12"/>
    </row>
    <row r="23" spans="1:5" x14ac:dyDescent="0.2">
      <c r="A23" s="133" t="s">
        <v>115</v>
      </c>
      <c r="B23" s="140">
        <v>68652</v>
      </c>
      <c r="E23" s="12"/>
    </row>
    <row r="24" spans="1:5" x14ac:dyDescent="0.2">
      <c r="A24" s="133" t="s">
        <v>115</v>
      </c>
      <c r="B24" s="140">
        <v>3597.72</v>
      </c>
      <c r="D24" s="11"/>
      <c r="E24" s="12"/>
    </row>
    <row r="25" spans="1:5" x14ac:dyDescent="0.2">
      <c r="A25" s="133" t="s">
        <v>116</v>
      </c>
      <c r="B25" s="140">
        <v>8609.08</v>
      </c>
      <c r="D25" s="11"/>
      <c r="E25" s="12"/>
    </row>
    <row r="26" spans="1:5" x14ac:dyDescent="0.2">
      <c r="A26" s="134" t="s">
        <v>117</v>
      </c>
      <c r="B26" s="140">
        <v>1162.3</v>
      </c>
      <c r="E26" s="12"/>
    </row>
    <row r="27" spans="1:5" x14ac:dyDescent="0.2">
      <c r="A27" s="133" t="s">
        <v>115</v>
      </c>
      <c r="B27" s="140">
        <v>129574.83</v>
      </c>
      <c r="E27" s="12"/>
    </row>
    <row r="28" spans="1:5" x14ac:dyDescent="0.2">
      <c r="A28" s="133" t="s">
        <v>125</v>
      </c>
      <c r="B28" s="140">
        <v>197088.93</v>
      </c>
      <c r="E28" s="12"/>
    </row>
    <row r="29" spans="1:5" x14ac:dyDescent="0.2">
      <c r="A29" s="133" t="s">
        <v>150</v>
      </c>
      <c r="B29" s="140">
        <v>18717.43</v>
      </c>
      <c r="D29" s="11"/>
      <c r="E29" s="12"/>
    </row>
    <row r="30" spans="1:5" x14ac:dyDescent="0.2">
      <c r="A30" s="133" t="s">
        <v>126</v>
      </c>
      <c r="B30" s="140">
        <v>110000</v>
      </c>
      <c r="D30" s="11"/>
      <c r="E30" s="12"/>
    </row>
    <row r="31" spans="1:5" x14ac:dyDescent="0.2">
      <c r="A31" s="133" t="s">
        <v>150</v>
      </c>
      <c r="B31" s="140">
        <v>6500</v>
      </c>
      <c r="D31" s="11"/>
      <c r="E31" s="12"/>
    </row>
    <row r="32" spans="1:5" x14ac:dyDescent="0.2">
      <c r="A32" s="133" t="s">
        <v>148</v>
      </c>
      <c r="B32" s="140">
        <v>2855</v>
      </c>
      <c r="D32" s="11"/>
      <c r="E32" s="12"/>
    </row>
    <row r="33" spans="1:8" x14ac:dyDescent="0.2">
      <c r="A33" s="133" t="s">
        <v>149</v>
      </c>
      <c r="B33" s="140">
        <v>230591.1</v>
      </c>
      <c r="D33" s="11"/>
      <c r="E33" s="12"/>
    </row>
    <row r="34" spans="1:8" ht="15" x14ac:dyDescent="0.25">
      <c r="A34" s="136" t="s">
        <v>50</v>
      </c>
      <c r="B34" s="137">
        <f>SUM(B19:B33)</f>
        <v>798690.42</v>
      </c>
      <c r="D34" s="11"/>
      <c r="E34" s="12"/>
    </row>
    <row r="35" spans="1:8" ht="15" x14ac:dyDescent="0.25">
      <c r="A35" s="138"/>
      <c r="H35" s="101"/>
    </row>
    <row r="36" spans="1:8" x14ac:dyDescent="0.2">
      <c r="A36" s="313" t="s">
        <v>119</v>
      </c>
      <c r="B36" s="314"/>
    </row>
    <row r="37" spans="1:8" x14ac:dyDescent="0.2">
      <c r="A37" s="133" t="s">
        <v>120</v>
      </c>
      <c r="B37" s="140">
        <v>138028.21</v>
      </c>
    </row>
    <row r="38" spans="1:8" x14ac:dyDescent="0.2">
      <c r="A38" s="133" t="s">
        <v>121</v>
      </c>
      <c r="B38" s="140">
        <v>125000</v>
      </c>
    </row>
    <row r="39" spans="1:8" x14ac:dyDescent="0.2">
      <c r="A39" s="133" t="s">
        <v>107</v>
      </c>
      <c r="B39" s="140">
        <v>32471.29</v>
      </c>
    </row>
    <row r="40" spans="1:8" x14ac:dyDescent="0.2">
      <c r="A40" s="133"/>
      <c r="B40" s="140"/>
    </row>
    <row r="41" spans="1:8" x14ac:dyDescent="0.2">
      <c r="A41" s="133"/>
      <c r="B41" s="134"/>
    </row>
    <row r="42" spans="1:8" ht="15" x14ac:dyDescent="0.25">
      <c r="A42" s="136" t="s">
        <v>50</v>
      </c>
      <c r="B42" s="137">
        <f>SUM(B37:B40)</f>
        <v>295499.49999999994</v>
      </c>
    </row>
    <row r="44" spans="1:8" ht="15" x14ac:dyDescent="0.25">
      <c r="A44" s="315" t="s">
        <v>110</v>
      </c>
      <c r="B44" s="316"/>
    </row>
    <row r="45" spans="1:8" x14ac:dyDescent="0.2">
      <c r="A45" s="141">
        <v>46198</v>
      </c>
      <c r="B45" s="135">
        <v>25907.06</v>
      </c>
    </row>
    <row r="46" spans="1:8" x14ac:dyDescent="0.2">
      <c r="A46" s="141">
        <v>46228</v>
      </c>
      <c r="B46" s="135">
        <v>25907.06</v>
      </c>
    </row>
    <row r="47" spans="1:8" x14ac:dyDescent="0.2">
      <c r="A47" s="141">
        <v>46259</v>
      </c>
      <c r="B47" s="135">
        <v>25907.06</v>
      </c>
    </row>
    <row r="48" spans="1:8" x14ac:dyDescent="0.2">
      <c r="A48" s="141">
        <v>46290</v>
      </c>
      <c r="B48" s="135">
        <v>25907.06</v>
      </c>
    </row>
    <row r="49" spans="1:9" x14ac:dyDescent="0.2">
      <c r="A49" s="141">
        <v>46320</v>
      </c>
      <c r="B49" s="135">
        <v>25907.06</v>
      </c>
      <c r="C49" s="99"/>
      <c r="D49" s="99"/>
      <c r="E49" s="99"/>
      <c r="F49" s="99"/>
      <c r="G49" s="99"/>
      <c r="H49" s="99"/>
      <c r="I49" s="99"/>
    </row>
    <row r="50" spans="1:9" x14ac:dyDescent="0.2">
      <c r="A50" s="141">
        <v>46351</v>
      </c>
      <c r="B50" s="135">
        <v>25907.06</v>
      </c>
    </row>
    <row r="51" spans="1:9" x14ac:dyDescent="0.2">
      <c r="A51" s="141">
        <v>46381</v>
      </c>
      <c r="B51" s="135">
        <v>25907.06</v>
      </c>
    </row>
    <row r="52" spans="1:9" x14ac:dyDescent="0.2">
      <c r="A52" s="141">
        <v>46048</v>
      </c>
      <c r="B52" s="135">
        <v>23777.97</v>
      </c>
    </row>
    <row r="53" spans="1:9" x14ac:dyDescent="0.2">
      <c r="A53" s="141">
        <v>46079</v>
      </c>
      <c r="B53" s="135">
        <v>23777.97</v>
      </c>
    </row>
    <row r="54" spans="1:9" x14ac:dyDescent="0.2">
      <c r="A54" s="141">
        <v>46107</v>
      </c>
      <c r="B54" s="135">
        <v>23777.97</v>
      </c>
    </row>
    <row r="55" spans="1:9" x14ac:dyDescent="0.2">
      <c r="A55" s="141">
        <v>46138</v>
      </c>
      <c r="B55" s="135">
        <v>23777.97</v>
      </c>
    </row>
    <row r="56" spans="1:9" x14ac:dyDescent="0.2">
      <c r="A56" s="141">
        <v>46168</v>
      </c>
      <c r="B56" s="135">
        <v>23777.97</v>
      </c>
    </row>
    <row r="57" spans="1:9" x14ac:dyDescent="0.2">
      <c r="A57" s="141">
        <v>46199</v>
      </c>
      <c r="B57" s="135">
        <v>23777.97</v>
      </c>
    </row>
    <row r="58" spans="1:9" x14ac:dyDescent="0.2">
      <c r="A58" s="141">
        <v>46229</v>
      </c>
      <c r="B58" s="135">
        <v>23777.97</v>
      </c>
    </row>
    <row r="59" spans="1:9" ht="15" x14ac:dyDescent="0.25">
      <c r="A59" s="136" t="s">
        <v>50</v>
      </c>
      <c r="B59" s="137">
        <f>SUM(B45:B58)</f>
        <v>347795.20999999996</v>
      </c>
    </row>
    <row r="62" spans="1:9" ht="15" x14ac:dyDescent="0.25">
      <c r="A62" s="315" t="s">
        <v>108</v>
      </c>
      <c r="B62" s="316"/>
    </row>
    <row r="63" spans="1:9" x14ac:dyDescent="0.2">
      <c r="A63" s="141"/>
      <c r="B63" s="135"/>
    </row>
    <row r="64" spans="1:9" x14ac:dyDescent="0.2">
      <c r="A64" s="141">
        <v>46260</v>
      </c>
      <c r="B64" s="135">
        <v>24135.34</v>
      </c>
    </row>
    <row r="65" spans="1:2" x14ac:dyDescent="0.2">
      <c r="A65" s="141">
        <v>46291</v>
      </c>
      <c r="B65" s="135">
        <v>24135.34</v>
      </c>
    </row>
    <row r="66" spans="1:2" x14ac:dyDescent="0.2">
      <c r="A66" s="141"/>
      <c r="B66" s="135"/>
    </row>
    <row r="67" spans="1:2" ht="15" x14ac:dyDescent="0.25">
      <c r="A67" s="136" t="s">
        <v>50</v>
      </c>
      <c r="B67" s="137">
        <f>SUM(B63:B66)</f>
        <v>48270.68</v>
      </c>
    </row>
    <row r="68" spans="1:2" ht="15" x14ac:dyDescent="0.25">
      <c r="A68" s="138"/>
    </row>
    <row r="70" spans="1:2" ht="15" x14ac:dyDescent="0.25">
      <c r="A70" s="142" t="s">
        <v>122</v>
      </c>
      <c r="B70" s="143">
        <f>B34+B42+B59+B67</f>
        <v>1490255.8099999998</v>
      </c>
    </row>
    <row r="73" spans="1:2" ht="15" x14ac:dyDescent="0.25">
      <c r="A73" s="144" t="s">
        <v>109</v>
      </c>
      <c r="B73" s="145">
        <f>B15-B70</f>
        <v>-188845.25999999978</v>
      </c>
    </row>
  </sheetData>
  <mergeCells count="9">
    <mergeCell ref="A18:B18"/>
    <mergeCell ref="A36:B36"/>
    <mergeCell ref="A44:B44"/>
    <mergeCell ref="A62:B62"/>
    <mergeCell ref="A1:E1"/>
    <mergeCell ref="A2:E2"/>
    <mergeCell ref="A3:E3"/>
    <mergeCell ref="A4:E4"/>
    <mergeCell ref="A11:B11"/>
  </mergeCells>
  <printOptions horizontalCentered="1"/>
  <pageMargins left="0.5" right="0.5" top="0.49" bottom="0.68" header="0.25" footer="0.5"/>
  <pageSetup scale="60" fitToHeight="0" orientation="portrait" r:id="rId1"/>
  <headerFooter alignWithMargins="0">
    <oddFooter>&amp;C&amp;8Executive Summary&amp;R&amp;8Page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822CF68C055114DA97EF8D138719082" ma:contentTypeVersion="20" ma:contentTypeDescription="Create a new document." ma:contentTypeScope="" ma:versionID="b5c0750b72c46c851de52cf1d6b36029">
  <xsd:schema xmlns:xsd="http://www.w3.org/2001/XMLSchema" xmlns:xs="http://www.w3.org/2001/XMLSchema" xmlns:p="http://schemas.microsoft.com/office/2006/metadata/properties" xmlns:ns2="069880a5-8f46-414f-ac65-5519fcf06b35" xmlns:ns3="3f9c4c49-468b-4537-8750-498022e10f14" targetNamespace="http://schemas.microsoft.com/office/2006/metadata/properties" ma:root="true" ma:fieldsID="5f9bc3218f61d724115d45943e1be625" ns2:_="" ns3:_="">
    <xsd:import namespace="069880a5-8f46-414f-ac65-5519fcf06b35"/>
    <xsd:import namespace="3f9c4c49-468b-4537-8750-498022e10f1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9880a5-8f46-414f-ac65-5519fcf06b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0971a3b6-96de-4df1-a824-c11b637850d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f9c4c49-468b-4537-8750-498022e10f1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4055440-4ea0-421c-ac8c-ae1343c94cdc}" ma:internalName="TaxCatchAll" ma:showField="CatchAllData" ma:web="3f9c4c49-468b-4537-8750-498022e10f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069880a5-8f46-414f-ac65-5519fcf06b35">
      <Terms xmlns="http://schemas.microsoft.com/office/infopath/2007/PartnerControls"/>
    </lcf76f155ced4ddcb4097134ff3c332f>
    <TaxCatchAll xmlns="3f9c4c49-468b-4537-8750-498022e10f14" xsi:nil="true"/>
  </documentManagement>
</p:properties>
</file>

<file path=customXml/itemProps1.xml><?xml version="1.0" encoding="utf-8"?>
<ds:datastoreItem xmlns:ds="http://schemas.openxmlformats.org/officeDocument/2006/customXml" ds:itemID="{C716B2F4-EAA5-4621-A952-3B866E45A67E}">
  <ds:schemaRefs>
    <ds:schemaRef ds:uri="http://schemas.microsoft.com/sharepoint/v3/contenttype/forms"/>
  </ds:schemaRefs>
</ds:datastoreItem>
</file>

<file path=customXml/itemProps2.xml><?xml version="1.0" encoding="utf-8"?>
<ds:datastoreItem xmlns:ds="http://schemas.openxmlformats.org/officeDocument/2006/customXml" ds:itemID="{EE8B533B-1148-4C41-9B97-431ED87D1BC7}">
  <ds:schemaRefs>
    <ds:schemaRef ds:uri="http://schemas.microsoft.com/office/2006/metadata/longProperties"/>
  </ds:schemaRefs>
</ds:datastoreItem>
</file>

<file path=customXml/itemProps3.xml><?xml version="1.0" encoding="utf-8"?>
<ds:datastoreItem xmlns:ds="http://schemas.openxmlformats.org/officeDocument/2006/customXml" ds:itemID="{05CF7394-780D-45D3-A328-10F217FCE4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9880a5-8f46-414f-ac65-5519fcf06b35"/>
    <ds:schemaRef ds:uri="3f9c4c49-468b-4537-8750-498022e10f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87FBF4C-D704-4C8C-9C39-5FEC6AF312BC}">
  <ds:schemaRefs>
    <ds:schemaRef ds:uri="http://schemas.microsoft.com/office/2006/metadata/properties"/>
    <ds:schemaRef ds:uri="http://schemas.microsoft.com/office/infopath/2007/PartnerControls"/>
    <ds:schemaRef ds:uri="069880a5-8f46-414f-ac65-5519fcf06b35"/>
    <ds:schemaRef ds:uri="3f9c4c49-468b-4537-8750-498022e10f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Executive Summary</vt:lpstr>
      <vt:lpstr>Tenant Delinquency</vt:lpstr>
      <vt:lpstr>COVID 19-Rent Recovery</vt:lpstr>
      <vt:lpstr>Tenant COI Tracking </vt:lpstr>
      <vt:lpstr>Tenant Maintenance Tracking</vt:lpstr>
      <vt:lpstr>Fosters Rebuild Costs</vt:lpstr>
      <vt:lpstr>'COVID 19-Rent Recovery'!Print_Area</vt:lpstr>
      <vt:lpstr>'Executive Summary'!Print_Area</vt:lpstr>
      <vt:lpstr>'Fosters Rebuild Costs'!Print_Area</vt:lpstr>
      <vt:lpstr>'Tenant COI Tracking '!Print_Area</vt:lpstr>
      <vt:lpstr>'Tenant Delinquency'!Print_Area</vt:lpstr>
      <vt:lpstr>'Tenant Maintenance Tracking'!Print_Area</vt:lpstr>
    </vt:vector>
  </TitlesOfParts>
  <Manager/>
  <Company>DRC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IT</dc:creator>
  <cp:keywords/>
  <dc:description/>
  <cp:lastModifiedBy>Danielle Cebrero</cp:lastModifiedBy>
  <cp:revision/>
  <cp:lastPrinted>2026-07-15T15:53:40Z</cp:lastPrinted>
  <dcterms:created xsi:type="dcterms:W3CDTF">2011-10-06T15:30:24Z</dcterms:created>
  <dcterms:modified xsi:type="dcterms:W3CDTF">2026-08-17T22:34:30Z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Holly Leonhard</vt:lpwstr>
  </property>
  <property fmtid="{D5CDD505-2E9C-101B-9397-08002B2CF9AE}" pid="3" name="Order">
    <vt:lpwstr>32126400.0000000</vt:lpwstr>
  </property>
  <property fmtid="{D5CDD505-2E9C-101B-9397-08002B2CF9AE}" pid="4" name="display_urn:schemas-microsoft-com:office:office#Author">
    <vt:lpwstr>Holly Leonhard</vt:lpwstr>
  </property>
  <property fmtid="{D5CDD505-2E9C-101B-9397-08002B2CF9AE}" pid="5" name="ContentTypeId">
    <vt:lpwstr>0x010100E822CF68C055114DA97EF8D138719082</vt:lpwstr>
  </property>
  <property fmtid="{D5CDD505-2E9C-101B-9397-08002B2CF9AE}" pid="6" name="MediaServiceImageTags">
    <vt:lpwstr/>
  </property>
</Properties>
</file>