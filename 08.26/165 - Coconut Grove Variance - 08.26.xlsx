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8.26/"/>
    </mc:Choice>
  </mc:AlternateContent>
  <xr:revisionPtr revIDLastSave="1398" documentId="13_ncr:1_{C17C2BFF-72B4-45B8-B49A-DB57C9B14DB2}" xr6:coauthVersionLast="47" xr6:coauthVersionMax="47" xr10:uidLastSave="{C5A4F623-F231-4281-BCAF-383FA4CC5718}"/>
  <bookViews>
    <workbookView xWindow="-110" yWindow="-110" windowWidth="19420" windowHeight="11500" tabRatio="835" xr2:uid="{BA2F840C-E25A-47E4-9C10-A4B19410BB41}"/>
  </bookViews>
  <sheets>
    <sheet name="2026" sheetId="42" r:id="rId1"/>
    <sheet name="Final Data" sheetId="41" r:id="rId2"/>
    <sheet name="Pivot" sheetId="40" r:id="rId3"/>
    <sheet name="DATA" sheetId="39" r:id="rId4"/>
    <sheet name="Summ." sheetId="1" r:id="rId5"/>
    <sheet name="Summ. (2)" sheetId="26" state="hidden" r:id="rId6"/>
    <sheet name="CAPEX" sheetId="37" state="hidden" r:id="rId7"/>
    <sheet name="Rent" sheetId="2" r:id="rId8"/>
    <sheet name="Marketing Budget" sheetId="36" state="hidden" r:id="rId9"/>
    <sheet name="CAM Recovery" sheetId="34" r:id="rId10"/>
    <sheet name="Rent Recovery" sheetId="33" r:id="rId11"/>
    <sheet name="CAM" sheetId="8" r:id="rId12"/>
    <sheet name="Building Exp." sheetId="10" r:id="rId13"/>
    <sheet name="% Rent" sheetId="3" r:id="rId14"/>
    <sheet name="Ins." sheetId="6" r:id="rId15"/>
    <sheet name="RE Tax" sheetId="7" r:id="rId16"/>
    <sheet name="Excise Tax" sheetId="31" r:id="rId17"/>
    <sheet name="Food Court" sheetId="28" r:id="rId18"/>
    <sheet name="Marketing" sheetId="29" r:id="rId19"/>
    <sheet name="Occup," sheetId="9" state="hidden" r:id="rId20"/>
    <sheet name="CAM - SHOPS" sheetId="14" state="hidden" r:id="rId21"/>
    <sheet name="TENANT CHARGES" sheetId="17" state="hidden" r:id="rId22"/>
    <sheet name="Tenant Billing Sheet" sheetId="23" state="hidden" r:id="rId23"/>
    <sheet name="Sheet1" sheetId="19" state="hidden" r:id="rId24"/>
    <sheet name="Slippage Analysis" sheetId="16" state="hidden" r:id="rId25"/>
    <sheet name="Checks and Balances" sheetId="32" state="hidden" r:id="rId26"/>
  </sheets>
  <definedNames>
    <definedName name="_Builtin0">#N/A</definedName>
    <definedName name="_xlnm._FilterDatabase" localSheetId="0" hidden="1">'2026'!$A$6:$BX$29</definedName>
    <definedName name="_xlnm._FilterDatabase" localSheetId="3" hidden="1">DATA!$A$1:$N$155</definedName>
    <definedName name="_xlnm.Print_Area" localSheetId="13">'% Rent'!$A$1:$Q$32</definedName>
    <definedName name="_xlnm.Print_Area" localSheetId="11">CAM!$A$1:$R$30</definedName>
    <definedName name="_xlnm.Print_Area" localSheetId="20">'CAM - SHOPS'!$CB$1:$CJ$110</definedName>
    <definedName name="_xlnm.Print_Area" localSheetId="9">'CAM Recovery'!$A$1:$R$40</definedName>
    <definedName name="_xlnm.Print_Area" localSheetId="16">'Excise Tax'!$A$1:$Q$31</definedName>
    <definedName name="_xlnm.Print_Area" localSheetId="17">'Food Court'!$A$1:$Q$30</definedName>
    <definedName name="_xlnm.Print_Area" localSheetId="18">Marketing!$A$1:$S$30</definedName>
    <definedName name="_xlnm.Print_Area" localSheetId="19">'Occup,'!$A$1:$P$34</definedName>
    <definedName name="_xlnm.Print_Area" localSheetId="15">'RE Tax'!$A$1:$Q$36</definedName>
    <definedName name="_xlnm.Print_Area" localSheetId="7">Rent!$A$1:$S$35</definedName>
    <definedName name="_xlnm.Print_Area" localSheetId="10">'Rent Recovery'!$A$1:$R$40</definedName>
    <definedName name="_xlnm.Print_Area" localSheetId="24">'Slippage Analysis'!$A$1:$W$98</definedName>
    <definedName name="_xlnm.Print_Area" localSheetId="4">Summ.!$B$12:$R$183</definedName>
    <definedName name="_xlnm.Print_Area" localSheetId="5">'Summ. (2)'!$A$1:$T$184</definedName>
    <definedName name="_xlnm.Print_Area" localSheetId="21">'TENANT CHARGES'!$D$1:$V$34</definedName>
    <definedName name="_xlnm.Print_Titles" localSheetId="19">'Occup,'!$1:$11</definedName>
    <definedName name="_xlnm.Print_Titles" localSheetId="4">Summ.!$1:$11</definedName>
    <definedName name="_xlnm.Print_Titles" localSheetId="5">'Summ. (2)'!$1:$11</definedName>
  </definedNames>
  <calcPr calcId="191028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4" i="42" l="1"/>
  <c r="AL22" i="42"/>
  <c r="AP17" i="42"/>
  <c r="AL17" i="42"/>
  <c r="AL11" i="42" l="1"/>
  <c r="AN11" i="42" s="1"/>
  <c r="AM15" i="42"/>
  <c r="AM7" i="42"/>
  <c r="AM17" i="42"/>
  <c r="AN24" i="42"/>
  <c r="AN23" i="42"/>
  <c r="AN22" i="42"/>
  <c r="AN20" i="42"/>
  <c r="AN19" i="42"/>
  <c r="AN18" i="42"/>
  <c r="AN17" i="42"/>
  <c r="AN16" i="42"/>
  <c r="AN15" i="42"/>
  <c r="AN14" i="42"/>
  <c r="AN13" i="42"/>
  <c r="AN12" i="42"/>
  <c r="AN10" i="42"/>
  <c r="AN9" i="42"/>
  <c r="AN8" i="42"/>
  <c r="AN7" i="42"/>
  <c r="AL14" i="42"/>
  <c r="V29" i="3"/>
  <c r="V28" i="3"/>
  <c r="V27" i="3"/>
  <c r="V26" i="3"/>
  <c r="V25" i="3"/>
  <c r="V24" i="3"/>
  <c r="V23" i="3"/>
  <c r="V22" i="3"/>
  <c r="V20" i="3"/>
  <c r="V19" i="3"/>
  <c r="V18" i="3"/>
  <c r="V17" i="3"/>
  <c r="V16" i="3"/>
  <c r="V15" i="3"/>
  <c r="V14" i="3"/>
  <c r="V21" i="3"/>
  <c r="AL20" i="42"/>
  <c r="AL23" i="42"/>
  <c r="AL16" i="42"/>
  <c r="AG11" i="42"/>
  <c r="AL10" i="42"/>
  <c r="AL9" i="42"/>
  <c r="AL8" i="42"/>
  <c r="AL7" i="42"/>
  <c r="AL12" i="42"/>
  <c r="AL13" i="42"/>
  <c r="AL15" i="42"/>
  <c r="AL18" i="42"/>
  <c r="AL19" i="42"/>
  <c r="AL21" i="42"/>
  <c r="AG22" i="42"/>
  <c r="AG17" i="42"/>
  <c r="AI25" i="42" l="1"/>
  <c r="AD21" i="42" l="1"/>
  <c r="AD20" i="42"/>
  <c r="AC15" i="42"/>
  <c r="A27" i="41"/>
  <c r="X17" i="42"/>
  <c r="F28" i="41" l="1"/>
  <c r="S7" i="42"/>
  <c r="T24" i="42"/>
  <c r="N22" i="42" l="1"/>
  <c r="N17" i="42" l="1"/>
  <c r="N14" i="42"/>
  <c r="N7" i="42"/>
  <c r="O24" i="42"/>
  <c r="N27" i="42" l="1"/>
  <c r="I22" i="42"/>
  <c r="I12" i="42"/>
  <c r="I16" i="42"/>
  <c r="J24" i="42" l="1"/>
  <c r="U36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14" i="3"/>
  <c r="D22" i="42" l="1"/>
  <c r="BM22" i="42" s="1"/>
  <c r="D16" i="42"/>
  <c r="BM16" i="42" s="1"/>
  <c r="A8" i="42"/>
  <c r="B8" i="42"/>
  <c r="A9" i="42"/>
  <c r="B9" i="42"/>
  <c r="A10" i="42"/>
  <c r="B10" i="42"/>
  <c r="A11" i="42"/>
  <c r="B11" i="42"/>
  <c r="A12" i="42"/>
  <c r="B12" i="42"/>
  <c r="A13" i="42"/>
  <c r="B13" i="42"/>
  <c r="A14" i="42"/>
  <c r="B14" i="42"/>
  <c r="A15" i="42"/>
  <c r="B15" i="42"/>
  <c r="A16" i="42"/>
  <c r="B16" i="42"/>
  <c r="A17" i="42"/>
  <c r="B17" i="42"/>
  <c r="A18" i="42"/>
  <c r="B18" i="42"/>
  <c r="A19" i="42"/>
  <c r="B19" i="42"/>
  <c r="A20" i="42"/>
  <c r="B20" i="42"/>
  <c r="AG20" i="42" s="1"/>
  <c r="AI20" i="42" s="1"/>
  <c r="A21" i="42"/>
  <c r="B21" i="42"/>
  <c r="AG21" i="42" s="1"/>
  <c r="AI21" i="42" s="1"/>
  <c r="A22" i="42"/>
  <c r="B22" i="42"/>
  <c r="A23" i="42"/>
  <c r="B23" i="42"/>
  <c r="B7" i="42"/>
  <c r="A7" i="42"/>
  <c r="BG27" i="42"/>
  <c r="BB27" i="42"/>
  <c r="AR27" i="42"/>
  <c r="AM27" i="42"/>
  <c r="AM30" i="42" s="1"/>
  <c r="AH27" i="42"/>
  <c r="AH30" i="42" s="1"/>
  <c r="AC27" i="42"/>
  <c r="AC30" i="42" s="1"/>
  <c r="BM26" i="42"/>
  <c r="E26" i="42"/>
  <c r="BM24" i="42"/>
  <c r="BK24" i="42"/>
  <c r="E24" i="42"/>
  <c r="BM21" i="42"/>
  <c r="BM20" i="42"/>
  <c r="BM18" i="42"/>
  <c r="BM17" i="42"/>
  <c r="BM15" i="42"/>
  <c r="BM14" i="42"/>
  <c r="BM13" i="42"/>
  <c r="BM12" i="42"/>
  <c r="BM11" i="42"/>
  <c r="BM10" i="42"/>
  <c r="BM9" i="42"/>
  <c r="BM8" i="42"/>
  <c r="BM7" i="42"/>
  <c r="X27" i="42"/>
  <c r="X31" i="42" s="1"/>
  <c r="C29" i="41"/>
  <c r="D29" i="41"/>
  <c r="E29" i="41"/>
  <c r="F29" i="41"/>
  <c r="G29" i="41"/>
  <c r="H29" i="41"/>
  <c r="I29" i="41"/>
  <c r="J29" i="41"/>
  <c r="K29" i="41"/>
  <c r="L29" i="41"/>
  <c r="M29" i="41"/>
  <c r="B29" i="41"/>
  <c r="A29" i="41"/>
  <c r="C28" i="41"/>
  <c r="D28" i="41"/>
  <c r="E28" i="41"/>
  <c r="G28" i="41"/>
  <c r="H28" i="41"/>
  <c r="I28" i="41"/>
  <c r="J28" i="41"/>
  <c r="K28" i="41"/>
  <c r="L28" i="41"/>
  <c r="M28" i="41"/>
  <c r="B28" i="41"/>
  <c r="A28" i="41"/>
  <c r="C27" i="41"/>
  <c r="D27" i="41"/>
  <c r="E27" i="41"/>
  <c r="F27" i="41"/>
  <c r="G27" i="41"/>
  <c r="H27" i="41"/>
  <c r="I27" i="41"/>
  <c r="J27" i="41"/>
  <c r="K27" i="41"/>
  <c r="L27" i="41"/>
  <c r="M27" i="41"/>
  <c r="B27" i="41"/>
  <c r="C33" i="41"/>
  <c r="D33" i="41"/>
  <c r="E33" i="41"/>
  <c r="F33" i="41"/>
  <c r="G33" i="41"/>
  <c r="H33" i="41"/>
  <c r="I33" i="41"/>
  <c r="J33" i="41"/>
  <c r="K33" i="41"/>
  <c r="L33" i="41"/>
  <c r="M33" i="41"/>
  <c r="B33" i="41"/>
  <c r="C26" i="41"/>
  <c r="D26" i="41"/>
  <c r="E26" i="41"/>
  <c r="F26" i="41"/>
  <c r="W24" i="42" s="1"/>
  <c r="Y24" i="42" s="1"/>
  <c r="G26" i="41"/>
  <c r="AB24" i="42" s="1"/>
  <c r="AD24" i="42" s="1"/>
  <c r="H26" i="41"/>
  <c r="AG24" i="42" s="1"/>
  <c r="AI24" i="42" s="1"/>
  <c r="I26" i="41"/>
  <c r="AL24" i="42" s="1"/>
  <c r="J26" i="41"/>
  <c r="J31" i="41" s="1"/>
  <c r="K26" i="41"/>
  <c r="K31" i="41" s="1"/>
  <c r="L26" i="41"/>
  <c r="L31" i="41" s="1"/>
  <c r="M26" i="41"/>
  <c r="M31" i="41" s="1"/>
  <c r="B26" i="41"/>
  <c r="A26" i="41"/>
  <c r="I31" i="41" l="1"/>
  <c r="G31" i="41"/>
  <c r="H31" i="41"/>
  <c r="D31" i="41"/>
  <c r="C31" i="41"/>
  <c r="E31" i="41"/>
  <c r="B31" i="41"/>
  <c r="F31" i="41"/>
  <c r="AG18" i="42"/>
  <c r="AI18" i="42" s="1"/>
  <c r="AB18" i="42"/>
  <c r="AD18" i="42" s="1"/>
  <c r="AB17" i="42"/>
  <c r="AD17" i="42" s="1"/>
  <c r="AI17" i="42"/>
  <c r="W17" i="42"/>
  <c r="Y17" i="42" s="1"/>
  <c r="AB10" i="42"/>
  <c r="AD10" i="42" s="1"/>
  <c r="AG10" i="42"/>
  <c r="AI10" i="42" s="1"/>
  <c r="W10" i="42"/>
  <c r="Y10" i="42" s="1"/>
  <c r="BK12" i="42"/>
  <c r="AG12" i="42"/>
  <c r="AI12" i="42" s="1"/>
  <c r="AB12" i="42"/>
  <c r="AD12" i="42" s="1"/>
  <c r="AG7" i="42"/>
  <c r="AI7" i="42" s="1"/>
  <c r="AB7" i="42"/>
  <c r="AD7" i="42" s="1"/>
  <c r="W7" i="42"/>
  <c r="Y7" i="42" s="1"/>
  <c r="AG23" i="42"/>
  <c r="AI23" i="42" s="1"/>
  <c r="AB23" i="42"/>
  <c r="AD23" i="42" s="1"/>
  <c r="AG13" i="42"/>
  <c r="AI13" i="42" s="1"/>
  <c r="AB13" i="42"/>
  <c r="AD13" i="42" s="1"/>
  <c r="AI22" i="42"/>
  <c r="AB22" i="42"/>
  <c r="AD22" i="42" s="1"/>
  <c r="W22" i="42"/>
  <c r="Y22" i="42" s="1"/>
  <c r="AG15" i="42"/>
  <c r="AI15" i="42" s="1"/>
  <c r="AB15" i="42"/>
  <c r="AD15" i="42" s="1"/>
  <c r="AG8" i="42"/>
  <c r="AI8" i="42" s="1"/>
  <c r="AB8" i="42"/>
  <c r="AD8" i="42" s="1"/>
  <c r="W8" i="42"/>
  <c r="Y8" i="42" s="1"/>
  <c r="AG19" i="42"/>
  <c r="AI19" i="42" s="1"/>
  <c r="AB19" i="42"/>
  <c r="AD19" i="42" s="1"/>
  <c r="AI11" i="42"/>
  <c r="AB11" i="42"/>
  <c r="AD11" i="42" s="1"/>
  <c r="W11" i="42"/>
  <c r="Y11" i="42" s="1"/>
  <c r="AG14" i="42"/>
  <c r="AI14" i="42" s="1"/>
  <c r="AB14" i="42"/>
  <c r="AD14" i="42" s="1"/>
  <c r="AG16" i="42"/>
  <c r="AI16" i="42" s="1"/>
  <c r="AB16" i="42"/>
  <c r="AD16" i="42" s="1"/>
  <c r="W16" i="42"/>
  <c r="Y16" i="42" s="1"/>
  <c r="AG9" i="42"/>
  <c r="AI9" i="42" s="1"/>
  <c r="AB9" i="42"/>
  <c r="AD9" i="42" s="1"/>
  <c r="W9" i="42"/>
  <c r="Y9" i="42" s="1"/>
  <c r="R18" i="42"/>
  <c r="T18" i="42" s="1"/>
  <c r="W18" i="42"/>
  <c r="Y18" i="42" s="1"/>
  <c r="M18" i="42"/>
  <c r="O18" i="42" s="1"/>
  <c r="W13" i="42"/>
  <c r="Y13" i="42" s="1"/>
  <c r="R13" i="42"/>
  <c r="T13" i="42" s="1"/>
  <c r="M13" i="42"/>
  <c r="O13" i="42" s="1"/>
  <c r="W12" i="42"/>
  <c r="Y12" i="42" s="1"/>
  <c r="R12" i="42"/>
  <c r="T12" i="42" s="1"/>
  <c r="M12" i="42"/>
  <c r="O12" i="42" s="1"/>
  <c r="R11" i="42"/>
  <c r="T11" i="42" s="1"/>
  <c r="M11" i="42"/>
  <c r="O11" i="42" s="1"/>
  <c r="H11" i="42"/>
  <c r="J11" i="42" s="1"/>
  <c r="R17" i="42"/>
  <c r="T17" i="42" s="1"/>
  <c r="M17" i="42"/>
  <c r="O17" i="42" s="1"/>
  <c r="H17" i="42"/>
  <c r="J17" i="42" s="1"/>
  <c r="R10" i="42"/>
  <c r="T10" i="42" s="1"/>
  <c r="H10" i="42"/>
  <c r="J10" i="42" s="1"/>
  <c r="M10" i="42"/>
  <c r="O10" i="42" s="1"/>
  <c r="H7" i="42"/>
  <c r="J7" i="42" s="1"/>
  <c r="R7" i="42"/>
  <c r="T7" i="42" s="1"/>
  <c r="M7" i="42"/>
  <c r="O7" i="42" s="1"/>
  <c r="C7" i="42"/>
  <c r="W23" i="42"/>
  <c r="Y23" i="42" s="1"/>
  <c r="R23" i="42"/>
  <c r="T23" i="42" s="1"/>
  <c r="M23" i="42"/>
  <c r="O23" i="42" s="1"/>
  <c r="R16" i="42"/>
  <c r="T16" i="42" s="1"/>
  <c r="M16" i="42"/>
  <c r="O16" i="42" s="1"/>
  <c r="H16" i="42"/>
  <c r="J16" i="42" s="1"/>
  <c r="C16" i="42"/>
  <c r="R9" i="42"/>
  <c r="T9" i="42" s="1"/>
  <c r="M9" i="42"/>
  <c r="O9" i="42" s="1"/>
  <c r="H9" i="42"/>
  <c r="J9" i="42" s="1"/>
  <c r="R22" i="42"/>
  <c r="T22" i="42" s="1"/>
  <c r="M22" i="42"/>
  <c r="O22" i="42" s="1"/>
  <c r="H22" i="42"/>
  <c r="J22" i="42" s="1"/>
  <c r="R15" i="42"/>
  <c r="T15" i="42" s="1"/>
  <c r="W15" i="42"/>
  <c r="Y15" i="42" s="1"/>
  <c r="M15" i="42"/>
  <c r="O15" i="42" s="1"/>
  <c r="M8" i="42"/>
  <c r="O8" i="42" s="1"/>
  <c r="R8" i="42"/>
  <c r="T8" i="42" s="1"/>
  <c r="H8" i="42"/>
  <c r="J8" i="42" s="1"/>
  <c r="R20" i="42"/>
  <c r="T20" i="42" s="1"/>
  <c r="W20" i="42"/>
  <c r="Y20" i="42" s="1"/>
  <c r="M20" i="42"/>
  <c r="O20" i="42" s="1"/>
  <c r="W19" i="42"/>
  <c r="Y19" i="42" s="1"/>
  <c r="R19" i="42"/>
  <c r="T19" i="42" s="1"/>
  <c r="M19" i="42"/>
  <c r="O19" i="42" s="1"/>
  <c r="R21" i="42"/>
  <c r="T21" i="42" s="1"/>
  <c r="W21" i="42"/>
  <c r="Y21" i="42" s="1"/>
  <c r="M21" i="42"/>
  <c r="O21" i="42" s="1"/>
  <c r="W14" i="42"/>
  <c r="Y14" i="42" s="1"/>
  <c r="R14" i="42"/>
  <c r="T14" i="42" s="1"/>
  <c r="M14" i="42"/>
  <c r="O14" i="42" s="1"/>
  <c r="C10" i="42"/>
  <c r="C15" i="42"/>
  <c r="H15" i="42"/>
  <c r="J15" i="42" s="1"/>
  <c r="C8" i="42"/>
  <c r="C19" i="42"/>
  <c r="H19" i="42"/>
  <c r="J19" i="42" s="1"/>
  <c r="BK20" i="42"/>
  <c r="H20" i="42"/>
  <c r="J20" i="42" s="1"/>
  <c r="C13" i="42"/>
  <c r="H13" i="42"/>
  <c r="J13" i="42" s="1"/>
  <c r="BK23" i="42"/>
  <c r="H23" i="42"/>
  <c r="J23" i="42" s="1"/>
  <c r="C17" i="42"/>
  <c r="C11" i="42"/>
  <c r="E11" i="42" s="1"/>
  <c r="C22" i="42"/>
  <c r="E22" i="42" s="1"/>
  <c r="C21" i="42"/>
  <c r="E21" i="42" s="1"/>
  <c r="H21" i="42"/>
  <c r="J21" i="42" s="1"/>
  <c r="C20" i="42"/>
  <c r="C9" i="42"/>
  <c r="BK14" i="42"/>
  <c r="H14" i="42"/>
  <c r="J14" i="42" s="1"/>
  <c r="BK18" i="42"/>
  <c r="H18" i="42"/>
  <c r="J18" i="42" s="1"/>
  <c r="C12" i="42"/>
  <c r="H12" i="42"/>
  <c r="J12" i="42" s="1"/>
  <c r="BK13" i="42"/>
  <c r="BK15" i="42"/>
  <c r="BK16" i="42"/>
  <c r="C14" i="42"/>
  <c r="E14" i="42" s="1"/>
  <c r="BK8" i="42"/>
  <c r="BK21" i="42"/>
  <c r="BK9" i="42"/>
  <c r="C18" i="42"/>
  <c r="C23" i="42"/>
  <c r="BM23" i="42"/>
  <c r="N31" i="42"/>
  <c r="AW27" i="42"/>
  <c r="BK17" i="42"/>
  <c r="S27" i="42"/>
  <c r="S31" i="42" s="1"/>
  <c r="BL24" i="42"/>
  <c r="BN24" i="42" s="1"/>
  <c r="BK7" i="42"/>
  <c r="BK22" i="42"/>
  <c r="D27" i="42"/>
  <c r="D31" i="42" s="1"/>
  <c r="BK19" i="42"/>
  <c r="BK10" i="42"/>
  <c r="BM19" i="42"/>
  <c r="I27" i="42"/>
  <c r="I31" i="42" s="1"/>
  <c r="BL26" i="42"/>
  <c r="BN26" i="42" s="1"/>
  <c r="BK11" i="42"/>
  <c r="D35" i="41"/>
  <c r="B35" i="41"/>
  <c r="C35" i="41"/>
  <c r="F35" i="41"/>
  <c r="E35" i="41"/>
  <c r="M35" i="41"/>
  <c r="L35" i="41"/>
  <c r="K35" i="41"/>
  <c r="J35" i="41"/>
  <c r="I35" i="41"/>
  <c r="H35" i="41"/>
  <c r="G35" i="41"/>
  <c r="I38" i="41" l="1"/>
  <c r="BL16" i="42"/>
  <c r="BN16" i="42" s="1"/>
  <c r="BL22" i="42"/>
  <c r="BN22" i="42" s="1"/>
  <c r="O27" i="42"/>
  <c r="O31" i="42" s="1"/>
  <c r="BM27" i="42"/>
  <c r="BM31" i="42" s="1"/>
  <c r="BL11" i="42"/>
  <c r="BN11" i="42" s="1"/>
  <c r="E16" i="42"/>
  <c r="AL27" i="42"/>
  <c r="AL30" i="42" s="1"/>
  <c r="AN27" i="42"/>
  <c r="AN30" i="42" s="1"/>
  <c r="E10" i="42"/>
  <c r="BL10" i="42"/>
  <c r="BN10" i="42" s="1"/>
  <c r="AS27" i="42"/>
  <c r="AQ27" i="42"/>
  <c r="E9" i="42"/>
  <c r="BL9" i="42"/>
  <c r="BN9" i="42" s="1"/>
  <c r="AX27" i="42"/>
  <c r="AV27" i="42"/>
  <c r="E13" i="42"/>
  <c r="BL13" i="42"/>
  <c r="BN13" i="42" s="1"/>
  <c r="J27" i="42"/>
  <c r="J31" i="42" s="1"/>
  <c r="H27" i="42"/>
  <c r="H31" i="42" s="1"/>
  <c r="AG27" i="42"/>
  <c r="AI27" i="42"/>
  <c r="AI30" i="42" s="1"/>
  <c r="W27" i="42"/>
  <c r="W31" i="42" s="1"/>
  <c r="E19" i="42"/>
  <c r="BL19" i="42"/>
  <c r="BN19" i="42" s="1"/>
  <c r="E20" i="42"/>
  <c r="BL20" i="42"/>
  <c r="BN20" i="42" s="1"/>
  <c r="E12" i="42"/>
  <c r="BL12" i="42"/>
  <c r="BN12" i="42" s="1"/>
  <c r="E7" i="42"/>
  <c r="C27" i="42"/>
  <c r="C31" i="42" s="1"/>
  <c r="BL7" i="42"/>
  <c r="E17" i="42"/>
  <c r="BL17" i="42"/>
  <c r="BN17" i="42" s="1"/>
  <c r="E15" i="42"/>
  <c r="BL15" i="42"/>
  <c r="BN15" i="42" s="1"/>
  <c r="M27" i="42"/>
  <c r="M31" i="42" s="1"/>
  <c r="BH27" i="42"/>
  <c r="E23" i="42"/>
  <c r="BL23" i="42"/>
  <c r="BN23" i="42" s="1"/>
  <c r="BF27" i="42"/>
  <c r="BA27" i="42"/>
  <c r="BC27" i="42"/>
  <c r="BN14" i="42"/>
  <c r="T27" i="42"/>
  <c r="T31" i="42" s="1"/>
  <c r="R27" i="42"/>
  <c r="R31" i="42" s="1"/>
  <c r="AB27" i="42"/>
  <c r="AB30" i="42" s="1"/>
  <c r="AD27" i="42"/>
  <c r="AD30" i="42" s="1"/>
  <c r="E18" i="42"/>
  <c r="BL18" i="42"/>
  <c r="BN18" i="42" s="1"/>
  <c r="E8" i="42"/>
  <c r="BL8" i="42"/>
  <c r="BN8" i="42" s="1"/>
  <c r="Y27" i="42"/>
  <c r="Y31" i="42" s="1"/>
  <c r="BL21" i="42"/>
  <c r="BN21" i="42" s="1"/>
  <c r="AG30" i="42" l="1"/>
  <c r="E27" i="42"/>
  <c r="E31" i="42" s="1"/>
  <c r="BL27" i="42"/>
  <c r="BL31" i="42" s="1"/>
  <c r="BN7" i="42"/>
  <c r="BN27" i="42" s="1"/>
  <c r="BN31" i="42" s="1"/>
  <c r="O157" i="1" l="1"/>
  <c r="C15" i="1"/>
  <c r="C27" i="1"/>
  <c r="C24" i="1" l="1"/>
  <c r="G35" i="17"/>
  <c r="G18" i="17"/>
  <c r="D60" i="1"/>
  <c r="C60" i="1"/>
  <c r="O163" i="1"/>
  <c r="Q28" i="2" l="1"/>
  <c r="P28" i="2"/>
  <c r="N173" i="1"/>
  <c r="G203" i="1"/>
  <c r="G199" i="1"/>
  <c r="G200" i="1"/>
  <c r="G201" i="1"/>
  <c r="G202" i="1"/>
  <c r="G198" i="1"/>
  <c r="J172" i="1"/>
  <c r="D195" i="1"/>
  <c r="G194" i="1"/>
  <c r="G195" i="1"/>
  <c r="G196" i="1"/>
  <c r="G197" i="1"/>
  <c r="G193" i="1"/>
  <c r="F199" i="1"/>
  <c r="F200" i="1"/>
  <c r="F201" i="1"/>
  <c r="F202" i="1"/>
  <c r="F195" i="1"/>
  <c r="F196" i="1"/>
  <c r="F197" i="1"/>
  <c r="F198" i="1"/>
  <c r="F194" i="1"/>
  <c r="F193" i="1"/>
  <c r="O100" i="1"/>
  <c r="O101" i="1"/>
  <c r="O102" i="1"/>
  <c r="O103" i="1"/>
  <c r="O104" i="1"/>
  <c r="E59" i="1"/>
  <c r="F59" i="1"/>
  <c r="G59" i="1"/>
  <c r="H59" i="1"/>
  <c r="I59" i="1"/>
  <c r="J59" i="1"/>
  <c r="K59" i="1"/>
  <c r="L59" i="1"/>
  <c r="M59" i="1"/>
  <c r="N59" i="1"/>
  <c r="D59" i="1"/>
  <c r="D86" i="1"/>
  <c r="C86" i="1"/>
  <c r="G99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82" i="14"/>
  <c r="G64" i="14"/>
  <c r="G65" i="14"/>
  <c r="G66" i="14"/>
  <c r="G67" i="14"/>
  <c r="G68" i="14"/>
  <c r="G69" i="14"/>
  <c r="G63" i="14"/>
  <c r="G60" i="14"/>
  <c r="G61" i="14"/>
  <c r="G59" i="14"/>
  <c r="G57" i="14"/>
  <c r="G56" i="14"/>
  <c r="G51" i="14"/>
  <c r="G52" i="14"/>
  <c r="G53" i="14"/>
  <c r="G54" i="14"/>
  <c r="G50" i="14"/>
  <c r="G44" i="14"/>
  <c r="G45" i="14"/>
  <c r="G46" i="14"/>
  <c r="G47" i="14"/>
  <c r="G48" i="14"/>
  <c r="G43" i="14"/>
  <c r="G41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25" i="14"/>
  <c r="G16" i="14"/>
  <c r="G17" i="14"/>
  <c r="G18" i="14"/>
  <c r="G19" i="14"/>
  <c r="G20" i="14"/>
  <c r="G15" i="14"/>
  <c r="G14" i="14"/>
  <c r="B42" i="2"/>
  <c r="D23" i="2"/>
  <c r="CV8" i="14" s="1"/>
  <c r="M32" i="17"/>
  <c r="C35" i="1"/>
  <c r="D24" i="1"/>
  <c r="E24" i="1"/>
  <c r="F24" i="1"/>
  <c r="G24" i="1"/>
  <c r="H24" i="1"/>
  <c r="I24" i="1"/>
  <c r="J24" i="1"/>
  <c r="K24" i="1"/>
  <c r="L24" i="1"/>
  <c r="M24" i="1"/>
  <c r="N24" i="1"/>
  <c r="R37" i="2"/>
  <c r="P148" i="1"/>
  <c r="P27" i="17" l="1"/>
  <c r="P26" i="17"/>
  <c r="P23" i="17"/>
  <c r="P22" i="17"/>
  <c r="P21" i="17"/>
  <c r="P20" i="17"/>
  <c r="P19" i="17"/>
  <c r="P18" i="17"/>
  <c r="P17" i="17"/>
  <c r="P15" i="17"/>
  <c r="P14" i="17"/>
  <c r="P13" i="17"/>
  <c r="P12" i="17"/>
  <c r="P11" i="17"/>
  <c r="P10" i="17"/>
  <c r="C165" i="1" l="1"/>
  <c r="C195" i="1"/>
  <c r="C194" i="1"/>
  <c r="D194" i="1" s="1"/>
  <c r="C193" i="1"/>
  <c r="D193" i="1" s="1"/>
  <c r="D196" i="1" l="1"/>
  <c r="G24" i="3"/>
  <c r="H24" i="3"/>
  <c r="I24" i="3"/>
  <c r="J24" i="3"/>
  <c r="K24" i="3"/>
  <c r="L24" i="3"/>
  <c r="M24" i="3"/>
  <c r="N24" i="3"/>
  <c r="O24" i="3" s="1"/>
  <c r="P24" i="3" s="1"/>
  <c r="F24" i="3"/>
  <c r="G18" i="3"/>
  <c r="H18" i="3"/>
  <c r="I18" i="3" s="1"/>
  <c r="J18" i="3" s="1"/>
  <c r="K18" i="3" s="1"/>
  <c r="L18" i="3" s="1"/>
  <c r="M18" i="3" s="1"/>
  <c r="N18" i="3" s="1"/>
  <c r="O18" i="3" s="1"/>
  <c r="P18" i="3" s="1"/>
  <c r="F18" i="3"/>
  <c r="C85" i="1" l="1"/>
  <c r="D112" i="1"/>
  <c r="C112" i="1"/>
  <c r="D110" i="1"/>
  <c r="C110" i="1"/>
  <c r="G109" i="1"/>
  <c r="F109" i="1"/>
  <c r="E104" i="1"/>
  <c r="G104" i="1" s="1"/>
  <c r="I104" i="1" s="1"/>
  <c r="K104" i="1" s="1"/>
  <c r="M104" i="1" s="1"/>
  <c r="H94" i="1"/>
  <c r="K94" i="1" s="1"/>
  <c r="N94" i="1" s="1"/>
  <c r="C94" i="1"/>
  <c r="D94" i="1" s="1"/>
  <c r="F94" i="1" s="1"/>
  <c r="G94" i="1" s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J94" i="1" l="1"/>
  <c r="L94" i="1" s="1"/>
  <c r="M94" i="1" s="1"/>
  <c r="I94" i="1"/>
  <c r="E51" i="1" l="1"/>
  <c r="D46" i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H175" i="1" l="1"/>
  <c r="BC6" i="14"/>
  <c r="BC7" i="14"/>
  <c r="BC8" i="14"/>
  <c r="BA14" i="14"/>
  <c r="BB14" i="14"/>
  <c r="BA15" i="14"/>
  <c r="BB15" i="14"/>
  <c r="BA16" i="14"/>
  <c r="BB16" i="14"/>
  <c r="BA17" i="14"/>
  <c r="BB17" i="14"/>
  <c r="BA18" i="14"/>
  <c r="BB18" i="14"/>
  <c r="BA19" i="14"/>
  <c r="BB19" i="14"/>
  <c r="BA20" i="14"/>
  <c r="BB20" i="14"/>
  <c r="BA25" i="14"/>
  <c r="BB25" i="14"/>
  <c r="BA26" i="14"/>
  <c r="BB26" i="14"/>
  <c r="BA27" i="14"/>
  <c r="BB27" i="14"/>
  <c r="BA28" i="14"/>
  <c r="BB28" i="14"/>
  <c r="BA29" i="14"/>
  <c r="BB29" i="14"/>
  <c r="BA30" i="14"/>
  <c r="BB30" i="14"/>
  <c r="BA31" i="14"/>
  <c r="BB31" i="14"/>
  <c r="BC31" i="14"/>
  <c r="BA32" i="14"/>
  <c r="BB32" i="14"/>
  <c r="BA33" i="14"/>
  <c r="BB33" i="14"/>
  <c r="BA34" i="14"/>
  <c r="BB34" i="14"/>
  <c r="BA35" i="14"/>
  <c r="BB35" i="14"/>
  <c r="BC35" i="14"/>
  <c r="BA36" i="14"/>
  <c r="BB36" i="14"/>
  <c r="BA37" i="14"/>
  <c r="BB37" i="14"/>
  <c r="BA38" i="14"/>
  <c r="BB38" i="14"/>
  <c r="BA39" i="14"/>
  <c r="BB39" i="14"/>
  <c r="BA40" i="14"/>
  <c r="BB40" i="14"/>
  <c r="BA41" i="14"/>
  <c r="BB41" i="14"/>
  <c r="BA42" i="14"/>
  <c r="BB42" i="14"/>
  <c r="BA43" i="14"/>
  <c r="BB43" i="14"/>
  <c r="BA44" i="14"/>
  <c r="BB44" i="14"/>
  <c r="BA45" i="14"/>
  <c r="BB45" i="14"/>
  <c r="BA46" i="14"/>
  <c r="BB46" i="14"/>
  <c r="BA47" i="14"/>
  <c r="BB47" i="14"/>
  <c r="BA48" i="14"/>
  <c r="BB48" i="14"/>
  <c r="BA49" i="14"/>
  <c r="BB49" i="14"/>
  <c r="BA50" i="14"/>
  <c r="BB50" i="14"/>
  <c r="BA51" i="14"/>
  <c r="BB51" i="14"/>
  <c r="BA52" i="14"/>
  <c r="BB52" i="14"/>
  <c r="BA53" i="14"/>
  <c r="BB53" i="14"/>
  <c r="BA54" i="14"/>
  <c r="BB54" i="14"/>
  <c r="BA55" i="14"/>
  <c r="BB55" i="14"/>
  <c r="BA56" i="14"/>
  <c r="BB56" i="14"/>
  <c r="BA57" i="14"/>
  <c r="BB57" i="14"/>
  <c r="BA58" i="14"/>
  <c r="BB58" i="14"/>
  <c r="BA59" i="14"/>
  <c r="BB59" i="14"/>
  <c r="BA60" i="14"/>
  <c r="BB60" i="14"/>
  <c r="BA61" i="14"/>
  <c r="BB61" i="14"/>
  <c r="BA62" i="14"/>
  <c r="BB62" i="14"/>
  <c r="BA63" i="14"/>
  <c r="BB63" i="14"/>
  <c r="BA64" i="14"/>
  <c r="BB64" i="14"/>
  <c r="BA65" i="14"/>
  <c r="BB65" i="14"/>
  <c r="BA66" i="14"/>
  <c r="BB66" i="14"/>
  <c r="BA67" i="14"/>
  <c r="BB67" i="14"/>
  <c r="BA68" i="14"/>
  <c r="BB68" i="14"/>
  <c r="BA69" i="14"/>
  <c r="BB69" i="14"/>
  <c r="BA74" i="14"/>
  <c r="BB74" i="14"/>
  <c r="BA75" i="14"/>
  <c r="BB75" i="14"/>
  <c r="BA76" i="14"/>
  <c r="BB76" i="14"/>
  <c r="BA77" i="14"/>
  <c r="BB77" i="14"/>
  <c r="BA82" i="14"/>
  <c r="BB82" i="14"/>
  <c r="BA83" i="14"/>
  <c r="BB83" i="14"/>
  <c r="BA84" i="14"/>
  <c r="BB84" i="14"/>
  <c r="BA85" i="14"/>
  <c r="BB85" i="14"/>
  <c r="BA86" i="14"/>
  <c r="BB86" i="14"/>
  <c r="BA87" i="14"/>
  <c r="BB87" i="14"/>
  <c r="BA88" i="14"/>
  <c r="BB88" i="14"/>
  <c r="BA89" i="14"/>
  <c r="BB89" i="14"/>
  <c r="BA90" i="14"/>
  <c r="BB90" i="14"/>
  <c r="BA91" i="14"/>
  <c r="BB91" i="14"/>
  <c r="BA92" i="14"/>
  <c r="BB92" i="14"/>
  <c r="BA93" i="14"/>
  <c r="BB93" i="14"/>
  <c r="BA94" i="14"/>
  <c r="BB94" i="14"/>
  <c r="BA99" i="14"/>
  <c r="BB99" i="14"/>
  <c r="D162" i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38" i="1"/>
  <c r="S38" i="1" s="1"/>
  <c r="O179" i="1"/>
  <c r="F6" i="37"/>
  <c r="F16" i="3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F23" i="3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F21" i="3"/>
  <c r="G21" i="3" s="1"/>
  <c r="H21" i="3" s="1"/>
  <c r="I21" i="3" s="1"/>
  <c r="J21" i="3" s="1"/>
  <c r="M21" i="3" s="1"/>
  <c r="N21" i="3" s="1"/>
  <c r="O21" i="3" s="1"/>
  <c r="P21" i="3" s="1"/>
  <c r="F15" i="3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F17" i="3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F29" i="3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F19" i="3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F14" i="3"/>
  <c r="N127" i="1" l="1"/>
  <c r="R38" i="1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l="1"/>
  <c r="D16" i="1" l="1"/>
  <c r="E16" i="1" s="1"/>
  <c r="F16" i="1" s="1"/>
  <c r="G16" i="1" s="1"/>
  <c r="H16" i="1" s="1"/>
  <c r="I16" i="1" s="1"/>
  <c r="J16" i="1" s="1"/>
  <c r="L16" i="1" s="1"/>
  <c r="M16" i="1" s="1"/>
  <c r="N16" i="1" s="1"/>
  <c r="E112" i="1" l="1"/>
  <c r="F112" i="1" s="1"/>
  <c r="G112" i="1" s="1"/>
  <c r="H112" i="1" s="1"/>
  <c r="I112" i="1" s="1"/>
  <c r="J112" i="1" s="1"/>
  <c r="K112" i="1" s="1"/>
  <c r="L112" i="1" s="1"/>
  <c r="N112" i="1" s="1"/>
  <c r="E110" i="1"/>
  <c r="F110" i="1" s="1"/>
  <c r="G110" i="1" s="1"/>
  <c r="H110" i="1" s="1"/>
  <c r="I110" i="1" s="1"/>
  <c r="J110" i="1" s="1"/>
  <c r="K110" i="1" s="1"/>
  <c r="L110" i="1" s="1"/>
  <c r="N110" i="1" s="1"/>
  <c r="H109" i="1"/>
  <c r="I109" i="1" s="1"/>
  <c r="J109" i="1" s="1"/>
  <c r="K109" i="1" s="1"/>
  <c r="L109" i="1" s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D85" i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F67" i="1"/>
  <c r="I67" i="1" s="1"/>
  <c r="L67" i="1" s="1"/>
  <c r="G65" i="1"/>
  <c r="J65" i="1" s="1"/>
  <c r="M65" i="1" s="1"/>
  <c r="C59" i="1"/>
  <c r="D61" i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M109" i="1" l="1"/>
  <c r="N109" i="1" s="1"/>
  <c r="D84" i="1"/>
  <c r="E84" i="1" s="1"/>
  <c r="F84" i="1" s="1"/>
  <c r="G84" i="1" s="1"/>
  <c r="H84" i="1" s="1"/>
  <c r="I84" i="1" s="1"/>
  <c r="J84" i="1" s="1"/>
  <c r="K84" i="1" s="1"/>
  <c r="L84" i="1" s="1"/>
  <c r="M84" i="1" s="1"/>
  <c r="N84" i="1" s="1"/>
  <c r="C49" i="1"/>
  <c r="D49" i="1" s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Q26" i="2"/>
  <c r="Q18" i="2"/>
  <c r="G18" i="2"/>
  <c r="H18" i="2" s="1"/>
  <c r="I18" i="2" s="1"/>
  <c r="J18" i="2" s="1"/>
  <c r="K18" i="2" s="1"/>
  <c r="L18" i="2" s="1"/>
  <c r="M18" i="2" s="1"/>
  <c r="N18" i="2" s="1"/>
  <c r="O18" i="2" s="1"/>
  <c r="C12" i="36"/>
  <c r="C10" i="36"/>
  <c r="C7" i="36" s="1"/>
  <c r="C18" i="36"/>
  <c r="C19" i="36"/>
  <c r="C15" i="36"/>
  <c r="C16" i="36"/>
  <c r="C13" i="36"/>
  <c r="C9" i="36"/>
  <c r="T55" i="16"/>
  <c r="Q55" i="16"/>
  <c r="A53" i="16"/>
  <c r="A17" i="16"/>
  <c r="A16" i="16"/>
  <c r="EJ94" i="14"/>
  <c r="P77" i="16" s="1"/>
  <c r="BJ14" i="14"/>
  <c r="BJ15" i="14"/>
  <c r="BJ16" i="14"/>
  <c r="BJ17" i="14"/>
  <c r="BJ18" i="14"/>
  <c r="BJ19" i="14"/>
  <c r="BJ20" i="14"/>
  <c r="BJ25" i="14"/>
  <c r="BJ26" i="14"/>
  <c r="BJ27" i="14"/>
  <c r="BJ28" i="14"/>
  <c r="BJ29" i="14"/>
  <c r="BJ30" i="14"/>
  <c r="BJ31" i="14"/>
  <c r="BJ32" i="14"/>
  <c r="BJ33" i="14"/>
  <c r="BJ34" i="14"/>
  <c r="BJ35" i="14"/>
  <c r="BJ36" i="14"/>
  <c r="BJ37" i="14"/>
  <c r="BJ38" i="14"/>
  <c r="BJ39" i="14"/>
  <c r="BJ40" i="14"/>
  <c r="BJ41" i="14"/>
  <c r="BJ42" i="14"/>
  <c r="BJ43" i="14"/>
  <c r="BJ44" i="14"/>
  <c r="BJ45" i="14"/>
  <c r="BJ46" i="14"/>
  <c r="BJ47" i="14"/>
  <c r="BJ48" i="14"/>
  <c r="BJ49" i="14"/>
  <c r="BJ50" i="14"/>
  <c r="BJ51" i="14"/>
  <c r="BJ52" i="14"/>
  <c r="BJ53" i="14"/>
  <c r="BJ54" i="14"/>
  <c r="BJ55" i="14"/>
  <c r="BJ56" i="14"/>
  <c r="BJ57" i="14"/>
  <c r="BJ58" i="14"/>
  <c r="BJ59" i="14"/>
  <c r="BJ60" i="14"/>
  <c r="BJ61" i="14"/>
  <c r="BJ62" i="14"/>
  <c r="BJ63" i="14"/>
  <c r="BJ64" i="14"/>
  <c r="BJ65" i="14"/>
  <c r="BJ66" i="14"/>
  <c r="BJ67" i="14"/>
  <c r="BJ68" i="14"/>
  <c r="BJ69" i="14"/>
  <c r="BJ74" i="14"/>
  <c r="BJ75" i="14"/>
  <c r="BJ76" i="14"/>
  <c r="BJ77" i="14"/>
  <c r="BJ82" i="14"/>
  <c r="BJ83" i="14"/>
  <c r="BJ84" i="14"/>
  <c r="BJ85" i="14"/>
  <c r="BJ86" i="14"/>
  <c r="BJ87" i="14"/>
  <c r="BJ88" i="14"/>
  <c r="BJ89" i="14"/>
  <c r="BJ90" i="14"/>
  <c r="BJ91" i="14"/>
  <c r="BJ92" i="14"/>
  <c r="BJ93" i="14"/>
  <c r="BJ94" i="14"/>
  <c r="BJ99" i="14"/>
  <c r="EK94" i="14" l="1"/>
  <c r="C21" i="36"/>
  <c r="EL94" i="14"/>
  <c r="F77" i="1" l="1"/>
  <c r="H77" i="1" s="1"/>
  <c r="J77" i="1" s="1"/>
  <c r="L77" i="1" s="1"/>
  <c r="N77" i="1" s="1"/>
  <c r="G33" i="1"/>
  <c r="E33" i="1"/>
  <c r="D33" i="1"/>
  <c r="E95" i="1"/>
  <c r="E53" i="2"/>
  <c r="F54" i="2" s="1"/>
  <c r="D53" i="2"/>
  <c r="E54" i="2" s="1"/>
  <c r="F51" i="1" l="1"/>
  <c r="G51" i="1" s="1"/>
  <c r="I51" i="1" s="1"/>
  <c r="J51" i="1" s="1"/>
  <c r="L51" i="1" s="1"/>
  <c r="M51" i="1" s="1"/>
  <c r="H51" i="1"/>
  <c r="K51" i="1" s="1"/>
  <c r="N51" i="1" s="1"/>
  <c r="G54" i="2"/>
  <c r="G14" i="2"/>
  <c r="H14" i="2" s="1"/>
  <c r="I14" i="2" s="1"/>
  <c r="J14" i="2" s="1"/>
  <c r="R179" i="1"/>
  <c r="O28" i="1"/>
  <c r="R28" i="1" s="1"/>
  <c r="Q181" i="1"/>
  <c r="M181" i="1"/>
  <c r="L181" i="1"/>
  <c r="K181" i="1"/>
  <c r="F181" i="1"/>
  <c r="E181" i="1"/>
  <c r="O87" i="1"/>
  <c r="P89" i="1"/>
  <c r="Q81" i="1"/>
  <c r="P81" i="1"/>
  <c r="P181" i="1"/>
  <c r="K14" i="2" l="1"/>
  <c r="L14" i="2" s="1"/>
  <c r="M14" i="2" s="1"/>
  <c r="N14" i="2" s="1"/>
  <c r="O14" i="2" s="1"/>
  <c r="P14" i="2" s="1"/>
  <c r="Q14" i="2" s="1"/>
  <c r="M17" i="2"/>
  <c r="N17" i="2" s="1"/>
  <c r="O17" i="2" s="1"/>
  <c r="P17" i="2" s="1"/>
  <c r="Q17" i="2" s="1"/>
  <c r="R88" i="1"/>
  <c r="I181" i="1"/>
  <c r="O176" i="1" l="1"/>
  <c r="C181" i="1"/>
  <c r="D181" i="1"/>
  <c r="J181" i="1"/>
  <c r="G177" i="1"/>
  <c r="G181" i="1" s="1"/>
  <c r="DB104" i="14"/>
  <c r="A51" i="16"/>
  <c r="A52" i="16"/>
  <c r="Q62" i="16"/>
  <c r="T62" i="16"/>
  <c r="T98" i="16" s="1"/>
  <c r="B60" i="16"/>
  <c r="A58" i="16"/>
  <c r="A59" i="16"/>
  <c r="A60" i="16"/>
  <c r="A57" i="16"/>
  <c r="A89" i="14"/>
  <c r="B89" i="14"/>
  <c r="H89" i="14"/>
  <c r="I89" i="14"/>
  <c r="Q89" i="14"/>
  <c r="R89" i="14"/>
  <c r="T89" i="14"/>
  <c r="Z89" i="14"/>
  <c r="AA89" i="14"/>
  <c r="AI89" i="14"/>
  <c r="AJ89" i="14"/>
  <c r="AL89" i="14"/>
  <c r="AU89" i="14" s="1"/>
  <c r="BD89" i="14" s="1"/>
  <c r="AR89" i="14"/>
  <c r="AS89" i="14"/>
  <c r="BK89" i="14"/>
  <c r="BS89" i="14"/>
  <c r="BT89" i="14"/>
  <c r="CB89" i="14"/>
  <c r="CC89" i="14"/>
  <c r="CK89" i="14"/>
  <c r="CL89" i="14"/>
  <c r="CN89" i="14"/>
  <c r="CT89" i="14"/>
  <c r="CU89" i="14"/>
  <c r="DC89" i="14"/>
  <c r="DD89" i="14"/>
  <c r="DL89" i="14"/>
  <c r="DM89" i="14"/>
  <c r="DU89" i="14"/>
  <c r="DV89" i="14"/>
  <c r="ED89" i="14"/>
  <c r="EE89" i="14"/>
  <c r="EM89" i="14"/>
  <c r="EN89" i="14"/>
  <c r="EV89" i="14"/>
  <c r="EW89" i="14"/>
  <c r="EY89" i="14"/>
  <c r="FE89" i="14"/>
  <c r="FF89" i="14"/>
  <c r="A86" i="14"/>
  <c r="B86" i="14"/>
  <c r="H86" i="14"/>
  <c r="I86" i="14"/>
  <c r="Q86" i="14"/>
  <c r="R86" i="14"/>
  <c r="T86" i="14"/>
  <c r="Z86" i="14"/>
  <c r="AA86" i="14"/>
  <c r="AI86" i="14"/>
  <c r="AJ86" i="14"/>
  <c r="AL86" i="14"/>
  <c r="AU86" i="14" s="1"/>
  <c r="AR86" i="14"/>
  <c r="AS86" i="14"/>
  <c r="BK86" i="14"/>
  <c r="BS86" i="14"/>
  <c r="BT86" i="14"/>
  <c r="CB86" i="14"/>
  <c r="CC86" i="14"/>
  <c r="CK86" i="14"/>
  <c r="CL86" i="14"/>
  <c r="CN86" i="14"/>
  <c r="CT86" i="14"/>
  <c r="CU86" i="14"/>
  <c r="DC86" i="14"/>
  <c r="DD86" i="14"/>
  <c r="DL86" i="14"/>
  <c r="DM86" i="14"/>
  <c r="DU86" i="14"/>
  <c r="DV86" i="14"/>
  <c r="ED86" i="14"/>
  <c r="EE86" i="14"/>
  <c r="EM86" i="14"/>
  <c r="EN86" i="14"/>
  <c r="EV86" i="14"/>
  <c r="EW86" i="14"/>
  <c r="FE86" i="14"/>
  <c r="FF86" i="14"/>
  <c r="A72" i="16"/>
  <c r="A69" i="16"/>
  <c r="T94" i="16"/>
  <c r="A94" i="16"/>
  <c r="A83" i="16"/>
  <c r="A75" i="16"/>
  <c r="B75" i="16"/>
  <c r="A76" i="16"/>
  <c r="A77" i="16"/>
  <c r="A92" i="14"/>
  <c r="B92" i="14"/>
  <c r="F92" i="14"/>
  <c r="H92" i="14"/>
  <c r="I92" i="14"/>
  <c r="Q92" i="14"/>
  <c r="R92" i="14"/>
  <c r="T92" i="14"/>
  <c r="Z92" i="14"/>
  <c r="AA92" i="14"/>
  <c r="AI92" i="14"/>
  <c r="AJ92" i="14"/>
  <c r="AL92" i="14"/>
  <c r="AR92" i="14"/>
  <c r="AS92" i="14"/>
  <c r="BK92" i="14"/>
  <c r="BS92" i="14"/>
  <c r="BT92" i="14"/>
  <c r="CB92" i="14"/>
  <c r="CC92" i="14"/>
  <c r="CK92" i="14"/>
  <c r="CL92" i="14"/>
  <c r="CN92" i="14"/>
  <c r="CT92" i="14"/>
  <c r="CU92" i="14"/>
  <c r="DC92" i="14"/>
  <c r="DD92" i="14"/>
  <c r="DL92" i="14"/>
  <c r="DM92" i="14"/>
  <c r="DU92" i="14"/>
  <c r="DV92" i="14"/>
  <c r="ED92" i="14"/>
  <c r="EE92" i="14"/>
  <c r="EM92" i="14"/>
  <c r="EN92" i="14"/>
  <c r="EV92" i="14"/>
  <c r="EW92" i="14"/>
  <c r="FE92" i="14"/>
  <c r="FF92" i="14"/>
  <c r="A71" i="16"/>
  <c r="A73" i="16"/>
  <c r="A74" i="16"/>
  <c r="A67" i="16"/>
  <c r="T8" i="16"/>
  <c r="BD86" i="14" l="1"/>
  <c r="BM86" i="14" s="1"/>
  <c r="BV86" i="14" s="1"/>
  <c r="S92" i="14"/>
  <c r="U92" i="14" s="1"/>
  <c r="BC92" i="14"/>
  <c r="DN92" i="14"/>
  <c r="EO92" i="14"/>
  <c r="AU92" i="14"/>
  <c r="BD92" i="14" s="1"/>
  <c r="EX92" i="14"/>
  <c r="AT92" i="14"/>
  <c r="AK92" i="14"/>
  <c r="AM92" i="14" s="1"/>
  <c r="J92" i="14"/>
  <c r="CV92" i="14"/>
  <c r="CX92" i="14" s="1"/>
  <c r="BL92" i="14"/>
  <c r="CM92" i="14"/>
  <c r="EF92" i="14"/>
  <c r="DE92" i="14"/>
  <c r="BU92" i="14"/>
  <c r="FH89" i="14"/>
  <c r="FG92" i="14"/>
  <c r="DW92" i="14"/>
  <c r="DX92" i="14" s="1"/>
  <c r="EG92" i="14" s="1"/>
  <c r="CD92" i="14"/>
  <c r="AB92" i="14"/>
  <c r="U75" i="16"/>
  <c r="V75" i="16" s="1"/>
  <c r="W75" i="16" s="1"/>
  <c r="DO92" i="14" l="1"/>
  <c r="DP92" i="14" s="1"/>
  <c r="BE92" i="14"/>
  <c r="BM92" i="14"/>
  <c r="DG92" i="14"/>
  <c r="DY92" i="14"/>
  <c r="AV92" i="14"/>
  <c r="CO92" i="14"/>
  <c r="L92" i="14"/>
  <c r="BM89" i="14"/>
  <c r="CF92" i="14"/>
  <c r="AD92" i="14"/>
  <c r="EH92" i="14"/>
  <c r="EP92" i="14"/>
  <c r="BN92" i="14"/>
  <c r="BV92" i="14"/>
  <c r="BV89" i="14" l="1"/>
  <c r="EY92" i="14"/>
  <c r="EQ92" i="14"/>
  <c r="BW92" i="14"/>
  <c r="FH92" i="14" l="1"/>
  <c r="EZ92" i="14"/>
  <c r="FI92" i="14" l="1"/>
  <c r="S176" i="1" l="1"/>
  <c r="H181" i="1"/>
  <c r="O21" i="36"/>
  <c r="N137" i="1" s="1"/>
  <c r="N21" i="36"/>
  <c r="M137" i="1" s="1"/>
  <c r="M21" i="36"/>
  <c r="L137" i="1" s="1"/>
  <c r="L21" i="36"/>
  <c r="K137" i="1" s="1"/>
  <c r="K21" i="36"/>
  <c r="J137" i="1" s="1"/>
  <c r="J21" i="36"/>
  <c r="I137" i="1" s="1"/>
  <c r="I21" i="36"/>
  <c r="H137" i="1" s="1"/>
  <c r="H21" i="36"/>
  <c r="G137" i="1" s="1"/>
  <c r="G21" i="36"/>
  <c r="F137" i="1" s="1"/>
  <c r="F21" i="36"/>
  <c r="E137" i="1" s="1"/>
  <c r="E21" i="36"/>
  <c r="D137" i="1" s="1"/>
  <c r="D21" i="36"/>
  <c r="C137" i="1" s="1"/>
  <c r="C8" i="36"/>
  <c r="C5" i="36"/>
  <c r="C3" i="36" s="1"/>
  <c r="C4" i="36"/>
  <c r="R176" i="1" l="1"/>
  <c r="O178" i="1"/>
  <c r="R178" i="1" s="1"/>
  <c r="E36" i="3"/>
  <c r="E60" i="1"/>
  <c r="F60" i="1" s="1"/>
  <c r="G60" i="1" s="1"/>
  <c r="H60" i="1" s="1"/>
  <c r="I60" i="1" s="1"/>
  <c r="J60" i="1" s="1"/>
  <c r="K60" i="1" s="1"/>
  <c r="L60" i="1" s="1"/>
  <c r="M60" i="1" s="1"/>
  <c r="N60" i="1" s="1"/>
  <c r="D76" i="1" l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D75" i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G24" i="2" l="1"/>
  <c r="H24" i="2" s="1"/>
  <c r="I24" i="2" s="1"/>
  <c r="J24" i="2" s="1"/>
  <c r="G17" i="2"/>
  <c r="O141" i="1" l="1"/>
  <c r="R141" i="1" s="1"/>
  <c r="O143" i="1"/>
  <c r="R143" i="1" s="1"/>
  <c r="O144" i="1"/>
  <c r="R144" i="1" s="1"/>
  <c r="O147" i="1"/>
  <c r="O99" i="1"/>
  <c r="S99" i="1" s="1"/>
  <c r="O96" i="1"/>
  <c r="S102" i="1"/>
  <c r="E18" i="29"/>
  <c r="E45" i="33"/>
  <c r="F45" i="33"/>
  <c r="D17" i="1"/>
  <c r="E17" i="1"/>
  <c r="F17" i="1"/>
  <c r="G17" i="1"/>
  <c r="H17" i="1"/>
  <c r="I17" i="1"/>
  <c r="J17" i="1"/>
  <c r="K17" i="1"/>
  <c r="L17" i="1"/>
  <c r="M17" i="1"/>
  <c r="N17" i="1"/>
  <c r="C17" i="1"/>
  <c r="E45" i="34"/>
  <c r="P45" i="34"/>
  <c r="O45" i="34"/>
  <c r="N45" i="34"/>
  <c r="M45" i="34"/>
  <c r="L45" i="34"/>
  <c r="K45" i="34"/>
  <c r="J45" i="34"/>
  <c r="I45" i="34"/>
  <c r="H45" i="34"/>
  <c r="G45" i="34"/>
  <c r="F45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C38" i="34"/>
  <c r="Q31" i="34"/>
  <c r="D31" i="34"/>
  <c r="Q30" i="34"/>
  <c r="D30" i="34"/>
  <c r="Q29" i="34"/>
  <c r="D29" i="34"/>
  <c r="Q28" i="34"/>
  <c r="D28" i="34"/>
  <c r="Q27" i="34"/>
  <c r="D27" i="34"/>
  <c r="Q26" i="34"/>
  <c r="D26" i="34"/>
  <c r="Q25" i="34"/>
  <c r="D25" i="34"/>
  <c r="Q24" i="34"/>
  <c r="D24" i="34"/>
  <c r="Q23" i="34"/>
  <c r="D23" i="34"/>
  <c r="Q22" i="34"/>
  <c r="D22" i="34"/>
  <c r="Q21" i="34"/>
  <c r="D21" i="34"/>
  <c r="Q20" i="34"/>
  <c r="D20" i="34"/>
  <c r="Q19" i="34"/>
  <c r="D19" i="34"/>
  <c r="Q18" i="34"/>
  <c r="D18" i="34"/>
  <c r="Q17" i="34"/>
  <c r="D17" i="34"/>
  <c r="Q16" i="34"/>
  <c r="D16" i="34"/>
  <c r="Q15" i="34"/>
  <c r="D15" i="34"/>
  <c r="Q14" i="34"/>
  <c r="D14" i="34"/>
  <c r="A6" i="34"/>
  <c r="A5" i="34"/>
  <c r="A4" i="34"/>
  <c r="A3" i="34"/>
  <c r="A2" i="34"/>
  <c r="S1" i="34"/>
  <c r="P1" i="34"/>
  <c r="H45" i="33"/>
  <c r="P45" i="33"/>
  <c r="O45" i="33"/>
  <c r="N45" i="33"/>
  <c r="M45" i="33"/>
  <c r="L45" i="33"/>
  <c r="K45" i="33"/>
  <c r="J45" i="33"/>
  <c r="I45" i="33"/>
  <c r="G45" i="33"/>
  <c r="E38" i="33"/>
  <c r="C14" i="1" s="1"/>
  <c r="C38" i="33"/>
  <c r="D30" i="33"/>
  <c r="D27" i="33"/>
  <c r="D26" i="33"/>
  <c r="Q26" i="33"/>
  <c r="D22" i="33"/>
  <c r="D21" i="33"/>
  <c r="D20" i="33"/>
  <c r="D19" i="33"/>
  <c r="Q18" i="33"/>
  <c r="D18" i="33"/>
  <c r="D17" i="33"/>
  <c r="D15" i="33"/>
  <c r="Q14" i="33"/>
  <c r="D14" i="33"/>
  <c r="A6" i="33"/>
  <c r="A5" i="33"/>
  <c r="A4" i="33"/>
  <c r="A3" i="33"/>
  <c r="A2" i="33"/>
  <c r="S1" i="33"/>
  <c r="P1" i="33"/>
  <c r="S141" i="1" l="1"/>
  <c r="R96" i="1"/>
  <c r="F86" i="14"/>
  <c r="BC86" i="14" s="1"/>
  <c r="BE86" i="14" s="1"/>
  <c r="B69" i="16"/>
  <c r="U69" i="16" s="1"/>
  <c r="V69" i="16" s="1"/>
  <c r="W69" i="16" s="1"/>
  <c r="R99" i="1"/>
  <c r="F89" i="14"/>
  <c r="BC89" i="14" s="1"/>
  <c r="BE89" i="14" s="1"/>
  <c r="B72" i="16"/>
  <c r="U72" i="16" s="1"/>
  <c r="V72" i="16" s="1"/>
  <c r="W72" i="16" s="1"/>
  <c r="S96" i="1"/>
  <c r="S143" i="1"/>
  <c r="S144" i="1"/>
  <c r="O17" i="1"/>
  <c r="S17" i="1" s="1"/>
  <c r="Q38" i="34"/>
  <c r="Q45" i="34"/>
  <c r="Q45" i="33"/>
  <c r="D16" i="33"/>
  <c r="D31" i="33"/>
  <c r="D23" i="33"/>
  <c r="Q23" i="33"/>
  <c r="D24" i="33"/>
  <c r="D29" i="33"/>
  <c r="Q19" i="33"/>
  <c r="Q22" i="33"/>
  <c r="Q30" i="33"/>
  <c r="F38" i="33"/>
  <c r="D14" i="1" s="1"/>
  <c r="D25" i="33"/>
  <c r="D28" i="33"/>
  <c r="Q16" i="33"/>
  <c r="Q27" i="33"/>
  <c r="Q21" i="33"/>
  <c r="G38" i="33"/>
  <c r="E14" i="1" s="1"/>
  <c r="L24" i="2"/>
  <c r="M24" i="2" s="1"/>
  <c r="N24" i="2" s="1"/>
  <c r="O24" i="2" s="1"/>
  <c r="P24" i="2" s="1"/>
  <c r="Q24" i="2" s="1"/>
  <c r="X1" i="16"/>
  <c r="V1" i="16"/>
  <c r="A3" i="16"/>
  <c r="A4" i="16"/>
  <c r="A5" i="16"/>
  <c r="A6" i="16"/>
  <c r="A2" i="16"/>
  <c r="R1" i="29"/>
  <c r="P1" i="29"/>
  <c r="R1" i="28"/>
  <c r="P1" i="28"/>
  <c r="V1" i="17"/>
  <c r="T1" i="17"/>
  <c r="C3" i="17"/>
  <c r="C4" i="17"/>
  <c r="C5" i="17"/>
  <c r="C6" i="17"/>
  <c r="C2" i="17"/>
  <c r="Q1" i="9"/>
  <c r="O1" i="9"/>
  <c r="R1" i="31"/>
  <c r="P1" i="31"/>
  <c r="R1" i="7"/>
  <c r="P1" i="7"/>
  <c r="S1" i="6"/>
  <c r="Q1" i="6"/>
  <c r="R1" i="10"/>
  <c r="P1" i="10"/>
  <c r="R1" i="8"/>
  <c r="P1" i="8"/>
  <c r="R1" i="3"/>
  <c r="P1" i="3"/>
  <c r="T1" i="2"/>
  <c r="Q1" i="2"/>
  <c r="L32" i="17"/>
  <c r="P32" i="17"/>
  <c r="S104" i="1" l="1"/>
  <c r="B77" i="16"/>
  <c r="U77" i="16" s="1"/>
  <c r="V77" i="16" s="1"/>
  <c r="W77" i="16" s="1"/>
  <c r="AT86" i="14"/>
  <c r="AB86" i="14"/>
  <c r="BU86" i="14"/>
  <c r="DN86" i="14"/>
  <c r="S86" i="14"/>
  <c r="EO86" i="14"/>
  <c r="BL86" i="14"/>
  <c r="EF86" i="14"/>
  <c r="CV86" i="14"/>
  <c r="FG86" i="14"/>
  <c r="CD86" i="14"/>
  <c r="AK86" i="14"/>
  <c r="EX86" i="14"/>
  <c r="DW86" i="14"/>
  <c r="DE86" i="14"/>
  <c r="J86" i="14"/>
  <c r="CM86" i="14"/>
  <c r="BL89" i="14"/>
  <c r="BU89" i="14"/>
  <c r="DW89" i="14"/>
  <c r="AB89" i="14"/>
  <c r="DN89" i="14"/>
  <c r="AK89" i="14"/>
  <c r="J89" i="14"/>
  <c r="CV89" i="14"/>
  <c r="FG89" i="14"/>
  <c r="CM89" i="14"/>
  <c r="EX89" i="14"/>
  <c r="AT89" i="14"/>
  <c r="EF89" i="14"/>
  <c r="S89" i="14"/>
  <c r="EO89" i="14"/>
  <c r="CD89" i="14"/>
  <c r="DE89" i="14"/>
  <c r="Q1" i="34"/>
  <c r="O177" i="1"/>
  <c r="R177" i="1" s="1"/>
  <c r="R1" i="2"/>
  <c r="Q1" i="33"/>
  <c r="J38" i="33"/>
  <c r="H14" i="1" s="1"/>
  <c r="Q28" i="33"/>
  <c r="Q24" i="33"/>
  <c r="Q25" i="33"/>
  <c r="H38" i="33"/>
  <c r="F14" i="1" s="1"/>
  <c r="I38" i="33"/>
  <c r="G14" i="1" s="1"/>
  <c r="Q29" i="33"/>
  <c r="Q20" i="33"/>
  <c r="Q31" i="33"/>
  <c r="Q17" i="33"/>
  <c r="P38" i="33"/>
  <c r="N14" i="1" s="1"/>
  <c r="W1" i="16"/>
  <c r="Q1" i="29"/>
  <c r="Q1" i="28"/>
  <c r="U1" i="17"/>
  <c r="P1" i="9"/>
  <c r="Q1" i="31"/>
  <c r="Q1" i="7"/>
  <c r="R1" i="6"/>
  <c r="Q1" i="10"/>
  <c r="Q1" i="8"/>
  <c r="Q1" i="3"/>
  <c r="A4" i="23"/>
  <c r="B4" i="23"/>
  <c r="A5" i="23"/>
  <c r="B5" i="23"/>
  <c r="D10" i="17"/>
  <c r="E10" i="17"/>
  <c r="Q90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G27" i="2"/>
  <c r="H27" i="2" s="1"/>
  <c r="I27" i="2" s="1"/>
  <c r="J27" i="2" s="1"/>
  <c r="K27" i="2" s="1"/>
  <c r="M27" i="2" s="1"/>
  <c r="N27" i="2" s="1"/>
  <c r="O27" i="2" s="1"/>
  <c r="P27" i="2" s="1"/>
  <c r="Q27" i="2" s="1"/>
  <c r="G23" i="2"/>
  <c r="G15" i="2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Q165" i="1"/>
  <c r="Q157" i="1"/>
  <c r="Q148" i="1"/>
  <c r="Q122" i="1"/>
  <c r="Q117" i="1"/>
  <c r="Q106" i="1"/>
  <c r="Q89" i="1"/>
  <c r="Q30" i="1"/>
  <c r="P30" i="1"/>
  <c r="G28" i="2"/>
  <c r="H28" i="2" s="1"/>
  <c r="I28" i="2" s="1"/>
  <c r="J28" i="2" s="1"/>
  <c r="K28" i="2" s="1"/>
  <c r="M28" i="2" s="1"/>
  <c r="N28" i="2" s="1"/>
  <c r="O28" i="2" s="1"/>
  <c r="G20" i="2"/>
  <c r="I20" i="2" s="1"/>
  <c r="J20" i="2" s="1"/>
  <c r="K20" i="2" s="1"/>
  <c r="L20" i="2" s="1"/>
  <c r="M20" i="2" s="1"/>
  <c r="N20" i="2" s="1"/>
  <c r="O20" i="2" s="1"/>
  <c r="P20" i="2" s="1"/>
  <c r="Q20" i="2" s="1"/>
  <c r="H17" i="2"/>
  <c r="I17" i="2" s="1"/>
  <c r="J17" i="2" s="1"/>
  <c r="G29" i="2"/>
  <c r="H29" i="2" s="1"/>
  <c r="J29" i="2" s="1"/>
  <c r="K29" i="2" s="1"/>
  <c r="L29" i="2" s="1"/>
  <c r="M29" i="2" s="1"/>
  <c r="N29" i="2" s="1"/>
  <c r="O29" i="2" s="1"/>
  <c r="P29" i="2" s="1"/>
  <c r="Q29" i="2" s="1"/>
  <c r="G25" i="2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G22" i="2"/>
  <c r="H22" i="2" s="1"/>
  <c r="I22" i="2" s="1"/>
  <c r="J22" i="2" s="1"/>
  <c r="K22" i="2" s="1"/>
  <c r="G21" i="2"/>
  <c r="H21" i="2" s="1"/>
  <c r="I21" i="2" s="1"/>
  <c r="J21" i="2" s="1"/>
  <c r="O19" i="2"/>
  <c r="P19" i="2" s="1"/>
  <c r="Q19" i="2" s="1"/>
  <c r="G19" i="2"/>
  <c r="H19" i="2" s="1"/>
  <c r="I19" i="2" s="1"/>
  <c r="J19" i="2" s="1"/>
  <c r="K19" i="2" s="1"/>
  <c r="L19" i="2" s="1"/>
  <c r="M19" i="2" s="1"/>
  <c r="N19" i="2" s="1"/>
  <c r="G16" i="2"/>
  <c r="H16" i="2" s="1"/>
  <c r="J16" i="2" s="1"/>
  <c r="K16" i="2" s="1"/>
  <c r="L16" i="2" s="1"/>
  <c r="M16" i="2" s="1"/>
  <c r="N16" i="2" s="1"/>
  <c r="O16" i="2" s="1"/>
  <c r="P16" i="2" s="1"/>
  <c r="Q16" i="2" s="1"/>
  <c r="M21" i="2" l="1"/>
  <c r="N21" i="2" s="1"/>
  <c r="O21" i="2" s="1"/>
  <c r="P21" i="2" s="1"/>
  <c r="Q21" i="2" s="1"/>
  <c r="K21" i="2"/>
  <c r="S177" i="1"/>
  <c r="DO89" i="14"/>
  <c r="DP89" i="14" s="1"/>
  <c r="BN86" i="14"/>
  <c r="CX89" i="14"/>
  <c r="EQ86" i="14"/>
  <c r="U89" i="14"/>
  <c r="CO89" i="14"/>
  <c r="L89" i="14"/>
  <c r="L86" i="14"/>
  <c r="CX86" i="14"/>
  <c r="U86" i="14"/>
  <c r="AV86" i="14"/>
  <c r="AV89" i="14"/>
  <c r="CF86" i="14"/>
  <c r="EQ89" i="14"/>
  <c r="EZ89" i="14"/>
  <c r="AD89" i="14"/>
  <c r="CO86" i="14"/>
  <c r="EZ86" i="14"/>
  <c r="FI86" i="14"/>
  <c r="AD86" i="14"/>
  <c r="DG89" i="14"/>
  <c r="AM89" i="14"/>
  <c r="BW89" i="14"/>
  <c r="DG86" i="14"/>
  <c r="AM86" i="14"/>
  <c r="EG86" i="14"/>
  <c r="DO86" i="14"/>
  <c r="CF89" i="14"/>
  <c r="FI89" i="14"/>
  <c r="BN89" i="14"/>
  <c r="DX86" i="14"/>
  <c r="BW86" i="14"/>
  <c r="L22" i="2"/>
  <c r="M22" i="2" s="1"/>
  <c r="O22" i="2" s="1"/>
  <c r="P22" i="2" s="1"/>
  <c r="Q22" i="2" s="1"/>
  <c r="Q124" i="1"/>
  <c r="Q129" i="1" s="1"/>
  <c r="Q151" i="1" s="1"/>
  <c r="Q159" i="1" s="1"/>
  <c r="Q167" i="1" s="1"/>
  <c r="Q183" i="1" s="1"/>
  <c r="K38" i="33"/>
  <c r="I14" i="1" s="1"/>
  <c r="EH86" i="14" l="1"/>
  <c r="DY86" i="14"/>
  <c r="DP86" i="14"/>
  <c r="DX89" i="14"/>
  <c r="L38" i="33"/>
  <c r="J14" i="1" s="1"/>
  <c r="EG89" i="14" l="1"/>
  <c r="DY89" i="14"/>
  <c r="M38" i="33"/>
  <c r="K14" i="1" s="1"/>
  <c r="EH89" i="14" l="1"/>
  <c r="N38" i="33"/>
  <c r="L14" i="1" s="1"/>
  <c r="F15" i="29"/>
  <c r="G15" i="29"/>
  <c r="H15" i="29"/>
  <c r="I15" i="29"/>
  <c r="J15" i="29"/>
  <c r="K15" i="29"/>
  <c r="L15" i="29"/>
  <c r="M15" i="29"/>
  <c r="N15" i="29"/>
  <c r="O15" i="29"/>
  <c r="F17" i="29"/>
  <c r="G17" i="29"/>
  <c r="H17" i="29"/>
  <c r="I17" i="29"/>
  <c r="J17" i="29"/>
  <c r="K17" i="29"/>
  <c r="L17" i="29"/>
  <c r="M17" i="29"/>
  <c r="N17" i="29"/>
  <c r="O17" i="29"/>
  <c r="P17" i="29"/>
  <c r="F24" i="29"/>
  <c r="G24" i="29"/>
  <c r="H24" i="29"/>
  <c r="I24" i="29"/>
  <c r="J24" i="29"/>
  <c r="K24" i="29"/>
  <c r="L24" i="29"/>
  <c r="M24" i="29"/>
  <c r="N24" i="29"/>
  <c r="O24" i="29"/>
  <c r="P24" i="29"/>
  <c r="E24" i="29"/>
  <c r="E15" i="29"/>
  <c r="E17" i="29"/>
  <c r="P122" i="1"/>
  <c r="O38" i="33" l="1"/>
  <c r="M14" i="1" s="1"/>
  <c r="O14" i="1" s="1"/>
  <c r="S14" i="1" s="1"/>
  <c r="Q15" i="33"/>
  <c r="Q38" i="33" s="1"/>
  <c r="O174" i="1"/>
  <c r="O170" i="1"/>
  <c r="S170" i="1" s="1"/>
  <c r="O172" i="1"/>
  <c r="O173" i="1"/>
  <c r="O175" i="1"/>
  <c r="R175" i="1" l="1"/>
  <c r="S175" i="1"/>
  <c r="R172" i="1"/>
  <c r="S172" i="1"/>
  <c r="R174" i="1"/>
  <c r="S174" i="1"/>
  <c r="R173" i="1"/>
  <c r="S173" i="1"/>
  <c r="R170" i="1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D32" i="31" l="1"/>
  <c r="C127" i="1" l="1"/>
  <c r="D117" i="1" l="1"/>
  <c r="P106" i="1"/>
  <c r="P117" i="1"/>
  <c r="R102" i="1"/>
  <c r="P157" i="1"/>
  <c r="G30" i="2"/>
  <c r="E26" i="2"/>
  <c r="G26" i="2"/>
  <c r="H26" i="2" s="1"/>
  <c r="I26" i="2" s="1"/>
  <c r="O162" i="1"/>
  <c r="R156" i="1"/>
  <c r="Q20" i="3"/>
  <c r="Q26" i="3"/>
  <c r="R16" i="2"/>
  <c r="R22" i="2"/>
  <c r="R24" i="2"/>
  <c r="R27" i="2"/>
  <c r="R28" i="2"/>
  <c r="F33" i="2"/>
  <c r="E165" i="1"/>
  <c r="F165" i="1"/>
  <c r="H165" i="1"/>
  <c r="K165" i="1"/>
  <c r="L165" i="1"/>
  <c r="M165" i="1"/>
  <c r="N165" i="1"/>
  <c r="C106" i="1"/>
  <c r="G127" i="1"/>
  <c r="A47" i="14"/>
  <c r="B47" i="14"/>
  <c r="H47" i="14"/>
  <c r="I47" i="14"/>
  <c r="Q47" i="14"/>
  <c r="R47" i="14"/>
  <c r="T47" i="14"/>
  <c r="Z47" i="14"/>
  <c r="AA47" i="14"/>
  <c r="AI47" i="14"/>
  <c r="AJ47" i="14"/>
  <c r="AL47" i="14"/>
  <c r="AU47" i="14" s="1"/>
  <c r="AR47" i="14"/>
  <c r="AS47" i="14"/>
  <c r="BK47" i="14"/>
  <c r="BS47" i="14"/>
  <c r="BT47" i="14"/>
  <c r="CB47" i="14"/>
  <c r="CC47" i="14"/>
  <c r="CK47" i="14"/>
  <c r="CL47" i="14"/>
  <c r="CN47" i="14"/>
  <c r="CT47" i="14"/>
  <c r="CU47" i="14"/>
  <c r="DC47" i="14"/>
  <c r="DD47" i="14"/>
  <c r="DL47" i="14"/>
  <c r="DM47" i="14"/>
  <c r="DU47" i="14"/>
  <c r="DV47" i="14"/>
  <c r="ED47" i="14"/>
  <c r="EE47" i="14"/>
  <c r="EG47" i="14"/>
  <c r="FH47" i="14"/>
  <c r="EM47" i="14"/>
  <c r="EN47" i="14"/>
  <c r="EV47" i="14"/>
  <c r="EW47" i="14"/>
  <c r="FE47" i="14"/>
  <c r="FF47" i="14"/>
  <c r="H87" i="14"/>
  <c r="I87" i="14"/>
  <c r="Q87" i="14"/>
  <c r="R87" i="14"/>
  <c r="T87" i="14"/>
  <c r="Z87" i="14"/>
  <c r="AA87" i="14"/>
  <c r="AI87" i="14"/>
  <c r="AJ87" i="14"/>
  <c r="AL87" i="14"/>
  <c r="AR87" i="14"/>
  <c r="AS87" i="14"/>
  <c r="BK87" i="14"/>
  <c r="BS87" i="14"/>
  <c r="BT87" i="14"/>
  <c r="CB87" i="14"/>
  <c r="CC87" i="14"/>
  <c r="CK87" i="14"/>
  <c r="CL87" i="14"/>
  <c r="CN87" i="14"/>
  <c r="CT87" i="14"/>
  <c r="CU87" i="14"/>
  <c r="DC87" i="14"/>
  <c r="DD87" i="14"/>
  <c r="G165" i="1"/>
  <c r="J165" i="1"/>
  <c r="C30" i="31"/>
  <c r="B30" i="31"/>
  <c r="A30" i="31"/>
  <c r="C29" i="31"/>
  <c r="B29" i="31"/>
  <c r="A29" i="31"/>
  <c r="C28" i="31"/>
  <c r="B28" i="31"/>
  <c r="A28" i="31"/>
  <c r="C27" i="31"/>
  <c r="B27" i="31"/>
  <c r="A27" i="31"/>
  <c r="C26" i="31"/>
  <c r="B26" i="31"/>
  <c r="A26" i="31"/>
  <c r="C25" i="31"/>
  <c r="B25" i="31"/>
  <c r="A25" i="31"/>
  <c r="C24" i="31"/>
  <c r="B24" i="31"/>
  <c r="A24" i="31"/>
  <c r="C23" i="31"/>
  <c r="B23" i="31"/>
  <c r="A23" i="31"/>
  <c r="C22" i="31"/>
  <c r="B22" i="31"/>
  <c r="A22" i="31"/>
  <c r="C21" i="31"/>
  <c r="B21" i="31"/>
  <c r="A21" i="31"/>
  <c r="C20" i="31"/>
  <c r="B20" i="31"/>
  <c r="A20" i="31"/>
  <c r="C19" i="31"/>
  <c r="B19" i="31"/>
  <c r="A19" i="31"/>
  <c r="C18" i="31"/>
  <c r="B18" i="31"/>
  <c r="A18" i="31"/>
  <c r="C17" i="31"/>
  <c r="B17" i="31"/>
  <c r="A17" i="31"/>
  <c r="C16" i="31"/>
  <c r="B16" i="31"/>
  <c r="A16" i="31"/>
  <c r="C15" i="31"/>
  <c r="B15" i="31"/>
  <c r="A15" i="31"/>
  <c r="C14" i="31"/>
  <c r="B14" i="31"/>
  <c r="A14" i="31"/>
  <c r="A6" i="31"/>
  <c r="A5" i="31"/>
  <c r="A4" i="31"/>
  <c r="A3" i="31"/>
  <c r="A2" i="31"/>
  <c r="I165" i="1"/>
  <c r="Q24" i="29"/>
  <c r="FH79" i="14"/>
  <c r="FF77" i="14"/>
  <c r="FE77" i="14"/>
  <c r="FF76" i="14"/>
  <c r="FE76" i="14"/>
  <c r="FF75" i="14"/>
  <c r="FE75" i="14"/>
  <c r="FF74" i="14"/>
  <c r="FE74" i="14"/>
  <c r="EW77" i="14"/>
  <c r="EV77" i="14"/>
  <c r="EW76" i="14"/>
  <c r="EV76" i="14"/>
  <c r="EW75" i="14"/>
  <c r="EV75" i="14"/>
  <c r="EW74" i="14"/>
  <c r="EV74" i="14"/>
  <c r="EP79" i="14"/>
  <c r="EN77" i="14"/>
  <c r="EM77" i="14"/>
  <c r="EN76" i="14"/>
  <c r="EM76" i="14"/>
  <c r="EN75" i="14"/>
  <c r="EM75" i="14"/>
  <c r="EN74" i="14"/>
  <c r="EM74" i="14"/>
  <c r="EG79" i="14"/>
  <c r="EE77" i="14"/>
  <c r="ED77" i="14"/>
  <c r="EE76" i="14"/>
  <c r="ED76" i="14"/>
  <c r="EE75" i="14"/>
  <c r="ED75" i="14"/>
  <c r="EE74" i="14"/>
  <c r="ED74" i="14"/>
  <c r="DV77" i="14"/>
  <c r="DU77" i="14"/>
  <c r="DV76" i="14"/>
  <c r="DU76" i="14"/>
  <c r="DV75" i="14"/>
  <c r="DU75" i="14"/>
  <c r="DV74" i="14"/>
  <c r="DU74" i="14"/>
  <c r="DO79" i="14"/>
  <c r="DM77" i="14"/>
  <c r="DL77" i="14"/>
  <c r="DM76" i="14"/>
  <c r="DL76" i="14"/>
  <c r="DM75" i="14"/>
  <c r="DL75" i="14"/>
  <c r="DM74" i="14"/>
  <c r="DL74" i="14"/>
  <c r="DF79" i="14"/>
  <c r="DD77" i="14"/>
  <c r="DC77" i="14"/>
  <c r="DD76" i="14"/>
  <c r="DC76" i="14"/>
  <c r="DD75" i="14"/>
  <c r="DC75" i="14"/>
  <c r="DD74" i="14"/>
  <c r="DC74" i="14"/>
  <c r="CU77" i="14"/>
  <c r="CT77" i="14"/>
  <c r="CU76" i="14"/>
  <c r="CT76" i="14"/>
  <c r="CU75" i="14"/>
  <c r="CT75" i="14"/>
  <c r="CU74" i="14"/>
  <c r="CT74" i="14"/>
  <c r="CN79" i="14"/>
  <c r="CL77" i="14"/>
  <c r="CK77" i="14"/>
  <c r="CL76" i="14"/>
  <c r="CK76" i="14"/>
  <c r="CL75" i="14"/>
  <c r="CK75" i="14"/>
  <c r="CL74" i="14"/>
  <c r="CK74" i="14"/>
  <c r="CE79" i="14"/>
  <c r="CC77" i="14"/>
  <c r="CB77" i="14"/>
  <c r="CC76" i="14"/>
  <c r="CB76" i="14"/>
  <c r="CC75" i="14"/>
  <c r="CB75" i="14"/>
  <c r="CC74" i="14"/>
  <c r="CB74" i="14"/>
  <c r="BT77" i="14"/>
  <c r="BS77" i="14"/>
  <c r="BT76" i="14"/>
  <c r="BS76" i="14"/>
  <c r="BT75" i="14"/>
  <c r="BS75" i="14"/>
  <c r="BT74" i="14"/>
  <c r="BS74" i="14"/>
  <c r="BM79" i="14"/>
  <c r="BK77" i="14"/>
  <c r="BK76" i="14"/>
  <c r="BK75" i="14"/>
  <c r="BK74" i="14"/>
  <c r="AS77" i="14"/>
  <c r="AR77" i="14"/>
  <c r="AS76" i="14"/>
  <c r="AR76" i="14"/>
  <c r="AS75" i="14"/>
  <c r="AR75" i="14"/>
  <c r="AS74" i="14"/>
  <c r="AR74" i="14"/>
  <c r="AL79" i="14"/>
  <c r="AJ77" i="14"/>
  <c r="AI77" i="14"/>
  <c r="AJ76" i="14"/>
  <c r="AI76" i="14"/>
  <c r="AJ75" i="14"/>
  <c r="AI75" i="14"/>
  <c r="AJ74" i="14"/>
  <c r="AI74" i="14"/>
  <c r="AC79" i="14"/>
  <c r="AA77" i="14"/>
  <c r="Z77" i="14"/>
  <c r="AA76" i="14"/>
  <c r="Z76" i="14"/>
  <c r="AA75" i="14"/>
  <c r="Z75" i="14"/>
  <c r="AA74" i="14"/>
  <c r="Z74" i="14"/>
  <c r="T79" i="14"/>
  <c r="R77" i="14"/>
  <c r="Q77" i="14"/>
  <c r="R76" i="14"/>
  <c r="Q76" i="14"/>
  <c r="R75" i="14"/>
  <c r="Q75" i="14"/>
  <c r="R74" i="14"/>
  <c r="Q74" i="14"/>
  <c r="K79" i="14"/>
  <c r="H75" i="14"/>
  <c r="I75" i="14"/>
  <c r="H76" i="14"/>
  <c r="I76" i="14"/>
  <c r="H77" i="14"/>
  <c r="I77" i="14"/>
  <c r="I74" i="14"/>
  <c r="H74" i="14"/>
  <c r="O86" i="1"/>
  <c r="A74" i="14"/>
  <c r="B74" i="14"/>
  <c r="A75" i="14"/>
  <c r="B75" i="14"/>
  <c r="A76" i="14"/>
  <c r="B76" i="14"/>
  <c r="A77" i="14"/>
  <c r="B77" i="14"/>
  <c r="B79" i="14"/>
  <c r="B73" i="14"/>
  <c r="C30" i="29"/>
  <c r="B30" i="29"/>
  <c r="A30" i="29"/>
  <c r="C29" i="29"/>
  <c r="B29" i="29"/>
  <c r="A29" i="29"/>
  <c r="C28" i="29"/>
  <c r="B28" i="29"/>
  <c r="A28" i="29"/>
  <c r="C27" i="29"/>
  <c r="B27" i="29"/>
  <c r="A27" i="29"/>
  <c r="C26" i="29"/>
  <c r="B26" i="29"/>
  <c r="A26" i="29"/>
  <c r="C25" i="29"/>
  <c r="B25" i="29"/>
  <c r="A25" i="29"/>
  <c r="C24" i="29"/>
  <c r="R24" i="29" s="1"/>
  <c r="B24" i="29"/>
  <c r="A24" i="29"/>
  <c r="C23" i="29"/>
  <c r="B23" i="29"/>
  <c r="A23" i="29"/>
  <c r="C22" i="29"/>
  <c r="B22" i="29"/>
  <c r="A22" i="29"/>
  <c r="C21" i="29"/>
  <c r="B21" i="29"/>
  <c r="A21" i="29"/>
  <c r="C20" i="29"/>
  <c r="B20" i="29"/>
  <c r="A20" i="29"/>
  <c r="C19" i="29"/>
  <c r="B19" i="29"/>
  <c r="A19" i="29"/>
  <c r="C18" i="29"/>
  <c r="B18" i="29"/>
  <c r="A18" i="29"/>
  <c r="C17" i="29"/>
  <c r="B17" i="29"/>
  <c r="A17" i="29"/>
  <c r="C16" i="29"/>
  <c r="B16" i="29"/>
  <c r="A16" i="29"/>
  <c r="C15" i="29"/>
  <c r="B15" i="29"/>
  <c r="A15" i="29"/>
  <c r="C14" i="29"/>
  <c r="B14" i="29"/>
  <c r="A14" i="29"/>
  <c r="A6" i="29"/>
  <c r="A5" i="29"/>
  <c r="A4" i="29"/>
  <c r="A3" i="29"/>
  <c r="A2" i="29"/>
  <c r="C30" i="28"/>
  <c r="B30" i="28"/>
  <c r="A30" i="28"/>
  <c r="B29" i="28"/>
  <c r="A29" i="28"/>
  <c r="B28" i="28"/>
  <c r="A28" i="28"/>
  <c r="B27" i="28"/>
  <c r="A27" i="28"/>
  <c r="B26" i="28"/>
  <c r="A26" i="28"/>
  <c r="C25" i="28"/>
  <c r="B25" i="28"/>
  <c r="A25" i="28"/>
  <c r="C24" i="28"/>
  <c r="B24" i="28"/>
  <c r="A24" i="28"/>
  <c r="B23" i="28"/>
  <c r="A23" i="28"/>
  <c r="C22" i="28"/>
  <c r="B22" i="28"/>
  <c r="A22" i="28"/>
  <c r="C21" i="28"/>
  <c r="B21" i="28"/>
  <c r="A21" i="28"/>
  <c r="B20" i="28"/>
  <c r="A20" i="28"/>
  <c r="C19" i="28"/>
  <c r="B19" i="28"/>
  <c r="A19" i="28"/>
  <c r="B18" i="28"/>
  <c r="A18" i="28"/>
  <c r="C17" i="28"/>
  <c r="B17" i="28"/>
  <c r="A17" i="28"/>
  <c r="C16" i="28"/>
  <c r="B16" i="28"/>
  <c r="A16" i="28"/>
  <c r="C15" i="28"/>
  <c r="B15" i="28"/>
  <c r="A15" i="28"/>
  <c r="C14" i="28"/>
  <c r="B14" i="28"/>
  <c r="A14" i="28"/>
  <c r="A6" i="28"/>
  <c r="A5" i="28"/>
  <c r="A4" i="28"/>
  <c r="A3" i="28"/>
  <c r="A2" i="28"/>
  <c r="S87" i="1"/>
  <c r="D89" i="1"/>
  <c r="E89" i="1"/>
  <c r="F89" i="1"/>
  <c r="G89" i="1"/>
  <c r="H89" i="1"/>
  <c r="I89" i="1"/>
  <c r="J89" i="1"/>
  <c r="K89" i="1"/>
  <c r="L89" i="1"/>
  <c r="M89" i="1"/>
  <c r="C89" i="1"/>
  <c r="N89" i="1"/>
  <c r="O84" i="1"/>
  <c r="E11" i="17"/>
  <c r="E12" i="17"/>
  <c r="E13" i="17"/>
  <c r="E14" i="17"/>
  <c r="E15" i="17"/>
  <c r="E17" i="17"/>
  <c r="E18" i="17"/>
  <c r="E19" i="17"/>
  <c r="E20" i="17"/>
  <c r="E21" i="17"/>
  <c r="E22" i="17"/>
  <c r="E23" i="17"/>
  <c r="E24" i="17"/>
  <c r="E25" i="17"/>
  <c r="E26" i="17"/>
  <c r="E27" i="17"/>
  <c r="CW71" i="14"/>
  <c r="CE71" i="14"/>
  <c r="AC71" i="14"/>
  <c r="K101" i="14"/>
  <c r="M101" i="14"/>
  <c r="K96" i="14"/>
  <c r="K71" i="14"/>
  <c r="C15" i="9"/>
  <c r="D15" i="9" s="1"/>
  <c r="FG8" i="14"/>
  <c r="FG7" i="14"/>
  <c r="FG6" i="14"/>
  <c r="EX8" i="14"/>
  <c r="EX7" i="14"/>
  <c r="EX6" i="14"/>
  <c r="FF99" i="14"/>
  <c r="FE99" i="14"/>
  <c r="FF94" i="14"/>
  <c r="FE94" i="14"/>
  <c r="FF93" i="14"/>
  <c r="FE93" i="14"/>
  <c r="FF91" i="14"/>
  <c r="FE91" i="14"/>
  <c r="FF90" i="14"/>
  <c r="FE90" i="14"/>
  <c r="FF88" i="14"/>
  <c r="FE88" i="14"/>
  <c r="FF87" i="14"/>
  <c r="FE87" i="14"/>
  <c r="FF85" i="14"/>
  <c r="FE85" i="14"/>
  <c r="FF84" i="14"/>
  <c r="FE84" i="14"/>
  <c r="FF83" i="14"/>
  <c r="FE83" i="14"/>
  <c r="FF82" i="14"/>
  <c r="FE82" i="14"/>
  <c r="FF69" i="14"/>
  <c r="FE69" i="14"/>
  <c r="FF68" i="14"/>
  <c r="FE68" i="14"/>
  <c r="FF67" i="14"/>
  <c r="FE67" i="14"/>
  <c r="FF66" i="14"/>
  <c r="FE66" i="14"/>
  <c r="FF65" i="14"/>
  <c r="FE65" i="14"/>
  <c r="FF64" i="14"/>
  <c r="FE64" i="14"/>
  <c r="FF63" i="14"/>
  <c r="FE63" i="14"/>
  <c r="FF62" i="14"/>
  <c r="FE62" i="14"/>
  <c r="FF61" i="14"/>
  <c r="FE61" i="14"/>
  <c r="FF60" i="14"/>
  <c r="FE60" i="14"/>
  <c r="FF59" i="14"/>
  <c r="FE59" i="14"/>
  <c r="FF58" i="14"/>
  <c r="FE58" i="14"/>
  <c r="FF57" i="14"/>
  <c r="FE57" i="14"/>
  <c r="FF56" i="14"/>
  <c r="FE56" i="14"/>
  <c r="FF55" i="14"/>
  <c r="FE55" i="14"/>
  <c r="FF54" i="14"/>
  <c r="FE54" i="14"/>
  <c r="FF53" i="14"/>
  <c r="FE53" i="14"/>
  <c r="FF52" i="14"/>
  <c r="FE52" i="14"/>
  <c r="FF51" i="14"/>
  <c r="FE51" i="14"/>
  <c r="FF50" i="14"/>
  <c r="FE50" i="14"/>
  <c r="FF49" i="14"/>
  <c r="FE49" i="14"/>
  <c r="FF48" i="14"/>
  <c r="FE48" i="14"/>
  <c r="FF46" i="14"/>
  <c r="FE46" i="14"/>
  <c r="FF45" i="14"/>
  <c r="FE45" i="14"/>
  <c r="FF44" i="14"/>
  <c r="FE44" i="14"/>
  <c r="FF43" i="14"/>
  <c r="FE43" i="14"/>
  <c r="FF42" i="14"/>
  <c r="FE42" i="14"/>
  <c r="FF41" i="14"/>
  <c r="FE41" i="14"/>
  <c r="FF40" i="14"/>
  <c r="FE40" i="14"/>
  <c r="FF39" i="14"/>
  <c r="FE39" i="14"/>
  <c r="FF38" i="14"/>
  <c r="FE38" i="14"/>
  <c r="FF37" i="14"/>
  <c r="FE37" i="14"/>
  <c r="FF36" i="14"/>
  <c r="FE36" i="14"/>
  <c r="FF35" i="14"/>
  <c r="FE35" i="14"/>
  <c r="FF34" i="14"/>
  <c r="FE34" i="14"/>
  <c r="FF33" i="14"/>
  <c r="FE33" i="14"/>
  <c r="FF32" i="14"/>
  <c r="FE32" i="14"/>
  <c r="FF31" i="14"/>
  <c r="FE31" i="14"/>
  <c r="FF30" i="14"/>
  <c r="FE30" i="14"/>
  <c r="FF29" i="14"/>
  <c r="FE29" i="14"/>
  <c r="FF28" i="14"/>
  <c r="FE28" i="14"/>
  <c r="FF27" i="14"/>
  <c r="FE27" i="14"/>
  <c r="FF26" i="14"/>
  <c r="FE26" i="14"/>
  <c r="FF25" i="14"/>
  <c r="FE25" i="14"/>
  <c r="FF20" i="14"/>
  <c r="FE20" i="14"/>
  <c r="FF19" i="14"/>
  <c r="FE19" i="14"/>
  <c r="FF18" i="14"/>
  <c r="FE18" i="14"/>
  <c r="FF17" i="14"/>
  <c r="FE17" i="14"/>
  <c r="FF16" i="14"/>
  <c r="FE16" i="14"/>
  <c r="FF15" i="14"/>
  <c r="FE15" i="14"/>
  <c r="FF14" i="14"/>
  <c r="FE14" i="14"/>
  <c r="EW99" i="14"/>
  <c r="EV99" i="14"/>
  <c r="EW94" i="14"/>
  <c r="EV94" i="14"/>
  <c r="EW93" i="14"/>
  <c r="EV93" i="14"/>
  <c r="EW91" i="14"/>
  <c r="EV91" i="14"/>
  <c r="EW90" i="14"/>
  <c r="EV90" i="14"/>
  <c r="EW88" i="14"/>
  <c r="EV88" i="14"/>
  <c r="EW87" i="14"/>
  <c r="EV87" i="14"/>
  <c r="EW85" i="14"/>
  <c r="EV85" i="14"/>
  <c r="EW84" i="14"/>
  <c r="EV84" i="14"/>
  <c r="EW83" i="14"/>
  <c r="EV83" i="14"/>
  <c r="EW82" i="14"/>
  <c r="EV82" i="14"/>
  <c r="EW69" i="14"/>
  <c r="EV69" i="14"/>
  <c r="EW68" i="14"/>
  <c r="EV68" i="14"/>
  <c r="EW67" i="14"/>
  <c r="EV67" i="14"/>
  <c r="EW66" i="14"/>
  <c r="EV66" i="14"/>
  <c r="EW65" i="14"/>
  <c r="EV65" i="14"/>
  <c r="EW64" i="14"/>
  <c r="EV64" i="14"/>
  <c r="EW63" i="14"/>
  <c r="EV63" i="14"/>
  <c r="EW62" i="14"/>
  <c r="EV62" i="14"/>
  <c r="EW61" i="14"/>
  <c r="EV61" i="14"/>
  <c r="EW60" i="14"/>
  <c r="EV60" i="14"/>
  <c r="EW59" i="14"/>
  <c r="EV59" i="14"/>
  <c r="EW58" i="14"/>
  <c r="EV58" i="14"/>
  <c r="EW57" i="14"/>
  <c r="EV57" i="14"/>
  <c r="EW56" i="14"/>
  <c r="EV56" i="14"/>
  <c r="EW55" i="14"/>
  <c r="EV55" i="14"/>
  <c r="EW54" i="14"/>
  <c r="EV54" i="14"/>
  <c r="EW53" i="14"/>
  <c r="EV53" i="14"/>
  <c r="EW52" i="14"/>
  <c r="EV52" i="14"/>
  <c r="EW51" i="14"/>
  <c r="EV51" i="14"/>
  <c r="EW50" i="14"/>
  <c r="EV50" i="14"/>
  <c r="EW49" i="14"/>
  <c r="EV49" i="14"/>
  <c r="EW48" i="14"/>
  <c r="EV48" i="14"/>
  <c r="EW46" i="14"/>
  <c r="EV46" i="14"/>
  <c r="EW45" i="14"/>
  <c r="EV45" i="14"/>
  <c r="EW44" i="14"/>
  <c r="EV44" i="14"/>
  <c r="EW43" i="14"/>
  <c r="EV43" i="14"/>
  <c r="EW42" i="14"/>
  <c r="EV42" i="14"/>
  <c r="EW41" i="14"/>
  <c r="EV41" i="14"/>
  <c r="EW40" i="14"/>
  <c r="EV40" i="14"/>
  <c r="EW39" i="14"/>
  <c r="EV39" i="14"/>
  <c r="EW38" i="14"/>
  <c r="EV38" i="14"/>
  <c r="EW37" i="14"/>
  <c r="EV37" i="14"/>
  <c r="EW36" i="14"/>
  <c r="EV36" i="14"/>
  <c r="EW35" i="14"/>
  <c r="EV35" i="14"/>
  <c r="EW34" i="14"/>
  <c r="EV34" i="14"/>
  <c r="EW33" i="14"/>
  <c r="EV33" i="14"/>
  <c r="EW32" i="14"/>
  <c r="EV32" i="14"/>
  <c r="EW31" i="14"/>
  <c r="EV31" i="14"/>
  <c r="EW30" i="14"/>
  <c r="EV30" i="14"/>
  <c r="EW29" i="14"/>
  <c r="EV29" i="14"/>
  <c r="EW28" i="14"/>
  <c r="EV28" i="14"/>
  <c r="EW27" i="14"/>
  <c r="EV27" i="14"/>
  <c r="EW26" i="14"/>
  <c r="EV26" i="14"/>
  <c r="EW25" i="14"/>
  <c r="EV25" i="14"/>
  <c r="EW20" i="14"/>
  <c r="EV20" i="14"/>
  <c r="EW19" i="14"/>
  <c r="EV19" i="14"/>
  <c r="EW18" i="14"/>
  <c r="EV18" i="14"/>
  <c r="EW17" i="14"/>
  <c r="EV17" i="14"/>
  <c r="EW16" i="14"/>
  <c r="EV16" i="14"/>
  <c r="EW15" i="14"/>
  <c r="EV15" i="14"/>
  <c r="EW14" i="14"/>
  <c r="EV14" i="14"/>
  <c r="S8" i="14"/>
  <c r="S7" i="14"/>
  <c r="S6" i="14"/>
  <c r="J8" i="14"/>
  <c r="J7" i="14"/>
  <c r="J6" i="14"/>
  <c r="A83" i="14"/>
  <c r="B83" i="14"/>
  <c r="H83" i="14"/>
  <c r="I83" i="14"/>
  <c r="T83" i="14"/>
  <c r="Q83" i="14"/>
  <c r="R83" i="14"/>
  <c r="Z83" i="14"/>
  <c r="AA83" i="14"/>
  <c r="AI83" i="14"/>
  <c r="AJ83" i="14"/>
  <c r="AR83" i="14"/>
  <c r="AS83" i="14"/>
  <c r="BK83" i="14"/>
  <c r="BS83" i="14"/>
  <c r="BT83" i="14"/>
  <c r="CB83" i="14"/>
  <c r="CC83" i="14"/>
  <c r="CK83" i="14"/>
  <c r="CL83" i="14"/>
  <c r="CT83" i="14"/>
  <c r="CU83" i="14"/>
  <c r="DC83" i="14"/>
  <c r="DD83" i="14"/>
  <c r="DL83" i="14"/>
  <c r="DM83" i="14"/>
  <c r="DU83" i="14"/>
  <c r="DV83" i="14"/>
  <c r="ED83" i="14"/>
  <c r="EE83" i="14"/>
  <c r="EM83" i="14"/>
  <c r="EN83" i="14"/>
  <c r="A84" i="14"/>
  <c r="B84" i="14"/>
  <c r="H84" i="14"/>
  <c r="I84" i="14"/>
  <c r="T84" i="14"/>
  <c r="Q84" i="14"/>
  <c r="R84" i="14"/>
  <c r="Z84" i="14"/>
  <c r="AA84" i="14"/>
  <c r="AI84" i="14"/>
  <c r="AJ84" i="14"/>
  <c r="AR84" i="14"/>
  <c r="AS84" i="14"/>
  <c r="BK84" i="14"/>
  <c r="BS84" i="14"/>
  <c r="BT84" i="14"/>
  <c r="CB84" i="14"/>
  <c r="CC84" i="14"/>
  <c r="CK84" i="14"/>
  <c r="CL84" i="14"/>
  <c r="CT84" i="14"/>
  <c r="CU84" i="14"/>
  <c r="DC84" i="14"/>
  <c r="DD84" i="14"/>
  <c r="DL84" i="14"/>
  <c r="DM84" i="14"/>
  <c r="DU84" i="14"/>
  <c r="DV84" i="14"/>
  <c r="ED84" i="14"/>
  <c r="EE84" i="14"/>
  <c r="EM84" i="14"/>
  <c r="EN84" i="14"/>
  <c r="A85" i="14"/>
  <c r="B85" i="14"/>
  <c r="H85" i="14"/>
  <c r="I85" i="14"/>
  <c r="T85" i="14"/>
  <c r="Q85" i="14"/>
  <c r="R85" i="14"/>
  <c r="Z85" i="14"/>
  <c r="AA85" i="14"/>
  <c r="AI85" i="14"/>
  <c r="AJ85" i="14"/>
  <c r="AR85" i="14"/>
  <c r="AS85" i="14"/>
  <c r="BK85" i="14"/>
  <c r="BS85" i="14"/>
  <c r="BT85" i="14"/>
  <c r="CB85" i="14"/>
  <c r="CC85" i="14"/>
  <c r="CK85" i="14"/>
  <c r="CL85" i="14"/>
  <c r="CT85" i="14"/>
  <c r="CU85" i="14"/>
  <c r="DC85" i="14"/>
  <c r="DD85" i="14"/>
  <c r="DL85" i="14"/>
  <c r="DM85" i="14"/>
  <c r="DU85" i="14"/>
  <c r="DV85" i="14"/>
  <c r="ED85" i="14"/>
  <c r="EE85" i="14"/>
  <c r="EM85" i="14"/>
  <c r="EN85" i="14"/>
  <c r="A87" i="14"/>
  <c r="B87" i="14"/>
  <c r="DL87" i="14"/>
  <c r="DM87" i="14"/>
  <c r="DU87" i="14"/>
  <c r="DV87" i="14"/>
  <c r="ED87" i="14"/>
  <c r="EE87" i="14"/>
  <c r="EM87" i="14"/>
  <c r="EN87" i="14"/>
  <c r="A88" i="14"/>
  <c r="B88" i="14"/>
  <c r="H88" i="14"/>
  <c r="I88" i="14"/>
  <c r="Q88" i="14"/>
  <c r="R88" i="14"/>
  <c r="T88" i="14"/>
  <c r="AL88" i="14"/>
  <c r="AU88" i="14" s="1"/>
  <c r="Z88" i="14"/>
  <c r="AA88" i="14"/>
  <c r="AI88" i="14"/>
  <c r="AJ88" i="14"/>
  <c r="AR88" i="14"/>
  <c r="AS88" i="14"/>
  <c r="BK88" i="14"/>
  <c r="BS88" i="14"/>
  <c r="BT88" i="14"/>
  <c r="CB88" i="14"/>
  <c r="CC88" i="14"/>
  <c r="CK88" i="14"/>
  <c r="CL88" i="14"/>
  <c r="CT88" i="14"/>
  <c r="CU88" i="14"/>
  <c r="DC88" i="14"/>
  <c r="DD88" i="14"/>
  <c r="DL88" i="14"/>
  <c r="DM88" i="14"/>
  <c r="DU88" i="14"/>
  <c r="DV88" i="14"/>
  <c r="ED88" i="14"/>
  <c r="EE88" i="14"/>
  <c r="EM88" i="14"/>
  <c r="EN88" i="14"/>
  <c r="A90" i="14"/>
  <c r="B90" i="14"/>
  <c r="H90" i="14"/>
  <c r="I90" i="14"/>
  <c r="Q90" i="14"/>
  <c r="R90" i="14"/>
  <c r="T90" i="14"/>
  <c r="AL90" i="14"/>
  <c r="CN90" i="14"/>
  <c r="Z90" i="14"/>
  <c r="AA90" i="14"/>
  <c r="AI90" i="14"/>
  <c r="AJ90" i="14"/>
  <c r="AR90" i="14"/>
  <c r="AS90" i="14"/>
  <c r="BK90" i="14"/>
  <c r="BS90" i="14"/>
  <c r="BT90" i="14"/>
  <c r="CB90" i="14"/>
  <c r="CC90" i="14"/>
  <c r="CK90" i="14"/>
  <c r="CL90" i="14"/>
  <c r="CT90" i="14"/>
  <c r="CU90" i="14"/>
  <c r="DC90" i="14"/>
  <c r="DD90" i="14"/>
  <c r="DL90" i="14"/>
  <c r="DM90" i="14"/>
  <c r="DU90" i="14"/>
  <c r="DV90" i="14"/>
  <c r="ED90" i="14"/>
  <c r="EE90" i="14"/>
  <c r="EM90" i="14"/>
  <c r="EN90" i="14"/>
  <c r="A91" i="14"/>
  <c r="B91" i="14"/>
  <c r="H91" i="14"/>
  <c r="I91" i="14"/>
  <c r="T91" i="14"/>
  <c r="Q91" i="14"/>
  <c r="R91" i="14"/>
  <c r="Z91" i="14"/>
  <c r="AA91" i="14"/>
  <c r="AI91" i="14"/>
  <c r="AJ91" i="14"/>
  <c r="AR91" i="14"/>
  <c r="AS91" i="14"/>
  <c r="BK91" i="14"/>
  <c r="BS91" i="14"/>
  <c r="BT91" i="14"/>
  <c r="CB91" i="14"/>
  <c r="CC91" i="14"/>
  <c r="CK91" i="14"/>
  <c r="CL91" i="14"/>
  <c r="CT91" i="14"/>
  <c r="CU91" i="14"/>
  <c r="DC91" i="14"/>
  <c r="DD91" i="14"/>
  <c r="DL91" i="14"/>
  <c r="DM91" i="14"/>
  <c r="DU91" i="14"/>
  <c r="DV91" i="14"/>
  <c r="ED91" i="14"/>
  <c r="EE91" i="14"/>
  <c r="EM91" i="14"/>
  <c r="EN91" i="14"/>
  <c r="A93" i="14"/>
  <c r="B93" i="14"/>
  <c r="H93" i="14"/>
  <c r="I93" i="14"/>
  <c r="T93" i="14"/>
  <c r="Q93" i="14"/>
  <c r="R93" i="14"/>
  <c r="Z93" i="14"/>
  <c r="AA93" i="14"/>
  <c r="AI93" i="14"/>
  <c r="AJ93" i="14"/>
  <c r="AR93" i="14"/>
  <c r="AS93" i="14"/>
  <c r="BK93" i="14"/>
  <c r="BS93" i="14"/>
  <c r="BT93" i="14"/>
  <c r="CB93" i="14"/>
  <c r="CC93" i="14"/>
  <c r="CK93" i="14"/>
  <c r="CL93" i="14"/>
  <c r="CT93" i="14"/>
  <c r="CU93" i="14"/>
  <c r="DC93" i="14"/>
  <c r="DD93" i="14"/>
  <c r="DL93" i="14"/>
  <c r="DM93" i="14"/>
  <c r="DU93" i="14"/>
  <c r="DV93" i="14"/>
  <c r="ED93" i="14"/>
  <c r="EE93" i="14"/>
  <c r="EM93" i="14"/>
  <c r="EN93" i="14"/>
  <c r="A94" i="14"/>
  <c r="B94" i="14"/>
  <c r="H94" i="14"/>
  <c r="I94" i="14"/>
  <c r="T94" i="14"/>
  <c r="Q94" i="14"/>
  <c r="R94" i="14"/>
  <c r="Z94" i="14"/>
  <c r="AA94" i="14"/>
  <c r="AI94" i="14"/>
  <c r="AJ94" i="14"/>
  <c r="AR94" i="14"/>
  <c r="AS94" i="14"/>
  <c r="BK94" i="14"/>
  <c r="BS94" i="14"/>
  <c r="BT94" i="14"/>
  <c r="CB94" i="14"/>
  <c r="CC94" i="14"/>
  <c r="CK94" i="14"/>
  <c r="CL94" i="14"/>
  <c r="CT94" i="14"/>
  <c r="CU94" i="14"/>
  <c r="DC94" i="14"/>
  <c r="DD94" i="14"/>
  <c r="DL94" i="14"/>
  <c r="DM94" i="14"/>
  <c r="DU94" i="14"/>
  <c r="DV94" i="14"/>
  <c r="ED94" i="14"/>
  <c r="EE69" i="14"/>
  <c r="EM94" i="14"/>
  <c r="EN94" i="14"/>
  <c r="A53" i="14"/>
  <c r="B53" i="14"/>
  <c r="H53" i="14"/>
  <c r="I53" i="14"/>
  <c r="Q53" i="14"/>
  <c r="R53" i="14"/>
  <c r="T53" i="14"/>
  <c r="Z53" i="14"/>
  <c r="AA53" i="14"/>
  <c r="AI53" i="14"/>
  <c r="AJ53" i="14"/>
  <c r="AR53" i="14"/>
  <c r="AS53" i="14"/>
  <c r="BK53" i="14"/>
  <c r="BS53" i="14"/>
  <c r="BT53" i="14"/>
  <c r="CB53" i="14"/>
  <c r="CC53" i="14"/>
  <c r="CK53" i="14"/>
  <c r="CL53" i="14"/>
  <c r="CT53" i="14"/>
  <c r="CU53" i="14"/>
  <c r="DC53" i="14"/>
  <c r="DD53" i="14"/>
  <c r="DL53" i="14"/>
  <c r="DM53" i="14"/>
  <c r="DU53" i="14"/>
  <c r="DV53" i="14"/>
  <c r="ED53" i="14"/>
  <c r="EE53" i="14"/>
  <c r="EM53" i="14"/>
  <c r="EN53" i="14"/>
  <c r="A54" i="14"/>
  <c r="B54" i="14"/>
  <c r="H54" i="14"/>
  <c r="I54" i="14"/>
  <c r="Q54" i="14"/>
  <c r="R54" i="14"/>
  <c r="T54" i="14"/>
  <c r="AL54" i="14"/>
  <c r="AU54" i="14" s="1"/>
  <c r="Z54" i="14"/>
  <c r="AA54" i="14"/>
  <c r="AI54" i="14"/>
  <c r="AJ54" i="14"/>
  <c r="AR54" i="14"/>
  <c r="AS54" i="14"/>
  <c r="BK54" i="14"/>
  <c r="BS54" i="14"/>
  <c r="BT54" i="14"/>
  <c r="CB54" i="14"/>
  <c r="CC54" i="14"/>
  <c r="CK54" i="14"/>
  <c r="CL54" i="14"/>
  <c r="CT54" i="14"/>
  <c r="CU54" i="14"/>
  <c r="DC54" i="14"/>
  <c r="DD54" i="14"/>
  <c r="DL54" i="14"/>
  <c r="DM54" i="14"/>
  <c r="DU54" i="14"/>
  <c r="DV54" i="14"/>
  <c r="ED54" i="14"/>
  <c r="EE54" i="14"/>
  <c r="EM54" i="14"/>
  <c r="EN54" i="14"/>
  <c r="A55" i="14"/>
  <c r="B55" i="14"/>
  <c r="H55" i="14"/>
  <c r="I55" i="14"/>
  <c r="Q55" i="14"/>
  <c r="R55" i="14"/>
  <c r="T55" i="14"/>
  <c r="Z55" i="14"/>
  <c r="AA55" i="14"/>
  <c r="AI55" i="14"/>
  <c r="AJ55" i="14"/>
  <c r="AR55" i="14"/>
  <c r="AS55" i="14"/>
  <c r="BK55" i="14"/>
  <c r="BS55" i="14"/>
  <c r="BT55" i="14"/>
  <c r="CB55" i="14"/>
  <c r="CC55" i="14"/>
  <c r="CK55" i="14"/>
  <c r="CL55" i="14"/>
  <c r="CT55" i="14"/>
  <c r="CU55" i="14"/>
  <c r="DC55" i="14"/>
  <c r="DD55" i="14"/>
  <c r="DL55" i="14"/>
  <c r="DM55" i="14"/>
  <c r="DU55" i="14"/>
  <c r="DV55" i="14"/>
  <c r="ED55" i="14"/>
  <c r="EE55" i="14"/>
  <c r="EM55" i="14"/>
  <c r="EN55" i="14"/>
  <c r="A56" i="14"/>
  <c r="B56" i="14"/>
  <c r="H56" i="14"/>
  <c r="I56" i="14"/>
  <c r="Q56" i="14"/>
  <c r="R56" i="14"/>
  <c r="T56" i="14"/>
  <c r="Z56" i="14"/>
  <c r="AA56" i="14"/>
  <c r="AI56" i="14"/>
  <c r="AJ56" i="14"/>
  <c r="AR56" i="14"/>
  <c r="AS56" i="14"/>
  <c r="BK56" i="14"/>
  <c r="BS56" i="14"/>
  <c r="BT56" i="14"/>
  <c r="CB56" i="14"/>
  <c r="CC56" i="14"/>
  <c r="CK56" i="14"/>
  <c r="CL56" i="14"/>
  <c r="CT56" i="14"/>
  <c r="CU56" i="14"/>
  <c r="DC56" i="14"/>
  <c r="DD56" i="14"/>
  <c r="DL56" i="14"/>
  <c r="DM56" i="14"/>
  <c r="DU56" i="14"/>
  <c r="DV56" i="14"/>
  <c r="ED56" i="14"/>
  <c r="EE56" i="14"/>
  <c r="EM56" i="14"/>
  <c r="EN56" i="14"/>
  <c r="A57" i="14"/>
  <c r="B57" i="14"/>
  <c r="H57" i="14"/>
  <c r="I57" i="14"/>
  <c r="Q57" i="14"/>
  <c r="R57" i="14"/>
  <c r="T57" i="14"/>
  <c r="Z57" i="14"/>
  <c r="AA57" i="14"/>
  <c r="AI57" i="14"/>
  <c r="AJ57" i="14"/>
  <c r="AR57" i="14"/>
  <c r="AS57" i="14"/>
  <c r="BK57" i="14"/>
  <c r="BS57" i="14"/>
  <c r="BT57" i="14"/>
  <c r="CB57" i="14"/>
  <c r="CC57" i="14"/>
  <c r="CK57" i="14"/>
  <c r="CL57" i="14"/>
  <c r="CT57" i="14"/>
  <c r="CU57" i="14"/>
  <c r="DC57" i="14"/>
  <c r="DD57" i="14"/>
  <c r="DL57" i="14"/>
  <c r="DM57" i="14"/>
  <c r="DU57" i="14"/>
  <c r="DV57" i="14"/>
  <c r="ED57" i="14"/>
  <c r="EE57" i="14"/>
  <c r="EM57" i="14"/>
  <c r="EN57" i="14"/>
  <c r="A58" i="14"/>
  <c r="B58" i="14"/>
  <c r="H58" i="14"/>
  <c r="I58" i="14"/>
  <c r="Q58" i="14"/>
  <c r="R58" i="14"/>
  <c r="T58" i="14"/>
  <c r="AL58" i="14"/>
  <c r="AU58" i="14" s="1"/>
  <c r="BD58" i="14" s="1"/>
  <c r="Z58" i="14"/>
  <c r="AA58" i="14"/>
  <c r="AI58" i="14"/>
  <c r="AJ58" i="14"/>
  <c r="AR58" i="14"/>
  <c r="AS58" i="14"/>
  <c r="BK58" i="14"/>
  <c r="BS58" i="14"/>
  <c r="BT58" i="14"/>
  <c r="CB58" i="14"/>
  <c r="CC58" i="14"/>
  <c r="CK58" i="14"/>
  <c r="CL58" i="14"/>
  <c r="CT58" i="14"/>
  <c r="CU58" i="14"/>
  <c r="DC58" i="14"/>
  <c r="DD58" i="14"/>
  <c r="DL58" i="14"/>
  <c r="DM58" i="14"/>
  <c r="DU58" i="14"/>
  <c r="DV58" i="14"/>
  <c r="ED58" i="14"/>
  <c r="EE58" i="14"/>
  <c r="EM58" i="14"/>
  <c r="EN58" i="14"/>
  <c r="A59" i="14"/>
  <c r="B59" i="14"/>
  <c r="H59" i="14"/>
  <c r="I59" i="14"/>
  <c r="Q59" i="14"/>
  <c r="R59" i="14"/>
  <c r="T59" i="14"/>
  <c r="Z59" i="14"/>
  <c r="AA59" i="14"/>
  <c r="AI59" i="14"/>
  <c r="AJ59" i="14"/>
  <c r="AR59" i="14"/>
  <c r="AS59" i="14"/>
  <c r="BK59" i="14"/>
  <c r="BS59" i="14"/>
  <c r="BT59" i="14"/>
  <c r="CB59" i="14"/>
  <c r="CC59" i="14"/>
  <c r="CK59" i="14"/>
  <c r="CL59" i="14"/>
  <c r="CT59" i="14"/>
  <c r="CU59" i="14"/>
  <c r="DC59" i="14"/>
  <c r="DD59" i="14"/>
  <c r="DL59" i="14"/>
  <c r="DM59" i="14"/>
  <c r="DU59" i="14"/>
  <c r="DV59" i="14"/>
  <c r="ED59" i="14"/>
  <c r="EE59" i="14"/>
  <c r="EM59" i="14"/>
  <c r="EN59" i="14"/>
  <c r="A60" i="14"/>
  <c r="B60" i="14"/>
  <c r="H60" i="14"/>
  <c r="I60" i="14"/>
  <c r="Q60" i="14"/>
  <c r="R60" i="14"/>
  <c r="T60" i="14"/>
  <c r="Z60" i="14"/>
  <c r="AA60" i="14"/>
  <c r="AI60" i="14"/>
  <c r="AJ60" i="14"/>
  <c r="AR60" i="14"/>
  <c r="AS60" i="14"/>
  <c r="BK60" i="14"/>
  <c r="BS60" i="14"/>
  <c r="BT60" i="14"/>
  <c r="CB60" i="14"/>
  <c r="CC60" i="14"/>
  <c r="CK60" i="14"/>
  <c r="CL60" i="14"/>
  <c r="CT60" i="14"/>
  <c r="CU60" i="14"/>
  <c r="DC60" i="14"/>
  <c r="DD60" i="14"/>
  <c r="DL60" i="14"/>
  <c r="DM60" i="14"/>
  <c r="DU60" i="14"/>
  <c r="DV60" i="14"/>
  <c r="ED60" i="14"/>
  <c r="EE60" i="14"/>
  <c r="EM60" i="14"/>
  <c r="EN60" i="14"/>
  <c r="A61" i="14"/>
  <c r="B61" i="14"/>
  <c r="H61" i="14"/>
  <c r="I61" i="14"/>
  <c r="Q61" i="14"/>
  <c r="R61" i="14"/>
  <c r="T61" i="14"/>
  <c r="Z61" i="14"/>
  <c r="AA61" i="14"/>
  <c r="AI61" i="14"/>
  <c r="AJ61" i="14"/>
  <c r="AR61" i="14"/>
  <c r="AS61" i="14"/>
  <c r="BK61" i="14"/>
  <c r="BS61" i="14"/>
  <c r="BT61" i="14"/>
  <c r="CB61" i="14"/>
  <c r="CC61" i="14"/>
  <c r="CK61" i="14"/>
  <c r="CL61" i="14"/>
  <c r="CT61" i="14"/>
  <c r="CU61" i="14"/>
  <c r="DC61" i="14"/>
  <c r="DD61" i="14"/>
  <c r="DL61" i="14"/>
  <c r="DM61" i="14"/>
  <c r="DU61" i="14"/>
  <c r="DV61" i="14"/>
  <c r="ED61" i="14"/>
  <c r="EE61" i="14"/>
  <c r="EM61" i="14"/>
  <c r="EN61" i="14"/>
  <c r="A62" i="14"/>
  <c r="B62" i="14"/>
  <c r="H62" i="14"/>
  <c r="I62" i="14"/>
  <c r="Q62" i="14"/>
  <c r="R62" i="14"/>
  <c r="T62" i="14"/>
  <c r="Z62" i="14"/>
  <c r="AA62" i="14"/>
  <c r="AI62" i="14"/>
  <c r="AJ62" i="14"/>
  <c r="AR62" i="14"/>
  <c r="AS62" i="14"/>
  <c r="BK62" i="14"/>
  <c r="BS62" i="14"/>
  <c r="BT62" i="14"/>
  <c r="CB62" i="14"/>
  <c r="CC62" i="14"/>
  <c r="CK62" i="14"/>
  <c r="CL62" i="14"/>
  <c r="CT62" i="14"/>
  <c r="CU62" i="14"/>
  <c r="DC62" i="14"/>
  <c r="DD62" i="14"/>
  <c r="DL62" i="14"/>
  <c r="DM62" i="14"/>
  <c r="DU62" i="14"/>
  <c r="DV62" i="14"/>
  <c r="ED62" i="14"/>
  <c r="EE62" i="14"/>
  <c r="EM62" i="14"/>
  <c r="EN62" i="14"/>
  <c r="A63" i="14"/>
  <c r="B63" i="14"/>
  <c r="H63" i="14"/>
  <c r="I63" i="14"/>
  <c r="Q63" i="14"/>
  <c r="R63" i="14"/>
  <c r="T63" i="14"/>
  <c r="AL63" i="14"/>
  <c r="Z63" i="14"/>
  <c r="AA63" i="14"/>
  <c r="AI63" i="14"/>
  <c r="AJ63" i="14"/>
  <c r="AR63" i="14"/>
  <c r="AS63" i="14"/>
  <c r="BK63" i="14"/>
  <c r="BS63" i="14"/>
  <c r="BT63" i="14"/>
  <c r="CB63" i="14"/>
  <c r="CC63" i="14"/>
  <c r="CK63" i="14"/>
  <c r="CL63" i="14"/>
  <c r="CT63" i="14"/>
  <c r="CU63" i="14"/>
  <c r="DC63" i="14"/>
  <c r="DD63" i="14"/>
  <c r="DL63" i="14"/>
  <c r="DM63" i="14"/>
  <c r="DU63" i="14"/>
  <c r="DV63" i="14"/>
  <c r="ED63" i="14"/>
  <c r="EE63" i="14"/>
  <c r="EM63" i="14"/>
  <c r="EN63" i="14"/>
  <c r="A64" i="14"/>
  <c r="B64" i="14"/>
  <c r="H64" i="14"/>
  <c r="I64" i="14"/>
  <c r="Q64" i="14"/>
  <c r="R64" i="14"/>
  <c r="T64" i="14"/>
  <c r="Z64" i="14"/>
  <c r="AA64" i="14"/>
  <c r="AI64" i="14"/>
  <c r="AJ64" i="14"/>
  <c r="AR64" i="14"/>
  <c r="AS64" i="14"/>
  <c r="BK64" i="14"/>
  <c r="BS64" i="14"/>
  <c r="BT64" i="14"/>
  <c r="CB64" i="14"/>
  <c r="CC64" i="14"/>
  <c r="CK64" i="14"/>
  <c r="CL64" i="14"/>
  <c r="CT64" i="14"/>
  <c r="CU64" i="14"/>
  <c r="DC64" i="14"/>
  <c r="DD64" i="14"/>
  <c r="DL64" i="14"/>
  <c r="DM64" i="14"/>
  <c r="DU64" i="14"/>
  <c r="DV64" i="14"/>
  <c r="ED64" i="14"/>
  <c r="EE64" i="14"/>
  <c r="EM64" i="14"/>
  <c r="EN64" i="14"/>
  <c r="A65" i="14"/>
  <c r="B65" i="14"/>
  <c r="H65" i="14"/>
  <c r="I65" i="14"/>
  <c r="Q65" i="14"/>
  <c r="R65" i="14"/>
  <c r="T65" i="14"/>
  <c r="Z65" i="14"/>
  <c r="AA65" i="14"/>
  <c r="AI65" i="14"/>
  <c r="AJ65" i="14"/>
  <c r="AR65" i="14"/>
  <c r="AS65" i="14"/>
  <c r="BK65" i="14"/>
  <c r="BS65" i="14"/>
  <c r="BT65" i="14"/>
  <c r="CB65" i="14"/>
  <c r="CC65" i="14"/>
  <c r="CK65" i="14"/>
  <c r="CL65" i="14"/>
  <c r="CT65" i="14"/>
  <c r="CU65" i="14"/>
  <c r="DC65" i="14"/>
  <c r="DD65" i="14"/>
  <c r="DL65" i="14"/>
  <c r="DM65" i="14"/>
  <c r="DU65" i="14"/>
  <c r="DV65" i="14"/>
  <c r="ED65" i="14"/>
  <c r="EE65" i="14"/>
  <c r="EM65" i="14"/>
  <c r="EN65" i="14"/>
  <c r="A66" i="14"/>
  <c r="B66" i="14"/>
  <c r="H66" i="14"/>
  <c r="I66" i="14"/>
  <c r="Q66" i="14"/>
  <c r="R66" i="14"/>
  <c r="T66" i="14"/>
  <c r="Z66" i="14"/>
  <c r="AA66" i="14"/>
  <c r="AI66" i="14"/>
  <c r="AJ66" i="14"/>
  <c r="AR66" i="14"/>
  <c r="AS66" i="14"/>
  <c r="BK66" i="14"/>
  <c r="BS66" i="14"/>
  <c r="BT66" i="14"/>
  <c r="CB66" i="14"/>
  <c r="CC66" i="14"/>
  <c r="CK66" i="14"/>
  <c r="CL66" i="14"/>
  <c r="CT66" i="14"/>
  <c r="CU66" i="14"/>
  <c r="DC66" i="14"/>
  <c r="DD66" i="14"/>
  <c r="DL66" i="14"/>
  <c r="DM66" i="14"/>
  <c r="DU66" i="14"/>
  <c r="DV66" i="14"/>
  <c r="ED66" i="14"/>
  <c r="EE66" i="14"/>
  <c r="EM66" i="14"/>
  <c r="EN66" i="14"/>
  <c r="A67" i="14"/>
  <c r="B67" i="14"/>
  <c r="H67" i="14"/>
  <c r="I67" i="14"/>
  <c r="Q67" i="14"/>
  <c r="R67" i="14"/>
  <c r="T67" i="14"/>
  <c r="Z67" i="14"/>
  <c r="AA67" i="14"/>
  <c r="AI67" i="14"/>
  <c r="AJ67" i="14"/>
  <c r="AR67" i="14"/>
  <c r="AS67" i="14"/>
  <c r="BK67" i="14"/>
  <c r="BS67" i="14"/>
  <c r="BT67" i="14"/>
  <c r="CB67" i="14"/>
  <c r="CC67" i="14"/>
  <c r="CK67" i="14"/>
  <c r="CL67" i="14"/>
  <c r="CT67" i="14"/>
  <c r="CU67" i="14"/>
  <c r="DC67" i="14"/>
  <c r="DD67" i="14"/>
  <c r="DL67" i="14"/>
  <c r="DM67" i="14"/>
  <c r="DU67" i="14"/>
  <c r="DV67" i="14"/>
  <c r="ED67" i="14"/>
  <c r="EE67" i="14"/>
  <c r="EM67" i="14"/>
  <c r="EN67" i="14"/>
  <c r="A68" i="14"/>
  <c r="B68" i="14"/>
  <c r="H68" i="14"/>
  <c r="I68" i="14"/>
  <c r="Q68" i="14"/>
  <c r="R68" i="14"/>
  <c r="T68" i="14"/>
  <c r="Z68" i="14"/>
  <c r="AA68" i="14"/>
  <c r="AI68" i="14"/>
  <c r="AJ68" i="14"/>
  <c r="AR68" i="14"/>
  <c r="AS68" i="14"/>
  <c r="BK68" i="14"/>
  <c r="BS68" i="14"/>
  <c r="BT68" i="14"/>
  <c r="CB68" i="14"/>
  <c r="CC68" i="14"/>
  <c r="CK68" i="14"/>
  <c r="CL68" i="14"/>
  <c r="CT68" i="14"/>
  <c r="CU68" i="14"/>
  <c r="DC68" i="14"/>
  <c r="DD68" i="14"/>
  <c r="DL68" i="14"/>
  <c r="DM68" i="14"/>
  <c r="DU68" i="14"/>
  <c r="DV68" i="14"/>
  <c r="ED68" i="14"/>
  <c r="EE68" i="14"/>
  <c r="EM68" i="14"/>
  <c r="EN68" i="14"/>
  <c r="A69" i="14"/>
  <c r="B69" i="14"/>
  <c r="H69" i="14"/>
  <c r="I69" i="14"/>
  <c r="Q69" i="14"/>
  <c r="R69" i="14"/>
  <c r="T69" i="14"/>
  <c r="AL69" i="14"/>
  <c r="Z69" i="14"/>
  <c r="AA69" i="14"/>
  <c r="AI69" i="14"/>
  <c r="AJ69" i="14"/>
  <c r="AR69" i="14"/>
  <c r="AS69" i="14"/>
  <c r="BK69" i="14"/>
  <c r="BS69" i="14"/>
  <c r="BT69" i="14"/>
  <c r="CB69" i="14"/>
  <c r="CC69" i="14"/>
  <c r="CK69" i="14"/>
  <c r="CL69" i="14"/>
  <c r="CT69" i="14"/>
  <c r="CU69" i="14"/>
  <c r="DC69" i="14"/>
  <c r="DD69" i="14"/>
  <c r="DL69" i="14"/>
  <c r="DM69" i="14"/>
  <c r="DU69" i="14"/>
  <c r="DV69" i="14"/>
  <c r="ED69" i="14"/>
  <c r="EM69" i="14"/>
  <c r="EN69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8" i="14"/>
  <c r="B48" i="14"/>
  <c r="A49" i="14"/>
  <c r="B49" i="14"/>
  <c r="A50" i="14"/>
  <c r="B50" i="14"/>
  <c r="A51" i="14"/>
  <c r="B51" i="14"/>
  <c r="A52" i="14"/>
  <c r="B52" i="14"/>
  <c r="A2" i="14"/>
  <c r="A3" i="14"/>
  <c r="A4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B22" i="14"/>
  <c r="A25" i="14"/>
  <c r="B25" i="14"/>
  <c r="B71" i="14"/>
  <c r="B81" i="14"/>
  <c r="A82" i="14"/>
  <c r="B82" i="14"/>
  <c r="B96" i="14"/>
  <c r="B98" i="14"/>
  <c r="A99" i="14"/>
  <c r="B99" i="14"/>
  <c r="B101" i="14"/>
  <c r="C226" i="14"/>
  <c r="C241" i="14" s="1"/>
  <c r="C227" i="14"/>
  <c r="C228" i="14"/>
  <c r="C230" i="14"/>
  <c r="C235" i="14"/>
  <c r="C236" i="14"/>
  <c r="C237" i="14"/>
  <c r="C238" i="14"/>
  <c r="C239" i="14"/>
  <c r="C240" i="14"/>
  <c r="D11" i="17"/>
  <c r="D12" i="17"/>
  <c r="F12" i="17"/>
  <c r="D13" i="17"/>
  <c r="D14" i="17"/>
  <c r="F14" i="17"/>
  <c r="D15" i="17"/>
  <c r="D17" i="17"/>
  <c r="D18" i="17"/>
  <c r="D19" i="17"/>
  <c r="F19" i="17"/>
  <c r="D20" i="17"/>
  <c r="F20" i="17"/>
  <c r="D21" i="17"/>
  <c r="F21" i="17"/>
  <c r="D22" i="17"/>
  <c r="F22" i="17"/>
  <c r="D23" i="17"/>
  <c r="F23" i="17"/>
  <c r="D24" i="17"/>
  <c r="F24" i="17"/>
  <c r="D25" i="17"/>
  <c r="F25" i="17"/>
  <c r="D26" i="17"/>
  <c r="D27" i="17"/>
  <c r="F27" i="17"/>
  <c r="A15" i="9"/>
  <c r="B15" i="9"/>
  <c r="A16" i="9"/>
  <c r="B16" i="9"/>
  <c r="C16" i="9"/>
  <c r="F16" i="9" s="1"/>
  <c r="A17" i="9"/>
  <c r="B17" i="9"/>
  <c r="C17" i="9"/>
  <c r="F17" i="9" s="1"/>
  <c r="A18" i="9"/>
  <c r="B18" i="9"/>
  <c r="C18" i="9"/>
  <c r="D18" i="9" s="1"/>
  <c r="A19" i="9"/>
  <c r="B19" i="9"/>
  <c r="C19" i="9"/>
  <c r="E19" i="9" s="1"/>
  <c r="A20" i="9"/>
  <c r="B20" i="9"/>
  <c r="C20" i="9"/>
  <c r="E20" i="9" s="1"/>
  <c r="A21" i="9"/>
  <c r="B21" i="9"/>
  <c r="C21" i="9"/>
  <c r="I21" i="9" s="1"/>
  <c r="A22" i="9"/>
  <c r="B22" i="9"/>
  <c r="C22" i="9"/>
  <c r="E22" i="9" s="1"/>
  <c r="A23" i="9"/>
  <c r="B23" i="9"/>
  <c r="C23" i="9"/>
  <c r="E23" i="9" s="1"/>
  <c r="A24" i="9"/>
  <c r="B24" i="9"/>
  <c r="C24" i="9"/>
  <c r="G24" i="9" s="1"/>
  <c r="A25" i="9"/>
  <c r="B25" i="9"/>
  <c r="C25" i="9"/>
  <c r="E25" i="9" s="1"/>
  <c r="A26" i="9"/>
  <c r="B26" i="9"/>
  <c r="C26" i="9"/>
  <c r="N26" i="9" s="1"/>
  <c r="A27" i="9"/>
  <c r="B27" i="9"/>
  <c r="C27" i="9"/>
  <c r="I27" i="9" s="1"/>
  <c r="A28" i="9"/>
  <c r="B28" i="9"/>
  <c r="C28" i="9"/>
  <c r="N28" i="9" s="1"/>
  <c r="A29" i="9"/>
  <c r="B29" i="9"/>
  <c r="C29" i="9"/>
  <c r="G29" i="9" s="1"/>
  <c r="A30" i="9"/>
  <c r="B30" i="9"/>
  <c r="C30" i="9"/>
  <c r="D30" i="9" s="1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14" i="6"/>
  <c r="A30" i="6"/>
  <c r="B30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15" i="10"/>
  <c r="B15" i="10"/>
  <c r="C15" i="10"/>
  <c r="A16" i="10"/>
  <c r="B16" i="10"/>
  <c r="C16" i="10"/>
  <c r="A17" i="10"/>
  <c r="B17" i="10"/>
  <c r="C17" i="10"/>
  <c r="A18" i="10"/>
  <c r="B18" i="10"/>
  <c r="C18" i="10"/>
  <c r="A19" i="10"/>
  <c r="B19" i="10"/>
  <c r="C19" i="10"/>
  <c r="A20" i="10"/>
  <c r="B20" i="10"/>
  <c r="C20" i="10"/>
  <c r="A21" i="10"/>
  <c r="B21" i="10"/>
  <c r="C21" i="10"/>
  <c r="A22" i="10"/>
  <c r="B22" i="10"/>
  <c r="C22" i="10"/>
  <c r="A23" i="10"/>
  <c r="B23" i="10"/>
  <c r="C23" i="10"/>
  <c r="A24" i="10"/>
  <c r="B24" i="10"/>
  <c r="C24" i="10"/>
  <c r="A25" i="10"/>
  <c r="B25" i="10"/>
  <c r="C25" i="10"/>
  <c r="A26" i="10"/>
  <c r="B26" i="10"/>
  <c r="C26" i="10"/>
  <c r="A27" i="10"/>
  <c r="B27" i="10"/>
  <c r="C27" i="10"/>
  <c r="A28" i="10"/>
  <c r="B28" i="10"/>
  <c r="C28" i="10"/>
  <c r="A29" i="10"/>
  <c r="B29" i="10"/>
  <c r="C29" i="10"/>
  <c r="A30" i="10"/>
  <c r="B30" i="10"/>
  <c r="C30" i="10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L94" i="14"/>
  <c r="AL91" i="14"/>
  <c r="AU91" i="14" s="1"/>
  <c r="AL84" i="14"/>
  <c r="AU84" i="14" s="1"/>
  <c r="CN54" i="14"/>
  <c r="AL57" i="14"/>
  <c r="AU57" i="14" s="1"/>
  <c r="AL64" i="14"/>
  <c r="AU64" i="14" s="1"/>
  <c r="AU69" i="14"/>
  <c r="BD69" i="14" s="1"/>
  <c r="AL61" i="14"/>
  <c r="AU61" i="14" s="1"/>
  <c r="BD61" i="14" s="1"/>
  <c r="AL53" i="14"/>
  <c r="AU53" i="14" s="1"/>
  <c r="AL59" i="14"/>
  <c r="AU59" i="14" s="1"/>
  <c r="BD59" i="14" s="1"/>
  <c r="AL55" i="14"/>
  <c r="AU55" i="14" s="1"/>
  <c r="BD55" i="14" s="1"/>
  <c r="O110" i="1"/>
  <c r="B83" i="16" s="1"/>
  <c r="O111" i="1"/>
  <c r="O112" i="1"/>
  <c r="O113" i="1"/>
  <c r="O114" i="1"/>
  <c r="O115" i="1"/>
  <c r="O109" i="1"/>
  <c r="E16" i="2"/>
  <c r="E22" i="2"/>
  <c r="E24" i="2"/>
  <c r="E27" i="2"/>
  <c r="E28" i="2"/>
  <c r="D33" i="2"/>
  <c r="AL66" i="14"/>
  <c r="AL68" i="14"/>
  <c r="AL93" i="14"/>
  <c r="AU93" i="14" s="1"/>
  <c r="AL85" i="14"/>
  <c r="AU85" i="14" s="1"/>
  <c r="BD85" i="14" s="1"/>
  <c r="AL83" i="14"/>
  <c r="AL65" i="14"/>
  <c r="AL60" i="14"/>
  <c r="AL56" i="14"/>
  <c r="AU56" i="14" s="1"/>
  <c r="BD56" i="14" s="1"/>
  <c r="AL62" i="14"/>
  <c r="AU62" i="14" s="1"/>
  <c r="O78" i="1"/>
  <c r="B53" i="16" s="1"/>
  <c r="AL67" i="14"/>
  <c r="EY88" i="14"/>
  <c r="FH88" i="14" s="1"/>
  <c r="EY90" i="14"/>
  <c r="FH90" i="14" s="1"/>
  <c r="EY87" i="14"/>
  <c r="CN94" i="14"/>
  <c r="CN63" i="14"/>
  <c r="CN88" i="14"/>
  <c r="CN91" i="14"/>
  <c r="CN58" i="14"/>
  <c r="CN69" i="14"/>
  <c r="CN84" i="14"/>
  <c r="DX54" i="14"/>
  <c r="EG54" i="14" s="1"/>
  <c r="CN64" i="14"/>
  <c r="CN57" i="14"/>
  <c r="CN59" i="14"/>
  <c r="CN61" i="14"/>
  <c r="CN66" i="14"/>
  <c r="CN55" i="14"/>
  <c r="CN53" i="14"/>
  <c r="CN68" i="14"/>
  <c r="CN93" i="14"/>
  <c r="CN85" i="14"/>
  <c r="CN83" i="14"/>
  <c r="CN65" i="14"/>
  <c r="CN60" i="14"/>
  <c r="CN56" i="14"/>
  <c r="CN62" i="14"/>
  <c r="O94" i="1"/>
  <c r="FH54" i="14"/>
  <c r="CN67" i="14"/>
  <c r="DX63" i="14"/>
  <c r="EG63" i="14" s="1"/>
  <c r="O140" i="1"/>
  <c r="R140" i="1" s="1"/>
  <c r="R147" i="1"/>
  <c r="R116" i="1"/>
  <c r="H21" i="23"/>
  <c r="FH63" i="14"/>
  <c r="DX69" i="14"/>
  <c r="DX59" i="14"/>
  <c r="EG59" i="14" s="1"/>
  <c r="DX57" i="14"/>
  <c r="EG57" i="14" s="1"/>
  <c r="DX61" i="14"/>
  <c r="EG61" i="14" s="1"/>
  <c r="DX64" i="14"/>
  <c r="EG64" i="14" s="1"/>
  <c r="DX66" i="14"/>
  <c r="DX53" i="14"/>
  <c r="EG53" i="14" s="1"/>
  <c r="FH58" i="14"/>
  <c r="DX68" i="14"/>
  <c r="DX65" i="14"/>
  <c r="DX60" i="14"/>
  <c r="EG60" i="14" s="1"/>
  <c r="DX56" i="14"/>
  <c r="C153" i="26"/>
  <c r="C156" i="26" s="1"/>
  <c r="FH57" i="14"/>
  <c r="FH69" i="14"/>
  <c r="FH59" i="14"/>
  <c r="FH64" i="14"/>
  <c r="FH61" i="14"/>
  <c r="DX67" i="14"/>
  <c r="EG56" i="14"/>
  <c r="H26" i="26"/>
  <c r="H173" i="26" s="1"/>
  <c r="G26" i="26"/>
  <c r="F26" i="26"/>
  <c r="D26" i="26"/>
  <c r="C26" i="26"/>
  <c r="C173" i="26" s="1"/>
  <c r="H21" i="26"/>
  <c r="G21" i="26"/>
  <c r="F21" i="26"/>
  <c r="F168" i="26" s="1"/>
  <c r="D21" i="26"/>
  <c r="D168" i="26" s="1"/>
  <c r="H20" i="26"/>
  <c r="G20" i="26"/>
  <c r="G167" i="26" s="1"/>
  <c r="F20" i="26"/>
  <c r="F167" i="26" s="1"/>
  <c r="D20" i="26"/>
  <c r="D167" i="26" s="1"/>
  <c r="H18" i="26"/>
  <c r="G18" i="26"/>
  <c r="F18" i="26"/>
  <c r="F165" i="26" s="1"/>
  <c r="D18" i="26"/>
  <c r="E18" i="26"/>
  <c r="H16" i="26"/>
  <c r="H163" i="26" s="1"/>
  <c r="G16" i="26"/>
  <c r="G163" i="26" s="1"/>
  <c r="F16" i="26"/>
  <c r="D16" i="26"/>
  <c r="H14" i="26"/>
  <c r="H161" i="26" s="1"/>
  <c r="G14" i="26"/>
  <c r="G161" i="26" s="1"/>
  <c r="F14" i="26"/>
  <c r="F161" i="26" s="1"/>
  <c r="E14" i="26"/>
  <c r="D14" i="26"/>
  <c r="D161" i="26" s="1"/>
  <c r="FH53" i="14"/>
  <c r="FH55" i="14"/>
  <c r="C21" i="26"/>
  <c r="C168" i="26" s="1"/>
  <c r="C20" i="26"/>
  <c r="C18" i="26"/>
  <c r="C165" i="26" s="1"/>
  <c r="C16" i="26"/>
  <c r="C163" i="26" s="1"/>
  <c r="C14" i="26"/>
  <c r="C161" i="26" s="1"/>
  <c r="FH56" i="14"/>
  <c r="FH66" i="14"/>
  <c r="FH62" i="14"/>
  <c r="FH60" i="14"/>
  <c r="I143" i="26"/>
  <c r="P143" i="26" s="1"/>
  <c r="T143" i="26" s="1"/>
  <c r="I141" i="26"/>
  <c r="P141" i="26" s="1"/>
  <c r="T141" i="26" s="1"/>
  <c r="I139" i="26"/>
  <c r="P139" i="26" s="1"/>
  <c r="I138" i="26"/>
  <c r="P138" i="26" s="1"/>
  <c r="I137" i="26"/>
  <c r="P137" i="26" s="1"/>
  <c r="I136" i="26"/>
  <c r="P136" i="26" s="1"/>
  <c r="I130" i="26"/>
  <c r="P130" i="26" s="1"/>
  <c r="T130" i="26" s="1"/>
  <c r="I129" i="26"/>
  <c r="P129" i="26" s="1"/>
  <c r="T129" i="26" s="1"/>
  <c r="I128" i="26"/>
  <c r="P128" i="26" s="1"/>
  <c r="T128" i="26" s="1"/>
  <c r="I127" i="26"/>
  <c r="P127" i="26" s="1"/>
  <c r="T127" i="26" s="1"/>
  <c r="I126" i="26"/>
  <c r="P126" i="26" s="1"/>
  <c r="T126" i="26" s="1"/>
  <c r="I125" i="26"/>
  <c r="P125" i="26" s="1"/>
  <c r="T125" i="26" s="1"/>
  <c r="I124" i="26"/>
  <c r="P124" i="26" s="1"/>
  <c r="T124" i="26" s="1"/>
  <c r="I123" i="26"/>
  <c r="P123" i="26" s="1"/>
  <c r="T123" i="26" s="1"/>
  <c r="I122" i="26"/>
  <c r="P122" i="26" s="1"/>
  <c r="T122" i="26" s="1"/>
  <c r="I121" i="26"/>
  <c r="P121" i="26" s="1"/>
  <c r="T121" i="26" s="1"/>
  <c r="I120" i="26"/>
  <c r="I119" i="26"/>
  <c r="I108" i="26"/>
  <c r="P108" i="26" s="1"/>
  <c r="P110" i="26" s="1"/>
  <c r="I102" i="26"/>
  <c r="P102" i="26" s="1"/>
  <c r="T102" i="26" s="1"/>
  <c r="I101" i="26"/>
  <c r="P101" i="26" s="1"/>
  <c r="T101" i="26" s="1"/>
  <c r="I100" i="26"/>
  <c r="P100" i="26" s="1"/>
  <c r="T100" i="26" s="1"/>
  <c r="I99" i="26"/>
  <c r="P99" i="26" s="1"/>
  <c r="T99" i="26" s="1"/>
  <c r="I98" i="26"/>
  <c r="P98" i="26" s="1"/>
  <c r="T98" i="26" s="1"/>
  <c r="I97" i="26"/>
  <c r="P97" i="26" s="1"/>
  <c r="T97" i="26" s="1"/>
  <c r="I96" i="26"/>
  <c r="P96" i="26" s="1"/>
  <c r="I90" i="26"/>
  <c r="P90" i="26" s="1"/>
  <c r="T90" i="26" s="1"/>
  <c r="I89" i="26"/>
  <c r="P89" i="26" s="1"/>
  <c r="I88" i="26"/>
  <c r="P88" i="26" s="1"/>
  <c r="T88" i="26" s="1"/>
  <c r="I87" i="26"/>
  <c r="P87" i="26" s="1"/>
  <c r="T87" i="26" s="1"/>
  <c r="I86" i="26"/>
  <c r="P86" i="26" s="1"/>
  <c r="T86" i="26" s="1"/>
  <c r="I85" i="26"/>
  <c r="P85" i="26" s="1"/>
  <c r="T85" i="26" s="1"/>
  <c r="I84" i="26"/>
  <c r="P84" i="26" s="1"/>
  <c r="T84" i="26" s="1"/>
  <c r="I83" i="26"/>
  <c r="P83" i="26" s="1"/>
  <c r="T83" i="26" s="1"/>
  <c r="I82" i="26"/>
  <c r="P82" i="26" s="1"/>
  <c r="I81" i="26"/>
  <c r="I75" i="26"/>
  <c r="P75" i="26" s="1"/>
  <c r="T75" i="26" s="1"/>
  <c r="I74" i="26"/>
  <c r="P74" i="26" s="1"/>
  <c r="T74" i="26" s="1"/>
  <c r="I73" i="26"/>
  <c r="P73" i="26" s="1"/>
  <c r="T73" i="26" s="1"/>
  <c r="I72" i="26"/>
  <c r="P72" i="26" s="1"/>
  <c r="T72" i="26" s="1"/>
  <c r="I71" i="26"/>
  <c r="P71" i="26" s="1"/>
  <c r="T71" i="26" s="1"/>
  <c r="I70" i="26"/>
  <c r="P70" i="26" s="1"/>
  <c r="I69" i="26"/>
  <c r="P69" i="26" s="1"/>
  <c r="T69" i="26" s="1"/>
  <c r="I68" i="26"/>
  <c r="P68" i="26" s="1"/>
  <c r="T68" i="26" s="1"/>
  <c r="I67" i="26"/>
  <c r="P67" i="26" s="1"/>
  <c r="T67" i="26" s="1"/>
  <c r="I66" i="26"/>
  <c r="P66" i="26" s="1"/>
  <c r="T66" i="26" s="1"/>
  <c r="I65" i="26"/>
  <c r="P65" i="26" s="1"/>
  <c r="T65" i="26" s="1"/>
  <c r="I64" i="26"/>
  <c r="P64" i="26" s="1"/>
  <c r="T64" i="26" s="1"/>
  <c r="I63" i="26"/>
  <c r="P63" i="26" s="1"/>
  <c r="T63" i="26" s="1"/>
  <c r="I62" i="26"/>
  <c r="P62" i="26" s="1"/>
  <c r="T62" i="26" s="1"/>
  <c r="I61" i="26"/>
  <c r="P61" i="26" s="1"/>
  <c r="T61" i="26" s="1"/>
  <c r="I60" i="26"/>
  <c r="P60" i="26" s="1"/>
  <c r="T60" i="26" s="1"/>
  <c r="I59" i="26"/>
  <c r="P59" i="26" s="1"/>
  <c r="T59" i="26" s="1"/>
  <c r="I58" i="26"/>
  <c r="P58" i="26" s="1"/>
  <c r="I57" i="26"/>
  <c r="P57" i="26" s="1"/>
  <c r="T57" i="26" s="1"/>
  <c r="I56" i="26"/>
  <c r="P56" i="26" s="1"/>
  <c r="T56" i="26" s="1"/>
  <c r="I55" i="26"/>
  <c r="P55" i="26" s="1"/>
  <c r="T55" i="26" s="1"/>
  <c r="I54" i="26"/>
  <c r="P54" i="26" s="1"/>
  <c r="T54" i="26" s="1"/>
  <c r="I53" i="26"/>
  <c r="P53" i="26" s="1"/>
  <c r="T53" i="26" s="1"/>
  <c r="I52" i="26"/>
  <c r="P52" i="26" s="1"/>
  <c r="T52" i="26" s="1"/>
  <c r="I51" i="26"/>
  <c r="P51" i="26" s="1"/>
  <c r="T51" i="26" s="1"/>
  <c r="I50" i="26"/>
  <c r="P50" i="26" s="1"/>
  <c r="T50" i="26" s="1"/>
  <c r="I49" i="26"/>
  <c r="P49" i="26" s="1"/>
  <c r="I48" i="26"/>
  <c r="P48" i="26" s="1"/>
  <c r="T48" i="26" s="1"/>
  <c r="I47" i="26"/>
  <c r="P47" i="26" s="1"/>
  <c r="T47" i="26" s="1"/>
  <c r="I46" i="26"/>
  <c r="P46" i="26" s="1"/>
  <c r="T46" i="26" s="1"/>
  <c r="I45" i="26"/>
  <c r="P45" i="26" s="1"/>
  <c r="T45" i="26" s="1"/>
  <c r="I44" i="26"/>
  <c r="P44" i="26" s="1"/>
  <c r="T44" i="26" s="1"/>
  <c r="I43" i="26"/>
  <c r="P43" i="26" s="1"/>
  <c r="T43" i="26" s="1"/>
  <c r="I42" i="26"/>
  <c r="P42" i="26" s="1"/>
  <c r="T42" i="26" s="1"/>
  <c r="I41" i="26"/>
  <c r="P41" i="26" s="1"/>
  <c r="T41" i="26" s="1"/>
  <c r="I40" i="26"/>
  <c r="P40" i="26" s="1"/>
  <c r="T40" i="26" s="1"/>
  <c r="I39" i="26"/>
  <c r="P39" i="26" s="1"/>
  <c r="T39" i="26" s="1"/>
  <c r="I38" i="26"/>
  <c r="P38" i="26" s="1"/>
  <c r="T38" i="26" s="1"/>
  <c r="I37" i="26"/>
  <c r="P37" i="26" s="1"/>
  <c r="T37" i="26" s="1"/>
  <c r="I36" i="26"/>
  <c r="P36" i="26" s="1"/>
  <c r="T36" i="26" s="1"/>
  <c r="I35" i="26"/>
  <c r="P35" i="26" s="1"/>
  <c r="I34" i="26"/>
  <c r="P34" i="26" s="1"/>
  <c r="T34" i="26" s="1"/>
  <c r="I33" i="26"/>
  <c r="I32" i="26"/>
  <c r="P32" i="26" s="1"/>
  <c r="T32" i="26" s="1"/>
  <c r="I15" i="26"/>
  <c r="P15" i="26" s="1"/>
  <c r="P162" i="26" s="1"/>
  <c r="I17" i="26"/>
  <c r="P17" i="26" s="1"/>
  <c r="I19" i="26"/>
  <c r="P19" i="26" s="1"/>
  <c r="I22" i="26"/>
  <c r="P22" i="26" s="1"/>
  <c r="T22" i="26" s="1"/>
  <c r="I23" i="26"/>
  <c r="P23" i="26" s="1"/>
  <c r="I24" i="26"/>
  <c r="P24" i="26" s="1"/>
  <c r="I25" i="26"/>
  <c r="B175" i="26"/>
  <c r="O173" i="26"/>
  <c r="B173" i="26"/>
  <c r="A173" i="26"/>
  <c r="N172" i="26"/>
  <c r="L172" i="26"/>
  <c r="C172" i="26"/>
  <c r="B172" i="26"/>
  <c r="O171" i="26"/>
  <c r="N171" i="26"/>
  <c r="M171" i="26"/>
  <c r="L171" i="26"/>
  <c r="K171" i="26"/>
  <c r="J171" i="26"/>
  <c r="H171" i="26"/>
  <c r="G171" i="26"/>
  <c r="F171" i="26"/>
  <c r="E171" i="26"/>
  <c r="D171" i="26"/>
  <c r="C171" i="26"/>
  <c r="B171" i="26"/>
  <c r="A171" i="26"/>
  <c r="O170" i="26"/>
  <c r="N170" i="26"/>
  <c r="M170" i="26"/>
  <c r="L170" i="26"/>
  <c r="K170" i="26"/>
  <c r="J170" i="26"/>
  <c r="H170" i="26"/>
  <c r="G170" i="26"/>
  <c r="F170" i="26"/>
  <c r="E170" i="26"/>
  <c r="D170" i="26"/>
  <c r="C170" i="26"/>
  <c r="B170" i="26"/>
  <c r="A170" i="26"/>
  <c r="O169" i="26"/>
  <c r="N169" i="26"/>
  <c r="M169" i="26"/>
  <c r="L169" i="26"/>
  <c r="K169" i="26"/>
  <c r="J169" i="26"/>
  <c r="H169" i="26"/>
  <c r="G169" i="26"/>
  <c r="F169" i="26"/>
  <c r="E169" i="26"/>
  <c r="D169" i="26"/>
  <c r="C169" i="26"/>
  <c r="B169" i="26"/>
  <c r="A169" i="26"/>
  <c r="E168" i="26"/>
  <c r="B168" i="26"/>
  <c r="A168" i="26"/>
  <c r="B167" i="26"/>
  <c r="A167" i="26"/>
  <c r="O166" i="26"/>
  <c r="N166" i="26"/>
  <c r="M166" i="26"/>
  <c r="L166" i="26"/>
  <c r="K166" i="26"/>
  <c r="J166" i="26"/>
  <c r="H166" i="26"/>
  <c r="G166" i="26"/>
  <c r="F166" i="26"/>
  <c r="E166" i="26"/>
  <c r="D166" i="26"/>
  <c r="C166" i="26"/>
  <c r="B166" i="26"/>
  <c r="A166" i="26"/>
  <c r="L165" i="26"/>
  <c r="B165" i="26"/>
  <c r="A165" i="26"/>
  <c r="O164" i="26"/>
  <c r="N164" i="26"/>
  <c r="M164" i="26"/>
  <c r="L164" i="26"/>
  <c r="K164" i="26"/>
  <c r="J164" i="26"/>
  <c r="H164" i="26"/>
  <c r="G164" i="26"/>
  <c r="F164" i="26"/>
  <c r="E164" i="26"/>
  <c r="D164" i="26"/>
  <c r="C164" i="26"/>
  <c r="B164" i="26"/>
  <c r="A164" i="26"/>
  <c r="M163" i="26"/>
  <c r="E163" i="26"/>
  <c r="B163" i="26"/>
  <c r="A163" i="26"/>
  <c r="L162" i="26"/>
  <c r="G162" i="26"/>
  <c r="C162" i="26"/>
  <c r="B162" i="26"/>
  <c r="A162" i="26"/>
  <c r="O161" i="26"/>
  <c r="N161" i="26"/>
  <c r="B161" i="26"/>
  <c r="A161" i="26"/>
  <c r="S145" i="26"/>
  <c r="R145" i="26"/>
  <c r="C145" i="26"/>
  <c r="D142" i="26"/>
  <c r="E142" i="26" s="1"/>
  <c r="E145" i="26" s="1"/>
  <c r="G140" i="26"/>
  <c r="D140" i="26"/>
  <c r="S132" i="26"/>
  <c r="R132" i="26"/>
  <c r="N132" i="26"/>
  <c r="M132" i="26"/>
  <c r="L132" i="26"/>
  <c r="K132" i="26"/>
  <c r="J132" i="26"/>
  <c r="H132" i="26"/>
  <c r="G132" i="26"/>
  <c r="F132" i="26"/>
  <c r="E132" i="26"/>
  <c r="D132" i="26"/>
  <c r="C132" i="26"/>
  <c r="T131" i="26"/>
  <c r="O119" i="26"/>
  <c r="O132" i="26" s="1"/>
  <c r="Z114" i="26"/>
  <c r="Z115" i="26" s="1"/>
  <c r="U112" i="26"/>
  <c r="U114" i="26" s="1"/>
  <c r="S110" i="26"/>
  <c r="R110" i="26"/>
  <c r="H110" i="26"/>
  <c r="F110" i="26"/>
  <c r="D110" i="26"/>
  <c r="C110" i="26"/>
  <c r="J110" i="26"/>
  <c r="G110" i="26"/>
  <c r="E110" i="26"/>
  <c r="S104" i="26"/>
  <c r="R104" i="26"/>
  <c r="N104" i="26"/>
  <c r="L104" i="26"/>
  <c r="J104" i="26"/>
  <c r="H104" i="26"/>
  <c r="G104" i="26"/>
  <c r="F104" i="26"/>
  <c r="E104" i="26"/>
  <c r="D104" i="26"/>
  <c r="C104" i="26"/>
  <c r="T103" i="26"/>
  <c r="V92" i="26"/>
  <c r="V112" i="26" s="1"/>
  <c r="V114" i="26" s="1"/>
  <c r="S92" i="26"/>
  <c r="R92" i="26"/>
  <c r="C92" i="26"/>
  <c r="T91" i="26"/>
  <c r="D92" i="26"/>
  <c r="S77" i="26"/>
  <c r="R77" i="26"/>
  <c r="E77" i="26"/>
  <c r="D77" i="26"/>
  <c r="C77" i="26"/>
  <c r="T76" i="26"/>
  <c r="G77" i="26"/>
  <c r="S28" i="26"/>
  <c r="R28" i="26"/>
  <c r="T27" i="26"/>
  <c r="N173" i="26"/>
  <c r="M173" i="26"/>
  <c r="L173" i="26"/>
  <c r="K173" i="26"/>
  <c r="J173" i="26"/>
  <c r="E173" i="26"/>
  <c r="D173" i="26"/>
  <c r="O172" i="26"/>
  <c r="M172" i="26"/>
  <c r="K172" i="26"/>
  <c r="J172" i="26"/>
  <c r="H172" i="26"/>
  <c r="G172" i="26"/>
  <c r="F172" i="26"/>
  <c r="E172" i="26"/>
  <c r="D172" i="26"/>
  <c r="O168" i="26"/>
  <c r="N168" i="26"/>
  <c r="M168" i="26"/>
  <c r="L168" i="26"/>
  <c r="K168" i="26"/>
  <c r="J168" i="26"/>
  <c r="O167" i="26"/>
  <c r="N167" i="26"/>
  <c r="M167" i="26"/>
  <c r="L167" i="26"/>
  <c r="K167" i="26"/>
  <c r="J167" i="26"/>
  <c r="E167" i="26"/>
  <c r="C167" i="26"/>
  <c r="O165" i="26"/>
  <c r="N165" i="26"/>
  <c r="M165" i="26"/>
  <c r="K165" i="26"/>
  <c r="J165" i="26"/>
  <c r="D165" i="26"/>
  <c r="O163" i="26"/>
  <c r="N163" i="26"/>
  <c r="L163" i="26"/>
  <c r="K163" i="26"/>
  <c r="J163" i="26"/>
  <c r="F163" i="26"/>
  <c r="D163" i="26"/>
  <c r="O162" i="26"/>
  <c r="N162" i="26"/>
  <c r="M162" i="26"/>
  <c r="K162" i="26"/>
  <c r="J162" i="26"/>
  <c r="H162" i="26"/>
  <c r="F162" i="26"/>
  <c r="E162" i="26"/>
  <c r="D162" i="26"/>
  <c r="N28" i="26"/>
  <c r="M161" i="26"/>
  <c r="L161" i="26"/>
  <c r="K161" i="26"/>
  <c r="J161" i="26"/>
  <c r="P1" i="26"/>
  <c r="FH65" i="14"/>
  <c r="FH68" i="14"/>
  <c r="H77" i="26"/>
  <c r="L28" i="26"/>
  <c r="P25" i="26"/>
  <c r="P172" i="26" s="1"/>
  <c r="M28" i="26"/>
  <c r="F77" i="26"/>
  <c r="T70" i="26"/>
  <c r="T89" i="26"/>
  <c r="O28" i="26"/>
  <c r="J28" i="26"/>
  <c r="T58" i="26"/>
  <c r="K104" i="26"/>
  <c r="T136" i="26"/>
  <c r="K28" i="26"/>
  <c r="FH67" i="14"/>
  <c r="M104" i="26"/>
  <c r="O104" i="26"/>
  <c r="E92" i="26"/>
  <c r="K110" i="26"/>
  <c r="J77" i="26"/>
  <c r="L110" i="26"/>
  <c r="K77" i="26"/>
  <c r="F92" i="26"/>
  <c r="W87" i="26"/>
  <c r="M110" i="26"/>
  <c r="G92" i="26"/>
  <c r="L77" i="26"/>
  <c r="M77" i="26"/>
  <c r="N110" i="26"/>
  <c r="H92" i="26"/>
  <c r="AB6" i="14"/>
  <c r="AB7" i="14"/>
  <c r="AB8" i="14"/>
  <c r="Z14" i="14"/>
  <c r="AA14" i="14"/>
  <c r="Z15" i="14"/>
  <c r="AA15" i="14"/>
  <c r="Z16" i="14"/>
  <c r="AA16" i="14"/>
  <c r="Z17" i="14"/>
  <c r="AA17" i="14"/>
  <c r="Z18" i="14"/>
  <c r="AA18" i="14"/>
  <c r="Z19" i="14"/>
  <c r="AA19" i="14"/>
  <c r="Z20" i="14"/>
  <c r="AA20" i="14"/>
  <c r="Z25" i="14"/>
  <c r="AA25" i="14"/>
  <c r="Z26" i="14"/>
  <c r="AA26" i="14"/>
  <c r="Z27" i="14"/>
  <c r="AA27" i="14"/>
  <c r="Z28" i="14"/>
  <c r="AA28" i="14"/>
  <c r="Z29" i="14"/>
  <c r="AA29" i="14"/>
  <c r="Z30" i="14"/>
  <c r="AA30" i="14"/>
  <c r="Z31" i="14"/>
  <c r="AA31" i="14"/>
  <c r="Z32" i="14"/>
  <c r="AA32" i="14"/>
  <c r="Z33" i="14"/>
  <c r="AA33" i="14"/>
  <c r="Z34" i="14"/>
  <c r="AA34" i="14"/>
  <c r="Z35" i="14"/>
  <c r="AA35" i="14"/>
  <c r="Z36" i="14"/>
  <c r="AA36" i="14"/>
  <c r="Z37" i="14"/>
  <c r="AA37" i="14"/>
  <c r="Z38" i="14"/>
  <c r="AA38" i="14"/>
  <c r="Z39" i="14"/>
  <c r="AA39" i="14"/>
  <c r="Z40" i="14"/>
  <c r="AA40" i="14"/>
  <c r="Z41" i="14"/>
  <c r="AA41" i="14"/>
  <c r="Z42" i="14"/>
  <c r="AA42" i="14"/>
  <c r="Z43" i="14"/>
  <c r="AA43" i="14"/>
  <c r="Z44" i="14"/>
  <c r="AA44" i="14"/>
  <c r="Z45" i="14"/>
  <c r="AA45" i="14"/>
  <c r="Z46" i="14"/>
  <c r="AA46" i="14"/>
  <c r="Z48" i="14"/>
  <c r="AA48" i="14"/>
  <c r="Z49" i="14"/>
  <c r="AA49" i="14"/>
  <c r="Z50" i="14"/>
  <c r="AA50" i="14"/>
  <c r="Z51" i="14"/>
  <c r="AA51" i="14"/>
  <c r="Z52" i="14"/>
  <c r="AA52" i="14"/>
  <c r="Z82" i="14"/>
  <c r="AA82" i="14"/>
  <c r="Z99" i="14"/>
  <c r="AA99" i="14"/>
  <c r="O110" i="26"/>
  <c r="N77" i="26"/>
  <c r="J92" i="26"/>
  <c r="O77" i="26"/>
  <c r="K92" i="26"/>
  <c r="DX99" i="14"/>
  <c r="DX45" i="14"/>
  <c r="DX44" i="14"/>
  <c r="EG44" i="14" s="1"/>
  <c r="DX43" i="14"/>
  <c r="CN45" i="14"/>
  <c r="CN44" i="14"/>
  <c r="CN43" i="14"/>
  <c r="AL45" i="14"/>
  <c r="AU45" i="14" s="1"/>
  <c r="BD45" i="14" s="1"/>
  <c r="AL49" i="14"/>
  <c r="AU49" i="14" s="1"/>
  <c r="BD49" i="14" s="1"/>
  <c r="CN49" i="14"/>
  <c r="AL48" i="14"/>
  <c r="CN48" i="14"/>
  <c r="AL44" i="14"/>
  <c r="AL43" i="14"/>
  <c r="FH43" i="14"/>
  <c r="FH44" i="14"/>
  <c r="FH45" i="14"/>
  <c r="FH49" i="14"/>
  <c r="L92" i="26"/>
  <c r="M92" i="26"/>
  <c r="AC101" i="14"/>
  <c r="AL99" i="14"/>
  <c r="CN99" i="14"/>
  <c r="CN101" i="14" s="1"/>
  <c r="P165" i="1"/>
  <c r="O46" i="1"/>
  <c r="N92" i="26"/>
  <c r="O92" i="26"/>
  <c r="I120" i="1"/>
  <c r="DO101" i="14"/>
  <c r="DF101" i="14"/>
  <c r="CW101" i="14"/>
  <c r="CE101" i="14"/>
  <c r="T101" i="14"/>
  <c r="EN99" i="14"/>
  <c r="EM99" i="14"/>
  <c r="EE99" i="14"/>
  <c r="ED99" i="14"/>
  <c r="DV99" i="14"/>
  <c r="DU99" i="14"/>
  <c r="DM99" i="14"/>
  <c r="DL99" i="14"/>
  <c r="DD99" i="14"/>
  <c r="DC99" i="14"/>
  <c r="CU99" i="14"/>
  <c r="CT99" i="14"/>
  <c r="CL99" i="14"/>
  <c r="CK99" i="14"/>
  <c r="CC99" i="14"/>
  <c r="CB99" i="14"/>
  <c r="BT99" i="14"/>
  <c r="BS99" i="14"/>
  <c r="BK99" i="14"/>
  <c r="AS99" i="14"/>
  <c r="AR99" i="14"/>
  <c r="AJ99" i="14"/>
  <c r="AI99" i="14"/>
  <c r="R99" i="14"/>
  <c r="Q99" i="14"/>
  <c r="I99" i="14"/>
  <c r="H99" i="14"/>
  <c r="EN82" i="14"/>
  <c r="EM82" i="14"/>
  <c r="EE82" i="14"/>
  <c r="ED82" i="14"/>
  <c r="DV82" i="14"/>
  <c r="DU82" i="14"/>
  <c r="DM82" i="14"/>
  <c r="DL82" i="14"/>
  <c r="DD82" i="14"/>
  <c r="DC82" i="14"/>
  <c r="CU82" i="14"/>
  <c r="CT82" i="14"/>
  <c r="CL82" i="14"/>
  <c r="CK82" i="14"/>
  <c r="CC82" i="14"/>
  <c r="CB82" i="14"/>
  <c r="BT82" i="14"/>
  <c r="BS82" i="14"/>
  <c r="BK82" i="14"/>
  <c r="AS82" i="14"/>
  <c r="AR82" i="14"/>
  <c r="AJ82" i="14"/>
  <c r="AI82" i="14"/>
  <c r="R82" i="14"/>
  <c r="Q82" i="14"/>
  <c r="I82" i="14"/>
  <c r="H82" i="14"/>
  <c r="EN52" i="14"/>
  <c r="EM52" i="14"/>
  <c r="EE52" i="14"/>
  <c r="ED52" i="14"/>
  <c r="DV52" i="14"/>
  <c r="DU52" i="14"/>
  <c r="DM52" i="14"/>
  <c r="DL52" i="14"/>
  <c r="DD52" i="14"/>
  <c r="DC52" i="14"/>
  <c r="CU52" i="14"/>
  <c r="CT52" i="14"/>
  <c r="CL52" i="14"/>
  <c r="CK52" i="14"/>
  <c r="CC52" i="14"/>
  <c r="CB52" i="14"/>
  <c r="BT52" i="14"/>
  <c r="BS52" i="14"/>
  <c r="BK52" i="14"/>
  <c r="AS52" i="14"/>
  <c r="AR52" i="14"/>
  <c r="AJ52" i="14"/>
  <c r="AI52" i="14"/>
  <c r="R52" i="14"/>
  <c r="Q52" i="14"/>
  <c r="I52" i="14"/>
  <c r="H52" i="14"/>
  <c r="EN51" i="14"/>
  <c r="EM51" i="14"/>
  <c r="EE51" i="14"/>
  <c r="ED51" i="14"/>
  <c r="DV51" i="14"/>
  <c r="DU51" i="14"/>
  <c r="DM51" i="14"/>
  <c r="DL51" i="14"/>
  <c r="DD51" i="14"/>
  <c r="DC51" i="14"/>
  <c r="CU51" i="14"/>
  <c r="CT51" i="14"/>
  <c r="CL51" i="14"/>
  <c r="CK51" i="14"/>
  <c r="CC51" i="14"/>
  <c r="CB51" i="14"/>
  <c r="BT51" i="14"/>
  <c r="BS51" i="14"/>
  <c r="BK51" i="14"/>
  <c r="AS51" i="14"/>
  <c r="AR51" i="14"/>
  <c r="AJ51" i="14"/>
  <c r="AI51" i="14"/>
  <c r="R51" i="14"/>
  <c r="Q51" i="14"/>
  <c r="I51" i="14"/>
  <c r="H51" i="14"/>
  <c r="EN50" i="14"/>
  <c r="EM50" i="14"/>
  <c r="EE50" i="14"/>
  <c r="ED50" i="14"/>
  <c r="DV50" i="14"/>
  <c r="DU50" i="14"/>
  <c r="DM50" i="14"/>
  <c r="DL50" i="14"/>
  <c r="DD50" i="14"/>
  <c r="DC50" i="14"/>
  <c r="CU50" i="14"/>
  <c r="CT50" i="14"/>
  <c r="CL50" i="14"/>
  <c r="CK50" i="14"/>
  <c r="CC50" i="14"/>
  <c r="CB50" i="14"/>
  <c r="BT50" i="14"/>
  <c r="BS50" i="14"/>
  <c r="BK50" i="14"/>
  <c r="AS50" i="14"/>
  <c r="AR50" i="14"/>
  <c r="AJ50" i="14"/>
  <c r="AI50" i="14"/>
  <c r="R50" i="14"/>
  <c r="Q50" i="14"/>
  <c r="I50" i="14"/>
  <c r="H50" i="14"/>
  <c r="EN49" i="14"/>
  <c r="EM49" i="14"/>
  <c r="EE49" i="14"/>
  <c r="ED49" i="14"/>
  <c r="DV49" i="14"/>
  <c r="DU49" i="14"/>
  <c r="DM49" i="14"/>
  <c r="DL49" i="14"/>
  <c r="DD49" i="14"/>
  <c r="DC49" i="14"/>
  <c r="CU49" i="14"/>
  <c r="CT49" i="14"/>
  <c r="CL49" i="14"/>
  <c r="CK49" i="14"/>
  <c r="CC49" i="14"/>
  <c r="CB49" i="14"/>
  <c r="BT49" i="14"/>
  <c r="BS49" i="14"/>
  <c r="BK49" i="14"/>
  <c r="AS49" i="14"/>
  <c r="AR49" i="14"/>
  <c r="AJ49" i="14"/>
  <c r="AI49" i="14"/>
  <c r="R49" i="14"/>
  <c r="Q49" i="14"/>
  <c r="I49" i="14"/>
  <c r="H49" i="14"/>
  <c r="EN48" i="14"/>
  <c r="EM48" i="14"/>
  <c r="EE48" i="14"/>
  <c r="ED48" i="14"/>
  <c r="DV48" i="14"/>
  <c r="DU48" i="14"/>
  <c r="DM48" i="14"/>
  <c r="DL48" i="14"/>
  <c r="DD48" i="14"/>
  <c r="DC48" i="14"/>
  <c r="CU48" i="14"/>
  <c r="CT48" i="14"/>
  <c r="CL48" i="14"/>
  <c r="CK48" i="14"/>
  <c r="CC48" i="14"/>
  <c r="CB48" i="14"/>
  <c r="BT48" i="14"/>
  <c r="BS48" i="14"/>
  <c r="BK48" i="14"/>
  <c r="AS48" i="14"/>
  <c r="AR48" i="14"/>
  <c r="AJ48" i="14"/>
  <c r="AI48" i="14"/>
  <c r="R48" i="14"/>
  <c r="Q48" i="14"/>
  <c r="I48" i="14"/>
  <c r="H48" i="14"/>
  <c r="EN46" i="14"/>
  <c r="EM46" i="14"/>
  <c r="EE46" i="14"/>
  <c r="ED46" i="14"/>
  <c r="DV46" i="14"/>
  <c r="DU46" i="14"/>
  <c r="DM46" i="14"/>
  <c r="DL46" i="14"/>
  <c r="DD46" i="14"/>
  <c r="DC46" i="14"/>
  <c r="CU46" i="14"/>
  <c r="CT46" i="14"/>
  <c r="CL46" i="14"/>
  <c r="CK46" i="14"/>
  <c r="CC46" i="14"/>
  <c r="CB46" i="14"/>
  <c r="BT46" i="14"/>
  <c r="BS46" i="14"/>
  <c r="BK46" i="14"/>
  <c r="AS46" i="14"/>
  <c r="AR46" i="14"/>
  <c r="AJ46" i="14"/>
  <c r="AI46" i="14"/>
  <c r="R46" i="14"/>
  <c r="Q46" i="14"/>
  <c r="I46" i="14"/>
  <c r="H46" i="14"/>
  <c r="EN45" i="14"/>
  <c r="EM45" i="14"/>
  <c r="EE45" i="14"/>
  <c r="ED45" i="14"/>
  <c r="DV45" i="14"/>
  <c r="DU45" i="14"/>
  <c r="DM45" i="14"/>
  <c r="DL45" i="14"/>
  <c r="DD45" i="14"/>
  <c r="DC45" i="14"/>
  <c r="CU45" i="14"/>
  <c r="CT45" i="14"/>
  <c r="CL45" i="14"/>
  <c r="CK45" i="14"/>
  <c r="CC45" i="14"/>
  <c r="CB45" i="14"/>
  <c r="BT45" i="14"/>
  <c r="BS45" i="14"/>
  <c r="BK45" i="14"/>
  <c r="AS45" i="14"/>
  <c r="AR45" i="14"/>
  <c r="AJ45" i="14"/>
  <c r="AI45" i="14"/>
  <c r="R45" i="14"/>
  <c r="Q45" i="14"/>
  <c r="I45" i="14"/>
  <c r="H45" i="14"/>
  <c r="EN44" i="14"/>
  <c r="EM44" i="14"/>
  <c r="EE44" i="14"/>
  <c r="ED44" i="14"/>
  <c r="DV44" i="14"/>
  <c r="DU44" i="14"/>
  <c r="DM44" i="14"/>
  <c r="DL44" i="14"/>
  <c r="DD44" i="14"/>
  <c r="DC44" i="14"/>
  <c r="CU44" i="14"/>
  <c r="CT44" i="14"/>
  <c r="CL44" i="14"/>
  <c r="CK44" i="14"/>
  <c r="CC44" i="14"/>
  <c r="CB44" i="14"/>
  <c r="BT44" i="14"/>
  <c r="BS44" i="14"/>
  <c r="BK44" i="14"/>
  <c r="AS44" i="14"/>
  <c r="AR44" i="14"/>
  <c r="AJ44" i="14"/>
  <c r="AI44" i="14"/>
  <c r="R44" i="14"/>
  <c r="Q44" i="14"/>
  <c r="I44" i="14"/>
  <c r="H44" i="14"/>
  <c r="EN43" i="14"/>
  <c r="EM43" i="14"/>
  <c r="EE43" i="14"/>
  <c r="ED43" i="14"/>
  <c r="DV43" i="14"/>
  <c r="DU43" i="14"/>
  <c r="DM43" i="14"/>
  <c r="DL43" i="14"/>
  <c r="DD43" i="14"/>
  <c r="DC43" i="14"/>
  <c r="CU43" i="14"/>
  <c r="CT43" i="14"/>
  <c r="CL43" i="14"/>
  <c r="CK43" i="14"/>
  <c r="CC43" i="14"/>
  <c r="CB43" i="14"/>
  <c r="BT43" i="14"/>
  <c r="BS43" i="14"/>
  <c r="BK43" i="14"/>
  <c r="AS43" i="14"/>
  <c r="AR43" i="14"/>
  <c r="AJ43" i="14"/>
  <c r="AI43" i="14"/>
  <c r="R43" i="14"/>
  <c r="Q43" i="14"/>
  <c r="I43" i="14"/>
  <c r="H43" i="14"/>
  <c r="EN42" i="14"/>
  <c r="EM42" i="14"/>
  <c r="EE42" i="14"/>
  <c r="ED42" i="14"/>
  <c r="DV42" i="14"/>
  <c r="DU42" i="14"/>
  <c r="DM42" i="14"/>
  <c r="DL42" i="14"/>
  <c r="DD42" i="14"/>
  <c r="DC42" i="14"/>
  <c r="CU42" i="14"/>
  <c r="CT42" i="14"/>
  <c r="CL42" i="14"/>
  <c r="CK42" i="14"/>
  <c r="CC42" i="14"/>
  <c r="CB42" i="14"/>
  <c r="BT42" i="14"/>
  <c r="BS42" i="14"/>
  <c r="BK42" i="14"/>
  <c r="AS42" i="14"/>
  <c r="AR42" i="14"/>
  <c r="AJ42" i="14"/>
  <c r="AI42" i="14"/>
  <c r="R42" i="14"/>
  <c r="Q42" i="14"/>
  <c r="I42" i="14"/>
  <c r="H42" i="14"/>
  <c r="EN41" i="14"/>
  <c r="EM41" i="14"/>
  <c r="EE41" i="14"/>
  <c r="ED41" i="14"/>
  <c r="DV41" i="14"/>
  <c r="DU41" i="14"/>
  <c r="DM41" i="14"/>
  <c r="DL41" i="14"/>
  <c r="DD41" i="14"/>
  <c r="DC41" i="14"/>
  <c r="CU41" i="14"/>
  <c r="CT41" i="14"/>
  <c r="CL41" i="14"/>
  <c r="CK41" i="14"/>
  <c r="CC41" i="14"/>
  <c r="CB41" i="14"/>
  <c r="BT41" i="14"/>
  <c r="BS41" i="14"/>
  <c r="BK41" i="14"/>
  <c r="AS41" i="14"/>
  <c r="AR41" i="14"/>
  <c r="AJ41" i="14"/>
  <c r="AI41" i="14"/>
  <c r="R41" i="14"/>
  <c r="Q41" i="14"/>
  <c r="I41" i="14"/>
  <c r="H41" i="14"/>
  <c r="EN40" i="14"/>
  <c r="EM40" i="14"/>
  <c r="EE40" i="14"/>
  <c r="ED40" i="14"/>
  <c r="DV40" i="14"/>
  <c r="DU40" i="14"/>
  <c r="DM40" i="14"/>
  <c r="DL40" i="14"/>
  <c r="DD40" i="14"/>
  <c r="DC40" i="14"/>
  <c r="CU40" i="14"/>
  <c r="CT40" i="14"/>
  <c r="CL40" i="14"/>
  <c r="CK40" i="14"/>
  <c r="CC40" i="14"/>
  <c r="CB40" i="14"/>
  <c r="BT40" i="14"/>
  <c r="BS40" i="14"/>
  <c r="BK40" i="14"/>
  <c r="AS40" i="14"/>
  <c r="AR40" i="14"/>
  <c r="AJ40" i="14"/>
  <c r="AI40" i="14"/>
  <c r="R40" i="14"/>
  <c r="Q40" i="14"/>
  <c r="I40" i="14"/>
  <c r="H40" i="14"/>
  <c r="EN39" i="14"/>
  <c r="EM39" i="14"/>
  <c r="EE39" i="14"/>
  <c r="ED39" i="14"/>
  <c r="DV39" i="14"/>
  <c r="DU39" i="14"/>
  <c r="DM39" i="14"/>
  <c r="DL39" i="14"/>
  <c r="DD39" i="14"/>
  <c r="DC39" i="14"/>
  <c r="CU39" i="14"/>
  <c r="CT39" i="14"/>
  <c r="CL39" i="14"/>
  <c r="CK39" i="14"/>
  <c r="CC39" i="14"/>
  <c r="CB39" i="14"/>
  <c r="BT39" i="14"/>
  <c r="BS39" i="14"/>
  <c r="BK39" i="14"/>
  <c r="AS39" i="14"/>
  <c r="AR39" i="14"/>
  <c r="AJ39" i="14"/>
  <c r="AI39" i="14"/>
  <c r="R39" i="14"/>
  <c r="Q39" i="14"/>
  <c r="I39" i="14"/>
  <c r="H39" i="14"/>
  <c r="EN38" i="14"/>
  <c r="EM38" i="14"/>
  <c r="EE38" i="14"/>
  <c r="ED38" i="14"/>
  <c r="DV38" i="14"/>
  <c r="DU38" i="14"/>
  <c r="DM38" i="14"/>
  <c r="DL38" i="14"/>
  <c r="DD38" i="14"/>
  <c r="DC38" i="14"/>
  <c r="CU38" i="14"/>
  <c r="CT38" i="14"/>
  <c r="CL38" i="14"/>
  <c r="CK38" i="14"/>
  <c r="CC38" i="14"/>
  <c r="CB38" i="14"/>
  <c r="BT38" i="14"/>
  <c r="BS38" i="14"/>
  <c r="BK38" i="14"/>
  <c r="AS38" i="14"/>
  <c r="AR38" i="14"/>
  <c r="AJ38" i="14"/>
  <c r="AI38" i="14"/>
  <c r="R38" i="14"/>
  <c r="Q38" i="14"/>
  <c r="I38" i="14"/>
  <c r="H38" i="14"/>
  <c r="EN37" i="14"/>
  <c r="EM37" i="14"/>
  <c r="EE37" i="14"/>
  <c r="ED37" i="14"/>
  <c r="DV37" i="14"/>
  <c r="DU37" i="14"/>
  <c r="DM37" i="14"/>
  <c r="DL37" i="14"/>
  <c r="DD37" i="14"/>
  <c r="DC37" i="14"/>
  <c r="CU37" i="14"/>
  <c r="CT37" i="14"/>
  <c r="CL37" i="14"/>
  <c r="CK37" i="14"/>
  <c r="CC37" i="14"/>
  <c r="CB37" i="14"/>
  <c r="BT37" i="14"/>
  <c r="BS37" i="14"/>
  <c r="BK37" i="14"/>
  <c r="AS37" i="14"/>
  <c r="AR37" i="14"/>
  <c r="AJ37" i="14"/>
  <c r="AI37" i="14"/>
  <c r="R37" i="14"/>
  <c r="Q37" i="14"/>
  <c r="I37" i="14"/>
  <c r="H37" i="14"/>
  <c r="EN36" i="14"/>
  <c r="EM36" i="14"/>
  <c r="EE36" i="14"/>
  <c r="ED36" i="14"/>
  <c r="DV36" i="14"/>
  <c r="DU36" i="14"/>
  <c r="DM36" i="14"/>
  <c r="DL36" i="14"/>
  <c r="DD36" i="14"/>
  <c r="DC36" i="14"/>
  <c r="CU36" i="14"/>
  <c r="CT36" i="14"/>
  <c r="CL36" i="14"/>
  <c r="CK36" i="14"/>
  <c r="CC36" i="14"/>
  <c r="CB36" i="14"/>
  <c r="BT36" i="14"/>
  <c r="BS36" i="14"/>
  <c r="BK36" i="14"/>
  <c r="AS36" i="14"/>
  <c r="AR36" i="14"/>
  <c r="AJ36" i="14"/>
  <c r="AI36" i="14"/>
  <c r="R36" i="14"/>
  <c r="Q36" i="14"/>
  <c r="I36" i="14"/>
  <c r="H36" i="14"/>
  <c r="EN35" i="14"/>
  <c r="EM35" i="14"/>
  <c r="EE35" i="14"/>
  <c r="ED35" i="14"/>
  <c r="DV35" i="14"/>
  <c r="DU35" i="14"/>
  <c r="DM35" i="14"/>
  <c r="DL35" i="14"/>
  <c r="DD35" i="14"/>
  <c r="DC35" i="14"/>
  <c r="CU35" i="14"/>
  <c r="CT35" i="14"/>
  <c r="CL35" i="14"/>
  <c r="CK35" i="14"/>
  <c r="CC35" i="14"/>
  <c r="CB35" i="14"/>
  <c r="BT35" i="14"/>
  <c r="BS35" i="14"/>
  <c r="BK35" i="14"/>
  <c r="AS35" i="14"/>
  <c r="AR35" i="14"/>
  <c r="AJ35" i="14"/>
  <c r="AI35" i="14"/>
  <c r="R35" i="14"/>
  <c r="Q35" i="14"/>
  <c r="I35" i="14"/>
  <c r="H35" i="14"/>
  <c r="EN34" i="14"/>
  <c r="EM34" i="14"/>
  <c r="EE34" i="14"/>
  <c r="ED34" i="14"/>
  <c r="DV34" i="14"/>
  <c r="DU34" i="14"/>
  <c r="DM34" i="14"/>
  <c r="DL34" i="14"/>
  <c r="DD34" i="14"/>
  <c r="DC34" i="14"/>
  <c r="CU34" i="14"/>
  <c r="CT34" i="14"/>
  <c r="CL34" i="14"/>
  <c r="CK34" i="14"/>
  <c r="CC34" i="14"/>
  <c r="CB34" i="14"/>
  <c r="BT34" i="14"/>
  <c r="BS34" i="14"/>
  <c r="BK34" i="14"/>
  <c r="AS34" i="14"/>
  <c r="AR34" i="14"/>
  <c r="AJ34" i="14"/>
  <c r="AI34" i="14"/>
  <c r="R34" i="14"/>
  <c r="Q34" i="14"/>
  <c r="I34" i="14"/>
  <c r="H34" i="14"/>
  <c r="EN33" i="14"/>
  <c r="EM33" i="14"/>
  <c r="EE33" i="14"/>
  <c r="ED33" i="14"/>
  <c r="DV33" i="14"/>
  <c r="DU33" i="14"/>
  <c r="DM33" i="14"/>
  <c r="DL33" i="14"/>
  <c r="DD33" i="14"/>
  <c r="DC33" i="14"/>
  <c r="CU33" i="14"/>
  <c r="CT33" i="14"/>
  <c r="CL33" i="14"/>
  <c r="CK33" i="14"/>
  <c r="CC33" i="14"/>
  <c r="CB33" i="14"/>
  <c r="BT33" i="14"/>
  <c r="BS33" i="14"/>
  <c r="BK33" i="14"/>
  <c r="AS33" i="14"/>
  <c r="AR33" i="14"/>
  <c r="AJ33" i="14"/>
  <c r="AI33" i="14"/>
  <c r="R33" i="14"/>
  <c r="Q33" i="14"/>
  <c r="I33" i="14"/>
  <c r="H33" i="14"/>
  <c r="EN32" i="14"/>
  <c r="EM32" i="14"/>
  <c r="EE32" i="14"/>
  <c r="ED32" i="14"/>
  <c r="DV32" i="14"/>
  <c r="DU32" i="14"/>
  <c r="DM32" i="14"/>
  <c r="DL32" i="14"/>
  <c r="DD32" i="14"/>
  <c r="DC32" i="14"/>
  <c r="CU32" i="14"/>
  <c r="CT32" i="14"/>
  <c r="CL32" i="14"/>
  <c r="CK32" i="14"/>
  <c r="CC32" i="14"/>
  <c r="CB32" i="14"/>
  <c r="BT32" i="14"/>
  <c r="BS32" i="14"/>
  <c r="BK32" i="14"/>
  <c r="AS32" i="14"/>
  <c r="AR32" i="14"/>
  <c r="AJ32" i="14"/>
  <c r="AI32" i="14"/>
  <c r="R32" i="14"/>
  <c r="Q32" i="14"/>
  <c r="I32" i="14"/>
  <c r="H32" i="14"/>
  <c r="EN31" i="14"/>
  <c r="EM31" i="14"/>
  <c r="EE31" i="14"/>
  <c r="ED31" i="14"/>
  <c r="DV31" i="14"/>
  <c r="DU31" i="14"/>
  <c r="DM31" i="14"/>
  <c r="DL31" i="14"/>
  <c r="DD31" i="14"/>
  <c r="DC31" i="14"/>
  <c r="CU31" i="14"/>
  <c r="CT31" i="14"/>
  <c r="CL31" i="14"/>
  <c r="CK31" i="14"/>
  <c r="CC31" i="14"/>
  <c r="CB31" i="14"/>
  <c r="BT31" i="14"/>
  <c r="BS31" i="14"/>
  <c r="BK31" i="14"/>
  <c r="AS31" i="14"/>
  <c r="AR31" i="14"/>
  <c r="AJ31" i="14"/>
  <c r="AI31" i="14"/>
  <c r="R31" i="14"/>
  <c r="Q31" i="14"/>
  <c r="I31" i="14"/>
  <c r="H31" i="14"/>
  <c r="EN30" i="14"/>
  <c r="EM30" i="14"/>
  <c r="EE30" i="14"/>
  <c r="ED30" i="14"/>
  <c r="DV30" i="14"/>
  <c r="DU30" i="14"/>
  <c r="DM30" i="14"/>
  <c r="DL30" i="14"/>
  <c r="DD30" i="14"/>
  <c r="DC30" i="14"/>
  <c r="CU30" i="14"/>
  <c r="CT30" i="14"/>
  <c r="CL30" i="14"/>
  <c r="CK30" i="14"/>
  <c r="CC30" i="14"/>
  <c r="CB30" i="14"/>
  <c r="BT30" i="14"/>
  <c r="BS30" i="14"/>
  <c r="BK30" i="14"/>
  <c r="AS30" i="14"/>
  <c r="AR30" i="14"/>
  <c r="AJ30" i="14"/>
  <c r="AI30" i="14"/>
  <c r="R30" i="14"/>
  <c r="Q30" i="14"/>
  <c r="I30" i="14"/>
  <c r="H30" i="14"/>
  <c r="EN29" i="14"/>
  <c r="EM29" i="14"/>
  <c r="EE29" i="14"/>
  <c r="ED29" i="14"/>
  <c r="DV29" i="14"/>
  <c r="DU29" i="14"/>
  <c r="DM29" i="14"/>
  <c r="DL29" i="14"/>
  <c r="DD29" i="14"/>
  <c r="DC29" i="14"/>
  <c r="CU29" i="14"/>
  <c r="CT29" i="14"/>
  <c r="CL29" i="14"/>
  <c r="CK29" i="14"/>
  <c r="CC29" i="14"/>
  <c r="CB29" i="14"/>
  <c r="BT29" i="14"/>
  <c r="BS29" i="14"/>
  <c r="BK29" i="14"/>
  <c r="AS29" i="14"/>
  <c r="AR29" i="14"/>
  <c r="AJ29" i="14"/>
  <c r="AI29" i="14"/>
  <c r="R29" i="14"/>
  <c r="Q29" i="14"/>
  <c r="I29" i="14"/>
  <c r="H29" i="14"/>
  <c r="EN28" i="14"/>
  <c r="EM28" i="14"/>
  <c r="EE28" i="14"/>
  <c r="ED28" i="14"/>
  <c r="DV28" i="14"/>
  <c r="DU28" i="14"/>
  <c r="DM28" i="14"/>
  <c r="DL28" i="14"/>
  <c r="DD28" i="14"/>
  <c r="DC28" i="14"/>
  <c r="CU28" i="14"/>
  <c r="CT28" i="14"/>
  <c r="CL28" i="14"/>
  <c r="CK28" i="14"/>
  <c r="CC28" i="14"/>
  <c r="CB28" i="14"/>
  <c r="BT28" i="14"/>
  <c r="BS28" i="14"/>
  <c r="BK28" i="14"/>
  <c r="AS28" i="14"/>
  <c r="AR28" i="14"/>
  <c r="AJ28" i="14"/>
  <c r="AI28" i="14"/>
  <c r="R28" i="14"/>
  <c r="Q28" i="14"/>
  <c r="I28" i="14"/>
  <c r="H28" i="14"/>
  <c r="EN27" i="14"/>
  <c r="EM27" i="14"/>
  <c r="EE27" i="14"/>
  <c r="ED27" i="14"/>
  <c r="DV27" i="14"/>
  <c r="DU27" i="14"/>
  <c r="DM27" i="14"/>
  <c r="DL27" i="14"/>
  <c r="DD27" i="14"/>
  <c r="DC27" i="14"/>
  <c r="CU27" i="14"/>
  <c r="CT27" i="14"/>
  <c r="CL27" i="14"/>
  <c r="CK27" i="14"/>
  <c r="CC27" i="14"/>
  <c r="CB27" i="14"/>
  <c r="BT27" i="14"/>
  <c r="BS27" i="14"/>
  <c r="BK27" i="14"/>
  <c r="AS27" i="14"/>
  <c r="AR27" i="14"/>
  <c r="AJ27" i="14"/>
  <c r="AI27" i="14"/>
  <c r="R27" i="14"/>
  <c r="Q27" i="14"/>
  <c r="I27" i="14"/>
  <c r="H27" i="14"/>
  <c r="EN26" i="14"/>
  <c r="EM26" i="14"/>
  <c r="EE26" i="14"/>
  <c r="ED26" i="14"/>
  <c r="DV26" i="14"/>
  <c r="DU26" i="14"/>
  <c r="DM26" i="14"/>
  <c r="DL26" i="14"/>
  <c r="DD26" i="14"/>
  <c r="DC26" i="14"/>
  <c r="CU26" i="14"/>
  <c r="CT26" i="14"/>
  <c r="CL26" i="14"/>
  <c r="CK26" i="14"/>
  <c r="CC26" i="14"/>
  <c r="CB26" i="14"/>
  <c r="BT26" i="14"/>
  <c r="BS26" i="14"/>
  <c r="BK26" i="14"/>
  <c r="AS26" i="14"/>
  <c r="AR26" i="14"/>
  <c r="AJ26" i="14"/>
  <c r="AI26" i="14"/>
  <c r="R26" i="14"/>
  <c r="Q26" i="14"/>
  <c r="I26" i="14"/>
  <c r="H26" i="14"/>
  <c r="EN25" i="14"/>
  <c r="EM25" i="14"/>
  <c r="EE25" i="14"/>
  <c r="ED25" i="14"/>
  <c r="DV25" i="14"/>
  <c r="DU25" i="14"/>
  <c r="DM25" i="14"/>
  <c r="DL25" i="14"/>
  <c r="DD25" i="14"/>
  <c r="DC25" i="14"/>
  <c r="CU25" i="14"/>
  <c r="CT25" i="14"/>
  <c r="CL25" i="14"/>
  <c r="CK25" i="14"/>
  <c r="CC25" i="14"/>
  <c r="CB25" i="14"/>
  <c r="BT25" i="14"/>
  <c r="BS25" i="14"/>
  <c r="BK25" i="14"/>
  <c r="AS25" i="14"/>
  <c r="AR25" i="14"/>
  <c r="AJ25" i="14"/>
  <c r="AI25" i="14"/>
  <c r="R25" i="14"/>
  <c r="Q25" i="14"/>
  <c r="I25" i="14"/>
  <c r="H25" i="14"/>
  <c r="EN20" i="14"/>
  <c r="EM20" i="14"/>
  <c r="EE20" i="14"/>
  <c r="ED20" i="14"/>
  <c r="DV20" i="14"/>
  <c r="DU20" i="14"/>
  <c r="DM20" i="14"/>
  <c r="DL20" i="14"/>
  <c r="DD20" i="14"/>
  <c r="DC20" i="14"/>
  <c r="CU20" i="14"/>
  <c r="CT20" i="14"/>
  <c r="CL20" i="14"/>
  <c r="CK20" i="14"/>
  <c r="CC20" i="14"/>
  <c r="CB20" i="14"/>
  <c r="BT20" i="14"/>
  <c r="BS20" i="14"/>
  <c r="BK20" i="14"/>
  <c r="AS20" i="14"/>
  <c r="AR20" i="14"/>
  <c r="AJ20" i="14"/>
  <c r="AI20" i="14"/>
  <c r="R20" i="14"/>
  <c r="Q20" i="14"/>
  <c r="I20" i="14"/>
  <c r="H20" i="14"/>
  <c r="EN19" i="14"/>
  <c r="EM19" i="14"/>
  <c r="EE19" i="14"/>
  <c r="ED19" i="14"/>
  <c r="DV19" i="14"/>
  <c r="DU19" i="14"/>
  <c r="DM19" i="14"/>
  <c r="DL19" i="14"/>
  <c r="DD19" i="14"/>
  <c r="DC19" i="14"/>
  <c r="CU19" i="14"/>
  <c r="CT19" i="14"/>
  <c r="CL19" i="14"/>
  <c r="CK19" i="14"/>
  <c r="CC19" i="14"/>
  <c r="CB19" i="14"/>
  <c r="BT19" i="14"/>
  <c r="BS19" i="14"/>
  <c r="BK19" i="14"/>
  <c r="AS19" i="14"/>
  <c r="AR19" i="14"/>
  <c r="AJ19" i="14"/>
  <c r="AI19" i="14"/>
  <c r="R19" i="14"/>
  <c r="Q19" i="14"/>
  <c r="I19" i="14"/>
  <c r="H19" i="14"/>
  <c r="EN18" i="14"/>
  <c r="EM18" i="14"/>
  <c r="EE18" i="14"/>
  <c r="ED18" i="14"/>
  <c r="DV18" i="14"/>
  <c r="DU18" i="14"/>
  <c r="DM18" i="14"/>
  <c r="DL18" i="14"/>
  <c r="DD18" i="14"/>
  <c r="DC18" i="14"/>
  <c r="CU18" i="14"/>
  <c r="CT18" i="14"/>
  <c r="CL18" i="14"/>
  <c r="CK18" i="14"/>
  <c r="CC18" i="14"/>
  <c r="CB18" i="14"/>
  <c r="BT18" i="14"/>
  <c r="BS18" i="14"/>
  <c r="BK18" i="14"/>
  <c r="AS18" i="14"/>
  <c r="AR18" i="14"/>
  <c r="AJ18" i="14"/>
  <c r="AI18" i="14"/>
  <c r="R18" i="14"/>
  <c r="Q18" i="14"/>
  <c r="I18" i="14"/>
  <c r="H18" i="14"/>
  <c r="EN17" i="14"/>
  <c r="EM17" i="14"/>
  <c r="EE17" i="14"/>
  <c r="ED17" i="14"/>
  <c r="DV17" i="14"/>
  <c r="DU17" i="14"/>
  <c r="DM17" i="14"/>
  <c r="DL17" i="14"/>
  <c r="DD17" i="14"/>
  <c r="DC17" i="14"/>
  <c r="CU17" i="14"/>
  <c r="CT17" i="14"/>
  <c r="CL17" i="14"/>
  <c r="CK17" i="14"/>
  <c r="CC17" i="14"/>
  <c r="CB17" i="14"/>
  <c r="BT17" i="14"/>
  <c r="BS17" i="14"/>
  <c r="BK17" i="14"/>
  <c r="AS17" i="14"/>
  <c r="AR17" i="14"/>
  <c r="AJ17" i="14"/>
  <c r="AI17" i="14"/>
  <c r="R17" i="14"/>
  <c r="Q17" i="14"/>
  <c r="I17" i="14"/>
  <c r="H17" i="14"/>
  <c r="EN16" i="14"/>
  <c r="EM16" i="14"/>
  <c r="EE16" i="14"/>
  <c r="ED16" i="14"/>
  <c r="DV16" i="14"/>
  <c r="DU16" i="14"/>
  <c r="DM16" i="14"/>
  <c r="DL16" i="14"/>
  <c r="DD16" i="14"/>
  <c r="DC16" i="14"/>
  <c r="CU16" i="14"/>
  <c r="CT16" i="14"/>
  <c r="CL16" i="14"/>
  <c r="CK16" i="14"/>
  <c r="CC16" i="14"/>
  <c r="CB16" i="14"/>
  <c r="BT16" i="14"/>
  <c r="BS16" i="14"/>
  <c r="BK16" i="14"/>
  <c r="AS16" i="14"/>
  <c r="AR16" i="14"/>
  <c r="AJ16" i="14"/>
  <c r="AI16" i="14"/>
  <c r="R16" i="14"/>
  <c r="Q16" i="14"/>
  <c r="I16" i="14"/>
  <c r="H16" i="14"/>
  <c r="EN15" i="14"/>
  <c r="EM15" i="14"/>
  <c r="EE15" i="14"/>
  <c r="ED15" i="14"/>
  <c r="DV15" i="14"/>
  <c r="DU15" i="14"/>
  <c r="DM15" i="14"/>
  <c r="DL15" i="14"/>
  <c r="DD15" i="14"/>
  <c r="DC15" i="14"/>
  <c r="CU15" i="14"/>
  <c r="CT15" i="14"/>
  <c r="CL15" i="14"/>
  <c r="CK15" i="14"/>
  <c r="CC15" i="14"/>
  <c r="CB15" i="14"/>
  <c r="BT15" i="14"/>
  <c r="BS15" i="14"/>
  <c r="BK15" i="14"/>
  <c r="AS15" i="14"/>
  <c r="AR15" i="14"/>
  <c r="AJ15" i="14"/>
  <c r="AI15" i="14"/>
  <c r="R15" i="14"/>
  <c r="Q15" i="14"/>
  <c r="I15" i="14"/>
  <c r="H15" i="14"/>
  <c r="EN14" i="14"/>
  <c r="EM14" i="14"/>
  <c r="EE14" i="14"/>
  <c r="ED14" i="14"/>
  <c r="DV14" i="14"/>
  <c r="DU14" i="14"/>
  <c r="DM14" i="14"/>
  <c r="DL14" i="14"/>
  <c r="DD14" i="14"/>
  <c r="DC14" i="14"/>
  <c r="CU14" i="14"/>
  <c r="CT14" i="14"/>
  <c r="CL14" i="14"/>
  <c r="CK14" i="14"/>
  <c r="CC14" i="14"/>
  <c r="CB14" i="14"/>
  <c r="BT14" i="14"/>
  <c r="BS14" i="14"/>
  <c r="BK14" i="14"/>
  <c r="AS14" i="14"/>
  <c r="AR14" i="14"/>
  <c r="AJ14" i="14"/>
  <c r="AI14" i="14"/>
  <c r="R14" i="14"/>
  <c r="Q14" i="14"/>
  <c r="I14" i="14"/>
  <c r="H14" i="14"/>
  <c r="EO8" i="14"/>
  <c r="EF8" i="14"/>
  <c r="DW8" i="14"/>
  <c r="DN8" i="14"/>
  <c r="DE8" i="14"/>
  <c r="CM8" i="14"/>
  <c r="CD8" i="14"/>
  <c r="BU8" i="14"/>
  <c r="BL8" i="14"/>
  <c r="AT8" i="14"/>
  <c r="AK8" i="14"/>
  <c r="EO7" i="14"/>
  <c r="EF7" i="14"/>
  <c r="DW7" i="14"/>
  <c r="DN7" i="14"/>
  <c r="DE7" i="14"/>
  <c r="CV7" i="14"/>
  <c r="CM7" i="14"/>
  <c r="CD7" i="14"/>
  <c r="BU7" i="14"/>
  <c r="BL7" i="14"/>
  <c r="AT7" i="14"/>
  <c r="AK7" i="14"/>
  <c r="EO6" i="14"/>
  <c r="EF6" i="14"/>
  <c r="DW6" i="14"/>
  <c r="DN6" i="14"/>
  <c r="DE6" i="14"/>
  <c r="CV6" i="14"/>
  <c r="CM6" i="14"/>
  <c r="CD6" i="14"/>
  <c r="BU6" i="14"/>
  <c r="BL6" i="14"/>
  <c r="AT6" i="14"/>
  <c r="AK6" i="14"/>
  <c r="H4" i="14"/>
  <c r="Q4" i="14" s="1"/>
  <c r="Z4" i="14" s="1"/>
  <c r="AI4" i="14" s="1"/>
  <c r="AR4" i="14" s="1"/>
  <c r="H3" i="14"/>
  <c r="Q3" i="14" s="1"/>
  <c r="Z3" i="14" s="1"/>
  <c r="AI3" i="14" s="1"/>
  <c r="AR3" i="14" s="1"/>
  <c r="BA3" i="14" s="1"/>
  <c r="H2" i="14"/>
  <c r="Q2" i="14" s="1"/>
  <c r="Z2" i="14" s="1"/>
  <c r="AI2" i="14" s="1"/>
  <c r="AR2" i="14" s="1"/>
  <c r="BA2" i="14" s="1"/>
  <c r="A98" i="16"/>
  <c r="W97" i="16"/>
  <c r="A96" i="16"/>
  <c r="W95" i="16"/>
  <c r="A93" i="16"/>
  <c r="W92" i="16"/>
  <c r="A92" i="16"/>
  <c r="W91" i="16"/>
  <c r="A90" i="16"/>
  <c r="W89" i="16"/>
  <c r="A88" i="16"/>
  <c r="A87" i="16"/>
  <c r="A86" i="16"/>
  <c r="A85" i="16"/>
  <c r="A84" i="16"/>
  <c r="A82" i="16"/>
  <c r="W81" i="16"/>
  <c r="A81" i="16"/>
  <c r="W80" i="16"/>
  <c r="A79" i="16"/>
  <c r="W78" i="16"/>
  <c r="A70" i="16"/>
  <c r="A68" i="16"/>
  <c r="A66" i="16"/>
  <c r="A65" i="16"/>
  <c r="W64" i="16"/>
  <c r="A64" i="16"/>
  <c r="A55" i="16"/>
  <c r="W54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5" i="16"/>
  <c r="A14" i="16"/>
  <c r="A13" i="16"/>
  <c r="A12" i="16"/>
  <c r="A11" i="16"/>
  <c r="A10" i="16"/>
  <c r="A9" i="16"/>
  <c r="C14" i="9"/>
  <c r="D14" i="9" s="1"/>
  <c r="B14" i="9"/>
  <c r="A14" i="9"/>
  <c r="A6" i="9"/>
  <c r="A5" i="9"/>
  <c r="A4" i="9"/>
  <c r="A3" i="9"/>
  <c r="A2" i="9"/>
  <c r="C14" i="7"/>
  <c r="B14" i="7"/>
  <c r="A14" i="7"/>
  <c r="A6" i="7"/>
  <c r="A5" i="7"/>
  <c r="A4" i="7"/>
  <c r="A3" i="7"/>
  <c r="A2" i="7"/>
  <c r="B14" i="6"/>
  <c r="A14" i="6"/>
  <c r="A6" i="6"/>
  <c r="A5" i="6"/>
  <c r="A4" i="6"/>
  <c r="A3" i="6"/>
  <c r="A2" i="6"/>
  <c r="C14" i="10"/>
  <c r="B14" i="10"/>
  <c r="A14" i="10"/>
  <c r="A6" i="10"/>
  <c r="A5" i="10"/>
  <c r="A4" i="10"/>
  <c r="A3" i="10"/>
  <c r="A2" i="10"/>
  <c r="C14" i="8"/>
  <c r="B14" i="8"/>
  <c r="A14" i="8"/>
  <c r="A6" i="8"/>
  <c r="A5" i="8"/>
  <c r="A4" i="8"/>
  <c r="A3" i="8"/>
  <c r="A2" i="8"/>
  <c r="C14" i="3"/>
  <c r="B14" i="3"/>
  <c r="A14" i="3"/>
  <c r="A6" i="3"/>
  <c r="A5" i="3"/>
  <c r="A4" i="3"/>
  <c r="A3" i="3"/>
  <c r="A2" i="3"/>
  <c r="A6" i="2"/>
  <c r="A5" i="2"/>
  <c r="A4" i="2"/>
  <c r="A3" i="2"/>
  <c r="A2" i="2"/>
  <c r="O139" i="1"/>
  <c r="O138" i="1"/>
  <c r="O136" i="1"/>
  <c r="O135" i="1"/>
  <c r="O134" i="1"/>
  <c r="O133" i="1"/>
  <c r="O132" i="1"/>
  <c r="H120" i="1"/>
  <c r="G120" i="1"/>
  <c r="F120" i="1"/>
  <c r="E120" i="1"/>
  <c r="N117" i="1"/>
  <c r="M117" i="1"/>
  <c r="L117" i="1"/>
  <c r="K117" i="1"/>
  <c r="J117" i="1"/>
  <c r="I117" i="1"/>
  <c r="H117" i="1"/>
  <c r="G117" i="1"/>
  <c r="F117" i="1"/>
  <c r="E117" i="1"/>
  <c r="C117" i="1"/>
  <c r="F94" i="14"/>
  <c r="BC94" i="14" s="1"/>
  <c r="B76" i="16"/>
  <c r="U76" i="16" s="1"/>
  <c r="V76" i="16" s="1"/>
  <c r="W76" i="16" s="1"/>
  <c r="B74" i="16"/>
  <c r="U74" i="16" s="1"/>
  <c r="V74" i="16" s="1"/>
  <c r="W74" i="16" s="1"/>
  <c r="O98" i="1"/>
  <c r="O97" i="1"/>
  <c r="O95" i="1"/>
  <c r="O93" i="1"/>
  <c r="O92" i="1"/>
  <c r="O77" i="1"/>
  <c r="O76" i="1"/>
  <c r="O75" i="1"/>
  <c r="O74" i="1"/>
  <c r="O73" i="1"/>
  <c r="O72" i="1"/>
  <c r="O71" i="1"/>
  <c r="O70" i="1"/>
  <c r="B45" i="16" s="1"/>
  <c r="U45" i="16" s="1"/>
  <c r="V45" i="16" s="1"/>
  <c r="W45" i="16" s="1"/>
  <c r="O69" i="1"/>
  <c r="O68" i="1"/>
  <c r="B43" i="16" s="1"/>
  <c r="O67" i="1"/>
  <c r="O66" i="1"/>
  <c r="S66" i="1" s="1"/>
  <c r="O65" i="1"/>
  <c r="O64" i="1"/>
  <c r="O63" i="1"/>
  <c r="B38" i="16" s="1"/>
  <c r="U38" i="16" s="1"/>
  <c r="V38" i="16" s="1"/>
  <c r="W38" i="16" s="1"/>
  <c r="O62" i="1"/>
  <c r="O61" i="1"/>
  <c r="O60" i="1"/>
  <c r="B35" i="16" s="1"/>
  <c r="U35" i="16" s="1"/>
  <c r="V35" i="16" s="1"/>
  <c r="W35" i="16" s="1"/>
  <c r="O59" i="1"/>
  <c r="B34" i="16" s="1"/>
  <c r="U34" i="16" s="1"/>
  <c r="V34" i="16" s="1"/>
  <c r="W34" i="16" s="1"/>
  <c r="O58" i="1"/>
  <c r="O57" i="1"/>
  <c r="B32" i="16" s="1"/>
  <c r="O56" i="1"/>
  <c r="B31" i="16" s="1"/>
  <c r="O54" i="1"/>
  <c r="B29" i="16" s="1"/>
  <c r="U29" i="16" s="1"/>
  <c r="O53" i="1"/>
  <c r="O52" i="1"/>
  <c r="B27" i="16" s="1"/>
  <c r="U27" i="16" s="1"/>
  <c r="O51" i="1"/>
  <c r="O50" i="1"/>
  <c r="O49" i="1"/>
  <c r="B24" i="16" s="1"/>
  <c r="O48" i="1"/>
  <c r="O47" i="1"/>
  <c r="O45" i="1"/>
  <c r="B22" i="16" s="1"/>
  <c r="U22" i="16" s="1"/>
  <c r="V22" i="16" s="1"/>
  <c r="W22" i="16" s="1"/>
  <c r="O44" i="1"/>
  <c r="O43" i="1"/>
  <c r="O42" i="1"/>
  <c r="O41" i="1"/>
  <c r="O40" i="1"/>
  <c r="O39" i="1"/>
  <c r="O37" i="1"/>
  <c r="B13" i="16" s="1"/>
  <c r="U13" i="16" s="1"/>
  <c r="O36" i="1"/>
  <c r="B12" i="16" s="1"/>
  <c r="U12" i="16" s="1"/>
  <c r="V12" i="16" s="1"/>
  <c r="W12" i="16" s="1"/>
  <c r="O35" i="1"/>
  <c r="O34" i="1"/>
  <c r="O33" i="1"/>
  <c r="O25" i="1"/>
  <c r="S25" i="1" s="1"/>
  <c r="O24" i="1"/>
  <c r="S24" i="1" s="1"/>
  <c r="O19" i="1"/>
  <c r="EY83" i="14"/>
  <c r="FH83" i="14" s="1"/>
  <c r="T46" i="14"/>
  <c r="B24" i="23"/>
  <c r="EY91" i="14"/>
  <c r="DX48" i="14"/>
  <c r="AL46" i="14"/>
  <c r="AU46" i="14" s="1"/>
  <c r="BD46" i="14" s="1"/>
  <c r="T51" i="14"/>
  <c r="FH48" i="14"/>
  <c r="T39" i="14"/>
  <c r="T31" i="14"/>
  <c r="T34" i="14"/>
  <c r="T32" i="14"/>
  <c r="T16" i="14"/>
  <c r="T41" i="14"/>
  <c r="T38" i="14"/>
  <c r="T48" i="14"/>
  <c r="T26" i="14"/>
  <c r="T37" i="14"/>
  <c r="K22" i="14"/>
  <c r="T15" i="14"/>
  <c r="T18" i="14"/>
  <c r="T33" i="14"/>
  <c r="T14" i="14"/>
  <c r="T25" i="14"/>
  <c r="T35" i="14"/>
  <c r="T52" i="14"/>
  <c r="T19" i="14"/>
  <c r="T36" i="14"/>
  <c r="T82" i="14"/>
  <c r="T50" i="14"/>
  <c r="T28" i="14"/>
  <c r="T40" i="14"/>
  <c r="T29" i="14"/>
  <c r="T17" i="14"/>
  <c r="T30" i="14"/>
  <c r="T27" i="14"/>
  <c r="AL51" i="14"/>
  <c r="AL34" i="14"/>
  <c r="AL38" i="14"/>
  <c r="AU38" i="14" s="1"/>
  <c r="BD38" i="14" s="1"/>
  <c r="AL32" i="14"/>
  <c r="AL39" i="14"/>
  <c r="AL31" i="14"/>
  <c r="AU31" i="14" s="1"/>
  <c r="BD31" i="14" s="1"/>
  <c r="BE31" i="14" s="1"/>
  <c r="AL41" i="14"/>
  <c r="AU41" i="14" s="1"/>
  <c r="AL16" i="14"/>
  <c r="AU16" i="14" s="1"/>
  <c r="BD16" i="14" s="1"/>
  <c r="AL14" i="14"/>
  <c r="AU14" i="14" s="1"/>
  <c r="BD14" i="14" s="1"/>
  <c r="AL33" i="14"/>
  <c r="AL36" i="14"/>
  <c r="AU36" i="14" s="1"/>
  <c r="BD36" i="14" s="1"/>
  <c r="AL25" i="14"/>
  <c r="AU25" i="14" s="1"/>
  <c r="BD25" i="14" s="1"/>
  <c r="AL15" i="14"/>
  <c r="AL26" i="14"/>
  <c r="CN46" i="14"/>
  <c r="AL52" i="14"/>
  <c r="AU52" i="14" s="1"/>
  <c r="BD52" i="14" s="1"/>
  <c r="AL37" i="14"/>
  <c r="AU37" i="14" s="1"/>
  <c r="BD37" i="14" s="1"/>
  <c r="AL35" i="14"/>
  <c r="AL19" i="14"/>
  <c r="T42" i="14"/>
  <c r="AL18" i="14"/>
  <c r="AU18" i="14" s="1"/>
  <c r="BD18" i="14" s="1"/>
  <c r="AL17" i="14"/>
  <c r="AU17" i="14" s="1"/>
  <c r="BD17" i="14" s="1"/>
  <c r="AC22" i="14"/>
  <c r="AL50" i="14"/>
  <c r="AL28" i="14"/>
  <c r="AU28" i="14" s="1"/>
  <c r="BD28" i="14" s="1"/>
  <c r="AL30" i="14"/>
  <c r="AU30" i="14" s="1"/>
  <c r="BD30" i="14" s="1"/>
  <c r="AL40" i="14"/>
  <c r="AL27" i="14"/>
  <c r="AC96" i="14"/>
  <c r="AL82" i="14"/>
  <c r="AL29" i="14"/>
  <c r="AL42" i="14"/>
  <c r="AU42" i="14" s="1"/>
  <c r="CN51" i="14"/>
  <c r="DX46" i="14"/>
  <c r="CN38" i="14"/>
  <c r="CN34" i="14"/>
  <c r="CN41" i="14"/>
  <c r="CN39" i="14"/>
  <c r="CN32" i="14"/>
  <c r="CN31" i="14"/>
  <c r="CN16" i="14"/>
  <c r="G24" i="23"/>
  <c r="CN52" i="14"/>
  <c r="CN36" i="14"/>
  <c r="CN26" i="14"/>
  <c r="CN15" i="14"/>
  <c r="CN14" i="14"/>
  <c r="CN25" i="14"/>
  <c r="CN18" i="14"/>
  <c r="CN37" i="14"/>
  <c r="CN35" i="14"/>
  <c r="CN19" i="14"/>
  <c r="CN33" i="14"/>
  <c r="H181" i="26"/>
  <c r="FH46" i="14"/>
  <c r="CN82" i="14"/>
  <c r="CE96" i="14"/>
  <c r="CN28" i="14"/>
  <c r="CN29" i="14"/>
  <c r="CN17" i="14"/>
  <c r="CN50" i="14"/>
  <c r="CN40" i="14"/>
  <c r="CN27" i="14"/>
  <c r="CE22" i="14"/>
  <c r="CN30" i="14"/>
  <c r="CW22" i="14"/>
  <c r="CN42" i="14"/>
  <c r="CW96" i="14"/>
  <c r="DF22" i="14"/>
  <c r="DX51" i="14"/>
  <c r="EG51" i="14" s="1"/>
  <c r="DX34" i="14"/>
  <c r="EG34" i="14" s="1"/>
  <c r="DX41" i="14"/>
  <c r="EG41" i="14" s="1"/>
  <c r="DX39" i="14"/>
  <c r="DX32" i="14"/>
  <c r="DX38" i="14"/>
  <c r="DX16" i="14"/>
  <c r="DX31" i="14"/>
  <c r="DF96" i="14"/>
  <c r="DX19" i="14"/>
  <c r="EG19" i="14" s="1"/>
  <c r="DX33" i="14"/>
  <c r="EG33" i="14" s="1"/>
  <c r="DF71" i="14"/>
  <c r="DX52" i="14"/>
  <c r="EG52" i="14" s="1"/>
  <c r="DX35" i="14"/>
  <c r="EG35" i="14" s="1"/>
  <c r="DX36" i="14"/>
  <c r="EG36" i="14" s="1"/>
  <c r="DX15" i="14"/>
  <c r="EG15" i="14" s="1"/>
  <c r="DX18" i="14"/>
  <c r="DX26" i="14"/>
  <c r="DX37" i="14"/>
  <c r="DX25" i="14"/>
  <c r="EG25" i="14" s="1"/>
  <c r="FH51" i="14"/>
  <c r="DX50" i="14"/>
  <c r="DX17" i="14"/>
  <c r="EG17" i="14" s="1"/>
  <c r="DX28" i="14"/>
  <c r="DX29" i="14"/>
  <c r="DX27" i="14"/>
  <c r="EG27" i="14" s="1"/>
  <c r="DX30" i="14"/>
  <c r="FH32" i="14"/>
  <c r="FH31" i="14"/>
  <c r="FH34" i="14"/>
  <c r="FH39" i="14"/>
  <c r="FH41" i="14"/>
  <c r="FH38" i="14"/>
  <c r="FH25" i="14"/>
  <c r="FH37" i="14"/>
  <c r="FH35" i="14"/>
  <c r="FH36" i="14"/>
  <c r="FH52" i="14"/>
  <c r="FH33" i="14"/>
  <c r="EY82" i="14"/>
  <c r="FH82" i="14" s="1"/>
  <c r="FH50" i="14"/>
  <c r="FH27" i="14"/>
  <c r="FH40" i="14"/>
  <c r="FH26" i="14"/>
  <c r="FH28" i="14"/>
  <c r="FH30" i="14"/>
  <c r="FH29" i="14"/>
  <c r="EP71" i="14"/>
  <c r="FH42" i="14"/>
  <c r="EY71" i="14"/>
  <c r="H182" i="26"/>
  <c r="O16" i="1"/>
  <c r="H183" i="26"/>
  <c r="O137" i="1"/>
  <c r="B44" i="2" l="1"/>
  <c r="B41" i="2"/>
  <c r="S93" i="1"/>
  <c r="R93" i="1"/>
  <c r="B67" i="16"/>
  <c r="R94" i="1"/>
  <c r="BD64" i="14"/>
  <c r="BM64" i="14" s="1"/>
  <c r="BV64" i="14" s="1"/>
  <c r="BD57" i="14"/>
  <c r="BM57" i="14" s="1"/>
  <c r="BV57" i="14" s="1"/>
  <c r="BD93" i="14"/>
  <c r="BM93" i="14" s="1"/>
  <c r="BV93" i="14" s="1"/>
  <c r="BD84" i="14"/>
  <c r="BM84" i="14" s="1"/>
  <c r="BV84" i="14" s="1"/>
  <c r="BD91" i="14"/>
  <c r="BM91" i="14" s="1"/>
  <c r="BV91" i="14" s="1"/>
  <c r="BD47" i="14"/>
  <c r="BM47" i="14" s="1"/>
  <c r="BD54" i="14"/>
  <c r="BM54" i="14" s="1"/>
  <c r="BV54" i="14" s="1"/>
  <c r="BJ4" i="14"/>
  <c r="BS4" i="14" s="1"/>
  <c r="CB4" i="14" s="1"/>
  <c r="CK4" i="14" s="1"/>
  <c r="CT4" i="14" s="1"/>
  <c r="DC4" i="14" s="1"/>
  <c r="DL4" i="14" s="1"/>
  <c r="DU4" i="14" s="1"/>
  <c r="ED4" i="14" s="1"/>
  <c r="EM4" i="14" s="1"/>
  <c r="EV4" i="14" s="1"/>
  <c r="FE4" i="14" s="1"/>
  <c r="BA4" i="14"/>
  <c r="BD88" i="14"/>
  <c r="BM88" i="14" s="1"/>
  <c r="BV88" i="14" s="1"/>
  <c r="BD22" i="14"/>
  <c r="BM62" i="14"/>
  <c r="BV62" i="14" s="1"/>
  <c r="BD62" i="14"/>
  <c r="BD42" i="14"/>
  <c r="BM42" i="14" s="1"/>
  <c r="BV42" i="14" s="1"/>
  <c r="BD53" i="14"/>
  <c r="BM53" i="14" s="1"/>
  <c r="BV53" i="14" s="1"/>
  <c r="BD41" i="14"/>
  <c r="BM41" i="14" s="1"/>
  <c r="BV41" i="14" s="1"/>
  <c r="W72" i="26"/>
  <c r="L24" i="9"/>
  <c r="T25" i="26"/>
  <c r="T110" i="26"/>
  <c r="AU63" i="14"/>
  <c r="BD63" i="14" s="1"/>
  <c r="E112" i="26"/>
  <c r="F142" i="26"/>
  <c r="M18" i="9"/>
  <c r="S42" i="1"/>
  <c r="B17" i="16"/>
  <c r="T108" i="26"/>
  <c r="F19" i="9"/>
  <c r="D26" i="9"/>
  <c r="B16" i="16"/>
  <c r="B18" i="16"/>
  <c r="U18" i="16" s="1"/>
  <c r="V18" i="16" s="1"/>
  <c r="W18" i="16" s="1"/>
  <c r="EG46" i="14"/>
  <c r="AU65" i="14"/>
  <c r="BD65" i="14" s="1"/>
  <c r="M112" i="26"/>
  <c r="I110" i="26"/>
  <c r="N112" i="26"/>
  <c r="N114" i="26" s="1"/>
  <c r="W42" i="26"/>
  <c r="G21" i="9"/>
  <c r="W74" i="26"/>
  <c r="H21" i="9"/>
  <c r="W60" i="26"/>
  <c r="J18" i="9"/>
  <c r="E21" i="9"/>
  <c r="O22" i="9"/>
  <c r="W71" i="26"/>
  <c r="U67" i="26"/>
  <c r="Q67" i="26" s="1"/>
  <c r="G18" i="9"/>
  <c r="F18" i="9"/>
  <c r="E26" i="9"/>
  <c r="G14" i="9"/>
  <c r="K18" i="9"/>
  <c r="F15" i="9"/>
  <c r="E15" i="9"/>
  <c r="N18" i="9"/>
  <c r="E18" i="9"/>
  <c r="G22" i="9"/>
  <c r="C33" i="9"/>
  <c r="I18" i="9"/>
  <c r="L18" i="9"/>
  <c r="K22" i="9"/>
  <c r="G15" i="9"/>
  <c r="D23" i="9"/>
  <c r="H18" i="9"/>
  <c r="N22" i="9"/>
  <c r="H15" i="9"/>
  <c r="D22" i="9"/>
  <c r="F25" i="9"/>
  <c r="J22" i="9"/>
  <c r="B33" i="16"/>
  <c r="U33" i="16" s="1"/>
  <c r="V33" i="16" s="1"/>
  <c r="W33" i="16" s="1"/>
  <c r="R58" i="1"/>
  <c r="S34" i="1"/>
  <c r="B10" i="16"/>
  <c r="U10" i="16" s="1"/>
  <c r="V10" i="16" s="1"/>
  <c r="W10" i="16" s="1"/>
  <c r="S39" i="1"/>
  <c r="B14" i="16"/>
  <c r="U14" i="16" s="1"/>
  <c r="V14" i="16" s="1"/>
  <c r="W14" i="16" s="1"/>
  <c r="S43" i="1"/>
  <c r="B20" i="16"/>
  <c r="U20" i="16" s="1"/>
  <c r="V20" i="16" s="1"/>
  <c r="W20" i="16" s="1"/>
  <c r="S61" i="1"/>
  <c r="B36" i="16"/>
  <c r="U36" i="16" s="1"/>
  <c r="V36" i="16" s="1"/>
  <c r="W36" i="16" s="1"/>
  <c r="S65" i="1"/>
  <c r="B40" i="16"/>
  <c r="U40" i="16" s="1"/>
  <c r="V40" i="16" s="1"/>
  <c r="W40" i="16" s="1"/>
  <c r="S69" i="1"/>
  <c r="B44" i="16"/>
  <c r="U44" i="16" s="1"/>
  <c r="V44" i="16" s="1"/>
  <c r="W44" i="16" s="1"/>
  <c r="S73" i="1"/>
  <c r="B48" i="16"/>
  <c r="U48" i="16" s="1"/>
  <c r="V48" i="16" s="1"/>
  <c r="W48" i="16" s="1"/>
  <c r="S77" i="1"/>
  <c r="B52" i="16"/>
  <c r="S98" i="1"/>
  <c r="B71" i="16"/>
  <c r="U71" i="16" s="1"/>
  <c r="V71" i="16" s="1"/>
  <c r="W71" i="16" s="1"/>
  <c r="S35" i="1"/>
  <c r="B11" i="16"/>
  <c r="U11" i="16" s="1"/>
  <c r="V11" i="16" s="1"/>
  <c r="W11" i="16" s="1"/>
  <c r="S44" i="1"/>
  <c r="B19" i="16"/>
  <c r="U19" i="16" s="1"/>
  <c r="V19" i="16" s="1"/>
  <c r="W19" i="16" s="1"/>
  <c r="S53" i="1"/>
  <c r="B28" i="16"/>
  <c r="U28" i="16" s="1"/>
  <c r="V28" i="16" s="1"/>
  <c r="W28" i="16" s="1"/>
  <c r="S62" i="1"/>
  <c r="B37" i="16"/>
  <c r="U37" i="16" s="1"/>
  <c r="V37" i="16" s="1"/>
  <c r="W37" i="16" s="1"/>
  <c r="S74" i="1"/>
  <c r="B49" i="16"/>
  <c r="U49" i="16" s="1"/>
  <c r="V49" i="16" s="1"/>
  <c r="W49" i="16" s="1"/>
  <c r="S41" i="1"/>
  <c r="S50" i="1"/>
  <c r="B25" i="16"/>
  <c r="U25" i="16" s="1"/>
  <c r="S67" i="1"/>
  <c r="B42" i="16"/>
  <c r="U42" i="16" s="1"/>
  <c r="V42" i="16" s="1"/>
  <c r="W42" i="16" s="1"/>
  <c r="S71" i="1"/>
  <c r="B46" i="16"/>
  <c r="U46" i="16" s="1"/>
  <c r="V46" i="16" s="1"/>
  <c r="W46" i="16" s="1"/>
  <c r="S75" i="1"/>
  <c r="B50" i="16"/>
  <c r="U50" i="16" s="1"/>
  <c r="V50" i="16" s="1"/>
  <c r="W50" i="16" s="1"/>
  <c r="S46" i="1"/>
  <c r="B21" i="16"/>
  <c r="U21" i="16" s="1"/>
  <c r="V21" i="16" s="1"/>
  <c r="W21" i="16" s="1"/>
  <c r="U67" i="16"/>
  <c r="V67" i="16" s="1"/>
  <c r="W67" i="16" s="1"/>
  <c r="S86" i="1"/>
  <c r="B59" i="16"/>
  <c r="P124" i="1"/>
  <c r="S84" i="1"/>
  <c r="B57" i="16"/>
  <c r="S33" i="1"/>
  <c r="B9" i="16"/>
  <c r="U9" i="16" s="1"/>
  <c r="V9" i="16" s="1"/>
  <c r="W9" i="16" s="1"/>
  <c r="S51" i="1"/>
  <c r="B26" i="16"/>
  <c r="U26" i="16" s="1"/>
  <c r="S64" i="1"/>
  <c r="B41" i="16"/>
  <c r="U41" i="16" s="1"/>
  <c r="V41" i="16" s="1"/>
  <c r="W41" i="16" s="1"/>
  <c r="B39" i="16"/>
  <c r="U39" i="16" s="1"/>
  <c r="S72" i="1"/>
  <c r="B47" i="16"/>
  <c r="U47" i="16" s="1"/>
  <c r="V47" i="16" s="1"/>
  <c r="W47" i="16" s="1"/>
  <c r="S76" i="1"/>
  <c r="B51" i="16"/>
  <c r="U51" i="16" s="1"/>
  <c r="V51" i="16" s="1"/>
  <c r="W51" i="16" s="1"/>
  <c r="S48" i="1"/>
  <c r="B23" i="16"/>
  <c r="U23" i="16" s="1"/>
  <c r="U83" i="16"/>
  <c r="V83" i="16" s="1"/>
  <c r="W83" i="16" s="1"/>
  <c r="S40" i="1"/>
  <c r="B15" i="16"/>
  <c r="AU39" i="14"/>
  <c r="EG28" i="14"/>
  <c r="T96" i="14"/>
  <c r="EG50" i="14"/>
  <c r="AU19" i="14"/>
  <c r="BD19" i="14" s="1"/>
  <c r="AU29" i="14"/>
  <c r="BD29" i="14" s="1"/>
  <c r="EG30" i="14"/>
  <c r="CN96" i="14"/>
  <c r="AU32" i="14"/>
  <c r="BD32" i="14" s="1"/>
  <c r="EG67" i="14"/>
  <c r="AU83" i="14"/>
  <c r="BD83" i="14" s="1"/>
  <c r="DF103" i="14"/>
  <c r="O27" i="9"/>
  <c r="J27" i="9"/>
  <c r="C33" i="10"/>
  <c r="D21" i="10" s="1"/>
  <c r="C33" i="6"/>
  <c r="C34" i="6" s="1"/>
  <c r="C33" i="29"/>
  <c r="D27" i="29" s="1"/>
  <c r="C35" i="31"/>
  <c r="E30" i="9"/>
  <c r="D19" i="9"/>
  <c r="D25" i="9"/>
  <c r="C33" i="8"/>
  <c r="D27" i="8" s="1"/>
  <c r="C33" i="28"/>
  <c r="B43" i="2" s="1"/>
  <c r="F27" i="9"/>
  <c r="D27" i="9"/>
  <c r="C33" i="7"/>
  <c r="D23" i="7" s="1"/>
  <c r="R49" i="1"/>
  <c r="S49" i="1"/>
  <c r="S140" i="1"/>
  <c r="R78" i="1"/>
  <c r="S78" i="1"/>
  <c r="F19" i="14"/>
  <c r="BC19" i="14" s="1"/>
  <c r="BE19" i="14" s="1"/>
  <c r="S114" i="1"/>
  <c r="B70" i="16"/>
  <c r="U70" i="16" s="1"/>
  <c r="V70" i="16" s="1"/>
  <c r="W70" i="16" s="1"/>
  <c r="S97" i="1"/>
  <c r="R36" i="1"/>
  <c r="S36" i="1"/>
  <c r="S58" i="1"/>
  <c r="R136" i="1"/>
  <c r="S136" i="1"/>
  <c r="S94" i="1"/>
  <c r="R113" i="1"/>
  <c r="S113" i="1"/>
  <c r="R162" i="1"/>
  <c r="R165" i="1" s="1"/>
  <c r="S162" i="1"/>
  <c r="R57" i="1"/>
  <c r="S57" i="1"/>
  <c r="R135" i="1"/>
  <c r="S135" i="1"/>
  <c r="R16" i="1"/>
  <c r="S16" i="1"/>
  <c r="R45" i="1"/>
  <c r="S45" i="1"/>
  <c r="R54" i="1"/>
  <c r="S54" i="1"/>
  <c r="R70" i="1"/>
  <c r="S70" i="1"/>
  <c r="F82" i="14"/>
  <c r="BC82" i="14" s="1"/>
  <c r="S92" i="1"/>
  <c r="R132" i="1"/>
  <c r="S132" i="1"/>
  <c r="Q35" i="29"/>
  <c r="S137" i="1"/>
  <c r="R47" i="1"/>
  <c r="S47" i="1"/>
  <c r="F50" i="14"/>
  <c r="S59" i="1"/>
  <c r="R63" i="1"/>
  <c r="S63" i="1"/>
  <c r="F91" i="14"/>
  <c r="S101" i="1"/>
  <c r="R133" i="1"/>
  <c r="S133" i="1"/>
  <c r="R138" i="1"/>
  <c r="S138" i="1"/>
  <c r="R109" i="1"/>
  <c r="R112" i="1"/>
  <c r="F29" i="14"/>
  <c r="S37" i="1"/>
  <c r="R19" i="1"/>
  <c r="S19" i="1"/>
  <c r="R52" i="1"/>
  <c r="S52" i="1"/>
  <c r="R56" i="1"/>
  <c r="S56" i="1"/>
  <c r="R60" i="1"/>
  <c r="S60" i="1"/>
  <c r="R68" i="1"/>
  <c r="S68" i="1"/>
  <c r="R76" i="1"/>
  <c r="R95" i="1"/>
  <c r="S95" i="1"/>
  <c r="S103" i="1"/>
  <c r="R134" i="1"/>
  <c r="S134" i="1"/>
  <c r="R139" i="1"/>
  <c r="S139" i="1"/>
  <c r="B88" i="16"/>
  <c r="S115" i="1"/>
  <c r="B84" i="16"/>
  <c r="S111" i="1"/>
  <c r="K27" i="9"/>
  <c r="L27" i="9"/>
  <c r="C13" i="1"/>
  <c r="B6" i="32" s="1"/>
  <c r="C6" i="32"/>
  <c r="F32" i="17"/>
  <c r="D6" i="32" s="1"/>
  <c r="D17" i="9"/>
  <c r="E17" i="9"/>
  <c r="G26" i="9"/>
  <c r="J24" i="23"/>
  <c r="D165" i="1"/>
  <c r="R97" i="1"/>
  <c r="BM37" i="14"/>
  <c r="EG99" i="14"/>
  <c r="DX101" i="14"/>
  <c r="EG66" i="14"/>
  <c r="AU67" i="14"/>
  <c r="BD67" i="14" s="1"/>
  <c r="AU94" i="14"/>
  <c r="BD94" i="14" s="1"/>
  <c r="BE94" i="14" s="1"/>
  <c r="AU15" i="14"/>
  <c r="BD15" i="14" s="1"/>
  <c r="W44" i="26"/>
  <c r="W81" i="26"/>
  <c r="U81" i="26" s="1"/>
  <c r="W62" i="26"/>
  <c r="U37" i="26"/>
  <c r="Q37" i="26" s="1"/>
  <c r="U69" i="26"/>
  <c r="Q69" i="26" s="1"/>
  <c r="AU60" i="14"/>
  <c r="BD60" i="14" s="1"/>
  <c r="F26" i="9"/>
  <c r="AU87" i="14"/>
  <c r="BD87" i="14" s="1"/>
  <c r="H25" i="9"/>
  <c r="G25" i="9"/>
  <c r="AU50" i="14"/>
  <c r="BD50" i="14" s="1"/>
  <c r="W99" i="26"/>
  <c r="U55" i="26"/>
  <c r="Q55" i="26" s="1"/>
  <c r="W45" i="26"/>
  <c r="U35" i="26"/>
  <c r="Q35" i="26" s="1"/>
  <c r="W86" i="26"/>
  <c r="U86" i="26" s="1"/>
  <c r="W70" i="26"/>
  <c r="W58" i="26"/>
  <c r="U45" i="26"/>
  <c r="Q45" i="26" s="1"/>
  <c r="W34" i="26"/>
  <c r="U72" i="26"/>
  <c r="Q72" i="26" s="1"/>
  <c r="U62" i="26"/>
  <c r="Q62" i="26" s="1"/>
  <c r="U50" i="26"/>
  <c r="Q50" i="26" s="1"/>
  <c r="U38" i="26"/>
  <c r="W100" i="26"/>
  <c r="W49" i="26"/>
  <c r="W63" i="26"/>
  <c r="W53" i="26"/>
  <c r="U46" i="26"/>
  <c r="Q46" i="26" s="1"/>
  <c r="W83" i="26"/>
  <c r="U83" i="26" s="1"/>
  <c r="Q83" i="26" s="1"/>
  <c r="U65" i="26"/>
  <c r="Q65" i="26" s="1"/>
  <c r="U53" i="26"/>
  <c r="Q53" i="26" s="1"/>
  <c r="W43" i="26"/>
  <c r="U33" i="26"/>
  <c r="W68" i="26"/>
  <c r="W56" i="26"/>
  <c r="W32" i="26"/>
  <c r="U70" i="26"/>
  <c r="Q70" i="26" s="1"/>
  <c r="U60" i="26"/>
  <c r="Q60" i="26" s="1"/>
  <c r="U36" i="26"/>
  <c r="Q36" i="26" s="1"/>
  <c r="W96" i="26"/>
  <c r="U44" i="26"/>
  <c r="Q44" i="26" s="1"/>
  <c r="W55" i="26"/>
  <c r="U48" i="26"/>
  <c r="Q48" i="26" s="1"/>
  <c r="U73" i="26"/>
  <c r="U74" i="26" s="1"/>
  <c r="U63" i="26"/>
  <c r="Q63" i="26" s="1"/>
  <c r="U51" i="26"/>
  <c r="Q51" i="26" s="1"/>
  <c r="W41" i="26"/>
  <c r="W101" i="26"/>
  <c r="W82" i="26"/>
  <c r="U82" i="26" s="1"/>
  <c r="Q82" i="26" s="1"/>
  <c r="W66" i="26"/>
  <c r="W54" i="26"/>
  <c r="U43" i="26"/>
  <c r="Q43" i="26" s="1"/>
  <c r="W97" i="26"/>
  <c r="U68" i="26"/>
  <c r="Q68" i="26" s="1"/>
  <c r="U58" i="26"/>
  <c r="Q58" i="26" s="1"/>
  <c r="W48" i="26"/>
  <c r="U34" i="26"/>
  <c r="Q34" i="26" s="1"/>
  <c r="W89" i="26"/>
  <c r="U89" i="26" s="1"/>
  <c r="Q89" i="26" s="1"/>
  <c r="W37" i="26"/>
  <c r="U42" i="26"/>
  <c r="Q42" i="26" s="1"/>
  <c r="W33" i="26"/>
  <c r="W40" i="26"/>
  <c r="BF34" i="14"/>
  <c r="U108" i="26"/>
  <c r="Q108" i="26" s="1"/>
  <c r="Q110" i="26" s="1"/>
  <c r="U71" i="26"/>
  <c r="Q71" i="26" s="1"/>
  <c r="U61" i="26"/>
  <c r="Q61" i="26" s="1"/>
  <c r="W39" i="26"/>
  <c r="W98" i="26"/>
  <c r="W64" i="26"/>
  <c r="W52" i="26"/>
  <c r="U41" i="26"/>
  <c r="Q41" i="26" s="1"/>
  <c r="W85" i="26"/>
  <c r="U85" i="26" s="1"/>
  <c r="Q85" i="26" s="1"/>
  <c r="U66" i="26"/>
  <c r="Q66" i="26" s="1"/>
  <c r="U56" i="26"/>
  <c r="Q56" i="26" s="1"/>
  <c r="W46" i="26"/>
  <c r="U32" i="26"/>
  <c r="Q32" i="26" s="1"/>
  <c r="W73" i="26"/>
  <c r="W84" i="26"/>
  <c r="U84" i="26" s="1"/>
  <c r="Q84" i="26" s="1"/>
  <c r="W35" i="26"/>
  <c r="W67" i="26"/>
  <c r="W51" i="26"/>
  <c r="U52" i="26"/>
  <c r="Q52" i="26" s="1"/>
  <c r="W36" i="26"/>
  <c r="W102" i="26"/>
  <c r="FH91" i="14"/>
  <c r="W59" i="26"/>
  <c r="W65" i="26"/>
  <c r="U54" i="26"/>
  <c r="Q54" i="26" s="1"/>
  <c r="W38" i="26"/>
  <c r="W75" i="26"/>
  <c r="U49" i="26"/>
  <c r="Q49" i="26" s="1"/>
  <c r="M114" i="26"/>
  <c r="M134" i="26" s="1"/>
  <c r="BF61" i="14"/>
  <c r="BF51" i="14"/>
  <c r="BM61" i="14"/>
  <c r="W61" i="26"/>
  <c r="W108" i="26"/>
  <c r="U64" i="26"/>
  <c r="Q64" i="26" s="1"/>
  <c r="U47" i="26"/>
  <c r="Q47" i="26" s="1"/>
  <c r="U57" i="26"/>
  <c r="Q57" i="26" s="1"/>
  <c r="P171" i="26"/>
  <c r="T24" i="26"/>
  <c r="T82" i="26"/>
  <c r="AU68" i="14"/>
  <c r="BD68" i="14" s="1"/>
  <c r="AU90" i="14"/>
  <c r="BD90" i="14" s="1"/>
  <c r="W57" i="26"/>
  <c r="W47" i="26"/>
  <c r="W69" i="26"/>
  <c r="W50" i="26"/>
  <c r="W90" i="26"/>
  <c r="U90" i="26" s="1"/>
  <c r="Q90" i="26" s="1"/>
  <c r="U59" i="26"/>
  <c r="Q59" i="26" s="1"/>
  <c r="J112" i="26"/>
  <c r="J114" i="26" s="1"/>
  <c r="J134" i="26" s="1"/>
  <c r="G112" i="26"/>
  <c r="L22" i="9"/>
  <c r="M22" i="9"/>
  <c r="F22" i="9"/>
  <c r="J20" i="9"/>
  <c r="G19" i="9"/>
  <c r="CE103" i="14"/>
  <c r="P169" i="26"/>
  <c r="I22" i="9"/>
  <c r="O26" i="9"/>
  <c r="K103" i="14"/>
  <c r="C36" i="3"/>
  <c r="O112" i="26"/>
  <c r="O114" i="26" s="1"/>
  <c r="D145" i="26"/>
  <c r="EG68" i="14"/>
  <c r="H22" i="9"/>
  <c r="K175" i="26"/>
  <c r="B82" i="16"/>
  <c r="U82" i="16" s="1"/>
  <c r="V82" i="16" s="1"/>
  <c r="W82" i="16" s="1"/>
  <c r="F54" i="14"/>
  <c r="BJ2" i="14"/>
  <c r="BS2" i="14" s="1"/>
  <c r="CB2" i="14" s="1"/>
  <c r="CK2" i="14" s="1"/>
  <c r="CT2" i="14" s="1"/>
  <c r="DC2" i="14" s="1"/>
  <c r="DL2" i="14" s="1"/>
  <c r="DU2" i="14" s="1"/>
  <c r="ED2" i="14" s="1"/>
  <c r="EM2" i="14" s="1"/>
  <c r="EV2" i="14" s="1"/>
  <c r="FE2" i="14" s="1"/>
  <c r="N106" i="1"/>
  <c r="R40" i="1"/>
  <c r="FG31" i="14"/>
  <c r="FI31" i="14" s="1"/>
  <c r="B86" i="16"/>
  <c r="H17" i="9"/>
  <c r="B87" i="16"/>
  <c r="F40" i="14"/>
  <c r="R111" i="1"/>
  <c r="F16" i="14"/>
  <c r="V13" i="16"/>
  <c r="W13" i="16" s="1"/>
  <c r="F36" i="14"/>
  <c r="G106" i="1"/>
  <c r="Q30" i="3"/>
  <c r="M106" i="1"/>
  <c r="M127" i="1"/>
  <c r="I106" i="1"/>
  <c r="I127" i="1"/>
  <c r="E106" i="1"/>
  <c r="E127" i="1"/>
  <c r="F67" i="14"/>
  <c r="F49" i="14"/>
  <c r="R46" i="1"/>
  <c r="F37" i="14"/>
  <c r="O120" i="1"/>
  <c r="S120" i="1" s="1"/>
  <c r="F59" i="14"/>
  <c r="F51" i="14"/>
  <c r="B73" i="16"/>
  <c r="R84" i="1"/>
  <c r="F74" i="14"/>
  <c r="L106" i="1"/>
  <c r="L127" i="1"/>
  <c r="H106" i="1"/>
  <c r="H127" i="1"/>
  <c r="D106" i="1"/>
  <c r="D127" i="1"/>
  <c r="K106" i="1"/>
  <c r="K127" i="1"/>
  <c r="F69" i="14"/>
  <c r="BC69" i="14" s="1"/>
  <c r="BE69" i="14" s="1"/>
  <c r="J106" i="1"/>
  <c r="J127" i="1"/>
  <c r="F106" i="1"/>
  <c r="F127" i="1"/>
  <c r="F93" i="14"/>
  <c r="R103" i="1"/>
  <c r="R34" i="1"/>
  <c r="F26" i="14"/>
  <c r="R43" i="1"/>
  <c r="F34" i="14"/>
  <c r="BC34" i="14" s="1"/>
  <c r="BE34" i="14" s="1"/>
  <c r="R62" i="1"/>
  <c r="F53" i="14"/>
  <c r="V29" i="16"/>
  <c r="W29" i="16" s="1"/>
  <c r="U24" i="16"/>
  <c r="V24" i="16" s="1"/>
  <c r="W24" i="16" s="1"/>
  <c r="F38" i="14"/>
  <c r="F87" i="14"/>
  <c r="F61" i="14"/>
  <c r="BC61" i="14" s="1"/>
  <c r="BE61" i="14" s="1"/>
  <c r="F48" i="14"/>
  <c r="BC48" i="14" s="1"/>
  <c r="F77" i="14"/>
  <c r="R87" i="1"/>
  <c r="R37" i="1"/>
  <c r="F28" i="14"/>
  <c r="F17" i="14"/>
  <c r="F14" i="14"/>
  <c r="O117" i="1"/>
  <c r="N181" i="1" s="1"/>
  <c r="B85" i="16"/>
  <c r="I15" i="9"/>
  <c r="EP17" i="14"/>
  <c r="BM28" i="14"/>
  <c r="EG37" i="14"/>
  <c r="AU35" i="14"/>
  <c r="BD35" i="14" s="1"/>
  <c r="BE35" i="14" s="1"/>
  <c r="AU33" i="14"/>
  <c r="BD33" i="14" s="1"/>
  <c r="T22" i="14"/>
  <c r="EG29" i="14"/>
  <c r="AU27" i="14"/>
  <c r="BD27" i="14" s="1"/>
  <c r="AC103" i="14"/>
  <c r="AL22" i="14"/>
  <c r="EG18" i="14"/>
  <c r="BM46" i="14"/>
  <c r="U31" i="16"/>
  <c r="V31" i="16" s="1"/>
  <c r="W31" i="16" s="1"/>
  <c r="F42" i="14"/>
  <c r="R51" i="1"/>
  <c r="F52" i="14"/>
  <c r="BC52" i="14" s="1"/>
  <c r="BE52" i="14" s="1"/>
  <c r="R61" i="1"/>
  <c r="R65" i="1"/>
  <c r="F56" i="14"/>
  <c r="R69" i="1"/>
  <c r="F60" i="14"/>
  <c r="F64" i="14"/>
  <c r="R73" i="1"/>
  <c r="F68" i="14"/>
  <c r="BC68" i="14" s="1"/>
  <c r="BE68" i="14" s="1"/>
  <c r="R77" i="1"/>
  <c r="DN94" i="14"/>
  <c r="DO94" i="14" s="1"/>
  <c r="BL94" i="14"/>
  <c r="EO94" i="14"/>
  <c r="CD94" i="14"/>
  <c r="J94" i="14"/>
  <c r="DE94" i="14"/>
  <c r="EX94" i="14"/>
  <c r="EF69" i="14"/>
  <c r="AB94" i="14"/>
  <c r="FG94" i="14"/>
  <c r="AK94" i="14"/>
  <c r="R66" i="1"/>
  <c r="F57" i="14"/>
  <c r="BC57" i="14" s="1"/>
  <c r="F65" i="14"/>
  <c r="R74" i="1"/>
  <c r="R92" i="1"/>
  <c r="B65" i="16"/>
  <c r="F88" i="14"/>
  <c r="R98" i="1"/>
  <c r="R104" i="1"/>
  <c r="F47" i="14"/>
  <c r="R42" i="1"/>
  <c r="F33" i="14"/>
  <c r="R64" i="1"/>
  <c r="F55" i="14"/>
  <c r="BC55" i="14" s="1"/>
  <c r="BE55" i="14" s="1"/>
  <c r="F63" i="14"/>
  <c r="BC63" i="14" s="1"/>
  <c r="BE63" i="14" s="1"/>
  <c r="R72" i="1"/>
  <c r="B68" i="16"/>
  <c r="F85" i="14"/>
  <c r="F25" i="14"/>
  <c r="R33" i="1"/>
  <c r="R41" i="1"/>
  <c r="F32" i="14"/>
  <c r="R67" i="1"/>
  <c r="F58" i="14"/>
  <c r="BC58" i="14" s="1"/>
  <c r="BE58" i="14" s="1"/>
  <c r="F62" i="14"/>
  <c r="BC62" i="14" s="1"/>
  <c r="BE62" i="14" s="1"/>
  <c r="R71" i="1"/>
  <c r="F66" i="14"/>
  <c r="BC66" i="14" s="1"/>
  <c r="R75" i="1"/>
  <c r="E14" i="9"/>
  <c r="F14" i="9"/>
  <c r="G165" i="26"/>
  <c r="G28" i="26"/>
  <c r="I18" i="26"/>
  <c r="I21" i="26"/>
  <c r="P21" i="26" s="1"/>
  <c r="G168" i="26"/>
  <c r="F28" i="26"/>
  <c r="F173" i="26"/>
  <c r="F175" i="26" s="1"/>
  <c r="EG65" i="14"/>
  <c r="AU48" i="14"/>
  <c r="BD48" i="14" s="1"/>
  <c r="AU43" i="14"/>
  <c r="BD43" i="14" s="1"/>
  <c r="EG45" i="14"/>
  <c r="O175" i="26"/>
  <c r="F145" i="26"/>
  <c r="G142" i="26"/>
  <c r="G145" i="26" s="1"/>
  <c r="U88" i="26"/>
  <c r="Q88" i="26" s="1"/>
  <c r="G16" i="9"/>
  <c r="I16" i="9"/>
  <c r="M16" i="9"/>
  <c r="N16" i="9"/>
  <c r="O16" i="9"/>
  <c r="E16" i="9"/>
  <c r="L16" i="9"/>
  <c r="J16" i="9"/>
  <c r="K16" i="9"/>
  <c r="H16" i="9"/>
  <c r="D16" i="9"/>
  <c r="EG43" i="14"/>
  <c r="I104" i="26"/>
  <c r="T19" i="26"/>
  <c r="P166" i="26"/>
  <c r="D112" i="26"/>
  <c r="R110" i="1"/>
  <c r="F15" i="14"/>
  <c r="J28" i="9"/>
  <c r="O28" i="9"/>
  <c r="D28" i="9"/>
  <c r="L28" i="9"/>
  <c r="M28" i="9"/>
  <c r="K28" i="9"/>
  <c r="G28" i="9"/>
  <c r="H24" i="9"/>
  <c r="N24" i="9"/>
  <c r="J24" i="9"/>
  <c r="F24" i="9"/>
  <c r="M24" i="9"/>
  <c r="O24" i="9"/>
  <c r="D24" i="9"/>
  <c r="E24" i="9"/>
  <c r="K24" i="9"/>
  <c r="K20" i="9"/>
  <c r="L20" i="9"/>
  <c r="G20" i="9"/>
  <c r="F20" i="9"/>
  <c r="M20" i="9"/>
  <c r="D20" i="9"/>
  <c r="G17" i="9"/>
  <c r="I17" i="9"/>
  <c r="K112" i="26"/>
  <c r="K114" i="26" s="1"/>
  <c r="K134" i="26" s="1"/>
  <c r="M175" i="26"/>
  <c r="D175" i="26"/>
  <c r="S112" i="26"/>
  <c r="S114" i="26" s="1"/>
  <c r="S134" i="26" s="1"/>
  <c r="S147" i="26" s="1"/>
  <c r="N175" i="26"/>
  <c r="C175" i="26"/>
  <c r="J175" i="26"/>
  <c r="H112" i="26"/>
  <c r="L112" i="26"/>
  <c r="L114" i="26" s="1"/>
  <c r="L134" i="26" s="1"/>
  <c r="F112" i="26"/>
  <c r="C112" i="26"/>
  <c r="R86" i="1"/>
  <c r="F76" i="14"/>
  <c r="BF65" i="14"/>
  <c r="BF45" i="14"/>
  <c r="BF25" i="14"/>
  <c r="BF50" i="14"/>
  <c r="BF26" i="14"/>
  <c r="BF67" i="14"/>
  <c r="BF27" i="14"/>
  <c r="R114" i="1"/>
  <c r="I29" i="9"/>
  <c r="BF57" i="14"/>
  <c r="BF53" i="14"/>
  <c r="BF38" i="14"/>
  <c r="BF56" i="14"/>
  <c r="BF36" i="14"/>
  <c r="BF39" i="14"/>
  <c r="J26" i="2"/>
  <c r="EP15" i="14"/>
  <c r="EG39" i="14"/>
  <c r="FH71" i="14"/>
  <c r="EP19" i="14"/>
  <c r="EG31" i="14"/>
  <c r="EG32" i="14"/>
  <c r="R137" i="1"/>
  <c r="EG26" i="14"/>
  <c r="EG16" i="14"/>
  <c r="CN71" i="14"/>
  <c r="AU40" i="14"/>
  <c r="BD40" i="14" s="1"/>
  <c r="CN22" i="14"/>
  <c r="EG38" i="14"/>
  <c r="BM14" i="14"/>
  <c r="AU82" i="14"/>
  <c r="BD82" i="14" s="1"/>
  <c r="BD96" i="14" s="1"/>
  <c r="AL96" i="14"/>
  <c r="AU26" i="14"/>
  <c r="BD26" i="14" s="1"/>
  <c r="AL71" i="14"/>
  <c r="T71" i="14"/>
  <c r="BJ3" i="14"/>
  <c r="BS3" i="14" s="1"/>
  <c r="CB3" i="14" s="1"/>
  <c r="CK3" i="14" s="1"/>
  <c r="CT3" i="14" s="1"/>
  <c r="DC3" i="14" s="1"/>
  <c r="DL3" i="14" s="1"/>
  <c r="DU3" i="14" s="1"/>
  <c r="ED3" i="14" s="1"/>
  <c r="EM3" i="14" s="1"/>
  <c r="EV3" i="14" s="1"/>
  <c r="FE3" i="14" s="1"/>
  <c r="AU34" i="14"/>
  <c r="BD34" i="14" s="1"/>
  <c r="AU51" i="14"/>
  <c r="BD51" i="14" s="1"/>
  <c r="EG48" i="14"/>
  <c r="U43" i="16"/>
  <c r="V43" i="16" s="1"/>
  <c r="W43" i="16" s="1"/>
  <c r="R24" i="1"/>
  <c r="R44" i="1"/>
  <c r="R48" i="1"/>
  <c r="F39" i="14"/>
  <c r="BC39" i="14" s="1"/>
  <c r="U32" i="16"/>
  <c r="V32" i="16" s="1"/>
  <c r="W32" i="16" s="1"/>
  <c r="V27" i="16"/>
  <c r="W27" i="16" s="1"/>
  <c r="R35" i="1"/>
  <c r="F27" i="14"/>
  <c r="BC27" i="14" s="1"/>
  <c r="R39" i="1"/>
  <c r="F30" i="14"/>
  <c r="BC30" i="14" s="1"/>
  <c r="BE30" i="14" s="1"/>
  <c r="R53" i="1"/>
  <c r="F44" i="14"/>
  <c r="BC44" i="14" s="1"/>
  <c r="BE44" i="14" s="1"/>
  <c r="T35" i="26"/>
  <c r="DW94" i="14"/>
  <c r="DX94" i="14" s="1"/>
  <c r="EG69" i="14" s="1"/>
  <c r="EP94" i="14" s="1"/>
  <c r="CV94" i="14"/>
  <c r="CM94" i="14"/>
  <c r="BU94" i="14"/>
  <c r="AU99" i="14"/>
  <c r="BD99" i="14" s="1"/>
  <c r="BD101" i="14" s="1"/>
  <c r="AL101" i="14"/>
  <c r="F43" i="14"/>
  <c r="BC43" i="14" s="1"/>
  <c r="F45" i="14"/>
  <c r="BC45" i="14" s="1"/>
  <c r="BE45" i="14" s="1"/>
  <c r="H14" i="9"/>
  <c r="S94" i="14"/>
  <c r="AT94" i="14"/>
  <c r="R101" i="1"/>
  <c r="R25" i="1"/>
  <c r="R50" i="1"/>
  <c r="F41" i="14"/>
  <c r="BC41" i="14" s="1"/>
  <c r="BE41" i="14" s="1"/>
  <c r="AU44" i="14"/>
  <c r="BD44" i="14" s="1"/>
  <c r="T49" i="26"/>
  <c r="I92" i="26"/>
  <c r="P81" i="26"/>
  <c r="T96" i="26"/>
  <c r="P104" i="26"/>
  <c r="T104" i="26" s="1"/>
  <c r="R59" i="1"/>
  <c r="F83" i="14"/>
  <c r="BC83" i="14" s="1"/>
  <c r="BE83" i="14" s="1"/>
  <c r="B66" i="16"/>
  <c r="I140" i="26"/>
  <c r="P140" i="26" s="1"/>
  <c r="T140" i="26" s="1"/>
  <c r="P170" i="26"/>
  <c r="T23" i="26"/>
  <c r="P164" i="26"/>
  <c r="T17" i="26"/>
  <c r="P33" i="26"/>
  <c r="I77" i="26"/>
  <c r="O134" i="26"/>
  <c r="Q15" i="26"/>
  <c r="T15" i="26"/>
  <c r="E161" i="26"/>
  <c r="E28" i="26"/>
  <c r="E114" i="26" s="1"/>
  <c r="E134" i="26" s="1"/>
  <c r="E147" i="26" s="1"/>
  <c r="I14" i="26"/>
  <c r="P14" i="26" s="1"/>
  <c r="I16" i="26"/>
  <c r="P16" i="26" s="1"/>
  <c r="D28" i="26"/>
  <c r="E165" i="26"/>
  <c r="P18" i="26"/>
  <c r="H28" i="26"/>
  <c r="H165" i="26"/>
  <c r="H167" i="26"/>
  <c r="I20" i="26"/>
  <c r="P20" i="26" s="1"/>
  <c r="H168" i="26"/>
  <c r="I26" i="26"/>
  <c r="P26" i="26" s="1"/>
  <c r="G173" i="26"/>
  <c r="N134" i="26"/>
  <c r="P120" i="26"/>
  <c r="I132" i="26"/>
  <c r="U87" i="26"/>
  <c r="Q87" i="26" s="1"/>
  <c r="R112" i="26"/>
  <c r="R114" i="26" s="1"/>
  <c r="R134" i="26" s="1"/>
  <c r="R147" i="26" s="1"/>
  <c r="FH87" i="14"/>
  <c r="R115" i="1"/>
  <c r="F20" i="14"/>
  <c r="BC20" i="14" s="1"/>
  <c r="BE20" i="14" s="1"/>
  <c r="W88" i="26"/>
  <c r="L175" i="26"/>
  <c r="P119" i="26"/>
  <c r="F84" i="14"/>
  <c r="BC84" i="14" s="1"/>
  <c r="BE84" i="14" s="1"/>
  <c r="C28" i="26"/>
  <c r="AU66" i="14"/>
  <c r="BD66" i="14" s="1"/>
  <c r="F18" i="14"/>
  <c r="BC18" i="14" s="1"/>
  <c r="BE18" i="14" s="1"/>
  <c r="BF33" i="14"/>
  <c r="BF29" i="14"/>
  <c r="BF37" i="14"/>
  <c r="BF46" i="14"/>
  <c r="BF30" i="14"/>
  <c r="BF15" i="14"/>
  <c r="BF60" i="14"/>
  <c r="BF44" i="14"/>
  <c r="BF28" i="14"/>
  <c r="BF17" i="14"/>
  <c r="BF63" i="14"/>
  <c r="BF35" i="14"/>
  <c r="BF18" i="14"/>
  <c r="D21" i="9"/>
  <c r="F21" i="9"/>
  <c r="F29" i="9"/>
  <c r="E28" i="9"/>
  <c r="G27" i="9"/>
  <c r="M27" i="9"/>
  <c r="H27" i="9"/>
  <c r="E27" i="9"/>
  <c r="N27" i="9"/>
  <c r="J21" i="9"/>
  <c r="H28" i="9"/>
  <c r="I28" i="9"/>
  <c r="F28" i="9"/>
  <c r="H20" i="9"/>
  <c r="I20" i="9"/>
  <c r="E29" i="9"/>
  <c r="H29" i="9"/>
  <c r="D29" i="9"/>
  <c r="L21" i="9"/>
  <c r="K21" i="9"/>
  <c r="I24" i="9"/>
  <c r="O85" i="1"/>
  <c r="O89" i="1" s="1"/>
  <c r="Q17" i="3"/>
  <c r="Q19" i="3"/>
  <c r="H30" i="2"/>
  <c r="G33" i="2"/>
  <c r="D13" i="1" s="1"/>
  <c r="Q22" i="3"/>
  <c r="Q25" i="3"/>
  <c r="Q28" i="3"/>
  <c r="H23" i="2"/>
  <c r="G75" i="14" l="1"/>
  <c r="G76" i="14"/>
  <c r="G77" i="14"/>
  <c r="G74" i="14"/>
  <c r="BF74" i="14" s="1"/>
  <c r="BG18" i="14"/>
  <c r="BG35" i="14"/>
  <c r="BG63" i="14"/>
  <c r="BG34" i="14"/>
  <c r="AW74" i="14"/>
  <c r="CD38" i="14"/>
  <c r="CF38" i="14" s="1"/>
  <c r="BC38" i="14"/>
  <c r="BE38" i="14" s="1"/>
  <c r="BG38" i="14" s="1"/>
  <c r="CV40" i="14"/>
  <c r="CX40" i="14" s="1"/>
  <c r="BC40" i="14"/>
  <c r="BE40" i="14" s="1"/>
  <c r="EX50" i="14"/>
  <c r="EZ50" i="14" s="1"/>
  <c r="BC50" i="14"/>
  <c r="BE50" i="14" s="1"/>
  <c r="BG50" i="14" s="1"/>
  <c r="J32" i="14"/>
  <c r="L32" i="14" s="1"/>
  <c r="BC32" i="14"/>
  <c r="BE32" i="14" s="1"/>
  <c r="BL74" i="14"/>
  <c r="BN74" i="14" s="1"/>
  <c r="BC74" i="14"/>
  <c r="ER66" i="14"/>
  <c r="BF66" i="14"/>
  <c r="FA64" i="14"/>
  <c r="BF64" i="14"/>
  <c r="CP19" i="14"/>
  <c r="BF19" i="14"/>
  <c r="BG19" i="14" s="1"/>
  <c r="CY59" i="14"/>
  <c r="BF59" i="14"/>
  <c r="BG44" i="14"/>
  <c r="AB25" i="14"/>
  <c r="AD25" i="14" s="1"/>
  <c r="BC25" i="14"/>
  <c r="AT53" i="14"/>
  <c r="AV53" i="14" s="1"/>
  <c r="BC53" i="14"/>
  <c r="BE53" i="14" s="1"/>
  <c r="BG53" i="14" s="1"/>
  <c r="AB51" i="14"/>
  <c r="BC51" i="14"/>
  <c r="BE51" i="14" s="1"/>
  <c r="BG51" i="14" s="1"/>
  <c r="AN54" i="14"/>
  <c r="BF54" i="14"/>
  <c r="FA99" i="14"/>
  <c r="BF99" i="14"/>
  <c r="FG85" i="14"/>
  <c r="FI85" i="14" s="1"/>
  <c r="BC85" i="14"/>
  <c r="BE85" i="14" s="1"/>
  <c r="FG59" i="14"/>
  <c r="FI59" i="14" s="1"/>
  <c r="BC59" i="14"/>
  <c r="BE59" i="14" s="1"/>
  <c r="G40" i="14"/>
  <c r="BF40" i="14" s="1"/>
  <c r="BF14" i="14"/>
  <c r="BG30" i="14"/>
  <c r="BH34" i="14"/>
  <c r="BI34" i="14"/>
  <c r="EO37" i="14"/>
  <c r="EQ37" i="14" s="1"/>
  <c r="BC37" i="14"/>
  <c r="BE37" i="14" s="1"/>
  <c r="BG37" i="14" s="1"/>
  <c r="BE27" i="14"/>
  <c r="BG27" i="14" s="1"/>
  <c r="CP47" i="14"/>
  <c r="BF47" i="14"/>
  <c r="CD15" i="14"/>
  <c r="CF15" i="14" s="1"/>
  <c r="BC15" i="14"/>
  <c r="BE15" i="14" s="1"/>
  <c r="BG15" i="14" s="1"/>
  <c r="BH63" i="14"/>
  <c r="BI63" i="14" s="1"/>
  <c r="BH35" i="14"/>
  <c r="BI35" i="14" s="1"/>
  <c r="BU26" i="14"/>
  <c r="BC26" i="14"/>
  <c r="BE26" i="14" s="1"/>
  <c r="BG26" i="14" s="1"/>
  <c r="CV54" i="14"/>
  <c r="CX54" i="14" s="1"/>
  <c r="BC54" i="14"/>
  <c r="BE54" i="14" s="1"/>
  <c r="BO41" i="14"/>
  <c r="BF41" i="14"/>
  <c r="BG41" i="14" s="1"/>
  <c r="BE82" i="14"/>
  <c r="AT49" i="14"/>
  <c r="AV49" i="14" s="1"/>
  <c r="BC49" i="14"/>
  <c r="BE49" i="14" s="1"/>
  <c r="BH18" i="14"/>
  <c r="BI18" i="14" s="1"/>
  <c r="CM67" i="14"/>
  <c r="CO67" i="14" s="1"/>
  <c r="BC67" i="14"/>
  <c r="BE67" i="14" s="1"/>
  <c r="BG67" i="14" s="1"/>
  <c r="FJ32" i="14"/>
  <c r="BF32" i="14"/>
  <c r="EF33" i="14"/>
  <c r="EH33" i="14" s="1"/>
  <c r="BC33" i="14"/>
  <c r="BE33" i="14" s="1"/>
  <c r="BG33" i="14" s="1"/>
  <c r="DN93" i="14"/>
  <c r="BC93" i="14"/>
  <c r="BE93" i="14" s="1"/>
  <c r="AW31" i="14"/>
  <c r="BF31" i="14"/>
  <c r="BG31" i="14" s="1"/>
  <c r="CG52" i="14"/>
  <c r="BF52" i="14"/>
  <c r="BG52" i="14" s="1"/>
  <c r="AB29" i="14"/>
  <c r="AD29" i="14" s="1"/>
  <c r="BC29" i="14"/>
  <c r="BE29" i="14" s="1"/>
  <c r="BG29" i="14" s="1"/>
  <c r="CY68" i="14"/>
  <c r="BF68" i="14"/>
  <c r="BG68" i="14" s="1"/>
  <c r="FA43" i="14"/>
  <c r="BF43" i="14"/>
  <c r="BU47" i="14"/>
  <c r="BW47" i="14" s="1"/>
  <c r="BC47" i="14"/>
  <c r="BE47" i="14" s="1"/>
  <c r="J64" i="14"/>
  <c r="L64" i="14" s="1"/>
  <c r="BC64" i="14"/>
  <c r="BE64" i="14" s="1"/>
  <c r="EI16" i="14"/>
  <c r="BF16" i="14"/>
  <c r="J60" i="14"/>
  <c r="L60" i="14" s="1"/>
  <c r="BC60" i="14"/>
  <c r="BE60" i="14" s="1"/>
  <c r="BG60" i="14" s="1"/>
  <c r="BL14" i="14"/>
  <c r="BN14" i="14" s="1"/>
  <c r="BC14" i="14"/>
  <c r="FA20" i="14"/>
  <c r="BF20" i="14"/>
  <c r="BG20" i="14" s="1"/>
  <c r="BL88" i="14"/>
  <c r="BN88" i="14" s="1"/>
  <c r="BC88" i="14"/>
  <c r="BE88" i="14" s="1"/>
  <c r="BU56" i="14"/>
  <c r="BC56" i="14"/>
  <c r="BE56" i="14" s="1"/>
  <c r="BG56" i="14" s="1"/>
  <c r="BU17" i="14"/>
  <c r="BC17" i="14"/>
  <c r="BE17" i="14" s="1"/>
  <c r="BG17" i="14" s="1"/>
  <c r="BU28" i="14"/>
  <c r="BC28" i="14"/>
  <c r="BE28" i="14" s="1"/>
  <c r="BG28" i="14" s="1"/>
  <c r="BD39" i="14"/>
  <c r="BD71" i="14" s="1"/>
  <c r="BG45" i="14"/>
  <c r="AB76" i="14"/>
  <c r="AD76" i="14" s="1"/>
  <c r="BC76" i="14"/>
  <c r="EO36" i="14"/>
  <c r="EQ36" i="14" s="1"/>
  <c r="BC36" i="14"/>
  <c r="BE36" i="14" s="1"/>
  <c r="BG36" i="14" s="1"/>
  <c r="DN91" i="14"/>
  <c r="BC91" i="14"/>
  <c r="BE91" i="14" s="1"/>
  <c r="BE43" i="14"/>
  <c r="BE66" i="14"/>
  <c r="CM65" i="14"/>
  <c r="CO65" i="14" s="1"/>
  <c r="BC65" i="14"/>
  <c r="BE65" i="14" s="1"/>
  <c r="BG65" i="14" s="1"/>
  <c r="DE77" i="14"/>
  <c r="DG77" i="14" s="1"/>
  <c r="BC77" i="14"/>
  <c r="BE57" i="14"/>
  <c r="BG57" i="14" s="1"/>
  <c r="CV42" i="14"/>
  <c r="CX42" i="14" s="1"/>
  <c r="BC42" i="14"/>
  <c r="BE42" i="14" s="1"/>
  <c r="BE48" i="14"/>
  <c r="BG61" i="14"/>
  <c r="BL16" i="14"/>
  <c r="BC16" i="14"/>
  <c r="BE16" i="14" s="1"/>
  <c r="CV87" i="14"/>
  <c r="CX87" i="14" s="1"/>
  <c r="BC87" i="14"/>
  <c r="BE87" i="14" s="1"/>
  <c r="D26" i="10"/>
  <c r="D16" i="7"/>
  <c r="D114" i="26"/>
  <c r="D134" i="26" s="1"/>
  <c r="D147" i="26" s="1"/>
  <c r="D24" i="7"/>
  <c r="D17" i="7"/>
  <c r="G175" i="26"/>
  <c r="EY94" i="14"/>
  <c r="EZ94" i="14" s="1"/>
  <c r="G114" i="26"/>
  <c r="G134" i="26" s="1"/>
  <c r="G147" i="26" s="1"/>
  <c r="H142" i="26"/>
  <c r="H145" i="26" s="1"/>
  <c r="H147" i="26" s="1"/>
  <c r="EX69" i="14"/>
  <c r="D28" i="8"/>
  <c r="C114" i="26"/>
  <c r="C134" i="26" s="1"/>
  <c r="C147" i="26" s="1"/>
  <c r="D24" i="8"/>
  <c r="D15" i="8"/>
  <c r="H114" i="26"/>
  <c r="H134" i="26" s="1"/>
  <c r="D28" i="10"/>
  <c r="D26" i="8"/>
  <c r="D18" i="8"/>
  <c r="D14" i="7"/>
  <c r="D28" i="7"/>
  <c r="D18" i="7"/>
  <c r="D16" i="8"/>
  <c r="D20" i="7"/>
  <c r="D20" i="6"/>
  <c r="D20" i="10"/>
  <c r="D25" i="7"/>
  <c r="D16" i="10"/>
  <c r="D24" i="10"/>
  <c r="D25" i="10"/>
  <c r="D27" i="10"/>
  <c r="D18" i="10"/>
  <c r="D23" i="10"/>
  <c r="D15" i="10"/>
  <c r="D14" i="10"/>
  <c r="D15" i="7"/>
  <c r="D30" i="7"/>
  <c r="D19" i="10"/>
  <c r="D30" i="10"/>
  <c r="D17" i="10"/>
  <c r="D29" i="10"/>
  <c r="D22" i="10"/>
  <c r="D21" i="6"/>
  <c r="D30" i="6"/>
  <c r="D29" i="6"/>
  <c r="D27" i="6"/>
  <c r="D26" i="6"/>
  <c r="D15" i="6"/>
  <c r="D19" i="7"/>
  <c r="D22" i="7"/>
  <c r="D21" i="7"/>
  <c r="D29" i="7"/>
  <c r="D27" i="7"/>
  <c r="D26" i="7"/>
  <c r="D14" i="8"/>
  <c r="D22" i="8"/>
  <c r="D25" i="8"/>
  <c r="D17" i="8"/>
  <c r="D19" i="8"/>
  <c r="D20" i="8"/>
  <c r="D21" i="8"/>
  <c r="D29" i="8"/>
  <c r="DW29" i="14"/>
  <c r="DY29" i="14" s="1"/>
  <c r="DE91" i="14"/>
  <c r="V39" i="16"/>
  <c r="W39" i="16" s="1"/>
  <c r="AK29" i="14"/>
  <c r="V26" i="16"/>
  <c r="W26" i="16" s="1"/>
  <c r="U52" i="16"/>
  <c r="V52" i="16" s="1"/>
  <c r="W52" i="16" s="1"/>
  <c r="V23" i="16"/>
  <c r="W23" i="16" s="1"/>
  <c r="U73" i="16"/>
  <c r="V73" i="16" s="1"/>
  <c r="W73" i="16" s="1"/>
  <c r="S85" i="1"/>
  <c r="B58" i="16"/>
  <c r="B62" i="16" s="1"/>
  <c r="V25" i="16"/>
  <c r="W25" i="16" s="1"/>
  <c r="U15" i="16"/>
  <c r="V15" i="16" s="1"/>
  <c r="W15" i="16" s="1"/>
  <c r="BL29" i="14"/>
  <c r="FG29" i="14"/>
  <c r="FI29" i="14" s="1"/>
  <c r="CV29" i="14"/>
  <c r="S29" i="14"/>
  <c r="U29" i="14" s="1"/>
  <c r="EO29" i="14"/>
  <c r="EQ29" i="14" s="1"/>
  <c r="BM19" i="14"/>
  <c r="BM29" i="14"/>
  <c r="BU29" i="14"/>
  <c r="J91" i="14"/>
  <c r="L91" i="14" s="1"/>
  <c r="CD29" i="14"/>
  <c r="CF29" i="14" s="1"/>
  <c r="BM58" i="14"/>
  <c r="BV58" i="14" s="1"/>
  <c r="BM32" i="14"/>
  <c r="BO14" i="14"/>
  <c r="BF86" i="14"/>
  <c r="BG86" i="14" s="1"/>
  <c r="BM69" i="14"/>
  <c r="BM55" i="14"/>
  <c r="EX29" i="14"/>
  <c r="EZ29" i="14" s="1"/>
  <c r="DN29" i="14"/>
  <c r="AU22" i="14"/>
  <c r="J29" i="14"/>
  <c r="L29" i="14" s="1"/>
  <c r="BM35" i="14"/>
  <c r="BM59" i="14"/>
  <c r="BM85" i="14"/>
  <c r="AK82" i="14"/>
  <c r="AT29" i="14"/>
  <c r="CM29" i="14"/>
  <c r="BO34" i="14"/>
  <c r="D23" i="8"/>
  <c r="D30" i="8"/>
  <c r="DE50" i="14"/>
  <c r="DG50" i="14" s="1"/>
  <c r="DE29" i="14"/>
  <c r="EF29" i="14"/>
  <c r="CV82" i="14"/>
  <c r="CV19" i="14"/>
  <c r="EO50" i="14"/>
  <c r="S50" i="14"/>
  <c r="AT50" i="14"/>
  <c r="CD50" i="14"/>
  <c r="CM50" i="14"/>
  <c r="DN50" i="14"/>
  <c r="DP50" i="14" s="1"/>
  <c r="BL50" i="14"/>
  <c r="CV50" i="14"/>
  <c r="DW50" i="14"/>
  <c r="DY50" i="14" s="1"/>
  <c r="EF50" i="14"/>
  <c r="FG50" i="14"/>
  <c r="J50" i="14"/>
  <c r="L50" i="14" s="1"/>
  <c r="BU50" i="14"/>
  <c r="F36" i="3"/>
  <c r="F32" i="31" s="1"/>
  <c r="E32" i="31"/>
  <c r="E33" i="9"/>
  <c r="E34" i="9" s="1"/>
  <c r="D33" i="9"/>
  <c r="D34" i="9" s="1"/>
  <c r="Q16" i="3"/>
  <c r="EO19" i="14"/>
  <c r="BL91" i="14"/>
  <c r="BN91" i="14" s="1"/>
  <c r="EX19" i="14"/>
  <c r="S82" i="14"/>
  <c r="DN19" i="14"/>
  <c r="BL19" i="14"/>
  <c r="BU91" i="14"/>
  <c r="BW91" i="14" s="1"/>
  <c r="FG82" i="14"/>
  <c r="BU82" i="14"/>
  <c r="CD91" i="14"/>
  <c r="CF91" i="14" s="1"/>
  <c r="J19" i="14"/>
  <c r="BL82" i="14"/>
  <c r="AB19" i="14"/>
  <c r="DE19" i="14"/>
  <c r="EX91" i="14"/>
  <c r="AK19" i="14"/>
  <c r="DE82" i="14"/>
  <c r="DG82" i="14" s="1"/>
  <c r="CM82" i="14"/>
  <c r="CO82" i="14" s="1"/>
  <c r="EF19" i="14"/>
  <c r="EH19" i="14" s="1"/>
  <c r="S19" i="14"/>
  <c r="U19" i="14" s="1"/>
  <c r="DW82" i="14"/>
  <c r="AB82" i="14"/>
  <c r="EO91" i="14"/>
  <c r="EQ91" i="14" s="1"/>
  <c r="BU19" i="14"/>
  <c r="FG19" i="14"/>
  <c r="AB91" i="14"/>
  <c r="EX82" i="14"/>
  <c r="EZ82" i="14" s="1"/>
  <c r="J82" i="14"/>
  <c r="EF82" i="14"/>
  <c r="S91" i="14"/>
  <c r="U91" i="14" s="1"/>
  <c r="DW19" i="14"/>
  <c r="DN82" i="14"/>
  <c r="DO82" i="14" s="1"/>
  <c r="DP82" i="14" s="1"/>
  <c r="EO82" i="14"/>
  <c r="AK91" i="14"/>
  <c r="AM91" i="14" s="1"/>
  <c r="EF91" i="14"/>
  <c r="AT19" i="14"/>
  <c r="AV19" i="14" s="1"/>
  <c r="CM19" i="14"/>
  <c r="CD19" i="14"/>
  <c r="AT91" i="14"/>
  <c r="CD82" i="14"/>
  <c r="AT82" i="14"/>
  <c r="AB50" i="14"/>
  <c r="AD50" i="14" s="1"/>
  <c r="AK50" i="14"/>
  <c r="R117" i="1"/>
  <c r="S117" i="1"/>
  <c r="CM91" i="14"/>
  <c r="CO91" i="14" s="1"/>
  <c r="DW91" i="14"/>
  <c r="O106" i="1"/>
  <c r="S106" i="1" s="1"/>
  <c r="S100" i="1"/>
  <c r="CV91" i="14"/>
  <c r="CX91" i="14" s="1"/>
  <c r="FG91" i="14"/>
  <c r="Q27" i="3"/>
  <c r="E6" i="32" a="1"/>
  <c r="E6" i="32" s="1"/>
  <c r="D19" i="29"/>
  <c r="D16" i="29"/>
  <c r="D26" i="29"/>
  <c r="P22" i="9"/>
  <c r="CG66" i="14"/>
  <c r="P129" i="1"/>
  <c r="O165" i="1"/>
  <c r="S165" i="1" s="1"/>
  <c r="AN74" i="14"/>
  <c r="BO99" i="14"/>
  <c r="DH14" i="14"/>
  <c r="AB54" i="14"/>
  <c r="ER34" i="14"/>
  <c r="AN41" i="14"/>
  <c r="V41" i="14"/>
  <c r="BO16" i="14"/>
  <c r="FJ34" i="14"/>
  <c r="DZ41" i="14"/>
  <c r="DQ14" i="14"/>
  <c r="FJ99" i="14"/>
  <c r="AE99" i="14"/>
  <c r="BX99" i="14"/>
  <c r="DQ74" i="14"/>
  <c r="CG16" i="14"/>
  <c r="V66" i="14"/>
  <c r="AW34" i="14"/>
  <c r="DH74" i="14"/>
  <c r="M41" i="14"/>
  <c r="M51" i="14"/>
  <c r="CG64" i="14"/>
  <c r="AE16" i="14"/>
  <c r="DW67" i="14"/>
  <c r="DY67" i="14" s="1"/>
  <c r="DQ16" i="14"/>
  <c r="AW52" i="14"/>
  <c r="ER52" i="14"/>
  <c r="CG41" i="14"/>
  <c r="CP41" i="14"/>
  <c r="FG67" i="14"/>
  <c r="FI67" i="14" s="1"/>
  <c r="BX52" i="14"/>
  <c r="V74" i="14"/>
  <c r="BO59" i="14"/>
  <c r="ER41" i="14"/>
  <c r="ER31" i="14"/>
  <c r="ER74" i="14"/>
  <c r="CP99" i="14"/>
  <c r="BX41" i="14"/>
  <c r="AE41" i="14"/>
  <c r="AW59" i="14"/>
  <c r="FA52" i="14"/>
  <c r="BX19" i="14"/>
  <c r="AE59" i="14"/>
  <c r="AE52" i="14"/>
  <c r="FA31" i="14"/>
  <c r="FJ59" i="14"/>
  <c r="AW41" i="14"/>
  <c r="DZ52" i="14"/>
  <c r="BO19" i="14"/>
  <c r="AN31" i="14"/>
  <c r="CY41" i="14"/>
  <c r="FA41" i="14"/>
  <c r="DH41" i="14"/>
  <c r="AN99" i="14"/>
  <c r="CD62" i="14"/>
  <c r="J33" i="14"/>
  <c r="L33" i="14" s="1"/>
  <c r="AW51" i="14"/>
  <c r="FA32" i="14"/>
  <c r="CY64" i="14"/>
  <c r="BO51" i="14"/>
  <c r="ER64" i="14"/>
  <c r="FA54" i="14"/>
  <c r="FJ51" i="14"/>
  <c r="FJ64" i="14"/>
  <c r="DH64" i="14"/>
  <c r="DZ34" i="14"/>
  <c r="FJ66" i="14"/>
  <c r="DH34" i="14"/>
  <c r="M34" i="14"/>
  <c r="CG34" i="14"/>
  <c r="BX66" i="14"/>
  <c r="CG14" i="14"/>
  <c r="AN14" i="14"/>
  <c r="BX34" i="14"/>
  <c r="CY66" i="14"/>
  <c r="DQ66" i="14"/>
  <c r="M66" i="14"/>
  <c r="AE66" i="14"/>
  <c r="CY34" i="14"/>
  <c r="DZ66" i="14"/>
  <c r="FJ14" i="14"/>
  <c r="BF82" i="14"/>
  <c r="CV14" i="14"/>
  <c r="AE34" i="14"/>
  <c r="V34" i="14"/>
  <c r="FA66" i="14"/>
  <c r="AN66" i="14"/>
  <c r="CP66" i="14"/>
  <c r="CP34" i="14"/>
  <c r="M14" i="14"/>
  <c r="BX14" i="14"/>
  <c r="AE51" i="14"/>
  <c r="DQ51" i="14"/>
  <c r="M64" i="14"/>
  <c r="BO64" i="14"/>
  <c r="DE67" i="14"/>
  <c r="DG67" i="14" s="1"/>
  <c r="AN51" i="14"/>
  <c r="ER51" i="14"/>
  <c r="EI32" i="14"/>
  <c r="CG43" i="14"/>
  <c r="V64" i="14"/>
  <c r="AW64" i="14"/>
  <c r="DQ64" i="14"/>
  <c r="V51" i="14"/>
  <c r="DZ51" i="14"/>
  <c r="CY51" i="14"/>
  <c r="DQ19" i="14"/>
  <c r="CP32" i="14"/>
  <c r="BO32" i="14"/>
  <c r="EI34" i="14"/>
  <c r="DQ34" i="14"/>
  <c r="BX43" i="14"/>
  <c r="AW66" i="14"/>
  <c r="BO66" i="14"/>
  <c r="EI66" i="14"/>
  <c r="DH66" i="14"/>
  <c r="AN34" i="14"/>
  <c r="BX51" i="14"/>
  <c r="FA34" i="14"/>
  <c r="BX59" i="14"/>
  <c r="EI64" i="14"/>
  <c r="AN64" i="14"/>
  <c r="AE64" i="14"/>
  <c r="ER14" i="14"/>
  <c r="AE14" i="14"/>
  <c r="CP14" i="14"/>
  <c r="AW14" i="14"/>
  <c r="EX67" i="14"/>
  <c r="CG51" i="14"/>
  <c r="CP51" i="14"/>
  <c r="FA51" i="14"/>
  <c r="DH51" i="14"/>
  <c r="AW32" i="14"/>
  <c r="EI51" i="14"/>
  <c r="BX64" i="14"/>
  <c r="DZ64" i="14"/>
  <c r="CP64" i="14"/>
  <c r="R120" i="1"/>
  <c r="AN16" i="14"/>
  <c r="CY16" i="14"/>
  <c r="DN36" i="14"/>
  <c r="FJ16" i="14"/>
  <c r="V19" i="14"/>
  <c r="FJ19" i="14"/>
  <c r="M59" i="14"/>
  <c r="FA59" i="14"/>
  <c r="EI61" i="14"/>
  <c r="V31" i="14"/>
  <c r="ER59" i="14"/>
  <c r="DH16" i="14"/>
  <c r="CY31" i="14"/>
  <c r="EI31" i="14"/>
  <c r="EI19" i="14"/>
  <c r="DH19" i="14"/>
  <c r="EI59" i="14"/>
  <c r="DQ31" i="14"/>
  <c r="BX61" i="14"/>
  <c r="CM16" i="14"/>
  <c r="FA16" i="14"/>
  <c r="EX16" i="14"/>
  <c r="M16" i="14"/>
  <c r="AN19" i="14"/>
  <c r="CP16" i="14"/>
  <c r="ER19" i="14"/>
  <c r="CP59" i="14"/>
  <c r="DQ59" i="14"/>
  <c r="DZ31" i="14"/>
  <c r="DH59" i="14"/>
  <c r="BX31" i="14"/>
  <c r="CY61" i="14"/>
  <c r="DZ19" i="14"/>
  <c r="DH31" i="14"/>
  <c r="CP31" i="14"/>
  <c r="CG19" i="14"/>
  <c r="BO61" i="14"/>
  <c r="FJ31" i="14"/>
  <c r="CD64" i="14"/>
  <c r="CF64" i="14" s="1"/>
  <c r="BX16" i="14"/>
  <c r="ER16" i="14"/>
  <c r="V16" i="14"/>
  <c r="AW16" i="14"/>
  <c r="AE19" i="14"/>
  <c r="DZ16" i="14"/>
  <c r="AW19" i="14"/>
  <c r="V59" i="14"/>
  <c r="DZ59" i="14"/>
  <c r="AN59" i="14"/>
  <c r="BO31" i="14"/>
  <c r="CG59" i="14"/>
  <c r="AE31" i="14"/>
  <c r="ER61" i="14"/>
  <c r="FA19" i="14"/>
  <c r="CG31" i="14"/>
  <c r="M19" i="14"/>
  <c r="AW61" i="14"/>
  <c r="CY19" i="14"/>
  <c r="M31" i="14"/>
  <c r="BO54" i="14"/>
  <c r="CY54" i="14"/>
  <c r="BX54" i="14"/>
  <c r="CG54" i="14"/>
  <c r="M99" i="14"/>
  <c r="FJ74" i="14"/>
  <c r="BX74" i="14"/>
  <c r="CD67" i="14"/>
  <c r="CN103" i="14"/>
  <c r="CY74" i="14"/>
  <c r="EF54" i="14"/>
  <c r="EO67" i="14"/>
  <c r="EQ67" i="14" s="1"/>
  <c r="ER32" i="14"/>
  <c r="DZ32" i="14"/>
  <c r="BX32" i="14"/>
  <c r="ER43" i="14"/>
  <c r="FJ43" i="14"/>
  <c r="DH52" i="14"/>
  <c r="BO52" i="14"/>
  <c r="FJ52" i="14"/>
  <c r="AE61" i="14"/>
  <c r="M43" i="14"/>
  <c r="CP61" i="14"/>
  <c r="FA74" i="14"/>
  <c r="DQ43" i="14"/>
  <c r="DH99" i="14"/>
  <c r="M61" i="14"/>
  <c r="V54" i="14"/>
  <c r="DH54" i="14"/>
  <c r="AE54" i="14"/>
  <c r="CY14" i="14"/>
  <c r="V14" i="14"/>
  <c r="FA14" i="14"/>
  <c r="EI14" i="14"/>
  <c r="DZ14" i="14"/>
  <c r="U39" i="26"/>
  <c r="Q38" i="26"/>
  <c r="EI43" i="14"/>
  <c r="M54" i="14"/>
  <c r="AW54" i="14"/>
  <c r="CG99" i="14"/>
  <c r="EP99" i="14"/>
  <c r="EG101" i="14"/>
  <c r="M74" i="14"/>
  <c r="DZ74" i="14"/>
  <c r="BL67" i="14"/>
  <c r="EI74" i="14"/>
  <c r="FG36" i="14"/>
  <c r="S77" i="14"/>
  <c r="U77" i="14" s="1"/>
  <c r="J67" i="14"/>
  <c r="L67" i="14" s="1"/>
  <c r="CV67" i="14"/>
  <c r="CX67" i="14" s="1"/>
  <c r="AN32" i="14"/>
  <c r="DQ32" i="14"/>
  <c r="DZ43" i="14"/>
  <c r="CY52" i="14"/>
  <c r="DQ52" i="14"/>
  <c r="M52" i="14"/>
  <c r="AN43" i="14"/>
  <c r="AW43" i="14"/>
  <c r="FA61" i="14"/>
  <c r="EI54" i="14"/>
  <c r="CY99" i="14"/>
  <c r="EI52" i="14"/>
  <c r="DH61" i="14"/>
  <c r="DQ54" i="14"/>
  <c r="CP54" i="14"/>
  <c r="D23" i="6"/>
  <c r="D28" i="6"/>
  <c r="D19" i="6"/>
  <c r="D25" i="6"/>
  <c r="D24" i="6"/>
  <c r="D22" i="6"/>
  <c r="D18" i="6"/>
  <c r="D17" i="6"/>
  <c r="U96" i="26"/>
  <c r="Q86" i="26"/>
  <c r="AE43" i="14"/>
  <c r="BV61" i="14"/>
  <c r="CP74" i="14"/>
  <c r="AB67" i="14"/>
  <c r="AD67" i="14" s="1"/>
  <c r="DE36" i="14"/>
  <c r="DW77" i="14"/>
  <c r="DX77" i="14" s="1"/>
  <c r="AT67" i="14"/>
  <c r="AV67" i="14" s="1"/>
  <c r="Q73" i="26"/>
  <c r="V32" i="14"/>
  <c r="CG32" i="14"/>
  <c r="AE32" i="14"/>
  <c r="V43" i="14"/>
  <c r="V52" i="14"/>
  <c r="CY43" i="14"/>
  <c r="CG61" i="14"/>
  <c r="DZ54" i="14"/>
  <c r="V61" i="14"/>
  <c r="DQ61" i="14"/>
  <c r="DZ99" i="14"/>
  <c r="AN52" i="14"/>
  <c r="ER54" i="14"/>
  <c r="D16" i="6"/>
  <c r="FJ41" i="14"/>
  <c r="EI41" i="14"/>
  <c r="H19" i="9"/>
  <c r="CP43" i="14"/>
  <c r="BM56" i="14"/>
  <c r="V99" i="14"/>
  <c r="BO74" i="14"/>
  <c r="AE74" i="14"/>
  <c r="AK67" i="14"/>
  <c r="AM67" i="14" s="1"/>
  <c r="DQ99" i="14"/>
  <c r="BU36" i="14"/>
  <c r="CD25" i="14"/>
  <c r="AE68" i="14"/>
  <c r="F114" i="26"/>
  <c r="F134" i="26" s="1"/>
  <c r="F147" i="26" s="1"/>
  <c r="J54" i="14"/>
  <c r="L54" i="14" s="1"/>
  <c r="M32" i="14"/>
  <c r="CY32" i="14"/>
  <c r="DH32" i="14"/>
  <c r="BO43" i="14"/>
  <c r="DH43" i="14"/>
  <c r="CP52" i="14"/>
  <c r="DZ61" i="14"/>
  <c r="AN61" i="14"/>
  <c r="FJ54" i="14"/>
  <c r="FJ61" i="14"/>
  <c r="CG74" i="14"/>
  <c r="ER99" i="14"/>
  <c r="AW99" i="14"/>
  <c r="EI99" i="14"/>
  <c r="DQ41" i="14"/>
  <c r="DN32" i="14"/>
  <c r="DP32" i="14" s="1"/>
  <c r="BL36" i="14"/>
  <c r="J36" i="14"/>
  <c r="AT36" i="14"/>
  <c r="CV36" i="14"/>
  <c r="EO77" i="14"/>
  <c r="CV74" i="14"/>
  <c r="CV77" i="14"/>
  <c r="DN77" i="14"/>
  <c r="CM36" i="14"/>
  <c r="AK36" i="14"/>
  <c r="DW36" i="14"/>
  <c r="DY36" i="14" s="1"/>
  <c r="AB36" i="14"/>
  <c r="J77" i="14"/>
  <c r="DN38" i="14"/>
  <c r="DP38" i="14" s="1"/>
  <c r="S36" i="14"/>
  <c r="EF77" i="14"/>
  <c r="EH77" i="14" s="1"/>
  <c r="ER47" i="14"/>
  <c r="EI47" i="14"/>
  <c r="EF36" i="14"/>
  <c r="CD36" i="14"/>
  <c r="CF36" i="14" s="1"/>
  <c r="EX36" i="14"/>
  <c r="AB77" i="14"/>
  <c r="BU77" i="14"/>
  <c r="AT54" i="14"/>
  <c r="FG54" i="14"/>
  <c r="FI54" i="14" s="1"/>
  <c r="S54" i="14"/>
  <c r="U54" i="14" s="1"/>
  <c r="BL54" i="14"/>
  <c r="BN54" i="14" s="1"/>
  <c r="BU54" i="14"/>
  <c r="BW54" i="14" s="1"/>
  <c r="CD54" i="14"/>
  <c r="CF54" i="14" s="1"/>
  <c r="EO54" i="14"/>
  <c r="EQ54" i="14" s="1"/>
  <c r="DW54" i="14"/>
  <c r="DY54" i="14" s="1"/>
  <c r="DN54" i="14"/>
  <c r="DP54" i="14" s="1"/>
  <c r="CM54" i="14"/>
  <c r="DE54" i="14"/>
  <c r="DG54" i="14" s="1"/>
  <c r="EX54" i="14"/>
  <c r="EZ54" i="14" s="1"/>
  <c r="AK54" i="14"/>
  <c r="EO31" i="14"/>
  <c r="S16" i="14"/>
  <c r="S38" i="14"/>
  <c r="AB31" i="14"/>
  <c r="AT31" i="14"/>
  <c r="S31" i="14"/>
  <c r="U31" i="14" s="1"/>
  <c r="DE31" i="14"/>
  <c r="J51" i="14"/>
  <c r="J16" i="14"/>
  <c r="BU31" i="14"/>
  <c r="CM77" i="14"/>
  <c r="EO38" i="14"/>
  <c r="EF31" i="14"/>
  <c r="CV31" i="14"/>
  <c r="DN61" i="14"/>
  <c r="DP61" i="14" s="1"/>
  <c r="DW37" i="14"/>
  <c r="DE88" i="14"/>
  <c r="DG88" i="14" s="1"/>
  <c r="CM31" i="14"/>
  <c r="BU87" i="14"/>
  <c r="EF74" i="14"/>
  <c r="DE38" i="14"/>
  <c r="DN31" i="14"/>
  <c r="DP31" i="14" s="1"/>
  <c r="BL31" i="14"/>
  <c r="EX31" i="14"/>
  <c r="AB32" i="14"/>
  <c r="AB88" i="14"/>
  <c r="AD88" i="14" s="1"/>
  <c r="AB87" i="14"/>
  <c r="DW31" i="14"/>
  <c r="J31" i="14"/>
  <c r="L31" i="14" s="1"/>
  <c r="S65" i="14"/>
  <c r="DN62" i="14"/>
  <c r="CD31" i="14"/>
  <c r="AK31" i="14"/>
  <c r="DW88" i="14"/>
  <c r="EX88" i="14"/>
  <c r="EZ88" i="14" s="1"/>
  <c r="EI68" i="14"/>
  <c r="S56" i="14"/>
  <c r="AB63" i="14"/>
  <c r="AD63" i="14" s="1"/>
  <c r="AB48" i="14"/>
  <c r="AD48" i="14" s="1"/>
  <c r="BX68" i="14"/>
  <c r="BL40" i="14"/>
  <c r="CD33" i="14"/>
  <c r="CF33" i="14" s="1"/>
  <c r="CM40" i="14"/>
  <c r="EX33" i="14"/>
  <c r="AB15" i="14"/>
  <c r="FG69" i="14"/>
  <c r="FA68" i="14"/>
  <c r="DN40" i="14"/>
  <c r="DN16" i="14"/>
  <c r="DW16" i="14"/>
  <c r="DY16" i="14" s="1"/>
  <c r="DE53" i="14"/>
  <c r="DG53" i="14" s="1"/>
  <c r="BL28" i="14"/>
  <c r="CM61" i="14"/>
  <c r="DE16" i="14"/>
  <c r="BU14" i="14"/>
  <c r="CD16" i="14"/>
  <c r="CF16" i="14" s="1"/>
  <c r="EO16" i="14"/>
  <c r="AK16" i="14"/>
  <c r="AT16" i="14"/>
  <c r="AV16" i="14" s="1"/>
  <c r="DN69" i="14"/>
  <c r="M47" i="14"/>
  <c r="AE47" i="14"/>
  <c r="DZ47" i="14"/>
  <c r="EX56" i="14"/>
  <c r="EZ56" i="14" s="1"/>
  <c r="CD28" i="14"/>
  <c r="CF28" i="14" s="1"/>
  <c r="EX62" i="14"/>
  <c r="EZ62" i="14" s="1"/>
  <c r="EO47" i="14"/>
  <c r="EQ47" i="14" s="1"/>
  <c r="DQ68" i="14"/>
  <c r="BO68" i="14"/>
  <c r="BU16" i="14"/>
  <c r="CM28" i="14"/>
  <c r="AT69" i="14"/>
  <c r="V47" i="14"/>
  <c r="FG16" i="14"/>
  <c r="EF16" i="14"/>
  <c r="AB16" i="14"/>
  <c r="FJ47" i="14"/>
  <c r="AB14" i="14"/>
  <c r="AD14" i="14" s="1"/>
  <c r="FG56" i="14"/>
  <c r="FI56" i="14" s="1"/>
  <c r="F90" i="14"/>
  <c r="AK28" i="14"/>
  <c r="DQ47" i="14"/>
  <c r="AT62" i="14"/>
  <c r="CG68" i="14"/>
  <c r="CV16" i="14"/>
  <c r="DE28" i="14"/>
  <c r="DG28" i="14" s="1"/>
  <c r="FG40" i="14"/>
  <c r="FI40" i="14" s="1"/>
  <c r="S74" i="14"/>
  <c r="U74" i="14" s="1"/>
  <c r="AB74" i="14"/>
  <c r="DW74" i="14"/>
  <c r="DN74" i="14"/>
  <c r="AT74" i="14"/>
  <c r="DE74" i="14"/>
  <c r="AK74" i="14"/>
  <c r="AM74" i="14" s="1"/>
  <c r="EO74" i="14"/>
  <c r="BU74" i="14"/>
  <c r="BV74" i="14" s="1"/>
  <c r="J74" i="14"/>
  <c r="L74" i="14" s="1"/>
  <c r="J25" i="14"/>
  <c r="EF47" i="14"/>
  <c r="DZ68" i="14"/>
  <c r="AT77" i="14"/>
  <c r="AU77" i="14" s="1"/>
  <c r="EF28" i="14"/>
  <c r="S61" i="14"/>
  <c r="U61" i="14" s="1"/>
  <c r="DE61" i="14"/>
  <c r="J61" i="14"/>
  <c r="BL61" i="14"/>
  <c r="BN61" i="14" s="1"/>
  <c r="CV25" i="14"/>
  <c r="S47" i="14"/>
  <c r="U47" i="14" s="1"/>
  <c r="CV28" i="14"/>
  <c r="CD61" i="14"/>
  <c r="BU61" i="14"/>
  <c r="EO61" i="14"/>
  <c r="CV61" i="14"/>
  <c r="DN17" i="14"/>
  <c r="DP17" i="14" s="1"/>
  <c r="AB26" i="14"/>
  <c r="EF61" i="14"/>
  <c r="EH61" i="14" s="1"/>
  <c r="AT61" i="14"/>
  <c r="AV61" i="14" s="1"/>
  <c r="DW61" i="14"/>
  <c r="EX61" i="14"/>
  <c r="EZ61" i="14" s="1"/>
  <c r="EF17" i="14"/>
  <c r="EO26" i="14"/>
  <c r="DN28" i="14"/>
  <c r="S60" i="14"/>
  <c r="AB28" i="14"/>
  <c r="AD28" i="14" s="1"/>
  <c r="AB61" i="14"/>
  <c r="AK61" i="14"/>
  <c r="AM61" i="14" s="1"/>
  <c r="FG61" i="14"/>
  <c r="EF40" i="14"/>
  <c r="AK40" i="14"/>
  <c r="J40" i="14"/>
  <c r="DW40" i="14"/>
  <c r="CD40" i="14"/>
  <c r="EX40" i="14"/>
  <c r="AT40" i="14"/>
  <c r="DE40" i="14"/>
  <c r="S40" i="14"/>
  <c r="BU40" i="14"/>
  <c r="EO40" i="14"/>
  <c r="AB40" i="14"/>
  <c r="FG14" i="14"/>
  <c r="AT26" i="14"/>
  <c r="AV26" i="14" s="1"/>
  <c r="BU37" i="14"/>
  <c r="DN53" i="14"/>
  <c r="DP53" i="14" s="1"/>
  <c r="DW26" i="14"/>
  <c r="DE14" i="14"/>
  <c r="S14" i="14"/>
  <c r="CM14" i="14"/>
  <c r="AT37" i="14"/>
  <c r="AV37" i="14" s="1"/>
  <c r="BL37" i="14"/>
  <c r="S87" i="14"/>
  <c r="U87" i="14" s="1"/>
  <c r="AK63" i="14"/>
  <c r="BL87" i="14"/>
  <c r="DW14" i="14"/>
  <c r="DX14" i="14" s="1"/>
  <c r="J14" i="14"/>
  <c r="AK14" i="14"/>
  <c r="CD14" i="14"/>
  <c r="EX14" i="14"/>
  <c r="CD37" i="14"/>
  <c r="CV37" i="14"/>
  <c r="EX87" i="14"/>
  <c r="EZ87" i="14" s="1"/>
  <c r="AT63" i="14"/>
  <c r="AV63" i="14" s="1"/>
  <c r="EF87" i="14"/>
  <c r="AK87" i="14"/>
  <c r="AM87" i="14" s="1"/>
  <c r="DN26" i="14"/>
  <c r="FG37" i="14"/>
  <c r="CV53" i="14"/>
  <c r="AT17" i="14"/>
  <c r="AV17" i="14" s="1"/>
  <c r="AT14" i="14"/>
  <c r="DN14" i="14"/>
  <c r="DO14" i="14" s="1"/>
  <c r="EF14" i="14"/>
  <c r="EO14" i="14"/>
  <c r="EQ14" i="14" s="1"/>
  <c r="CM37" i="14"/>
  <c r="CO37" i="14" s="1"/>
  <c r="DN87" i="14"/>
  <c r="DO87" i="14" s="1"/>
  <c r="DP87" i="14" s="1"/>
  <c r="EO87" i="14"/>
  <c r="EQ87" i="14" s="1"/>
  <c r="CD87" i="14"/>
  <c r="CF87" i="14" s="1"/>
  <c r="DE37" i="14"/>
  <c r="EF37" i="14"/>
  <c r="S37" i="14"/>
  <c r="AB37" i="14"/>
  <c r="AD37" i="14" s="1"/>
  <c r="AK37" i="14"/>
  <c r="J37" i="14"/>
  <c r="L37" i="14" s="1"/>
  <c r="DN37" i="14"/>
  <c r="DP37" i="14" s="1"/>
  <c r="EX37" i="14"/>
  <c r="EZ37" i="14" s="1"/>
  <c r="AB59" i="14"/>
  <c r="EO59" i="14"/>
  <c r="S59" i="14"/>
  <c r="U59" i="14" s="1"/>
  <c r="DE59" i="14"/>
  <c r="DG59" i="14" s="1"/>
  <c r="DW59" i="14"/>
  <c r="DY59" i="14" s="1"/>
  <c r="EF59" i="14"/>
  <c r="EH59" i="14" s="1"/>
  <c r="BL59" i="14"/>
  <c r="CD59" i="14"/>
  <c r="CF59" i="14" s="1"/>
  <c r="J59" i="14"/>
  <c r="L59" i="14" s="1"/>
  <c r="CV59" i="14"/>
  <c r="CX59" i="14" s="1"/>
  <c r="CM59" i="14"/>
  <c r="CO59" i="14" s="1"/>
  <c r="DN59" i="14"/>
  <c r="DP59" i="14" s="1"/>
  <c r="BU59" i="14"/>
  <c r="AT59" i="14"/>
  <c r="DN49" i="14"/>
  <c r="DE49" i="14"/>
  <c r="AB49" i="14"/>
  <c r="FG49" i="14"/>
  <c r="FI49" i="14" s="1"/>
  <c r="BU49" i="14"/>
  <c r="EO49" i="14"/>
  <c r="EQ49" i="14" s="1"/>
  <c r="J49" i="14"/>
  <c r="CD49" i="14"/>
  <c r="CM49" i="14"/>
  <c r="CO49" i="14" s="1"/>
  <c r="EF49" i="14"/>
  <c r="AK49" i="14"/>
  <c r="DW49" i="14"/>
  <c r="S49" i="14"/>
  <c r="U49" i="14" s="1"/>
  <c r="CV51" i="14"/>
  <c r="AT58" i="14"/>
  <c r="EF58" i="14"/>
  <c r="AB58" i="14"/>
  <c r="AD58" i="14" s="1"/>
  <c r="BU25" i="14"/>
  <c r="EO25" i="14"/>
  <c r="EQ25" i="14" s="1"/>
  <c r="BL25" i="14"/>
  <c r="DW25" i="14"/>
  <c r="AT25" i="14"/>
  <c r="DN25" i="14"/>
  <c r="DP25" i="14" s="1"/>
  <c r="AK25" i="14"/>
  <c r="CM25" i="14"/>
  <c r="CO25" i="14" s="1"/>
  <c r="S25" i="14"/>
  <c r="U25" i="14" s="1"/>
  <c r="FG25" i="14"/>
  <c r="FI25" i="14" s="1"/>
  <c r="AT88" i="14"/>
  <c r="AK88" i="14"/>
  <c r="AM88" i="14" s="1"/>
  <c r="J88" i="14"/>
  <c r="BU88" i="14"/>
  <c r="EX59" i="14"/>
  <c r="EZ59" i="14" s="1"/>
  <c r="CM51" i="14"/>
  <c r="EX51" i="14"/>
  <c r="DE51" i="14"/>
  <c r="S51" i="14"/>
  <c r="U51" i="14" s="1"/>
  <c r="FG51" i="14"/>
  <c r="AT51" i="14"/>
  <c r="AK51" i="14"/>
  <c r="EF51" i="14"/>
  <c r="DN51" i="14"/>
  <c r="BL51" i="14"/>
  <c r="DW51" i="14"/>
  <c r="CD51" i="14"/>
  <c r="CF51" i="14" s="1"/>
  <c r="CV52" i="14"/>
  <c r="J52" i="14"/>
  <c r="L52" i="14" s="1"/>
  <c r="EF52" i="14"/>
  <c r="EX49" i="14"/>
  <c r="EO51" i="14"/>
  <c r="AK59" i="14"/>
  <c r="BU51" i="14"/>
  <c r="BL49" i="14"/>
  <c r="FG53" i="14"/>
  <c r="CM53" i="14"/>
  <c r="CO53" i="14" s="1"/>
  <c r="J53" i="14"/>
  <c r="L53" i="14" s="1"/>
  <c r="BL53" i="14"/>
  <c r="EX53" i="14"/>
  <c r="AB53" i="14"/>
  <c r="AK53" i="14"/>
  <c r="AM53" i="14" s="1"/>
  <c r="BU53" i="14"/>
  <c r="DW53" i="14"/>
  <c r="EO53" i="14"/>
  <c r="S53" i="14"/>
  <c r="U53" i="14" s="1"/>
  <c r="DE26" i="14"/>
  <c r="BL26" i="14"/>
  <c r="EX26" i="14"/>
  <c r="S26" i="14"/>
  <c r="FG26" i="14"/>
  <c r="AK26" i="14"/>
  <c r="EF26" i="14"/>
  <c r="CV26" i="14"/>
  <c r="CX26" i="14" s="1"/>
  <c r="J26" i="14"/>
  <c r="CM26" i="14"/>
  <c r="CO26" i="14" s="1"/>
  <c r="CD26" i="14"/>
  <c r="CV49" i="14"/>
  <c r="BU67" i="14"/>
  <c r="S67" i="14"/>
  <c r="FA47" i="14"/>
  <c r="AB56" i="14"/>
  <c r="EO28" i="14"/>
  <c r="DE87" i="14"/>
  <c r="DG87" i="14" s="1"/>
  <c r="CV85" i="14"/>
  <c r="EX47" i="14"/>
  <c r="FJ68" i="14"/>
  <c r="V68" i="14"/>
  <c r="AW68" i="14"/>
  <c r="AN68" i="14"/>
  <c r="EX77" i="14"/>
  <c r="BL77" i="14"/>
  <c r="BN77" i="14" s="1"/>
  <c r="CM74" i="14"/>
  <c r="CO74" i="14" s="1"/>
  <c r="CD74" i="14"/>
  <c r="CF74" i="14" s="1"/>
  <c r="FG74" i="14"/>
  <c r="EX74" i="14"/>
  <c r="EY74" i="14" s="1"/>
  <c r="EF67" i="14"/>
  <c r="DN67" i="14"/>
  <c r="DP67" i="14" s="1"/>
  <c r="DW28" i="14"/>
  <c r="EX28" i="14"/>
  <c r="S28" i="14"/>
  <c r="F99" i="14"/>
  <c r="EO69" i="14"/>
  <c r="AK69" i="14"/>
  <c r="CD69" i="14"/>
  <c r="AB69" i="14"/>
  <c r="J69" i="14"/>
  <c r="DE69" i="14"/>
  <c r="DW69" i="14"/>
  <c r="BU69" i="14"/>
  <c r="CM69" i="14"/>
  <c r="CV69" i="14"/>
  <c r="S69" i="14"/>
  <c r="BL69" i="14"/>
  <c r="DH68" i="14"/>
  <c r="ER68" i="14"/>
  <c r="J28" i="14"/>
  <c r="L28" i="14" s="1"/>
  <c r="FG28" i="14"/>
  <c r="AT28" i="14"/>
  <c r="O127" i="1"/>
  <c r="S127" i="1" s="1"/>
  <c r="R100" i="1"/>
  <c r="DW93" i="14"/>
  <c r="EO93" i="14"/>
  <c r="EF93" i="14"/>
  <c r="AT93" i="14"/>
  <c r="CM93" i="14"/>
  <c r="DE93" i="14"/>
  <c r="AB93" i="14"/>
  <c r="BU93" i="14"/>
  <c r="S93" i="14"/>
  <c r="EX93" i="14"/>
  <c r="AK93" i="14"/>
  <c r="FG93" i="14"/>
  <c r="J93" i="14"/>
  <c r="DN15" i="14"/>
  <c r="S17" i="14"/>
  <c r="U17" i="14" s="1"/>
  <c r="CV93" i="14"/>
  <c r="EO65" i="14"/>
  <c r="CM32" i="14"/>
  <c r="S33" i="14"/>
  <c r="AB33" i="14"/>
  <c r="AD33" i="14" s="1"/>
  <c r="CV33" i="14"/>
  <c r="CX33" i="14" s="1"/>
  <c r="B90" i="16"/>
  <c r="EX17" i="14"/>
  <c r="AK17" i="14"/>
  <c r="AM17" i="14" s="1"/>
  <c r="BL17" i="14"/>
  <c r="FG17" i="14"/>
  <c r="DN48" i="14"/>
  <c r="S48" i="14"/>
  <c r="EF48" i="14"/>
  <c r="CM48" i="14"/>
  <c r="AK48" i="14"/>
  <c r="J48" i="14"/>
  <c r="FG48" i="14"/>
  <c r="DW48" i="14"/>
  <c r="BU48" i="14"/>
  <c r="AT48" i="14"/>
  <c r="CV48" i="14"/>
  <c r="CD48" i="14"/>
  <c r="EX48" i="14"/>
  <c r="EO48" i="14"/>
  <c r="BL48" i="14"/>
  <c r="DE48" i="14"/>
  <c r="CM87" i="14"/>
  <c r="J87" i="14"/>
  <c r="FG87" i="14"/>
  <c r="DW87" i="14"/>
  <c r="AT87" i="14"/>
  <c r="EF34" i="14"/>
  <c r="AT34" i="14"/>
  <c r="S34" i="14"/>
  <c r="CD34" i="14"/>
  <c r="FG34" i="14"/>
  <c r="DW34" i="14"/>
  <c r="AK34" i="14"/>
  <c r="DE34" i="14"/>
  <c r="BU34" i="14"/>
  <c r="EX34" i="14"/>
  <c r="AB34" i="14"/>
  <c r="BL34" i="14"/>
  <c r="EO34" i="14"/>
  <c r="J34" i="14"/>
  <c r="DN34" i="14"/>
  <c r="CV34" i="14"/>
  <c r="CM34" i="14"/>
  <c r="BL93" i="14"/>
  <c r="DW65" i="14"/>
  <c r="CV65" i="14"/>
  <c r="DN65" i="14"/>
  <c r="CM33" i="14"/>
  <c r="AT33" i="14"/>
  <c r="AV33" i="14" s="1"/>
  <c r="DN33" i="14"/>
  <c r="CM17" i="14"/>
  <c r="AB17" i="14"/>
  <c r="AD17" i="14" s="1"/>
  <c r="AK77" i="14"/>
  <c r="CD77" i="14"/>
  <c r="FG77" i="14"/>
  <c r="CV38" i="14"/>
  <c r="FG38" i="14"/>
  <c r="J38" i="14"/>
  <c r="CM38" i="14"/>
  <c r="EX38" i="14"/>
  <c r="AT38" i="14"/>
  <c r="EF38" i="14"/>
  <c r="AB38" i="14"/>
  <c r="DW38" i="14"/>
  <c r="BL38" i="14"/>
  <c r="BU38" i="14"/>
  <c r="AK38" i="14"/>
  <c r="J17" i="14"/>
  <c r="L17" i="14" s="1"/>
  <c r="CD17" i="14"/>
  <c r="CD93" i="14"/>
  <c r="CF93" i="14" s="1"/>
  <c r="CD65" i="14"/>
  <c r="BL52" i="14"/>
  <c r="FG33" i="14"/>
  <c r="FI33" i="14" s="1"/>
  <c r="BL33" i="14"/>
  <c r="CV17" i="14"/>
  <c r="CX17" i="14" s="1"/>
  <c r="DE17" i="14"/>
  <c r="CD53" i="14"/>
  <c r="EF53" i="14"/>
  <c r="EO58" i="14"/>
  <c r="EQ58" i="14" s="1"/>
  <c r="AK58" i="14"/>
  <c r="AM58" i="14" s="1"/>
  <c r="EO85" i="14"/>
  <c r="EQ85" i="14" s="1"/>
  <c r="AT42" i="14"/>
  <c r="BU42" i="14"/>
  <c r="J42" i="14"/>
  <c r="L42" i="14" s="1"/>
  <c r="CD42" i="14"/>
  <c r="DW42" i="14"/>
  <c r="BL42" i="14"/>
  <c r="AB42" i="14"/>
  <c r="EO17" i="14"/>
  <c r="DW17" i="14"/>
  <c r="R35" i="6"/>
  <c r="P16" i="9"/>
  <c r="AT85" i="14"/>
  <c r="BU85" i="14"/>
  <c r="DG94" i="14"/>
  <c r="AK68" i="14"/>
  <c r="DN68" i="14"/>
  <c r="CD68" i="14"/>
  <c r="AB68" i="14"/>
  <c r="CM68" i="14"/>
  <c r="J68" i="14"/>
  <c r="EF68" i="14"/>
  <c r="CV68" i="14"/>
  <c r="AT68" i="14"/>
  <c r="EO68" i="14"/>
  <c r="DW68" i="14"/>
  <c r="DE68" i="14"/>
  <c r="S68" i="14"/>
  <c r="FG68" i="14"/>
  <c r="EX68" i="14"/>
  <c r="BU68" i="14"/>
  <c r="BL68" i="14"/>
  <c r="H175" i="26"/>
  <c r="AK52" i="14"/>
  <c r="CD52" i="14"/>
  <c r="CF52" i="14" s="1"/>
  <c r="EX52" i="14"/>
  <c r="EZ52" i="14" s="1"/>
  <c r="CD85" i="14"/>
  <c r="CF85" i="14" s="1"/>
  <c r="DW85" i="14"/>
  <c r="DX85" i="14" s="1"/>
  <c r="S85" i="14"/>
  <c r="U85" i="14" s="1"/>
  <c r="DN47" i="14"/>
  <c r="BL47" i="14"/>
  <c r="AK47" i="14"/>
  <c r="BM36" i="14"/>
  <c r="BM15" i="14"/>
  <c r="K26" i="2"/>
  <c r="H26" i="9"/>
  <c r="DH36" i="14"/>
  <c r="M36" i="14"/>
  <c r="V36" i="14"/>
  <c r="FA36" i="14"/>
  <c r="BO36" i="14"/>
  <c r="ER36" i="14"/>
  <c r="CY36" i="14"/>
  <c r="CP36" i="14"/>
  <c r="DZ36" i="14"/>
  <c r="CG36" i="14"/>
  <c r="EI36" i="14"/>
  <c r="AE36" i="14"/>
  <c r="FJ36" i="14"/>
  <c r="BX36" i="14"/>
  <c r="AN36" i="14"/>
  <c r="DQ36" i="14"/>
  <c r="AW36" i="14"/>
  <c r="CG27" i="14"/>
  <c r="FA27" i="14"/>
  <c r="M27" i="14"/>
  <c r="AN27" i="14"/>
  <c r="CP27" i="14"/>
  <c r="BX27" i="14"/>
  <c r="ER27" i="14"/>
  <c r="DZ27" i="14"/>
  <c r="FJ27" i="14"/>
  <c r="EI27" i="14"/>
  <c r="CY27" i="14"/>
  <c r="AE27" i="14"/>
  <c r="BO27" i="14"/>
  <c r="DQ27" i="14"/>
  <c r="DH27" i="14"/>
  <c r="V27" i="14"/>
  <c r="AW27" i="14"/>
  <c r="M25" i="14"/>
  <c r="FA25" i="14"/>
  <c r="DZ25" i="14"/>
  <c r="DQ25" i="14"/>
  <c r="BX25" i="14"/>
  <c r="AN25" i="14"/>
  <c r="FJ25" i="14"/>
  <c r="EI25" i="14"/>
  <c r="V25" i="14"/>
  <c r="CG25" i="14"/>
  <c r="BO25" i="14"/>
  <c r="ER25" i="14"/>
  <c r="AE25" i="14"/>
  <c r="DH25" i="14"/>
  <c r="CY25" i="14"/>
  <c r="AW25" i="14"/>
  <c r="CP25" i="14"/>
  <c r="FG62" i="14"/>
  <c r="DW62" i="14"/>
  <c r="CM62" i="14"/>
  <c r="EF62" i="14"/>
  <c r="CV62" i="14"/>
  <c r="BL62" i="14"/>
  <c r="J62" i="14"/>
  <c r="AK62" i="14"/>
  <c r="EO62" i="14"/>
  <c r="AB62" i="14"/>
  <c r="DE62" i="14"/>
  <c r="S62" i="14"/>
  <c r="BU62" i="14"/>
  <c r="U68" i="16"/>
  <c r="V68" i="16" s="1"/>
  <c r="W68" i="16" s="1"/>
  <c r="CV88" i="14"/>
  <c r="FG88" i="14"/>
  <c r="S88" i="14"/>
  <c r="CM88" i="14"/>
  <c r="EF88" i="14"/>
  <c r="EO88" i="14"/>
  <c r="DN88" i="14"/>
  <c r="CD88" i="14"/>
  <c r="AD94" i="14"/>
  <c r="L94" i="14"/>
  <c r="DP94" i="14"/>
  <c r="DE56" i="14"/>
  <c r="EO56" i="14"/>
  <c r="DN56" i="14"/>
  <c r="CV56" i="14"/>
  <c r="DW56" i="14"/>
  <c r="BL56" i="14"/>
  <c r="AK56" i="14"/>
  <c r="CD56" i="14"/>
  <c r="CM56" i="14"/>
  <c r="J56" i="14"/>
  <c r="EF56" i="14"/>
  <c r="AT56" i="14"/>
  <c r="BM18" i="14"/>
  <c r="BM16" i="14"/>
  <c r="EY17" i="14"/>
  <c r="BX65" i="14"/>
  <c r="DQ65" i="14"/>
  <c r="CY65" i="14"/>
  <c r="EI65" i="14"/>
  <c r="AE65" i="14"/>
  <c r="DH65" i="14"/>
  <c r="BO65" i="14"/>
  <c r="DZ65" i="14"/>
  <c r="CG65" i="14"/>
  <c r="V65" i="14"/>
  <c r="M65" i="14"/>
  <c r="AN65" i="14"/>
  <c r="FA65" i="14"/>
  <c r="AW65" i="14"/>
  <c r="FJ65" i="14"/>
  <c r="ER65" i="14"/>
  <c r="CP65" i="14"/>
  <c r="S55" i="14"/>
  <c r="EF55" i="14"/>
  <c r="CM55" i="14"/>
  <c r="CD55" i="14"/>
  <c r="DW55" i="14"/>
  <c r="DX55" i="14" s="1"/>
  <c r="EG55" i="14" s="1"/>
  <c r="J55" i="14"/>
  <c r="BL55" i="14"/>
  <c r="AK55" i="14"/>
  <c r="EX55" i="14"/>
  <c r="DE55" i="14"/>
  <c r="BU55" i="14"/>
  <c r="EO55" i="14"/>
  <c r="AT55" i="14"/>
  <c r="CV55" i="14"/>
  <c r="DN55" i="14"/>
  <c r="DO55" i="14" s="1"/>
  <c r="AB55" i="14"/>
  <c r="FG55" i="14"/>
  <c r="P24" i="9"/>
  <c r="EX85" i="14"/>
  <c r="EZ85" i="14" s="1"/>
  <c r="AB85" i="14"/>
  <c r="AD85" i="14" s="1"/>
  <c r="DN85" i="14"/>
  <c r="DO85" i="14" s="1"/>
  <c r="EF85" i="14"/>
  <c r="EG85" i="14" s="1"/>
  <c r="CM47" i="14"/>
  <c r="CO47" i="14" s="1"/>
  <c r="CV47" i="14"/>
  <c r="CX47" i="14" s="1"/>
  <c r="DE47" i="14"/>
  <c r="DG47" i="14" s="1"/>
  <c r="DW47" i="14"/>
  <c r="AB47" i="14"/>
  <c r="T103" i="14"/>
  <c r="EI39" i="14"/>
  <c r="AE39" i="14"/>
  <c r="V39" i="14"/>
  <c r="DQ39" i="14"/>
  <c r="CG39" i="14"/>
  <c r="CY39" i="14"/>
  <c r="CP39" i="14"/>
  <c r="ER39" i="14"/>
  <c r="AN39" i="14"/>
  <c r="M39" i="14"/>
  <c r="FJ39" i="14"/>
  <c r="AW39" i="14"/>
  <c r="FA39" i="14"/>
  <c r="BO39" i="14"/>
  <c r="DH39" i="14"/>
  <c r="BX39" i="14"/>
  <c r="DZ39" i="14"/>
  <c r="ER56" i="14"/>
  <c r="CY56" i="14"/>
  <c r="V56" i="14"/>
  <c r="EI56" i="14"/>
  <c r="DH56" i="14"/>
  <c r="AN56" i="14"/>
  <c r="DZ56" i="14"/>
  <c r="BO56" i="14"/>
  <c r="AW56" i="14"/>
  <c r="CG56" i="14"/>
  <c r="DQ56" i="14"/>
  <c r="AE56" i="14"/>
  <c r="FA56" i="14"/>
  <c r="BX56" i="14"/>
  <c r="CP56" i="14"/>
  <c r="FJ56" i="14"/>
  <c r="M56" i="14"/>
  <c r="AW53" i="14"/>
  <c r="BX53" i="14"/>
  <c r="FJ53" i="14"/>
  <c r="BO53" i="14"/>
  <c r="CP53" i="14"/>
  <c r="CG53" i="14"/>
  <c r="M53" i="14"/>
  <c r="DH53" i="14"/>
  <c r="EI53" i="14"/>
  <c r="ER53" i="14"/>
  <c r="DZ53" i="14"/>
  <c r="FA53" i="14"/>
  <c r="AE53" i="14"/>
  <c r="CY53" i="14"/>
  <c r="DQ53" i="14"/>
  <c r="V53" i="14"/>
  <c r="AN53" i="14"/>
  <c r="AN47" i="14"/>
  <c r="AW47" i="14"/>
  <c r="DH47" i="14"/>
  <c r="BX47" i="14"/>
  <c r="CY47" i="14"/>
  <c r="CG47" i="14"/>
  <c r="CP68" i="14"/>
  <c r="M68" i="14"/>
  <c r="CY20" i="14"/>
  <c r="DH20" i="14"/>
  <c r="BO20" i="14"/>
  <c r="CP20" i="14"/>
  <c r="AW20" i="14"/>
  <c r="DZ20" i="14"/>
  <c r="BX20" i="14"/>
  <c r="AE20" i="14"/>
  <c r="V20" i="14"/>
  <c r="M20" i="14"/>
  <c r="EI20" i="14"/>
  <c r="AN20" i="14"/>
  <c r="FJ20" i="14"/>
  <c r="DQ20" i="14"/>
  <c r="ER20" i="14"/>
  <c r="CG20" i="14"/>
  <c r="CM76" i="14"/>
  <c r="EX76" i="14"/>
  <c r="DW76" i="14"/>
  <c r="CV76" i="14"/>
  <c r="AK76" i="14"/>
  <c r="EF76" i="14"/>
  <c r="DE76" i="14"/>
  <c r="EO76" i="14"/>
  <c r="FG76" i="14"/>
  <c r="J76" i="14"/>
  <c r="CD76" i="14"/>
  <c r="DN76" i="14"/>
  <c r="S76" i="14"/>
  <c r="BU76" i="14"/>
  <c r="AT76" i="14"/>
  <c r="BL76" i="14"/>
  <c r="S15" i="14"/>
  <c r="FG15" i="14"/>
  <c r="EF15" i="14"/>
  <c r="AK15" i="14"/>
  <c r="BU15" i="14"/>
  <c r="DW15" i="14"/>
  <c r="CV15" i="14"/>
  <c r="J15" i="14"/>
  <c r="EX15" i="14"/>
  <c r="CM15" i="14"/>
  <c r="BL15" i="14"/>
  <c r="AT15" i="14"/>
  <c r="EO15" i="14"/>
  <c r="DE15" i="14"/>
  <c r="CD58" i="14"/>
  <c r="FG58" i="14"/>
  <c r="DN58" i="14"/>
  <c r="CV58" i="14"/>
  <c r="BL58" i="14"/>
  <c r="DE58" i="14"/>
  <c r="CM58" i="14"/>
  <c r="EX58" i="14"/>
  <c r="S58" i="14"/>
  <c r="J58" i="14"/>
  <c r="BU58" i="14"/>
  <c r="DW58" i="14"/>
  <c r="DE25" i="14"/>
  <c r="EF25" i="14"/>
  <c r="EX25" i="14"/>
  <c r="BO47" i="14"/>
  <c r="BU33" i="14"/>
  <c r="DW33" i="14"/>
  <c r="DE33" i="14"/>
  <c r="EO33" i="14"/>
  <c r="AK33" i="14"/>
  <c r="U65" i="16"/>
  <c r="V65" i="16" s="1"/>
  <c r="W65" i="16" s="1"/>
  <c r="FG65" i="14"/>
  <c r="AT65" i="14"/>
  <c r="BL65" i="14"/>
  <c r="EF65" i="14"/>
  <c r="AB65" i="14"/>
  <c r="DE65" i="14"/>
  <c r="EX65" i="14"/>
  <c r="J65" i="14"/>
  <c r="BU65" i="14"/>
  <c r="AK65" i="14"/>
  <c r="EH69" i="14"/>
  <c r="CF94" i="14"/>
  <c r="BU64" i="14"/>
  <c r="EF64" i="14"/>
  <c r="FG64" i="14"/>
  <c r="CV64" i="14"/>
  <c r="CM64" i="14"/>
  <c r="DN64" i="14"/>
  <c r="EO64" i="14"/>
  <c r="AK64" i="14"/>
  <c r="AB64" i="14"/>
  <c r="DE64" i="14"/>
  <c r="EX64" i="14"/>
  <c r="DW64" i="14"/>
  <c r="S64" i="14"/>
  <c r="AT64" i="14"/>
  <c r="BL64" i="14"/>
  <c r="EF42" i="14"/>
  <c r="CM42" i="14"/>
  <c r="EX42" i="14"/>
  <c r="DE42" i="14"/>
  <c r="AK42" i="14"/>
  <c r="EO42" i="14"/>
  <c r="S42" i="14"/>
  <c r="FG42" i="14"/>
  <c r="DN42" i="14"/>
  <c r="Q74" i="26"/>
  <c r="U75" i="26"/>
  <c r="Q75" i="26" s="1"/>
  <c r="EP18" i="14"/>
  <c r="BX38" i="14"/>
  <c r="FJ38" i="14"/>
  <c r="V38" i="14"/>
  <c r="CY38" i="14"/>
  <c r="ER38" i="14"/>
  <c r="AN38" i="14"/>
  <c r="AW38" i="14"/>
  <c r="CP38" i="14"/>
  <c r="DZ38" i="14"/>
  <c r="DQ38" i="14"/>
  <c r="FA38" i="14"/>
  <c r="DH38" i="14"/>
  <c r="CG38" i="14"/>
  <c r="M38" i="14"/>
  <c r="AE38" i="14"/>
  <c r="BO38" i="14"/>
  <c r="EI38" i="14"/>
  <c r="DQ50" i="14"/>
  <c r="M50" i="14"/>
  <c r="BO50" i="14"/>
  <c r="AE50" i="14"/>
  <c r="BX50" i="14"/>
  <c r="CY50" i="14"/>
  <c r="EI50" i="14"/>
  <c r="AW50" i="14"/>
  <c r="V50" i="14"/>
  <c r="AN50" i="14"/>
  <c r="CP50" i="14"/>
  <c r="FA50" i="14"/>
  <c r="FJ50" i="14"/>
  <c r="DZ50" i="14"/>
  <c r="ER50" i="14"/>
  <c r="DH50" i="14"/>
  <c r="CG50" i="14"/>
  <c r="FG52" i="14"/>
  <c r="CM52" i="14"/>
  <c r="AB52" i="14"/>
  <c r="EO52" i="14"/>
  <c r="DE52" i="14"/>
  <c r="AT52" i="14"/>
  <c r="BU52" i="14"/>
  <c r="S52" i="14"/>
  <c r="DW52" i="14"/>
  <c r="DY52" i="14" s="1"/>
  <c r="DN52" i="14"/>
  <c r="BL85" i="14"/>
  <c r="CM85" i="14"/>
  <c r="DE85" i="14"/>
  <c r="J85" i="14"/>
  <c r="AK85" i="14"/>
  <c r="AM85" i="14" s="1"/>
  <c r="CD47" i="14"/>
  <c r="J47" i="14"/>
  <c r="AT47" i="14"/>
  <c r="AV47" i="14" s="1"/>
  <c r="FG47" i="14"/>
  <c r="DH57" i="14"/>
  <c r="AW57" i="14"/>
  <c r="AE57" i="14"/>
  <c r="AN57" i="14"/>
  <c r="DQ57" i="14"/>
  <c r="FA57" i="14"/>
  <c r="V57" i="14"/>
  <c r="CG57" i="14"/>
  <c r="M57" i="14"/>
  <c r="CY57" i="14"/>
  <c r="ER57" i="14"/>
  <c r="BO57" i="14"/>
  <c r="FJ57" i="14"/>
  <c r="BX57" i="14"/>
  <c r="EI57" i="14"/>
  <c r="DZ57" i="14"/>
  <c r="CP57" i="14"/>
  <c r="ER67" i="14"/>
  <c r="CP67" i="14"/>
  <c r="CG67" i="14"/>
  <c r="M67" i="14"/>
  <c r="AN67" i="14"/>
  <c r="CY67" i="14"/>
  <c r="V67" i="14"/>
  <c r="DZ67" i="14"/>
  <c r="FJ67" i="14"/>
  <c r="AW67" i="14"/>
  <c r="DH67" i="14"/>
  <c r="BX67" i="14"/>
  <c r="EI67" i="14"/>
  <c r="AE67" i="14"/>
  <c r="BO67" i="14"/>
  <c r="FA67" i="14"/>
  <c r="DQ67" i="14"/>
  <c r="V26" i="14"/>
  <c r="BO26" i="14"/>
  <c r="AN26" i="14"/>
  <c r="DQ26" i="14"/>
  <c r="AW26" i="14"/>
  <c r="BX26" i="14"/>
  <c r="FA26" i="14"/>
  <c r="M26" i="14"/>
  <c r="DH26" i="14"/>
  <c r="CP26" i="14"/>
  <c r="EI26" i="14"/>
  <c r="CY26" i="14"/>
  <c r="DZ26" i="14"/>
  <c r="FJ26" i="14"/>
  <c r="AE26" i="14"/>
  <c r="CG26" i="14"/>
  <c r="ER26" i="14"/>
  <c r="BX45" i="14"/>
  <c r="CP45" i="14"/>
  <c r="CY45" i="14"/>
  <c r="CG45" i="14"/>
  <c r="FJ45" i="14"/>
  <c r="AE45" i="14"/>
  <c r="ER45" i="14"/>
  <c r="DH45" i="14"/>
  <c r="AW45" i="14"/>
  <c r="FA45" i="14"/>
  <c r="EI45" i="14"/>
  <c r="DZ45" i="14"/>
  <c r="M45" i="14"/>
  <c r="DQ45" i="14"/>
  <c r="BO45" i="14"/>
  <c r="AN45" i="14"/>
  <c r="V45" i="14"/>
  <c r="J29" i="9"/>
  <c r="FG66" i="14"/>
  <c r="EF66" i="14"/>
  <c r="CV66" i="14"/>
  <c r="BL66" i="14"/>
  <c r="EO66" i="14"/>
  <c r="DE66" i="14"/>
  <c r="AK66" i="14"/>
  <c r="J66" i="14"/>
  <c r="CD66" i="14"/>
  <c r="EX66" i="14"/>
  <c r="DW66" i="14"/>
  <c r="BU66" i="14"/>
  <c r="AB66" i="14"/>
  <c r="CM66" i="14"/>
  <c r="S66" i="14"/>
  <c r="AT66" i="14"/>
  <c r="DN66" i="14"/>
  <c r="FG32" i="14"/>
  <c r="EO32" i="14"/>
  <c r="CV32" i="14"/>
  <c r="AT32" i="14"/>
  <c r="DW32" i="14"/>
  <c r="BU32" i="14"/>
  <c r="AK32" i="14"/>
  <c r="EX32" i="14"/>
  <c r="BL32" i="14"/>
  <c r="EF32" i="14"/>
  <c r="S32" i="14"/>
  <c r="CD32" i="14"/>
  <c r="DE32" i="14"/>
  <c r="EX63" i="14"/>
  <c r="DE63" i="14"/>
  <c r="CM63" i="14"/>
  <c r="DN63" i="14"/>
  <c r="CD63" i="14"/>
  <c r="S63" i="14"/>
  <c r="FG63" i="14"/>
  <c r="BU63" i="14"/>
  <c r="EO63" i="14"/>
  <c r="CV63" i="14"/>
  <c r="J63" i="14"/>
  <c r="DW63" i="14"/>
  <c r="BL63" i="14"/>
  <c r="EF63" i="14"/>
  <c r="CD57" i="14"/>
  <c r="EO57" i="14"/>
  <c r="DN57" i="14"/>
  <c r="AB57" i="14"/>
  <c r="FG57" i="14"/>
  <c r="AT57" i="14"/>
  <c r="BL57" i="14"/>
  <c r="DW57" i="14"/>
  <c r="CM57" i="14"/>
  <c r="EX57" i="14"/>
  <c r="BU57" i="14"/>
  <c r="EF57" i="14"/>
  <c r="S57" i="14"/>
  <c r="DE57" i="14"/>
  <c r="CV57" i="14"/>
  <c r="J57" i="14"/>
  <c r="AK57" i="14"/>
  <c r="AM94" i="14"/>
  <c r="EQ94" i="14"/>
  <c r="EX60" i="14"/>
  <c r="DW60" i="14"/>
  <c r="DE60" i="14"/>
  <c r="EO60" i="14"/>
  <c r="DN60" i="14"/>
  <c r="AT60" i="14"/>
  <c r="CV60" i="14"/>
  <c r="BU60" i="14"/>
  <c r="EF60" i="14"/>
  <c r="AK60" i="14"/>
  <c r="CD60" i="14"/>
  <c r="AB60" i="14"/>
  <c r="FG60" i="14"/>
  <c r="BL60" i="14"/>
  <c r="CM60" i="14"/>
  <c r="BM30" i="14"/>
  <c r="BM25" i="14"/>
  <c r="P173" i="26"/>
  <c r="T26" i="26"/>
  <c r="Q26" i="26"/>
  <c r="I14" i="9"/>
  <c r="D22" i="28"/>
  <c r="D24" i="28"/>
  <c r="D17" i="28"/>
  <c r="D21" i="28"/>
  <c r="D20" i="28"/>
  <c r="D26" i="28"/>
  <c r="D30" i="28"/>
  <c r="D23" i="28"/>
  <c r="D16" i="28"/>
  <c r="D28" i="28"/>
  <c r="D14" i="28"/>
  <c r="D18" i="28"/>
  <c r="D29" i="28"/>
  <c r="D27" i="28"/>
  <c r="BO18" i="14"/>
  <c r="FA18" i="14"/>
  <c r="DZ18" i="14"/>
  <c r="M18" i="14"/>
  <c r="CY18" i="14"/>
  <c r="CP18" i="14"/>
  <c r="ER18" i="14"/>
  <c r="BX18" i="14"/>
  <c r="DH18" i="14"/>
  <c r="AW18" i="14"/>
  <c r="AE18" i="14"/>
  <c r="CG18" i="14"/>
  <c r="FJ18" i="14"/>
  <c r="V18" i="14"/>
  <c r="AN18" i="14"/>
  <c r="DQ18" i="14"/>
  <c r="EI18" i="14"/>
  <c r="V17" i="14"/>
  <c r="AN17" i="14"/>
  <c r="DH17" i="14"/>
  <c r="FA17" i="14"/>
  <c r="AW17" i="14"/>
  <c r="M17" i="14"/>
  <c r="ER17" i="14"/>
  <c r="DQ17" i="14"/>
  <c r="FJ17" i="14"/>
  <c r="BX17" i="14"/>
  <c r="EI17" i="14"/>
  <c r="CY17" i="14"/>
  <c r="CP17" i="14"/>
  <c r="AE17" i="14"/>
  <c r="BO17" i="14"/>
  <c r="DZ17" i="14"/>
  <c r="CG17" i="14"/>
  <c r="DZ15" i="14"/>
  <c r="EI15" i="14"/>
  <c r="CP15" i="14"/>
  <c r="AE15" i="14"/>
  <c r="M15" i="14"/>
  <c r="BX15" i="14"/>
  <c r="FJ15" i="14"/>
  <c r="ER15" i="14"/>
  <c r="CY15" i="14"/>
  <c r="FA15" i="14"/>
  <c r="V15" i="14"/>
  <c r="DH15" i="14"/>
  <c r="AW15" i="14"/>
  <c r="DQ15" i="14"/>
  <c r="CG15" i="14"/>
  <c r="AN15" i="14"/>
  <c r="BO15" i="14"/>
  <c r="DQ37" i="14"/>
  <c r="FA37" i="14"/>
  <c r="AN37" i="14"/>
  <c r="BO37" i="14"/>
  <c r="CY37" i="14"/>
  <c r="BX37" i="14"/>
  <c r="DH37" i="14"/>
  <c r="ER37" i="14"/>
  <c r="EI37" i="14"/>
  <c r="AW37" i="14"/>
  <c r="CG37" i="14"/>
  <c r="DZ37" i="14"/>
  <c r="CP37" i="14"/>
  <c r="V37" i="14"/>
  <c r="FJ37" i="14"/>
  <c r="AE37" i="14"/>
  <c r="M37" i="14"/>
  <c r="P161" i="26"/>
  <c r="P28" i="26"/>
  <c r="T14" i="26"/>
  <c r="Q14" i="26"/>
  <c r="Q28" i="26" s="1"/>
  <c r="BM43" i="14"/>
  <c r="U66" i="16"/>
  <c r="V66" i="16" s="1"/>
  <c r="W66" i="16" s="1"/>
  <c r="U94" i="14"/>
  <c r="Q128" i="26"/>
  <c r="Q129" i="26"/>
  <c r="Q123" i="26"/>
  <c r="Q130" i="26"/>
  <c r="Q125" i="26"/>
  <c r="Q126" i="26"/>
  <c r="Q124" i="26"/>
  <c r="Q122" i="26"/>
  <c r="Q121" i="26"/>
  <c r="CX94" i="14"/>
  <c r="FG44" i="14"/>
  <c r="EX44" i="14"/>
  <c r="CM44" i="14"/>
  <c r="BL44" i="14"/>
  <c r="AK44" i="14"/>
  <c r="DW44" i="14"/>
  <c r="BU44" i="14"/>
  <c r="EO44" i="14"/>
  <c r="DE44" i="14"/>
  <c r="S44" i="14"/>
  <c r="EF44" i="14"/>
  <c r="J44" i="14"/>
  <c r="CD44" i="14"/>
  <c r="AT44" i="14"/>
  <c r="DN44" i="14"/>
  <c r="CV44" i="14"/>
  <c r="AB44" i="14"/>
  <c r="EX39" i="14"/>
  <c r="EF39" i="14"/>
  <c r="DN39" i="14"/>
  <c r="AT39" i="14"/>
  <c r="AB39" i="14"/>
  <c r="DE39" i="14"/>
  <c r="CM39" i="14"/>
  <c r="BU39" i="14"/>
  <c r="J39" i="14"/>
  <c r="DW39" i="14"/>
  <c r="CV39" i="14"/>
  <c r="FG39" i="14"/>
  <c r="CD39" i="14"/>
  <c r="AK39" i="14"/>
  <c r="EO39" i="14"/>
  <c r="BL39" i="14"/>
  <c r="S39" i="14"/>
  <c r="BV14" i="14"/>
  <c r="I25" i="9"/>
  <c r="M21" i="9"/>
  <c r="D15" i="28"/>
  <c r="P27" i="9"/>
  <c r="DH30" i="14"/>
  <c r="M30" i="14"/>
  <c r="AW30" i="14"/>
  <c r="DQ30" i="14"/>
  <c r="FA30" i="14"/>
  <c r="AN30" i="14"/>
  <c r="EI30" i="14"/>
  <c r="V30" i="14"/>
  <c r="FJ30" i="14"/>
  <c r="CG30" i="14"/>
  <c r="BX30" i="14"/>
  <c r="CY30" i="14"/>
  <c r="ER30" i="14"/>
  <c r="DZ30" i="14"/>
  <c r="BO30" i="14"/>
  <c r="AE30" i="14"/>
  <c r="CP30" i="14"/>
  <c r="EF20" i="14"/>
  <c r="EH20" i="14" s="1"/>
  <c r="EO20" i="14"/>
  <c r="EQ20" i="14" s="1"/>
  <c r="EX20" i="14"/>
  <c r="EZ20" i="14" s="1"/>
  <c r="CD20" i="14"/>
  <c r="CF20" i="14" s="1"/>
  <c r="CM20" i="14"/>
  <c r="CO20" i="14" s="1"/>
  <c r="AT20" i="14"/>
  <c r="AV20" i="14" s="1"/>
  <c r="CV20" i="14"/>
  <c r="CX20" i="14" s="1"/>
  <c r="DE20" i="14"/>
  <c r="DG20" i="14" s="1"/>
  <c r="FG20" i="14"/>
  <c r="FI20" i="14" s="1"/>
  <c r="S20" i="14"/>
  <c r="U20" i="14" s="1"/>
  <c r="DW20" i="14"/>
  <c r="DY20" i="14" s="1"/>
  <c r="AB20" i="14"/>
  <c r="AD20" i="14" s="1"/>
  <c r="BU20" i="14"/>
  <c r="BW20" i="14" s="1"/>
  <c r="J20" i="14"/>
  <c r="L20" i="14" s="1"/>
  <c r="AK20" i="14"/>
  <c r="AM20" i="14" s="1"/>
  <c r="DN20" i="14"/>
  <c r="DP20" i="14" s="1"/>
  <c r="BL20" i="14"/>
  <c r="BN20" i="14" s="1"/>
  <c r="T21" i="26"/>
  <c r="P168" i="26"/>
  <c r="E175" i="26"/>
  <c r="DY94" i="14"/>
  <c r="AD51" i="14"/>
  <c r="BM31" i="14"/>
  <c r="BV37" i="14"/>
  <c r="R85" i="1"/>
  <c r="R89" i="1" s="1"/>
  <c r="F75" i="14"/>
  <c r="BC75" i="14" s="1"/>
  <c r="AW28" i="14"/>
  <c r="BO28" i="14"/>
  <c r="M28" i="14"/>
  <c r="CG28" i="14"/>
  <c r="V28" i="14"/>
  <c r="AE28" i="14"/>
  <c r="CP28" i="14"/>
  <c r="ER28" i="14"/>
  <c r="DQ28" i="14"/>
  <c r="EI28" i="14"/>
  <c r="DZ28" i="14"/>
  <c r="AN28" i="14"/>
  <c r="DH28" i="14"/>
  <c r="FA28" i="14"/>
  <c r="FJ28" i="14"/>
  <c r="BX28" i="14"/>
  <c r="CY28" i="14"/>
  <c r="EX18" i="14"/>
  <c r="AT18" i="14"/>
  <c r="CM18" i="14"/>
  <c r="EF18" i="14"/>
  <c r="CV18" i="14"/>
  <c r="FG18" i="14"/>
  <c r="BL18" i="14"/>
  <c r="AB18" i="14"/>
  <c r="EO18" i="14"/>
  <c r="DW18" i="14"/>
  <c r="BU18" i="14"/>
  <c r="DN18" i="14"/>
  <c r="S18" i="14"/>
  <c r="AK18" i="14"/>
  <c r="CD18" i="14"/>
  <c r="J18" i="14"/>
  <c r="DE18" i="14"/>
  <c r="BM45" i="14"/>
  <c r="I23" i="2"/>
  <c r="H33" i="2"/>
  <c r="E13" i="1" s="1"/>
  <c r="F23" i="9"/>
  <c r="K29" i="9"/>
  <c r="J17" i="9"/>
  <c r="J15" i="9"/>
  <c r="N20" i="9"/>
  <c r="D25" i="28"/>
  <c r="P28" i="9"/>
  <c r="FA35" i="14"/>
  <c r="CP35" i="14"/>
  <c r="AW35" i="14"/>
  <c r="DZ35" i="14"/>
  <c r="BO35" i="14"/>
  <c r="FJ35" i="14"/>
  <c r="AE35" i="14"/>
  <c r="EI35" i="14"/>
  <c r="ER35" i="14"/>
  <c r="CG35" i="14"/>
  <c r="BX35" i="14"/>
  <c r="AN35" i="14"/>
  <c r="DQ35" i="14"/>
  <c r="V35" i="14"/>
  <c r="M35" i="14"/>
  <c r="DH35" i="14"/>
  <c r="CY35" i="14"/>
  <c r="AE44" i="14"/>
  <c r="CY44" i="14"/>
  <c r="M44" i="14"/>
  <c r="DZ44" i="14"/>
  <c r="DQ44" i="14"/>
  <c r="BO44" i="14"/>
  <c r="ER44" i="14"/>
  <c r="DH44" i="14"/>
  <c r="CG44" i="14"/>
  <c r="AW44" i="14"/>
  <c r="CP44" i="14"/>
  <c r="BX44" i="14"/>
  <c r="FA44" i="14"/>
  <c r="EI44" i="14"/>
  <c r="AN44" i="14"/>
  <c r="V44" i="14"/>
  <c r="FJ44" i="14"/>
  <c r="DZ46" i="14"/>
  <c r="FA46" i="14"/>
  <c r="AN46" i="14"/>
  <c r="CG46" i="14"/>
  <c r="AW46" i="14"/>
  <c r="M46" i="14"/>
  <c r="FJ46" i="14"/>
  <c r="AE46" i="14"/>
  <c r="DH46" i="14"/>
  <c r="EI46" i="14"/>
  <c r="V46" i="14"/>
  <c r="DQ46" i="14"/>
  <c r="CY46" i="14"/>
  <c r="CP46" i="14"/>
  <c r="BX46" i="14"/>
  <c r="ER46" i="14"/>
  <c r="BO46" i="14"/>
  <c r="DQ29" i="14"/>
  <c r="CY29" i="14"/>
  <c r="ER29" i="14"/>
  <c r="AN29" i="14"/>
  <c r="BX29" i="14"/>
  <c r="CG29" i="14"/>
  <c r="EI29" i="14"/>
  <c r="DH29" i="14"/>
  <c r="CP29" i="14"/>
  <c r="BO29" i="14"/>
  <c r="AW29" i="14"/>
  <c r="FJ29" i="14"/>
  <c r="M29" i="14"/>
  <c r="FA29" i="14"/>
  <c r="DZ29" i="14"/>
  <c r="V29" i="14"/>
  <c r="AE29" i="14"/>
  <c r="BV69" i="14"/>
  <c r="BM65" i="14"/>
  <c r="F22" i="14"/>
  <c r="P163" i="26"/>
  <c r="T16" i="26"/>
  <c r="Q16" i="26"/>
  <c r="I112" i="26"/>
  <c r="EX30" i="14"/>
  <c r="EF30" i="14"/>
  <c r="DN30" i="14"/>
  <c r="CV30" i="14"/>
  <c r="CD30" i="14"/>
  <c r="BL30" i="14"/>
  <c r="AT30" i="14"/>
  <c r="AB30" i="14"/>
  <c r="DW30" i="14"/>
  <c r="J30" i="14"/>
  <c r="EO30" i="14"/>
  <c r="BU30" i="14"/>
  <c r="FG30" i="14"/>
  <c r="CM30" i="14"/>
  <c r="S30" i="14"/>
  <c r="AK30" i="14"/>
  <c r="DE30" i="14"/>
  <c r="BM52" i="14"/>
  <c r="AL103" i="14"/>
  <c r="BM38" i="14"/>
  <c r="BM27" i="14"/>
  <c r="Q18" i="3"/>
  <c r="O18" i="9"/>
  <c r="P18" i="9" s="1"/>
  <c r="E18" i="2"/>
  <c r="I30" i="2"/>
  <c r="F30" i="9"/>
  <c r="J142" i="26"/>
  <c r="CV27" i="14"/>
  <c r="CD27" i="14"/>
  <c r="AK27" i="14"/>
  <c r="CM27" i="14"/>
  <c r="DN27" i="14"/>
  <c r="DW27" i="14"/>
  <c r="DE27" i="14"/>
  <c r="J27" i="14"/>
  <c r="S27" i="14"/>
  <c r="FG27" i="14"/>
  <c r="AT27" i="14"/>
  <c r="BL27" i="14"/>
  <c r="EX27" i="14"/>
  <c r="EF27" i="14"/>
  <c r="AB27" i="14"/>
  <c r="BU27" i="14"/>
  <c r="EO27" i="14"/>
  <c r="AU71" i="14"/>
  <c r="EP16" i="14"/>
  <c r="DW84" i="14"/>
  <c r="DE84" i="14"/>
  <c r="BU84" i="14"/>
  <c r="S84" i="14"/>
  <c r="EO84" i="14"/>
  <c r="BL84" i="14"/>
  <c r="AT84" i="14"/>
  <c r="AB84" i="14"/>
  <c r="J84" i="14"/>
  <c r="AK84" i="14"/>
  <c r="CV84" i="14"/>
  <c r="EX84" i="14"/>
  <c r="CD84" i="14"/>
  <c r="FG84" i="14"/>
  <c r="EF84" i="14"/>
  <c r="CM84" i="14"/>
  <c r="DN84" i="14"/>
  <c r="DW83" i="14"/>
  <c r="BU83" i="14"/>
  <c r="J83" i="14"/>
  <c r="CV83" i="14"/>
  <c r="AK83" i="14"/>
  <c r="CM83" i="14"/>
  <c r="AT83" i="14"/>
  <c r="EF83" i="14"/>
  <c r="BL83" i="14"/>
  <c r="S83" i="14"/>
  <c r="EO83" i="14"/>
  <c r="CD83" i="14"/>
  <c r="DE83" i="14"/>
  <c r="AB83" i="14"/>
  <c r="DN83" i="14"/>
  <c r="EX83" i="14"/>
  <c r="FG83" i="14"/>
  <c r="AB41" i="14"/>
  <c r="EX41" i="14"/>
  <c r="DW41" i="14"/>
  <c r="CD41" i="14"/>
  <c r="AT41" i="14"/>
  <c r="AK41" i="14"/>
  <c r="EO41" i="14"/>
  <c r="CV41" i="14"/>
  <c r="BU41" i="14"/>
  <c r="FG41" i="14"/>
  <c r="DN41" i="14"/>
  <c r="CM41" i="14"/>
  <c r="J41" i="14"/>
  <c r="BL41" i="14"/>
  <c r="EF41" i="14"/>
  <c r="DE41" i="14"/>
  <c r="S41" i="14"/>
  <c r="BV28" i="14"/>
  <c r="R18" i="2"/>
  <c r="D25" i="29"/>
  <c r="D28" i="29"/>
  <c r="D23" i="29"/>
  <c r="D14" i="29"/>
  <c r="D15" i="29"/>
  <c r="D21" i="29"/>
  <c r="D20" i="29"/>
  <c r="D22" i="29"/>
  <c r="D17" i="29"/>
  <c r="D30" i="29"/>
  <c r="D24" i="29"/>
  <c r="D19" i="28"/>
  <c r="ER63" i="14"/>
  <c r="AN63" i="14"/>
  <c r="V63" i="14"/>
  <c r="CY63" i="14"/>
  <c r="CP63" i="14"/>
  <c r="BO63" i="14"/>
  <c r="DQ63" i="14"/>
  <c r="M63" i="14"/>
  <c r="DZ63" i="14"/>
  <c r="DH63" i="14"/>
  <c r="FJ63" i="14"/>
  <c r="CG63" i="14"/>
  <c r="AW63" i="14"/>
  <c r="FA63" i="14"/>
  <c r="BX63" i="14"/>
  <c r="AE63" i="14"/>
  <c r="EI63" i="14"/>
  <c r="FJ60" i="14"/>
  <c r="M60" i="14"/>
  <c r="EI60" i="14"/>
  <c r="AE60" i="14"/>
  <c r="AW60" i="14"/>
  <c r="AN60" i="14"/>
  <c r="V60" i="14"/>
  <c r="BO60" i="14"/>
  <c r="DQ60" i="14"/>
  <c r="CY60" i="14"/>
  <c r="BX60" i="14"/>
  <c r="DZ60" i="14"/>
  <c r="CG60" i="14"/>
  <c r="CP60" i="14"/>
  <c r="FA60" i="14"/>
  <c r="DH60" i="14"/>
  <c r="ER60" i="14"/>
  <c r="CY33" i="14"/>
  <c r="FA33" i="14"/>
  <c r="BX33" i="14"/>
  <c r="DQ33" i="14"/>
  <c r="CP33" i="14"/>
  <c r="AN33" i="14"/>
  <c r="AE33" i="14"/>
  <c r="M33" i="14"/>
  <c r="EI33" i="14"/>
  <c r="ER33" i="14"/>
  <c r="CG33" i="14"/>
  <c r="AW33" i="14"/>
  <c r="BO33" i="14"/>
  <c r="DH33" i="14"/>
  <c r="V33" i="14"/>
  <c r="DZ33" i="14"/>
  <c r="FJ33" i="14"/>
  <c r="BM67" i="14"/>
  <c r="P132" i="26"/>
  <c r="T132" i="26" s="1"/>
  <c r="T119" i="26"/>
  <c r="Q119" i="26"/>
  <c r="Q120" i="26"/>
  <c r="T20" i="26"/>
  <c r="P167" i="26"/>
  <c r="Q20" i="26"/>
  <c r="P165" i="26"/>
  <c r="T18" i="26"/>
  <c r="Q18" i="26"/>
  <c r="I28" i="26"/>
  <c r="BM49" i="14"/>
  <c r="P77" i="26"/>
  <c r="T33" i="26"/>
  <c r="Q33" i="26"/>
  <c r="Q77" i="26" s="1"/>
  <c r="T81" i="26"/>
  <c r="P92" i="26"/>
  <c r="T92" i="26" s="1"/>
  <c r="Q81" i="26"/>
  <c r="Q92" i="26" s="1"/>
  <c r="AV94" i="14"/>
  <c r="CM45" i="14"/>
  <c r="AK45" i="14"/>
  <c r="AT45" i="14"/>
  <c r="EO45" i="14"/>
  <c r="EX45" i="14"/>
  <c r="EF45" i="14"/>
  <c r="CV45" i="14"/>
  <c r="BL45" i="14"/>
  <c r="S45" i="14"/>
  <c r="DN45" i="14"/>
  <c r="J45" i="14"/>
  <c r="DW45" i="14"/>
  <c r="CD45" i="14"/>
  <c r="DE45" i="14"/>
  <c r="FG45" i="14"/>
  <c r="AB45" i="14"/>
  <c r="BU45" i="14"/>
  <c r="EO43" i="14"/>
  <c r="DN43" i="14"/>
  <c r="CV43" i="14"/>
  <c r="EX43" i="14"/>
  <c r="AK43" i="14"/>
  <c r="S43" i="14"/>
  <c r="BU43" i="14"/>
  <c r="J43" i="14"/>
  <c r="FG43" i="14"/>
  <c r="AT43" i="14"/>
  <c r="AB43" i="14"/>
  <c r="EF43" i="14"/>
  <c r="DE43" i="14"/>
  <c r="CM43" i="14"/>
  <c r="BL43" i="14"/>
  <c r="DW43" i="14"/>
  <c r="CD43" i="14"/>
  <c r="AU101" i="14"/>
  <c r="CO94" i="14"/>
  <c r="DE35" i="14"/>
  <c r="CM35" i="14"/>
  <c r="BU35" i="14"/>
  <c r="AT35" i="14"/>
  <c r="AB35" i="14"/>
  <c r="FG35" i="14"/>
  <c r="DN35" i="14"/>
  <c r="CD35" i="14"/>
  <c r="EO35" i="14"/>
  <c r="J35" i="14"/>
  <c r="S35" i="14"/>
  <c r="EF35" i="14"/>
  <c r="BL35" i="14"/>
  <c r="DW35" i="14"/>
  <c r="AK35" i="14"/>
  <c r="CV35" i="14"/>
  <c r="EX35" i="14"/>
  <c r="AU96" i="14"/>
  <c r="BM17" i="14"/>
  <c r="EY19" i="14"/>
  <c r="EY15" i="14"/>
  <c r="DO91" i="14" l="1"/>
  <c r="DP91" i="14" s="1"/>
  <c r="DO93" i="14"/>
  <c r="BG54" i="14"/>
  <c r="CQ20" i="14"/>
  <c r="CR20" i="14" s="1"/>
  <c r="CS20" i="14" s="1"/>
  <c r="DX91" i="14"/>
  <c r="EG91" i="14" s="1"/>
  <c r="FB20" i="14"/>
  <c r="R88" i="16" s="1"/>
  <c r="BG64" i="14"/>
  <c r="BH64" i="14" s="1"/>
  <c r="BG47" i="14"/>
  <c r="BH47" i="14" s="1"/>
  <c r="BG16" i="14"/>
  <c r="BH16" i="14" s="1"/>
  <c r="BI16" i="14" s="1"/>
  <c r="BH19" i="14"/>
  <c r="BI19" i="14" s="1"/>
  <c r="BH41" i="14"/>
  <c r="BI41" i="14" s="1"/>
  <c r="BH68" i="14"/>
  <c r="BI68" i="14" s="1"/>
  <c r="CP75" i="14"/>
  <c r="BF75" i="14"/>
  <c r="BH52" i="14"/>
  <c r="BI52" i="14" s="1"/>
  <c r="BH27" i="14"/>
  <c r="BI27" i="14" s="1"/>
  <c r="BD75" i="14"/>
  <c r="BE75" i="14" s="1"/>
  <c r="BG75" i="14" s="1"/>
  <c r="BD76" i="14"/>
  <c r="BE76" i="14"/>
  <c r="BH67" i="14"/>
  <c r="BI67" i="14"/>
  <c r="BH37" i="14"/>
  <c r="BI37" i="14" s="1"/>
  <c r="BH45" i="14"/>
  <c r="BI45" i="14" s="1"/>
  <c r="BM39" i="14"/>
  <c r="BV39" i="14" s="1"/>
  <c r="BH30" i="14"/>
  <c r="BI30" i="14" s="1"/>
  <c r="BH20" i="14"/>
  <c r="BI20" i="14" s="1"/>
  <c r="AB99" i="14"/>
  <c r="AD99" i="14" s="1"/>
  <c r="BC99" i="14"/>
  <c r="BH28" i="14"/>
  <c r="BI28" i="14" s="1"/>
  <c r="BH61" i="14"/>
  <c r="BI61" i="14" s="1"/>
  <c r="BG59" i="14"/>
  <c r="AT90" i="14"/>
  <c r="AV90" i="14" s="1"/>
  <c r="BC90" i="14"/>
  <c r="BE90" i="14" s="1"/>
  <c r="BH86" i="14"/>
  <c r="BI86" i="14" s="1"/>
  <c r="BE39" i="14"/>
  <c r="BG39" i="14" s="1"/>
  <c r="BG82" i="14"/>
  <c r="BC79" i="14"/>
  <c r="BD74" i="14"/>
  <c r="BE74" i="14" s="1"/>
  <c r="BH17" i="14"/>
  <c r="BI17" i="14" s="1"/>
  <c r="BH29" i="14"/>
  <c r="BI29" i="14" s="1"/>
  <c r="BG32" i="14"/>
  <c r="CP85" i="14"/>
  <c r="BF85" i="14"/>
  <c r="BG85" i="14" s="1"/>
  <c r="BH56" i="14"/>
  <c r="BI56" i="14" s="1"/>
  <c r="BH54" i="14"/>
  <c r="BI54" i="14" s="1"/>
  <c r="AW48" i="14"/>
  <c r="BF48" i="14"/>
  <c r="BG48" i="14" s="1"/>
  <c r="BH57" i="14"/>
  <c r="BI57" i="14" s="1"/>
  <c r="BH50" i="14"/>
  <c r="BI50" i="14"/>
  <c r="CZ59" i="14"/>
  <c r="DA59" i="14" s="1"/>
  <c r="DB59" i="14" s="1"/>
  <c r="BO84" i="14"/>
  <c r="BF84" i="14"/>
  <c r="BG84" i="14" s="1"/>
  <c r="BD77" i="14"/>
  <c r="BE77" i="14" s="1"/>
  <c r="BH26" i="14"/>
  <c r="BI26" i="14" s="1"/>
  <c r="BH31" i="14"/>
  <c r="BI31" i="14" s="1"/>
  <c r="BG40" i="14"/>
  <c r="BN85" i="14"/>
  <c r="BH65" i="14"/>
  <c r="BI65" i="14"/>
  <c r="BH51" i="14"/>
  <c r="BI51" i="14" s="1"/>
  <c r="CH52" i="14"/>
  <c r="J36" i="16" s="1"/>
  <c r="BH38" i="14"/>
  <c r="BI38" i="14" s="1"/>
  <c r="CQ47" i="14"/>
  <c r="CR47" i="14" s="1"/>
  <c r="BG66" i="14"/>
  <c r="BC22" i="14"/>
  <c r="BE14" i="14"/>
  <c r="BH53" i="14"/>
  <c r="BI53" i="14" s="1"/>
  <c r="BG43" i="14"/>
  <c r="BH60" i="14"/>
  <c r="BI60" i="14" s="1"/>
  <c r="BH33" i="14"/>
  <c r="BI33" i="14" s="1"/>
  <c r="BH15" i="14"/>
  <c r="BI15" i="14" s="1"/>
  <c r="BE25" i="14"/>
  <c r="M69" i="14"/>
  <c r="BF69" i="14"/>
  <c r="BG69" i="14" s="1"/>
  <c r="AN83" i="14"/>
  <c r="BF83" i="14"/>
  <c r="BG83" i="14" s="1"/>
  <c r="BH36" i="14"/>
  <c r="BI36" i="14" s="1"/>
  <c r="BH44" i="14"/>
  <c r="BI44" i="14" s="1"/>
  <c r="CH16" i="14"/>
  <c r="CI16" i="14" s="1"/>
  <c r="CJ16" i="14" s="1"/>
  <c r="W20" i="14"/>
  <c r="X20" i="14" s="1"/>
  <c r="Y20" i="14" s="1"/>
  <c r="N54" i="14"/>
  <c r="C38" i="16" s="1"/>
  <c r="AX20" i="14"/>
  <c r="N52" i="14"/>
  <c r="O52" i="14" s="1"/>
  <c r="P52" i="14" s="1"/>
  <c r="AX17" i="14"/>
  <c r="EA20" i="14"/>
  <c r="O88" i="16" s="1"/>
  <c r="AO61" i="14"/>
  <c r="AP61" i="14" s="1"/>
  <c r="AQ61" i="14" s="1"/>
  <c r="BP14" i="14"/>
  <c r="H82" i="16" s="1"/>
  <c r="W25" i="14"/>
  <c r="D9" i="16" s="1"/>
  <c r="N59" i="14"/>
  <c r="C43" i="16" s="1"/>
  <c r="CH59" i="14"/>
  <c r="J43" i="16" s="1"/>
  <c r="FK25" i="14"/>
  <c r="FL25" i="14" s="1"/>
  <c r="FM25" i="14" s="1"/>
  <c r="N67" i="14"/>
  <c r="O67" i="14" s="1"/>
  <c r="P67" i="14" s="1"/>
  <c r="BP54" i="14"/>
  <c r="H38" i="16" s="1"/>
  <c r="W54" i="14"/>
  <c r="D38" i="16" s="1"/>
  <c r="CQ59" i="14"/>
  <c r="ES14" i="14"/>
  <c r="ET14" i="14" s="1"/>
  <c r="EA59" i="14"/>
  <c r="O43" i="16" s="1"/>
  <c r="W59" i="14"/>
  <c r="D43" i="16" s="1"/>
  <c r="AF67" i="14"/>
  <c r="E51" i="16" s="1"/>
  <c r="V69" i="14"/>
  <c r="N33" i="14"/>
  <c r="O33" i="14" s="1"/>
  <c r="P33" i="14" s="1"/>
  <c r="AX19" i="14"/>
  <c r="FB52" i="14"/>
  <c r="FC52" i="14" s="1"/>
  <c r="FD52" i="14" s="1"/>
  <c r="FB54" i="14"/>
  <c r="R38" i="16" s="1"/>
  <c r="ES67" i="14"/>
  <c r="ET67" i="14" s="1"/>
  <c r="EU67" i="14" s="1"/>
  <c r="DR50" i="14"/>
  <c r="N34" i="16" s="1"/>
  <c r="BY20" i="14"/>
  <c r="I88" i="16" s="1"/>
  <c r="DR67" i="14"/>
  <c r="N51" i="16" s="1"/>
  <c r="ES36" i="14"/>
  <c r="ET36" i="14" s="1"/>
  <c r="EU36" i="14" s="1"/>
  <c r="AF63" i="14"/>
  <c r="E47" i="16" s="1"/>
  <c r="AO17" i="14"/>
  <c r="F85" i="16" s="1"/>
  <c r="N74" i="14"/>
  <c r="O74" i="14" s="1"/>
  <c r="AF17" i="14"/>
  <c r="E85" i="16" s="1"/>
  <c r="CH28" i="14"/>
  <c r="J12" i="16" s="1"/>
  <c r="EA52" i="14"/>
  <c r="EB52" i="14" s="1"/>
  <c r="EC52" i="14" s="1"/>
  <c r="DI67" i="14"/>
  <c r="M51" i="16" s="1"/>
  <c r="CH20" i="14"/>
  <c r="CI20" i="14" s="1"/>
  <c r="CJ20" i="14" s="1"/>
  <c r="W29" i="14"/>
  <c r="D13" i="16" s="1"/>
  <c r="FK29" i="14"/>
  <c r="S13" i="16" s="1"/>
  <c r="W31" i="14"/>
  <c r="D15" i="16" s="1"/>
  <c r="FB59" i="14"/>
  <c r="FC59" i="14" s="1"/>
  <c r="N32" i="14"/>
  <c r="C16" i="16" s="1"/>
  <c r="N37" i="14"/>
  <c r="C21" i="16" s="1"/>
  <c r="EJ61" i="14"/>
  <c r="P45" i="16" s="1"/>
  <c r="AO74" i="14"/>
  <c r="AP74" i="14" s="1"/>
  <c r="EA16" i="14"/>
  <c r="EB16" i="14" s="1"/>
  <c r="EC16" i="14" s="1"/>
  <c r="AX67" i="14"/>
  <c r="N29" i="14"/>
  <c r="C13" i="16" s="1"/>
  <c r="CQ26" i="14"/>
  <c r="CY69" i="14"/>
  <c r="FB50" i="14"/>
  <c r="R34" i="16" s="1"/>
  <c r="FB56" i="14"/>
  <c r="FC56" i="14" s="1"/>
  <c r="FD56" i="14" s="1"/>
  <c r="CH33" i="14"/>
  <c r="J17" i="16" s="1"/>
  <c r="DR61" i="14"/>
  <c r="DS61" i="14" s="1"/>
  <c r="AO53" i="14"/>
  <c r="F37" i="16" s="1"/>
  <c r="DI59" i="14"/>
  <c r="DJ59" i="14" s="1"/>
  <c r="CH38" i="14"/>
  <c r="CI38" i="14" s="1"/>
  <c r="CJ38" i="14" s="1"/>
  <c r="N28" i="14"/>
  <c r="O28" i="14" s="1"/>
  <c r="P28" i="14" s="1"/>
  <c r="BP74" i="14"/>
  <c r="H57" i="16" s="1"/>
  <c r="CZ26" i="14"/>
  <c r="L10" i="16" s="1"/>
  <c r="CQ67" i="14"/>
  <c r="W17" i="14"/>
  <c r="X17" i="14" s="1"/>
  <c r="Y17" i="14" s="1"/>
  <c r="CQ25" i="14"/>
  <c r="DR38" i="14"/>
  <c r="DS38" i="14" s="1"/>
  <c r="DT38" i="14" s="1"/>
  <c r="CH15" i="14"/>
  <c r="CI15" i="14" s="1"/>
  <c r="CJ15" i="14" s="1"/>
  <c r="BP20" i="14"/>
  <c r="BQ20" i="14" s="1"/>
  <c r="BR20" i="14" s="1"/>
  <c r="CQ65" i="14"/>
  <c r="W47" i="14"/>
  <c r="X47" i="14" s="1"/>
  <c r="EA36" i="14"/>
  <c r="EB36" i="14" s="1"/>
  <c r="EC36" i="14" s="1"/>
  <c r="AF14" i="14"/>
  <c r="E82" i="16" s="1"/>
  <c r="AF37" i="14"/>
  <c r="E21" i="16" s="1"/>
  <c r="DR17" i="14"/>
  <c r="DS17" i="14" s="1"/>
  <c r="DI54" i="14"/>
  <c r="M38" i="16" s="1"/>
  <c r="N64" i="14"/>
  <c r="C48" i="16" s="1"/>
  <c r="DR59" i="14"/>
  <c r="N43" i="16" s="1"/>
  <c r="CQ37" i="14"/>
  <c r="DI28" i="14"/>
  <c r="DJ28" i="14" s="1"/>
  <c r="DK28" i="14" s="1"/>
  <c r="AF25" i="14"/>
  <c r="FK67" i="14"/>
  <c r="DR31" i="14"/>
  <c r="AX53" i="14"/>
  <c r="EZ69" i="14"/>
  <c r="AO20" i="14"/>
  <c r="CH74" i="14"/>
  <c r="DR25" i="14"/>
  <c r="ES54" i="14"/>
  <c r="ET54" i="14" s="1"/>
  <c r="EU54" i="14" s="1"/>
  <c r="DQ69" i="14"/>
  <c r="ES37" i="14"/>
  <c r="AX37" i="14"/>
  <c r="CH54" i="14"/>
  <c r="AE69" i="14"/>
  <c r="EA67" i="14"/>
  <c r="DI50" i="14"/>
  <c r="AF29" i="14"/>
  <c r="FH94" i="14"/>
  <c r="ES29" i="14"/>
  <c r="ES47" i="14"/>
  <c r="D33" i="10"/>
  <c r="DR20" i="14"/>
  <c r="DR54" i="14"/>
  <c r="CH64" i="14"/>
  <c r="DZ69" i="14"/>
  <c r="FB29" i="14"/>
  <c r="N20" i="14"/>
  <c r="CQ74" i="14"/>
  <c r="W74" i="14"/>
  <c r="EA54" i="14"/>
  <c r="CH51" i="14"/>
  <c r="AF20" i="14"/>
  <c r="BP61" i="14"/>
  <c r="BY54" i="14"/>
  <c r="AF50" i="14"/>
  <c r="FJ69" i="14"/>
  <c r="DH69" i="14"/>
  <c r="EA29" i="14"/>
  <c r="AX16" i="14"/>
  <c r="CZ54" i="14"/>
  <c r="CZ20" i="14"/>
  <c r="FK33" i="14"/>
  <c r="EJ59" i="14"/>
  <c r="EJ19" i="14"/>
  <c r="DR53" i="14"/>
  <c r="FA69" i="14"/>
  <c r="AX47" i="14"/>
  <c r="N50" i="14"/>
  <c r="AX26" i="14"/>
  <c r="FB61" i="14"/>
  <c r="DR32" i="14"/>
  <c r="BX69" i="14"/>
  <c r="CH29" i="14"/>
  <c r="ES25" i="14"/>
  <c r="DI20" i="14"/>
  <c r="FK56" i="14"/>
  <c r="AX33" i="14"/>
  <c r="AO67" i="14"/>
  <c r="BM48" i="14"/>
  <c r="ES20" i="14"/>
  <c r="DI47" i="14"/>
  <c r="N17" i="14"/>
  <c r="CZ33" i="14"/>
  <c r="N53" i="14"/>
  <c r="AX63" i="14"/>
  <c r="EA50" i="14"/>
  <c r="FK31" i="14"/>
  <c r="BM63" i="14"/>
  <c r="BN63" i="14" s="1"/>
  <c r="BP63" i="14" s="1"/>
  <c r="FK20" i="14"/>
  <c r="AF28" i="14"/>
  <c r="N60" i="14"/>
  <c r="FC20" i="14"/>
  <c r="FD20" i="14" s="1"/>
  <c r="BY47" i="14"/>
  <c r="AF51" i="14"/>
  <c r="EJ20" i="14"/>
  <c r="CZ47" i="14"/>
  <c r="AF33" i="14"/>
  <c r="CQ53" i="14"/>
  <c r="FB37" i="14"/>
  <c r="N31" i="14"/>
  <c r="CH36" i="14"/>
  <c r="W53" i="14"/>
  <c r="CZ17" i="14"/>
  <c r="W61" i="14"/>
  <c r="FK54" i="14"/>
  <c r="CZ67" i="14"/>
  <c r="W19" i="14"/>
  <c r="W51" i="14"/>
  <c r="I142" i="26"/>
  <c r="I145" i="26" s="1"/>
  <c r="EJ33" i="14"/>
  <c r="FK59" i="14"/>
  <c r="DR37" i="14"/>
  <c r="AX61" i="14"/>
  <c r="DI53" i="14"/>
  <c r="AW69" i="14"/>
  <c r="CP69" i="14"/>
  <c r="AN69" i="14"/>
  <c r="BO69" i="14"/>
  <c r="CG69" i="14"/>
  <c r="ER69" i="14"/>
  <c r="D33" i="7"/>
  <c r="O181" i="1"/>
  <c r="D33" i="8"/>
  <c r="DG91" i="14"/>
  <c r="AM29" i="14"/>
  <c r="AO29" i="14" s="1"/>
  <c r="CX29" i="14"/>
  <c r="CZ29" i="14" s="1"/>
  <c r="BN29" i="14"/>
  <c r="BP29" i="14" s="1"/>
  <c r="AM82" i="14"/>
  <c r="DG29" i="14"/>
  <c r="DI29" i="14" s="1"/>
  <c r="EZ91" i="14"/>
  <c r="FI50" i="14"/>
  <c r="FK50" i="14" s="1"/>
  <c r="BN59" i="14"/>
  <c r="BP59" i="14" s="1"/>
  <c r="BV19" i="14"/>
  <c r="BW19" i="14" s="1"/>
  <c r="BY19" i="14" s="1"/>
  <c r="EH50" i="14"/>
  <c r="EJ50" i="14" s="1"/>
  <c r="CO29" i="14"/>
  <c r="CQ29" i="14" s="1"/>
  <c r="AN86" i="14"/>
  <c r="AO86" i="14" s="1"/>
  <c r="BX86" i="14"/>
  <c r="BY86" i="14" s="1"/>
  <c r="V86" i="14"/>
  <c r="W86" i="14" s="1"/>
  <c r="M86" i="14"/>
  <c r="N86" i="14" s="1"/>
  <c r="FJ86" i="14"/>
  <c r="FK86" i="14" s="1"/>
  <c r="FA86" i="14"/>
  <c r="FB86" i="14" s="1"/>
  <c r="DH86" i="14"/>
  <c r="DI86" i="14" s="1"/>
  <c r="ER86" i="14"/>
  <c r="ES86" i="14" s="1"/>
  <c r="CG86" i="14"/>
  <c r="CH86" i="14" s="1"/>
  <c r="CP86" i="14"/>
  <c r="CQ86" i="14" s="1"/>
  <c r="CY86" i="14"/>
  <c r="CZ86" i="14" s="1"/>
  <c r="AE86" i="14"/>
  <c r="AF86" i="14" s="1"/>
  <c r="DQ86" i="14"/>
  <c r="DR86" i="14" s="1"/>
  <c r="DZ86" i="14"/>
  <c r="EA86" i="14" s="1"/>
  <c r="EI86" i="14"/>
  <c r="EJ86" i="14" s="1"/>
  <c r="AW86" i="14"/>
  <c r="AX86" i="14" s="1"/>
  <c r="BO86" i="14"/>
  <c r="BP86" i="14" s="1"/>
  <c r="CX19" i="14"/>
  <c r="CZ19" i="14" s="1"/>
  <c r="DP29" i="14"/>
  <c r="DR29" i="14" s="1"/>
  <c r="AV50" i="14"/>
  <c r="AX50" i="14" s="1"/>
  <c r="AV29" i="14"/>
  <c r="AX29" i="14" s="1"/>
  <c r="EQ19" i="14"/>
  <c r="ES19" i="14" s="1"/>
  <c r="BV55" i="14"/>
  <c r="BN52" i="14"/>
  <c r="BP52" i="14" s="1"/>
  <c r="BV85" i="14"/>
  <c r="BV59" i="14"/>
  <c r="BM83" i="14"/>
  <c r="BN83" i="14" s="1"/>
  <c r="CX50" i="14"/>
  <c r="CZ50" i="14" s="1"/>
  <c r="CF50" i="14"/>
  <c r="CH50" i="14" s="1"/>
  <c r="EH29" i="14"/>
  <c r="EJ29" i="14" s="1"/>
  <c r="AD82" i="14"/>
  <c r="EQ50" i="14"/>
  <c r="ES50" i="14" s="1"/>
  <c r="F33" i="9"/>
  <c r="F34" i="9" s="1"/>
  <c r="CX82" i="14"/>
  <c r="U50" i="14"/>
  <c r="W50" i="14" s="1"/>
  <c r="FI82" i="14"/>
  <c r="DP19" i="14"/>
  <c r="DR19" i="14" s="1"/>
  <c r="AM50" i="14"/>
  <c r="AO50" i="14" s="1"/>
  <c r="FI91" i="14"/>
  <c r="BW50" i="14"/>
  <c r="BY50" i="14" s="1"/>
  <c r="CO50" i="14"/>
  <c r="CQ50" i="14" s="1"/>
  <c r="G36" i="3"/>
  <c r="BN19" i="14"/>
  <c r="BP19" i="14" s="1"/>
  <c r="DY19" i="14"/>
  <c r="EA19" i="14" s="1"/>
  <c r="U82" i="14"/>
  <c r="CF82" i="14"/>
  <c r="CF19" i="14"/>
  <c r="CH19" i="14" s="1"/>
  <c r="DG19" i="14"/>
  <c r="DI19" i="14" s="1"/>
  <c r="AD91" i="14"/>
  <c r="AD19" i="14"/>
  <c r="AF19" i="14" s="1"/>
  <c r="L82" i="14"/>
  <c r="AM19" i="14"/>
  <c r="AO19" i="14" s="1"/>
  <c r="L19" i="14"/>
  <c r="N19" i="14" s="1"/>
  <c r="CO19" i="14"/>
  <c r="CQ19" i="14" s="1"/>
  <c r="EQ82" i="14"/>
  <c r="AV82" i="14"/>
  <c r="CG82" i="14"/>
  <c r="Q35" i="10"/>
  <c r="R106" i="1"/>
  <c r="AV91" i="14"/>
  <c r="Q35" i="28"/>
  <c r="S89" i="1"/>
  <c r="DQ75" i="14"/>
  <c r="BX75" i="14"/>
  <c r="FA75" i="14"/>
  <c r="J22" i="14"/>
  <c r="R181" i="1"/>
  <c r="D33" i="6"/>
  <c r="L51" i="14"/>
  <c r="N51" i="14" s="1"/>
  <c r="P151" i="1"/>
  <c r="P159" i="1" s="1"/>
  <c r="P167" i="1" s="1"/>
  <c r="P183" i="1" s="1"/>
  <c r="D33" i="28"/>
  <c r="D33" i="29"/>
  <c r="G62" i="14"/>
  <c r="BF62" i="14" s="1"/>
  <c r="BG62" i="14" s="1"/>
  <c r="U56" i="14"/>
  <c r="W56" i="14" s="1"/>
  <c r="FI36" i="14"/>
  <c r="FK36" i="14" s="1"/>
  <c r="CP40" i="14"/>
  <c r="DH48" i="14"/>
  <c r="ER40" i="14"/>
  <c r="BX48" i="14"/>
  <c r="ER48" i="14"/>
  <c r="DQ40" i="14"/>
  <c r="AW40" i="14"/>
  <c r="CG48" i="14"/>
  <c r="V40" i="14"/>
  <c r="L36" i="14"/>
  <c r="N36" i="14" s="1"/>
  <c r="FJ48" i="14"/>
  <c r="BO48" i="14"/>
  <c r="BX40" i="14"/>
  <c r="CY48" i="14"/>
  <c r="DH40" i="14"/>
  <c r="DZ40" i="14"/>
  <c r="CY40" i="14"/>
  <c r="AN48" i="14"/>
  <c r="FJ40" i="14"/>
  <c r="FJ82" i="14"/>
  <c r="BO40" i="14"/>
  <c r="EI40" i="14"/>
  <c r="M48" i="14"/>
  <c r="FA48" i="14"/>
  <c r="EI75" i="14"/>
  <c r="ER75" i="14"/>
  <c r="AE75" i="14"/>
  <c r="AW75" i="14"/>
  <c r="DZ75" i="14"/>
  <c r="FJ75" i="14"/>
  <c r="V75" i="14"/>
  <c r="CY75" i="14"/>
  <c r="CG75" i="14"/>
  <c r="CO32" i="14"/>
  <c r="CQ32" i="14" s="1"/>
  <c r="DH75" i="14"/>
  <c r="AN75" i="14"/>
  <c r="BO75" i="14"/>
  <c r="M75" i="14"/>
  <c r="DZ84" i="14"/>
  <c r="FA40" i="14"/>
  <c r="AE40" i="14"/>
  <c r="G42" i="14"/>
  <c r="BX85" i="14"/>
  <c r="DQ48" i="14"/>
  <c r="EI48" i="14"/>
  <c r="DZ48" i="14"/>
  <c r="CW74" i="14"/>
  <c r="ER85" i="14"/>
  <c r="M40" i="14"/>
  <c r="CG40" i="14"/>
  <c r="CF17" i="14"/>
  <c r="CH17" i="14" s="1"/>
  <c r="AN85" i="14"/>
  <c r="CP48" i="14"/>
  <c r="AE48" i="14"/>
  <c r="AN40" i="14"/>
  <c r="AM36" i="14"/>
  <c r="AO36" i="14" s="1"/>
  <c r="M85" i="14"/>
  <c r="V48" i="14"/>
  <c r="CY84" i="14"/>
  <c r="V84" i="14"/>
  <c r="CF62" i="14"/>
  <c r="ER84" i="14"/>
  <c r="DY77" i="14"/>
  <c r="AD54" i="14"/>
  <c r="AF54" i="14" s="1"/>
  <c r="L77" i="14"/>
  <c r="V83" i="14"/>
  <c r="CY83" i="14"/>
  <c r="AE82" i="14"/>
  <c r="CP82" i="14"/>
  <c r="EZ67" i="14"/>
  <c r="FB67" i="14" s="1"/>
  <c r="BL90" i="14"/>
  <c r="BX82" i="14"/>
  <c r="AN82" i="14"/>
  <c r="BV77" i="14"/>
  <c r="M82" i="14"/>
  <c r="CY82" i="14"/>
  <c r="EH54" i="14"/>
  <c r="EJ54" i="14" s="1"/>
  <c r="FI69" i="14"/>
  <c r="EZ47" i="14"/>
  <c r="FB47" i="14" s="1"/>
  <c r="L16" i="14"/>
  <c r="N16" i="14" s="1"/>
  <c r="DP16" i="14"/>
  <c r="DR16" i="14" s="1"/>
  <c r="CO16" i="14"/>
  <c r="CQ16" i="14" s="1"/>
  <c r="DP36" i="14"/>
  <c r="DR36" i="14" s="1"/>
  <c r="BW49" i="14"/>
  <c r="DQ83" i="14"/>
  <c r="DP77" i="14"/>
  <c r="CG83" i="14"/>
  <c r="BX84" i="14"/>
  <c r="AV31" i="14"/>
  <c r="AX31" i="14" s="1"/>
  <c r="ER82" i="14"/>
  <c r="DQ82" i="14"/>
  <c r="V82" i="14"/>
  <c r="EI82" i="14"/>
  <c r="BO82" i="14"/>
  <c r="AV62" i="14"/>
  <c r="EQ77" i="14"/>
  <c r="AK99" i="14"/>
  <c r="EH36" i="14"/>
  <c r="EJ36" i="14" s="1"/>
  <c r="FA82" i="14"/>
  <c r="AW82" i="14"/>
  <c r="DZ82" i="14"/>
  <c r="DH82" i="14"/>
  <c r="CX53" i="14"/>
  <c r="CZ53" i="14" s="1"/>
  <c r="DP33" i="14"/>
  <c r="DR33" i="14" s="1"/>
  <c r="AW83" i="14"/>
  <c r="DH83" i="14"/>
  <c r="CP84" i="14"/>
  <c r="AW84" i="14"/>
  <c r="EI84" i="14"/>
  <c r="DQ84" i="14"/>
  <c r="BX83" i="14"/>
  <c r="FJ83" i="14"/>
  <c r="CP83" i="14"/>
  <c r="FJ84" i="14"/>
  <c r="CX14" i="14"/>
  <c r="CZ14" i="14" s="1"/>
  <c r="BO83" i="14"/>
  <c r="ER83" i="14"/>
  <c r="CG84" i="14"/>
  <c r="AN84" i="14"/>
  <c r="FA83" i="14"/>
  <c r="DP28" i="14"/>
  <c r="DR28" i="14" s="1"/>
  <c r="U37" i="14"/>
  <c r="W37" i="14" s="1"/>
  <c r="EI83" i="14"/>
  <c r="DZ83" i="14"/>
  <c r="M83" i="14"/>
  <c r="DH84" i="14"/>
  <c r="AE84" i="14"/>
  <c r="FA84" i="14"/>
  <c r="M84" i="14"/>
  <c r="AE83" i="14"/>
  <c r="DZ85" i="14"/>
  <c r="CG85" i="14"/>
  <c r="FJ85" i="14"/>
  <c r="CF67" i="14"/>
  <c r="CH67" i="14" s="1"/>
  <c r="BO85" i="14"/>
  <c r="DY31" i="14"/>
  <c r="EA31" i="14" s="1"/>
  <c r="BN37" i="14"/>
  <c r="BP37" i="14" s="1"/>
  <c r="CY85" i="14"/>
  <c r="EI85" i="14"/>
  <c r="FA85" i="14"/>
  <c r="AE85" i="14"/>
  <c r="AW85" i="14"/>
  <c r="DH85" i="14"/>
  <c r="V85" i="14"/>
  <c r="DY37" i="14"/>
  <c r="EA37" i="14" s="1"/>
  <c r="CF61" i="14"/>
  <c r="CH61" i="14" s="1"/>
  <c r="DQ85" i="14"/>
  <c r="AD31" i="14"/>
  <c r="AF31" i="14" s="1"/>
  <c r="DG36" i="14"/>
  <c r="DI36" i="14" s="1"/>
  <c r="AD36" i="14"/>
  <c r="AF36" i="14" s="1"/>
  <c r="DG31" i="14"/>
  <c r="DI31" i="14" s="1"/>
  <c r="CX65" i="14"/>
  <c r="CZ65" i="14" s="1"/>
  <c r="EH28" i="14"/>
  <c r="EJ28" i="14" s="1"/>
  <c r="CX31" i="14"/>
  <c r="CZ31" i="14" s="1"/>
  <c r="AD77" i="14"/>
  <c r="BN67" i="14"/>
  <c r="BP67" i="14" s="1"/>
  <c r="U60" i="14"/>
  <c r="W60" i="14" s="1"/>
  <c r="AV54" i="14"/>
  <c r="AX54" i="14" s="1"/>
  <c r="CO77" i="14"/>
  <c r="AD61" i="14"/>
  <c r="AF61" i="14" s="1"/>
  <c r="AV28" i="14"/>
  <c r="AX28" i="14" s="1"/>
  <c r="CO54" i="14"/>
  <c r="CQ54" i="14" s="1"/>
  <c r="DW99" i="14"/>
  <c r="DY99" i="14" s="1"/>
  <c r="EA99" i="14" s="1"/>
  <c r="U36" i="14"/>
  <c r="W36" i="14" s="1"/>
  <c r="BM68" i="14"/>
  <c r="BN68" i="14" s="1"/>
  <c r="BP68" i="14" s="1"/>
  <c r="EP101" i="14"/>
  <c r="EY99" i="14"/>
  <c r="BM50" i="14"/>
  <c r="DO40" i="14"/>
  <c r="DP40" i="14" s="1"/>
  <c r="CF25" i="14"/>
  <c r="CH25" i="14" s="1"/>
  <c r="BW61" i="14"/>
  <c r="BY61" i="14" s="1"/>
  <c r="EQ38" i="14"/>
  <c r="ES38" i="14" s="1"/>
  <c r="ET38" i="14" s="1"/>
  <c r="EU38" i="14" s="1"/>
  <c r="BM94" i="14"/>
  <c r="BV32" i="14"/>
  <c r="EQ16" i="14"/>
  <c r="ES16" i="14" s="1"/>
  <c r="D15" i="1"/>
  <c r="EQ31" i="14"/>
  <c r="ES31" i="14" s="1"/>
  <c r="CO31" i="14"/>
  <c r="CQ31" i="14" s="1"/>
  <c r="CO36" i="14"/>
  <c r="CQ36" i="14" s="1"/>
  <c r="U65" i="14"/>
  <c r="W65" i="14" s="1"/>
  <c r="BM60" i="14"/>
  <c r="BN60" i="14" s="1"/>
  <c r="BP60" i="14" s="1"/>
  <c r="EP22" i="14"/>
  <c r="CX36" i="14"/>
  <c r="CZ36" i="14" s="1"/>
  <c r="EZ31" i="14"/>
  <c r="FB31" i="14" s="1"/>
  <c r="BM90" i="14"/>
  <c r="U40" i="26"/>
  <c r="Q40" i="26" s="1"/>
  <c r="Q39" i="26"/>
  <c r="S90" i="14"/>
  <c r="S96" i="14" s="1"/>
  <c r="CX61" i="14"/>
  <c r="CZ61" i="14" s="1"/>
  <c r="CX28" i="14"/>
  <c r="CZ28" i="14" s="1"/>
  <c r="EH74" i="14"/>
  <c r="EJ74" i="14" s="1"/>
  <c r="BV56" i="14"/>
  <c r="I19" i="9"/>
  <c r="U97" i="26"/>
  <c r="U98" i="26" s="1"/>
  <c r="Q96" i="26"/>
  <c r="Q104" i="26" s="1"/>
  <c r="Q112" i="26" s="1"/>
  <c r="Q114" i="26" s="1"/>
  <c r="E23" i="6"/>
  <c r="E25" i="6"/>
  <c r="E24" i="6"/>
  <c r="E18" i="6"/>
  <c r="E29" i="6"/>
  <c r="E22" i="6"/>
  <c r="E30" i="6"/>
  <c r="E28" i="6"/>
  <c r="E27" i="6"/>
  <c r="E17" i="6"/>
  <c r="E19" i="6"/>
  <c r="E21" i="6"/>
  <c r="E26" i="6"/>
  <c r="E20" i="6"/>
  <c r="E16" i="6"/>
  <c r="E15" i="6"/>
  <c r="BM87" i="14"/>
  <c r="DG40" i="14"/>
  <c r="U38" i="14"/>
  <c r="W38" i="14" s="1"/>
  <c r="AM28" i="14"/>
  <c r="AO28" i="14" s="1"/>
  <c r="EZ36" i="14"/>
  <c r="FB36" i="14" s="1"/>
  <c r="CW77" i="14"/>
  <c r="AV25" i="14"/>
  <c r="AX25" i="14" s="1"/>
  <c r="AV36" i="14"/>
  <c r="AX36" i="14" s="1"/>
  <c r="L26" i="14"/>
  <c r="N26" i="14" s="1"/>
  <c r="AM16" i="14"/>
  <c r="AO16" i="14" s="1"/>
  <c r="CX37" i="14"/>
  <c r="CZ37" i="14" s="1"/>
  <c r="AM54" i="14"/>
  <c r="AO54" i="14" s="1"/>
  <c r="EQ74" i="14"/>
  <c r="ES74" i="14" s="1"/>
  <c r="EH47" i="14"/>
  <c r="EJ47" i="14" s="1"/>
  <c r="EZ33" i="14"/>
  <c r="FB33" i="14" s="1"/>
  <c r="CO14" i="14"/>
  <c r="CQ14" i="14" s="1"/>
  <c r="DG61" i="14"/>
  <c r="DI61" i="14" s="1"/>
  <c r="CO61" i="14"/>
  <c r="CQ61" i="14" s="1"/>
  <c r="AV88" i="14"/>
  <c r="AM59" i="14"/>
  <c r="AO59" i="14" s="1"/>
  <c r="DO62" i="14"/>
  <c r="DP62" i="14" s="1"/>
  <c r="CF65" i="14"/>
  <c r="CH65" i="14" s="1"/>
  <c r="AD87" i="14"/>
  <c r="AD56" i="14"/>
  <c r="AF56" i="14" s="1"/>
  <c r="DP69" i="14"/>
  <c r="U16" i="14"/>
  <c r="W16" i="14" s="1"/>
  <c r="CV99" i="14"/>
  <c r="CM99" i="14"/>
  <c r="BN25" i="14"/>
  <c r="BP25" i="14" s="1"/>
  <c r="EH37" i="14"/>
  <c r="EJ37" i="14" s="1"/>
  <c r="EH31" i="14"/>
  <c r="EJ31" i="14" s="1"/>
  <c r="BW88" i="14"/>
  <c r="AD74" i="14"/>
  <c r="AF74" i="14" s="1"/>
  <c r="EO99" i="14"/>
  <c r="EQ99" i="14" s="1"/>
  <c r="ES99" i="14" s="1"/>
  <c r="BL99" i="14"/>
  <c r="BL101" i="14" s="1"/>
  <c r="AM31" i="14"/>
  <c r="AO31" i="14" s="1"/>
  <c r="AD16" i="14"/>
  <c r="AF16" i="14" s="1"/>
  <c r="DG38" i="14"/>
  <c r="DI38" i="14" s="1"/>
  <c r="CF31" i="14"/>
  <c r="CH31" i="14" s="1"/>
  <c r="CO40" i="14"/>
  <c r="EX90" i="14"/>
  <c r="L14" i="14"/>
  <c r="N14" i="14" s="1"/>
  <c r="AD32" i="14"/>
  <c r="AF32" i="14" s="1"/>
  <c r="EZ49" i="14"/>
  <c r="CX51" i="14"/>
  <c r="CZ51" i="14" s="1"/>
  <c r="CD90" i="14"/>
  <c r="AD15" i="14"/>
  <c r="AF15" i="14" s="1"/>
  <c r="EQ40" i="14"/>
  <c r="F96" i="14"/>
  <c r="EO90" i="14"/>
  <c r="EO96" i="14" s="1"/>
  <c r="CF37" i="14"/>
  <c r="CH37" i="14" s="1"/>
  <c r="EQ61" i="14"/>
  <c r="ES61" i="14" s="1"/>
  <c r="BW53" i="14"/>
  <c r="BY53" i="14" s="1"/>
  <c r="L88" i="14"/>
  <c r="BN53" i="14"/>
  <c r="BP53" i="14" s="1"/>
  <c r="AM26" i="14"/>
  <c r="AO26" i="14" s="1"/>
  <c r="DG37" i="14"/>
  <c r="DI37" i="14" s="1"/>
  <c r="EZ51" i="14"/>
  <c r="FB51" i="14" s="1"/>
  <c r="L25" i="14"/>
  <c r="N25" i="14" s="1"/>
  <c r="AM37" i="14"/>
  <c r="AO37" i="14" s="1"/>
  <c r="DP47" i="14"/>
  <c r="DR47" i="14" s="1"/>
  <c r="AV51" i="14"/>
  <c r="AX51" i="14" s="1"/>
  <c r="EH17" i="14"/>
  <c r="EJ17" i="14" s="1"/>
  <c r="CX52" i="14"/>
  <c r="CZ52" i="14" s="1"/>
  <c r="CX16" i="14"/>
  <c r="CZ16" i="14" s="1"/>
  <c r="FI53" i="14"/>
  <c r="FK53" i="14" s="1"/>
  <c r="BW42" i="14"/>
  <c r="CF14" i="14"/>
  <c r="CH14" i="14" s="1"/>
  <c r="DP74" i="14"/>
  <c r="DR74" i="14" s="1"/>
  <c r="DP26" i="14"/>
  <c r="DR26" i="14" s="1"/>
  <c r="BN42" i="14"/>
  <c r="EQ28" i="14"/>
  <c r="ES28" i="14" s="1"/>
  <c r="EQ26" i="14"/>
  <c r="ES26" i="14" s="1"/>
  <c r="DG16" i="14"/>
  <c r="DI16" i="14" s="1"/>
  <c r="EF99" i="14"/>
  <c r="EH99" i="14" s="1"/>
  <c r="EJ99" i="14" s="1"/>
  <c r="FG99" i="14"/>
  <c r="DE99" i="14"/>
  <c r="DG99" i="14" s="1"/>
  <c r="DI99" i="14" s="1"/>
  <c r="AV77" i="14"/>
  <c r="EZ14" i="14"/>
  <c r="FB14" i="14" s="1"/>
  <c r="L61" i="14"/>
  <c r="N61" i="14" s="1"/>
  <c r="BN93" i="14"/>
  <c r="CO33" i="14"/>
  <c r="CQ33" i="14" s="1"/>
  <c r="EH16" i="14"/>
  <c r="EJ16" i="14" s="1"/>
  <c r="EH67" i="14"/>
  <c r="EJ67" i="14" s="1"/>
  <c r="DY61" i="14"/>
  <c r="EA61" i="14" s="1"/>
  <c r="DY53" i="14"/>
  <c r="EA53" i="14" s="1"/>
  <c r="CO28" i="14"/>
  <c r="CQ28" i="14" s="1"/>
  <c r="U28" i="14"/>
  <c r="W28" i="14" s="1"/>
  <c r="EZ26" i="14"/>
  <c r="FB26" i="14" s="1"/>
  <c r="EH26" i="14"/>
  <c r="EJ26" i="14" s="1"/>
  <c r="AV14" i="14"/>
  <c r="AX14" i="14" s="1"/>
  <c r="AM25" i="14"/>
  <c r="AO25" i="14" s="1"/>
  <c r="EZ53" i="14"/>
  <c r="FB53" i="14" s="1"/>
  <c r="AV59" i="14"/>
  <c r="AX59" i="14" s="1"/>
  <c r="AD26" i="14"/>
  <c r="AF26" i="14" s="1"/>
  <c r="CF47" i="14"/>
  <c r="CH47" i="14" s="1"/>
  <c r="EF22" i="14"/>
  <c r="FI47" i="14"/>
  <c r="FK47" i="14" s="1"/>
  <c r="L40" i="14"/>
  <c r="DN90" i="14"/>
  <c r="DW90" i="14"/>
  <c r="B79" i="16"/>
  <c r="AD53" i="14"/>
  <c r="AF53" i="14" s="1"/>
  <c r="FI74" i="14"/>
  <c r="FK74" i="14" s="1"/>
  <c r="EH51" i="14"/>
  <c r="EJ51" i="14" s="1"/>
  <c r="DE90" i="14"/>
  <c r="DG90" i="14" s="1"/>
  <c r="EF90" i="14"/>
  <c r="AV40" i="14"/>
  <c r="DY47" i="14"/>
  <c r="EA47" i="14" s="1"/>
  <c r="BN28" i="14"/>
  <c r="BP28" i="14" s="1"/>
  <c r="AB90" i="14"/>
  <c r="J90" i="14"/>
  <c r="L90" i="14" s="1"/>
  <c r="CM90" i="14"/>
  <c r="CM96" i="14" s="1"/>
  <c r="FI14" i="14"/>
  <c r="FK14" i="14" s="1"/>
  <c r="BW14" i="14"/>
  <c r="BY14" i="14" s="1"/>
  <c r="CX93" i="14"/>
  <c r="AV69" i="14"/>
  <c r="EY77" i="14"/>
  <c r="FI28" i="14"/>
  <c r="FK28" i="14" s="1"/>
  <c r="FI37" i="14"/>
  <c r="FK37" i="14" s="1"/>
  <c r="CD99" i="14"/>
  <c r="CD101" i="14" s="1"/>
  <c r="EX99" i="14"/>
  <c r="J99" i="14"/>
  <c r="J101" i="14" s="1"/>
  <c r="EQ59" i="14"/>
  <c r="ES59" i="14" s="1"/>
  <c r="U26" i="14"/>
  <c r="W26" i="14" s="1"/>
  <c r="BN47" i="14"/>
  <c r="BP47" i="14" s="1"/>
  <c r="CV90" i="14"/>
  <c r="CV96" i="14" s="1"/>
  <c r="FG90" i="14"/>
  <c r="FI90" i="14" s="1"/>
  <c r="BU90" i="14"/>
  <c r="AK90" i="14"/>
  <c r="AK96" i="14" s="1"/>
  <c r="AM40" i="14"/>
  <c r="DX74" i="14"/>
  <c r="DG74" i="14"/>
  <c r="DI74" i="14" s="1"/>
  <c r="AU74" i="14"/>
  <c r="DG14" i="14"/>
  <c r="DI14" i="14" s="1"/>
  <c r="FI61" i="14"/>
  <c r="FK61" i="14" s="1"/>
  <c r="DG17" i="14"/>
  <c r="DI17" i="14" s="1"/>
  <c r="AM63" i="14"/>
  <c r="AO63" i="14" s="1"/>
  <c r="DY51" i="14"/>
  <c r="EA51" i="14" s="1"/>
  <c r="FI26" i="14"/>
  <c r="FK26" i="14" s="1"/>
  <c r="AM14" i="14"/>
  <c r="AO14" i="14" s="1"/>
  <c r="EQ51" i="14"/>
  <c r="ES51" i="14" s="1"/>
  <c r="AD40" i="14"/>
  <c r="CF26" i="14"/>
  <c r="CH26" i="14" s="1"/>
  <c r="DY28" i="14"/>
  <c r="EA28" i="14" s="1"/>
  <c r="CX25" i="14"/>
  <c r="CZ25" i="14" s="1"/>
  <c r="CO85" i="14"/>
  <c r="CF40" i="14"/>
  <c r="U40" i="14"/>
  <c r="EZ40" i="14"/>
  <c r="U14" i="14"/>
  <c r="W14" i="14" s="1"/>
  <c r="CF49" i="14"/>
  <c r="DY26" i="14"/>
  <c r="EA26" i="14" s="1"/>
  <c r="DG51" i="14"/>
  <c r="DI51" i="14" s="1"/>
  <c r="DY25" i="14"/>
  <c r="EA25" i="14" s="1"/>
  <c r="AV42" i="14"/>
  <c r="CX85" i="14"/>
  <c r="EQ53" i="14"/>
  <c r="ES53" i="14" s="1"/>
  <c r="CO17" i="14"/>
  <c r="CQ17" i="14" s="1"/>
  <c r="CX49" i="14"/>
  <c r="EH38" i="14"/>
  <c r="EJ38" i="14" s="1"/>
  <c r="U33" i="14"/>
  <c r="W33" i="14" s="1"/>
  <c r="CO69" i="14"/>
  <c r="DG69" i="14"/>
  <c r="AM69" i="14"/>
  <c r="U67" i="14"/>
  <c r="W67" i="14" s="1"/>
  <c r="DG26" i="14"/>
  <c r="DI26" i="14" s="1"/>
  <c r="CO51" i="14"/>
  <c r="CQ51" i="14" s="1"/>
  <c r="AD42" i="14"/>
  <c r="DP51" i="14"/>
  <c r="DR51" i="14" s="1"/>
  <c r="AV48" i="14"/>
  <c r="L49" i="14"/>
  <c r="AM49" i="14"/>
  <c r="U69" i="14"/>
  <c r="L69" i="14"/>
  <c r="EQ69" i="14"/>
  <c r="DG49" i="14"/>
  <c r="AD59" i="14"/>
  <c r="AF59" i="14" s="1"/>
  <c r="AV58" i="14"/>
  <c r="FI51" i="14"/>
  <c r="FK51" i="14" s="1"/>
  <c r="DP65" i="14"/>
  <c r="DR65" i="14" s="1"/>
  <c r="EZ28" i="14"/>
  <c r="FB28" i="14" s="1"/>
  <c r="AD49" i="14"/>
  <c r="AD69" i="14"/>
  <c r="BU99" i="14"/>
  <c r="F101" i="14"/>
  <c r="S99" i="14"/>
  <c r="DN99" i="14"/>
  <c r="AT99" i="14"/>
  <c r="AM51" i="14"/>
  <c r="AO51" i="14" s="1"/>
  <c r="DO49" i="14"/>
  <c r="EQ65" i="14"/>
  <c r="ES65" i="14" s="1"/>
  <c r="EH52" i="14"/>
  <c r="EJ52" i="14" s="1"/>
  <c r="AD47" i="14"/>
  <c r="AF47" i="14" s="1"/>
  <c r="CD22" i="14"/>
  <c r="BL22" i="14"/>
  <c r="AM52" i="14"/>
  <c r="AO52" i="14" s="1"/>
  <c r="CX69" i="14"/>
  <c r="DY69" i="14"/>
  <c r="CF69" i="14"/>
  <c r="BN69" i="14"/>
  <c r="L47" i="14"/>
  <c r="N47" i="14" s="1"/>
  <c r="FI87" i="14"/>
  <c r="EH53" i="14"/>
  <c r="EJ53" i="14" s="1"/>
  <c r="DY38" i="14"/>
  <c r="EA38" i="14" s="1"/>
  <c r="EZ38" i="14"/>
  <c r="FB38" i="14" s="1"/>
  <c r="FI38" i="14"/>
  <c r="FK38" i="14" s="1"/>
  <c r="AM77" i="14"/>
  <c r="CX34" i="14"/>
  <c r="CZ34" i="14" s="1"/>
  <c r="EQ34" i="14"/>
  <c r="ES34" i="14" s="1"/>
  <c r="FI34" i="14"/>
  <c r="FK34" i="14" s="1"/>
  <c r="EH34" i="14"/>
  <c r="EJ34" i="14" s="1"/>
  <c r="L87" i="14"/>
  <c r="CX48" i="14"/>
  <c r="FI48" i="14"/>
  <c r="BW93" i="14"/>
  <c r="AV93" i="14"/>
  <c r="EH48" i="14"/>
  <c r="DY65" i="14"/>
  <c r="EA65" i="14" s="1"/>
  <c r="DP15" i="14"/>
  <c r="DR15" i="14" s="1"/>
  <c r="AV34" i="14"/>
  <c r="AX34" i="14" s="1"/>
  <c r="EZ74" i="14"/>
  <c r="FB74" i="14" s="1"/>
  <c r="EQ17" i="14"/>
  <c r="ES17" i="14" s="1"/>
  <c r="CF53" i="14"/>
  <c r="CH53" i="14" s="1"/>
  <c r="AM38" i="14"/>
  <c r="AO38" i="14" s="1"/>
  <c r="AD38" i="14"/>
  <c r="AF38" i="14" s="1"/>
  <c r="CO38" i="14"/>
  <c r="CQ38" i="14" s="1"/>
  <c r="CX38" i="14"/>
  <c r="CZ38" i="14" s="1"/>
  <c r="DP34" i="14"/>
  <c r="DR34" i="14" s="1"/>
  <c r="DG34" i="14"/>
  <c r="DI34" i="14" s="1"/>
  <c r="CF34" i="14"/>
  <c r="CH34" i="14" s="1"/>
  <c r="AV87" i="14"/>
  <c r="CO87" i="14"/>
  <c r="EQ48" i="14"/>
  <c r="L48" i="14"/>
  <c r="U48" i="14"/>
  <c r="AM93" i="14"/>
  <c r="AD93" i="14"/>
  <c r="AV38" i="14"/>
  <c r="AX38" i="14" s="1"/>
  <c r="CF77" i="14"/>
  <c r="CO34" i="14"/>
  <c r="CQ34" i="14" s="1"/>
  <c r="L34" i="14"/>
  <c r="N34" i="14" s="1"/>
  <c r="EZ34" i="14"/>
  <c r="FB34" i="14" s="1"/>
  <c r="DY34" i="14"/>
  <c r="EA34" i="14" s="1"/>
  <c r="DG48" i="14"/>
  <c r="CF48" i="14"/>
  <c r="DY48" i="14"/>
  <c r="CO48" i="14"/>
  <c r="L93" i="14"/>
  <c r="U93" i="14"/>
  <c r="CO93" i="14"/>
  <c r="CF42" i="14"/>
  <c r="BW74" i="14"/>
  <c r="BY74" i="14" s="1"/>
  <c r="BN15" i="14"/>
  <c r="BP15" i="14" s="1"/>
  <c r="L38" i="14"/>
  <c r="N38" i="14" s="1"/>
  <c r="FI77" i="14"/>
  <c r="AD34" i="14"/>
  <c r="AF34" i="14" s="1"/>
  <c r="AM34" i="14"/>
  <c r="AO34" i="14" s="1"/>
  <c r="U34" i="14"/>
  <c r="W34" i="14" s="1"/>
  <c r="EZ48" i="14"/>
  <c r="BW48" i="14"/>
  <c r="AM48" i="14"/>
  <c r="DP48" i="14"/>
  <c r="DG93" i="14"/>
  <c r="L85" i="14"/>
  <c r="DG85" i="14"/>
  <c r="DY17" i="14"/>
  <c r="EA17" i="14" s="1"/>
  <c r="AD60" i="14"/>
  <c r="AF60" i="14" s="1"/>
  <c r="DY63" i="14"/>
  <c r="EA63" i="14" s="1"/>
  <c r="DP63" i="14"/>
  <c r="DR63" i="14" s="1"/>
  <c r="CF32" i="14"/>
  <c r="CH32" i="14" s="1"/>
  <c r="AV32" i="14"/>
  <c r="AX32" i="14" s="1"/>
  <c r="L66" i="14"/>
  <c r="N66" i="14" s="1"/>
  <c r="EQ52" i="14"/>
  <c r="ES52" i="14" s="1"/>
  <c r="DO42" i="14"/>
  <c r="DP42" i="14" s="1"/>
  <c r="CO42" i="14"/>
  <c r="AD64" i="14"/>
  <c r="AF64" i="14" s="1"/>
  <c r="EH64" i="14"/>
  <c r="EJ64" i="14" s="1"/>
  <c r="EZ65" i="14"/>
  <c r="FB65" i="14" s="1"/>
  <c r="DG33" i="14"/>
  <c r="DI33" i="14" s="1"/>
  <c r="DG58" i="14"/>
  <c r="DY15" i="14"/>
  <c r="EA15" i="14" s="1"/>
  <c r="EH76" i="14"/>
  <c r="EZ55" i="14"/>
  <c r="AV56" i="14"/>
  <c r="AX56" i="14" s="1"/>
  <c r="DG56" i="14"/>
  <c r="DI56" i="14" s="1"/>
  <c r="EQ88" i="14"/>
  <c r="BN62" i="14"/>
  <c r="CF68" i="14"/>
  <c r="CH68" i="14" s="1"/>
  <c r="CX60" i="14"/>
  <c r="CZ60" i="14" s="1"/>
  <c r="EH57" i="14"/>
  <c r="EJ57" i="14" s="1"/>
  <c r="FI63" i="14"/>
  <c r="FK63" i="14" s="1"/>
  <c r="EY18" i="14"/>
  <c r="EZ18" i="14" s="1"/>
  <c r="FB18" i="14" s="1"/>
  <c r="AM42" i="14"/>
  <c r="DY64" i="14"/>
  <c r="EA64" i="14" s="1"/>
  <c r="CX64" i="14"/>
  <c r="CZ64" i="14" s="1"/>
  <c r="AM65" i="14"/>
  <c r="AO65" i="14" s="1"/>
  <c r="DG65" i="14"/>
  <c r="DI65" i="14" s="1"/>
  <c r="AV65" i="14"/>
  <c r="AX65" i="14" s="1"/>
  <c r="DY33" i="14"/>
  <c r="EA33" i="14" s="1"/>
  <c r="DG25" i="14"/>
  <c r="DI25" i="14" s="1"/>
  <c r="U58" i="14"/>
  <c r="U15" i="14"/>
  <c r="W15" i="14" s="1"/>
  <c r="FI76" i="14"/>
  <c r="EY76" i="14"/>
  <c r="EQ55" i="14"/>
  <c r="AM55" i="14"/>
  <c r="U55" i="14"/>
  <c r="BV18" i="14"/>
  <c r="AM56" i="14"/>
  <c r="AO56" i="14" s="1"/>
  <c r="CX88" i="14"/>
  <c r="BW62" i="14"/>
  <c r="EQ62" i="14"/>
  <c r="CX62" i="14"/>
  <c r="FI62" i="14"/>
  <c r="L26" i="2"/>
  <c r="I26" i="9"/>
  <c r="U68" i="14"/>
  <c r="W68" i="14" s="1"/>
  <c r="EQ68" i="14"/>
  <c r="ES68" i="14" s="1"/>
  <c r="L68" i="14"/>
  <c r="N68" i="14" s="1"/>
  <c r="DP68" i="14"/>
  <c r="DR68" i="14" s="1"/>
  <c r="AM57" i="14"/>
  <c r="AO57" i="14" s="1"/>
  <c r="AV57" i="14"/>
  <c r="AX57" i="14" s="1"/>
  <c r="U64" i="14"/>
  <c r="W64" i="14" s="1"/>
  <c r="BV76" i="14"/>
  <c r="DX76" i="14"/>
  <c r="AV55" i="14"/>
  <c r="AD62" i="14"/>
  <c r="FI68" i="14"/>
  <c r="FK68" i="14" s="1"/>
  <c r="DW22" i="14"/>
  <c r="AM47" i="14"/>
  <c r="AO47" i="14" s="1"/>
  <c r="CO57" i="14"/>
  <c r="CQ57" i="14" s="1"/>
  <c r="DY66" i="14"/>
  <c r="EA66" i="14" s="1"/>
  <c r="CX66" i="14"/>
  <c r="CZ66" i="14" s="1"/>
  <c r="EQ15" i="14"/>
  <c r="ES15" i="14" s="1"/>
  <c r="I114" i="26"/>
  <c r="I134" i="26" s="1"/>
  <c r="I147" i="26" s="1"/>
  <c r="I156" i="26" s="1"/>
  <c r="EX22" i="14"/>
  <c r="BU22" i="14"/>
  <c r="BV15" i="14"/>
  <c r="FG22" i="14"/>
  <c r="S22" i="14"/>
  <c r="BV36" i="14"/>
  <c r="BN36" i="14"/>
  <c r="BP36" i="14" s="1"/>
  <c r="AM60" i="14"/>
  <c r="AO60" i="14" s="1"/>
  <c r="AV60" i="14"/>
  <c r="AX60" i="14" s="1"/>
  <c r="DY60" i="14"/>
  <c r="EA60" i="14" s="1"/>
  <c r="CX57" i="14"/>
  <c r="CZ57" i="14" s="1"/>
  <c r="BW57" i="14"/>
  <c r="BY57" i="14" s="1"/>
  <c r="DY57" i="14"/>
  <c r="EA57" i="14" s="1"/>
  <c r="AD57" i="14"/>
  <c r="AF57" i="14" s="1"/>
  <c r="EH63" i="14"/>
  <c r="EJ63" i="14" s="1"/>
  <c r="CX63" i="14"/>
  <c r="CZ63" i="14" s="1"/>
  <c r="U63" i="14"/>
  <c r="W63" i="14" s="1"/>
  <c r="DG63" i="14"/>
  <c r="DI63" i="14" s="1"/>
  <c r="EQ32" i="14"/>
  <c r="ES32" i="14" s="1"/>
  <c r="DP66" i="14"/>
  <c r="DR66" i="14" s="1"/>
  <c r="CO66" i="14"/>
  <c r="CQ66" i="14" s="1"/>
  <c r="EZ66" i="14"/>
  <c r="FB66" i="14" s="1"/>
  <c r="DG66" i="14"/>
  <c r="DI66" i="14" s="1"/>
  <c r="EH66" i="14"/>
  <c r="EJ66" i="14" s="1"/>
  <c r="DG52" i="14"/>
  <c r="DI52" i="14" s="1"/>
  <c r="CO52" i="14"/>
  <c r="CQ52" i="14" s="1"/>
  <c r="FI42" i="14"/>
  <c r="DG42" i="14"/>
  <c r="BN64" i="14"/>
  <c r="BP64" i="14" s="1"/>
  <c r="EZ64" i="14"/>
  <c r="FB64" i="14" s="1"/>
  <c r="EQ64" i="14"/>
  <c r="ES64" i="14" s="1"/>
  <c r="AD65" i="14"/>
  <c r="AF65" i="14" s="1"/>
  <c r="FI65" i="14"/>
  <c r="FK65" i="14" s="1"/>
  <c r="AM33" i="14"/>
  <c r="AO33" i="14" s="1"/>
  <c r="EZ25" i="14"/>
  <c r="FB25" i="14" s="1"/>
  <c r="EZ58" i="14"/>
  <c r="CX58" i="14"/>
  <c r="AV15" i="14"/>
  <c r="AX15" i="14" s="1"/>
  <c r="L15" i="14"/>
  <c r="N15" i="14" s="1"/>
  <c r="AM15" i="14"/>
  <c r="AO15" i="14" s="1"/>
  <c r="BN76" i="14"/>
  <c r="DP76" i="14"/>
  <c r="EQ76" i="14"/>
  <c r="AM76" i="14"/>
  <c r="CO76" i="14"/>
  <c r="DP55" i="14"/>
  <c r="BN55" i="14"/>
  <c r="CF55" i="14"/>
  <c r="BM33" i="14"/>
  <c r="L56" i="14"/>
  <c r="N56" i="14" s="1"/>
  <c r="BN56" i="14"/>
  <c r="BP56" i="14" s="1"/>
  <c r="DP56" i="14"/>
  <c r="DR56" i="14" s="1"/>
  <c r="CF88" i="14"/>
  <c r="CO88" i="14"/>
  <c r="U62" i="14"/>
  <c r="AM62" i="14"/>
  <c r="DG68" i="14"/>
  <c r="DI68" i="14" s="1"/>
  <c r="AV68" i="14"/>
  <c r="AX68" i="14" s="1"/>
  <c r="CO68" i="14"/>
  <c r="CQ68" i="14" s="1"/>
  <c r="AM68" i="14"/>
  <c r="AO68" i="14" s="1"/>
  <c r="AV85" i="14"/>
  <c r="CO60" i="14"/>
  <c r="CQ60" i="14" s="1"/>
  <c r="EQ60" i="14"/>
  <c r="ES60" i="14" s="1"/>
  <c r="U57" i="14"/>
  <c r="W57" i="14" s="1"/>
  <c r="EZ57" i="14"/>
  <c r="FB57" i="14" s="1"/>
  <c r="EQ57" i="14"/>
  <c r="ES57" i="14" s="1"/>
  <c r="EZ32" i="14"/>
  <c r="FB32" i="14" s="1"/>
  <c r="EQ42" i="14"/>
  <c r="CO64" i="14"/>
  <c r="CQ64" i="14" s="1"/>
  <c r="L58" i="14"/>
  <c r="FI58" i="14"/>
  <c r="CO15" i="14"/>
  <c r="CQ15" i="14" s="1"/>
  <c r="L76" i="14"/>
  <c r="FI55" i="14"/>
  <c r="EH55" i="14"/>
  <c r="FH17" i="14"/>
  <c r="EZ17" i="14"/>
  <c r="FB17" i="14" s="1"/>
  <c r="CF56" i="14"/>
  <c r="CH56" i="14" s="1"/>
  <c r="FI88" i="14"/>
  <c r="EH68" i="14"/>
  <c r="EJ68" i="14" s="1"/>
  <c r="CM22" i="14"/>
  <c r="BM22" i="14"/>
  <c r="CF60" i="14"/>
  <c r="CH60" i="14" s="1"/>
  <c r="DG60" i="14"/>
  <c r="DI60" i="14" s="1"/>
  <c r="L57" i="14"/>
  <c r="N57" i="14" s="1"/>
  <c r="FI57" i="14"/>
  <c r="FK57" i="14" s="1"/>
  <c r="CF57" i="14"/>
  <c r="CH57" i="14" s="1"/>
  <c r="L63" i="14"/>
  <c r="N63" i="14" s="1"/>
  <c r="CO63" i="14"/>
  <c r="CQ63" i="14" s="1"/>
  <c r="U32" i="14"/>
  <c r="W32" i="14" s="1"/>
  <c r="AM32" i="14"/>
  <c r="AO32" i="14" s="1"/>
  <c r="CX32" i="14"/>
  <c r="CZ32" i="14" s="1"/>
  <c r="U66" i="14"/>
  <c r="W66" i="14" s="1"/>
  <c r="AM66" i="14"/>
  <c r="AO66" i="14" s="1"/>
  <c r="AV52" i="14"/>
  <c r="AX52" i="14" s="1"/>
  <c r="AD52" i="14"/>
  <c r="AF52" i="14" s="1"/>
  <c r="AM64" i="14"/>
  <c r="AO64" i="14" s="1"/>
  <c r="BW64" i="14"/>
  <c r="BY64" i="14" s="1"/>
  <c r="BN58" i="14"/>
  <c r="CF58" i="14"/>
  <c r="U76" i="14"/>
  <c r="AD55" i="14"/>
  <c r="DY55" i="14"/>
  <c r="EH56" i="14"/>
  <c r="EJ56" i="14" s="1"/>
  <c r="CX56" i="14"/>
  <c r="CZ56" i="14" s="1"/>
  <c r="DP52" i="14"/>
  <c r="DR52" i="14" s="1"/>
  <c r="EH32" i="14"/>
  <c r="EJ32" i="14" s="1"/>
  <c r="BV25" i="14"/>
  <c r="BV30" i="14"/>
  <c r="FI60" i="14"/>
  <c r="FK60" i="14" s="1"/>
  <c r="EH60" i="14"/>
  <c r="EJ60" i="14" s="1"/>
  <c r="DP60" i="14"/>
  <c r="DR60" i="14" s="1"/>
  <c r="EZ60" i="14"/>
  <c r="FB60" i="14" s="1"/>
  <c r="DG57" i="14"/>
  <c r="DI57" i="14" s="1"/>
  <c r="BN57" i="14"/>
  <c r="BP57" i="14" s="1"/>
  <c r="DP57" i="14"/>
  <c r="DR57" i="14" s="1"/>
  <c r="EQ63" i="14"/>
  <c r="ES63" i="14" s="1"/>
  <c r="CF63" i="14"/>
  <c r="CH63" i="14" s="1"/>
  <c r="EZ63" i="14"/>
  <c r="FB63" i="14" s="1"/>
  <c r="DG32" i="14"/>
  <c r="DI32" i="14" s="1"/>
  <c r="BN32" i="14"/>
  <c r="BP32" i="14" s="1"/>
  <c r="DY32" i="14"/>
  <c r="EA32" i="14" s="1"/>
  <c r="FI32" i="14"/>
  <c r="FK32" i="14" s="1"/>
  <c r="AV66" i="14"/>
  <c r="AX66" i="14" s="1"/>
  <c r="AD66" i="14"/>
  <c r="AF66" i="14" s="1"/>
  <c r="CF66" i="14"/>
  <c r="CH66" i="14" s="1"/>
  <c r="EQ66" i="14"/>
  <c r="ES66" i="14" s="1"/>
  <c r="FI66" i="14"/>
  <c r="FK66" i="14" s="1"/>
  <c r="U52" i="14"/>
  <c r="W52" i="14" s="1"/>
  <c r="FI52" i="14"/>
  <c r="FK52" i="14" s="1"/>
  <c r="U42" i="14"/>
  <c r="EZ42" i="14"/>
  <c r="AV64" i="14"/>
  <c r="AX64" i="14" s="1"/>
  <c r="DG64" i="14"/>
  <c r="DI64" i="14" s="1"/>
  <c r="DP64" i="14"/>
  <c r="DR64" i="14" s="1"/>
  <c r="FI64" i="14"/>
  <c r="FK64" i="14" s="1"/>
  <c r="L65" i="14"/>
  <c r="N65" i="14" s="1"/>
  <c r="EH65" i="14"/>
  <c r="EJ65" i="14" s="1"/>
  <c r="EQ33" i="14"/>
  <c r="ES33" i="14" s="1"/>
  <c r="EH25" i="14"/>
  <c r="EJ25" i="14" s="1"/>
  <c r="BW58" i="14"/>
  <c r="CO58" i="14"/>
  <c r="DO58" i="14"/>
  <c r="DG15" i="14"/>
  <c r="DI15" i="14" s="1"/>
  <c r="CX15" i="14"/>
  <c r="CZ15" i="14" s="1"/>
  <c r="EH15" i="14"/>
  <c r="EJ15" i="14" s="1"/>
  <c r="AU76" i="14"/>
  <c r="CF76" i="14"/>
  <c r="DG76" i="14"/>
  <c r="CW76" i="14"/>
  <c r="CX55" i="14"/>
  <c r="DG55" i="14"/>
  <c r="L55" i="14"/>
  <c r="CO55" i="14"/>
  <c r="BV16" i="14"/>
  <c r="BN16" i="14"/>
  <c r="BP16" i="14" s="1"/>
  <c r="BV29" i="14"/>
  <c r="CO56" i="14"/>
  <c r="CQ56" i="14" s="1"/>
  <c r="DY56" i="14"/>
  <c r="EA56" i="14" s="1"/>
  <c r="EQ56" i="14"/>
  <c r="ES56" i="14" s="1"/>
  <c r="DO88" i="14"/>
  <c r="DP88" i="14" s="1"/>
  <c r="U88" i="14"/>
  <c r="DG62" i="14"/>
  <c r="L62" i="14"/>
  <c r="CO62" i="14"/>
  <c r="EZ68" i="14"/>
  <c r="FB68" i="14" s="1"/>
  <c r="DY68" i="14"/>
  <c r="EA68" i="14" s="1"/>
  <c r="CX68" i="14"/>
  <c r="CZ68" i="14" s="1"/>
  <c r="AD68" i="14"/>
  <c r="AF68" i="14" s="1"/>
  <c r="AM35" i="14"/>
  <c r="AO35" i="14" s="1"/>
  <c r="U35" i="14"/>
  <c r="W35" i="14" s="1"/>
  <c r="CF35" i="14"/>
  <c r="CH35" i="14" s="1"/>
  <c r="BN43" i="14"/>
  <c r="BP43" i="14" s="1"/>
  <c r="AD43" i="14"/>
  <c r="AF43" i="14" s="1"/>
  <c r="BW43" i="14"/>
  <c r="BY43" i="14" s="1"/>
  <c r="AD45" i="14"/>
  <c r="AF45" i="14" s="1"/>
  <c r="DY45" i="14"/>
  <c r="EA45" i="14" s="1"/>
  <c r="U45" i="14"/>
  <c r="W45" i="14" s="1"/>
  <c r="EZ45" i="14"/>
  <c r="FB45" i="14" s="1"/>
  <c r="CO45" i="14"/>
  <c r="CQ45" i="14" s="1"/>
  <c r="EH41" i="14"/>
  <c r="EJ41" i="14" s="1"/>
  <c r="DP41" i="14"/>
  <c r="DR41" i="14" s="1"/>
  <c r="EQ41" i="14"/>
  <c r="ES41" i="14" s="1"/>
  <c r="DY41" i="14"/>
  <c r="EA41" i="14" s="1"/>
  <c r="AD83" i="14"/>
  <c r="U83" i="14"/>
  <c r="CO83" i="14"/>
  <c r="FI84" i="14"/>
  <c r="AM84" i="14"/>
  <c r="AV84" i="14"/>
  <c r="AD27" i="14"/>
  <c r="AF27" i="14" s="1"/>
  <c r="AV27" i="14"/>
  <c r="AX27" i="14" s="1"/>
  <c r="AM27" i="14"/>
  <c r="AO27" i="14" s="1"/>
  <c r="EZ35" i="14"/>
  <c r="FB35" i="14" s="1"/>
  <c r="BN35" i="14"/>
  <c r="BP35" i="14" s="1"/>
  <c r="L35" i="14"/>
  <c r="N35" i="14" s="1"/>
  <c r="FI35" i="14"/>
  <c r="FK35" i="14" s="1"/>
  <c r="CO35" i="14"/>
  <c r="CQ35" i="14" s="1"/>
  <c r="CF43" i="14"/>
  <c r="CH43" i="14" s="1"/>
  <c r="DG43" i="14"/>
  <c r="DI43" i="14" s="1"/>
  <c r="FI43" i="14"/>
  <c r="FK43" i="14" s="1"/>
  <c r="AM43" i="14"/>
  <c r="AO43" i="14" s="1"/>
  <c r="EQ43" i="14"/>
  <c r="ES43" i="14" s="1"/>
  <c r="DG45" i="14"/>
  <c r="DI45" i="14" s="1"/>
  <c r="CX45" i="14"/>
  <c r="CZ45" i="14" s="1"/>
  <c r="AV45" i="14"/>
  <c r="AX45" i="14" s="1"/>
  <c r="DX22" i="14"/>
  <c r="U41" i="14"/>
  <c r="W41" i="14" s="1"/>
  <c r="L41" i="14"/>
  <c r="N41" i="14" s="1"/>
  <c r="BW41" i="14"/>
  <c r="BY41" i="14" s="1"/>
  <c r="AV41" i="14"/>
  <c r="AX41" i="14" s="1"/>
  <c r="AD41" i="14"/>
  <c r="AF41" i="14" s="1"/>
  <c r="DO83" i="14"/>
  <c r="DP83" i="14" s="1"/>
  <c r="CF83" i="14"/>
  <c r="CX83" i="14"/>
  <c r="CO84" i="14"/>
  <c r="EZ84" i="14"/>
  <c r="EQ84" i="14"/>
  <c r="DX84" i="14"/>
  <c r="EQ27" i="14"/>
  <c r="ES27" i="14" s="1"/>
  <c r="EZ27" i="14"/>
  <c r="FB27" i="14" s="1"/>
  <c r="U27" i="14"/>
  <c r="W27" i="14" s="1"/>
  <c r="DP27" i="14"/>
  <c r="DR27" i="14" s="1"/>
  <c r="CF27" i="14"/>
  <c r="CH27" i="14" s="1"/>
  <c r="J145" i="26"/>
  <c r="J147" i="26" s="1"/>
  <c r="K142" i="26"/>
  <c r="J30" i="2"/>
  <c r="G30" i="9"/>
  <c r="BV38" i="14"/>
  <c r="BN38" i="14"/>
  <c r="BP38" i="14" s="1"/>
  <c r="U30" i="14"/>
  <c r="W30" i="14" s="1"/>
  <c r="EQ30" i="14"/>
  <c r="ES30" i="14" s="1"/>
  <c r="ET30" i="14" s="1"/>
  <c r="EU30" i="14" s="1"/>
  <c r="AD30" i="14"/>
  <c r="AF30" i="14" s="1"/>
  <c r="CX30" i="14"/>
  <c r="CZ30" i="14" s="1"/>
  <c r="BV65" i="14"/>
  <c r="BN65" i="14"/>
  <c r="BP65" i="14" s="1"/>
  <c r="K15" i="9"/>
  <c r="AM18" i="14"/>
  <c r="AO18" i="14" s="1"/>
  <c r="DY18" i="14"/>
  <c r="EA18" i="14" s="1"/>
  <c r="CO18" i="14"/>
  <c r="CQ18" i="14" s="1"/>
  <c r="U39" i="14"/>
  <c r="W39" i="14" s="1"/>
  <c r="AM39" i="14"/>
  <c r="AO39" i="14" s="1"/>
  <c r="DY39" i="14"/>
  <c r="EA39" i="14" s="1"/>
  <c r="DG39" i="14"/>
  <c r="DI39" i="14" s="1"/>
  <c r="EH39" i="14"/>
  <c r="EJ39" i="14" s="1"/>
  <c r="AV44" i="14"/>
  <c r="AX44" i="14" s="1"/>
  <c r="U44" i="14"/>
  <c r="W44" i="14" s="1"/>
  <c r="BW44" i="14"/>
  <c r="BY44" i="14" s="1"/>
  <c r="CO44" i="14"/>
  <c r="CQ44" i="14" s="1"/>
  <c r="DO22" i="14"/>
  <c r="J14" i="9"/>
  <c r="EZ15" i="14"/>
  <c r="FB15" i="14" s="1"/>
  <c r="FH15" i="14"/>
  <c r="BN17" i="14"/>
  <c r="BP17" i="14" s="1"/>
  <c r="BV17" i="14"/>
  <c r="BM82" i="14"/>
  <c r="CX35" i="14"/>
  <c r="CZ35" i="14" s="1"/>
  <c r="EH35" i="14"/>
  <c r="EJ35" i="14" s="1"/>
  <c r="EQ35" i="14"/>
  <c r="ES35" i="14" s="1"/>
  <c r="AD35" i="14"/>
  <c r="AF35" i="14" s="1"/>
  <c r="DG35" i="14"/>
  <c r="DI35" i="14" s="1"/>
  <c r="DY43" i="14"/>
  <c r="EA43" i="14" s="1"/>
  <c r="EH43" i="14"/>
  <c r="EJ43" i="14" s="1"/>
  <c r="L43" i="14"/>
  <c r="N43" i="14" s="1"/>
  <c r="EZ43" i="14"/>
  <c r="FB43" i="14" s="1"/>
  <c r="BW45" i="14"/>
  <c r="BY45" i="14" s="1"/>
  <c r="CF45" i="14"/>
  <c r="CH45" i="14" s="1"/>
  <c r="DP45" i="14"/>
  <c r="DR45" i="14" s="1"/>
  <c r="EH45" i="14"/>
  <c r="EJ45" i="14" s="1"/>
  <c r="AM45" i="14"/>
  <c r="AO45" i="14" s="1"/>
  <c r="BN49" i="14"/>
  <c r="AK22" i="14"/>
  <c r="DY14" i="14"/>
  <c r="EA14" i="14" s="1"/>
  <c r="BW28" i="14"/>
  <c r="BY28" i="14" s="1"/>
  <c r="DG41" i="14"/>
  <c r="DI41" i="14" s="1"/>
  <c r="CO41" i="14"/>
  <c r="CQ41" i="14" s="1"/>
  <c r="CX41" i="14"/>
  <c r="CZ41" i="14" s="1"/>
  <c r="CF41" i="14"/>
  <c r="CH41" i="14" s="1"/>
  <c r="FI83" i="14"/>
  <c r="EQ83" i="14"/>
  <c r="AV83" i="14"/>
  <c r="L83" i="14"/>
  <c r="EG84" i="14"/>
  <c r="CX84" i="14"/>
  <c r="AD84" i="14"/>
  <c r="U84" i="14"/>
  <c r="BN27" i="14"/>
  <c r="BP27" i="14" s="1"/>
  <c r="L27" i="14"/>
  <c r="N27" i="14" s="1"/>
  <c r="CO27" i="14"/>
  <c r="CQ27" i="14" s="1"/>
  <c r="CX27" i="14"/>
  <c r="CZ27" i="14" s="1"/>
  <c r="BW15" i="14"/>
  <c r="BY15" i="14" s="1"/>
  <c r="BV52" i="14"/>
  <c r="CO30" i="14"/>
  <c r="CQ30" i="14" s="1"/>
  <c r="L30" i="14"/>
  <c r="N30" i="14" s="1"/>
  <c r="AV30" i="14"/>
  <c r="AX30" i="14" s="1"/>
  <c r="DP30" i="14"/>
  <c r="DR30" i="14" s="1"/>
  <c r="DP85" i="14"/>
  <c r="DX87" i="14"/>
  <c r="AT22" i="14"/>
  <c r="L29" i="9"/>
  <c r="DG18" i="14"/>
  <c r="DI18" i="14" s="1"/>
  <c r="U18" i="14"/>
  <c r="W18" i="14" s="1"/>
  <c r="EQ18" i="14"/>
  <c r="ES18" i="14" s="1"/>
  <c r="ET18" i="14" s="1"/>
  <c r="EU18" i="14" s="1"/>
  <c r="AV18" i="14"/>
  <c r="AX18" i="14" s="1"/>
  <c r="CM75" i="14"/>
  <c r="AT75" i="14"/>
  <c r="EO75" i="14"/>
  <c r="FG75" i="14"/>
  <c r="DN75" i="14"/>
  <c r="BU75" i="14"/>
  <c r="DW75" i="14"/>
  <c r="EX75" i="14"/>
  <c r="J75" i="14"/>
  <c r="J79" i="14" s="1"/>
  <c r="CV75" i="14"/>
  <c r="AB75" i="14"/>
  <c r="BL75" i="14"/>
  <c r="S75" i="14"/>
  <c r="F79" i="14"/>
  <c r="DE75" i="14"/>
  <c r="CD75" i="14"/>
  <c r="AK75" i="14"/>
  <c r="EF75" i="14"/>
  <c r="DE22" i="14"/>
  <c r="CF39" i="14"/>
  <c r="CH39" i="14" s="1"/>
  <c r="L39" i="14"/>
  <c r="N39" i="14" s="1"/>
  <c r="AD39" i="14"/>
  <c r="AF39" i="14" s="1"/>
  <c r="EZ39" i="14"/>
  <c r="FB39" i="14" s="1"/>
  <c r="AD44" i="14"/>
  <c r="AF44" i="14" s="1"/>
  <c r="CF44" i="14"/>
  <c r="CH44" i="14" s="1"/>
  <c r="DY44" i="14"/>
  <c r="EA44" i="14" s="1"/>
  <c r="EZ44" i="14"/>
  <c r="FB44" i="14" s="1"/>
  <c r="DX82" i="14"/>
  <c r="DP14" i="14"/>
  <c r="DR14" i="14" s="1"/>
  <c r="T28" i="26"/>
  <c r="J23" i="2"/>
  <c r="G23" i="9"/>
  <c r="I33" i="2"/>
  <c r="F13" i="1" s="1"/>
  <c r="L18" i="14"/>
  <c r="N18" i="14" s="1"/>
  <c r="DP18" i="14"/>
  <c r="DR18" i="14" s="1"/>
  <c r="AD18" i="14"/>
  <c r="AF18" i="14" s="1"/>
  <c r="CX18" i="14"/>
  <c r="CZ18" i="14" s="1"/>
  <c r="BW37" i="14"/>
  <c r="BY37" i="14" s="1"/>
  <c r="BV31" i="14"/>
  <c r="BN31" i="14"/>
  <c r="BP31" i="14" s="1"/>
  <c r="CV22" i="14"/>
  <c r="BM66" i="14"/>
  <c r="FI39" i="14"/>
  <c r="FK39" i="14" s="1"/>
  <c r="BW39" i="14"/>
  <c r="BY39" i="14" s="1"/>
  <c r="AV39" i="14"/>
  <c r="AX39" i="14" s="1"/>
  <c r="CX44" i="14"/>
  <c r="CZ44" i="14" s="1"/>
  <c r="L44" i="14"/>
  <c r="N44" i="14" s="1"/>
  <c r="DG44" i="14"/>
  <c r="DI44" i="14" s="1"/>
  <c r="AM44" i="14"/>
  <c r="AO44" i="14" s="1"/>
  <c r="FI44" i="14"/>
  <c r="FK44" i="14" s="1"/>
  <c r="DN22" i="14"/>
  <c r="P175" i="26"/>
  <c r="BM51" i="14"/>
  <c r="AV35" i="14"/>
  <c r="AX35" i="14" s="1"/>
  <c r="CX43" i="14"/>
  <c r="CZ43" i="14" s="1"/>
  <c r="BW84" i="14"/>
  <c r="DG27" i="14"/>
  <c r="DI27" i="14" s="1"/>
  <c r="DG30" i="14"/>
  <c r="DI30" i="14" s="1"/>
  <c r="FI30" i="14"/>
  <c r="FK30" i="14" s="1"/>
  <c r="BN30" i="14"/>
  <c r="BP30" i="14" s="1"/>
  <c r="EH30" i="14"/>
  <c r="EJ30" i="14" s="1"/>
  <c r="FH19" i="14"/>
  <c r="EZ19" i="14"/>
  <c r="FB19" i="14" s="1"/>
  <c r="BV35" i="14"/>
  <c r="DY35" i="14"/>
  <c r="EA35" i="14" s="1"/>
  <c r="DP35" i="14"/>
  <c r="DR35" i="14" s="1"/>
  <c r="BM99" i="14"/>
  <c r="CO43" i="14"/>
  <c r="CQ43" i="14" s="1"/>
  <c r="AV43" i="14"/>
  <c r="AX43" i="14" s="1"/>
  <c r="U43" i="14"/>
  <c r="W43" i="14" s="1"/>
  <c r="DP43" i="14"/>
  <c r="DR43" i="14" s="1"/>
  <c r="FI45" i="14"/>
  <c r="FK45" i="14" s="1"/>
  <c r="L45" i="14"/>
  <c r="N45" i="14" s="1"/>
  <c r="BN45" i="14"/>
  <c r="BP45" i="14" s="1"/>
  <c r="EQ45" i="14"/>
  <c r="ES45" i="14" s="1"/>
  <c r="P112" i="26"/>
  <c r="T112" i="26" s="1"/>
  <c r="T77" i="26"/>
  <c r="Q132" i="26"/>
  <c r="BV67" i="14"/>
  <c r="BN41" i="14"/>
  <c r="BP41" i="14" s="1"/>
  <c r="FI41" i="14"/>
  <c r="FK41" i="14" s="1"/>
  <c r="AM41" i="14"/>
  <c r="AO41" i="14" s="1"/>
  <c r="EZ41" i="14"/>
  <c r="FB41" i="14" s="1"/>
  <c r="EZ83" i="14"/>
  <c r="DG83" i="14"/>
  <c r="AM83" i="14"/>
  <c r="AB22" i="14"/>
  <c r="DO84" i="14"/>
  <c r="CF84" i="14"/>
  <c r="L84" i="14"/>
  <c r="BN84" i="14"/>
  <c r="DG84" i="14"/>
  <c r="EY16" i="14"/>
  <c r="BM26" i="14"/>
  <c r="EH27" i="14"/>
  <c r="EJ27" i="14" s="1"/>
  <c r="FI27" i="14"/>
  <c r="FK27" i="14" s="1"/>
  <c r="DY27" i="14"/>
  <c r="EA27" i="14" s="1"/>
  <c r="BV27" i="14"/>
  <c r="AM30" i="14"/>
  <c r="AO30" i="14" s="1"/>
  <c r="DY30" i="14"/>
  <c r="EA30" i="14" s="1"/>
  <c r="CF30" i="14"/>
  <c r="CH30" i="14" s="1"/>
  <c r="EZ30" i="14"/>
  <c r="FB30" i="14" s="1"/>
  <c r="EH85" i="14"/>
  <c r="BW69" i="14"/>
  <c r="O20" i="9"/>
  <c r="P20" i="9" s="1"/>
  <c r="E20" i="2"/>
  <c r="R20" i="2"/>
  <c r="K17" i="9"/>
  <c r="BM34" i="14"/>
  <c r="CF18" i="14"/>
  <c r="CH18" i="14" s="1"/>
  <c r="BN18" i="14"/>
  <c r="BP18" i="14" s="1"/>
  <c r="EH18" i="14"/>
  <c r="EJ18" i="14" s="1"/>
  <c r="BM40" i="14"/>
  <c r="DY85" i="14"/>
  <c r="R21" i="2"/>
  <c r="N21" i="9"/>
  <c r="J25" i="9"/>
  <c r="EQ39" i="14"/>
  <c r="ES39" i="14" s="1"/>
  <c r="CX39" i="14"/>
  <c r="CZ39" i="14" s="1"/>
  <c r="CO39" i="14"/>
  <c r="CQ39" i="14" s="1"/>
  <c r="DP39" i="14"/>
  <c r="DR39" i="14" s="1"/>
  <c r="DP44" i="14"/>
  <c r="DR44" i="14" s="1"/>
  <c r="EH44" i="14"/>
  <c r="EJ44" i="14" s="1"/>
  <c r="EQ44" i="14"/>
  <c r="ES44" i="14" s="1"/>
  <c r="BM44" i="14"/>
  <c r="EO22" i="14"/>
  <c r="DO90" i="14" l="1"/>
  <c r="DP90" i="14" s="1"/>
  <c r="DX93" i="14"/>
  <c r="DP93" i="14"/>
  <c r="EB20" i="14"/>
  <c r="EC20" i="14" s="1"/>
  <c r="K31" i="16"/>
  <c r="J84" i="16"/>
  <c r="C36" i="16"/>
  <c r="CR65" i="14"/>
  <c r="CS65" i="14"/>
  <c r="DY91" i="14"/>
  <c r="DO96" i="14"/>
  <c r="CR25" i="14"/>
  <c r="CS25" i="14" s="1"/>
  <c r="CS47" i="14"/>
  <c r="D88" i="16"/>
  <c r="G85" i="16"/>
  <c r="G88" i="16"/>
  <c r="BI64" i="14"/>
  <c r="AY19" i="14"/>
  <c r="AZ19" i="14"/>
  <c r="BI47" i="14"/>
  <c r="G51" i="16"/>
  <c r="CR67" i="14"/>
  <c r="CS67" i="14" s="1"/>
  <c r="L43" i="16"/>
  <c r="CR59" i="14"/>
  <c r="CS59" i="14" s="1"/>
  <c r="CR37" i="14"/>
  <c r="CS37" i="14" s="1"/>
  <c r="K10" i="16"/>
  <c r="AY20" i="14"/>
  <c r="AZ20" i="14" s="1"/>
  <c r="O54" i="14"/>
  <c r="P54" i="14" s="1"/>
  <c r="BZ20" i="14"/>
  <c r="CA20" i="14" s="1"/>
  <c r="BP84" i="14"/>
  <c r="BQ84" i="14" s="1"/>
  <c r="BR84" i="14" s="1"/>
  <c r="BH48" i="14"/>
  <c r="BI48" i="14" s="1"/>
  <c r="BH85" i="14"/>
  <c r="BI85" i="14" s="1"/>
  <c r="BH59" i="14"/>
  <c r="BI59" i="14" s="1"/>
  <c r="BC96" i="14"/>
  <c r="FJ87" i="14"/>
  <c r="FK87" i="14" s="1"/>
  <c r="BF87" i="14"/>
  <c r="BG87" i="14" s="1"/>
  <c r="CI52" i="14"/>
  <c r="CJ52" i="14" s="1"/>
  <c r="BH83" i="14"/>
  <c r="BI83" i="14"/>
  <c r="BH75" i="14"/>
  <c r="BI75" i="14" s="1"/>
  <c r="BH69" i="14"/>
  <c r="BI69" i="14"/>
  <c r="CY76" i="14"/>
  <c r="BF76" i="14"/>
  <c r="BG76" i="14" s="1"/>
  <c r="BG25" i="14"/>
  <c r="BH32" i="14"/>
  <c r="BI32" i="14" s="1"/>
  <c r="BC101" i="14"/>
  <c r="BE99" i="14"/>
  <c r="BH40" i="14"/>
  <c r="BI40" i="14" s="1"/>
  <c r="N69" i="14"/>
  <c r="C53" i="16" s="1"/>
  <c r="BQ54" i="14"/>
  <c r="BR54" i="14" s="1"/>
  <c r="AT96" i="14"/>
  <c r="AX48" i="14"/>
  <c r="CQ85" i="14"/>
  <c r="BE79" i="14"/>
  <c r="BG74" i="14"/>
  <c r="BH43" i="14"/>
  <c r="BI43" i="14" s="1"/>
  <c r="BH84" i="14"/>
  <c r="BI84" i="14" s="1"/>
  <c r="BD79" i="14"/>
  <c r="BD103" i="14" s="1"/>
  <c r="AB101" i="14"/>
  <c r="BN39" i="14"/>
  <c r="BP39" i="14" s="1"/>
  <c r="H23" i="16" s="1"/>
  <c r="BG96" i="14"/>
  <c r="BH82" i="14"/>
  <c r="BH96" i="14" s="1"/>
  <c r="BI82" i="14"/>
  <c r="BI96" i="14" s="1"/>
  <c r="BH62" i="14"/>
  <c r="BI62" i="14" s="1"/>
  <c r="BG14" i="14"/>
  <c r="BE22" i="14"/>
  <c r="BE96" i="14"/>
  <c r="BH39" i="14"/>
  <c r="BI39" i="14" s="1"/>
  <c r="BH66" i="14"/>
  <c r="BI66" i="14" s="1"/>
  <c r="AO83" i="14"/>
  <c r="F66" i="16" s="1"/>
  <c r="CY42" i="14"/>
  <c r="CZ42" i="14" s="1"/>
  <c r="L26" i="16" s="1"/>
  <c r="BF42" i="14"/>
  <c r="BG42" i="14" s="1"/>
  <c r="AY17" i="14"/>
  <c r="AZ17" i="14" s="1"/>
  <c r="C51" i="16"/>
  <c r="X54" i="14"/>
  <c r="Y54" i="14" s="1"/>
  <c r="BQ14" i="14"/>
  <c r="BR14" i="14" s="1"/>
  <c r="S9" i="16"/>
  <c r="F45" i="16"/>
  <c r="EJ85" i="14"/>
  <c r="EK85" i="14" s="1"/>
  <c r="EL85" i="14" s="1"/>
  <c r="CI59" i="14"/>
  <c r="CJ59" i="14" s="1"/>
  <c r="O59" i="14"/>
  <c r="P59" i="14" s="1"/>
  <c r="X25" i="14"/>
  <c r="Y25" i="14" s="1"/>
  <c r="C17" i="16"/>
  <c r="FC54" i="14"/>
  <c r="FD54" i="14" s="1"/>
  <c r="G87" i="16"/>
  <c r="K43" i="16"/>
  <c r="AF83" i="14"/>
  <c r="AG83" i="14" s="1"/>
  <c r="AH83" i="14" s="1"/>
  <c r="DS50" i="14"/>
  <c r="DT50" i="14" s="1"/>
  <c r="W69" i="14"/>
  <c r="D53" i="16" s="1"/>
  <c r="X59" i="14"/>
  <c r="Y59" i="14" s="1"/>
  <c r="N22" i="16"/>
  <c r="AG67" i="14"/>
  <c r="AH67" i="14" s="1"/>
  <c r="EB59" i="14"/>
  <c r="EC59" i="14" s="1"/>
  <c r="EU14" i="14"/>
  <c r="R36" i="16"/>
  <c r="DS67" i="14"/>
  <c r="DT67" i="14" s="1"/>
  <c r="K9" i="16"/>
  <c r="C57" i="16"/>
  <c r="AG17" i="14"/>
  <c r="AH17" i="14" s="1"/>
  <c r="AP17" i="14"/>
  <c r="AQ17" i="14" s="1"/>
  <c r="K88" i="16"/>
  <c r="FB83" i="14"/>
  <c r="FC83" i="14" s="1"/>
  <c r="FD83" i="14" s="1"/>
  <c r="AG63" i="14"/>
  <c r="AH63" i="14" s="1"/>
  <c r="X31" i="14"/>
  <c r="Y31" i="14" s="1"/>
  <c r="DT61" i="14"/>
  <c r="J83" i="16"/>
  <c r="N45" i="16"/>
  <c r="ES40" i="14"/>
  <c r="ET40" i="14" s="1"/>
  <c r="EU40" i="14" s="1"/>
  <c r="O32" i="14"/>
  <c r="P32" i="14" s="1"/>
  <c r="J88" i="16"/>
  <c r="W84" i="14"/>
  <c r="X84" i="14" s="1"/>
  <c r="Y84" i="14" s="1"/>
  <c r="N83" i="14"/>
  <c r="C66" i="16" s="1"/>
  <c r="FB85" i="14"/>
  <c r="FC85" i="14" s="1"/>
  <c r="CZ84" i="14"/>
  <c r="L67" i="16" s="1"/>
  <c r="BY69" i="14"/>
  <c r="I53" i="16" s="1"/>
  <c r="CI28" i="14"/>
  <c r="CJ28" i="14" s="1"/>
  <c r="M12" i="16"/>
  <c r="W48" i="14"/>
  <c r="D32" i="16" s="1"/>
  <c r="X29" i="14"/>
  <c r="Y29" i="14" s="1"/>
  <c r="EK61" i="14"/>
  <c r="EL61" i="14" s="1"/>
  <c r="AO48" i="14"/>
  <c r="F32" i="16" s="1"/>
  <c r="DJ67" i="14"/>
  <c r="DK67" i="14" s="1"/>
  <c r="FL29" i="14"/>
  <c r="FM29" i="14" s="1"/>
  <c r="DI83" i="14"/>
  <c r="DJ83" i="14" s="1"/>
  <c r="DK83" i="14" s="1"/>
  <c r="AX83" i="14"/>
  <c r="CH40" i="14"/>
  <c r="J24" i="16" s="1"/>
  <c r="D85" i="16"/>
  <c r="M43" i="16"/>
  <c r="K51" i="16"/>
  <c r="AY67" i="14"/>
  <c r="AZ67" i="14" s="1"/>
  <c r="AG14" i="14"/>
  <c r="AH14" i="14" s="1"/>
  <c r="DT17" i="14"/>
  <c r="AG37" i="14"/>
  <c r="AH37" i="14" s="1"/>
  <c r="N85" i="16"/>
  <c r="AX85" i="14"/>
  <c r="EA85" i="14"/>
  <c r="O29" i="14"/>
  <c r="P29" i="14" s="1"/>
  <c r="AF40" i="14"/>
  <c r="E24" i="16" s="1"/>
  <c r="FD59" i="14"/>
  <c r="H88" i="16"/>
  <c r="CZ69" i="14"/>
  <c r="L53" i="16" s="1"/>
  <c r="CR26" i="14"/>
  <c r="CS26" i="14" s="1"/>
  <c r="FB69" i="14"/>
  <c r="R53" i="16" s="1"/>
  <c r="O64" i="14"/>
  <c r="P64" i="14" s="1"/>
  <c r="FC50" i="14"/>
  <c r="FD50" i="14" s="1"/>
  <c r="O36" i="16"/>
  <c r="R43" i="16"/>
  <c r="DI85" i="14"/>
  <c r="M68" i="16" s="1"/>
  <c r="CQ83" i="14"/>
  <c r="AO85" i="14"/>
  <c r="K21" i="16"/>
  <c r="BP69" i="14"/>
  <c r="BQ69" i="14" s="1"/>
  <c r="ES69" i="14"/>
  <c r="ET69" i="14" s="1"/>
  <c r="EU69" i="14" s="1"/>
  <c r="O20" i="16"/>
  <c r="DA26" i="14"/>
  <c r="DB26" i="14" s="1"/>
  <c r="AP53" i="14"/>
  <c r="AQ53" i="14" s="1"/>
  <c r="DI84" i="14"/>
  <c r="AO69" i="14"/>
  <c r="AP69" i="14" s="1"/>
  <c r="AQ69" i="14" s="1"/>
  <c r="BP83" i="14"/>
  <c r="BQ83" i="14" s="1"/>
  <c r="AO82" i="14"/>
  <c r="AP82" i="14" s="1"/>
  <c r="J22" i="16"/>
  <c r="BQ74" i="14"/>
  <c r="BR74" i="14" s="1"/>
  <c r="FK40" i="14"/>
  <c r="FL40" i="14" s="1"/>
  <c r="FM40" i="14" s="1"/>
  <c r="DR82" i="14"/>
  <c r="N65" i="16" s="1"/>
  <c r="DS59" i="14"/>
  <c r="DT59" i="14" s="1"/>
  <c r="AX22" i="14"/>
  <c r="J14" i="17" s="1"/>
  <c r="AF22" i="14"/>
  <c r="J12" i="17" s="1"/>
  <c r="DR69" i="14"/>
  <c r="DS69" i="14" s="1"/>
  <c r="EA69" i="14"/>
  <c r="O53" i="16" s="1"/>
  <c r="DI69" i="14"/>
  <c r="DJ69" i="14" s="1"/>
  <c r="DK69" i="14" s="1"/>
  <c r="CZ40" i="14"/>
  <c r="DA40" i="14" s="1"/>
  <c r="DB40" i="14" s="1"/>
  <c r="AX84" i="14"/>
  <c r="FK82" i="14"/>
  <c r="AQ74" i="14"/>
  <c r="W83" i="14"/>
  <c r="D66" i="16" s="1"/>
  <c r="CI33" i="14"/>
  <c r="CJ33" i="14" s="1"/>
  <c r="Y47" i="14"/>
  <c r="F57" i="16"/>
  <c r="D31" i="16"/>
  <c r="R40" i="16"/>
  <c r="CQ48" i="14"/>
  <c r="C12" i="16"/>
  <c r="CQ84" i="14"/>
  <c r="CQ69" i="14"/>
  <c r="DI40" i="14"/>
  <c r="CZ83" i="14"/>
  <c r="L66" i="16" s="1"/>
  <c r="DR85" i="14"/>
  <c r="N68" i="16" s="1"/>
  <c r="AF69" i="14"/>
  <c r="E53" i="16" s="1"/>
  <c r="AF84" i="14"/>
  <c r="AG84" i="14" s="1"/>
  <c r="AO40" i="14"/>
  <c r="AP40" i="14" s="1"/>
  <c r="AQ40" i="14" s="1"/>
  <c r="O37" i="14"/>
  <c r="P37" i="14" s="1"/>
  <c r="W82" i="14"/>
  <c r="X82" i="14" s="1"/>
  <c r="Y82" i="14" s="1"/>
  <c r="DR83" i="14"/>
  <c r="DS83" i="14" s="1"/>
  <c r="DT83" i="14" s="1"/>
  <c r="DK59" i="14"/>
  <c r="DJ54" i="14"/>
  <c r="DK54" i="14" s="1"/>
  <c r="O84" i="16"/>
  <c r="DI48" i="14"/>
  <c r="DJ48" i="14" s="1"/>
  <c r="DK48" i="14" s="1"/>
  <c r="CQ40" i="14"/>
  <c r="N85" i="14"/>
  <c r="O85" i="14" s="1"/>
  <c r="P85" i="14" s="1"/>
  <c r="K49" i="16"/>
  <c r="FB82" i="14"/>
  <c r="H44" i="16"/>
  <c r="BQ60" i="14"/>
  <c r="BR60" i="14" s="1"/>
  <c r="L23" i="16"/>
  <c r="DA39" i="14"/>
  <c r="DB39" i="14" s="1"/>
  <c r="O44" i="14"/>
  <c r="P44" i="14" s="1"/>
  <c r="C28" i="16"/>
  <c r="J10" i="16"/>
  <c r="CI26" i="14"/>
  <c r="CJ26" i="14" s="1"/>
  <c r="L51" i="16"/>
  <c r="DA67" i="14"/>
  <c r="DB67" i="14" s="1"/>
  <c r="C85" i="16"/>
  <c r="O17" i="14"/>
  <c r="P17" i="14" s="1"/>
  <c r="M14" i="16"/>
  <c r="DJ30" i="14"/>
  <c r="DK30" i="14" s="1"/>
  <c r="M25" i="16"/>
  <c r="DJ41" i="14"/>
  <c r="DK41" i="14" s="1"/>
  <c r="ET60" i="14"/>
  <c r="EU60" i="14" s="1"/>
  <c r="M18" i="16"/>
  <c r="DJ34" i="14"/>
  <c r="DK34" i="14" s="1"/>
  <c r="F9" i="16"/>
  <c r="AP25" i="14"/>
  <c r="AQ25" i="14" s="1"/>
  <c r="L37" i="16"/>
  <c r="DA53" i="14"/>
  <c r="DB53" i="14" s="1"/>
  <c r="G10" i="16"/>
  <c r="AY26" i="14"/>
  <c r="AZ26" i="14" s="1"/>
  <c r="ET39" i="14"/>
  <c r="EU39" i="14" s="1"/>
  <c r="FC68" i="14"/>
  <c r="FD68" i="14" s="1"/>
  <c r="R52" i="16"/>
  <c r="M44" i="16"/>
  <c r="DJ60" i="14"/>
  <c r="DK60" i="14" s="1"/>
  <c r="ET34" i="14"/>
  <c r="EU34" i="14" s="1"/>
  <c r="ET51" i="14"/>
  <c r="EU51" i="14" s="1"/>
  <c r="K57" i="16"/>
  <c r="CR74" i="14"/>
  <c r="CS74" i="14" s="1"/>
  <c r="ET15" i="14"/>
  <c r="EU15" i="14" s="1"/>
  <c r="G22" i="16"/>
  <c r="AY38" i="14"/>
  <c r="AZ38" i="14" s="1"/>
  <c r="FL37" i="14"/>
  <c r="FM37" i="14" s="1"/>
  <c r="S21" i="16"/>
  <c r="E9" i="16"/>
  <c r="AG25" i="14"/>
  <c r="AH25" i="14" s="1"/>
  <c r="G14" i="16"/>
  <c r="AY30" i="14"/>
  <c r="AZ30" i="14" s="1"/>
  <c r="S36" i="16"/>
  <c r="FL52" i="14"/>
  <c r="FM52" i="14" s="1"/>
  <c r="EK56" i="14"/>
  <c r="EL56" i="14" s="1"/>
  <c r="P40" i="16"/>
  <c r="K83" i="16"/>
  <c r="CR15" i="14"/>
  <c r="CS15" i="14" s="1"/>
  <c r="L18" i="16"/>
  <c r="DA34" i="14"/>
  <c r="DB34" i="14" s="1"/>
  <c r="S12" i="16"/>
  <c r="FL28" i="14"/>
  <c r="FM28" i="14" s="1"/>
  <c r="EK26" i="14"/>
  <c r="EL26" i="14" s="1"/>
  <c r="P10" i="16"/>
  <c r="H13" i="16"/>
  <c r="BQ29" i="14"/>
  <c r="BR29" i="14" s="1"/>
  <c r="ET20" i="14"/>
  <c r="EU20" i="14" s="1"/>
  <c r="S11" i="16"/>
  <c r="FL27" i="14"/>
  <c r="FM27" i="14" s="1"/>
  <c r="DS19" i="14"/>
  <c r="DT19" i="14" s="1"/>
  <c r="N87" i="16"/>
  <c r="FC37" i="14"/>
  <c r="FD37" i="14" s="1"/>
  <c r="R21" i="16"/>
  <c r="N88" i="16"/>
  <c r="DS20" i="14"/>
  <c r="DT20" i="14" s="1"/>
  <c r="P9" i="16"/>
  <c r="EK25" i="14"/>
  <c r="EL25" i="14" s="1"/>
  <c r="ET52" i="14"/>
  <c r="EU52" i="14" s="1"/>
  <c r="F38" i="16"/>
  <c r="AP54" i="14"/>
  <c r="AQ54" i="14" s="1"/>
  <c r="P11" i="16"/>
  <c r="EK27" i="14"/>
  <c r="EL27" i="14" s="1"/>
  <c r="EB39" i="14"/>
  <c r="EC39" i="14" s="1"/>
  <c r="O23" i="16"/>
  <c r="K22" i="16"/>
  <c r="CR38" i="14"/>
  <c r="CS38" i="14" s="1"/>
  <c r="D49" i="16"/>
  <c r="X65" i="14"/>
  <c r="Y65" i="14" s="1"/>
  <c r="M69" i="16"/>
  <c r="DJ86" i="14"/>
  <c r="DK86" i="14" s="1"/>
  <c r="S88" i="16"/>
  <c r="FL20" i="14"/>
  <c r="FM20" i="14" s="1"/>
  <c r="ET25" i="14"/>
  <c r="EU25" i="14" s="1"/>
  <c r="FL39" i="14"/>
  <c r="FM39" i="14" s="1"/>
  <c r="S23" i="16"/>
  <c r="H36" i="16"/>
  <c r="BQ52" i="14"/>
  <c r="BR52" i="14" s="1"/>
  <c r="L85" i="16"/>
  <c r="DA17" i="14"/>
  <c r="DB17" i="14" s="1"/>
  <c r="AP67" i="14"/>
  <c r="AQ67" i="14" s="1"/>
  <c r="F51" i="16"/>
  <c r="D11" i="16"/>
  <c r="X27" i="14"/>
  <c r="Y27" i="14" s="1"/>
  <c r="E27" i="16"/>
  <c r="AG43" i="14"/>
  <c r="AH43" i="14" s="1"/>
  <c r="D50" i="16"/>
  <c r="X66" i="14"/>
  <c r="Y66" i="14" s="1"/>
  <c r="D47" i="16"/>
  <c r="X63" i="14"/>
  <c r="Y63" i="14" s="1"/>
  <c r="R86" i="16"/>
  <c r="FC18" i="14"/>
  <c r="FD18" i="14" s="1"/>
  <c r="H83" i="16"/>
  <c r="BQ15" i="14"/>
  <c r="BR15" i="14" s="1"/>
  <c r="E22" i="16"/>
  <c r="AG38" i="14"/>
  <c r="AH38" i="14" s="1"/>
  <c r="P22" i="16"/>
  <c r="EK38" i="14"/>
  <c r="EL38" i="14" s="1"/>
  <c r="FL47" i="14"/>
  <c r="FM47" i="14" s="1"/>
  <c r="S31" i="16"/>
  <c r="O37" i="16"/>
  <c r="EB53" i="14"/>
  <c r="EC53" i="14" s="1"/>
  <c r="M84" i="16"/>
  <c r="DJ16" i="14"/>
  <c r="DK16" i="14" s="1"/>
  <c r="DA37" i="14"/>
  <c r="DB37" i="14" s="1"/>
  <c r="L21" i="16"/>
  <c r="P57" i="16"/>
  <c r="EK74" i="14"/>
  <c r="EL74" i="14" s="1"/>
  <c r="CR31" i="14"/>
  <c r="CS31" i="14" s="1"/>
  <c r="K15" i="16"/>
  <c r="D20" i="16"/>
  <c r="X36" i="14"/>
  <c r="Y36" i="14" s="1"/>
  <c r="O21" i="16"/>
  <c r="EB37" i="14"/>
  <c r="EC37" i="14" s="1"/>
  <c r="J87" i="16"/>
  <c r="CI19" i="14"/>
  <c r="CJ19" i="14" s="1"/>
  <c r="S69" i="16"/>
  <c r="FL86" i="14"/>
  <c r="FM86" i="14" s="1"/>
  <c r="L13" i="16"/>
  <c r="DA29" i="14"/>
  <c r="DB29" i="14" s="1"/>
  <c r="E88" i="16"/>
  <c r="AG20" i="14"/>
  <c r="AH20" i="14" s="1"/>
  <c r="N38" i="16"/>
  <c r="DS54" i="14"/>
  <c r="DT54" i="14" s="1"/>
  <c r="G19" i="16"/>
  <c r="AY35" i="14"/>
  <c r="AZ35" i="14" s="1"/>
  <c r="FC15" i="14"/>
  <c r="FD15" i="14" s="1"/>
  <c r="R83" i="16"/>
  <c r="G25" i="16"/>
  <c r="AY41" i="14"/>
  <c r="AZ41" i="14" s="1"/>
  <c r="DJ45" i="14"/>
  <c r="DK45" i="14" s="1"/>
  <c r="M29" i="16"/>
  <c r="F11" i="16"/>
  <c r="AP27" i="14"/>
  <c r="AQ27" i="14" s="1"/>
  <c r="P49" i="16"/>
  <c r="EK65" i="14"/>
  <c r="EL65" i="14" s="1"/>
  <c r="S50" i="16"/>
  <c r="FL66" i="14"/>
  <c r="FM66" i="14" s="1"/>
  <c r="H47" i="16"/>
  <c r="BQ63" i="14"/>
  <c r="BR63" i="14" s="1"/>
  <c r="L16" i="16"/>
  <c r="DA32" i="14"/>
  <c r="DB32" i="14" s="1"/>
  <c r="K48" i="16"/>
  <c r="CR64" i="14"/>
  <c r="CS64" i="14" s="1"/>
  <c r="K52" i="16"/>
  <c r="CR68" i="14"/>
  <c r="CS68" i="14" s="1"/>
  <c r="D83" i="16"/>
  <c r="X15" i="14"/>
  <c r="Y15" i="14" s="1"/>
  <c r="G16" i="16"/>
  <c r="AY32" i="14"/>
  <c r="AZ32" i="14" s="1"/>
  <c r="R22" i="16"/>
  <c r="FC38" i="14"/>
  <c r="FD38" i="14" s="1"/>
  <c r="I82" i="16"/>
  <c r="BZ14" i="14"/>
  <c r="ET26" i="14"/>
  <c r="EU26" i="14" s="1"/>
  <c r="C9" i="16"/>
  <c r="O25" i="14"/>
  <c r="E83" i="16"/>
  <c r="AG15" i="14"/>
  <c r="F84" i="16"/>
  <c r="AP16" i="14"/>
  <c r="AQ16" i="14" s="1"/>
  <c r="ET31" i="14"/>
  <c r="EU31" i="14" s="1"/>
  <c r="CH82" i="14"/>
  <c r="C69" i="16"/>
  <c r="O86" i="14"/>
  <c r="P86" i="14" s="1"/>
  <c r="F13" i="16"/>
  <c r="AP29" i="14"/>
  <c r="AQ29" i="14" s="1"/>
  <c r="FK85" i="14"/>
  <c r="K37" i="16"/>
  <c r="CR53" i="14"/>
  <c r="CS53" i="14" s="1"/>
  <c r="BV63" i="14"/>
  <c r="O34" i="16"/>
  <c r="EB50" i="14"/>
  <c r="EC50" i="14" s="1"/>
  <c r="G17" i="16"/>
  <c r="AY33" i="14"/>
  <c r="AZ33" i="14" s="1"/>
  <c r="FC41" i="14"/>
  <c r="FD41" i="14" s="1"/>
  <c r="R25" i="16"/>
  <c r="O27" i="16"/>
  <c r="EB43" i="14"/>
  <c r="EC43" i="14" s="1"/>
  <c r="D23" i="16"/>
  <c r="X39" i="14"/>
  <c r="Y39" i="14" s="1"/>
  <c r="R11" i="16"/>
  <c r="FC27" i="14"/>
  <c r="FD27" i="14" s="1"/>
  <c r="DS41" i="14"/>
  <c r="DT41" i="14" s="1"/>
  <c r="N25" i="16"/>
  <c r="BQ43" i="14"/>
  <c r="BR43" i="14" s="1"/>
  <c r="H27" i="16"/>
  <c r="P16" i="16"/>
  <c r="EK32" i="14"/>
  <c r="EL32" i="14" s="1"/>
  <c r="L47" i="16"/>
  <c r="DA63" i="14"/>
  <c r="DB63" i="14" s="1"/>
  <c r="EA48" i="14"/>
  <c r="AP38" i="14"/>
  <c r="AQ38" i="14" s="1"/>
  <c r="F22" i="16"/>
  <c r="N35" i="16"/>
  <c r="DS51" i="14"/>
  <c r="DT51" i="14" s="1"/>
  <c r="O45" i="16"/>
  <c r="EB61" i="14"/>
  <c r="EC61" i="14" s="1"/>
  <c r="ET28" i="14"/>
  <c r="EU28" i="14" s="1"/>
  <c r="R35" i="16"/>
  <c r="FC51" i="14"/>
  <c r="FD51" i="14" s="1"/>
  <c r="F43" i="16"/>
  <c r="AP59" i="14"/>
  <c r="AQ59" i="14" s="1"/>
  <c r="EA101" i="14"/>
  <c r="K23" i="17" s="1"/>
  <c r="O93" i="16"/>
  <c r="EB99" i="14"/>
  <c r="EB101" i="14" s="1"/>
  <c r="D34" i="16"/>
  <c r="X50" i="14"/>
  <c r="Y50" i="14" s="1"/>
  <c r="D69" i="16"/>
  <c r="X86" i="14"/>
  <c r="Y86" i="14"/>
  <c r="AF85" i="14"/>
  <c r="E17" i="16"/>
  <c r="AG33" i="14"/>
  <c r="AH33" i="14" s="1"/>
  <c r="G31" i="16"/>
  <c r="AY47" i="14"/>
  <c r="AZ47" i="14" s="1"/>
  <c r="ET47" i="14"/>
  <c r="EU47" i="14" s="1"/>
  <c r="EK51" i="14"/>
  <c r="EL51" i="14" s="1"/>
  <c r="P35" i="16"/>
  <c r="S19" i="16"/>
  <c r="FL35" i="14"/>
  <c r="FM35" i="14" s="1"/>
  <c r="DA36" i="14"/>
  <c r="DB36" i="14" s="1"/>
  <c r="L20" i="16"/>
  <c r="H21" i="16"/>
  <c r="BQ37" i="14"/>
  <c r="BR37" i="14" s="1"/>
  <c r="F34" i="16"/>
  <c r="AP50" i="14"/>
  <c r="AQ50" i="14" s="1"/>
  <c r="DJ29" i="14"/>
  <c r="DK29" i="14" s="1"/>
  <c r="M13" i="16"/>
  <c r="O60" i="14"/>
  <c r="P60" i="14" s="1"/>
  <c r="C44" i="16"/>
  <c r="EB65" i="14"/>
  <c r="EC65" i="14" s="1"/>
  <c r="O49" i="16"/>
  <c r="DJ27" i="14"/>
  <c r="DK27" i="14" s="1"/>
  <c r="M11" i="16"/>
  <c r="P23" i="16"/>
  <c r="EK39" i="14"/>
  <c r="EL39" i="14" s="1"/>
  <c r="K44" i="16"/>
  <c r="CR60" i="14"/>
  <c r="CS60" i="14" s="1"/>
  <c r="ET68" i="14"/>
  <c r="EU68" i="14" s="1"/>
  <c r="DJ74" i="14"/>
  <c r="M57" i="16"/>
  <c r="C88" i="16"/>
  <c r="O20" i="14"/>
  <c r="P20" i="14" s="1"/>
  <c r="J11" i="16"/>
  <c r="CI27" i="14"/>
  <c r="CJ27" i="14" s="1"/>
  <c r="O15" i="14"/>
  <c r="P15" i="14" s="1"/>
  <c r="C83" i="16"/>
  <c r="D52" i="16"/>
  <c r="X68" i="14"/>
  <c r="Y68" i="14" s="1"/>
  <c r="L82" i="16"/>
  <c r="DA14" i="14"/>
  <c r="DB14" i="14" s="1"/>
  <c r="CZ22" i="14"/>
  <c r="FL54" i="14"/>
  <c r="FM54" i="14" s="1"/>
  <c r="S38" i="16"/>
  <c r="EB35" i="14"/>
  <c r="EC35" i="14" s="1"/>
  <c r="O19" i="16"/>
  <c r="R27" i="16"/>
  <c r="FC43" i="14"/>
  <c r="FD43" i="14" s="1"/>
  <c r="J47" i="16"/>
  <c r="CI63" i="14"/>
  <c r="CJ63" i="14" s="1"/>
  <c r="C22" i="16"/>
  <c r="O38" i="14"/>
  <c r="P38" i="14" s="1"/>
  <c r="D45" i="16"/>
  <c r="X61" i="14"/>
  <c r="Y61" i="14" s="1"/>
  <c r="ET29" i="14"/>
  <c r="EU29" i="14" s="1"/>
  <c r="C27" i="16"/>
  <c r="O43" i="14"/>
  <c r="P43" i="14" s="1"/>
  <c r="FC35" i="14"/>
  <c r="FD35" i="14" s="1"/>
  <c r="R19" i="16"/>
  <c r="H29" i="16"/>
  <c r="BQ45" i="14"/>
  <c r="BR45" i="14" s="1"/>
  <c r="K14" i="16"/>
  <c r="CR30" i="14"/>
  <c r="CS30" i="14" s="1"/>
  <c r="AX69" i="14"/>
  <c r="P20" i="16"/>
  <c r="EK36" i="14"/>
  <c r="EL36" i="14" s="1"/>
  <c r="C29" i="16"/>
  <c r="O45" i="14"/>
  <c r="P45" i="14" s="1"/>
  <c r="J28" i="16"/>
  <c r="CI44" i="14"/>
  <c r="CJ44" i="14" s="1"/>
  <c r="CR57" i="14"/>
  <c r="CS57" i="14" s="1"/>
  <c r="K41" i="16"/>
  <c r="P52" i="16"/>
  <c r="EK68" i="14"/>
  <c r="EL68" i="14" s="1"/>
  <c r="F25" i="16"/>
  <c r="AP41" i="14"/>
  <c r="AQ41" i="14" s="1"/>
  <c r="C49" i="16"/>
  <c r="O65" i="14"/>
  <c r="P65" i="14" s="1"/>
  <c r="CH48" i="14"/>
  <c r="E31" i="16"/>
  <c r="AG47" i="14"/>
  <c r="AH47" i="14" s="1"/>
  <c r="O35" i="16"/>
  <c r="EB51" i="14"/>
  <c r="EC51" i="14" s="1"/>
  <c r="P84" i="16"/>
  <c r="EK16" i="14"/>
  <c r="EL16" i="14" s="1"/>
  <c r="CZ82" i="14"/>
  <c r="R9" i="16"/>
  <c r="FC25" i="14"/>
  <c r="FD25" i="14" s="1"/>
  <c r="I57" i="16"/>
  <c r="BZ74" i="14"/>
  <c r="CA74" i="14" s="1"/>
  <c r="FC28" i="14"/>
  <c r="FD28" i="14" s="1"/>
  <c r="R12" i="16"/>
  <c r="F47" i="16"/>
  <c r="AP63" i="14"/>
  <c r="AQ63" i="14" s="1"/>
  <c r="F10" i="16"/>
  <c r="AP26" i="14"/>
  <c r="AQ26" i="14" s="1"/>
  <c r="L45" i="16"/>
  <c r="DA61" i="14"/>
  <c r="DB61" i="14" s="1"/>
  <c r="D44" i="16"/>
  <c r="X60" i="14"/>
  <c r="Y60" i="14" s="1"/>
  <c r="AX82" i="14"/>
  <c r="G13" i="16"/>
  <c r="AY29" i="14"/>
  <c r="AZ29" i="14" s="1"/>
  <c r="P17" i="16"/>
  <c r="EK33" i="14"/>
  <c r="EL33" i="14" s="1"/>
  <c r="EK20" i="14"/>
  <c r="EL20" i="14" s="1"/>
  <c r="P88" i="16"/>
  <c r="G84" i="16"/>
  <c r="AY16" i="14"/>
  <c r="AZ16" i="14" s="1"/>
  <c r="P28" i="16"/>
  <c r="EK44" i="14"/>
  <c r="EL44" i="14" s="1"/>
  <c r="P86" i="16"/>
  <c r="EK18" i="14"/>
  <c r="EL18" i="14" s="1"/>
  <c r="S25" i="16"/>
  <c r="FL41" i="14"/>
  <c r="FM41" i="14" s="1"/>
  <c r="L11" i="16"/>
  <c r="DA27" i="14"/>
  <c r="DB27" i="14" s="1"/>
  <c r="FK83" i="14"/>
  <c r="M19" i="16"/>
  <c r="DJ35" i="14"/>
  <c r="DK35" i="14" s="1"/>
  <c r="C25" i="16"/>
  <c r="O41" i="14"/>
  <c r="P41" i="14" s="1"/>
  <c r="D19" i="16"/>
  <c r="X35" i="14"/>
  <c r="Y35" i="14" s="1"/>
  <c r="FL64" i="14"/>
  <c r="FM64" i="14" s="1"/>
  <c r="S48" i="16"/>
  <c r="H41" i="16"/>
  <c r="BQ57" i="14"/>
  <c r="BR57" i="14" s="1"/>
  <c r="F17" i="16"/>
  <c r="AP33" i="14"/>
  <c r="AQ33" i="14" s="1"/>
  <c r="AG57" i="14"/>
  <c r="AH57" i="14" s="1"/>
  <c r="E41" i="16"/>
  <c r="F31" i="16"/>
  <c r="AP47" i="14"/>
  <c r="AQ47" i="14" s="1"/>
  <c r="DJ25" i="14"/>
  <c r="DK25" i="14" s="1"/>
  <c r="M9" i="16"/>
  <c r="N47" i="16"/>
  <c r="DS63" i="14"/>
  <c r="DT63" i="14" s="1"/>
  <c r="N48" i="14"/>
  <c r="P37" i="16"/>
  <c r="EK53" i="14"/>
  <c r="EL53" i="14" s="1"/>
  <c r="DS65" i="14"/>
  <c r="DT65" i="14" s="1"/>
  <c r="N49" i="16"/>
  <c r="W40" i="14"/>
  <c r="DS26" i="14"/>
  <c r="DT26" i="14" s="1"/>
  <c r="N10" i="16"/>
  <c r="K45" i="16"/>
  <c r="CR61" i="14"/>
  <c r="CS61" i="14" s="1"/>
  <c r="ES82" i="14"/>
  <c r="K13" i="16"/>
  <c r="CR29" i="14"/>
  <c r="CS29" i="14" s="1"/>
  <c r="BP85" i="14"/>
  <c r="E35" i="16"/>
  <c r="AG51" i="14"/>
  <c r="AH51" i="14" s="1"/>
  <c r="CQ82" i="14"/>
  <c r="CH85" i="14"/>
  <c r="J35" i="16"/>
  <c r="CI51" i="14"/>
  <c r="CJ51" i="14" s="1"/>
  <c r="S57" i="16"/>
  <c r="FL74" i="14"/>
  <c r="ET32" i="14"/>
  <c r="EU32" i="14" s="1"/>
  <c r="EK19" i="14"/>
  <c r="EL19" i="14" s="1"/>
  <c r="P87" i="16"/>
  <c r="L48" i="16"/>
  <c r="DA64" i="14"/>
  <c r="DB64" i="14" s="1"/>
  <c r="ET45" i="14"/>
  <c r="EU45" i="14" s="1"/>
  <c r="ET63" i="14"/>
  <c r="EU63" i="14" s="1"/>
  <c r="O13" i="16"/>
  <c r="EB29" i="14"/>
  <c r="EC29" i="14" s="1"/>
  <c r="AG27" i="14"/>
  <c r="AH27" i="14" s="1"/>
  <c r="E11" i="16"/>
  <c r="E14" i="16"/>
  <c r="AG30" i="14"/>
  <c r="AH30" i="14" s="1"/>
  <c r="D25" i="16"/>
  <c r="X41" i="14"/>
  <c r="Y41" i="14" s="1"/>
  <c r="O40" i="16"/>
  <c r="EB56" i="14"/>
  <c r="EC56" i="14" s="1"/>
  <c r="AG66" i="14"/>
  <c r="AH66" i="14" s="1"/>
  <c r="E50" i="16"/>
  <c r="J40" i="16"/>
  <c r="CI56" i="14"/>
  <c r="CJ56" i="14" s="1"/>
  <c r="G41" i="16"/>
  <c r="AY57" i="14"/>
  <c r="AZ57" i="14" s="1"/>
  <c r="EB33" i="14"/>
  <c r="EC33" i="14" s="1"/>
  <c r="O17" i="16"/>
  <c r="EK57" i="14"/>
  <c r="EL57" i="14" s="1"/>
  <c r="P41" i="16"/>
  <c r="BY48" i="14"/>
  <c r="ET17" i="14"/>
  <c r="EU17" i="14" s="1"/>
  <c r="FK48" i="14"/>
  <c r="FL51" i="14"/>
  <c r="FM51" i="14" s="1"/>
  <c r="S35" i="16"/>
  <c r="CZ85" i="14"/>
  <c r="K17" i="16"/>
  <c r="CR33" i="14"/>
  <c r="CS33" i="14" s="1"/>
  <c r="H37" i="16"/>
  <c r="BQ53" i="14"/>
  <c r="BR53" i="14" s="1"/>
  <c r="AG32" i="14"/>
  <c r="AH32" i="14" s="1"/>
  <c r="E16" i="16"/>
  <c r="EK31" i="14"/>
  <c r="EL31" i="14" s="1"/>
  <c r="P15" i="16"/>
  <c r="DJ61" i="14"/>
  <c r="DK61" i="14" s="1"/>
  <c r="M45" i="16"/>
  <c r="G20" i="16"/>
  <c r="AY36" i="14"/>
  <c r="AZ36" i="14" s="1"/>
  <c r="H51" i="16"/>
  <c r="BQ67" i="14"/>
  <c r="BR67" i="14" s="1"/>
  <c r="K84" i="16"/>
  <c r="CR16" i="14"/>
  <c r="CS16" i="14" s="1"/>
  <c r="EB19" i="14"/>
  <c r="EC19" i="14" s="1"/>
  <c r="O87" i="16"/>
  <c r="ET50" i="14"/>
  <c r="EU50" i="14" s="1"/>
  <c r="G34" i="16"/>
  <c r="AY50" i="14"/>
  <c r="AZ50" i="14" s="1"/>
  <c r="EK50" i="14"/>
  <c r="EL50" i="14" s="1"/>
  <c r="P34" i="16"/>
  <c r="D35" i="16"/>
  <c r="X51" i="14"/>
  <c r="Y51" i="14" s="1"/>
  <c r="R45" i="16"/>
  <c r="FC61" i="14"/>
  <c r="FD61" i="14" s="1"/>
  <c r="J21" i="16"/>
  <c r="CI37" i="14"/>
  <c r="CJ37" i="14" s="1"/>
  <c r="AY52" i="14"/>
  <c r="AZ52" i="14" s="1"/>
  <c r="G36" i="16"/>
  <c r="D86" i="16"/>
  <c r="X18" i="14"/>
  <c r="Y18" i="14" s="1"/>
  <c r="FL45" i="14"/>
  <c r="FM45" i="14" s="1"/>
  <c r="S29" i="16"/>
  <c r="G38" i="16"/>
  <c r="AY54" i="14"/>
  <c r="AZ54" i="14" s="1"/>
  <c r="ET43" i="14"/>
  <c r="EU43" i="14" s="1"/>
  <c r="FL43" i="14"/>
  <c r="FM43" i="14" s="1"/>
  <c r="S27" i="16"/>
  <c r="F19" i="16"/>
  <c r="AP35" i="14"/>
  <c r="AQ35" i="14" s="1"/>
  <c r="G50" i="16"/>
  <c r="AY66" i="14"/>
  <c r="AZ66" i="14" s="1"/>
  <c r="K47" i="16"/>
  <c r="CR63" i="14"/>
  <c r="CS63" i="14" s="1"/>
  <c r="FC17" i="14"/>
  <c r="FD17" i="14" s="1"/>
  <c r="R85" i="16"/>
  <c r="S49" i="16"/>
  <c r="FL65" i="14"/>
  <c r="FM65" i="14" s="1"/>
  <c r="EB57" i="14"/>
  <c r="EC57" i="14" s="1"/>
  <c r="O41" i="16"/>
  <c r="DJ33" i="14"/>
  <c r="DK33" i="14" s="1"/>
  <c r="M17" i="16"/>
  <c r="EB63" i="14"/>
  <c r="EC63" i="14" s="1"/>
  <c r="O47" i="16"/>
  <c r="EB34" i="14"/>
  <c r="EC34" i="14" s="1"/>
  <c r="O18" i="16"/>
  <c r="ES48" i="14"/>
  <c r="FC74" i="14"/>
  <c r="FD74" i="14" s="1"/>
  <c r="R57" i="16"/>
  <c r="P36" i="16"/>
  <c r="EK52" i="14"/>
  <c r="EL52" i="14" s="1"/>
  <c r="BQ47" i="14"/>
  <c r="BR47" i="14" s="1"/>
  <c r="H31" i="16"/>
  <c r="DS74" i="14"/>
  <c r="DT74" i="14" s="1"/>
  <c r="N57" i="16"/>
  <c r="C82" i="16"/>
  <c r="N22" i="14"/>
  <c r="O14" i="14"/>
  <c r="P21" i="16"/>
  <c r="EK37" i="14"/>
  <c r="EL37" i="14" s="1"/>
  <c r="G9" i="16"/>
  <c r="AY25" i="14"/>
  <c r="AZ25" i="14" s="1"/>
  <c r="CR54" i="14"/>
  <c r="CS54" i="14" s="1"/>
  <c r="K38" i="16"/>
  <c r="DS16" i="14"/>
  <c r="DT16" i="14" s="1"/>
  <c r="N84" i="16"/>
  <c r="AP36" i="14"/>
  <c r="AQ36" i="14" s="1"/>
  <c r="F20" i="16"/>
  <c r="S20" i="16"/>
  <c r="FL36" i="14"/>
  <c r="FM36" i="14" s="1"/>
  <c r="K87" i="16"/>
  <c r="CR19" i="14"/>
  <c r="CS19" i="14" s="1"/>
  <c r="H87" i="16"/>
  <c r="BQ19" i="14"/>
  <c r="BR19" i="14" s="1"/>
  <c r="I31" i="16"/>
  <c r="BZ47" i="14"/>
  <c r="CA47" i="14" s="1"/>
  <c r="P74" i="14"/>
  <c r="E34" i="16"/>
  <c r="AG50" i="14"/>
  <c r="AH50" i="14" s="1"/>
  <c r="FI94" i="14"/>
  <c r="DS31" i="14"/>
  <c r="DT31" i="14" s="1"/>
  <c r="N15" i="16"/>
  <c r="BQ61" i="14"/>
  <c r="BR61" i="14" s="1"/>
  <c r="H45" i="16"/>
  <c r="ES22" i="14"/>
  <c r="CI61" i="14"/>
  <c r="CJ61" i="14" s="1"/>
  <c r="J45" i="16"/>
  <c r="L38" i="16"/>
  <c r="DA54" i="14"/>
  <c r="DB54" i="14" s="1"/>
  <c r="K35" i="16"/>
  <c r="CR51" i="14"/>
  <c r="CS51" i="14" s="1"/>
  <c r="J31" i="16"/>
  <c r="CI47" i="14"/>
  <c r="CJ47" i="14" s="1"/>
  <c r="BQ25" i="14"/>
  <c r="BR25" i="14" s="1"/>
  <c r="H9" i="16"/>
  <c r="BZ61" i="14"/>
  <c r="CA61" i="14" s="1"/>
  <c r="I45" i="16"/>
  <c r="D40" i="16"/>
  <c r="X56" i="14"/>
  <c r="Y56" i="14" s="1"/>
  <c r="O19" i="14"/>
  <c r="P19" i="14" s="1"/>
  <c r="C87" i="16"/>
  <c r="AF82" i="14"/>
  <c r="N13" i="16"/>
  <c r="DS29" i="14"/>
  <c r="DT29" i="14" s="1"/>
  <c r="I38" i="16"/>
  <c r="BZ54" i="14"/>
  <c r="CA54" i="14" s="1"/>
  <c r="ES85" i="14"/>
  <c r="ET64" i="14"/>
  <c r="EU64" i="14" s="1"/>
  <c r="E48" i="16"/>
  <c r="AG64" i="14"/>
  <c r="AH64" i="14" s="1"/>
  <c r="FL34" i="14"/>
  <c r="FM34" i="14" s="1"/>
  <c r="S18" i="16"/>
  <c r="S37" i="16"/>
  <c r="FL53" i="14"/>
  <c r="FM53" i="14" s="1"/>
  <c r="M15" i="16"/>
  <c r="DJ31" i="14"/>
  <c r="DK31" i="14" s="1"/>
  <c r="N69" i="16"/>
  <c r="DS86" i="14"/>
  <c r="DT86" i="14" s="1"/>
  <c r="J38" i="16"/>
  <c r="CI54" i="14"/>
  <c r="CJ54" i="14" s="1"/>
  <c r="M16" i="16"/>
  <c r="DJ32" i="14"/>
  <c r="DK32" i="14" s="1"/>
  <c r="DS15" i="14"/>
  <c r="DT15" i="14" s="1"/>
  <c r="N83" i="16"/>
  <c r="DS35" i="14"/>
  <c r="DT35" i="14" s="1"/>
  <c r="N19" i="16"/>
  <c r="J29" i="16"/>
  <c r="CI45" i="14"/>
  <c r="CJ45" i="14" s="1"/>
  <c r="N40" i="16"/>
  <c r="DS56" i="14"/>
  <c r="DT56" i="14" s="1"/>
  <c r="M37" i="16"/>
  <c r="DJ53" i="14"/>
  <c r="DK53" i="14" s="1"/>
  <c r="DA44" i="14"/>
  <c r="DB44" i="14" s="1"/>
  <c r="L28" i="16"/>
  <c r="EJ101" i="14"/>
  <c r="K24" i="17" s="1"/>
  <c r="EK99" i="14"/>
  <c r="EK101" i="14" s="1"/>
  <c r="P93" i="16"/>
  <c r="L69" i="16"/>
  <c r="DA86" i="14"/>
  <c r="DB86" i="14" s="1"/>
  <c r="C15" i="16"/>
  <c r="O31" i="14"/>
  <c r="P31" i="14" s="1"/>
  <c r="G23" i="16"/>
  <c r="AY39" i="14"/>
  <c r="AZ39" i="14" s="1"/>
  <c r="BZ28" i="14"/>
  <c r="CA28" i="14" s="1"/>
  <c r="I12" i="16"/>
  <c r="C19" i="16"/>
  <c r="O35" i="14"/>
  <c r="P35" i="14" s="1"/>
  <c r="FL60" i="14"/>
  <c r="FM60" i="14" s="1"/>
  <c r="S44" i="16"/>
  <c r="E87" i="16"/>
  <c r="AG19" i="14"/>
  <c r="AH19" i="14" s="1"/>
  <c r="CI74" i="14"/>
  <c r="CJ74" i="14" s="1"/>
  <c r="J57" i="16"/>
  <c r="DJ39" i="14"/>
  <c r="DK39" i="14" s="1"/>
  <c r="M23" i="16"/>
  <c r="CH83" i="14"/>
  <c r="E29" i="16"/>
  <c r="AG45" i="14"/>
  <c r="AH45" i="14" s="1"/>
  <c r="AY51" i="14"/>
  <c r="AZ51" i="14" s="1"/>
  <c r="G35" i="16"/>
  <c r="S43" i="16"/>
  <c r="FL59" i="14"/>
  <c r="FM59" i="14" s="1"/>
  <c r="FC29" i="14"/>
  <c r="FD29" i="14" s="1"/>
  <c r="R13" i="16"/>
  <c r="M86" i="16"/>
  <c r="DJ18" i="14"/>
  <c r="DK18" i="14" s="1"/>
  <c r="EB66" i="14"/>
  <c r="EC66" i="14" s="1"/>
  <c r="O50" i="16"/>
  <c r="E45" i="16"/>
  <c r="AG61" i="14"/>
  <c r="AH61" i="14" s="1"/>
  <c r="BY84" i="14"/>
  <c r="I27" i="16"/>
  <c r="BZ43" i="14"/>
  <c r="CA43" i="14" s="1"/>
  <c r="G37" i="16"/>
  <c r="AY53" i="14"/>
  <c r="AZ53" i="14" s="1"/>
  <c r="BP22" i="14"/>
  <c r="H85" i="16"/>
  <c r="BQ17" i="14"/>
  <c r="BR17" i="14" s="1"/>
  <c r="O66" i="14"/>
  <c r="P66" i="14" s="1"/>
  <c r="C50" i="16"/>
  <c r="H49" i="16"/>
  <c r="BQ65" i="14"/>
  <c r="BR65" i="14" s="1"/>
  <c r="CR17" i="14"/>
  <c r="CS17" i="14" s="1"/>
  <c r="K85" i="16"/>
  <c r="ET16" i="14"/>
  <c r="EU16" i="14" s="1"/>
  <c r="I69" i="16"/>
  <c r="BZ86" i="14"/>
  <c r="CA86" i="14" s="1"/>
  <c r="DA20" i="14"/>
  <c r="DB20" i="14" s="1"/>
  <c r="L88" i="16"/>
  <c r="ES83" i="14"/>
  <c r="ET83" i="14" s="1"/>
  <c r="EU83" i="14" s="1"/>
  <c r="ET56" i="14"/>
  <c r="EU56" i="14" s="1"/>
  <c r="FB40" i="14"/>
  <c r="ET37" i="14"/>
  <c r="EU37" i="14" s="1"/>
  <c r="ET44" i="14"/>
  <c r="EU44" i="14" s="1"/>
  <c r="N27" i="16"/>
  <c r="DS43" i="14"/>
  <c r="DT43" i="14" s="1"/>
  <c r="D48" i="16"/>
  <c r="X64" i="14"/>
  <c r="Y64" i="14" s="1"/>
  <c r="DS36" i="14"/>
  <c r="DT36" i="14" s="1"/>
  <c r="N20" i="16"/>
  <c r="O14" i="16"/>
  <c r="EB30" i="14"/>
  <c r="EC30" i="14" s="1"/>
  <c r="D27" i="16"/>
  <c r="X43" i="14"/>
  <c r="Y43" i="14" s="1"/>
  <c r="E23" i="16"/>
  <c r="AG39" i="14"/>
  <c r="AH39" i="14" s="1"/>
  <c r="DS44" i="14"/>
  <c r="DT44" i="14" s="1"/>
  <c r="N28" i="16"/>
  <c r="H86" i="16"/>
  <c r="BQ18" i="14"/>
  <c r="BR18" i="14" s="1"/>
  <c r="BQ41" i="14"/>
  <c r="BR41" i="14" s="1"/>
  <c r="H25" i="16"/>
  <c r="P14" i="16"/>
  <c r="EK30" i="14"/>
  <c r="EL30" i="14" s="1"/>
  <c r="K11" i="16"/>
  <c r="CR27" i="14"/>
  <c r="CS27" i="14" s="1"/>
  <c r="E19" i="16"/>
  <c r="AG35" i="14"/>
  <c r="AH35" i="14" s="1"/>
  <c r="K86" i="16"/>
  <c r="CR18" i="14"/>
  <c r="CS18" i="14" s="1"/>
  <c r="P83" i="16"/>
  <c r="EK15" i="14"/>
  <c r="EL15" i="14" s="1"/>
  <c r="G27" i="16"/>
  <c r="AY43" i="14"/>
  <c r="AZ43" i="14" s="1"/>
  <c r="I87" i="16"/>
  <c r="BZ19" i="14"/>
  <c r="CA19" i="14" s="1"/>
  <c r="BN48" i="14"/>
  <c r="BP48" i="14" s="1"/>
  <c r="ES84" i="14"/>
  <c r="AO84" i="14"/>
  <c r="CR56" i="14"/>
  <c r="CS56" i="14" s="1"/>
  <c r="K40" i="16"/>
  <c r="N48" i="16"/>
  <c r="DS64" i="14"/>
  <c r="DT64" i="14" s="1"/>
  <c r="N36" i="16"/>
  <c r="DS52" i="14"/>
  <c r="DT52" i="14" s="1"/>
  <c r="I48" i="16"/>
  <c r="BZ64" i="14"/>
  <c r="CA64" i="14" s="1"/>
  <c r="C47" i="16"/>
  <c r="O63" i="14"/>
  <c r="P63" i="14" s="1"/>
  <c r="P50" i="16"/>
  <c r="EK66" i="14"/>
  <c r="EL66" i="14" s="1"/>
  <c r="F41" i="16"/>
  <c r="AP57" i="14"/>
  <c r="AQ57" i="14" s="1"/>
  <c r="FB48" i="14"/>
  <c r="CZ48" i="14"/>
  <c r="E43" i="16"/>
  <c r="AG59" i="14"/>
  <c r="AH59" i="14" s="1"/>
  <c r="J82" i="16"/>
  <c r="CI14" i="14"/>
  <c r="CJ14" i="14" s="1"/>
  <c r="F14" i="16"/>
  <c r="AP30" i="14"/>
  <c r="AQ30" i="14" s="1"/>
  <c r="BQ30" i="14"/>
  <c r="BR30" i="14" s="1"/>
  <c r="H14" i="16"/>
  <c r="FL44" i="14"/>
  <c r="FM44" i="14" s="1"/>
  <c r="S28" i="16"/>
  <c r="C23" i="16"/>
  <c r="O39" i="14"/>
  <c r="P39" i="14" s="1"/>
  <c r="C11" i="16"/>
  <c r="O27" i="14"/>
  <c r="P27" i="14" s="1"/>
  <c r="CI41" i="14"/>
  <c r="CJ41" i="14" s="1"/>
  <c r="J25" i="16"/>
  <c r="F29" i="16"/>
  <c r="AP45" i="14"/>
  <c r="AQ45" i="14" s="1"/>
  <c r="ET35" i="14"/>
  <c r="EU35" i="14" s="1"/>
  <c r="K28" i="16"/>
  <c r="CR44" i="14"/>
  <c r="CS44" i="14" s="1"/>
  <c r="M27" i="16"/>
  <c r="DJ43" i="14"/>
  <c r="DK43" i="14" s="1"/>
  <c r="E52" i="16"/>
  <c r="AG68" i="14"/>
  <c r="AH68" i="14" s="1"/>
  <c r="L83" i="16"/>
  <c r="DA15" i="14"/>
  <c r="DB15" i="14" s="1"/>
  <c r="S16" i="16"/>
  <c r="FL32" i="14"/>
  <c r="FM32" i="14" s="1"/>
  <c r="DJ57" i="14"/>
  <c r="DK57" i="14" s="1"/>
  <c r="M41" i="16"/>
  <c r="ET57" i="14"/>
  <c r="EU57" i="14" s="1"/>
  <c r="AG65" i="14"/>
  <c r="AH65" i="14" s="1"/>
  <c r="E49" i="16"/>
  <c r="I41" i="16"/>
  <c r="BZ57" i="14"/>
  <c r="CA57" i="14" s="1"/>
  <c r="S52" i="16"/>
  <c r="FL68" i="14"/>
  <c r="FM68" i="14" s="1"/>
  <c r="L44" i="16"/>
  <c r="DA60" i="14"/>
  <c r="DB60" i="14" s="1"/>
  <c r="R49" i="16"/>
  <c r="FC65" i="14"/>
  <c r="FD65" i="14" s="1"/>
  <c r="E44" i="16"/>
  <c r="AG60" i="14"/>
  <c r="AH60" i="14" s="1"/>
  <c r="R18" i="16"/>
  <c r="FC34" i="14"/>
  <c r="FD34" i="14" s="1"/>
  <c r="ET65" i="14"/>
  <c r="EU65" i="14" s="1"/>
  <c r="D10" i="16"/>
  <c r="X26" i="14"/>
  <c r="Y26" i="14" s="1"/>
  <c r="H12" i="16"/>
  <c r="BQ28" i="14"/>
  <c r="BR28" i="14" s="1"/>
  <c r="C45" i="16"/>
  <c r="O61" i="14"/>
  <c r="P61" i="14" s="1"/>
  <c r="CQ22" i="14"/>
  <c r="J19" i="17" s="1"/>
  <c r="K82" i="16"/>
  <c r="CR14" i="14"/>
  <c r="CS14" i="14" s="1"/>
  <c r="C84" i="16"/>
  <c r="O16" i="14"/>
  <c r="P16" i="14" s="1"/>
  <c r="F87" i="16"/>
  <c r="AP19" i="14"/>
  <c r="AQ19" i="14" s="1"/>
  <c r="K34" i="16"/>
  <c r="CR50" i="14"/>
  <c r="CS50" i="14" s="1"/>
  <c r="P13" i="16"/>
  <c r="EK29" i="14"/>
  <c r="EL29" i="14" s="1"/>
  <c r="DA19" i="14"/>
  <c r="DB19" i="14" s="1"/>
  <c r="L87" i="16"/>
  <c r="H43" i="16"/>
  <c r="BQ59" i="14"/>
  <c r="BR59" i="14" s="1"/>
  <c r="AF48" i="14"/>
  <c r="E13" i="16"/>
  <c r="AG29" i="14"/>
  <c r="AH29" i="14" s="1"/>
  <c r="FL67" i="14"/>
  <c r="FM67" i="14" s="1"/>
  <c r="S51" i="16"/>
  <c r="F83" i="16"/>
  <c r="AP15" i="14"/>
  <c r="AQ15" i="14" s="1"/>
  <c r="I23" i="16"/>
  <c r="BZ39" i="14"/>
  <c r="CA39" i="14" s="1"/>
  <c r="F15" i="16"/>
  <c r="AP31" i="14"/>
  <c r="AQ31" i="14" s="1"/>
  <c r="F52" i="16"/>
  <c r="AP68" i="14"/>
  <c r="AQ68" i="14" s="1"/>
  <c r="R14" i="16"/>
  <c r="FC30" i="14"/>
  <c r="FD30" i="14" s="1"/>
  <c r="R31" i="16"/>
  <c r="FC47" i="14"/>
  <c r="FD47" i="14" s="1"/>
  <c r="FL50" i="14"/>
  <c r="FM50" i="14" s="1"/>
  <c r="S34" i="16"/>
  <c r="G47" i="16"/>
  <c r="AY63" i="14"/>
  <c r="AZ63" i="14" s="1"/>
  <c r="M88" i="16"/>
  <c r="DJ20" i="14"/>
  <c r="DK20" i="14" s="1"/>
  <c r="N37" i="16"/>
  <c r="DS53" i="14"/>
  <c r="DT53" i="14" s="1"/>
  <c r="O38" i="16"/>
  <c r="EB54" i="14"/>
  <c r="EC54" i="14" s="1"/>
  <c r="M34" i="16"/>
  <c r="DJ50" i="14"/>
  <c r="DK50" i="14" s="1"/>
  <c r="N29" i="16"/>
  <c r="DS45" i="14"/>
  <c r="DT45" i="14" s="1"/>
  <c r="FC45" i="14"/>
  <c r="FD45" i="14" s="1"/>
  <c r="R29" i="16"/>
  <c r="DS60" i="14"/>
  <c r="DT60" i="14" s="1"/>
  <c r="N44" i="16"/>
  <c r="EB60" i="14"/>
  <c r="EC60" i="14" s="1"/>
  <c r="O44" i="16"/>
  <c r="F49" i="16"/>
  <c r="AP65" i="14"/>
  <c r="AQ65" i="14" s="1"/>
  <c r="F18" i="16"/>
  <c r="AP34" i="14"/>
  <c r="AQ34" i="14" s="1"/>
  <c r="ET61" i="14"/>
  <c r="EU61" i="14" s="1"/>
  <c r="E38" i="16"/>
  <c r="AG54" i="14"/>
  <c r="AH54" i="14" s="1"/>
  <c r="O68" i="14"/>
  <c r="P68" i="14" s="1"/>
  <c r="C52" i="16"/>
  <c r="O10" i="16"/>
  <c r="EB26" i="14"/>
  <c r="EC26" i="14" s="1"/>
  <c r="DI101" i="14"/>
  <c r="K21" i="17" s="1"/>
  <c r="M93" i="16"/>
  <c r="DJ99" i="14"/>
  <c r="DJ101" i="14" s="1"/>
  <c r="E20" i="16"/>
  <c r="AG36" i="14"/>
  <c r="AH36" i="14" s="1"/>
  <c r="G15" i="16"/>
  <c r="AY31" i="14"/>
  <c r="AZ31" i="14" s="1"/>
  <c r="E69" i="16"/>
  <c r="AG86" i="14"/>
  <c r="AH86" i="14" s="1"/>
  <c r="N14" i="16"/>
  <c r="DS30" i="14"/>
  <c r="DT30" i="14" s="1"/>
  <c r="G28" i="16"/>
  <c r="AY44" i="14"/>
  <c r="AZ44" i="14" s="1"/>
  <c r="G44" i="16"/>
  <c r="AY60" i="14"/>
  <c r="AZ60" i="14" s="1"/>
  <c r="E84" i="16"/>
  <c r="AG16" i="14"/>
  <c r="AH16" i="14" s="1"/>
  <c r="M31" i="16"/>
  <c r="DJ47" i="14"/>
  <c r="DK47" i="14" s="1"/>
  <c r="N9" i="16"/>
  <c r="DS25" i="14"/>
  <c r="DT25" i="14" s="1"/>
  <c r="EB27" i="14"/>
  <c r="EC27" i="14" s="1"/>
  <c r="O11" i="16"/>
  <c r="O29" i="16"/>
  <c r="EB45" i="14"/>
  <c r="EC45" i="14" s="1"/>
  <c r="H48" i="16"/>
  <c r="BQ64" i="14"/>
  <c r="BR64" i="14" s="1"/>
  <c r="DS34" i="14"/>
  <c r="DT34" i="14" s="1"/>
  <c r="N18" i="16"/>
  <c r="F82" i="16"/>
  <c r="AO22" i="14"/>
  <c r="AP14" i="14"/>
  <c r="AQ14" i="14" s="1"/>
  <c r="DA52" i="14"/>
  <c r="DB52" i="14" s="1"/>
  <c r="L36" i="16"/>
  <c r="D22" i="16"/>
  <c r="X38" i="14"/>
  <c r="Y38" i="14" s="1"/>
  <c r="G45" i="16"/>
  <c r="AY61" i="14"/>
  <c r="AZ61" i="14" s="1"/>
  <c r="EK17" i="14"/>
  <c r="EL17" i="14" s="1"/>
  <c r="P85" i="16"/>
  <c r="M20" i="16"/>
  <c r="DJ36" i="14"/>
  <c r="DK36" i="14" s="1"/>
  <c r="DS37" i="14"/>
  <c r="DT37" i="14" s="1"/>
  <c r="N21" i="16"/>
  <c r="E86" i="16"/>
  <c r="AG18" i="14"/>
  <c r="AH18" i="14" s="1"/>
  <c r="H19" i="16"/>
  <c r="BQ35" i="14"/>
  <c r="BR35" i="14" s="1"/>
  <c r="CI60" i="14"/>
  <c r="CJ60" i="14" s="1"/>
  <c r="J44" i="16"/>
  <c r="L50" i="16"/>
  <c r="DA66" i="14"/>
  <c r="DB66" i="14" s="1"/>
  <c r="ET74" i="14"/>
  <c r="EU74" i="14" s="1"/>
  <c r="CI86" i="14"/>
  <c r="CJ86" i="14" s="1"/>
  <c r="J69" i="16"/>
  <c r="F88" i="16"/>
  <c r="AP20" i="14"/>
  <c r="AQ20" i="14" s="1"/>
  <c r="O28" i="16"/>
  <c r="EB44" i="14"/>
  <c r="EC44" i="14" s="1"/>
  <c r="DS47" i="14"/>
  <c r="DT47" i="14" s="1"/>
  <c r="N31" i="16"/>
  <c r="J51" i="16"/>
  <c r="CI67" i="14"/>
  <c r="CJ67" i="14" s="1"/>
  <c r="DI82" i="14"/>
  <c r="N86" i="16"/>
  <c r="DS18" i="14"/>
  <c r="DT18" i="14" s="1"/>
  <c r="F36" i="16"/>
  <c r="AP52" i="14"/>
  <c r="AQ52" i="14" s="1"/>
  <c r="M87" i="16"/>
  <c r="DJ19" i="14"/>
  <c r="DK19" i="14" s="1"/>
  <c r="ET33" i="14"/>
  <c r="EU33" i="14" s="1"/>
  <c r="G40" i="16"/>
  <c r="AY56" i="14"/>
  <c r="AZ56" i="14" s="1"/>
  <c r="S22" i="16"/>
  <c r="FL38" i="14"/>
  <c r="FM38" i="14" s="1"/>
  <c r="D17" i="16"/>
  <c r="X33" i="14"/>
  <c r="Y33" i="14" s="1"/>
  <c r="N40" i="14"/>
  <c r="ES101" i="14"/>
  <c r="ET99" i="14"/>
  <c r="ET101" i="14" s="1"/>
  <c r="S15" i="16"/>
  <c r="FL31" i="14"/>
  <c r="FM31" i="14" s="1"/>
  <c r="J48" i="16"/>
  <c r="CI64" i="14"/>
  <c r="CJ64" i="14" s="1"/>
  <c r="C86" i="16"/>
  <c r="O18" i="14"/>
  <c r="P18" i="14" s="1"/>
  <c r="P27" i="16"/>
  <c r="EK43" i="14"/>
  <c r="EL43" i="14" s="1"/>
  <c r="I25" i="16"/>
  <c r="BZ41" i="14"/>
  <c r="CA41" i="14" s="1"/>
  <c r="ET66" i="14"/>
  <c r="EU66" i="14" s="1"/>
  <c r="F16" i="16"/>
  <c r="AP32" i="14"/>
  <c r="AQ32" i="14" s="1"/>
  <c r="AY68" i="14"/>
  <c r="AZ68" i="14" s="1"/>
  <c r="G52" i="16"/>
  <c r="D37" i="16"/>
  <c r="X53" i="14"/>
  <c r="Y53" i="14" s="1"/>
  <c r="ET27" i="14"/>
  <c r="EU27" i="14" s="1"/>
  <c r="ET53" i="14"/>
  <c r="EU53" i="14" s="1"/>
  <c r="AD101" i="14"/>
  <c r="AF99" i="14"/>
  <c r="M21" i="16"/>
  <c r="DJ37" i="14"/>
  <c r="DK37" i="14" s="1"/>
  <c r="C10" i="16"/>
  <c r="O26" i="14"/>
  <c r="P26" i="14" s="1"/>
  <c r="ET19" i="14"/>
  <c r="EU19" i="14" s="1"/>
  <c r="S40" i="16"/>
  <c r="FL56" i="14"/>
  <c r="FM56" i="14" s="1"/>
  <c r="J14" i="16"/>
  <c r="CI30" i="14"/>
  <c r="CJ30" i="14" s="1"/>
  <c r="L14" i="16"/>
  <c r="DA30" i="14"/>
  <c r="DB30" i="14" s="1"/>
  <c r="FC32" i="14"/>
  <c r="FD32" i="14" s="1"/>
  <c r="R16" i="16"/>
  <c r="S47" i="16"/>
  <c r="FL63" i="14"/>
  <c r="FM63" i="14" s="1"/>
  <c r="K27" i="16"/>
  <c r="CR43" i="14"/>
  <c r="CS43" i="14" s="1"/>
  <c r="H15" i="16"/>
  <c r="BQ31" i="14"/>
  <c r="BR31" i="14" s="1"/>
  <c r="M48" i="16"/>
  <c r="DJ64" i="14"/>
  <c r="DK64" i="14" s="1"/>
  <c r="F48" i="16"/>
  <c r="AP64" i="14"/>
  <c r="AQ64" i="14" s="1"/>
  <c r="O31" i="16"/>
  <c r="EB47" i="14"/>
  <c r="EC47" i="14" s="1"/>
  <c r="J9" i="16"/>
  <c r="CI25" i="14"/>
  <c r="CJ25" i="14" s="1"/>
  <c r="N17" i="16"/>
  <c r="DS33" i="14"/>
  <c r="DT33" i="14" s="1"/>
  <c r="F28" i="16"/>
  <c r="AP44" i="14"/>
  <c r="AQ44" i="14" s="1"/>
  <c r="H11" i="16"/>
  <c r="BQ27" i="14"/>
  <c r="BR27" i="14" s="1"/>
  <c r="L25" i="16"/>
  <c r="DA41" i="14"/>
  <c r="DB41" i="14" s="1"/>
  <c r="P29" i="16"/>
  <c r="EK45" i="14"/>
  <c r="EL45" i="14" s="1"/>
  <c r="EK35" i="14"/>
  <c r="EL35" i="14" s="1"/>
  <c r="P19" i="16"/>
  <c r="BZ44" i="14"/>
  <c r="CA44" i="14" s="1"/>
  <c r="I28" i="16"/>
  <c r="O86" i="16"/>
  <c r="EB18" i="14"/>
  <c r="EC18" i="14" s="1"/>
  <c r="CI43" i="14"/>
  <c r="CJ43" i="14" s="1"/>
  <c r="J27" i="16"/>
  <c r="FK84" i="14"/>
  <c r="K29" i="16"/>
  <c r="CR45" i="14"/>
  <c r="CS45" i="14" s="1"/>
  <c r="H84" i="16"/>
  <c r="BQ16" i="14"/>
  <c r="BR16" i="14" s="1"/>
  <c r="M83" i="16"/>
  <c r="DJ15" i="14"/>
  <c r="DK15" i="14" s="1"/>
  <c r="O16" i="16"/>
  <c r="EB32" i="14"/>
  <c r="EC32" i="14" s="1"/>
  <c r="R44" i="16"/>
  <c r="FC60" i="14"/>
  <c r="FD60" i="14" s="1"/>
  <c r="CI57" i="14"/>
  <c r="CJ57" i="14" s="1"/>
  <c r="J41" i="16"/>
  <c r="L41" i="16"/>
  <c r="DA57" i="14"/>
  <c r="DB57" i="14" s="1"/>
  <c r="F40" i="16"/>
  <c r="AP56" i="14"/>
  <c r="AQ56" i="14" s="1"/>
  <c r="G49" i="16"/>
  <c r="AY65" i="14"/>
  <c r="AZ65" i="14" s="1"/>
  <c r="C31" i="16"/>
  <c r="O47" i="14"/>
  <c r="P47" i="14" s="1"/>
  <c r="L9" i="16"/>
  <c r="DA25" i="14"/>
  <c r="DB25" i="14" s="1"/>
  <c r="S45" i="16"/>
  <c r="FL61" i="14"/>
  <c r="FM61" i="14" s="1"/>
  <c r="ET59" i="14"/>
  <c r="EU59" i="14" s="1"/>
  <c r="AX40" i="14"/>
  <c r="R17" i="16"/>
  <c r="FC33" i="14"/>
  <c r="FD33" i="14" s="1"/>
  <c r="R20" i="16"/>
  <c r="FC36" i="14"/>
  <c r="FD36" i="14" s="1"/>
  <c r="DR40" i="14"/>
  <c r="D21" i="16"/>
  <c r="X37" i="14"/>
  <c r="Y37" i="14" s="1"/>
  <c r="FK69" i="14"/>
  <c r="CR32" i="14"/>
  <c r="CS32" i="14" s="1"/>
  <c r="K16" i="16"/>
  <c r="N82" i="14"/>
  <c r="AY86" i="14"/>
  <c r="AZ86" i="14" s="1"/>
  <c r="G69" i="16"/>
  <c r="W85" i="14"/>
  <c r="C37" i="16"/>
  <c r="O53" i="14"/>
  <c r="P53" i="14" s="1"/>
  <c r="J13" i="16"/>
  <c r="CI29" i="14"/>
  <c r="CJ29" i="14" s="1"/>
  <c r="CR66" i="14"/>
  <c r="CS66" i="14" s="1"/>
  <c r="K50" i="16"/>
  <c r="DJ51" i="14"/>
  <c r="DK51" i="14" s="1"/>
  <c r="M35" i="16"/>
  <c r="R48" i="16"/>
  <c r="FC64" i="14"/>
  <c r="FD64" i="14" s="1"/>
  <c r="M22" i="16"/>
  <c r="DJ38" i="14"/>
  <c r="DK38" i="14" s="1"/>
  <c r="G12" i="16"/>
  <c r="AY28" i="14"/>
  <c r="AZ28" i="14" s="1"/>
  <c r="DA56" i="14"/>
  <c r="DB56" i="14" s="1"/>
  <c r="L40" i="16"/>
  <c r="DS66" i="14"/>
  <c r="DT66" i="14" s="1"/>
  <c r="N50" i="16"/>
  <c r="G82" i="16"/>
  <c r="AY14" i="14"/>
  <c r="AZ14" i="14" s="1"/>
  <c r="L84" i="16"/>
  <c r="DA16" i="14"/>
  <c r="DB16" i="14" s="1"/>
  <c r="J20" i="16"/>
  <c r="CI36" i="14"/>
  <c r="CJ36" i="14" s="1"/>
  <c r="O50" i="14"/>
  <c r="P50" i="14" s="1"/>
  <c r="C34" i="16"/>
  <c r="DA18" i="14"/>
  <c r="DB18" i="14" s="1"/>
  <c r="L86" i="16"/>
  <c r="H52" i="16"/>
  <c r="BQ68" i="14"/>
  <c r="BR68" i="14" s="1"/>
  <c r="G29" i="16"/>
  <c r="AY45" i="14"/>
  <c r="AZ45" i="14" s="1"/>
  <c r="FC63" i="14"/>
  <c r="FD63" i="14" s="1"/>
  <c r="R47" i="16"/>
  <c r="BQ56" i="14"/>
  <c r="BR56" i="14" s="1"/>
  <c r="H40" i="16"/>
  <c r="G21" i="16"/>
  <c r="AY37" i="14"/>
  <c r="AZ37" i="14" s="1"/>
  <c r="C14" i="16"/>
  <c r="O30" i="14"/>
  <c r="P30" i="14" s="1"/>
  <c r="DA45" i="14"/>
  <c r="DB45" i="14" s="1"/>
  <c r="L29" i="16"/>
  <c r="D36" i="16"/>
  <c r="X52" i="14"/>
  <c r="Y52" i="14" s="1"/>
  <c r="F50" i="16"/>
  <c r="AP66" i="14"/>
  <c r="AQ66" i="14" s="1"/>
  <c r="M40" i="16"/>
  <c r="DJ56" i="14"/>
  <c r="DK56" i="14" s="1"/>
  <c r="ET86" i="14"/>
  <c r="EU86" i="14" s="1"/>
  <c r="EK59" i="14"/>
  <c r="EL59" i="14" s="1"/>
  <c r="P43" i="16"/>
  <c r="DJ63" i="14"/>
  <c r="DK63" i="14" s="1"/>
  <c r="M47" i="16"/>
  <c r="EJ48" i="14"/>
  <c r="L27" i="16"/>
  <c r="DA43" i="14"/>
  <c r="DB43" i="14" s="1"/>
  <c r="E25" i="16"/>
  <c r="AG41" i="14"/>
  <c r="AH41" i="14" s="1"/>
  <c r="D82" i="16"/>
  <c r="X14" i="14"/>
  <c r="W22" i="14"/>
  <c r="K12" i="16"/>
  <c r="CR28" i="14"/>
  <c r="CS28" i="14" s="1"/>
  <c r="R69" i="16"/>
  <c r="FC86" i="14"/>
  <c r="FD86" i="14" s="1"/>
  <c r="AP39" i="14"/>
  <c r="AQ39" i="14" s="1"/>
  <c r="F23" i="16"/>
  <c r="ET41" i="14"/>
  <c r="EU41" i="14" s="1"/>
  <c r="H20" i="16"/>
  <c r="BQ36" i="14"/>
  <c r="BR36" i="14" s="1"/>
  <c r="I83" i="16"/>
  <c r="BZ15" i="14"/>
  <c r="CA15" i="14" s="1"/>
  <c r="G11" i="16"/>
  <c r="AY27" i="14"/>
  <c r="AZ27" i="14" s="1"/>
  <c r="K36" i="16"/>
  <c r="CR52" i="14"/>
  <c r="CS52" i="14" s="1"/>
  <c r="J16" i="16"/>
  <c r="CI32" i="14"/>
  <c r="CJ32" i="14" s="1"/>
  <c r="FC19" i="14"/>
  <c r="FD19" i="14" s="1"/>
  <c r="R87" i="16"/>
  <c r="P25" i="16"/>
  <c r="EK41" i="14"/>
  <c r="EL41" i="14" s="1"/>
  <c r="N41" i="16"/>
  <c r="DS57" i="14"/>
  <c r="DT57" i="14" s="1"/>
  <c r="S82" i="16"/>
  <c r="FL14" i="14"/>
  <c r="FM14" i="14" s="1"/>
  <c r="E57" i="16"/>
  <c r="AG74" i="14"/>
  <c r="L31" i="16"/>
  <c r="DA47" i="14"/>
  <c r="DB47" i="14" s="1"/>
  <c r="O82" i="16"/>
  <c r="EB14" i="14"/>
  <c r="EC14" i="14" s="1"/>
  <c r="DJ68" i="14"/>
  <c r="DK68" i="14" s="1"/>
  <c r="M52" i="16"/>
  <c r="N23" i="16"/>
  <c r="DS39" i="14"/>
  <c r="DT39" i="14" s="1"/>
  <c r="N84" i="14"/>
  <c r="R41" i="16"/>
  <c r="FC57" i="14"/>
  <c r="FD57" i="14" s="1"/>
  <c r="M50" i="16"/>
  <c r="DJ66" i="14"/>
  <c r="DK66" i="14" s="1"/>
  <c r="R82" i="16"/>
  <c r="FC14" i="14"/>
  <c r="FD14" i="14" s="1"/>
  <c r="FC31" i="14"/>
  <c r="FD31" i="14" s="1"/>
  <c r="R15" i="16"/>
  <c r="L15" i="16"/>
  <c r="DA31" i="14"/>
  <c r="DB31" i="14" s="1"/>
  <c r="CI50" i="14"/>
  <c r="CJ50" i="14" s="1"/>
  <c r="J34" i="16"/>
  <c r="FB84" i="14"/>
  <c r="DA68" i="14"/>
  <c r="DB68" i="14" s="1"/>
  <c r="L52" i="16"/>
  <c r="G48" i="16"/>
  <c r="AY64" i="14"/>
  <c r="AZ64" i="14" s="1"/>
  <c r="R50" i="16"/>
  <c r="FC66" i="14"/>
  <c r="FD66" i="14" s="1"/>
  <c r="DS68" i="14"/>
  <c r="DT68" i="14" s="1"/>
  <c r="N52" i="16"/>
  <c r="M49" i="16"/>
  <c r="DJ65" i="14"/>
  <c r="DK65" i="14" s="1"/>
  <c r="J52" i="16"/>
  <c r="CI68" i="14"/>
  <c r="CJ68" i="14" s="1"/>
  <c r="P48" i="16"/>
  <c r="EK64" i="14"/>
  <c r="EL64" i="14" s="1"/>
  <c r="D18" i="16"/>
  <c r="X34" i="14"/>
  <c r="Y34" i="14" s="1"/>
  <c r="O34" i="14"/>
  <c r="P34" i="14" s="1"/>
  <c r="C18" i="16"/>
  <c r="P18" i="16"/>
  <c r="EK34" i="14"/>
  <c r="EL34" i="14" s="1"/>
  <c r="D51" i="16"/>
  <c r="X67" i="14"/>
  <c r="Y67" i="14" s="1"/>
  <c r="O9" i="16"/>
  <c r="EB25" i="14"/>
  <c r="EC25" i="14" s="1"/>
  <c r="E10" i="16"/>
  <c r="AG26" i="14"/>
  <c r="AH26" i="14" s="1"/>
  <c r="D84" i="16"/>
  <c r="X16" i="14"/>
  <c r="Y16" i="14" s="1"/>
  <c r="EK47" i="14"/>
  <c r="EL47" i="14" s="1"/>
  <c r="P31" i="16"/>
  <c r="F12" i="16"/>
  <c r="AP28" i="14"/>
  <c r="AQ28" i="14" s="1"/>
  <c r="EK28" i="14"/>
  <c r="EL28" i="14" s="1"/>
  <c r="P12" i="16"/>
  <c r="N12" i="16"/>
  <c r="DS28" i="14"/>
  <c r="DT28" i="14"/>
  <c r="CH22" i="14"/>
  <c r="J18" i="17" s="1"/>
  <c r="CI17" i="14"/>
  <c r="CJ17" i="14" s="1"/>
  <c r="J85" i="16"/>
  <c r="I34" i="16"/>
  <c r="BZ50" i="14"/>
  <c r="CA50" i="14" s="1"/>
  <c r="EK86" i="14"/>
  <c r="EL86" i="14" s="1"/>
  <c r="P69" i="16"/>
  <c r="EB67" i="14"/>
  <c r="EC67" i="14" s="1"/>
  <c r="O51" i="16"/>
  <c r="O52" i="16"/>
  <c r="EB68" i="14"/>
  <c r="EC68" i="14" s="1"/>
  <c r="C41" i="16"/>
  <c r="O57" i="14"/>
  <c r="P57" i="14" s="1"/>
  <c r="FC53" i="14"/>
  <c r="FD53" i="14" s="1"/>
  <c r="R37" i="16"/>
  <c r="D57" i="16"/>
  <c r="X74" i="14"/>
  <c r="Y74" i="14" s="1"/>
  <c r="E36" i="16"/>
  <c r="AG52" i="14"/>
  <c r="AH52" i="14" s="1"/>
  <c r="D29" i="16"/>
  <c r="X45" i="14"/>
  <c r="Y45" i="14" s="1"/>
  <c r="P44" i="16"/>
  <c r="EK60" i="14"/>
  <c r="EL60" i="14" s="1"/>
  <c r="O15" i="16"/>
  <c r="EB31" i="14"/>
  <c r="EC31" i="14" s="1"/>
  <c r="FC44" i="14"/>
  <c r="FD44" i="14" s="1"/>
  <c r="R28" i="16"/>
  <c r="E18" i="16"/>
  <c r="AG34" i="14"/>
  <c r="AH34" i="14" s="1"/>
  <c r="E37" i="16"/>
  <c r="AG53" i="14"/>
  <c r="AH53" i="14" s="1"/>
  <c r="E40" i="16"/>
  <c r="AG56" i="14"/>
  <c r="AH56" i="14" s="1"/>
  <c r="I29" i="16"/>
  <c r="BZ45" i="14"/>
  <c r="CA45" i="14" s="1"/>
  <c r="F44" i="16"/>
  <c r="AP60" i="14"/>
  <c r="AQ60" i="14" s="1"/>
  <c r="K69" i="16"/>
  <c r="CR86" i="14"/>
  <c r="CS86" i="14" s="1"/>
  <c r="O56" i="14"/>
  <c r="P56" i="14" s="1"/>
  <c r="C40" i="16"/>
  <c r="L22" i="16"/>
  <c r="DA38" i="14"/>
  <c r="DB38" i="14" s="1"/>
  <c r="S10" i="16"/>
  <c r="FL26" i="14"/>
  <c r="J49" i="16"/>
  <c r="CI65" i="14"/>
  <c r="CJ65" i="14" s="1"/>
  <c r="E15" i="16"/>
  <c r="AG31" i="14"/>
  <c r="AH31" i="14" s="1"/>
  <c r="O48" i="16"/>
  <c r="EB64" i="14"/>
  <c r="EC64" i="14" s="1"/>
  <c r="FC26" i="14"/>
  <c r="FD26" i="14" s="1"/>
  <c r="R10" i="16"/>
  <c r="E12" i="16"/>
  <c r="AG28" i="14"/>
  <c r="AH28" i="14" s="1"/>
  <c r="N11" i="16"/>
  <c r="DS27" i="14"/>
  <c r="DT27" i="14" s="1"/>
  <c r="O25" i="16"/>
  <c r="EB41" i="14"/>
  <c r="EC41" i="14" s="1"/>
  <c r="G83" i="16"/>
  <c r="AY15" i="14"/>
  <c r="AZ15" i="14" s="1"/>
  <c r="D12" i="16"/>
  <c r="X28" i="14"/>
  <c r="Y28" i="14" s="1"/>
  <c r="AP37" i="14"/>
  <c r="AQ37" i="14" s="1"/>
  <c r="F21" i="16"/>
  <c r="O36" i="14"/>
  <c r="P36" i="14" s="1"/>
  <c r="C20" i="16"/>
  <c r="FL33" i="14"/>
  <c r="FM33" i="14" s="1"/>
  <c r="S17" i="16"/>
  <c r="K20" i="16"/>
  <c r="CR36" i="14"/>
  <c r="CS36" i="14" s="1"/>
  <c r="E28" i="16"/>
  <c r="AG44" i="14"/>
  <c r="AH44" i="14" s="1"/>
  <c r="DR48" i="14"/>
  <c r="O22" i="16"/>
  <c r="EB38" i="14"/>
  <c r="EC38" i="14" s="1"/>
  <c r="EK67" i="14"/>
  <c r="EL67" i="14" s="1"/>
  <c r="P51" i="16"/>
  <c r="J19" i="16"/>
  <c r="CI35" i="14"/>
  <c r="CJ35" i="14" s="1"/>
  <c r="P47" i="16"/>
  <c r="EK63" i="14"/>
  <c r="EL63" i="14" s="1"/>
  <c r="EB15" i="14"/>
  <c r="EC15" i="14" s="1"/>
  <c r="O83" i="16"/>
  <c r="J37" i="16"/>
  <c r="CI53" i="14"/>
  <c r="CJ53" i="14" s="1"/>
  <c r="L35" i="16"/>
  <c r="DA51" i="14"/>
  <c r="DB51" i="14" s="1"/>
  <c r="L12" i="16"/>
  <c r="DA28" i="14"/>
  <c r="DB28" i="14" s="1"/>
  <c r="F69" i="16"/>
  <c r="AP86" i="14"/>
  <c r="AQ86" i="14" s="1"/>
  <c r="R23" i="16"/>
  <c r="FC39" i="14"/>
  <c r="FD39" i="14" s="1"/>
  <c r="F27" i="16"/>
  <c r="AP43" i="14"/>
  <c r="AQ43" i="14" s="1"/>
  <c r="J50" i="16"/>
  <c r="CI66" i="14"/>
  <c r="CJ66" i="14" s="1"/>
  <c r="D16" i="16"/>
  <c r="X32" i="14"/>
  <c r="Y32" i="14" s="1"/>
  <c r="DJ52" i="14"/>
  <c r="DK52" i="14" s="1"/>
  <c r="M36" i="16"/>
  <c r="FC67" i="14"/>
  <c r="FD67" i="14" s="1"/>
  <c r="R51" i="16"/>
  <c r="CI18" i="14"/>
  <c r="CJ18" i="14" s="1"/>
  <c r="J86" i="16"/>
  <c r="J23" i="16"/>
  <c r="CI39" i="14"/>
  <c r="CJ39" i="14" s="1"/>
  <c r="D14" i="16"/>
  <c r="X30" i="14"/>
  <c r="Y30" i="14" s="1"/>
  <c r="EA22" i="14"/>
  <c r="O85" i="16"/>
  <c r="EB17" i="14"/>
  <c r="EC17" i="14" s="1"/>
  <c r="M10" i="16"/>
  <c r="DJ26" i="14"/>
  <c r="DK26" i="14" s="1"/>
  <c r="M85" i="16"/>
  <c r="DJ17" i="14"/>
  <c r="DK17" i="14" s="1"/>
  <c r="H69" i="16"/>
  <c r="BQ86" i="14"/>
  <c r="BR86" i="14" s="1"/>
  <c r="K23" i="16"/>
  <c r="CR39" i="14"/>
  <c r="CS39" i="14" s="1"/>
  <c r="CH84" i="14"/>
  <c r="DJ44" i="14"/>
  <c r="DK44" i="14" s="1"/>
  <c r="M28" i="16"/>
  <c r="I21" i="16"/>
  <c r="BZ37" i="14"/>
  <c r="CA37" i="14" s="1"/>
  <c r="FL30" i="14"/>
  <c r="FM30" i="14" s="1"/>
  <c r="S14" i="16"/>
  <c r="N82" i="16"/>
  <c r="DS14" i="14"/>
  <c r="DT14" i="14" s="1"/>
  <c r="DR22" i="14"/>
  <c r="G86" i="16"/>
  <c r="AY18" i="14"/>
  <c r="AZ18" i="14" s="1"/>
  <c r="K25" i="16"/>
  <c r="CR41" i="14"/>
  <c r="CS41" i="14" s="1"/>
  <c r="L19" i="16"/>
  <c r="DA35" i="14"/>
  <c r="DB35" i="14" s="1"/>
  <c r="D28" i="16"/>
  <c r="X44" i="14"/>
  <c r="Y44" i="14" s="1"/>
  <c r="F86" i="16"/>
  <c r="AP18" i="14"/>
  <c r="AQ18" i="14" s="1"/>
  <c r="H22" i="16"/>
  <c r="BQ38" i="14"/>
  <c r="BR38" i="14"/>
  <c r="CR35" i="14"/>
  <c r="CS35" i="14" s="1"/>
  <c r="K19" i="16"/>
  <c r="H16" i="16"/>
  <c r="BQ32" i="14"/>
  <c r="BR32" i="14" s="1"/>
  <c r="FL57" i="14"/>
  <c r="FM57" i="14" s="1"/>
  <c r="S41" i="16"/>
  <c r="D41" i="16"/>
  <c r="X57" i="14"/>
  <c r="Y57" i="14" s="1"/>
  <c r="CR34" i="14"/>
  <c r="CS34" i="14" s="1"/>
  <c r="K18" i="16"/>
  <c r="J18" i="16"/>
  <c r="CI34" i="14"/>
  <c r="CJ34" i="14" s="1"/>
  <c r="G18" i="16"/>
  <c r="AY34" i="14"/>
  <c r="AZ34" i="14" s="1"/>
  <c r="CH69" i="14"/>
  <c r="F35" i="16"/>
  <c r="AP51" i="14"/>
  <c r="AQ51" i="14" s="1"/>
  <c r="EB28" i="14"/>
  <c r="EC28" i="14" s="1"/>
  <c r="O12" i="16"/>
  <c r="M82" i="16"/>
  <c r="DJ14" i="14"/>
  <c r="DK14" i="14" s="1"/>
  <c r="DI22" i="14"/>
  <c r="G43" i="16"/>
  <c r="AY59" i="14"/>
  <c r="AZ59" i="14" s="1"/>
  <c r="I37" i="16"/>
  <c r="BZ53" i="14"/>
  <c r="CA53" i="14" s="1"/>
  <c r="J15" i="16"/>
  <c r="CI31" i="14"/>
  <c r="CJ31" i="14" s="1"/>
  <c r="L49" i="16"/>
  <c r="DA65" i="14"/>
  <c r="DB65" i="14" s="1"/>
  <c r="EK54" i="14"/>
  <c r="EL54" i="14" s="1"/>
  <c r="P38" i="16"/>
  <c r="C35" i="16"/>
  <c r="O51" i="14"/>
  <c r="P51" i="14" s="1"/>
  <c r="L34" i="16"/>
  <c r="DA50" i="14"/>
  <c r="DB50" i="14" s="1"/>
  <c r="EB86" i="14"/>
  <c r="EC86" i="14" s="1"/>
  <c r="O69" i="16"/>
  <c r="D87" i="16"/>
  <c r="X19" i="14"/>
  <c r="Y19" i="14" s="1"/>
  <c r="L17" i="16"/>
  <c r="DA33" i="14"/>
  <c r="DB33" i="14" s="1"/>
  <c r="DS32" i="14"/>
  <c r="DT32" i="14" s="1"/>
  <c r="N16" i="16"/>
  <c r="G33" i="9"/>
  <c r="G34" i="9" s="1"/>
  <c r="CP62" i="14"/>
  <c r="M62" i="14"/>
  <c r="BV22" i="14"/>
  <c r="BW30" i="14"/>
  <c r="BY30" i="14" s="1"/>
  <c r="BW55" i="14"/>
  <c r="BW85" i="14"/>
  <c r="BY85" i="14" s="1"/>
  <c r="BW18" i="14"/>
  <c r="BY18" i="14" s="1"/>
  <c r="EZ99" i="14"/>
  <c r="BN44" i="14"/>
  <c r="BP44" i="14" s="1"/>
  <c r="BN90" i="14"/>
  <c r="BV83" i="14"/>
  <c r="BW59" i="14"/>
  <c r="BY59" i="14" s="1"/>
  <c r="G32" i="31"/>
  <c r="E15" i="1"/>
  <c r="H36" i="3"/>
  <c r="H32" i="31" s="1"/>
  <c r="CY62" i="14"/>
  <c r="BO62" i="14"/>
  <c r="FA62" i="14"/>
  <c r="DQ62" i="14"/>
  <c r="V62" i="14"/>
  <c r="DZ62" i="14"/>
  <c r="EI62" i="14"/>
  <c r="FJ62" i="14"/>
  <c r="AW62" i="14"/>
  <c r="BX62" i="14"/>
  <c r="CG62" i="14"/>
  <c r="AE62" i="14"/>
  <c r="DH62" i="14"/>
  <c r="AN62" i="14"/>
  <c r="ER62" i="14"/>
  <c r="J96" i="14"/>
  <c r="E33" i="6"/>
  <c r="AN76" i="14"/>
  <c r="AW76" i="14"/>
  <c r="BL96" i="14"/>
  <c r="DQ76" i="14"/>
  <c r="AE76" i="14"/>
  <c r="V76" i="14"/>
  <c r="ER76" i="14"/>
  <c r="ES76" i="14" s="1"/>
  <c r="EI76" i="14"/>
  <c r="FA76" i="14"/>
  <c r="CP76" i="14"/>
  <c r="BO76" i="14"/>
  <c r="FJ76" i="14"/>
  <c r="V42" i="14"/>
  <c r="DH76" i="14"/>
  <c r="M76" i="14"/>
  <c r="CG76" i="14"/>
  <c r="BX76" i="14"/>
  <c r="M42" i="14"/>
  <c r="DZ76" i="14"/>
  <c r="DH42" i="14"/>
  <c r="U90" i="14"/>
  <c r="FA87" i="14"/>
  <c r="ER42" i="14"/>
  <c r="FJ42" i="14"/>
  <c r="DZ42" i="14"/>
  <c r="BX42" i="14"/>
  <c r="CX74" i="14"/>
  <c r="CZ74" i="14" s="1"/>
  <c r="BO42" i="14"/>
  <c r="DQ42" i="14"/>
  <c r="AN42" i="14"/>
  <c r="FA42" i="14"/>
  <c r="FB42" i="14" s="1"/>
  <c r="CP42" i="14"/>
  <c r="BO87" i="14"/>
  <c r="AW42" i="14"/>
  <c r="EI42" i="14"/>
  <c r="G49" i="14"/>
  <c r="CD96" i="14"/>
  <c r="CG87" i="14"/>
  <c r="CG42" i="14"/>
  <c r="CM101" i="14"/>
  <c r="DZ87" i="14"/>
  <c r="AE42" i="14"/>
  <c r="AM99" i="14"/>
  <c r="BW77" i="14"/>
  <c r="AK101" i="14"/>
  <c r="CP87" i="14"/>
  <c r="CQ87" i="14" s="1"/>
  <c r="DQ87" i="14"/>
  <c r="CY87" i="14"/>
  <c r="V87" i="14"/>
  <c r="DW101" i="14"/>
  <c r="DH87" i="14"/>
  <c r="AE87" i="14"/>
  <c r="BX87" i="14"/>
  <c r="AW87" i="14"/>
  <c r="BF88" i="14"/>
  <c r="BG88" i="14" s="1"/>
  <c r="CX99" i="14"/>
  <c r="CZ99" i="14" s="1"/>
  <c r="EI87" i="14"/>
  <c r="AN87" i="14"/>
  <c r="ER87" i="14"/>
  <c r="M87" i="14"/>
  <c r="CV101" i="14"/>
  <c r="CF90" i="14"/>
  <c r="CO99" i="14"/>
  <c r="CQ99" i="14" s="1"/>
  <c r="K19" i="17" s="1"/>
  <c r="EO101" i="14"/>
  <c r="BV68" i="14"/>
  <c r="EF96" i="14"/>
  <c r="BW32" i="14"/>
  <c r="BY32" i="14" s="1"/>
  <c r="FG101" i="14"/>
  <c r="BV90" i="14"/>
  <c r="DX40" i="14"/>
  <c r="J19" i="9"/>
  <c r="BV87" i="14"/>
  <c r="BV60" i="14"/>
  <c r="BV94" i="14"/>
  <c r="BN94" i="14"/>
  <c r="BN50" i="14"/>
  <c r="BP50" i="14" s="1"/>
  <c r="U99" i="26"/>
  <c r="Q98" i="26"/>
  <c r="BW56" i="14"/>
  <c r="BY56" i="14" s="1"/>
  <c r="EY101" i="14"/>
  <c r="FH99" i="14"/>
  <c r="FH101" i="14" s="1"/>
  <c r="BN87" i="14"/>
  <c r="CX77" i="14"/>
  <c r="AM90" i="14"/>
  <c r="EX101" i="14"/>
  <c r="EX96" i="14"/>
  <c r="EZ90" i="14"/>
  <c r="DG101" i="14"/>
  <c r="DX62" i="14"/>
  <c r="DY62" i="14" s="1"/>
  <c r="DE101" i="14"/>
  <c r="EF101" i="14"/>
  <c r="DN96" i="14"/>
  <c r="FG96" i="14"/>
  <c r="L99" i="14"/>
  <c r="N99" i="14" s="1"/>
  <c r="EZ77" i="14"/>
  <c r="EQ90" i="14"/>
  <c r="DW96" i="14"/>
  <c r="DE96" i="14"/>
  <c r="AD90" i="14"/>
  <c r="BU96" i="14"/>
  <c r="CO90" i="14"/>
  <c r="CX90" i="14"/>
  <c r="AB96" i="14"/>
  <c r="CF99" i="14"/>
  <c r="DY74" i="14"/>
  <c r="EA74" i="14" s="1"/>
  <c r="AV74" i="14"/>
  <c r="AX74" i="14" s="1"/>
  <c r="EH84" i="14"/>
  <c r="EJ84" i="14" s="1"/>
  <c r="DX49" i="14"/>
  <c r="AT101" i="14"/>
  <c r="AV99" i="14"/>
  <c r="AX99" i="14" s="1"/>
  <c r="BU101" i="14"/>
  <c r="DP49" i="14"/>
  <c r="DP99" i="14"/>
  <c r="DR99" i="14" s="1"/>
  <c r="DN101" i="14"/>
  <c r="CO22" i="14"/>
  <c r="S101" i="14"/>
  <c r="U99" i="14"/>
  <c r="W99" i="14" s="1"/>
  <c r="EH91" i="14"/>
  <c r="AM22" i="14"/>
  <c r="U22" i="14"/>
  <c r="BW76" i="14"/>
  <c r="EQ101" i="14"/>
  <c r="EH101" i="14"/>
  <c r="DY101" i="14"/>
  <c r="DO71" i="14"/>
  <c r="EQ22" i="14"/>
  <c r="AV76" i="14"/>
  <c r="P114" i="26"/>
  <c r="T114" i="26" s="1"/>
  <c r="BN22" i="14"/>
  <c r="BW27" i="14"/>
  <c r="BY27" i="14" s="1"/>
  <c r="CF22" i="14"/>
  <c r="BW16" i="14"/>
  <c r="BY16" i="14" s="1"/>
  <c r="DX58" i="14"/>
  <c r="DG22" i="14"/>
  <c r="Q134" i="26"/>
  <c r="Q147" i="26" s="1"/>
  <c r="DX88" i="14"/>
  <c r="BW29" i="14"/>
  <c r="BY29" i="14" s="1"/>
  <c r="CX76" i="14"/>
  <c r="DP58" i="14"/>
  <c r="FI17" i="14"/>
  <c r="FK17" i="14" s="1"/>
  <c r="BV33" i="14"/>
  <c r="BN33" i="14"/>
  <c r="BP33" i="14" s="1"/>
  <c r="BW36" i="14"/>
  <c r="BY36" i="14" s="1"/>
  <c r="DY76" i="14"/>
  <c r="EZ76" i="14"/>
  <c r="FH18" i="14"/>
  <c r="DX42" i="14"/>
  <c r="AV96" i="14"/>
  <c r="CX22" i="14"/>
  <c r="AV22" i="14"/>
  <c r="BW25" i="14"/>
  <c r="BY25" i="14" s="1"/>
  <c r="J26" i="9"/>
  <c r="M26" i="2"/>
  <c r="K25" i="9"/>
  <c r="L17" i="9"/>
  <c r="BW67" i="14"/>
  <c r="BY67" i="14" s="1"/>
  <c r="BV66" i="14"/>
  <c r="BN66" i="14"/>
  <c r="BP66" i="14" s="1"/>
  <c r="CF75" i="14"/>
  <c r="CH75" i="14" s="1"/>
  <c r="CD79" i="14"/>
  <c r="EX79" i="14"/>
  <c r="EY75" i="14"/>
  <c r="EZ75" i="14" s="1"/>
  <c r="FB75" i="14" s="1"/>
  <c r="K14" i="9"/>
  <c r="K30" i="2"/>
  <c r="L30" i="2" s="1"/>
  <c r="H30" i="9"/>
  <c r="BV34" i="14"/>
  <c r="BN34" i="14"/>
  <c r="BP34" i="14" s="1"/>
  <c r="FH16" i="14"/>
  <c r="EZ16" i="14"/>
  <c r="FB16" i="14" s="1"/>
  <c r="FI19" i="14"/>
  <c r="FK19" i="14" s="1"/>
  <c r="BW31" i="14"/>
  <c r="BY31" i="14" s="1"/>
  <c r="DX75" i="14"/>
  <c r="DY75" i="14" s="1"/>
  <c r="EA75" i="14" s="1"/>
  <c r="DW79" i="14"/>
  <c r="DX83" i="14"/>
  <c r="AD22" i="14"/>
  <c r="DX90" i="14"/>
  <c r="DG96" i="14"/>
  <c r="L22" i="14"/>
  <c r="DP84" i="14"/>
  <c r="BW35" i="14"/>
  <c r="BY35" i="14" s="1"/>
  <c r="AM75" i="14"/>
  <c r="AO75" i="14" s="1"/>
  <c r="AK79" i="14"/>
  <c r="U75" i="14"/>
  <c r="W75" i="14" s="1"/>
  <c r="S79" i="14"/>
  <c r="L75" i="14"/>
  <c r="N75" i="14" s="1"/>
  <c r="DP75" i="14"/>
  <c r="DR75" i="14" s="1"/>
  <c r="DN79" i="14"/>
  <c r="EG87" i="14"/>
  <c r="DY87" i="14"/>
  <c r="BW17" i="14"/>
  <c r="BY17" i="14" s="1"/>
  <c r="EG22" i="14"/>
  <c r="EH14" i="14"/>
  <c r="EJ14" i="14" s="1"/>
  <c r="O21" i="9"/>
  <c r="P21" i="9" s="1"/>
  <c r="E21" i="2"/>
  <c r="BN75" i="14"/>
  <c r="BP75" i="14" s="1"/>
  <c r="BL79" i="14"/>
  <c r="FI75" i="14"/>
  <c r="FK75" i="14" s="1"/>
  <c r="FG79" i="14"/>
  <c r="CO75" i="14"/>
  <c r="CQ75" i="14" s="1"/>
  <c r="CM79" i="14"/>
  <c r="M29" i="9"/>
  <c r="L96" i="14"/>
  <c r="DY22" i="14"/>
  <c r="FI15" i="14"/>
  <c r="FK15" i="14" s="1"/>
  <c r="BW65" i="14"/>
  <c r="BY65" i="14" s="1"/>
  <c r="BM101" i="14"/>
  <c r="BV99" i="14"/>
  <c r="BN99" i="14"/>
  <c r="BP99" i="14" s="1"/>
  <c r="BV51" i="14"/>
  <c r="BN51" i="14"/>
  <c r="BP51" i="14" s="1"/>
  <c r="DP22" i="14"/>
  <c r="EG82" i="14"/>
  <c r="DY82" i="14"/>
  <c r="EA82" i="14" s="1"/>
  <c r="DG75" i="14"/>
  <c r="DI75" i="14" s="1"/>
  <c r="DE79" i="14"/>
  <c r="AD75" i="14"/>
  <c r="AF75" i="14" s="1"/>
  <c r="AB79" i="14"/>
  <c r="EO79" i="14"/>
  <c r="EQ75" i="14"/>
  <c r="ES75" i="14" s="1"/>
  <c r="BW52" i="14"/>
  <c r="BY52" i="14" s="1"/>
  <c r="EY22" i="14"/>
  <c r="K145" i="26"/>
  <c r="K147" i="26" s="1"/>
  <c r="L142" i="26"/>
  <c r="BV40" i="14"/>
  <c r="BN40" i="14"/>
  <c r="BP40" i="14" s="1"/>
  <c r="BV26" i="14"/>
  <c r="BN26" i="14"/>
  <c r="BP26" i="14" s="1"/>
  <c r="BM71" i="14"/>
  <c r="K23" i="2"/>
  <c r="H23" i="9"/>
  <c r="J33" i="2"/>
  <c r="G13" i="1" s="1"/>
  <c r="EH75" i="14"/>
  <c r="EJ75" i="14" s="1"/>
  <c r="EF79" i="14"/>
  <c r="CW75" i="14"/>
  <c r="CX75" i="14" s="1"/>
  <c r="CZ75" i="14" s="1"/>
  <c r="CV79" i="14"/>
  <c r="BV75" i="14"/>
  <c r="BW75" i="14" s="1"/>
  <c r="BY75" i="14" s="1"/>
  <c r="BU79" i="14"/>
  <c r="AU75" i="14"/>
  <c r="AV75" i="14" s="1"/>
  <c r="AX75" i="14" s="1"/>
  <c r="AT79" i="14"/>
  <c r="BV82" i="14"/>
  <c r="BM96" i="14"/>
  <c r="BN82" i="14"/>
  <c r="BP82" i="14" s="1"/>
  <c r="L15" i="9"/>
  <c r="BW38" i="14"/>
  <c r="BY38" i="14" s="1"/>
  <c r="DY84" i="14"/>
  <c r="EA84" i="14" s="1"/>
  <c r="EG93" i="14" l="1"/>
  <c r="DY93" i="14"/>
  <c r="N22" i="7"/>
  <c r="O22" i="7"/>
  <c r="P22" i="7"/>
  <c r="M22" i="7"/>
  <c r="O22" i="6"/>
  <c r="P22" i="6"/>
  <c r="Q22" i="6"/>
  <c r="N22" i="6"/>
  <c r="DX96" i="14"/>
  <c r="AZ22" i="14"/>
  <c r="K66" i="16"/>
  <c r="AY85" i="14"/>
  <c r="AZ85" i="14"/>
  <c r="AY83" i="14"/>
  <c r="AZ83" i="14" s="1"/>
  <c r="K53" i="16"/>
  <c r="CR40" i="14"/>
  <c r="CS40" i="14"/>
  <c r="K68" i="16"/>
  <c r="G32" i="16"/>
  <c r="K32" i="16"/>
  <c r="H67" i="16"/>
  <c r="G67" i="16"/>
  <c r="K67" i="16"/>
  <c r="AP83" i="14"/>
  <c r="AQ83" i="14" s="1"/>
  <c r="AY48" i="14"/>
  <c r="AZ48" i="14" s="1"/>
  <c r="CZ76" i="14"/>
  <c r="L59" i="16" s="1"/>
  <c r="BH76" i="14"/>
  <c r="BI76" i="14" s="1"/>
  <c r="BG71" i="14"/>
  <c r="BH25" i="14"/>
  <c r="BH71" i="14" s="1"/>
  <c r="G58" i="14"/>
  <c r="BF58" i="14" s="1"/>
  <c r="BG58" i="14" s="1"/>
  <c r="BF49" i="14"/>
  <c r="BG49" i="14" s="1"/>
  <c r="BG79" i="14"/>
  <c r="BH74" i="14"/>
  <c r="BH79" i="14" s="1"/>
  <c r="BH42" i="14"/>
  <c r="BI42" i="14" s="1"/>
  <c r="BH87" i="14"/>
  <c r="BI87" i="14" s="1"/>
  <c r="BH88" i="14"/>
  <c r="BI88" i="14" s="1"/>
  <c r="FA77" i="14"/>
  <c r="FB77" i="14" s="1"/>
  <c r="R60" i="16" s="1"/>
  <c r="BF77" i="14"/>
  <c r="BG77" i="14" s="1"/>
  <c r="CR85" i="14"/>
  <c r="CS85" i="14" s="1"/>
  <c r="O69" i="14"/>
  <c r="P69" i="14" s="1"/>
  <c r="BG99" i="14"/>
  <c r="BE101" i="14"/>
  <c r="BQ39" i="14"/>
  <c r="BR39" i="14" s="1"/>
  <c r="BH14" i="14"/>
  <c r="BH22" i="14" s="1"/>
  <c r="BG22" i="14"/>
  <c r="P68" i="16"/>
  <c r="E66" i="16"/>
  <c r="R66" i="16"/>
  <c r="X69" i="14"/>
  <c r="Y69" i="14" s="1"/>
  <c r="M66" i="16"/>
  <c r="D67" i="16"/>
  <c r="EB69" i="14"/>
  <c r="EC69" i="14" s="1"/>
  <c r="O83" i="14"/>
  <c r="P83" i="14" s="1"/>
  <c r="AP48" i="14"/>
  <c r="AQ48" i="14" s="1"/>
  <c r="H66" i="16"/>
  <c r="CR83" i="14"/>
  <c r="CS83" i="14" s="1"/>
  <c r="R68" i="16"/>
  <c r="DA84" i="14"/>
  <c r="DB84" i="14" s="1"/>
  <c r="G66" i="16"/>
  <c r="X48" i="14"/>
  <c r="Y48" i="14" s="1"/>
  <c r="BZ69" i="14"/>
  <c r="CA69" i="14" s="1"/>
  <c r="FD85" i="14"/>
  <c r="K24" i="16"/>
  <c r="F65" i="16"/>
  <c r="DA83" i="14"/>
  <c r="DB83" i="14" s="1"/>
  <c r="DA42" i="14"/>
  <c r="DB42" i="14" s="1"/>
  <c r="EB85" i="14"/>
  <c r="EC85" i="14" s="1"/>
  <c r="S65" i="16"/>
  <c r="G68" i="16"/>
  <c r="M53" i="16"/>
  <c r="L24" i="16"/>
  <c r="BR83" i="14"/>
  <c r="W62" i="14"/>
  <c r="D46" i="16" s="1"/>
  <c r="AY84" i="14"/>
  <c r="AZ84" i="14" s="1"/>
  <c r="AG69" i="14"/>
  <c r="AH69" i="14" s="1"/>
  <c r="EC99" i="14"/>
  <c r="EC101" i="14" s="1"/>
  <c r="O68" i="16"/>
  <c r="S24" i="16"/>
  <c r="DS85" i="14"/>
  <c r="DT85" i="14" s="1"/>
  <c r="AP85" i="14"/>
  <c r="AQ85" i="14" s="1"/>
  <c r="M32" i="16"/>
  <c r="E67" i="16"/>
  <c r="F68" i="16"/>
  <c r="FL82" i="14"/>
  <c r="FM82" i="14" s="1"/>
  <c r="CQ42" i="14"/>
  <c r="F24" i="16"/>
  <c r="CI40" i="14"/>
  <c r="CJ40" i="14" s="1"/>
  <c r="N62" i="14"/>
  <c r="O62" i="14" s="1"/>
  <c r="P62" i="14" s="1"/>
  <c r="DR62" i="14"/>
  <c r="DS62" i="14" s="1"/>
  <c r="DT62" i="14" s="1"/>
  <c r="AF42" i="14"/>
  <c r="E26" i="16" s="1"/>
  <c r="DJ85" i="14"/>
  <c r="DK85" i="14" s="1"/>
  <c r="DA69" i="14"/>
  <c r="DB69" i="14" s="1"/>
  <c r="AG40" i="14"/>
  <c r="AH40" i="14" s="1"/>
  <c r="DT22" i="14"/>
  <c r="BP62" i="14"/>
  <c r="H46" i="16" s="1"/>
  <c r="N76" i="14"/>
  <c r="O76" i="14" s="1"/>
  <c r="P76" i="14" s="1"/>
  <c r="BP76" i="14"/>
  <c r="H59" i="16" s="1"/>
  <c r="W42" i="14"/>
  <c r="X42" i="14" s="1"/>
  <c r="Y42" i="14" s="1"/>
  <c r="F53" i="16"/>
  <c r="BR69" i="14"/>
  <c r="BY22" i="14"/>
  <c r="J17" i="17" s="1"/>
  <c r="BP42" i="14"/>
  <c r="H26" i="16" s="1"/>
  <c r="FC69" i="14"/>
  <c r="FD69" i="14" s="1"/>
  <c r="CZ62" i="14"/>
  <c r="L46" i="16" s="1"/>
  <c r="FK76" i="14"/>
  <c r="S59" i="16" s="1"/>
  <c r="N66" i="16"/>
  <c r="DT69" i="14"/>
  <c r="DJ40" i="14"/>
  <c r="DK40" i="14" s="1"/>
  <c r="M24" i="16"/>
  <c r="CR48" i="14"/>
  <c r="CS48" i="14" s="1"/>
  <c r="CR69" i="14"/>
  <c r="CS69" i="14" s="1"/>
  <c r="EU22" i="14"/>
  <c r="X83" i="14"/>
  <c r="Y83" i="14" s="1"/>
  <c r="BP87" i="14"/>
  <c r="BQ87" i="14" s="1"/>
  <c r="AO42" i="14"/>
  <c r="AP42" i="14" s="1"/>
  <c r="CR84" i="14"/>
  <c r="CS84" i="14" s="1"/>
  <c r="FK62" i="14"/>
  <c r="S46" i="16" s="1"/>
  <c r="FB76" i="14"/>
  <c r="R59" i="16" s="1"/>
  <c r="C68" i="16"/>
  <c r="DJ84" i="14"/>
  <c r="DK84" i="14" s="1"/>
  <c r="CH42" i="14"/>
  <c r="CI42" i="14" s="1"/>
  <c r="CJ42" i="14" s="1"/>
  <c r="H53" i="16"/>
  <c r="M67" i="16"/>
  <c r="D65" i="16"/>
  <c r="AG22" i="14"/>
  <c r="DS82" i="14"/>
  <c r="DT82" i="14" s="1"/>
  <c r="FK42" i="14"/>
  <c r="FL42" i="14" s="1"/>
  <c r="FM42" i="14" s="1"/>
  <c r="R65" i="16"/>
  <c r="FC82" i="14"/>
  <c r="FD82" i="14" s="1"/>
  <c r="EJ76" i="14"/>
  <c r="P59" i="16" s="1"/>
  <c r="AH84" i="14"/>
  <c r="AQ82" i="14"/>
  <c r="N53" i="16"/>
  <c r="BY76" i="14"/>
  <c r="I59" i="16" s="1"/>
  <c r="BQ22" i="14"/>
  <c r="EA87" i="14"/>
  <c r="EB87" i="14" s="1"/>
  <c r="BY42" i="14"/>
  <c r="I26" i="16" s="1"/>
  <c r="CH76" i="14"/>
  <c r="EU99" i="14"/>
  <c r="EU101" i="14" s="1"/>
  <c r="AF87" i="14"/>
  <c r="E70" i="16" s="1"/>
  <c r="CQ76" i="14"/>
  <c r="J20" i="17"/>
  <c r="DB22" i="14"/>
  <c r="DA22" i="14"/>
  <c r="O57" i="16"/>
  <c r="EB74" i="14"/>
  <c r="W76" i="14"/>
  <c r="ES62" i="14"/>
  <c r="ET62" i="14" s="1"/>
  <c r="EU62" i="14" s="1"/>
  <c r="N93" i="16"/>
  <c r="DS99" i="14"/>
  <c r="DS101" i="14" s="1"/>
  <c r="DR101" i="14"/>
  <c r="K22" i="17" s="1"/>
  <c r="CH87" i="14"/>
  <c r="ES42" i="14"/>
  <c r="AF76" i="14"/>
  <c r="AO62" i="14"/>
  <c r="AF101" i="14"/>
  <c r="K12" i="17" s="1"/>
  <c r="AG99" i="14"/>
  <c r="AG101" i="14" s="1"/>
  <c r="E93" i="16"/>
  <c r="ET22" i="14"/>
  <c r="AH15" i="14"/>
  <c r="AH22" i="14" s="1"/>
  <c r="O99" i="14"/>
  <c r="C93" i="16"/>
  <c r="DI62" i="14"/>
  <c r="AY22" i="14"/>
  <c r="R67" i="16"/>
  <c r="FC84" i="14"/>
  <c r="FD84" i="14" s="1"/>
  <c r="ET84" i="14"/>
  <c r="EU84" i="14" s="1"/>
  <c r="H32" i="16"/>
  <c r="BQ48" i="14"/>
  <c r="BR48" i="14" s="1"/>
  <c r="U88" i="16"/>
  <c r="V88" i="16" s="1"/>
  <c r="W88" i="16" s="1"/>
  <c r="FC75" i="14"/>
  <c r="FD75" i="14" s="1"/>
  <c r="R58" i="16"/>
  <c r="FB87" i="14"/>
  <c r="DR76" i="14"/>
  <c r="I15" i="16"/>
  <c r="BZ31" i="14"/>
  <c r="CA31" i="14" s="1"/>
  <c r="G53" i="16"/>
  <c r="AY69" i="14"/>
  <c r="AZ69" i="14" s="1"/>
  <c r="K70" i="16"/>
  <c r="CR87" i="14"/>
  <c r="CS87" i="14" s="1"/>
  <c r="N87" i="14"/>
  <c r="U96" i="14"/>
  <c r="AQ22" i="14"/>
  <c r="C58" i="16"/>
  <c r="O75" i="14"/>
  <c r="N58" i="16"/>
  <c r="DS75" i="14"/>
  <c r="DT75" i="14" s="1"/>
  <c r="BZ59" i="14"/>
  <c r="CA59" i="14" s="1"/>
  <c r="I43" i="16"/>
  <c r="O48" i="14"/>
  <c r="P48" i="14" s="1"/>
  <c r="C32" i="16"/>
  <c r="AG75" i="14"/>
  <c r="E58" i="16"/>
  <c r="EC22" i="14"/>
  <c r="R26" i="16"/>
  <c r="FC42" i="14"/>
  <c r="FD42" i="14" s="1"/>
  <c r="M65" i="16"/>
  <c r="DJ82" i="14"/>
  <c r="DK82" i="14" s="1"/>
  <c r="O22" i="14"/>
  <c r="DK74" i="14"/>
  <c r="G65" i="16"/>
  <c r="AY82" i="14"/>
  <c r="AZ82" i="14" s="1"/>
  <c r="O58" i="16"/>
  <c r="EB75" i="14"/>
  <c r="EC75" i="14" s="1"/>
  <c r="P25" i="14"/>
  <c r="BR22" i="14"/>
  <c r="P14" i="14"/>
  <c r="P22" i="14" s="1"/>
  <c r="J10" i="17"/>
  <c r="CF101" i="14"/>
  <c r="CH99" i="14"/>
  <c r="CS22" i="14"/>
  <c r="AM96" i="14"/>
  <c r="E32" i="16"/>
  <c r="AG48" i="14"/>
  <c r="AH48" i="14" s="1"/>
  <c r="H50" i="16"/>
  <c r="BQ66" i="14"/>
  <c r="BR66" i="14" s="1"/>
  <c r="J13" i="17"/>
  <c r="H24" i="16"/>
  <c r="BQ40" i="14"/>
  <c r="BR40" i="14" s="1"/>
  <c r="AM101" i="14"/>
  <c r="AO99" i="14"/>
  <c r="N42" i="14"/>
  <c r="AF62" i="14"/>
  <c r="S53" i="16"/>
  <c r="FL69" i="14"/>
  <c r="FM69" i="14" s="1"/>
  <c r="S32" i="16"/>
  <c r="FL48" i="14"/>
  <c r="FM48" i="14" s="1"/>
  <c r="CA14" i="14"/>
  <c r="BQ75" i="14"/>
  <c r="BR75" i="14" s="1"/>
  <c r="H58" i="16"/>
  <c r="R84" i="16"/>
  <c r="R90" i="16" s="1"/>
  <c r="FC16" i="14"/>
  <c r="FD16" i="14" s="1"/>
  <c r="FD22" i="14" s="1"/>
  <c r="I84" i="16"/>
  <c r="BZ16" i="14"/>
  <c r="CA16" i="14" s="1"/>
  <c r="H28" i="16"/>
  <c r="BQ44" i="14"/>
  <c r="BR44" i="14" s="1"/>
  <c r="J21" i="17"/>
  <c r="FB22" i="14"/>
  <c r="AX87" i="14"/>
  <c r="DI42" i="14"/>
  <c r="O67" i="16"/>
  <c r="EB84" i="14"/>
  <c r="EC84" i="14" s="1"/>
  <c r="I58" i="16"/>
  <c r="BZ75" i="14"/>
  <c r="CA75" i="14" s="1"/>
  <c r="I40" i="16"/>
  <c r="BZ56" i="14"/>
  <c r="CA56" i="14" s="1"/>
  <c r="I16" i="16"/>
  <c r="BZ32" i="14"/>
  <c r="CA32" i="14" s="1"/>
  <c r="DJ22" i="14"/>
  <c r="J67" i="16"/>
  <c r="CI84" i="14"/>
  <c r="CJ84" i="14" s="1"/>
  <c r="N32" i="16"/>
  <c r="DS48" i="14"/>
  <c r="DT48" i="14" s="1"/>
  <c r="AX62" i="14"/>
  <c r="S68" i="16"/>
  <c r="FL85" i="14"/>
  <c r="FM85" i="14" s="1"/>
  <c r="H10" i="16"/>
  <c r="BQ26" i="14"/>
  <c r="BR26" i="14" s="1"/>
  <c r="D58" i="16"/>
  <c r="X75" i="14"/>
  <c r="Y75" i="14" s="1"/>
  <c r="EK84" i="14"/>
  <c r="EL84" i="14" s="1"/>
  <c r="P67" i="16"/>
  <c r="AH74" i="14"/>
  <c r="L58" i="16"/>
  <c r="DA75" i="14"/>
  <c r="DB75" i="14" s="1"/>
  <c r="I19" i="16"/>
  <c r="BZ35" i="14"/>
  <c r="CA35" i="14" s="1"/>
  <c r="H17" i="16"/>
  <c r="BQ33" i="14"/>
  <c r="BR33" i="14" s="1"/>
  <c r="CO96" i="14"/>
  <c r="CI48" i="14"/>
  <c r="CJ48" i="14" s="1"/>
  <c r="J32" i="16"/>
  <c r="J22" i="17"/>
  <c r="S67" i="16"/>
  <c r="FL84" i="14"/>
  <c r="FM84" i="14" s="1"/>
  <c r="AO76" i="14"/>
  <c r="ET85" i="14"/>
  <c r="EU85" i="14" s="1"/>
  <c r="S66" i="16"/>
  <c r="FL83" i="14"/>
  <c r="FM83" i="14" s="1"/>
  <c r="DI76" i="14"/>
  <c r="P58" i="16"/>
  <c r="EK75" i="14"/>
  <c r="EL75" i="14" s="1"/>
  <c r="L57" i="16"/>
  <c r="DA74" i="14"/>
  <c r="DB74" i="14" s="1"/>
  <c r="I68" i="16"/>
  <c r="BZ85" i="14"/>
  <c r="CA85" i="14" s="1"/>
  <c r="FM26" i="14"/>
  <c r="O40" i="14"/>
  <c r="P40" i="14" s="1"/>
  <c r="C24" i="16"/>
  <c r="DK99" i="14"/>
  <c r="DK101" i="14" s="1"/>
  <c r="J65" i="16"/>
  <c r="CI82" i="14"/>
  <c r="CJ82" i="14" s="1"/>
  <c r="J68" i="16"/>
  <c r="CI85" i="14"/>
  <c r="CJ85" i="14" s="1"/>
  <c r="ES87" i="14"/>
  <c r="ET87" i="14" s="1"/>
  <c r="EU87" i="14" s="1"/>
  <c r="EB48" i="14"/>
  <c r="EC48" i="14" s="1"/>
  <c r="O32" i="16"/>
  <c r="J23" i="17"/>
  <c r="CR22" i="14"/>
  <c r="L68" i="16"/>
  <c r="DA85" i="14"/>
  <c r="DB85" i="14" s="1"/>
  <c r="S58" i="16"/>
  <c r="FL75" i="14"/>
  <c r="FM75" i="14" s="1"/>
  <c r="BW63" i="14"/>
  <c r="BY63" i="14" s="1"/>
  <c r="AY75" i="14"/>
  <c r="AZ75" i="14" s="1"/>
  <c r="G58" i="16"/>
  <c r="F58" i="16"/>
  <c r="AP75" i="14"/>
  <c r="AQ75" i="14" s="1"/>
  <c r="L93" i="16"/>
  <c r="CZ101" i="14"/>
  <c r="K20" i="17" s="1"/>
  <c r="DA99" i="14"/>
  <c r="DA101" i="14" s="1"/>
  <c r="I20" i="16"/>
  <c r="BZ36" i="14"/>
  <c r="CA36" i="14" s="1"/>
  <c r="X22" i="14"/>
  <c r="E68" i="16"/>
  <c r="AG85" i="14"/>
  <c r="AH85" i="14" s="1"/>
  <c r="I22" i="16"/>
  <c r="BZ38" i="14"/>
  <c r="CA38" i="14" s="1"/>
  <c r="AX42" i="14"/>
  <c r="I49" i="16"/>
  <c r="BZ65" i="14"/>
  <c r="CA65" i="14" s="1"/>
  <c r="S85" i="16"/>
  <c r="FL17" i="14"/>
  <c r="FM17" i="14" s="1"/>
  <c r="CZ87" i="14"/>
  <c r="I14" i="16"/>
  <c r="BZ30" i="14"/>
  <c r="CA30" i="14" s="1"/>
  <c r="S70" i="16"/>
  <c r="FL87" i="14"/>
  <c r="FM87" i="14" s="1"/>
  <c r="EL99" i="14"/>
  <c r="EL101" i="14" s="1"/>
  <c r="BY62" i="14"/>
  <c r="K65" i="16"/>
  <c r="CR82" i="14"/>
  <c r="CS82" i="14" s="1"/>
  <c r="I86" i="16"/>
  <c r="BZ18" i="14"/>
  <c r="CA18" i="14" s="1"/>
  <c r="J53" i="16"/>
  <c r="CI69" i="14"/>
  <c r="CJ69" i="14" s="1"/>
  <c r="G24" i="16"/>
  <c r="AY40" i="14"/>
  <c r="AZ40" i="14" s="1"/>
  <c r="DA48" i="14"/>
  <c r="DB48" i="14" s="1"/>
  <c r="L32" i="16"/>
  <c r="J15" i="17"/>
  <c r="CH62" i="14"/>
  <c r="ET76" i="14"/>
  <c r="EU76" i="14"/>
  <c r="CQ62" i="14"/>
  <c r="R32" i="16"/>
  <c r="FC48" i="14"/>
  <c r="FD48" i="14" s="1"/>
  <c r="K58" i="16"/>
  <c r="CR75" i="14"/>
  <c r="CS75" i="14" s="1"/>
  <c r="J58" i="16"/>
  <c r="CI75" i="14"/>
  <c r="CJ75" i="14" s="1"/>
  <c r="O65" i="16"/>
  <c r="EB82" i="14"/>
  <c r="EC82" i="14" s="1"/>
  <c r="H35" i="16"/>
  <c r="BQ51" i="14"/>
  <c r="BR51" i="14" s="1"/>
  <c r="I51" i="16"/>
  <c r="BZ67" i="14"/>
  <c r="CA67" i="14" s="1"/>
  <c r="EZ101" i="14"/>
  <c r="FB99" i="14"/>
  <c r="J11" i="17"/>
  <c r="I32" i="16"/>
  <c r="BZ48" i="14"/>
  <c r="CA48" i="14" s="1"/>
  <c r="FM74" i="14"/>
  <c r="H18" i="16"/>
  <c r="BQ34" i="14"/>
  <c r="BR34" i="14" s="1"/>
  <c r="CX96" i="14"/>
  <c r="H93" i="16"/>
  <c r="BQ99" i="14"/>
  <c r="BQ101" i="14" s="1"/>
  <c r="BP101" i="14"/>
  <c r="K15" i="17" s="1"/>
  <c r="D24" i="16"/>
  <c r="X40" i="14"/>
  <c r="Y40" i="14" s="1"/>
  <c r="W101" i="14"/>
  <c r="K11" i="17" s="1"/>
  <c r="D93" i="16"/>
  <c r="X99" i="14"/>
  <c r="X101" i="14" s="1"/>
  <c r="H34" i="16"/>
  <c r="BQ50" i="14"/>
  <c r="BR50" i="14" s="1"/>
  <c r="DI87" i="14"/>
  <c r="FB62" i="14"/>
  <c r="C90" i="16"/>
  <c r="DP96" i="14"/>
  <c r="DR84" i="14"/>
  <c r="W87" i="14"/>
  <c r="I36" i="16"/>
  <c r="BZ52" i="14"/>
  <c r="CA52" i="14" s="1"/>
  <c r="CQ101" i="14"/>
  <c r="K93" i="16"/>
  <c r="CR99" i="14"/>
  <c r="CR101" i="14" s="1"/>
  <c r="ET75" i="14"/>
  <c r="EU75" i="14" s="1"/>
  <c r="H65" i="16"/>
  <c r="BQ82" i="14"/>
  <c r="BR82" i="14"/>
  <c r="S83" i="16"/>
  <c r="FL15" i="14"/>
  <c r="FM15" i="14" s="1"/>
  <c r="BZ25" i="14"/>
  <c r="CA25" i="14" s="1"/>
  <c r="I9" i="16"/>
  <c r="AY74" i="14"/>
  <c r="AZ74" i="14" s="1"/>
  <c r="G57" i="16"/>
  <c r="C67" i="16"/>
  <c r="O84" i="14"/>
  <c r="P84" i="14" s="1"/>
  <c r="EK48" i="14"/>
  <c r="EL48" i="14" s="1"/>
  <c r="P32" i="16"/>
  <c r="ET48" i="14"/>
  <c r="EU48" i="14" s="1"/>
  <c r="DR42" i="14"/>
  <c r="M58" i="16"/>
  <c r="DJ75" i="14"/>
  <c r="DK75" i="14" s="1"/>
  <c r="G93" i="16"/>
  <c r="AY99" i="14"/>
  <c r="AY101" i="14" s="1"/>
  <c r="AX101" i="14"/>
  <c r="K14" i="17" s="1"/>
  <c r="S87" i="16"/>
  <c r="U87" i="16" s="1"/>
  <c r="V87" i="16" s="1"/>
  <c r="W87" i="16" s="1"/>
  <c r="FL19" i="14"/>
  <c r="FM19" i="14" s="1"/>
  <c r="AO87" i="14"/>
  <c r="EB22" i="14"/>
  <c r="C65" i="16"/>
  <c r="O82" i="14"/>
  <c r="DA82" i="14"/>
  <c r="DB82" i="14" s="1"/>
  <c r="L65" i="16"/>
  <c r="ET82" i="14"/>
  <c r="EU82" i="14" s="1"/>
  <c r="I85" i="16"/>
  <c r="BZ17" i="14"/>
  <c r="CA17" i="14" s="1"/>
  <c r="AP22" i="14"/>
  <c r="I67" i="16"/>
  <c r="BZ84" i="14"/>
  <c r="CA84" i="14" s="1"/>
  <c r="EA76" i="14"/>
  <c r="BZ27" i="14"/>
  <c r="CA27" i="14" s="1"/>
  <c r="I11" i="16"/>
  <c r="DK22" i="14"/>
  <c r="N24" i="16"/>
  <c r="DS40" i="14"/>
  <c r="DT40" i="14" s="1"/>
  <c r="CJ22" i="14"/>
  <c r="CI22" i="14"/>
  <c r="R24" i="16"/>
  <c r="FC40" i="14"/>
  <c r="J66" i="16"/>
  <c r="CI83" i="14"/>
  <c r="CJ83" i="14" s="1"/>
  <c r="Y14" i="14"/>
  <c r="Y22" i="14" s="1"/>
  <c r="AX76" i="14"/>
  <c r="DS22" i="14"/>
  <c r="DR87" i="14"/>
  <c r="P82" i="16"/>
  <c r="EK14" i="14"/>
  <c r="EK22" i="14" s="1"/>
  <c r="EJ22" i="14"/>
  <c r="CF96" i="14"/>
  <c r="H33" i="9"/>
  <c r="H34" i="9" s="1"/>
  <c r="I13" i="16"/>
  <c r="BZ29" i="14"/>
  <c r="CA29" i="14" s="1"/>
  <c r="EA62" i="14"/>
  <c r="D68" i="16"/>
  <c r="X85" i="14"/>
  <c r="Y85" i="14" s="1"/>
  <c r="F67" i="16"/>
  <c r="AP84" i="14"/>
  <c r="AQ84" i="14" s="1"/>
  <c r="E65" i="16"/>
  <c r="AG82" i="14"/>
  <c r="AH82" i="14" s="1"/>
  <c r="H68" i="16"/>
  <c r="BQ85" i="14"/>
  <c r="BR85" i="14" s="1"/>
  <c r="P134" i="26"/>
  <c r="CP77" i="14"/>
  <c r="CQ77" i="14" s="1"/>
  <c r="DZ77" i="14"/>
  <c r="CY77" i="14"/>
  <c r="DQ77" i="14"/>
  <c r="AW77" i="14"/>
  <c r="AX77" i="14" s="1"/>
  <c r="BX77" i="14"/>
  <c r="FH22" i="14"/>
  <c r="AN77" i="14"/>
  <c r="AO77" i="14" s="1"/>
  <c r="FJ77" i="14"/>
  <c r="V77" i="14"/>
  <c r="W77" i="14" s="1"/>
  <c r="DH77" i="14"/>
  <c r="ER77" i="14"/>
  <c r="M77" i="14"/>
  <c r="FA88" i="14"/>
  <c r="BF89" i="14"/>
  <c r="BG89" i="14" s="1"/>
  <c r="BW90" i="14"/>
  <c r="BW83" i="14"/>
  <c r="BY83" i="14" s="1"/>
  <c r="DH49" i="14"/>
  <c r="M30" i="2"/>
  <c r="J30" i="9"/>
  <c r="AE77" i="14"/>
  <c r="CG77" i="14"/>
  <c r="CH77" i="14" s="1"/>
  <c r="BO77" i="14"/>
  <c r="EI77" i="14"/>
  <c r="I36" i="3"/>
  <c r="F15" i="1"/>
  <c r="Q21" i="3"/>
  <c r="D90" i="16"/>
  <c r="F90" i="16"/>
  <c r="E90" i="16"/>
  <c r="J90" i="16"/>
  <c r="H90" i="16"/>
  <c r="L90" i="16"/>
  <c r="G90" i="16"/>
  <c r="M90" i="16"/>
  <c r="K90" i="16"/>
  <c r="V49" i="14"/>
  <c r="W49" i="14" s="1"/>
  <c r="FJ49" i="14"/>
  <c r="FK49" i="14" s="1"/>
  <c r="EI49" i="14"/>
  <c r="M49" i="14"/>
  <c r="N49" i="14" s="1"/>
  <c r="AN49" i="14"/>
  <c r="BO49" i="14"/>
  <c r="DZ49" i="14"/>
  <c r="AE49" i="14"/>
  <c r="AF49" i="14" s="1"/>
  <c r="FA49" i="14"/>
  <c r="AW49" i="14"/>
  <c r="AX49" i="14" s="1"/>
  <c r="ER49" i="14"/>
  <c r="CY49" i="14"/>
  <c r="CZ49" i="14" s="1"/>
  <c r="BX49" i="14"/>
  <c r="BY49" i="14" s="1"/>
  <c r="CG49" i="14"/>
  <c r="G55" i="14"/>
  <c r="DQ49" i="14"/>
  <c r="CP49" i="14"/>
  <c r="CY88" i="14"/>
  <c r="CZ88" i="14" s="1"/>
  <c r="CP88" i="14"/>
  <c r="CQ88" i="14" s="1"/>
  <c r="DQ88" i="14"/>
  <c r="BX88" i="14"/>
  <c r="DH88" i="14"/>
  <c r="BO88" i="14"/>
  <c r="ER88" i="14"/>
  <c r="DZ88" i="14"/>
  <c r="FJ88" i="14"/>
  <c r="CG88" i="14"/>
  <c r="V88" i="14"/>
  <c r="AW88" i="14"/>
  <c r="AN88" i="14"/>
  <c r="M88" i="14"/>
  <c r="AE88" i="14"/>
  <c r="EI88" i="14"/>
  <c r="L101" i="14"/>
  <c r="CX101" i="14"/>
  <c r="CO101" i="14"/>
  <c r="EG62" i="14"/>
  <c r="EH62" i="14" s="1"/>
  <c r="EJ62" i="14" s="1"/>
  <c r="EG40" i="14"/>
  <c r="EH40" i="14" s="1"/>
  <c r="EJ40" i="14" s="1"/>
  <c r="DY40" i="14"/>
  <c r="EA40" i="14" s="1"/>
  <c r="BW87" i="14"/>
  <c r="BY87" i="14" s="1"/>
  <c r="Q99" i="26"/>
  <c r="U101" i="26"/>
  <c r="Q101" i="26" s="1"/>
  <c r="U102" i="26"/>
  <c r="Q102" i="26" s="1"/>
  <c r="U100" i="26"/>
  <c r="Q100" i="26" s="1"/>
  <c r="BW94" i="14"/>
  <c r="K19" i="9"/>
  <c r="BW68" i="14"/>
  <c r="BY68" i="14" s="1"/>
  <c r="BW60" i="14"/>
  <c r="BY60" i="14" s="1"/>
  <c r="FI99" i="14"/>
  <c r="FK99" i="14" s="1"/>
  <c r="AD96" i="14"/>
  <c r="DO103" i="14"/>
  <c r="U101" i="14"/>
  <c r="DP101" i="14"/>
  <c r="DY49" i="14"/>
  <c r="EG49" i="14"/>
  <c r="AV101" i="14"/>
  <c r="N101" i="14"/>
  <c r="K10" i="17" s="1"/>
  <c r="DY58" i="14"/>
  <c r="BM103" i="14"/>
  <c r="FI18" i="14"/>
  <c r="FK18" i="14" s="1"/>
  <c r="DX71" i="14"/>
  <c r="K26" i="9"/>
  <c r="N26" i="2"/>
  <c r="EG42" i="14"/>
  <c r="DY42" i="14"/>
  <c r="EA42" i="14" s="1"/>
  <c r="BW33" i="14"/>
  <c r="BY33" i="14" s="1"/>
  <c r="EG88" i="14"/>
  <c r="DY88" i="14"/>
  <c r="BN96" i="14"/>
  <c r="AV79" i="14"/>
  <c r="BW22" i="14"/>
  <c r="EH87" i="14"/>
  <c r="EJ87" i="14" s="1"/>
  <c r="DP79" i="14"/>
  <c r="L79" i="14"/>
  <c r="DY79" i="14"/>
  <c r="I30" i="9"/>
  <c r="CF79" i="14"/>
  <c r="L25" i="9"/>
  <c r="CX79" i="14"/>
  <c r="BW40" i="14"/>
  <c r="BY40" i="14" s="1"/>
  <c r="EG83" i="14"/>
  <c r="DY83" i="14"/>
  <c r="EA83" i="14" s="1"/>
  <c r="DX79" i="14"/>
  <c r="EZ22" i="14"/>
  <c r="T134" i="26"/>
  <c r="BW66" i="14"/>
  <c r="BY66" i="14" s="1"/>
  <c r="BV96" i="14"/>
  <c r="BW82" i="14"/>
  <c r="BY82" i="14" s="1"/>
  <c r="BW26" i="14"/>
  <c r="BY26" i="14" s="1"/>
  <c r="BV71" i="14"/>
  <c r="DG79" i="14"/>
  <c r="BN101" i="14"/>
  <c r="FI79" i="14"/>
  <c r="U79" i="14"/>
  <c r="FI16" i="14"/>
  <c r="FK16" i="14" s="1"/>
  <c r="BW79" i="14"/>
  <c r="L23" i="2"/>
  <c r="I23" i="9"/>
  <c r="K33" i="2"/>
  <c r="H13" i="1" s="1"/>
  <c r="EZ79" i="14"/>
  <c r="EH82" i="14"/>
  <c r="EJ82" i="14" s="1"/>
  <c r="BW51" i="14"/>
  <c r="BY51" i="14" s="1"/>
  <c r="BN79" i="14"/>
  <c r="AM79" i="14"/>
  <c r="M15" i="9"/>
  <c r="AU79" i="14"/>
  <c r="AU103" i="14" s="1"/>
  <c r="BV79" i="14"/>
  <c r="CW79" i="14"/>
  <c r="CW103" i="14" s="1"/>
  <c r="EH79" i="14"/>
  <c r="L145" i="26"/>
  <c r="L147" i="26" s="1"/>
  <c r="M142" i="26"/>
  <c r="EQ79" i="14"/>
  <c r="AD79" i="14"/>
  <c r="BV101" i="14"/>
  <c r="BW99" i="14"/>
  <c r="BY99" i="14" s="1"/>
  <c r="N29" i="9"/>
  <c r="CO79" i="14"/>
  <c r="EH22" i="14"/>
  <c r="EG90" i="14"/>
  <c r="DY90" i="14"/>
  <c r="BW34" i="14"/>
  <c r="BY34" i="14" s="1"/>
  <c r="L14" i="9"/>
  <c r="EY79" i="14"/>
  <c r="M17" i="9"/>
  <c r="EP93" i="14" l="1"/>
  <c r="EH93" i="14"/>
  <c r="CG58" i="14"/>
  <c r="CH58" i="14" s="1"/>
  <c r="EI58" i="14"/>
  <c r="CY58" i="14"/>
  <c r="CZ58" i="14" s="1"/>
  <c r="DA58" i="14" s="1"/>
  <c r="DB58" i="14" s="1"/>
  <c r="M58" i="14"/>
  <c r="N58" i="14" s="1"/>
  <c r="DH58" i="14"/>
  <c r="DI58" i="14" s="1"/>
  <c r="AE58" i="14"/>
  <c r="AF58" i="14" s="1"/>
  <c r="BI25" i="14"/>
  <c r="BI71" i="14" s="1"/>
  <c r="DA76" i="14"/>
  <c r="DB76" i="14" s="1"/>
  <c r="BI74" i="14"/>
  <c r="BI79" i="14" s="1"/>
  <c r="K59" i="16"/>
  <c r="CS99" i="14"/>
  <c r="AZ99" i="14"/>
  <c r="AZ101" i="14" s="1"/>
  <c r="K26" i="16"/>
  <c r="BI14" i="14"/>
  <c r="BI22" i="14" s="1"/>
  <c r="BO58" i="14"/>
  <c r="BP58" i="14" s="1"/>
  <c r="BQ58" i="14" s="1"/>
  <c r="BX58" i="14"/>
  <c r="BY58" i="14" s="1"/>
  <c r="BZ58" i="14" s="1"/>
  <c r="CA58" i="14" s="1"/>
  <c r="CP58" i="14"/>
  <c r="CQ58" i="14" s="1"/>
  <c r="DQ58" i="14"/>
  <c r="DR58" i="14" s="1"/>
  <c r="N42" i="16" s="1"/>
  <c r="DZ55" i="14"/>
  <c r="EA55" i="14" s="1"/>
  <c r="EB55" i="14" s="1"/>
  <c r="EC55" i="14" s="1"/>
  <c r="BF55" i="14"/>
  <c r="BG55" i="14" s="1"/>
  <c r="BH58" i="14"/>
  <c r="BI58" i="14" s="1"/>
  <c r="DZ58" i="14"/>
  <c r="EA58" i="14" s="1"/>
  <c r="FA58" i="14"/>
  <c r="FB58" i="14" s="1"/>
  <c r="R42" i="16" s="1"/>
  <c r="V58" i="14"/>
  <c r="W58" i="14" s="1"/>
  <c r="D42" i="16" s="1"/>
  <c r="BH99" i="14"/>
  <c r="BH101" i="14" s="1"/>
  <c r="BH103" i="14" s="1"/>
  <c r="BI99" i="14"/>
  <c r="BI101" i="14" s="1"/>
  <c r="BG101" i="14"/>
  <c r="BG103" i="14" s="1"/>
  <c r="FA90" i="14"/>
  <c r="FD98" i="14" s="1"/>
  <c r="BF90" i="14"/>
  <c r="BH77" i="14"/>
  <c r="BI77" i="14" s="1"/>
  <c r="BH49" i="14"/>
  <c r="BI49" i="14"/>
  <c r="ER58" i="14"/>
  <c r="ES58" i="14" s="1"/>
  <c r="ET58" i="14" s="1"/>
  <c r="BH89" i="14"/>
  <c r="BI89" i="14"/>
  <c r="FJ58" i="14"/>
  <c r="FK58" i="14" s="1"/>
  <c r="S42" i="16" s="1"/>
  <c r="AW58" i="14"/>
  <c r="AX58" i="14" s="1"/>
  <c r="AN58" i="14"/>
  <c r="AO58" i="14" s="1"/>
  <c r="F42" i="16" s="1"/>
  <c r="CS101" i="14"/>
  <c r="AX79" i="14"/>
  <c r="I14" i="17" s="1"/>
  <c r="FB79" i="14"/>
  <c r="I26" i="17" s="1"/>
  <c r="AO79" i="14"/>
  <c r="I13" i="17" s="1"/>
  <c r="CH79" i="14"/>
  <c r="I18" i="17" s="1"/>
  <c r="FC77" i="14"/>
  <c r="FD77" i="14" s="1"/>
  <c r="Y99" i="14"/>
  <c r="Y101" i="14" s="1"/>
  <c r="BZ76" i="14"/>
  <c r="CA76" i="14" s="1"/>
  <c r="D26" i="16"/>
  <c r="F26" i="16"/>
  <c r="X62" i="14"/>
  <c r="Y62" i="14" s="1"/>
  <c r="C46" i="16"/>
  <c r="FC22" i="14"/>
  <c r="EL14" i="14"/>
  <c r="EL22" i="14" s="1"/>
  <c r="FL62" i="14"/>
  <c r="FM62" i="14" s="1"/>
  <c r="AG87" i="14"/>
  <c r="AH87" i="14" s="1"/>
  <c r="AG42" i="14"/>
  <c r="AH42" i="14" s="1"/>
  <c r="CR42" i="14"/>
  <c r="CS42" i="14" s="1"/>
  <c r="J16" i="7"/>
  <c r="BQ42" i="14"/>
  <c r="BR42" i="14" s="1"/>
  <c r="N46" i="16"/>
  <c r="BR99" i="14"/>
  <c r="BR101" i="14" s="1"/>
  <c r="FL76" i="14"/>
  <c r="FM76" i="14" s="1"/>
  <c r="DA62" i="14"/>
  <c r="DB62" i="14" s="1"/>
  <c r="C59" i="16"/>
  <c r="DR49" i="14"/>
  <c r="N33" i="16" s="1"/>
  <c r="S26" i="16"/>
  <c r="BQ76" i="14"/>
  <c r="BR76" i="14" s="1"/>
  <c r="EK76" i="14"/>
  <c r="EL76" i="14" s="1"/>
  <c r="BZ22" i="14"/>
  <c r="CI76" i="14"/>
  <c r="CJ76" i="14" s="1"/>
  <c r="J59" i="16"/>
  <c r="CR76" i="14"/>
  <c r="CS76" i="14" s="1"/>
  <c r="BQ62" i="14"/>
  <c r="BR62" i="14" s="1"/>
  <c r="DT99" i="14"/>
  <c r="DT101" i="14" s="1"/>
  <c r="J26" i="16"/>
  <c r="AQ42" i="14"/>
  <c r="BZ42" i="14"/>
  <c r="CA42" i="14" s="1"/>
  <c r="I90" i="16"/>
  <c r="FC76" i="14"/>
  <c r="FD76" i="14" s="1"/>
  <c r="BR87" i="14"/>
  <c r="H70" i="16"/>
  <c r="EC87" i="14"/>
  <c r="O70" i="16"/>
  <c r="K23" i="6"/>
  <c r="L71" i="16"/>
  <c r="DA88" i="14"/>
  <c r="DB88" i="14" s="1"/>
  <c r="O46" i="16"/>
  <c r="EB62" i="14"/>
  <c r="EC62" i="14" s="1"/>
  <c r="I33" i="16"/>
  <c r="BZ49" i="14"/>
  <c r="CA49" i="14" s="1"/>
  <c r="CA22" i="14"/>
  <c r="D59" i="16"/>
  <c r="X76" i="14"/>
  <c r="Y76" i="14" s="1"/>
  <c r="S86" i="16"/>
  <c r="U86" i="16" s="1"/>
  <c r="V86" i="16" s="1"/>
  <c r="W86" i="16" s="1"/>
  <c r="FL18" i="14"/>
  <c r="FM18" i="14" s="1"/>
  <c r="AX88" i="14"/>
  <c r="ES49" i="14"/>
  <c r="AF77" i="14"/>
  <c r="K60" i="16"/>
  <c r="CR77" i="14"/>
  <c r="CS77" i="14" s="1"/>
  <c r="CQ79" i="14"/>
  <c r="I19" i="17" s="1"/>
  <c r="BZ63" i="14"/>
  <c r="CA63" i="14" s="1"/>
  <c r="I47" i="16"/>
  <c r="EB40" i="14"/>
  <c r="EC40" i="14" s="1"/>
  <c r="O24" i="16"/>
  <c r="W88" i="14"/>
  <c r="AY49" i="14"/>
  <c r="AZ49" i="14" s="1"/>
  <c r="G33" i="16"/>
  <c r="FD40" i="14"/>
  <c r="D70" i="16"/>
  <c r="X87" i="14"/>
  <c r="Y87" i="14" s="1"/>
  <c r="AH99" i="14"/>
  <c r="AH101" i="14" s="1"/>
  <c r="I17" i="16"/>
  <c r="BZ33" i="14"/>
  <c r="CA33" i="14" s="1"/>
  <c r="FK77" i="14"/>
  <c r="BZ82" i="14"/>
  <c r="CA82" i="14" s="1"/>
  <c r="I65" i="16"/>
  <c r="EJ77" i="14"/>
  <c r="EA77" i="14"/>
  <c r="EA79" i="14" s="1"/>
  <c r="I23" i="17" s="1"/>
  <c r="BY77" i="14"/>
  <c r="E33" i="16"/>
  <c r="AG49" i="14"/>
  <c r="AH49" i="14" s="1"/>
  <c r="EC74" i="14"/>
  <c r="O66" i="16"/>
  <c r="EB83" i="14"/>
  <c r="EC83" i="14" s="1"/>
  <c r="EK62" i="14"/>
  <c r="EL62" i="14" s="1"/>
  <c r="P46" i="16"/>
  <c r="ES88" i="14"/>
  <c r="I66" i="16"/>
  <c r="BZ83" i="14"/>
  <c r="CA83" i="14" s="1"/>
  <c r="F46" i="16"/>
  <c r="AP62" i="14"/>
  <c r="AQ62" i="14" s="1"/>
  <c r="CQ49" i="14"/>
  <c r="M26" i="16"/>
  <c r="DJ42" i="14"/>
  <c r="DK42" i="14" s="1"/>
  <c r="E42" i="16"/>
  <c r="AG58" i="14"/>
  <c r="AH58" i="14" s="1"/>
  <c r="I70" i="16"/>
  <c r="BZ87" i="14"/>
  <c r="CA87" i="14" s="1"/>
  <c r="C42" i="16"/>
  <c r="O58" i="14"/>
  <c r="P58" i="14" s="1"/>
  <c r="I18" i="16"/>
  <c r="BZ34" i="14"/>
  <c r="CA34" i="14" s="1"/>
  <c r="BZ62" i="14"/>
  <c r="CA62" i="14" s="1"/>
  <c r="I46" i="16"/>
  <c r="J26" i="17"/>
  <c r="Q29" i="6" s="1"/>
  <c r="S29" i="6" s="1"/>
  <c r="EK82" i="14"/>
  <c r="EL82" i="14" s="1"/>
  <c r="P65" i="16"/>
  <c r="N88" i="14"/>
  <c r="AO88" i="14"/>
  <c r="O42" i="14"/>
  <c r="P42" i="14" s="1"/>
  <c r="C26" i="16"/>
  <c r="R70" i="16"/>
  <c r="FC87" i="14"/>
  <c r="FD87" i="14" s="1"/>
  <c r="D60" i="16"/>
  <c r="X77" i="14"/>
  <c r="Y77" i="14" s="1"/>
  <c r="I50" i="16"/>
  <c r="BZ66" i="14"/>
  <c r="CA66" i="14" s="1"/>
  <c r="AO49" i="14"/>
  <c r="P75" i="14"/>
  <c r="ET42" i="14"/>
  <c r="EU42" i="14" s="1"/>
  <c r="F59" i="16"/>
  <c r="AP76" i="14"/>
  <c r="AQ76" i="14" s="1"/>
  <c r="F70" i="16"/>
  <c r="AP87" i="14"/>
  <c r="AQ87" i="14" s="1"/>
  <c r="G46" i="16"/>
  <c r="AY62" i="14"/>
  <c r="AZ62" i="14" s="1"/>
  <c r="O59" i="16"/>
  <c r="EB76" i="14"/>
  <c r="EC76" i="14" s="1"/>
  <c r="G59" i="16"/>
  <c r="AY76" i="14"/>
  <c r="AZ76" i="14" s="1"/>
  <c r="G26" i="16"/>
  <c r="AY42" i="14"/>
  <c r="AZ42" i="14" s="1"/>
  <c r="AH75" i="14"/>
  <c r="P70" i="16"/>
  <c r="EK87" i="14"/>
  <c r="EL87" i="14" s="1"/>
  <c r="FB101" i="14"/>
  <c r="K26" i="17" s="1"/>
  <c r="R93" i="16"/>
  <c r="FC99" i="14"/>
  <c r="FC101" i="14" s="1"/>
  <c r="CH49" i="14"/>
  <c r="M42" i="16"/>
  <c r="DJ58" i="14"/>
  <c r="DK58" i="14" s="1"/>
  <c r="FK88" i="14"/>
  <c r="DI49" i="14"/>
  <c r="I24" i="16"/>
  <c r="BZ40" i="14"/>
  <c r="CA40" i="14" s="1"/>
  <c r="BP88" i="14"/>
  <c r="FC62" i="14"/>
  <c r="FD62" i="14" s="1"/>
  <c r="R46" i="16"/>
  <c r="K46" i="16"/>
  <c r="CR62" i="14"/>
  <c r="CS62" i="14" s="1"/>
  <c r="L70" i="16"/>
  <c r="DA87" i="14"/>
  <c r="DB87" i="14" s="1"/>
  <c r="N59" i="16"/>
  <c r="DS76" i="14"/>
  <c r="DT76" i="14" s="1"/>
  <c r="S84" i="16"/>
  <c r="U84" i="16" s="1"/>
  <c r="V84" i="16" s="1"/>
  <c r="W84" i="16" s="1"/>
  <c r="FL16" i="14"/>
  <c r="FB88" i="14"/>
  <c r="I93" i="16"/>
  <c r="BZ99" i="14"/>
  <c r="BZ101" i="14" s="1"/>
  <c r="BY101" i="14"/>
  <c r="K17" i="17" s="1"/>
  <c r="S33" i="16"/>
  <c r="FL49" i="14"/>
  <c r="FM49" i="14" s="1"/>
  <c r="N70" i="16"/>
  <c r="DS87" i="14"/>
  <c r="DT87" i="14" s="1"/>
  <c r="AO101" i="14"/>
  <c r="K13" i="17" s="1"/>
  <c r="F93" i="16"/>
  <c r="F96" i="16" s="1"/>
  <c r="AP99" i="14"/>
  <c r="AP101" i="14" s="1"/>
  <c r="P99" i="14"/>
  <c r="P101" i="14" s="1"/>
  <c r="O101" i="14"/>
  <c r="BZ26" i="14"/>
  <c r="CA26" i="14" s="1"/>
  <c r="I10" i="16"/>
  <c r="G60" i="16"/>
  <c r="AY77" i="14"/>
  <c r="AZ77" i="14" s="1"/>
  <c r="DR77" i="14"/>
  <c r="CH101" i="14"/>
  <c r="K18" i="17" s="1"/>
  <c r="J21" i="7" s="1"/>
  <c r="J93" i="16"/>
  <c r="CI99" i="14"/>
  <c r="CI101" i="14" s="1"/>
  <c r="DA49" i="14"/>
  <c r="DB49" i="14" s="1"/>
  <c r="L33" i="16"/>
  <c r="CZ77" i="14"/>
  <c r="DS84" i="14"/>
  <c r="DT84" i="14" s="1"/>
  <c r="N67" i="16"/>
  <c r="BP49" i="14"/>
  <c r="C33" i="16"/>
  <c r="O49" i="14"/>
  <c r="P49" i="14" s="1"/>
  <c r="N77" i="14"/>
  <c r="DJ87" i="14"/>
  <c r="M70" i="16"/>
  <c r="FK22" i="14"/>
  <c r="J70" i="16"/>
  <c r="CI87" i="14"/>
  <c r="CJ87" i="14" s="1"/>
  <c r="C70" i="16"/>
  <c r="O87" i="14"/>
  <c r="P87" i="14" s="1"/>
  <c r="F60" i="16"/>
  <c r="AP77" i="14"/>
  <c r="AQ77" i="14" s="1"/>
  <c r="BP77" i="14"/>
  <c r="CH88" i="14"/>
  <c r="FB49" i="14"/>
  <c r="DI88" i="14"/>
  <c r="E46" i="16"/>
  <c r="AG62" i="14"/>
  <c r="AH62" i="14" s="1"/>
  <c r="E59" i="16"/>
  <c r="AG76" i="14"/>
  <c r="AH76" i="14" s="1"/>
  <c r="BY88" i="14"/>
  <c r="J42" i="16"/>
  <c r="CI58" i="14"/>
  <c r="CJ58" i="14" s="1"/>
  <c r="EA49" i="14"/>
  <c r="DR88" i="14"/>
  <c r="K71" i="16"/>
  <c r="CR88" i="14"/>
  <c r="CS88" i="14" s="1"/>
  <c r="D33" i="16"/>
  <c r="X49" i="14"/>
  <c r="Y49" i="14" s="1"/>
  <c r="ES77" i="14"/>
  <c r="P82" i="14"/>
  <c r="M46" i="16"/>
  <c r="DJ62" i="14"/>
  <c r="DK62" i="14" s="1"/>
  <c r="N26" i="16"/>
  <c r="DS42" i="14"/>
  <c r="W79" i="14"/>
  <c r="I11" i="17" s="1"/>
  <c r="EB42" i="14"/>
  <c r="EC42" i="14" s="1"/>
  <c r="O26" i="16"/>
  <c r="BZ51" i="14"/>
  <c r="CA51" i="14" s="1"/>
  <c r="I35" i="16"/>
  <c r="AF88" i="14"/>
  <c r="G70" i="16"/>
  <c r="AY87" i="14"/>
  <c r="AZ87" i="14" s="1"/>
  <c r="CI77" i="14"/>
  <c r="J60" i="16"/>
  <c r="P24" i="16"/>
  <c r="EK40" i="14"/>
  <c r="EL40" i="14" s="1"/>
  <c r="FK101" i="14"/>
  <c r="K27" i="17" s="1"/>
  <c r="S93" i="16"/>
  <c r="FL99" i="14"/>
  <c r="FL101" i="14" s="1"/>
  <c r="J24" i="17"/>
  <c r="I44" i="16"/>
  <c r="BZ60" i="14"/>
  <c r="CA60" i="14" s="1"/>
  <c r="M59" i="16"/>
  <c r="DJ76" i="14"/>
  <c r="DK76" i="14" s="1"/>
  <c r="J46" i="16"/>
  <c r="CI62" i="14"/>
  <c r="CJ62" i="14" s="1"/>
  <c r="I52" i="16"/>
  <c r="BZ68" i="14"/>
  <c r="CA68" i="14" s="1"/>
  <c r="EA88" i="14"/>
  <c r="DI77" i="14"/>
  <c r="DI79" i="14" s="1"/>
  <c r="I21" i="17" s="1"/>
  <c r="DB99" i="14"/>
  <c r="DB101" i="14" s="1"/>
  <c r="I33" i="9"/>
  <c r="I34" i="9" s="1"/>
  <c r="M55" i="14"/>
  <c r="N55" i="14" s="1"/>
  <c r="AN89" i="14"/>
  <c r="AO89" i="14" s="1"/>
  <c r="CG89" i="14"/>
  <c r="CH89" i="14" s="1"/>
  <c r="AE89" i="14"/>
  <c r="AF89" i="14" s="1"/>
  <c r="DQ89" i="14"/>
  <c r="DR89" i="14" s="1"/>
  <c r="FA89" i="14"/>
  <c r="FB89" i="14" s="1"/>
  <c r="BX89" i="14"/>
  <c r="BY89" i="14" s="1"/>
  <c r="V89" i="14"/>
  <c r="W89" i="14" s="1"/>
  <c r="CP89" i="14"/>
  <c r="CQ89" i="14" s="1"/>
  <c r="BO89" i="14"/>
  <c r="BP89" i="14" s="1"/>
  <c r="DH89" i="14"/>
  <c r="DI89" i="14" s="1"/>
  <c r="M89" i="14"/>
  <c r="N89" i="14" s="1"/>
  <c r="DZ89" i="14"/>
  <c r="EA89" i="14" s="1"/>
  <c r="CY89" i="14"/>
  <c r="CZ89" i="14" s="1"/>
  <c r="ER89" i="14"/>
  <c r="ES89" i="14" s="1"/>
  <c r="AW89" i="14"/>
  <c r="AX89" i="14" s="1"/>
  <c r="FJ89" i="14"/>
  <c r="FK89" i="14" s="1"/>
  <c r="EI89" i="14"/>
  <c r="EJ89" i="14" s="1"/>
  <c r="U85" i="16"/>
  <c r="V85" i="16" s="1"/>
  <c r="W85" i="16" s="1"/>
  <c r="N30" i="2"/>
  <c r="K30" i="9"/>
  <c r="L16" i="7"/>
  <c r="F15" i="6"/>
  <c r="E5" i="23" s="1"/>
  <c r="G15" i="6"/>
  <c r="H15" i="6"/>
  <c r="M16" i="7"/>
  <c r="I32" i="31"/>
  <c r="G15" i="1"/>
  <c r="J36" i="3"/>
  <c r="J32" i="31" s="1"/>
  <c r="AN55" i="14"/>
  <c r="AO55" i="14" s="1"/>
  <c r="FA55" i="14"/>
  <c r="FB55" i="14" s="1"/>
  <c r="N16" i="7"/>
  <c r="V55" i="14"/>
  <c r="W55" i="14" s="1"/>
  <c r="H16" i="7"/>
  <c r="CG55" i="14"/>
  <c r="CH55" i="14" s="1"/>
  <c r="DH55" i="14"/>
  <c r="E16" i="7"/>
  <c r="F6" i="23" s="1"/>
  <c r="AE55" i="14"/>
  <c r="FJ55" i="14"/>
  <c r="DQ55" i="14"/>
  <c r="DR55" i="14" s="1"/>
  <c r="G16" i="7"/>
  <c r="F16" i="7"/>
  <c r="O16" i="7"/>
  <c r="BX55" i="14"/>
  <c r="AW55" i="14"/>
  <c r="AX55" i="14" s="1"/>
  <c r="CP55" i="14"/>
  <c r="CQ55" i="14" s="1"/>
  <c r="EI55" i="14"/>
  <c r="K16" i="7"/>
  <c r="P16" i="7"/>
  <c r="R16" i="7" s="1"/>
  <c r="I16" i="7"/>
  <c r="BO90" i="14"/>
  <c r="DQ90" i="14"/>
  <c r="BX90" i="14"/>
  <c r="BY90" i="14" s="1"/>
  <c r="CG90" i="14"/>
  <c r="AN90" i="14"/>
  <c r="CP90" i="14"/>
  <c r="FJ90" i="14"/>
  <c r="AE90" i="14"/>
  <c r="ER90" i="14"/>
  <c r="CY90" i="14"/>
  <c r="M90" i="14"/>
  <c r="N90" i="14" s="1"/>
  <c r="DH90" i="14"/>
  <c r="EI90" i="14"/>
  <c r="V90" i="14"/>
  <c r="O90" i="16"/>
  <c r="I19" i="7"/>
  <c r="H96" i="16"/>
  <c r="J23" i="7"/>
  <c r="H14" i="6"/>
  <c r="O25" i="6"/>
  <c r="N90" i="16"/>
  <c r="C96" i="16"/>
  <c r="J14" i="7"/>
  <c r="O15" i="6"/>
  <c r="I15" i="6"/>
  <c r="O17" i="6"/>
  <c r="H17" i="6"/>
  <c r="G17" i="6"/>
  <c r="F17" i="6"/>
  <c r="E7" i="23" s="1"/>
  <c r="CY55" i="14"/>
  <c r="CZ55" i="14" s="1"/>
  <c r="BO55" i="14"/>
  <c r="DZ90" i="14"/>
  <c r="EA90" i="14" s="1"/>
  <c r="AW90" i="14"/>
  <c r="AZ98" i="14" s="1"/>
  <c r="ER55" i="14"/>
  <c r="L19" i="9"/>
  <c r="FI101" i="14"/>
  <c r="DY96" i="14"/>
  <c r="EH49" i="14"/>
  <c r="EJ49" i="14" s="1"/>
  <c r="EG71" i="14"/>
  <c r="O28" i="7"/>
  <c r="L28" i="7"/>
  <c r="P28" i="7"/>
  <c r="R28" i="7" s="1"/>
  <c r="N28" i="7"/>
  <c r="I28" i="7"/>
  <c r="J28" i="7"/>
  <c r="K28" i="7"/>
  <c r="E28" i="7"/>
  <c r="F18" i="23" s="1"/>
  <c r="G28" i="7"/>
  <c r="F28" i="7"/>
  <c r="H28" i="7"/>
  <c r="M28" i="7"/>
  <c r="DX103" i="14"/>
  <c r="EH88" i="14"/>
  <c r="EJ88" i="14" s="1"/>
  <c r="O26" i="2"/>
  <c r="R26" i="2" s="1"/>
  <c r="L26" i="9"/>
  <c r="EH58" i="14"/>
  <c r="EJ58" i="14" s="1"/>
  <c r="EH42" i="14"/>
  <c r="EJ42" i="14" s="1"/>
  <c r="BW101" i="14"/>
  <c r="EH90" i="14"/>
  <c r="Q29" i="3"/>
  <c r="O29" i="9"/>
  <c r="P29" i="9" s="1"/>
  <c r="E29" i="2"/>
  <c r="R29" i="2"/>
  <c r="N15" i="9"/>
  <c r="P15" i="6"/>
  <c r="J28" i="6"/>
  <c r="H28" i="6"/>
  <c r="O28" i="6"/>
  <c r="I28" i="6"/>
  <c r="G28" i="6"/>
  <c r="K28" i="6"/>
  <c r="M28" i="6"/>
  <c r="F28" i="6"/>
  <c r="E18" i="23" s="1"/>
  <c r="Q28" i="6"/>
  <c r="S28" i="6" s="1"/>
  <c r="N28" i="6"/>
  <c r="P28" i="6"/>
  <c r="L28" i="6"/>
  <c r="K17" i="6"/>
  <c r="I17" i="6"/>
  <c r="J17" i="6"/>
  <c r="L17" i="6"/>
  <c r="M17" i="6"/>
  <c r="N17" i="6"/>
  <c r="BV103" i="14"/>
  <c r="M25" i="9"/>
  <c r="N17" i="9"/>
  <c r="P17" i="6"/>
  <c r="M14" i="9"/>
  <c r="L19" i="6"/>
  <c r="I19" i="6"/>
  <c r="K19" i="6"/>
  <c r="H19" i="6"/>
  <c r="F19" i="6"/>
  <c r="E9" i="23" s="1"/>
  <c r="G19" i="6"/>
  <c r="J19" i="6"/>
  <c r="M19" i="6"/>
  <c r="N19" i="6"/>
  <c r="O19" i="6"/>
  <c r="N142" i="26"/>
  <c r="M145" i="26"/>
  <c r="M147" i="26" s="1"/>
  <c r="K20" i="6"/>
  <c r="L20" i="6"/>
  <c r="I20" i="6"/>
  <c r="N20" i="6"/>
  <c r="F20" i="6"/>
  <c r="E10" i="23" s="1"/>
  <c r="O20" i="6"/>
  <c r="M20" i="6"/>
  <c r="H20" i="6"/>
  <c r="G20" i="6"/>
  <c r="J20" i="6"/>
  <c r="P20" i="6"/>
  <c r="Q20" i="6"/>
  <c r="S20" i="6" s="1"/>
  <c r="H16" i="6"/>
  <c r="O16" i="6"/>
  <c r="J16" i="6"/>
  <c r="K16" i="6"/>
  <c r="P16" i="6"/>
  <c r="M16" i="6"/>
  <c r="F16" i="6"/>
  <c r="E6" i="23" s="1"/>
  <c r="G16" i="6"/>
  <c r="Q16" i="6"/>
  <c r="S16" i="6" s="1"/>
  <c r="L16" i="6"/>
  <c r="N16" i="6"/>
  <c r="I16" i="6"/>
  <c r="G23" i="6"/>
  <c r="F23" i="6"/>
  <c r="E13" i="23" s="1"/>
  <c r="H23" i="6"/>
  <c r="I23" i="6"/>
  <c r="J23" i="6"/>
  <c r="E12" i="23"/>
  <c r="S22" i="6"/>
  <c r="M23" i="2"/>
  <c r="J23" i="9"/>
  <c r="J33" i="9" s="1"/>
  <c r="L23" i="6"/>
  <c r="L33" i="2"/>
  <c r="I13" i="1" s="1"/>
  <c r="K18" i="6"/>
  <c r="P18" i="6"/>
  <c r="M18" i="6"/>
  <c r="H18" i="6"/>
  <c r="J18" i="6"/>
  <c r="O18" i="6"/>
  <c r="L18" i="6"/>
  <c r="F18" i="6"/>
  <c r="E8" i="23" s="1"/>
  <c r="G18" i="6"/>
  <c r="N18" i="6"/>
  <c r="I18" i="6"/>
  <c r="Q18" i="6"/>
  <c r="S18" i="6" s="1"/>
  <c r="G24" i="6"/>
  <c r="H24" i="6"/>
  <c r="M24" i="6"/>
  <c r="J24" i="6"/>
  <c r="F24" i="6"/>
  <c r="E14" i="23" s="1"/>
  <c r="Q24" i="6"/>
  <c r="S24" i="6" s="1"/>
  <c r="N24" i="6"/>
  <c r="L24" i="6"/>
  <c r="O24" i="6"/>
  <c r="I24" i="6"/>
  <c r="K24" i="6"/>
  <c r="P24" i="6"/>
  <c r="BW96" i="14"/>
  <c r="EH83" i="14"/>
  <c r="EJ83" i="14" s="1"/>
  <c r="G21" i="6"/>
  <c r="L21" i="6"/>
  <c r="M21" i="6"/>
  <c r="K21" i="6"/>
  <c r="F21" i="6"/>
  <c r="E11" i="23" s="1"/>
  <c r="N21" i="6"/>
  <c r="I21" i="6"/>
  <c r="J21" i="6"/>
  <c r="H21" i="6"/>
  <c r="O21" i="6"/>
  <c r="P21" i="6"/>
  <c r="Q21" i="6"/>
  <c r="S21" i="6" s="1"/>
  <c r="K15" i="6"/>
  <c r="J15" i="6"/>
  <c r="L15" i="6"/>
  <c r="M15" i="6"/>
  <c r="N15" i="6"/>
  <c r="EG96" i="14"/>
  <c r="FI22" i="14"/>
  <c r="L42" i="16" l="1"/>
  <c r="EY93" i="14"/>
  <c r="EQ93" i="14"/>
  <c r="EQ96" i="14" s="1"/>
  <c r="EP96" i="14"/>
  <c r="EP103" i="14" s="1"/>
  <c r="N22" i="28"/>
  <c r="O22" i="28"/>
  <c r="P22" i="28"/>
  <c r="M22" i="28"/>
  <c r="H42" i="16"/>
  <c r="X58" i="14"/>
  <c r="Y58" i="14" s="1"/>
  <c r="AZ79" i="14"/>
  <c r="O39" i="16"/>
  <c r="G42" i="16"/>
  <c r="DS58" i="14"/>
  <c r="DT58" i="14" s="1"/>
  <c r="BR58" i="14"/>
  <c r="I42" i="16"/>
  <c r="CR58" i="14"/>
  <c r="CS58" i="14" s="1"/>
  <c r="BI103" i="14"/>
  <c r="BI107" i="14" s="1"/>
  <c r="BI109" i="14" s="1"/>
  <c r="FC58" i="14"/>
  <c r="FD58" i="14" s="1"/>
  <c r="EB58" i="14"/>
  <c r="EC58" i="14" s="1"/>
  <c r="O42" i="16"/>
  <c r="K42" i="16"/>
  <c r="AY58" i="14"/>
  <c r="AZ58" i="14" s="1"/>
  <c r="AP58" i="14"/>
  <c r="AQ58" i="14" s="1"/>
  <c r="FL58" i="14"/>
  <c r="FM58" i="14" s="1"/>
  <c r="DZ91" i="14"/>
  <c r="EA91" i="14" s="1"/>
  <c r="EB91" i="14" s="1"/>
  <c r="BF91" i="14"/>
  <c r="BG91" i="14" s="1"/>
  <c r="BI98" i="14"/>
  <c r="BG90" i="14"/>
  <c r="EU58" i="14"/>
  <c r="BH55" i="14"/>
  <c r="BI55" i="14" s="1"/>
  <c r="FB90" i="14"/>
  <c r="R73" i="16" s="1"/>
  <c r="FD79" i="14"/>
  <c r="CI79" i="14"/>
  <c r="AP79" i="14"/>
  <c r="Y79" i="14"/>
  <c r="X79" i="14"/>
  <c r="CR79" i="14"/>
  <c r="FC79" i="14"/>
  <c r="AY79" i="14"/>
  <c r="AQ79" i="14"/>
  <c r="FM99" i="14"/>
  <c r="FM101" i="14" s="1"/>
  <c r="CJ99" i="14"/>
  <c r="CJ101" i="14" s="1"/>
  <c r="DS49" i="14"/>
  <c r="DT49" i="14" s="1"/>
  <c r="FD99" i="14"/>
  <c r="FD101" i="14" s="1"/>
  <c r="CJ77" i="14"/>
  <c r="CJ79" i="14" s="1"/>
  <c r="AQ99" i="14"/>
  <c r="AQ101" i="14" s="1"/>
  <c r="O73" i="16"/>
  <c r="EB90" i="14"/>
  <c r="EC90" i="14" s="1"/>
  <c r="R72" i="16"/>
  <c r="FC89" i="14"/>
  <c r="FD89" i="14" s="1"/>
  <c r="K39" i="16"/>
  <c r="CR55" i="14"/>
  <c r="CS55" i="14" s="1"/>
  <c r="DK87" i="14"/>
  <c r="DT42" i="14"/>
  <c r="N60" i="16"/>
  <c r="N62" i="16" s="1"/>
  <c r="DS77" i="14"/>
  <c r="DS79" i="14" s="1"/>
  <c r="C73" i="16"/>
  <c r="O90" i="14"/>
  <c r="P90" i="14" s="1"/>
  <c r="N39" i="16"/>
  <c r="DS55" i="14"/>
  <c r="DT55" i="14" s="1"/>
  <c r="P66" i="16"/>
  <c r="EK83" i="14"/>
  <c r="EL83" i="14" s="1"/>
  <c r="DB98" i="14"/>
  <c r="CZ90" i="14"/>
  <c r="FK55" i="14"/>
  <c r="D71" i="16"/>
  <c r="X88" i="14"/>
  <c r="Y88" i="14"/>
  <c r="EB88" i="14"/>
  <c r="EC88" i="14" s="1"/>
  <c r="O71" i="16"/>
  <c r="CS79" i="14"/>
  <c r="G39" i="16"/>
  <c r="AY55" i="14"/>
  <c r="AZ55" i="14" s="1"/>
  <c r="EU98" i="14"/>
  <c r="ES90" i="14"/>
  <c r="AF55" i="14"/>
  <c r="EK89" i="14"/>
  <c r="EL89" i="14" s="1"/>
  <c r="P72" i="16"/>
  <c r="AH98" i="14"/>
  <c r="AF90" i="14"/>
  <c r="FL89" i="14"/>
  <c r="FM89" i="14" s="1"/>
  <c r="S72" i="16"/>
  <c r="J27" i="17"/>
  <c r="P71" i="16"/>
  <c r="EK88" i="14"/>
  <c r="EL88" i="14" s="1"/>
  <c r="ET49" i="14"/>
  <c r="EU49" i="14" s="1"/>
  <c r="C71" i="16"/>
  <c r="O88" i="14"/>
  <c r="G72" i="16"/>
  <c r="AY89" i="14"/>
  <c r="AZ89" i="14" s="1"/>
  <c r="J39" i="16"/>
  <c r="CI55" i="14"/>
  <c r="CJ55" i="14" s="1"/>
  <c r="M71" i="16"/>
  <c r="DJ88" i="14"/>
  <c r="H33" i="16"/>
  <c r="BQ49" i="14"/>
  <c r="BR49" i="14" s="1"/>
  <c r="I73" i="16"/>
  <c r="BZ90" i="14"/>
  <c r="CA90" i="14" s="1"/>
  <c r="K33" i="16"/>
  <c r="CR49" i="14"/>
  <c r="CS49" i="14" s="1"/>
  <c r="CS98" i="14"/>
  <c r="CQ90" i="14"/>
  <c r="L72" i="16"/>
  <c r="DA89" i="14"/>
  <c r="DB89" i="14"/>
  <c r="ET77" i="14"/>
  <c r="ET79" i="14" s="1"/>
  <c r="ES79" i="14"/>
  <c r="O28" i="28" s="1"/>
  <c r="CA99" i="14"/>
  <c r="CA101" i="14" s="1"/>
  <c r="DR79" i="14"/>
  <c r="I22" i="17" s="1"/>
  <c r="BY55" i="14"/>
  <c r="EL98" i="14"/>
  <c r="EB89" i="14"/>
  <c r="EC89" i="14" s="1"/>
  <c r="O72" i="16"/>
  <c r="FL77" i="14"/>
  <c r="FL79" i="14" s="1"/>
  <c r="S60" i="16"/>
  <c r="S62" i="16" s="1"/>
  <c r="FK79" i="14"/>
  <c r="I27" i="17" s="1"/>
  <c r="O89" i="14"/>
  <c r="P89" i="14" s="1"/>
  <c r="C72" i="16"/>
  <c r="E71" i="16"/>
  <c r="AG88" i="14"/>
  <c r="AH88" i="14" s="1"/>
  <c r="ES55" i="14"/>
  <c r="P60" i="16"/>
  <c r="P62" i="16" s="1"/>
  <c r="EK77" i="14"/>
  <c r="EK79" i="14" s="1"/>
  <c r="EJ79" i="14"/>
  <c r="I24" i="17" s="1"/>
  <c r="ET89" i="14"/>
  <c r="EU89" i="14" s="1"/>
  <c r="FC55" i="14"/>
  <c r="FD55" i="14" s="1"/>
  <c r="R39" i="16"/>
  <c r="DI55" i="14"/>
  <c r="DJ89" i="14"/>
  <c r="DK89" i="14" s="1"/>
  <c r="M72" i="16"/>
  <c r="AP55" i="14"/>
  <c r="AQ55" i="14" s="1"/>
  <c r="F39" i="16"/>
  <c r="R71" i="16"/>
  <c r="FC88" i="14"/>
  <c r="FD88" i="14" s="1"/>
  <c r="H60" i="16"/>
  <c r="H62" i="16" s="1"/>
  <c r="BQ77" i="14"/>
  <c r="BQ79" i="14" s="1"/>
  <c r="BP79" i="14"/>
  <c r="I15" i="17" s="1"/>
  <c r="C60" i="16"/>
  <c r="C62" i="16" s="1"/>
  <c r="O77" i="14"/>
  <c r="N79" i="14"/>
  <c r="I10" i="17" s="1"/>
  <c r="C39" i="16"/>
  <c r="O55" i="14"/>
  <c r="P55" i="14" s="1"/>
  <c r="DK98" i="14"/>
  <c r="DI90" i="14"/>
  <c r="H71" i="16"/>
  <c r="BQ88" i="14"/>
  <c r="BR88" i="14" s="1"/>
  <c r="FM98" i="14"/>
  <c r="FK90" i="14"/>
  <c r="CJ98" i="14"/>
  <c r="CH90" i="14"/>
  <c r="EK58" i="14"/>
  <c r="EL58" i="14" s="1"/>
  <c r="P42" i="16"/>
  <c r="E17" i="7"/>
  <c r="F7" i="23" s="1"/>
  <c r="CA98" i="14"/>
  <c r="H72" i="16"/>
  <c r="BQ89" i="14"/>
  <c r="BR89" i="14" s="1"/>
  <c r="J30" i="7"/>
  <c r="DT98" i="14"/>
  <c r="DR90" i="14"/>
  <c r="K72" i="16"/>
  <c r="CR89" i="14"/>
  <c r="CS89" i="14" s="1"/>
  <c r="M60" i="16"/>
  <c r="M62" i="16" s="1"/>
  <c r="DJ77" i="14"/>
  <c r="DJ79" i="14" s="1"/>
  <c r="R33" i="16"/>
  <c r="FC49" i="14"/>
  <c r="FD49" i="14" s="1"/>
  <c r="DJ49" i="14"/>
  <c r="DK49" i="14" s="1"/>
  <c r="M33" i="16"/>
  <c r="N72" i="16"/>
  <c r="DS89" i="14"/>
  <c r="DT89" i="14" s="1"/>
  <c r="J72" i="16"/>
  <c r="CI89" i="14"/>
  <c r="CJ89" i="14" s="1"/>
  <c r="ET88" i="14"/>
  <c r="EU88" i="14" s="1"/>
  <c r="BP55" i="14"/>
  <c r="F72" i="16"/>
  <c r="AP89" i="14"/>
  <c r="AQ89" i="14" s="1"/>
  <c r="DA55" i="14"/>
  <c r="DB55" i="14" s="1"/>
  <c r="L39" i="16"/>
  <c r="Y98" i="14"/>
  <c r="W90" i="14"/>
  <c r="I71" i="16"/>
  <c r="BZ88" i="14"/>
  <c r="CA88" i="14" s="1"/>
  <c r="G71" i="16"/>
  <c r="AY88" i="14"/>
  <c r="AZ88" i="14" s="1"/>
  <c r="AQ98" i="14"/>
  <c r="AO90" i="14"/>
  <c r="D39" i="16"/>
  <c r="X55" i="14"/>
  <c r="Y55" i="14" s="1"/>
  <c r="P26" i="16"/>
  <c r="EK42" i="14"/>
  <c r="EL42" i="14" s="1"/>
  <c r="BR98" i="14"/>
  <c r="BP90" i="14"/>
  <c r="I60" i="16"/>
  <c r="BZ77" i="14"/>
  <c r="BZ79" i="14" s="1"/>
  <c r="BY79" i="14"/>
  <c r="I17" i="17" s="1"/>
  <c r="EK49" i="14"/>
  <c r="EL49" i="14" s="1"/>
  <c r="P33" i="16"/>
  <c r="N71" i="16"/>
  <c r="DS88" i="14"/>
  <c r="DT88" i="14" s="1"/>
  <c r="L60" i="16"/>
  <c r="L62" i="16" s="1"/>
  <c r="DA77" i="14"/>
  <c r="DA79" i="14" s="1"/>
  <c r="CZ79" i="14"/>
  <c r="I20" i="17" s="1"/>
  <c r="F33" i="16"/>
  <c r="AP49" i="14"/>
  <c r="AQ49" i="14" s="1"/>
  <c r="AX90" i="14"/>
  <c r="EJ55" i="14"/>
  <c r="E72" i="16"/>
  <c r="AG89" i="14"/>
  <c r="AH89" i="14" s="1"/>
  <c r="EB49" i="14"/>
  <c r="EC49" i="14" s="1"/>
  <c r="O33" i="16"/>
  <c r="E60" i="16"/>
  <c r="E62" i="16" s="1"/>
  <c r="AG77" i="14"/>
  <c r="AH77" i="14" s="1"/>
  <c r="AH79" i="14" s="1"/>
  <c r="AF79" i="14"/>
  <c r="I12" i="17" s="1"/>
  <c r="EC98" i="14"/>
  <c r="CI49" i="14"/>
  <c r="CJ49" i="14" s="1"/>
  <c r="J33" i="16"/>
  <c r="F71" i="16"/>
  <c r="AP88" i="14"/>
  <c r="D72" i="16"/>
  <c r="X89" i="14"/>
  <c r="Y89" i="14" s="1"/>
  <c r="FL22" i="14"/>
  <c r="EJ90" i="14"/>
  <c r="BZ89" i="14"/>
  <c r="CA89" i="14" s="1"/>
  <c r="I72" i="16"/>
  <c r="J71" i="16"/>
  <c r="CI88" i="14"/>
  <c r="CJ88" i="14" s="1"/>
  <c r="FM16" i="14"/>
  <c r="FM22" i="14" s="1"/>
  <c r="S71" i="16"/>
  <c r="FL88" i="14"/>
  <c r="FM88" i="14" s="1"/>
  <c r="O60" i="16"/>
  <c r="EB77" i="14"/>
  <c r="EB79" i="14" s="1"/>
  <c r="EI91" i="14"/>
  <c r="ER91" i="14"/>
  <c r="G24" i="28"/>
  <c r="H21" i="28"/>
  <c r="J62" i="16"/>
  <c r="K62" i="16"/>
  <c r="G17" i="28"/>
  <c r="F62" i="16"/>
  <c r="G15" i="28"/>
  <c r="D62" i="16"/>
  <c r="V91" i="14"/>
  <c r="W91" i="14" s="1"/>
  <c r="FJ91" i="14"/>
  <c r="BX91" i="14"/>
  <c r="BY91" i="14" s="1"/>
  <c r="CP91" i="14"/>
  <c r="CQ91" i="14" s="1"/>
  <c r="BO91" i="14"/>
  <c r="CG91" i="14"/>
  <c r="CH91" i="14" s="1"/>
  <c r="AE91" i="14"/>
  <c r="CY91" i="14"/>
  <c r="DH91" i="14"/>
  <c r="AW91" i="14"/>
  <c r="AX91" i="14" s="1"/>
  <c r="FA91" i="14"/>
  <c r="DQ91" i="14"/>
  <c r="AN91" i="14"/>
  <c r="M91" i="14"/>
  <c r="N91" i="14" s="1"/>
  <c r="O30" i="2"/>
  <c r="N30" i="7" s="1"/>
  <c r="L30" i="9"/>
  <c r="P21" i="7"/>
  <c r="R21" i="7" s="1"/>
  <c r="I30" i="7"/>
  <c r="H21" i="7"/>
  <c r="M30" i="7"/>
  <c r="E21" i="7"/>
  <c r="F11" i="23" s="1"/>
  <c r="H15" i="1"/>
  <c r="K36" i="3"/>
  <c r="E19" i="7"/>
  <c r="F9" i="23" s="1"/>
  <c r="L14" i="7"/>
  <c r="J17" i="7"/>
  <c r="O17" i="7"/>
  <c r="F14" i="6"/>
  <c r="E4" i="23" s="1"/>
  <c r="N19" i="7"/>
  <c r="M19" i="7"/>
  <c r="F19" i="7"/>
  <c r="K30" i="7"/>
  <c r="I21" i="7"/>
  <c r="N21" i="7"/>
  <c r="L30" i="7"/>
  <c r="F30" i="7"/>
  <c r="J19" i="7"/>
  <c r="K19" i="7"/>
  <c r="F21" i="7"/>
  <c r="M21" i="7"/>
  <c r="P98" i="14"/>
  <c r="E30" i="7"/>
  <c r="F20" i="23" s="1"/>
  <c r="H19" i="7"/>
  <c r="L19" i="7"/>
  <c r="K21" i="7"/>
  <c r="G21" i="7"/>
  <c r="Q16" i="7"/>
  <c r="I23" i="7"/>
  <c r="G19" i="7"/>
  <c r="F12" i="23"/>
  <c r="N14" i="7"/>
  <c r="I14" i="7"/>
  <c r="K17" i="7"/>
  <c r="K14" i="7"/>
  <c r="N17" i="7"/>
  <c r="L14" i="6"/>
  <c r="F23" i="7"/>
  <c r="M17" i="7"/>
  <c r="R22" i="7"/>
  <c r="L17" i="7"/>
  <c r="I17" i="7"/>
  <c r="F17" i="7"/>
  <c r="E14" i="7"/>
  <c r="F4" i="23" s="1"/>
  <c r="H17" i="7"/>
  <c r="G17" i="7"/>
  <c r="M14" i="7"/>
  <c r="G14" i="7"/>
  <c r="F14" i="7"/>
  <c r="G30" i="7"/>
  <c r="H30" i="7"/>
  <c r="O21" i="7"/>
  <c r="L21" i="7"/>
  <c r="H14" i="7"/>
  <c r="I14" i="6"/>
  <c r="G14" i="6"/>
  <c r="M14" i="6"/>
  <c r="J14" i="6"/>
  <c r="K14" i="6"/>
  <c r="N14" i="6"/>
  <c r="O14" i="6"/>
  <c r="S90" i="16"/>
  <c r="P90" i="16"/>
  <c r="K23" i="7"/>
  <c r="G23" i="7"/>
  <c r="H23" i="7"/>
  <c r="N27" i="7"/>
  <c r="M24" i="7"/>
  <c r="L26" i="7"/>
  <c r="H20" i="7"/>
  <c r="E23" i="7"/>
  <c r="F13" i="23" s="1"/>
  <c r="I18" i="7"/>
  <c r="G96" i="16"/>
  <c r="N25" i="7"/>
  <c r="N96" i="16"/>
  <c r="O29" i="7"/>
  <c r="J34" i="9"/>
  <c r="Q15" i="3"/>
  <c r="R15" i="2"/>
  <c r="P15" i="29"/>
  <c r="M19" i="9"/>
  <c r="EG103" i="14"/>
  <c r="Q28" i="7"/>
  <c r="EH96" i="14"/>
  <c r="M26" i="9"/>
  <c r="P26" i="9" s="1"/>
  <c r="R16" i="6"/>
  <c r="R14" i="2"/>
  <c r="N14" i="9"/>
  <c r="P14" i="6"/>
  <c r="O14" i="7"/>
  <c r="O15" i="9"/>
  <c r="P15" i="9" s="1"/>
  <c r="E15" i="2"/>
  <c r="Q15" i="6"/>
  <c r="E17" i="2"/>
  <c r="O17" i="9"/>
  <c r="P17" i="9" s="1"/>
  <c r="Q17" i="6"/>
  <c r="P17" i="7"/>
  <c r="N25" i="9"/>
  <c r="P25" i="6"/>
  <c r="R28" i="6"/>
  <c r="E183" i="26" s="1"/>
  <c r="J25" i="6"/>
  <c r="I25" i="6"/>
  <c r="H25" i="6"/>
  <c r="G25" i="6"/>
  <c r="F25" i="6"/>
  <c r="E15" i="23" s="1"/>
  <c r="K25" i="6"/>
  <c r="L25" i="6"/>
  <c r="M25" i="6"/>
  <c r="N25" i="6"/>
  <c r="N145" i="26"/>
  <c r="N147" i="26" s="1"/>
  <c r="O142" i="26"/>
  <c r="R20" i="6"/>
  <c r="J28" i="28"/>
  <c r="N28" i="28"/>
  <c r="F28" i="28"/>
  <c r="G28" i="28"/>
  <c r="H28" i="28"/>
  <c r="I28" i="28"/>
  <c r="K28" i="28"/>
  <c r="L28" i="28"/>
  <c r="M28" i="28"/>
  <c r="E28" i="28"/>
  <c r="K26" i="6"/>
  <c r="H26" i="6"/>
  <c r="Q26" i="6"/>
  <c r="S26" i="6" s="1"/>
  <c r="J26" i="6"/>
  <c r="G26" i="6"/>
  <c r="F26" i="6"/>
  <c r="E16" i="23" s="1"/>
  <c r="P26" i="6"/>
  <c r="I26" i="6"/>
  <c r="L26" i="6"/>
  <c r="M26" i="6"/>
  <c r="N26" i="6"/>
  <c r="O26" i="6"/>
  <c r="N23" i="2"/>
  <c r="K23" i="9"/>
  <c r="K33" i="9" s="1"/>
  <c r="M23" i="6"/>
  <c r="L23" i="7"/>
  <c r="M33" i="2"/>
  <c r="J13" i="1" s="1"/>
  <c r="L29" i="6"/>
  <c r="K29" i="6"/>
  <c r="J29" i="6"/>
  <c r="G29" i="6"/>
  <c r="F29" i="6"/>
  <c r="E19" i="23" s="1"/>
  <c r="I29" i="6"/>
  <c r="H29" i="6"/>
  <c r="M29" i="6"/>
  <c r="N29" i="6"/>
  <c r="O29" i="6"/>
  <c r="P29" i="6"/>
  <c r="R21" i="6"/>
  <c r="R24" i="6"/>
  <c r="E182" i="26" s="1"/>
  <c r="R18" i="6"/>
  <c r="R22" i="6"/>
  <c r="R17" i="2"/>
  <c r="FH93" i="14" l="1"/>
  <c r="EZ93" i="14"/>
  <c r="EZ96" i="14" s="1"/>
  <c r="EY96" i="14"/>
  <c r="EY103" i="14" s="1"/>
  <c r="EL77" i="14"/>
  <c r="EL79" i="14" s="1"/>
  <c r="O74" i="16"/>
  <c r="FC90" i="14"/>
  <c r="FD90" i="14" s="1"/>
  <c r="BF93" i="14"/>
  <c r="BG93" i="14" s="1"/>
  <c r="BF92" i="14"/>
  <c r="BG92" i="14" s="1"/>
  <c r="EC91" i="14"/>
  <c r="BH90" i="14"/>
  <c r="BI90" i="14" s="1"/>
  <c r="BH91" i="14"/>
  <c r="BI91" i="14" s="1"/>
  <c r="P28" i="28"/>
  <c r="Q28" i="28" s="1"/>
  <c r="J19" i="28"/>
  <c r="N14" i="28"/>
  <c r="DK77" i="14"/>
  <c r="DK79" i="14" s="1"/>
  <c r="K23" i="28"/>
  <c r="O16" i="28"/>
  <c r="F27" i="28"/>
  <c r="K74" i="16"/>
  <c r="CR91" i="14"/>
  <c r="CS91" i="14" s="1"/>
  <c r="D73" i="16"/>
  <c r="X90" i="14"/>
  <c r="Y90" i="14" s="1"/>
  <c r="S39" i="16"/>
  <c r="FL55" i="14"/>
  <c r="FM55" i="14" s="1"/>
  <c r="ES91" i="14"/>
  <c r="FL90" i="14"/>
  <c r="FM90" i="14" s="1"/>
  <c r="S73" i="16"/>
  <c r="G73" i="16"/>
  <c r="AY90" i="14"/>
  <c r="AZ90" i="14" s="1"/>
  <c r="EU77" i="14"/>
  <c r="EU79" i="14" s="1"/>
  <c r="E39" i="16"/>
  <c r="AG55" i="14"/>
  <c r="AH55" i="14" s="1"/>
  <c r="L73" i="16"/>
  <c r="DA90" i="14"/>
  <c r="DB90" i="14" s="1"/>
  <c r="AF91" i="14"/>
  <c r="J74" i="16"/>
  <c r="CI91" i="14"/>
  <c r="CJ91" i="14" s="1"/>
  <c r="J73" i="16"/>
  <c r="CI90" i="14"/>
  <c r="CJ90" i="14" s="1"/>
  <c r="EK55" i="14"/>
  <c r="EL55" i="14" s="1"/>
  <c r="P39" i="16"/>
  <c r="FK91" i="14"/>
  <c r="EJ91" i="14"/>
  <c r="CA77" i="14"/>
  <c r="CA79" i="14" s="1"/>
  <c r="DK88" i="14"/>
  <c r="P88" i="14"/>
  <c r="AY91" i="14"/>
  <c r="AZ91" i="14" s="1"/>
  <c r="G74" i="16"/>
  <c r="M39" i="16"/>
  <c r="DJ55" i="14"/>
  <c r="DK55" i="14" s="1"/>
  <c r="D74" i="16"/>
  <c r="X91" i="14"/>
  <c r="Y91" i="14" s="1"/>
  <c r="FM77" i="14"/>
  <c r="FM79" i="14" s="1"/>
  <c r="I39" i="16"/>
  <c r="BZ55" i="14"/>
  <c r="CA55" i="14" s="1"/>
  <c r="CZ91" i="14"/>
  <c r="N25" i="28"/>
  <c r="ET90" i="14"/>
  <c r="EU90" i="14" s="1"/>
  <c r="AQ88" i="14"/>
  <c r="FB91" i="14"/>
  <c r="DI91" i="14"/>
  <c r="N30" i="28"/>
  <c r="EC77" i="14"/>
  <c r="EC79" i="14" s="1"/>
  <c r="C74" i="16"/>
  <c r="O91" i="14"/>
  <c r="P91" i="14" s="1"/>
  <c r="BR77" i="14"/>
  <c r="BR79" i="14" s="1"/>
  <c r="E73" i="16"/>
  <c r="AG90" i="14"/>
  <c r="AH90" i="14" s="1"/>
  <c r="BP91" i="14"/>
  <c r="I74" i="16"/>
  <c r="BZ91" i="14"/>
  <c r="CA91" i="14" s="1"/>
  <c r="AG79" i="14"/>
  <c r="AO91" i="14"/>
  <c r="P77" i="14"/>
  <c r="P79" i="14" s="1"/>
  <c r="O79" i="14"/>
  <c r="ET55" i="14"/>
  <c r="EU55" i="14" s="1"/>
  <c r="BQ55" i="14"/>
  <c r="BR55" i="14" s="1"/>
  <c r="H39" i="16"/>
  <c r="DB77" i="14"/>
  <c r="DB79" i="14" s="1"/>
  <c r="F73" i="16"/>
  <c r="AP90" i="14"/>
  <c r="AQ90" i="14" s="1"/>
  <c r="DT77" i="14"/>
  <c r="DT79" i="14" s="1"/>
  <c r="EK90" i="14"/>
  <c r="EL90" i="14" s="1"/>
  <c r="P73" i="16"/>
  <c r="H73" i="16"/>
  <c r="BQ90" i="14"/>
  <c r="BR90" i="14" s="1"/>
  <c r="K73" i="16"/>
  <c r="CR90" i="14"/>
  <c r="CS90" i="14" s="1"/>
  <c r="M73" i="16"/>
  <c r="DJ90" i="14"/>
  <c r="DK90" i="14" s="1"/>
  <c r="N73" i="16"/>
  <c r="DS90" i="14"/>
  <c r="DT90" i="14" s="1"/>
  <c r="DR91" i="14"/>
  <c r="I19" i="28"/>
  <c r="E25" i="28"/>
  <c r="N19" i="28"/>
  <c r="F25" i="28"/>
  <c r="L19" i="28"/>
  <c r="M25" i="28"/>
  <c r="E19" i="28"/>
  <c r="L25" i="28"/>
  <c r="G19" i="28"/>
  <c r="J25" i="28"/>
  <c r="K19" i="28"/>
  <c r="F19" i="28"/>
  <c r="I25" i="28"/>
  <c r="L27" i="28"/>
  <c r="M27" i="28"/>
  <c r="N27" i="28"/>
  <c r="H25" i="28"/>
  <c r="G30" i="28"/>
  <c r="F30" i="28"/>
  <c r="H15" i="28"/>
  <c r="G21" i="28"/>
  <c r="M24" i="28"/>
  <c r="H23" i="28"/>
  <c r="H16" i="28"/>
  <c r="K15" i="28"/>
  <c r="N17" i="28"/>
  <c r="E23" i="28"/>
  <c r="J21" i="28"/>
  <c r="K17" i="28"/>
  <c r="F17" i="28"/>
  <c r="J16" i="28"/>
  <c r="M16" i="28"/>
  <c r="N21" i="28"/>
  <c r="K24" i="28"/>
  <c r="E16" i="28"/>
  <c r="L21" i="28"/>
  <c r="J17" i="28"/>
  <c r="N24" i="28"/>
  <c r="F24" i="28"/>
  <c r="E17" i="28"/>
  <c r="L16" i="28"/>
  <c r="N16" i="28"/>
  <c r="I23" i="28"/>
  <c r="O21" i="28"/>
  <c r="E21" i="28"/>
  <c r="L15" i="28"/>
  <c r="I24" i="28"/>
  <c r="J24" i="28"/>
  <c r="P17" i="28"/>
  <c r="M19" i="28"/>
  <c r="H19" i="28"/>
  <c r="K25" i="28"/>
  <c r="G25" i="28"/>
  <c r="J27" i="28"/>
  <c r="G27" i="28"/>
  <c r="H27" i="28"/>
  <c r="J30" i="28"/>
  <c r="K30" i="28"/>
  <c r="L30" i="28"/>
  <c r="F15" i="28"/>
  <c r="O27" i="28"/>
  <c r="P27" i="28"/>
  <c r="K27" i="28"/>
  <c r="I30" i="28"/>
  <c r="M30" i="28"/>
  <c r="E30" i="28"/>
  <c r="I27" i="28"/>
  <c r="E27" i="28"/>
  <c r="H30" i="28"/>
  <c r="O25" i="28"/>
  <c r="G26" i="28"/>
  <c r="O62" i="16"/>
  <c r="G16" i="28"/>
  <c r="G23" i="28"/>
  <c r="L23" i="28"/>
  <c r="F21" i="28"/>
  <c r="M21" i="28"/>
  <c r="I21" i="28"/>
  <c r="N15" i="28"/>
  <c r="I15" i="28"/>
  <c r="M17" i="28"/>
  <c r="I17" i="28"/>
  <c r="P24" i="28"/>
  <c r="L24" i="28"/>
  <c r="O24" i="28"/>
  <c r="O17" i="28"/>
  <c r="O15" i="28"/>
  <c r="E15" i="28"/>
  <c r="K20" i="28"/>
  <c r="I62" i="16"/>
  <c r="K16" i="28"/>
  <c r="P16" i="28"/>
  <c r="F16" i="28"/>
  <c r="I16" i="28"/>
  <c r="J23" i="28"/>
  <c r="F23" i="28"/>
  <c r="P21" i="28"/>
  <c r="K21" i="28"/>
  <c r="M15" i="28"/>
  <c r="J15" i="28"/>
  <c r="L17" i="28"/>
  <c r="H17" i="28"/>
  <c r="H24" i="28"/>
  <c r="E24" i="28"/>
  <c r="I29" i="28"/>
  <c r="R62" i="16"/>
  <c r="P15" i="28"/>
  <c r="E18" i="28"/>
  <c r="G62" i="16"/>
  <c r="V92" i="14"/>
  <c r="W92" i="14" s="1"/>
  <c r="M92" i="14"/>
  <c r="N92" i="14" s="1"/>
  <c r="DH92" i="14"/>
  <c r="DI92" i="14" s="1"/>
  <c r="AW92" i="14"/>
  <c r="AX92" i="14" s="1"/>
  <c r="CP92" i="14"/>
  <c r="CQ92" i="14" s="1"/>
  <c r="BO92" i="14"/>
  <c r="BP92" i="14" s="1"/>
  <c r="ER92" i="14"/>
  <c r="ES92" i="14" s="1"/>
  <c r="CG92" i="14"/>
  <c r="CH92" i="14" s="1"/>
  <c r="DZ92" i="14"/>
  <c r="EA92" i="14" s="1"/>
  <c r="CY92" i="14"/>
  <c r="CZ92" i="14" s="1"/>
  <c r="AN92" i="14"/>
  <c r="AO92" i="14" s="1"/>
  <c r="DQ92" i="14"/>
  <c r="DR92" i="14" s="1"/>
  <c r="AE92" i="14"/>
  <c r="AF92" i="14" s="1"/>
  <c r="EI92" i="14"/>
  <c r="EJ92" i="14" s="1"/>
  <c r="BX92" i="14"/>
  <c r="BY92" i="14" s="1"/>
  <c r="FJ92" i="14"/>
  <c r="FK92" i="14" s="1"/>
  <c r="FA92" i="14"/>
  <c r="FB92" i="14" s="1"/>
  <c r="M30" i="9"/>
  <c r="P30" i="2"/>
  <c r="O15" i="7"/>
  <c r="E15" i="7"/>
  <c r="F5" i="23" s="1"/>
  <c r="F15" i="7"/>
  <c r="G15" i="7"/>
  <c r="K32" i="31"/>
  <c r="I15" i="1"/>
  <c r="L36" i="3"/>
  <c r="N29" i="7"/>
  <c r="H25" i="7"/>
  <c r="I24" i="7"/>
  <c r="O25" i="7"/>
  <c r="P24" i="7"/>
  <c r="R24" i="7" s="1"/>
  <c r="M25" i="7"/>
  <c r="K25" i="7"/>
  <c r="G24" i="7"/>
  <c r="F24" i="7"/>
  <c r="L24" i="7"/>
  <c r="P29" i="7"/>
  <c r="R29" i="7" s="1"/>
  <c r="M20" i="7"/>
  <c r="H24" i="7"/>
  <c r="J24" i="7"/>
  <c r="E29" i="7"/>
  <c r="F19" i="23" s="1"/>
  <c r="Q21" i="7"/>
  <c r="K96" i="16" s="1"/>
  <c r="N24" i="7"/>
  <c r="E24" i="7"/>
  <c r="F14" i="23" s="1"/>
  <c r="L29" i="7"/>
  <c r="M18" i="7"/>
  <c r="N26" i="7"/>
  <c r="O18" i="7"/>
  <c r="P15" i="7"/>
  <c r="R15" i="7" s="1"/>
  <c r="J15" i="7"/>
  <c r="N15" i="7"/>
  <c r="L25" i="7"/>
  <c r="F26" i="7"/>
  <c r="I25" i="7"/>
  <c r="I26" i="7"/>
  <c r="G26" i="7"/>
  <c r="O26" i="7"/>
  <c r="G25" i="7"/>
  <c r="J25" i="7"/>
  <c r="K26" i="7"/>
  <c r="E26" i="7"/>
  <c r="F16" i="23" s="1"/>
  <c r="Q22" i="7"/>
  <c r="L96" i="16" s="1"/>
  <c r="F25" i="7"/>
  <c r="E25" i="7"/>
  <c r="F15" i="23" s="1"/>
  <c r="J26" i="7"/>
  <c r="H26" i="7"/>
  <c r="M26" i="7"/>
  <c r="P18" i="7"/>
  <c r="R18" i="7" s="1"/>
  <c r="G18" i="7"/>
  <c r="I29" i="7"/>
  <c r="M29" i="7"/>
  <c r="Q17" i="7"/>
  <c r="R17" i="7"/>
  <c r="K18" i="7"/>
  <c r="L18" i="7"/>
  <c r="R17" i="6"/>
  <c r="S17" i="6"/>
  <c r="R96" i="16"/>
  <c r="H18" i="7"/>
  <c r="N18" i="7"/>
  <c r="R15" i="6"/>
  <c r="E181" i="26" s="1"/>
  <c r="S15" i="6"/>
  <c r="F18" i="7"/>
  <c r="J18" i="7"/>
  <c r="J29" i="7"/>
  <c r="G29" i="7"/>
  <c r="F29" i="7"/>
  <c r="E18" i="7"/>
  <c r="F8" i="23" s="1"/>
  <c r="P20" i="7"/>
  <c r="R20" i="7" s="1"/>
  <c r="O24" i="7"/>
  <c r="K24" i="7"/>
  <c r="K29" i="7"/>
  <c r="H29" i="7"/>
  <c r="P26" i="7"/>
  <c r="R26" i="7" s="1"/>
  <c r="U90" i="16"/>
  <c r="V90" i="16" s="1"/>
  <c r="W90" i="16" s="1"/>
  <c r="F27" i="7"/>
  <c r="P27" i="7"/>
  <c r="R27" i="7" s="1"/>
  <c r="F20" i="7"/>
  <c r="L20" i="7"/>
  <c r="M15" i="7"/>
  <c r="I15" i="7"/>
  <c r="O27" i="7"/>
  <c r="I27" i="7"/>
  <c r="M27" i="7"/>
  <c r="H27" i="7"/>
  <c r="E20" i="7"/>
  <c r="F10" i="23" s="1"/>
  <c r="N20" i="7"/>
  <c r="K27" i="7"/>
  <c r="G27" i="7"/>
  <c r="K32" i="17"/>
  <c r="D10" i="32" s="1"/>
  <c r="K20" i="7"/>
  <c r="J20" i="7"/>
  <c r="L27" i="7"/>
  <c r="O20" i="7"/>
  <c r="I20" i="7"/>
  <c r="H15" i="7"/>
  <c r="E27" i="7"/>
  <c r="F17" i="23" s="1"/>
  <c r="G20" i="7"/>
  <c r="L15" i="7"/>
  <c r="K15" i="7"/>
  <c r="J27" i="7"/>
  <c r="E14" i="28"/>
  <c r="M14" i="28"/>
  <c r="O14" i="28"/>
  <c r="L14" i="28"/>
  <c r="G14" i="28"/>
  <c r="H14" i="28"/>
  <c r="K14" i="28"/>
  <c r="F14" i="28"/>
  <c r="J14" i="28"/>
  <c r="I14" i="28"/>
  <c r="J32" i="17"/>
  <c r="D9" i="32" s="1"/>
  <c r="N19" i="9"/>
  <c r="O19" i="7"/>
  <c r="P19" i="6"/>
  <c r="R19" i="2"/>
  <c r="O19" i="28"/>
  <c r="K34" i="9"/>
  <c r="R26" i="6"/>
  <c r="R15" i="29"/>
  <c r="Q15" i="29"/>
  <c r="P14" i="28"/>
  <c r="E14" i="2"/>
  <c r="O14" i="9"/>
  <c r="Q14" i="6"/>
  <c r="S14" i="6" s="1"/>
  <c r="P14" i="7"/>
  <c r="R14" i="7" s="1"/>
  <c r="R17" i="29"/>
  <c r="Q17" i="29"/>
  <c r="L30" i="6"/>
  <c r="O30" i="6"/>
  <c r="M30" i="6"/>
  <c r="N30" i="6"/>
  <c r="F30" i="6"/>
  <c r="E20" i="23" s="1"/>
  <c r="G30" i="6"/>
  <c r="H30" i="6"/>
  <c r="I30" i="6"/>
  <c r="J30" i="6"/>
  <c r="K30" i="6"/>
  <c r="O145" i="26"/>
  <c r="O147" i="26" s="1"/>
  <c r="P142" i="26"/>
  <c r="P145" i="26" s="1"/>
  <c r="BX93" i="14"/>
  <c r="BY93" i="14" s="1"/>
  <c r="AE93" i="14"/>
  <c r="AF93" i="14" s="1"/>
  <c r="O25" i="9"/>
  <c r="P25" i="9" s="1"/>
  <c r="E25" i="2"/>
  <c r="P25" i="7"/>
  <c r="P25" i="28"/>
  <c r="Q25" i="6"/>
  <c r="R25" i="2"/>
  <c r="M27" i="6"/>
  <c r="F27" i="6"/>
  <c r="E17" i="23" s="1"/>
  <c r="H27" i="6"/>
  <c r="J27" i="6"/>
  <c r="O27" i="6"/>
  <c r="G27" i="6"/>
  <c r="N27" i="6"/>
  <c r="L27" i="6"/>
  <c r="I27" i="6"/>
  <c r="Q27" i="6"/>
  <c r="S27" i="6" s="1"/>
  <c r="K27" i="6"/>
  <c r="P27" i="6"/>
  <c r="R29" i="6"/>
  <c r="O23" i="2"/>
  <c r="L23" i="9"/>
  <c r="L33" i="9" s="1"/>
  <c r="M23" i="28"/>
  <c r="N23" i="6"/>
  <c r="M23" i="7"/>
  <c r="N33" i="2"/>
  <c r="K13" i="1" s="1"/>
  <c r="E28" i="8"/>
  <c r="C18" i="23" s="1"/>
  <c r="H28" i="8"/>
  <c r="I28" i="8"/>
  <c r="F28" i="8"/>
  <c r="J28" i="8"/>
  <c r="G28" i="8"/>
  <c r="M28" i="8"/>
  <c r="K28" i="8"/>
  <c r="L28" i="8"/>
  <c r="N28" i="8"/>
  <c r="FI93" i="14" l="1"/>
  <c r="FI96" i="14" s="1"/>
  <c r="FH96" i="14"/>
  <c r="FH103" i="14" s="1"/>
  <c r="EI93" i="14"/>
  <c r="EJ93" i="14" s="1"/>
  <c r="DQ93" i="14"/>
  <c r="DR93" i="14" s="1"/>
  <c r="DH93" i="14"/>
  <c r="DI93" i="14" s="1"/>
  <c r="BO93" i="14"/>
  <c r="BP93" i="14" s="1"/>
  <c r="DZ93" i="14"/>
  <c r="EA93" i="14" s="1"/>
  <c r="CP93" i="14"/>
  <c r="CQ93" i="14" s="1"/>
  <c r="CY93" i="14"/>
  <c r="CZ93" i="14" s="1"/>
  <c r="DA93" i="14" s="1"/>
  <c r="DB93" i="14" s="1"/>
  <c r="ER93" i="14"/>
  <c r="ES93" i="14" s="1"/>
  <c r="ET93" i="14" s="1"/>
  <c r="EU93" i="14" s="1"/>
  <c r="CG93" i="14"/>
  <c r="CH93" i="14" s="1"/>
  <c r="AW93" i="14"/>
  <c r="AX93" i="14" s="1"/>
  <c r="AY93" i="14" s="1"/>
  <c r="AZ93" i="14" s="1"/>
  <c r="V93" i="14"/>
  <c r="W93" i="14" s="1"/>
  <c r="FA93" i="14"/>
  <c r="FB93" i="14" s="1"/>
  <c r="R76" i="16" s="1"/>
  <c r="FJ93" i="14"/>
  <c r="FK93" i="14" s="1"/>
  <c r="S76" i="16" s="1"/>
  <c r="BF94" i="14"/>
  <c r="BG94" i="14" s="1"/>
  <c r="BH94" i="14" s="1"/>
  <c r="BI94" i="14" s="1"/>
  <c r="M93" i="14"/>
  <c r="N93" i="14" s="1"/>
  <c r="O93" i="14" s="1"/>
  <c r="P93" i="14" s="1"/>
  <c r="AN93" i="14"/>
  <c r="AO93" i="14" s="1"/>
  <c r="F76" i="16" s="1"/>
  <c r="BH93" i="14"/>
  <c r="BI93" i="14" s="1"/>
  <c r="BH92" i="14"/>
  <c r="BI92" i="14"/>
  <c r="EJ96" i="14"/>
  <c r="H24" i="17" s="1"/>
  <c r="I76" i="16"/>
  <c r="BZ93" i="14"/>
  <c r="E75" i="16"/>
  <c r="AG92" i="14"/>
  <c r="AH92" i="14" s="1"/>
  <c r="S74" i="16"/>
  <c r="FL91" i="14"/>
  <c r="FM91" i="14" s="1"/>
  <c r="N75" i="16"/>
  <c r="DS92" i="14"/>
  <c r="DT92" i="14" s="1"/>
  <c r="P76" i="16"/>
  <c r="EK93" i="14"/>
  <c r="EL93" i="14" s="1"/>
  <c r="BQ93" i="14"/>
  <c r="BR93" i="14" s="1"/>
  <c r="H76" i="16"/>
  <c r="DS93" i="14"/>
  <c r="DT93" i="14" s="1"/>
  <c r="N76" i="16"/>
  <c r="L74" i="16"/>
  <c r="DA91" i="14"/>
  <c r="DB91" i="14" s="1"/>
  <c r="R75" i="16"/>
  <c r="FC92" i="14"/>
  <c r="FD92" i="14" s="1"/>
  <c r="K76" i="16"/>
  <c r="CR93" i="14"/>
  <c r="CS93" i="14" s="1"/>
  <c r="D76" i="16"/>
  <c r="X93" i="14"/>
  <c r="Y93" i="14" s="1"/>
  <c r="BQ92" i="14"/>
  <c r="BR92" i="14" s="1"/>
  <c r="H75" i="16"/>
  <c r="CR92" i="14"/>
  <c r="CS92" i="14" s="1"/>
  <c r="K75" i="16"/>
  <c r="M74" i="16"/>
  <c r="DJ91" i="14"/>
  <c r="DK91" i="14" s="1"/>
  <c r="BQ91" i="14"/>
  <c r="H74" i="16"/>
  <c r="J75" i="16"/>
  <c r="CI92" i="14"/>
  <c r="M75" i="16"/>
  <c r="DJ92" i="14"/>
  <c r="DK92" i="14" s="1"/>
  <c r="E76" i="16"/>
  <c r="AG93" i="14"/>
  <c r="AH93" i="14" s="1"/>
  <c r="M76" i="16"/>
  <c r="DJ93" i="14"/>
  <c r="DK93" i="14" s="1"/>
  <c r="N74" i="16"/>
  <c r="DS91" i="14"/>
  <c r="DT91" i="14" s="1"/>
  <c r="DA92" i="14"/>
  <c r="DB92" i="14" s="1"/>
  <c r="L75" i="16"/>
  <c r="O75" i="16"/>
  <c r="EB92" i="14"/>
  <c r="EC92" i="14" s="1"/>
  <c r="ET92" i="14"/>
  <c r="EU92" i="14" s="1"/>
  <c r="C75" i="16"/>
  <c r="O92" i="14"/>
  <c r="I75" i="16"/>
  <c r="BZ92" i="14"/>
  <c r="CA92" i="14" s="1"/>
  <c r="AY92" i="14"/>
  <c r="AZ92" i="14" s="1"/>
  <c r="G75" i="16"/>
  <c r="D75" i="16"/>
  <c r="X92" i="14"/>
  <c r="Y92" i="14" s="1"/>
  <c r="FC91" i="14"/>
  <c r="FD91" i="14" s="1"/>
  <c r="R74" i="16"/>
  <c r="AG91" i="14"/>
  <c r="AH91" i="14" s="1"/>
  <c r="E74" i="16"/>
  <c r="F74" i="16"/>
  <c r="AP91" i="14"/>
  <c r="AQ91" i="14"/>
  <c r="O76" i="16"/>
  <c r="EB93" i="14"/>
  <c r="EC93" i="14" s="1"/>
  <c r="S75" i="16"/>
  <c r="FL92" i="14"/>
  <c r="FM92" i="14" s="1"/>
  <c r="EK91" i="14"/>
  <c r="EL91" i="14" s="1"/>
  <c r="P74" i="16"/>
  <c r="P75" i="16"/>
  <c r="EK92" i="14"/>
  <c r="EL92" i="14" s="1"/>
  <c r="J76" i="16"/>
  <c r="CI93" i="14"/>
  <c r="CJ93" i="14" s="1"/>
  <c r="F75" i="16"/>
  <c r="AP92" i="14"/>
  <c r="AQ92" i="14" s="1"/>
  <c r="ET91" i="14"/>
  <c r="EU91" i="14" s="1"/>
  <c r="I18" i="28"/>
  <c r="M18" i="28"/>
  <c r="F26" i="28"/>
  <c r="U62" i="16"/>
  <c r="V62" i="16" s="1"/>
  <c r="W62" i="16" s="1"/>
  <c r="M26" i="28"/>
  <c r="P26" i="28"/>
  <c r="K18" i="28"/>
  <c r="L26" i="28"/>
  <c r="H26" i="28"/>
  <c r="F18" i="28"/>
  <c r="K26" i="28"/>
  <c r="O18" i="28"/>
  <c r="N18" i="28"/>
  <c r="Q22" i="28"/>
  <c r="Q27" i="28"/>
  <c r="E26" i="28"/>
  <c r="L18" i="28"/>
  <c r="Q25" i="28"/>
  <c r="J26" i="28"/>
  <c r="I26" i="28"/>
  <c r="P18" i="28"/>
  <c r="G18" i="28"/>
  <c r="N26" i="28"/>
  <c r="O26" i="28"/>
  <c r="M29" i="28"/>
  <c r="J20" i="28"/>
  <c r="J18" i="28"/>
  <c r="H18" i="28"/>
  <c r="L29" i="28"/>
  <c r="E20" i="28"/>
  <c r="O20" i="28"/>
  <c r="J29" i="28"/>
  <c r="L20" i="28"/>
  <c r="N20" i="28"/>
  <c r="H29" i="28"/>
  <c r="Q24" i="28"/>
  <c r="P29" i="28"/>
  <c r="K29" i="28"/>
  <c r="I20" i="28"/>
  <c r="I32" i="17"/>
  <c r="Q17" i="28"/>
  <c r="Q15" i="28"/>
  <c r="Q16" i="28"/>
  <c r="Q21" i="28"/>
  <c r="O29" i="28"/>
  <c r="E29" i="28"/>
  <c r="G29" i="28"/>
  <c r="H20" i="28"/>
  <c r="F20" i="28"/>
  <c r="G20" i="28"/>
  <c r="N29" i="28"/>
  <c r="F29" i="28"/>
  <c r="P20" i="28"/>
  <c r="M20" i="28"/>
  <c r="Q30" i="2"/>
  <c r="R30" i="2" s="1"/>
  <c r="N30" i="9"/>
  <c r="O30" i="7"/>
  <c r="O30" i="28"/>
  <c r="P30" i="6"/>
  <c r="L32" i="31"/>
  <c r="J15" i="1"/>
  <c r="M36" i="3"/>
  <c r="I33" i="6"/>
  <c r="F22" i="1" s="1"/>
  <c r="Q24" i="7"/>
  <c r="D182" i="26" s="1"/>
  <c r="Q29" i="7"/>
  <c r="S96" i="16" s="1"/>
  <c r="F33" i="7"/>
  <c r="D23" i="1" s="1"/>
  <c r="Q26" i="7"/>
  <c r="Q18" i="7"/>
  <c r="G33" i="7"/>
  <c r="E23" i="1" s="1"/>
  <c r="I33" i="7"/>
  <c r="G23" i="1" s="1"/>
  <c r="Q20" i="7"/>
  <c r="K33" i="6"/>
  <c r="H22" i="1" s="1"/>
  <c r="Q25" i="7"/>
  <c r="R25" i="7"/>
  <c r="E33" i="7"/>
  <c r="C10" i="32" s="1"/>
  <c r="J33" i="7"/>
  <c r="H23" i="1" s="1"/>
  <c r="R25" i="6"/>
  <c r="S25" i="6"/>
  <c r="L33" i="7"/>
  <c r="J23" i="1" s="1"/>
  <c r="Q15" i="7"/>
  <c r="D181" i="26" s="1"/>
  <c r="H33" i="7"/>
  <c r="F23" i="1" s="1"/>
  <c r="M33" i="7"/>
  <c r="K23" i="1" s="1"/>
  <c r="K33" i="7"/>
  <c r="I23" i="1" s="1"/>
  <c r="Q27" i="7"/>
  <c r="Q96" i="16" s="1"/>
  <c r="Q98" i="16" s="1"/>
  <c r="M33" i="6"/>
  <c r="J22" i="1" s="1"/>
  <c r="N33" i="6"/>
  <c r="K22" i="1" s="1"/>
  <c r="L33" i="6"/>
  <c r="I22" i="1" s="1"/>
  <c r="J33" i="6"/>
  <c r="G22" i="1" s="1"/>
  <c r="G33" i="6"/>
  <c r="D22" i="1" s="1"/>
  <c r="H33" i="6"/>
  <c r="E22" i="1" s="1"/>
  <c r="F33" i="6"/>
  <c r="Q14" i="7"/>
  <c r="Q14" i="28"/>
  <c r="L34" i="9"/>
  <c r="R14" i="6"/>
  <c r="O19" i="9"/>
  <c r="E19" i="2"/>
  <c r="P19" i="7"/>
  <c r="Q19" i="6"/>
  <c r="P19" i="28"/>
  <c r="Q19" i="28" s="1"/>
  <c r="F24" i="23"/>
  <c r="P23" i="2"/>
  <c r="M23" i="9"/>
  <c r="M33" i="9" s="1"/>
  <c r="N23" i="28"/>
  <c r="N23" i="7"/>
  <c r="N33" i="7" s="1"/>
  <c r="O23" i="6"/>
  <c r="O33" i="6" s="1"/>
  <c r="O33" i="2"/>
  <c r="L13" i="1" s="1"/>
  <c r="CP94" i="14"/>
  <c r="CQ94" i="14" s="1"/>
  <c r="DQ94" i="14"/>
  <c r="DR94" i="14" s="1"/>
  <c r="EI69" i="14"/>
  <c r="R27" i="6"/>
  <c r="T145" i="26"/>
  <c r="P147" i="26"/>
  <c r="T147" i="26" s="1"/>
  <c r="P14" i="9"/>
  <c r="AN94" i="14" l="1"/>
  <c r="AO94" i="14" s="1"/>
  <c r="DZ94" i="14"/>
  <c r="EA94" i="14" s="1"/>
  <c r="BO94" i="14"/>
  <c r="BP94" i="14" s="1"/>
  <c r="H77" i="16" s="1"/>
  <c r="CG94" i="14"/>
  <c r="CH94" i="14" s="1"/>
  <c r="L76" i="16"/>
  <c r="DH94" i="14"/>
  <c r="DI94" i="14" s="1"/>
  <c r="M77" i="16" s="1"/>
  <c r="ER94" i="14"/>
  <c r="ES94" i="14" s="1"/>
  <c r="ET94" i="14" s="1"/>
  <c r="ET96" i="14" s="1"/>
  <c r="BX94" i="14"/>
  <c r="BY94" i="14" s="1"/>
  <c r="BY96" i="14" s="1"/>
  <c r="H17" i="17" s="1"/>
  <c r="FL93" i="14"/>
  <c r="FM93" i="14" s="1"/>
  <c r="FC93" i="14"/>
  <c r="FD93" i="14" s="1"/>
  <c r="AW94" i="14"/>
  <c r="AX94" i="14" s="1"/>
  <c r="G77" i="16" s="1"/>
  <c r="G76" i="16"/>
  <c r="AE94" i="14"/>
  <c r="AF94" i="14" s="1"/>
  <c r="AF96" i="14" s="1"/>
  <c r="H12" i="17" s="1"/>
  <c r="V94" i="14"/>
  <c r="W94" i="14" s="1"/>
  <c r="W96" i="14" s="1"/>
  <c r="H11" i="17" s="1"/>
  <c r="AO96" i="14"/>
  <c r="H13" i="17" s="1"/>
  <c r="CY94" i="14"/>
  <c r="CZ94" i="14" s="1"/>
  <c r="DA94" i="14" s="1"/>
  <c r="DA96" i="14" s="1"/>
  <c r="FJ94" i="14"/>
  <c r="FK94" i="14" s="1"/>
  <c r="FK96" i="14" s="1"/>
  <c r="H27" i="17" s="1"/>
  <c r="FA94" i="14"/>
  <c r="FB94" i="14" s="1"/>
  <c r="FB96" i="14" s="1"/>
  <c r="H26" i="17" s="1"/>
  <c r="C76" i="16"/>
  <c r="M94" i="14"/>
  <c r="N94" i="14" s="1"/>
  <c r="N96" i="14" s="1"/>
  <c r="H10" i="17" s="1"/>
  <c r="CQ96" i="14"/>
  <c r="H19" i="17" s="1"/>
  <c r="AP93" i="14"/>
  <c r="AQ93" i="14" s="1"/>
  <c r="EL96" i="14"/>
  <c r="EK96" i="14"/>
  <c r="BR91" i="14"/>
  <c r="K77" i="16"/>
  <c r="CR94" i="14"/>
  <c r="CR96" i="14" s="1"/>
  <c r="EB94" i="14"/>
  <c r="EB96" i="14" s="1"/>
  <c r="O77" i="16"/>
  <c r="CA93" i="14"/>
  <c r="EA96" i="14"/>
  <c r="H23" i="17" s="1"/>
  <c r="CJ92" i="14"/>
  <c r="F77" i="16"/>
  <c r="AP94" i="14"/>
  <c r="EJ69" i="14"/>
  <c r="J77" i="16"/>
  <c r="CI94" i="14"/>
  <c r="CI96" i="14" s="1"/>
  <c r="CH96" i="14"/>
  <c r="H18" i="17" s="1"/>
  <c r="BZ94" i="14"/>
  <c r="BZ96" i="14" s="1"/>
  <c r="I77" i="16"/>
  <c r="N77" i="16"/>
  <c r="DS94" i="14"/>
  <c r="DS96" i="14" s="1"/>
  <c r="DR96" i="14"/>
  <c r="H22" i="17" s="1"/>
  <c r="P92" i="14"/>
  <c r="E77" i="16"/>
  <c r="AG94" i="14"/>
  <c r="AG96" i="14" s="1"/>
  <c r="M33" i="28"/>
  <c r="K21" i="1" s="1"/>
  <c r="K33" i="28"/>
  <c r="I21" i="1" s="1"/>
  <c r="Q26" i="28"/>
  <c r="Q29" i="28"/>
  <c r="J33" i="28"/>
  <c r="H21" i="1" s="1"/>
  <c r="L33" i="28"/>
  <c r="J21" i="1" s="1"/>
  <c r="E33" i="28"/>
  <c r="C21" i="1" s="1"/>
  <c r="I33" i="28"/>
  <c r="G21" i="1" s="1"/>
  <c r="Q18" i="28"/>
  <c r="F33" i="28"/>
  <c r="D21" i="1" s="1"/>
  <c r="Q20" i="28"/>
  <c r="G33" i="28"/>
  <c r="E21" i="1" s="1"/>
  <c r="H33" i="28"/>
  <c r="F21" i="1" s="1"/>
  <c r="N33" i="28"/>
  <c r="L21" i="1" s="1"/>
  <c r="O30" i="9"/>
  <c r="P30" i="9" s="1"/>
  <c r="E30" i="2"/>
  <c r="P30" i="7"/>
  <c r="R30" i="7" s="1"/>
  <c r="P30" i="28"/>
  <c r="Q30" i="28" s="1"/>
  <c r="Q30" i="6"/>
  <c r="M32" i="31"/>
  <c r="K15" i="1"/>
  <c r="N36" i="3"/>
  <c r="R19" i="6"/>
  <c r="S19" i="6"/>
  <c r="Q19" i="7"/>
  <c r="R19" i="7"/>
  <c r="C23" i="1"/>
  <c r="B10" i="32" s="1"/>
  <c r="E10" i="32" s="1" a="1"/>
  <c r="E10" i="32" s="1"/>
  <c r="P19" i="9"/>
  <c r="C9" i="32"/>
  <c r="L23" i="1"/>
  <c r="M34" i="9"/>
  <c r="L22" i="1"/>
  <c r="E24" i="23"/>
  <c r="Q23" i="2"/>
  <c r="N23" i="9"/>
  <c r="N33" i="9" s="1"/>
  <c r="O23" i="28"/>
  <c r="O33" i="28" s="1"/>
  <c r="O23" i="7"/>
  <c r="O33" i="7" s="1"/>
  <c r="P23" i="6"/>
  <c r="P33" i="6" s="1"/>
  <c r="P33" i="2"/>
  <c r="M13" i="1" s="1"/>
  <c r="C22" i="1"/>
  <c r="B9" i="32" s="1"/>
  <c r="ES96" i="14" l="1"/>
  <c r="BP96" i="14"/>
  <c r="H15" i="17" s="1"/>
  <c r="N22" i="10"/>
  <c r="O22" i="10"/>
  <c r="P22" i="10"/>
  <c r="M22" i="10"/>
  <c r="DI96" i="14"/>
  <c r="H21" i="17" s="1"/>
  <c r="DJ94" i="14"/>
  <c r="DJ96" i="14" s="1"/>
  <c r="BQ94" i="14"/>
  <c r="BQ96" i="14" s="1"/>
  <c r="AP96" i="14"/>
  <c r="AX96" i="14"/>
  <c r="H14" i="17" s="1"/>
  <c r="AY94" i="14"/>
  <c r="AY96" i="14" s="1"/>
  <c r="X94" i="14"/>
  <c r="X96" i="14" s="1"/>
  <c r="D77" i="16"/>
  <c r="O94" i="14"/>
  <c r="O96" i="14" s="1"/>
  <c r="C77" i="16"/>
  <c r="C79" i="16" s="1"/>
  <c r="FL94" i="14"/>
  <c r="FL96" i="14" s="1"/>
  <c r="S77" i="16"/>
  <c r="S79" i="16" s="1"/>
  <c r="FC94" i="14"/>
  <c r="FC96" i="14" s="1"/>
  <c r="CZ96" i="14"/>
  <c r="H20" i="17" s="1"/>
  <c r="R77" i="16"/>
  <c r="R79" i="16" s="1"/>
  <c r="L77" i="16"/>
  <c r="L79" i="16" s="1"/>
  <c r="CS94" i="14"/>
  <c r="CS96" i="14" s="1"/>
  <c r="AZ94" i="14"/>
  <c r="AZ96" i="14" s="1"/>
  <c r="EC94" i="14"/>
  <c r="EC96" i="14" s="1"/>
  <c r="CA94" i="14"/>
  <c r="CA96" i="14" s="1"/>
  <c r="AQ94" i="14"/>
  <c r="AQ96" i="14" s="1"/>
  <c r="AH94" i="14"/>
  <c r="AH96" i="14" s="1"/>
  <c r="CJ94" i="14"/>
  <c r="CJ96" i="14" s="1"/>
  <c r="DB94" i="14"/>
  <c r="DB96" i="14" s="1"/>
  <c r="EU94" i="14"/>
  <c r="EU96" i="14" s="1"/>
  <c r="DT94" i="14"/>
  <c r="DT96" i="14" s="1"/>
  <c r="P53" i="16"/>
  <c r="EK69" i="14"/>
  <c r="EL69" i="14" s="1"/>
  <c r="M79" i="16"/>
  <c r="D79" i="16"/>
  <c r="O79" i="16"/>
  <c r="J79" i="16"/>
  <c r="G79" i="16"/>
  <c r="N79" i="16"/>
  <c r="K79" i="16"/>
  <c r="H79" i="16"/>
  <c r="E79" i="16"/>
  <c r="F79" i="16"/>
  <c r="P79" i="16"/>
  <c r="I79" i="16"/>
  <c r="S30" i="6"/>
  <c r="R30" i="6"/>
  <c r="Q30" i="7"/>
  <c r="N32" i="31"/>
  <c r="L15" i="1"/>
  <c r="E9" i="32" a="1"/>
  <c r="E9" i="32" s="1"/>
  <c r="M21" i="1"/>
  <c r="N34" i="9"/>
  <c r="M22" i="1"/>
  <c r="E23" i="2"/>
  <c r="O23" i="9"/>
  <c r="O33" i="9" s="1"/>
  <c r="P23" i="7"/>
  <c r="P23" i="28"/>
  <c r="P33" i="28" s="1"/>
  <c r="Q23" i="6"/>
  <c r="Q33" i="2"/>
  <c r="N13" i="1" s="1"/>
  <c r="R23" i="2"/>
  <c r="R33" i="2" s="1"/>
  <c r="J96" i="16"/>
  <c r="M23" i="1"/>
  <c r="D96" i="16"/>
  <c r="E96" i="16"/>
  <c r="O96" i="16"/>
  <c r="I96" i="16"/>
  <c r="P96" i="16"/>
  <c r="DK94" i="14" l="1"/>
  <c r="DK96" i="14" s="1"/>
  <c r="BR94" i="14"/>
  <c r="BR96" i="14" s="1"/>
  <c r="Y94" i="14"/>
  <c r="Y96" i="14" s="1"/>
  <c r="FD94" i="14"/>
  <c r="FD96" i="14" s="1"/>
  <c r="P94" i="14"/>
  <c r="P96" i="14" s="1"/>
  <c r="FM94" i="14"/>
  <c r="FM96" i="14" s="1"/>
  <c r="DB106" i="14"/>
  <c r="DB107" i="14" s="1"/>
  <c r="DB109" i="14" s="1"/>
  <c r="U79" i="16"/>
  <c r="V79" i="16" s="1"/>
  <c r="W79" i="16" s="1"/>
  <c r="F15" i="10"/>
  <c r="G15" i="10"/>
  <c r="E15" i="10"/>
  <c r="D5" i="23" s="1"/>
  <c r="Q23" i="3"/>
  <c r="P33" i="7"/>
  <c r="Q33" i="7" s="1"/>
  <c r="R23" i="7"/>
  <c r="Q33" i="6"/>
  <c r="R33" i="6" s="1"/>
  <c r="S23" i="6"/>
  <c r="H32" i="17"/>
  <c r="D8" i="32" s="1"/>
  <c r="H15" i="10"/>
  <c r="G17" i="10"/>
  <c r="E17" i="10"/>
  <c r="D7" i="23" s="1"/>
  <c r="F17" i="10"/>
  <c r="E23" i="10"/>
  <c r="D13" i="23" s="1"/>
  <c r="F23" i="10"/>
  <c r="G23" i="10"/>
  <c r="H23" i="10"/>
  <c r="I23" i="10"/>
  <c r="J23" i="10"/>
  <c r="K23" i="10"/>
  <c r="L23" i="10"/>
  <c r="M23" i="10"/>
  <c r="N23" i="10"/>
  <c r="O23" i="10"/>
  <c r="H14" i="10"/>
  <c r="G14" i="10"/>
  <c r="E14" i="10"/>
  <c r="I14" i="10"/>
  <c r="F14" i="10"/>
  <c r="J14" i="10"/>
  <c r="K14" i="10"/>
  <c r="L14" i="10"/>
  <c r="M14" i="10"/>
  <c r="N14" i="10"/>
  <c r="O14" i="10"/>
  <c r="P14" i="10"/>
  <c r="R14" i="10" s="1"/>
  <c r="Q23" i="7"/>
  <c r="J24" i="10"/>
  <c r="F24" i="10"/>
  <c r="K24" i="10"/>
  <c r="G24" i="10"/>
  <c r="O24" i="10"/>
  <c r="E24" i="10"/>
  <c r="D14" i="23" s="1"/>
  <c r="H24" i="10"/>
  <c r="P24" i="10"/>
  <c r="R24" i="10" s="1"/>
  <c r="I24" i="10"/>
  <c r="L24" i="10"/>
  <c r="M24" i="10"/>
  <c r="N24" i="10"/>
  <c r="K20" i="10"/>
  <c r="H20" i="10"/>
  <c r="G20" i="10"/>
  <c r="I20" i="10"/>
  <c r="M20" i="10"/>
  <c r="F20" i="10"/>
  <c r="N20" i="10"/>
  <c r="L20" i="10"/>
  <c r="J20" i="10"/>
  <c r="E20" i="10"/>
  <c r="D10" i="23" s="1"/>
  <c r="O20" i="10"/>
  <c r="P20" i="10"/>
  <c r="R20" i="10" s="1"/>
  <c r="F25" i="10"/>
  <c r="H25" i="10"/>
  <c r="G25" i="10"/>
  <c r="I25" i="10"/>
  <c r="E25" i="10"/>
  <c r="D15" i="23" s="1"/>
  <c r="J25" i="10"/>
  <c r="K25" i="10"/>
  <c r="L25" i="10"/>
  <c r="M25" i="10"/>
  <c r="N25" i="10"/>
  <c r="O25" i="10"/>
  <c r="P25" i="10"/>
  <c r="R25" i="10" s="1"/>
  <c r="E16" i="10"/>
  <c r="D6" i="23" s="1"/>
  <c r="G16" i="10"/>
  <c r="K16" i="10"/>
  <c r="J16" i="10"/>
  <c r="I16" i="10"/>
  <c r="H16" i="10"/>
  <c r="M16" i="10"/>
  <c r="O16" i="10"/>
  <c r="N16" i="10"/>
  <c r="F16" i="10"/>
  <c r="L16" i="10"/>
  <c r="P16" i="10"/>
  <c r="R16" i="10" s="1"/>
  <c r="P23" i="9"/>
  <c r="P33" i="9" s="1"/>
  <c r="O34" i="9"/>
  <c r="I19" i="10"/>
  <c r="E19" i="10"/>
  <c r="D9" i="23" s="1"/>
  <c r="H19" i="10"/>
  <c r="G19" i="10"/>
  <c r="K19" i="10"/>
  <c r="F19" i="10"/>
  <c r="J19" i="10"/>
  <c r="L19" i="10"/>
  <c r="M19" i="10"/>
  <c r="N19" i="10"/>
  <c r="O19" i="10"/>
  <c r="P19" i="10"/>
  <c r="R19" i="10" s="1"/>
  <c r="J15" i="10"/>
  <c r="I15" i="10"/>
  <c r="K15" i="10"/>
  <c r="L15" i="10"/>
  <c r="M15" i="10"/>
  <c r="N15" i="10"/>
  <c r="O15" i="10"/>
  <c r="P15" i="10"/>
  <c r="R15" i="10" s="1"/>
  <c r="R23" i="6"/>
  <c r="I17" i="10"/>
  <c r="J17" i="10"/>
  <c r="H17" i="10"/>
  <c r="K17" i="10"/>
  <c r="L17" i="10"/>
  <c r="M17" i="10"/>
  <c r="N17" i="10"/>
  <c r="O17" i="10"/>
  <c r="P17" i="10"/>
  <c r="R17" i="10" s="1"/>
  <c r="O13" i="1"/>
  <c r="P23" i="10"/>
  <c r="R23" i="10" s="1"/>
  <c r="M21" i="10"/>
  <c r="H21" i="10"/>
  <c r="I21" i="10"/>
  <c r="F21" i="10"/>
  <c r="G21" i="10"/>
  <c r="E21" i="10"/>
  <c r="D11" i="23" s="1"/>
  <c r="K21" i="10"/>
  <c r="L21" i="10"/>
  <c r="J21" i="10"/>
  <c r="N21" i="10"/>
  <c r="O21" i="10"/>
  <c r="P21" i="10"/>
  <c r="R21" i="10" s="1"/>
  <c r="H26" i="10"/>
  <c r="F26" i="10"/>
  <c r="O26" i="10"/>
  <c r="E26" i="10"/>
  <c r="D16" i="23" s="1"/>
  <c r="I26" i="10"/>
  <c r="G26" i="10"/>
  <c r="K26" i="10"/>
  <c r="J26" i="10"/>
  <c r="P26" i="10"/>
  <c r="R26" i="10" s="1"/>
  <c r="L26" i="10"/>
  <c r="M26" i="10"/>
  <c r="N26" i="10"/>
  <c r="G27" i="10"/>
  <c r="J27" i="10"/>
  <c r="P27" i="10"/>
  <c r="R27" i="10" s="1"/>
  <c r="K27" i="10"/>
  <c r="N27" i="10"/>
  <c r="H27" i="10"/>
  <c r="F27" i="10"/>
  <c r="L27" i="10"/>
  <c r="I27" i="10"/>
  <c r="O27" i="10"/>
  <c r="E27" i="10"/>
  <c r="D17" i="23" s="1"/>
  <c r="M27" i="10"/>
  <c r="K29" i="10"/>
  <c r="G29" i="10"/>
  <c r="J29" i="10"/>
  <c r="E29" i="10"/>
  <c r="D19" i="23" s="1"/>
  <c r="F29" i="10"/>
  <c r="I29" i="10"/>
  <c r="H29" i="10"/>
  <c r="L29" i="10"/>
  <c r="M29" i="10"/>
  <c r="N29" i="10"/>
  <c r="O29" i="10"/>
  <c r="P29" i="10"/>
  <c r="R29" i="10" s="1"/>
  <c r="G28" i="10"/>
  <c r="E28" i="10"/>
  <c r="D18" i="23" s="1"/>
  <c r="O28" i="10"/>
  <c r="N28" i="10"/>
  <c r="P28" i="10"/>
  <c r="R28" i="10" s="1"/>
  <c r="K28" i="10"/>
  <c r="J28" i="10"/>
  <c r="I28" i="10"/>
  <c r="L28" i="10"/>
  <c r="F28" i="10"/>
  <c r="M28" i="10"/>
  <c r="H28" i="10"/>
  <c r="I18" i="10"/>
  <c r="O18" i="10"/>
  <c r="L18" i="10"/>
  <c r="G18" i="10"/>
  <c r="M18" i="10"/>
  <c r="K18" i="10"/>
  <c r="F18" i="10"/>
  <c r="H18" i="10"/>
  <c r="E18" i="10"/>
  <c r="D8" i="23" s="1"/>
  <c r="J18" i="10"/>
  <c r="N18" i="10"/>
  <c r="P18" i="10"/>
  <c r="R18" i="10" s="1"/>
  <c r="F30" i="10"/>
  <c r="E30" i="10"/>
  <c r="D20" i="23" s="1"/>
  <c r="P30" i="10"/>
  <c r="R30" i="10" s="1"/>
  <c r="L30" i="10"/>
  <c r="K30" i="10"/>
  <c r="M30" i="10"/>
  <c r="N30" i="10"/>
  <c r="O30" i="10"/>
  <c r="G30" i="10"/>
  <c r="H30" i="10"/>
  <c r="I30" i="10"/>
  <c r="J30" i="10"/>
  <c r="D12" i="23"/>
  <c r="R22" i="10"/>
  <c r="N21" i="1"/>
  <c r="Q23" i="28"/>
  <c r="Q33" i="28" s="1"/>
  <c r="S13" i="1" l="1"/>
  <c r="R13" i="1"/>
  <c r="M33" i="10"/>
  <c r="K20" i="1" s="1"/>
  <c r="L33" i="10"/>
  <c r="J20" i="1" s="1"/>
  <c r="K33" i="10"/>
  <c r="I20" i="1" s="1"/>
  <c r="J33" i="10"/>
  <c r="H20" i="1" s="1"/>
  <c r="F33" i="10"/>
  <c r="D20" i="1" s="1"/>
  <c r="E33" i="10"/>
  <c r="C8" i="32" s="1"/>
  <c r="I33" i="10"/>
  <c r="G20" i="1" s="1"/>
  <c r="G33" i="10"/>
  <c r="E20" i="1" s="1"/>
  <c r="H33" i="10"/>
  <c r="F20" i="1" s="1"/>
  <c r="P33" i="10"/>
  <c r="N20" i="1" s="1"/>
  <c r="O33" i="10"/>
  <c r="M20" i="1" s="1"/>
  <c r="N33" i="10"/>
  <c r="L20" i="1" s="1"/>
  <c r="D4" i="23"/>
  <c r="M96" i="16"/>
  <c r="Q36" i="28"/>
  <c r="P34" i="9"/>
  <c r="Q14" i="10"/>
  <c r="Q27" i="10"/>
  <c r="Q17" i="10"/>
  <c r="Q19" i="10"/>
  <c r="Q18" i="10"/>
  <c r="Q15" i="10"/>
  <c r="F181" i="26" s="1"/>
  <c r="Q30" i="10"/>
  <c r="Q28" i="10"/>
  <c r="Q22" i="10"/>
  <c r="Q29" i="10"/>
  <c r="Q26" i="10"/>
  <c r="Q21" i="10"/>
  <c r="N22" i="1"/>
  <c r="R36" i="6"/>
  <c r="Q25" i="10"/>
  <c r="Q20" i="10"/>
  <c r="Q23" i="10"/>
  <c r="O21" i="1"/>
  <c r="S21" i="1" s="1"/>
  <c r="Q16" i="10"/>
  <c r="Q24" i="10"/>
  <c r="F182" i="26" s="1"/>
  <c r="N23" i="1"/>
  <c r="U96" i="16" l="1"/>
  <c r="C20" i="1"/>
  <c r="B8" i="32" s="1"/>
  <c r="E8" i="32" s="1" a="1"/>
  <c r="E8" i="32" s="1"/>
  <c r="Q33" i="10"/>
  <c r="Q36" i="10" s="1"/>
  <c r="R21" i="1"/>
  <c r="O22" i="1"/>
  <c r="S22" i="1" s="1"/>
  <c r="D24" i="23"/>
  <c r="O23" i="1"/>
  <c r="S23" i="1" s="1"/>
  <c r="I18" i="23"/>
  <c r="M18" i="23" s="1"/>
  <c r="H18" i="23"/>
  <c r="O20" i="1" l="1"/>
  <c r="R22" i="1"/>
  <c r="R23" i="1"/>
  <c r="K18" i="23"/>
  <c r="L18" i="23"/>
  <c r="S20" i="1" l="1"/>
  <c r="R20" i="1"/>
  <c r="P36" i="3" l="1"/>
  <c r="P32" i="31" s="1"/>
  <c r="O36" i="3"/>
  <c r="O32" i="31" s="1"/>
  <c r="N15" i="1" l="1"/>
  <c r="Q24" i="3"/>
  <c r="Q36" i="3" l="1"/>
  <c r="M15" i="1"/>
  <c r="O15" i="1" l="1"/>
  <c r="Q32" i="31"/>
  <c r="R15" i="1" l="1"/>
  <c r="S15" i="1"/>
  <c r="O14" i="29"/>
  <c r="L14" i="29"/>
  <c r="J14" i="29"/>
  <c r="F14" i="29"/>
  <c r="G14" i="29"/>
  <c r="K14" i="29"/>
  <c r="N14" i="29"/>
  <c r="I14" i="29"/>
  <c r="H14" i="29"/>
  <c r="M14" i="29"/>
  <c r="E14" i="29"/>
  <c r="P14" i="29"/>
  <c r="R14" i="29" l="1"/>
  <c r="Q14" i="29"/>
  <c r="K16" i="29" l="1"/>
  <c r="N16" i="29"/>
  <c r="I16" i="29"/>
  <c r="F16" i="29"/>
  <c r="J16" i="29"/>
  <c r="M16" i="29"/>
  <c r="L16" i="29"/>
  <c r="H16" i="29"/>
  <c r="G16" i="29"/>
  <c r="O16" i="29"/>
  <c r="P16" i="29"/>
  <c r="E16" i="29"/>
  <c r="R16" i="29" l="1"/>
  <c r="Q16" i="29"/>
  <c r="G18" i="29" l="1"/>
  <c r="O18" i="29"/>
  <c r="J18" i="29"/>
  <c r="L18" i="29"/>
  <c r="M18" i="29"/>
  <c r="N18" i="29"/>
  <c r="F18" i="29"/>
  <c r="H18" i="29"/>
  <c r="I18" i="29"/>
  <c r="P18" i="29"/>
  <c r="K18" i="29"/>
  <c r="R18" i="29" l="1"/>
  <c r="Q18" i="29"/>
  <c r="H19" i="29" l="1"/>
  <c r="G19" i="29"/>
  <c r="O19" i="29"/>
  <c r="K19" i="29"/>
  <c r="J19" i="29"/>
  <c r="M19" i="29"/>
  <c r="N19" i="29"/>
  <c r="L19" i="29"/>
  <c r="E19" i="29"/>
  <c r="I19" i="29"/>
  <c r="P19" i="29"/>
  <c r="R19" i="29" s="1"/>
  <c r="F19" i="29"/>
  <c r="Q19" i="29" l="1"/>
  <c r="M20" i="29" l="1"/>
  <c r="G20" i="29"/>
  <c r="J20" i="29"/>
  <c r="N20" i="29"/>
  <c r="O20" i="29"/>
  <c r="L20" i="29"/>
  <c r="H20" i="29"/>
  <c r="F20" i="29"/>
  <c r="K20" i="29"/>
  <c r="E20" i="29"/>
  <c r="P20" i="29"/>
  <c r="I20" i="29"/>
  <c r="Q20" i="29" l="1"/>
  <c r="R20" i="29"/>
  <c r="H21" i="29" l="1"/>
  <c r="L21" i="29"/>
  <c r="M21" i="29"/>
  <c r="I21" i="29"/>
  <c r="O21" i="29"/>
  <c r="F21" i="29"/>
  <c r="N21" i="29"/>
  <c r="J21" i="29"/>
  <c r="G21" i="29"/>
  <c r="E21" i="29"/>
  <c r="P21" i="29"/>
  <c r="R21" i="29" s="1"/>
  <c r="K21" i="29"/>
  <c r="Q21" i="29" l="1"/>
  <c r="H22" i="29" l="1"/>
  <c r="O22" i="29"/>
  <c r="J22" i="29"/>
  <c r="L22" i="29"/>
  <c r="K22" i="29"/>
  <c r="M22" i="29"/>
  <c r="G22" i="29"/>
  <c r="F22" i="29"/>
  <c r="E22" i="29"/>
  <c r="N22" i="29"/>
  <c r="I22" i="29"/>
  <c r="P22" i="29"/>
  <c r="R22" i="29" s="1"/>
  <c r="Q22" i="29" l="1"/>
  <c r="K23" i="29" l="1"/>
  <c r="N23" i="29"/>
  <c r="H23" i="29"/>
  <c r="I23" i="29"/>
  <c r="O23" i="29"/>
  <c r="L23" i="29"/>
  <c r="E23" i="29"/>
  <c r="F23" i="29"/>
  <c r="M23" i="29"/>
  <c r="G23" i="29"/>
  <c r="P23" i="29"/>
  <c r="R23" i="29" s="1"/>
  <c r="J23" i="29"/>
  <c r="Q23" i="29" l="1"/>
  <c r="F25" i="29" l="1"/>
  <c r="G25" i="29"/>
  <c r="N25" i="29"/>
  <c r="H25" i="29"/>
  <c r="J25" i="29"/>
  <c r="M25" i="29"/>
  <c r="L25" i="29"/>
  <c r="K25" i="29"/>
  <c r="I25" i="29"/>
  <c r="O25" i="29"/>
  <c r="P25" i="29"/>
  <c r="E25" i="29"/>
  <c r="R25" i="29" l="1"/>
  <c r="Q25" i="29"/>
  <c r="O26" i="29" l="1"/>
  <c r="G26" i="29"/>
  <c r="J26" i="29"/>
  <c r="M26" i="29"/>
  <c r="I26" i="29"/>
  <c r="N26" i="29"/>
  <c r="K26" i="29"/>
  <c r="H26" i="29"/>
  <c r="F26" i="29"/>
  <c r="L26" i="29"/>
  <c r="P26" i="29"/>
  <c r="R26" i="29" s="1"/>
  <c r="E26" i="29"/>
  <c r="Q26" i="29" l="1"/>
  <c r="H27" i="29" l="1"/>
  <c r="L27" i="29"/>
  <c r="I27" i="29"/>
  <c r="M27" i="29"/>
  <c r="F27" i="29"/>
  <c r="G27" i="29"/>
  <c r="K27" i="29"/>
  <c r="N27" i="29"/>
  <c r="O27" i="29"/>
  <c r="J27" i="29"/>
  <c r="P27" i="29"/>
  <c r="E27" i="29"/>
  <c r="Q27" i="29" l="1"/>
  <c r="R27" i="29"/>
  <c r="M28" i="29" l="1"/>
  <c r="K28" i="29"/>
  <c r="O28" i="29"/>
  <c r="G28" i="29"/>
  <c r="J28" i="29"/>
  <c r="F28" i="29"/>
  <c r="N28" i="29"/>
  <c r="I28" i="29"/>
  <c r="H28" i="29"/>
  <c r="E28" i="29"/>
  <c r="P28" i="29"/>
  <c r="R28" i="29" s="1"/>
  <c r="L28" i="29"/>
  <c r="Q28" i="29" l="1"/>
  <c r="Q29" i="29" l="1"/>
  <c r="R29" i="29"/>
  <c r="L30" i="29" l="1"/>
  <c r="L33" i="29" s="1"/>
  <c r="J30" i="29"/>
  <c r="J33" i="29" s="1"/>
  <c r="H30" i="29"/>
  <c r="H33" i="29" s="1"/>
  <c r="F30" i="29"/>
  <c r="F33" i="29" s="1"/>
  <c r="G30" i="29"/>
  <c r="G33" i="29" s="1"/>
  <c r="N30" i="29"/>
  <c r="N33" i="29" s="1"/>
  <c r="K30" i="29"/>
  <c r="K33" i="29" s="1"/>
  <c r="I30" i="29"/>
  <c r="I33" i="29" s="1"/>
  <c r="O30" i="29"/>
  <c r="O33" i="29" s="1"/>
  <c r="M30" i="29"/>
  <c r="M33" i="29" s="1"/>
  <c r="P30" i="29"/>
  <c r="P33" i="29" s="1"/>
  <c r="E30" i="29"/>
  <c r="E33" i="29" s="1"/>
  <c r="G26" i="1" l="1"/>
  <c r="H26" i="1"/>
  <c r="N26" i="1"/>
  <c r="J26" i="1"/>
  <c r="K26" i="1"/>
  <c r="I26" i="1"/>
  <c r="D26" i="1"/>
  <c r="C26" i="1"/>
  <c r="E26" i="1"/>
  <c r="M26" i="1"/>
  <c r="L26" i="1"/>
  <c r="F26" i="1"/>
  <c r="R30" i="29"/>
  <c r="Q30" i="29"/>
  <c r="Q33" i="29" s="1"/>
  <c r="O26" i="1" l="1"/>
  <c r="Q36" i="29"/>
  <c r="S26" i="1" l="1"/>
  <c r="R26" i="1"/>
  <c r="O155" i="1" l="1"/>
  <c r="R155" i="1" l="1"/>
  <c r="S155" i="1"/>
  <c r="O55" i="1"/>
  <c r="R55" i="1" l="1"/>
  <c r="B30" i="16"/>
  <c r="F46" i="14"/>
  <c r="S55" i="1"/>
  <c r="EF46" i="14" l="1"/>
  <c r="EH46" i="14" s="1"/>
  <c r="EJ46" i="14" s="1"/>
  <c r="BC46" i="14"/>
  <c r="U30" i="16"/>
  <c r="V30" i="16" s="1"/>
  <c r="W30" i="16" s="1"/>
  <c r="B55" i="16"/>
  <c r="S46" i="14"/>
  <c r="U46" i="14" s="1"/>
  <c r="W46" i="14" s="1"/>
  <c r="EX46" i="14"/>
  <c r="EX71" i="14" s="1"/>
  <c r="EX103" i="14" s="1"/>
  <c r="CM46" i="14"/>
  <c r="CM71" i="14" s="1"/>
  <c r="CM103" i="14" s="1"/>
  <c r="DN46" i="14"/>
  <c r="DP46" i="14" s="1"/>
  <c r="DR46" i="14" s="1"/>
  <c r="CD46" i="14"/>
  <c r="CF46" i="14" s="1"/>
  <c r="CH46" i="14" s="1"/>
  <c r="BL46" i="14"/>
  <c r="BN46" i="14" s="1"/>
  <c r="BP46" i="14" s="1"/>
  <c r="BU46" i="14"/>
  <c r="BW46" i="14" s="1"/>
  <c r="BY46" i="14" s="1"/>
  <c r="AK46" i="14"/>
  <c r="AM46" i="14" s="1"/>
  <c r="AO46" i="14" s="1"/>
  <c r="DE46" i="14"/>
  <c r="DG46" i="14" s="1"/>
  <c r="DI46" i="14" s="1"/>
  <c r="CV46" i="14"/>
  <c r="EO46" i="14"/>
  <c r="AB46" i="14"/>
  <c r="AD46" i="14" s="1"/>
  <c r="AF46" i="14" s="1"/>
  <c r="F71" i="14"/>
  <c r="F103" i="14" s="1"/>
  <c r="DW46" i="14"/>
  <c r="AT46" i="14"/>
  <c r="J46" i="14"/>
  <c r="FG46" i="14"/>
  <c r="EF71" i="14" l="1"/>
  <c r="EF103" i="14" s="1"/>
  <c r="BE46" i="14"/>
  <c r="BC71" i="14"/>
  <c r="BC103" i="14" s="1"/>
  <c r="D30" i="16"/>
  <c r="D55" i="16" s="1"/>
  <c r="D98" i="16" s="1"/>
  <c r="X46" i="14"/>
  <c r="W71" i="14"/>
  <c r="J30" i="16"/>
  <c r="J55" i="16" s="1"/>
  <c r="J98" i="16" s="1"/>
  <c r="CI46" i="14"/>
  <c r="CI71" i="14" s="1"/>
  <c r="CI103" i="14" s="1"/>
  <c r="CH71" i="14"/>
  <c r="DJ46" i="14"/>
  <c r="DJ71" i="14" s="1"/>
  <c r="DJ103" i="14" s="1"/>
  <c r="M30" i="16"/>
  <c r="DI71" i="14"/>
  <c r="I30" i="16"/>
  <c r="I55" i="16" s="1"/>
  <c r="I98" i="16" s="1"/>
  <c r="BZ46" i="14"/>
  <c r="BZ71" i="14" s="1"/>
  <c r="BZ103" i="14" s="1"/>
  <c r="BY71" i="14"/>
  <c r="P30" i="16"/>
  <c r="EK46" i="14"/>
  <c r="EK71" i="14" s="1"/>
  <c r="EK103" i="14" s="1"/>
  <c r="EJ71" i="14"/>
  <c r="E30" i="16"/>
  <c r="E55" i="16" s="1"/>
  <c r="E98" i="16" s="1"/>
  <c r="AG46" i="14"/>
  <c r="AG71" i="14" s="1"/>
  <c r="AG103" i="14" s="1"/>
  <c r="AF71" i="14"/>
  <c r="F30" i="16"/>
  <c r="F55" i="16" s="1"/>
  <c r="F98" i="16" s="1"/>
  <c r="AP46" i="14"/>
  <c r="AO71" i="14"/>
  <c r="BQ46" i="14"/>
  <c r="BQ71" i="14" s="1"/>
  <c r="BQ103" i="14" s="1"/>
  <c r="H30" i="16"/>
  <c r="H55" i="16" s="1"/>
  <c r="H98" i="16" s="1"/>
  <c r="BP71" i="14"/>
  <c r="N30" i="16"/>
  <c r="DS46" i="14"/>
  <c r="DS71" i="14" s="1"/>
  <c r="DS103" i="14" s="1"/>
  <c r="DR71" i="14"/>
  <c r="BU71" i="14"/>
  <c r="BU103" i="14" s="1"/>
  <c r="S71" i="14"/>
  <c r="S103" i="14" s="1"/>
  <c r="CX46" i="14"/>
  <c r="CZ46" i="14" s="1"/>
  <c r="CO46" i="14"/>
  <c r="CQ46" i="14" s="1"/>
  <c r="DY46" i="14"/>
  <c r="EA46" i="14" s="1"/>
  <c r="BL71" i="14"/>
  <c r="BL103" i="14" s="1"/>
  <c r="CV71" i="14"/>
  <c r="CV103" i="14" s="1"/>
  <c r="DW71" i="14"/>
  <c r="DW103" i="14" s="1"/>
  <c r="AK71" i="14"/>
  <c r="AK103" i="14" s="1"/>
  <c r="EO71" i="14"/>
  <c r="EO103" i="14" s="1"/>
  <c r="DN71" i="14"/>
  <c r="DN103" i="14" s="1"/>
  <c r="EZ46" i="14"/>
  <c r="FB46" i="14" s="1"/>
  <c r="DE71" i="14"/>
  <c r="DE103" i="14" s="1"/>
  <c r="DP71" i="14"/>
  <c r="DP103" i="14" s="1"/>
  <c r="AB71" i="14"/>
  <c r="AB103" i="14" s="1"/>
  <c r="EQ46" i="14"/>
  <c r="ES46" i="14" s="1"/>
  <c r="CD71" i="14"/>
  <c r="CD103" i="14" s="1"/>
  <c r="J71" i="14"/>
  <c r="J103" i="14" s="1"/>
  <c r="L46" i="14"/>
  <c r="N46" i="14" s="1"/>
  <c r="AV46" i="14"/>
  <c r="AX46" i="14" s="1"/>
  <c r="AT71" i="14"/>
  <c r="AT103" i="14" s="1"/>
  <c r="FI46" i="14"/>
  <c r="FK46" i="14" s="1"/>
  <c r="FG71" i="14"/>
  <c r="FG103" i="14" s="1"/>
  <c r="BN71" i="14"/>
  <c r="BN103" i="14" s="1"/>
  <c r="DG71" i="14"/>
  <c r="DG103" i="14" s="1"/>
  <c r="CF71" i="14"/>
  <c r="CF103" i="14" s="1"/>
  <c r="AM71" i="14"/>
  <c r="AM103" i="14" s="1"/>
  <c r="AD71" i="14"/>
  <c r="AD103" i="14" s="1"/>
  <c r="EH71" i="14"/>
  <c r="EH103" i="14" s="1"/>
  <c r="BW71" i="14"/>
  <c r="BW103" i="14" s="1"/>
  <c r="U71" i="14"/>
  <c r="U103" i="14" s="1"/>
  <c r="CJ46" i="14" l="1"/>
  <c r="CJ71" i="14" s="1"/>
  <c r="CJ103" i="14" s="1"/>
  <c r="CX71" i="14"/>
  <c r="CX103" i="14" s="1"/>
  <c r="BG46" i="14"/>
  <c r="BE71" i="14"/>
  <c r="BE103" i="14" s="1"/>
  <c r="BR46" i="14"/>
  <c r="BR71" i="14" s="1"/>
  <c r="BR103" i="14" s="1"/>
  <c r="DT46" i="14"/>
  <c r="DT71" i="14" s="1"/>
  <c r="DT103" i="14" s="1"/>
  <c r="DT107" i="14" s="1"/>
  <c r="DT109" i="14" s="1"/>
  <c r="AH46" i="14"/>
  <c r="AH71" i="14" s="1"/>
  <c r="AH103" i="14" s="1"/>
  <c r="DK46" i="14"/>
  <c r="DK71" i="14" s="1"/>
  <c r="DK103" i="14" s="1"/>
  <c r="CA46" i="14"/>
  <c r="CA71" i="14" s="1"/>
  <c r="CA103" i="14" s="1"/>
  <c r="C30" i="16"/>
  <c r="C55" i="16" s="1"/>
  <c r="C98" i="16" s="1"/>
  <c r="O46" i="14"/>
  <c r="N71" i="14"/>
  <c r="G24" i="17"/>
  <c r="EJ103" i="14"/>
  <c r="G15" i="17"/>
  <c r="BP103" i="14"/>
  <c r="O30" i="16"/>
  <c r="EB46" i="14"/>
  <c r="EB71" i="14" s="1"/>
  <c r="EB103" i="14" s="1"/>
  <c r="EA71" i="14"/>
  <c r="EL46" i="14"/>
  <c r="EL71" i="14" s="1"/>
  <c r="EL103" i="14" s="1"/>
  <c r="G17" i="17"/>
  <c r="BY103" i="14"/>
  <c r="G21" i="17"/>
  <c r="DI103" i="14"/>
  <c r="G13" i="17"/>
  <c r="AO103" i="14"/>
  <c r="FL46" i="14"/>
  <c r="FL71" i="14" s="1"/>
  <c r="FL103" i="14" s="1"/>
  <c r="S30" i="16"/>
  <c r="FK71" i="14"/>
  <c r="G11" i="17"/>
  <c r="W103" i="14"/>
  <c r="G12" i="17"/>
  <c r="AF103" i="14"/>
  <c r="G22" i="17"/>
  <c r="DR103" i="14"/>
  <c r="FC46" i="14"/>
  <c r="FC71" i="14" s="1"/>
  <c r="FC103" i="14" s="1"/>
  <c r="R30" i="16"/>
  <c r="FD46" i="14"/>
  <c r="FD71" i="14" s="1"/>
  <c r="FD103" i="14" s="1"/>
  <c r="FB71" i="14"/>
  <c r="CO71" i="14"/>
  <c r="CO103" i="14" s="1"/>
  <c r="Y46" i="14"/>
  <c r="Y71" i="14" s="1"/>
  <c r="Y103" i="14" s="1"/>
  <c r="X71" i="14"/>
  <c r="X103" i="14" s="1"/>
  <c r="K30" i="16"/>
  <c r="CR46" i="14"/>
  <c r="CR71" i="14" s="1"/>
  <c r="CR103" i="14" s="1"/>
  <c r="CQ71" i="14"/>
  <c r="G19" i="17" s="1"/>
  <c r="L30" i="16"/>
  <c r="L55" i="16" s="1"/>
  <c r="L98" i="16" s="1"/>
  <c r="DA46" i="14"/>
  <c r="DA71" i="14" s="1"/>
  <c r="DA103" i="14" s="1"/>
  <c r="CZ71" i="14"/>
  <c r="ET46" i="14"/>
  <c r="ET71" i="14" s="1"/>
  <c r="ET103" i="14" s="1"/>
  <c r="ES71" i="14"/>
  <c r="CH103" i="14"/>
  <c r="AQ46" i="14"/>
  <c r="AQ71" i="14" s="1"/>
  <c r="AQ103" i="14" s="1"/>
  <c r="AP71" i="14"/>
  <c r="AP103" i="14" s="1"/>
  <c r="AY46" i="14"/>
  <c r="AY71" i="14" s="1"/>
  <c r="AY103" i="14" s="1"/>
  <c r="G30" i="16"/>
  <c r="G55" i="16" s="1"/>
  <c r="G98" i="16" s="1"/>
  <c r="AX71" i="14"/>
  <c r="DY71" i="14"/>
  <c r="DY103" i="14" s="1"/>
  <c r="EQ71" i="14"/>
  <c r="EQ103" i="14" s="1"/>
  <c r="EZ71" i="14"/>
  <c r="EZ103" i="14" s="1"/>
  <c r="FI71" i="14"/>
  <c r="FI103" i="14" s="1"/>
  <c r="L71" i="14"/>
  <c r="L103" i="14" s="1"/>
  <c r="AV71" i="14"/>
  <c r="AV103" i="14" s="1"/>
  <c r="N55" i="16"/>
  <c r="N98" i="16" s="1"/>
  <c r="N22" i="8" l="1"/>
  <c r="O22" i="8"/>
  <c r="P22" i="8"/>
  <c r="M22" i="8"/>
  <c r="DB46" i="14"/>
  <c r="DB71" i="14" s="1"/>
  <c r="DB103" i="14" s="1"/>
  <c r="CS46" i="14"/>
  <c r="CS71" i="14" s="1"/>
  <c r="CS103" i="14" s="1"/>
  <c r="CS107" i="14" s="1"/>
  <c r="CS109" i="14" s="1"/>
  <c r="AZ46" i="14"/>
  <c r="AZ71" i="14" s="1"/>
  <c r="AZ103" i="14" s="1"/>
  <c r="BH46" i="14"/>
  <c r="BI46" i="14"/>
  <c r="FM46" i="14"/>
  <c r="FM71" i="14" s="1"/>
  <c r="FM103" i="14" s="1"/>
  <c r="EC46" i="14"/>
  <c r="EC71" i="14" s="1"/>
  <c r="EC103" i="14" s="1"/>
  <c r="EU46" i="14"/>
  <c r="EU71" i="14" s="1"/>
  <c r="EU103" i="14" s="1"/>
  <c r="EU107" i="14" s="1"/>
  <c r="EU109" i="14" s="1"/>
  <c r="G27" i="17"/>
  <c r="FK103" i="14"/>
  <c r="G26" i="17"/>
  <c r="FB103" i="14"/>
  <c r="G23" i="17"/>
  <c r="EA103" i="14"/>
  <c r="ES103" i="14"/>
  <c r="G14" i="17"/>
  <c r="AX103" i="14"/>
  <c r="G10" i="17"/>
  <c r="O10" i="17" s="1"/>
  <c r="N103" i="14"/>
  <c r="G20" i="17"/>
  <c r="CZ103" i="14"/>
  <c r="CQ103" i="14"/>
  <c r="P46" i="14"/>
  <c r="P71" i="14" s="1"/>
  <c r="O71" i="14"/>
  <c r="O103" i="14" s="1"/>
  <c r="R55" i="16"/>
  <c r="R98" i="16" s="1"/>
  <c r="M55" i="16"/>
  <c r="M98" i="16" s="1"/>
  <c r="EL107" i="14"/>
  <c r="EL109" i="14" s="1"/>
  <c r="EG114" i="14" s="1"/>
  <c r="K55" i="16"/>
  <c r="K98" i="16" s="1"/>
  <c r="AH107" i="14"/>
  <c r="AH109" i="14" s="1"/>
  <c r="P55" i="16"/>
  <c r="P98" i="16" s="1"/>
  <c r="O55" i="16"/>
  <c r="O98" i="16" s="1"/>
  <c r="P28" i="8" l="1"/>
  <c r="R28" i="8" s="1"/>
  <c r="O28" i="8"/>
  <c r="O25" i="17"/>
  <c r="N25" i="17"/>
  <c r="S25" i="17" s="1"/>
  <c r="FM107" i="14"/>
  <c r="FM109" i="14" s="1"/>
  <c r="S55" i="16"/>
  <c r="S98" i="16" s="1"/>
  <c r="AZ107" i="14"/>
  <c r="AZ109" i="14" s="1"/>
  <c r="P103" i="14"/>
  <c r="P107" i="14" s="1"/>
  <c r="P109" i="14" s="1"/>
  <c r="CJ107" i="14"/>
  <c r="CJ109" i="14" s="1"/>
  <c r="Y107" i="14"/>
  <c r="Y109" i="14" s="1"/>
  <c r="BR107" i="14"/>
  <c r="BR109" i="14" s="1"/>
  <c r="FD107" i="14"/>
  <c r="FD109" i="14" s="1"/>
  <c r="AQ107" i="14"/>
  <c r="AQ109" i="14" s="1"/>
  <c r="DK107" i="14"/>
  <c r="DK109" i="14" s="1"/>
  <c r="O22" i="17"/>
  <c r="N22" i="17"/>
  <c r="S22" i="17" s="1"/>
  <c r="H25" i="8"/>
  <c r="F25" i="8"/>
  <c r="G25" i="8"/>
  <c r="J25" i="8"/>
  <c r="M25" i="8"/>
  <c r="P25" i="8"/>
  <c r="R25" i="8" s="1"/>
  <c r="E25" i="8"/>
  <c r="O25" i="8"/>
  <c r="L25" i="8"/>
  <c r="I25" i="8"/>
  <c r="K25" i="8"/>
  <c r="N25" i="8"/>
  <c r="EC107" i="14"/>
  <c r="EC109" i="14" s="1"/>
  <c r="CA107" i="14"/>
  <c r="CA109" i="14" s="1"/>
  <c r="F28" i="31" l="1"/>
  <c r="I28" i="31"/>
  <c r="L28" i="31"/>
  <c r="J28" i="31"/>
  <c r="G28" i="31"/>
  <c r="H28" i="31"/>
  <c r="N28" i="31"/>
  <c r="K28" i="31"/>
  <c r="M28" i="31"/>
  <c r="Q28" i="8"/>
  <c r="C183" i="26" s="1"/>
  <c r="J183" i="26" s="1"/>
  <c r="E28" i="31"/>
  <c r="O28" i="31"/>
  <c r="P28" i="31"/>
  <c r="T25" i="17"/>
  <c r="Q25" i="17"/>
  <c r="R25" i="17" s="1"/>
  <c r="V25" i="17"/>
  <c r="U25" i="17"/>
  <c r="U55" i="16"/>
  <c r="C15" i="23"/>
  <c r="Q25" i="8"/>
  <c r="O26" i="17"/>
  <c r="N26" i="17"/>
  <c r="S26" i="17" s="1"/>
  <c r="K29" i="8"/>
  <c r="H29" i="8"/>
  <c r="O29" i="8"/>
  <c r="I29" i="8"/>
  <c r="E29" i="8"/>
  <c r="G29" i="8"/>
  <c r="J29" i="8"/>
  <c r="P29" i="8"/>
  <c r="R29" i="8" s="1"/>
  <c r="N29" i="8"/>
  <c r="L29" i="8"/>
  <c r="F29" i="8"/>
  <c r="M29" i="8"/>
  <c r="N21" i="17"/>
  <c r="S21" i="17" s="1"/>
  <c r="O21" i="17"/>
  <c r="E24" i="8"/>
  <c r="P24" i="8"/>
  <c r="R24" i="8" s="1"/>
  <c r="F24" i="8"/>
  <c r="G24" i="8"/>
  <c r="I24" i="8"/>
  <c r="J24" i="8"/>
  <c r="H24" i="8"/>
  <c r="O24" i="8"/>
  <c r="L24" i="8"/>
  <c r="M24" i="8"/>
  <c r="K24" i="8"/>
  <c r="N24" i="8"/>
  <c r="O15" i="17"/>
  <c r="N15" i="17"/>
  <c r="S15" i="17" s="1"/>
  <c r="E19" i="8"/>
  <c r="O19" i="8"/>
  <c r="F19" i="8"/>
  <c r="G19" i="8"/>
  <c r="M19" i="8"/>
  <c r="N19" i="8"/>
  <c r="H19" i="8"/>
  <c r="P19" i="8"/>
  <c r="R19" i="8" s="1"/>
  <c r="I19" i="8"/>
  <c r="K19" i="8"/>
  <c r="L19" i="8"/>
  <c r="J19" i="8"/>
  <c r="O18" i="17"/>
  <c r="N18" i="17"/>
  <c r="S18" i="17" s="1"/>
  <c r="E21" i="8"/>
  <c r="O21" i="8"/>
  <c r="N21" i="8"/>
  <c r="M21" i="8"/>
  <c r="H21" i="8"/>
  <c r="J21" i="8"/>
  <c r="G21" i="8"/>
  <c r="I21" i="8"/>
  <c r="F21" i="8"/>
  <c r="L21" i="8"/>
  <c r="K21" i="8"/>
  <c r="P21" i="8"/>
  <c r="R21" i="8" s="1"/>
  <c r="N13" i="17"/>
  <c r="S13" i="17" s="1"/>
  <c r="O13" i="17"/>
  <c r="E17" i="8"/>
  <c r="K17" i="8"/>
  <c r="J17" i="8"/>
  <c r="I17" i="8"/>
  <c r="N17" i="8"/>
  <c r="H17" i="8"/>
  <c r="L17" i="8"/>
  <c r="G17" i="8"/>
  <c r="F17" i="8"/>
  <c r="P17" i="8"/>
  <c r="R17" i="8" s="1"/>
  <c r="M17" i="8"/>
  <c r="O17" i="8"/>
  <c r="O19" i="17"/>
  <c r="N19" i="17"/>
  <c r="S19" i="17" s="1"/>
  <c r="R22" i="8"/>
  <c r="O20" i="17"/>
  <c r="N20" i="17"/>
  <c r="S20" i="17" s="1"/>
  <c r="E23" i="8"/>
  <c r="P23" i="8"/>
  <c r="R23" i="8" s="1"/>
  <c r="K23" i="8"/>
  <c r="F23" i="8"/>
  <c r="O23" i="8"/>
  <c r="G23" i="8"/>
  <c r="I23" i="8"/>
  <c r="N23" i="8"/>
  <c r="H23" i="8"/>
  <c r="L23" i="8"/>
  <c r="M23" i="8"/>
  <c r="J23" i="8"/>
  <c r="E15" i="8"/>
  <c r="O11" i="17"/>
  <c r="N11" i="17"/>
  <c r="S11" i="17" s="1"/>
  <c r="I15" i="8"/>
  <c r="M15" i="8"/>
  <c r="P15" i="8"/>
  <c r="R15" i="8" s="1"/>
  <c r="O15" i="8"/>
  <c r="N15" i="8"/>
  <c r="L15" i="8"/>
  <c r="J15" i="8"/>
  <c r="F15" i="8"/>
  <c r="K15" i="8"/>
  <c r="H15" i="8"/>
  <c r="G15" i="8"/>
  <c r="O23" i="17"/>
  <c r="N23" i="17"/>
  <c r="S23" i="17" s="1"/>
  <c r="K26" i="8"/>
  <c r="I26" i="8"/>
  <c r="J26" i="8"/>
  <c r="M26" i="8"/>
  <c r="P26" i="8"/>
  <c r="R26" i="8" s="1"/>
  <c r="N26" i="8"/>
  <c r="G26" i="8"/>
  <c r="L26" i="8"/>
  <c r="E26" i="8"/>
  <c r="H26" i="8"/>
  <c r="F26" i="8"/>
  <c r="O26" i="8"/>
  <c r="U22" i="17"/>
  <c r="T22" i="17"/>
  <c r="Q22" i="17"/>
  <c r="R22" i="17" s="1"/>
  <c r="V22" i="17"/>
  <c r="I25" i="31"/>
  <c r="K25" i="31"/>
  <c r="G25" i="31"/>
  <c r="O25" i="31"/>
  <c r="L25" i="31"/>
  <c r="E25" i="31"/>
  <c r="P25" i="31"/>
  <c r="J25" i="31"/>
  <c r="N25" i="31"/>
  <c r="H25" i="31"/>
  <c r="F25" i="31"/>
  <c r="M25" i="31"/>
  <c r="O24" i="17"/>
  <c r="N24" i="17"/>
  <c r="J27" i="8"/>
  <c r="N27" i="8"/>
  <c r="H27" i="8"/>
  <c r="O27" i="8"/>
  <c r="F27" i="8"/>
  <c r="G27" i="8"/>
  <c r="P27" i="8"/>
  <c r="R27" i="8" s="1"/>
  <c r="L27" i="8"/>
  <c r="K27" i="8"/>
  <c r="E27" i="8"/>
  <c r="M27" i="8"/>
  <c r="I27" i="8"/>
  <c r="N17" i="17"/>
  <c r="S17" i="17" s="1"/>
  <c r="O17" i="17"/>
  <c r="E20" i="8"/>
  <c r="P20" i="8"/>
  <c r="R20" i="8" s="1"/>
  <c r="K20" i="8"/>
  <c r="G20" i="8"/>
  <c r="J20" i="8"/>
  <c r="H20" i="8"/>
  <c r="O20" i="8"/>
  <c r="F20" i="8"/>
  <c r="I20" i="8"/>
  <c r="M20" i="8"/>
  <c r="N20" i="8"/>
  <c r="L20" i="8"/>
  <c r="O12" i="17"/>
  <c r="N12" i="17"/>
  <c r="S12" i="17" s="1"/>
  <c r="J16" i="8"/>
  <c r="I16" i="8"/>
  <c r="P16" i="8"/>
  <c r="R16" i="8" s="1"/>
  <c r="G16" i="8"/>
  <c r="L16" i="8"/>
  <c r="E16" i="8"/>
  <c r="F16" i="8"/>
  <c r="N16" i="8"/>
  <c r="M16" i="8"/>
  <c r="O16" i="8"/>
  <c r="K16" i="8"/>
  <c r="H16" i="8"/>
  <c r="S24" i="17" l="1"/>
  <c r="Q28" i="31"/>
  <c r="Q94" i="16" s="1"/>
  <c r="G32" i="17"/>
  <c r="D7" i="32" s="1"/>
  <c r="U98" i="16"/>
  <c r="V55" i="16"/>
  <c r="W55" i="16" s="1"/>
  <c r="H14" i="8"/>
  <c r="N10" i="17"/>
  <c r="S10" i="17" s="1"/>
  <c r="T10" i="17"/>
  <c r="L14" i="8"/>
  <c r="I14" i="8"/>
  <c r="G14" i="8"/>
  <c r="M14" i="8"/>
  <c r="E14" i="8"/>
  <c r="P14" i="8"/>
  <c r="R14" i="8" s="1"/>
  <c r="J14" i="8"/>
  <c r="F14" i="8"/>
  <c r="K14" i="8"/>
  <c r="O14" i="8"/>
  <c r="N14" i="8"/>
  <c r="E30" i="8"/>
  <c r="P30" i="8"/>
  <c r="R30" i="8" s="1"/>
  <c r="I30" i="8"/>
  <c r="N27" i="17"/>
  <c r="S27" i="17" s="1"/>
  <c r="N30" i="8"/>
  <c r="H30" i="8"/>
  <c r="L30" i="8"/>
  <c r="O30" i="8"/>
  <c r="G30" i="8"/>
  <c r="O27" i="17"/>
  <c r="M30" i="8"/>
  <c r="J30" i="8"/>
  <c r="F30" i="8"/>
  <c r="K30" i="8"/>
  <c r="O14" i="17"/>
  <c r="J18" i="8"/>
  <c r="I18" i="8"/>
  <c r="P18" i="8"/>
  <c r="R18" i="8" s="1"/>
  <c r="F18" i="8"/>
  <c r="N14" i="17"/>
  <c r="S14" i="17" s="1"/>
  <c r="K18" i="8"/>
  <c r="M18" i="8"/>
  <c r="G18" i="8"/>
  <c r="H18" i="8"/>
  <c r="E18" i="8"/>
  <c r="O18" i="8"/>
  <c r="L18" i="8"/>
  <c r="N18" i="8"/>
  <c r="V11" i="17"/>
  <c r="U11" i="17"/>
  <c r="T11" i="17"/>
  <c r="Q11" i="17"/>
  <c r="V19" i="17"/>
  <c r="T19" i="17"/>
  <c r="U19" i="17"/>
  <c r="Q19" i="17"/>
  <c r="R19" i="17" s="1"/>
  <c r="V13" i="17"/>
  <c r="T13" i="17"/>
  <c r="U13" i="17"/>
  <c r="Q13" i="17"/>
  <c r="R13" i="17" s="1"/>
  <c r="P19" i="31"/>
  <c r="M19" i="31"/>
  <c r="O19" i="31"/>
  <c r="J19" i="31"/>
  <c r="H19" i="31"/>
  <c r="F19" i="31"/>
  <c r="E19" i="31"/>
  <c r="L19" i="31"/>
  <c r="K19" i="31"/>
  <c r="G19" i="31"/>
  <c r="I19" i="31"/>
  <c r="N19" i="31"/>
  <c r="H29" i="31"/>
  <c r="G29" i="31"/>
  <c r="N29" i="31"/>
  <c r="K29" i="31"/>
  <c r="E29" i="31"/>
  <c r="O29" i="31"/>
  <c r="F29" i="31"/>
  <c r="L29" i="31"/>
  <c r="I29" i="31"/>
  <c r="J29" i="31"/>
  <c r="M29" i="31"/>
  <c r="P29" i="31"/>
  <c r="F20" i="31"/>
  <c r="O20" i="31"/>
  <c r="L20" i="31"/>
  <c r="P20" i="31"/>
  <c r="E20" i="31"/>
  <c r="I20" i="31"/>
  <c r="K20" i="31"/>
  <c r="M20" i="31"/>
  <c r="G20" i="31"/>
  <c r="N20" i="31"/>
  <c r="J20" i="31"/>
  <c r="H20" i="31"/>
  <c r="F26" i="31"/>
  <c r="H26" i="31"/>
  <c r="J26" i="31"/>
  <c r="G26" i="31"/>
  <c r="L26" i="31"/>
  <c r="M26" i="31"/>
  <c r="N26" i="31"/>
  <c r="O26" i="31"/>
  <c r="K26" i="31"/>
  <c r="P26" i="31"/>
  <c r="E26" i="31"/>
  <c r="I26" i="31"/>
  <c r="K16" i="31"/>
  <c r="P16" i="31"/>
  <c r="L16" i="31"/>
  <c r="H16" i="31"/>
  <c r="E16" i="31"/>
  <c r="G16" i="31"/>
  <c r="N16" i="31"/>
  <c r="O16" i="31"/>
  <c r="M16" i="31"/>
  <c r="I16" i="31"/>
  <c r="J16" i="31"/>
  <c r="F16" i="31"/>
  <c r="I27" i="31"/>
  <c r="H27" i="31"/>
  <c r="G27" i="31"/>
  <c r="K27" i="31"/>
  <c r="L27" i="31"/>
  <c r="E27" i="31"/>
  <c r="O27" i="31"/>
  <c r="J27" i="31"/>
  <c r="F27" i="31"/>
  <c r="M27" i="31"/>
  <c r="N27" i="31"/>
  <c r="P27" i="31"/>
  <c r="Q25" i="31"/>
  <c r="N94" i="16" s="1"/>
  <c r="Q23" i="17"/>
  <c r="R23" i="17" s="1"/>
  <c r="V23" i="17"/>
  <c r="U23" i="17"/>
  <c r="T23" i="17"/>
  <c r="Q15" i="8"/>
  <c r="C181" i="26" s="1"/>
  <c r="J181" i="26" s="1"/>
  <c r="C5" i="23"/>
  <c r="E17" i="31"/>
  <c r="O17" i="31"/>
  <c r="L17" i="31"/>
  <c r="K17" i="31"/>
  <c r="H17" i="31"/>
  <c r="P17" i="31"/>
  <c r="J17" i="31"/>
  <c r="F17" i="31"/>
  <c r="N17" i="31"/>
  <c r="I17" i="31"/>
  <c r="G17" i="31"/>
  <c r="M17" i="31"/>
  <c r="C11" i="23"/>
  <c r="Q21" i="8"/>
  <c r="Q15" i="17"/>
  <c r="R15" i="17" s="1"/>
  <c r="T15" i="17"/>
  <c r="U15" i="17"/>
  <c r="V15" i="17"/>
  <c r="Q24" i="8"/>
  <c r="C182" i="26" s="1"/>
  <c r="J182" i="26" s="1"/>
  <c r="C14" i="23"/>
  <c r="V26" i="17"/>
  <c r="U26" i="17"/>
  <c r="Q26" i="17"/>
  <c r="R26" i="17" s="1"/>
  <c r="T26" i="17"/>
  <c r="T20" i="17"/>
  <c r="U20" i="17"/>
  <c r="Q20" i="17"/>
  <c r="R20" i="17" s="1"/>
  <c r="V20" i="17"/>
  <c r="U12" i="17"/>
  <c r="V12" i="17"/>
  <c r="T12" i="17"/>
  <c r="Q12" i="17"/>
  <c r="R12" i="17" s="1"/>
  <c r="C10" i="23"/>
  <c r="Q20" i="8"/>
  <c r="Q24" i="17"/>
  <c r="R24" i="17" s="1"/>
  <c r="U24" i="17"/>
  <c r="T24" i="17"/>
  <c r="V24" i="17"/>
  <c r="Q23" i="8"/>
  <c r="C13" i="23"/>
  <c r="E21" i="31"/>
  <c r="L21" i="31"/>
  <c r="P21" i="31"/>
  <c r="N21" i="31"/>
  <c r="M21" i="31"/>
  <c r="J21" i="31"/>
  <c r="G21" i="31"/>
  <c r="O21" i="31"/>
  <c r="I21" i="31"/>
  <c r="F21" i="31"/>
  <c r="H21" i="31"/>
  <c r="K21" i="31"/>
  <c r="Q21" i="17"/>
  <c r="R21" i="17" s="1"/>
  <c r="T21" i="17"/>
  <c r="V21" i="17"/>
  <c r="U21" i="17"/>
  <c r="C6" i="23"/>
  <c r="Q16" i="8"/>
  <c r="U17" i="17"/>
  <c r="V17" i="17"/>
  <c r="T17" i="17"/>
  <c r="Q17" i="17"/>
  <c r="R17" i="17" s="1"/>
  <c r="C17" i="23"/>
  <c r="Q27" i="8"/>
  <c r="C16" i="23"/>
  <c r="Q26" i="8"/>
  <c r="E15" i="31"/>
  <c r="O15" i="31"/>
  <c r="G15" i="31"/>
  <c r="I15" i="31"/>
  <c r="K15" i="31"/>
  <c r="F15" i="31"/>
  <c r="P15" i="31"/>
  <c r="J15" i="31"/>
  <c r="M15" i="31"/>
  <c r="H15" i="31"/>
  <c r="L15" i="31"/>
  <c r="N15" i="31"/>
  <c r="O23" i="31"/>
  <c r="N23" i="31"/>
  <c r="F23" i="31"/>
  <c r="K23" i="31"/>
  <c r="G23" i="31"/>
  <c r="L23" i="31"/>
  <c r="I23" i="31"/>
  <c r="H23" i="31"/>
  <c r="M23" i="31"/>
  <c r="E23" i="31"/>
  <c r="J23" i="31"/>
  <c r="P23" i="31"/>
  <c r="C12" i="23"/>
  <c r="Q22" i="8"/>
  <c r="E22" i="31"/>
  <c r="P22" i="31"/>
  <c r="O22" i="31"/>
  <c r="I22" i="31"/>
  <c r="K22" i="31"/>
  <c r="L22" i="31"/>
  <c r="M22" i="31"/>
  <c r="G22" i="31"/>
  <c r="F22" i="31"/>
  <c r="J22" i="31"/>
  <c r="H22" i="31"/>
  <c r="N22" i="31"/>
  <c r="C7" i="23"/>
  <c r="Q17" i="8"/>
  <c r="V18" i="17"/>
  <c r="T18" i="17"/>
  <c r="Q18" i="17"/>
  <c r="R18" i="17" s="1"/>
  <c r="U18" i="17"/>
  <c r="C9" i="23"/>
  <c r="Q19" i="8"/>
  <c r="L24" i="31"/>
  <c r="P24" i="31"/>
  <c r="K24" i="31"/>
  <c r="N24" i="31"/>
  <c r="M24" i="31"/>
  <c r="G24" i="31"/>
  <c r="F24" i="31"/>
  <c r="I24" i="31"/>
  <c r="E24" i="31"/>
  <c r="J24" i="31"/>
  <c r="H24" i="31"/>
  <c r="O24" i="31"/>
  <c r="C19" i="23"/>
  <c r="Q29" i="8"/>
  <c r="H15" i="23"/>
  <c r="I15" i="23"/>
  <c r="M15" i="23" s="1"/>
  <c r="I14" i="31" l="1"/>
  <c r="I33" i="8"/>
  <c r="G18" i="1" s="1"/>
  <c r="E33" i="8"/>
  <c r="C7" i="32" s="1"/>
  <c r="H15" i="32" s="1"/>
  <c r="K33" i="8"/>
  <c r="I18" i="1" s="1"/>
  <c r="M33" i="8"/>
  <c r="K18" i="1" s="1"/>
  <c r="K186" i="1" s="1"/>
  <c r="H33" i="8"/>
  <c r="F18" i="1" s="1"/>
  <c r="O33" i="8"/>
  <c r="M18" i="1" s="1"/>
  <c r="P33" i="8"/>
  <c r="N18" i="1" s="1"/>
  <c r="N33" i="8"/>
  <c r="L18" i="1" s="1"/>
  <c r="G33" i="8"/>
  <c r="E18" i="1" s="1"/>
  <c r="O32" i="17"/>
  <c r="L33" i="8"/>
  <c r="J18" i="1" s="1"/>
  <c r="F33" i="8"/>
  <c r="D18" i="1" s="1"/>
  <c r="J33" i="8"/>
  <c r="H18" i="1" s="1"/>
  <c r="H186" i="1" s="1"/>
  <c r="J18" i="31"/>
  <c r="H18" i="31"/>
  <c r="E18" i="31"/>
  <c r="G18" i="31"/>
  <c r="P18" i="31"/>
  <c r="N18" i="31"/>
  <c r="M18" i="31"/>
  <c r="O18" i="31"/>
  <c r="L18" i="31"/>
  <c r="K18" i="31"/>
  <c r="I18" i="31"/>
  <c r="F18" i="31"/>
  <c r="G30" i="31"/>
  <c r="M30" i="31"/>
  <c r="N30" i="31"/>
  <c r="K30" i="31"/>
  <c r="F30" i="31"/>
  <c r="P30" i="31"/>
  <c r="H30" i="31"/>
  <c r="L30" i="31"/>
  <c r="I30" i="31"/>
  <c r="E30" i="31"/>
  <c r="O30" i="31"/>
  <c r="J30" i="31"/>
  <c r="V14" i="17"/>
  <c r="U14" i="17"/>
  <c r="Q14" i="17"/>
  <c r="R14" i="17" s="1"/>
  <c r="T14" i="17"/>
  <c r="Q18" i="8"/>
  <c r="C8" i="23"/>
  <c r="C20" i="23"/>
  <c r="Q30" i="8"/>
  <c r="U10" i="17"/>
  <c r="Q10" i="17"/>
  <c r="R10" i="17" s="1"/>
  <c r="V10" i="17"/>
  <c r="N32" i="17"/>
  <c r="U27" i="17"/>
  <c r="Q27" i="17"/>
  <c r="R27" i="17" s="1"/>
  <c r="T27" i="17"/>
  <c r="V27" i="17"/>
  <c r="Q14" i="8"/>
  <c r="C4" i="23"/>
  <c r="Q26" i="31"/>
  <c r="O94" i="16" s="1"/>
  <c r="H16" i="23"/>
  <c r="I16" i="23"/>
  <c r="M16" i="23" s="1"/>
  <c r="H13" i="23"/>
  <c r="I13" i="23"/>
  <c r="M13" i="23" s="1"/>
  <c r="I10" i="23"/>
  <c r="M10" i="23" s="1"/>
  <c r="H10" i="23"/>
  <c r="Q27" i="31"/>
  <c r="P94" i="16" s="1"/>
  <c r="H9" i="23"/>
  <c r="I9" i="23"/>
  <c r="M9" i="23" s="1"/>
  <c r="H12" i="23"/>
  <c r="I12" i="23"/>
  <c r="M12" i="23" s="1"/>
  <c r="Q15" i="31"/>
  <c r="D94" i="16" s="1"/>
  <c r="H19" i="23"/>
  <c r="I19" i="23"/>
  <c r="M19" i="23" s="1"/>
  <c r="Q24" i="31"/>
  <c r="M94" i="16" s="1"/>
  <c r="H7" i="23"/>
  <c r="I7" i="23"/>
  <c r="M7" i="23" s="1"/>
  <c r="Q22" i="31"/>
  <c r="K94" i="16" s="1"/>
  <c r="L15" i="23"/>
  <c r="K15" i="23"/>
  <c r="Q23" i="31"/>
  <c r="L94" i="16" s="1"/>
  <c r="I6" i="23"/>
  <c r="M6" i="23" s="1"/>
  <c r="H6" i="23"/>
  <c r="H11" i="23"/>
  <c r="I11" i="23"/>
  <c r="M11" i="23" s="1"/>
  <c r="Q17" i="31"/>
  <c r="F94" i="16" s="1"/>
  <c r="Q16" i="31"/>
  <c r="E94" i="16" s="1"/>
  <c r="Q29" i="31"/>
  <c r="R94" i="16" s="1"/>
  <c r="H17" i="23"/>
  <c r="I17" i="23"/>
  <c r="M17" i="23" s="1"/>
  <c r="H14" i="23"/>
  <c r="I14" i="23"/>
  <c r="M14" i="23" s="1"/>
  <c r="H5" i="23"/>
  <c r="I5" i="23"/>
  <c r="M5" i="23" s="1"/>
  <c r="Q20" i="31"/>
  <c r="I94" i="16" s="1"/>
  <c r="Q21" i="31"/>
  <c r="J94" i="16" s="1"/>
  <c r="Q19" i="31"/>
  <c r="H94" i="16" s="1"/>
  <c r="F14" i="31" l="1"/>
  <c r="F35" i="31" s="1"/>
  <c r="D79" i="1" s="1"/>
  <c r="D81" i="1" s="1"/>
  <c r="M14" i="31"/>
  <c r="M35" i="31" s="1"/>
  <c r="K79" i="1" s="1"/>
  <c r="K81" i="1" s="1"/>
  <c r="K14" i="31"/>
  <c r="K35" i="31" s="1"/>
  <c r="I79" i="1" s="1"/>
  <c r="I81" i="1" s="1"/>
  <c r="O14" i="31"/>
  <c r="O35" i="31" s="1"/>
  <c r="M79" i="1" s="1"/>
  <c r="M81" i="1" s="1"/>
  <c r="L14" i="31"/>
  <c r="L35" i="31" s="1"/>
  <c r="J79" i="1" s="1"/>
  <c r="J81" i="1" s="1"/>
  <c r="G14" i="31"/>
  <c r="G35" i="31" s="1"/>
  <c r="E79" i="1" s="1"/>
  <c r="E81" i="1" s="1"/>
  <c r="J14" i="31"/>
  <c r="J35" i="31" s="1"/>
  <c r="H79" i="1" s="1"/>
  <c r="H81" i="1" s="1"/>
  <c r="H14" i="31"/>
  <c r="H35" i="31" s="1"/>
  <c r="F79" i="1" s="1"/>
  <c r="F81" i="1" s="1"/>
  <c r="E14" i="31"/>
  <c r="E35" i="31" s="1"/>
  <c r="P14" i="31"/>
  <c r="P35" i="31" s="1"/>
  <c r="N14" i="31"/>
  <c r="N35" i="31" s="1"/>
  <c r="L79" i="1" s="1"/>
  <c r="L81" i="1" s="1"/>
  <c r="E186" i="1"/>
  <c r="F186" i="1"/>
  <c r="D186" i="1"/>
  <c r="L186" i="1"/>
  <c r="G186" i="1"/>
  <c r="J186" i="1"/>
  <c r="N186" i="1"/>
  <c r="I186" i="1"/>
  <c r="M186" i="1"/>
  <c r="C18" i="1"/>
  <c r="C186" i="1" s="1"/>
  <c r="Q33" i="8"/>
  <c r="I35" i="31"/>
  <c r="G79" i="1" s="1"/>
  <c r="G81" i="1" s="1"/>
  <c r="C24" i="23"/>
  <c r="Q18" i="31"/>
  <c r="H4" i="23"/>
  <c r="I4" i="23"/>
  <c r="M4" i="23" s="1"/>
  <c r="I20" i="23"/>
  <c r="M20" i="23" s="1"/>
  <c r="H20" i="23"/>
  <c r="H8" i="23"/>
  <c r="I8" i="23"/>
  <c r="M8" i="23" s="1"/>
  <c r="Q32" i="17"/>
  <c r="Q30" i="31"/>
  <c r="S94" i="16" s="1"/>
  <c r="L11" i="23"/>
  <c r="K11" i="23"/>
  <c r="K16" i="23"/>
  <c r="L16" i="23"/>
  <c r="K5" i="23"/>
  <c r="L5" i="23"/>
  <c r="L12" i="23"/>
  <c r="K12" i="23"/>
  <c r="L17" i="23"/>
  <c r="K17" i="23"/>
  <c r="L6" i="23"/>
  <c r="K6" i="23"/>
  <c r="L19" i="23"/>
  <c r="K19" i="23"/>
  <c r="K13" i="23"/>
  <c r="L13" i="23"/>
  <c r="L14" i="23"/>
  <c r="K14" i="23"/>
  <c r="L7" i="23"/>
  <c r="K7" i="23"/>
  <c r="L9" i="23"/>
  <c r="K9" i="23"/>
  <c r="L10" i="23"/>
  <c r="K10" i="23"/>
  <c r="Q14" i="31" l="1"/>
  <c r="C94" i="16" s="1"/>
  <c r="O186" i="1"/>
  <c r="D148" i="1"/>
  <c r="C79" i="1"/>
  <c r="C81" i="1" s="1"/>
  <c r="N27" i="1"/>
  <c r="N79" i="1"/>
  <c r="I122" i="1"/>
  <c r="I124" i="1" s="1"/>
  <c r="I148" i="1"/>
  <c r="N122" i="1"/>
  <c r="L122" i="1"/>
  <c r="L124" i="1" s="1"/>
  <c r="L148" i="1"/>
  <c r="K122" i="1"/>
  <c r="K124" i="1" s="1"/>
  <c r="K148" i="1"/>
  <c r="J122" i="1"/>
  <c r="J124" i="1" s="1"/>
  <c r="J148" i="1"/>
  <c r="F122" i="1"/>
  <c r="F124" i="1" s="1"/>
  <c r="F148" i="1"/>
  <c r="H122" i="1"/>
  <c r="H124" i="1" s="1"/>
  <c r="H148" i="1"/>
  <c r="M122" i="1"/>
  <c r="M124" i="1" s="1"/>
  <c r="M148" i="1"/>
  <c r="C122" i="1"/>
  <c r="E122" i="1"/>
  <c r="E124" i="1" s="1"/>
  <c r="E148" i="1"/>
  <c r="G122" i="1"/>
  <c r="G124" i="1" s="1"/>
  <c r="G148" i="1"/>
  <c r="B7" i="32"/>
  <c r="E7" i="32" s="1" a="1"/>
  <c r="E7" i="32" s="1"/>
  <c r="E12" i="32" s="1"/>
  <c r="O18" i="1"/>
  <c r="O46" i="31"/>
  <c r="G94" i="16"/>
  <c r="L27" i="1"/>
  <c r="G27" i="1"/>
  <c r="M27" i="1"/>
  <c r="F27" i="1"/>
  <c r="D27" i="1"/>
  <c r="H27" i="1"/>
  <c r="E27" i="1"/>
  <c r="I27" i="1"/>
  <c r="J27" i="1"/>
  <c r="K27" i="1"/>
  <c r="K4" i="23"/>
  <c r="L4" i="23"/>
  <c r="I24" i="23"/>
  <c r="K20" i="23"/>
  <c r="L20" i="23"/>
  <c r="K8" i="23"/>
  <c r="L8" i="23"/>
  <c r="H24" i="23"/>
  <c r="L24" i="23" s="1"/>
  <c r="D122" i="1"/>
  <c r="D124" i="1" s="1"/>
  <c r="O45" i="31" l="1"/>
  <c r="Q35" i="31"/>
  <c r="H30" i="1"/>
  <c r="H129" i="1" s="1"/>
  <c r="H151" i="1" s="1"/>
  <c r="C30" i="1"/>
  <c r="C154" i="1" s="1"/>
  <c r="F30" i="1"/>
  <c r="F154" i="1" s="1"/>
  <c r="F157" i="1" s="1"/>
  <c r="E30" i="1"/>
  <c r="K30" i="1"/>
  <c r="K129" i="1" s="1"/>
  <c r="K151" i="1" s="1"/>
  <c r="L30" i="1"/>
  <c r="L154" i="1" s="1"/>
  <c r="L157" i="1" s="1"/>
  <c r="D30" i="1"/>
  <c r="D129" i="1" s="1"/>
  <c r="D151" i="1" s="1"/>
  <c r="M30" i="1"/>
  <c r="M185" i="1" s="1"/>
  <c r="G30" i="1"/>
  <c r="G129" i="1" s="1"/>
  <c r="G151" i="1" s="1"/>
  <c r="J30" i="1"/>
  <c r="J185" i="1" s="1"/>
  <c r="I30" i="1"/>
  <c r="I129" i="1" s="1"/>
  <c r="I151" i="1" s="1"/>
  <c r="C124" i="1"/>
  <c r="N148" i="1"/>
  <c r="N81" i="1"/>
  <c r="N124" i="1" s="1"/>
  <c r="S18" i="1"/>
  <c r="R18" i="1"/>
  <c r="C148" i="1"/>
  <c r="O79" i="1"/>
  <c r="N30" i="1"/>
  <c r="O27" i="1"/>
  <c r="O30" i="1" s="1"/>
  <c r="S30" i="1" s="1"/>
  <c r="K24" i="23"/>
  <c r="O122" i="1"/>
  <c r="J129" i="1" l="1"/>
  <c r="J151" i="1" s="1"/>
  <c r="K185" i="1"/>
  <c r="C185" i="1"/>
  <c r="F185" i="1"/>
  <c r="G185" i="1"/>
  <c r="H154" i="1"/>
  <c r="H157" i="1" s="1"/>
  <c r="H159" i="1" s="1"/>
  <c r="H167" i="1" s="1"/>
  <c r="H183" i="1" s="1"/>
  <c r="G154" i="1"/>
  <c r="G157" i="1" s="1"/>
  <c r="G159" i="1" s="1"/>
  <c r="G167" i="1" s="1"/>
  <c r="G183" i="1" s="1"/>
  <c r="L185" i="1"/>
  <c r="I185" i="1"/>
  <c r="D154" i="1"/>
  <c r="D157" i="1" s="1"/>
  <c r="D159" i="1" s="1"/>
  <c r="D167" i="1" s="1"/>
  <c r="D183" i="1" s="1"/>
  <c r="D185" i="1"/>
  <c r="E185" i="1"/>
  <c r="I154" i="1"/>
  <c r="I157" i="1" s="1"/>
  <c r="I159" i="1" s="1"/>
  <c r="I167" i="1" s="1"/>
  <c r="I183" i="1" s="1"/>
  <c r="F129" i="1"/>
  <c r="F151" i="1" s="1"/>
  <c r="F159" i="1" s="1"/>
  <c r="F167" i="1" s="1"/>
  <c r="F183" i="1" s="1"/>
  <c r="J154" i="1"/>
  <c r="J157" i="1" s="1"/>
  <c r="L129" i="1"/>
  <c r="L151" i="1" s="1"/>
  <c r="L159" i="1" s="1"/>
  <c r="L167" i="1" s="1"/>
  <c r="L183" i="1" s="1"/>
  <c r="M129" i="1"/>
  <c r="M151" i="1" s="1"/>
  <c r="E129" i="1"/>
  <c r="E151" i="1" s="1"/>
  <c r="C129" i="1"/>
  <c r="C151" i="1" s="1"/>
  <c r="M154" i="1"/>
  <c r="M157" i="1" s="1"/>
  <c r="E154" i="1"/>
  <c r="E157" i="1" s="1"/>
  <c r="N185" i="1"/>
  <c r="K154" i="1"/>
  <c r="K157" i="1" s="1"/>
  <c r="K159" i="1" s="1"/>
  <c r="K167" i="1" s="1"/>
  <c r="K183" i="1" s="1"/>
  <c r="H185" i="1"/>
  <c r="B94" i="16"/>
  <c r="U94" i="16" s="1"/>
  <c r="V94" i="16" s="1"/>
  <c r="W94" i="16" s="1"/>
  <c r="O81" i="1"/>
  <c r="O124" i="1" s="1"/>
  <c r="S79" i="1"/>
  <c r="R79" i="1"/>
  <c r="O148" i="1"/>
  <c r="S148" i="1" s="1"/>
  <c r="N129" i="1"/>
  <c r="N151" i="1" s="1"/>
  <c r="N154" i="1"/>
  <c r="N157" i="1" s="1"/>
  <c r="S27" i="1"/>
  <c r="R27" i="1"/>
  <c r="R30" i="1" s="1"/>
  <c r="R122" i="1"/>
  <c r="Q35" i="7"/>
  <c r="Q36" i="7" s="1"/>
  <c r="B93" i="16"/>
  <c r="S122" i="1"/>
  <c r="C157" i="1"/>
  <c r="J159" i="1" l="1"/>
  <c r="J167" i="1" s="1"/>
  <c r="J183" i="1" s="1"/>
  <c r="M159" i="1"/>
  <c r="M167" i="1" s="1"/>
  <c r="M183" i="1" s="1"/>
  <c r="O185" i="1"/>
  <c r="E159" i="1"/>
  <c r="E167" i="1" s="1"/>
  <c r="E183" i="1" s="1"/>
  <c r="R148" i="1"/>
  <c r="R81" i="1"/>
  <c r="R124" i="1" s="1"/>
  <c r="S81" i="1"/>
  <c r="Q35" i="8"/>
  <c r="Q36" i="8" s="1"/>
  <c r="O154" i="1"/>
  <c r="R154" i="1" s="1"/>
  <c r="C159" i="1"/>
  <c r="C167" i="1" s="1"/>
  <c r="C183" i="1" s="1"/>
  <c r="N159" i="1"/>
  <c r="N167" i="1" s="1"/>
  <c r="N183" i="1" s="1"/>
  <c r="B96" i="16"/>
  <c r="B98" i="16" s="1"/>
  <c r="V98" i="16" s="1"/>
  <c r="U93" i="16"/>
  <c r="V93" i="16" s="1"/>
  <c r="W93" i="16" s="1"/>
  <c r="S124" i="1"/>
  <c r="O129" i="1"/>
  <c r="S157" i="1" l="1"/>
  <c r="S154" i="1"/>
  <c r="V96" i="16"/>
  <c r="W96" i="16" s="1"/>
  <c r="W98" i="16"/>
  <c r="R129" i="1"/>
  <c r="R151" i="1" s="1"/>
  <c r="R157" i="1" s="1"/>
  <c r="O151" i="1"/>
  <c r="S151" i="1" s="1"/>
  <c r="S129" i="1"/>
  <c r="O159" i="1" l="1"/>
  <c r="R159" i="1" s="1"/>
  <c r="O167" i="1" l="1"/>
  <c r="S159" i="1"/>
  <c r="R167" i="1" l="1"/>
  <c r="O183" i="1"/>
  <c r="R183" i="1" s="1"/>
  <c r="S1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tc={DFD12A62-5BE3-49E5-ABBE-BB445FC6E138}</author>
  </authors>
  <commentList>
    <comment ref="M7" authorId="0" shapeId="0" xr:uid="{DFD12A62-5BE3-49E5-ABBE-BB445FC6E13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amount based in %rent workings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Taso Marcopulos</author>
  </authors>
  <commentList>
    <comment ref="M14" authorId="0" shapeId="0" xr:uid="{562DC9BC-5797-4FFE-A4C0-EF4EC6587D52}">
      <text>
        <r>
          <rPr>
            <b/>
            <sz val="9"/>
            <color indexed="81"/>
            <rFont val="Tahoma"/>
            <family val="2"/>
          </rPr>
          <t>Taso Marcopulos:</t>
        </r>
        <r>
          <rPr>
            <sz val="9"/>
            <color indexed="81"/>
            <rFont val="Tahoma"/>
            <family val="2"/>
          </rPr>
          <t xml:space="preserve">
See calculations below for base rent change mid-month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Mata</author>
    <author>tc={1FB9208D-931E-4D98-9576-B02BCD432236}</author>
    <author>Holly Leonhard</author>
    <author>tc={4FF27058-5C77-450C-AA41-416EF3378E79}</author>
    <author>tc={202E6804-3775-41B6-A5BD-E5B283C26DC0}</author>
  </authors>
  <commentList>
    <comment ref="P10" authorId="0" shapeId="0" xr:uid="{FC9F48B2-76E7-4F4E-9F2D-62369ED96F93}">
      <text>
        <r>
          <rPr>
            <b/>
            <sz val="9"/>
            <color indexed="81"/>
            <rFont val="Tahoma"/>
            <family val="2"/>
          </rPr>
          <t>Luke Mata:</t>
        </r>
        <r>
          <rPr>
            <sz val="9"/>
            <color indexed="81"/>
            <rFont val="Tahoma"/>
            <family val="2"/>
          </rPr>
          <t xml:space="preserve">
Pulled from 5/31/21 Budget Report
</t>
        </r>
      </text>
    </comment>
    <comment ref="B55" authorId="1" shapeId="0" xr:uid="{1FB9208D-931E-4D98-9576-B02BCD432236}">
      <text>
        <t>[Threaded comment]
Your version of Excel allows you to read this threaded comment; however, any edits to it will get removed if the file is opened in a newer version of Excel. Learn more: https://go.microsoft.com/fwlink/?linkid=870924
Comment:
    Copy from bottom</t>
      </text>
    </comment>
    <comment ref="B78" authorId="2" shapeId="0" xr:uid="{D87069DA-FE09-4010-B1FD-2597BD22EC08}">
      <text>
        <r>
          <rPr>
            <b/>
            <sz val="9"/>
            <color indexed="81"/>
            <rFont val="Tahoma"/>
            <family val="2"/>
          </rPr>
          <t>Holly Leonhard:</t>
        </r>
        <r>
          <rPr>
            <sz val="9"/>
            <color indexed="81"/>
            <rFont val="Tahoma"/>
            <family val="2"/>
          </rPr>
          <t xml:space="preserve">
Sewer listed Twice CAM and Building. Sewer shifted to Building Expense
</t>
        </r>
      </text>
    </comment>
    <comment ref="B120" authorId="3" shapeId="0" xr:uid="{4FF27058-5C77-450C-AA41-416EF3378E79}">
      <text>
        <t>[Threaded comment]
Your version of Excel allows you to read this threaded comment; however, any edits to it will get removed if the file is opened in a newer version of Excel. Learn more: https://go.microsoft.com/fwlink/?linkid=870924
Comment:
    3-7-5-009-025
3-7-5-009-027
3-7-5-009-028
3-7-5-009-043
Impounded</t>
      </text>
    </comment>
    <comment ref="C137" authorId="4" shapeId="0" xr:uid="{202E6804-3775-41B6-A5BD-E5B283C26DC0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 from Marketing budget tab</t>
      </text>
    </comment>
    <comment ref="P155" authorId="0" shapeId="0" xr:uid="{BBCFC690-763E-49EC-9D15-E3115EC57CDA}">
      <text>
        <r>
          <rPr>
            <b/>
            <sz val="9"/>
            <color indexed="81"/>
            <rFont val="Tahoma"/>
            <family val="2"/>
          </rPr>
          <t>Luke Mata:</t>
        </r>
        <r>
          <rPr>
            <sz val="9"/>
            <color indexed="81"/>
            <rFont val="Tahoma"/>
            <family val="2"/>
          </rPr>
          <t xml:space="preserve">
State Franchise Taxes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Langevin</author>
    <author>Mike Garner</author>
    <author>Nicole Kasparian</author>
  </authors>
  <commentList>
    <comment ref="C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Bark $222, $188 plant fill-ins
</t>
        </r>
      </text>
    </comment>
    <comment ref="D3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$60 staking, $120 palm tree hangers, $7000 irrigation project
</t>
        </r>
      </text>
    </comment>
    <comment ref="E3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$650 pesticide, $1245 palm fertilization
</t>
        </r>
      </text>
    </comment>
    <comment ref="F3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$740 walk on bark, $1060 mulch, $1655 plant replacement
</t>
        </r>
      </text>
    </comment>
    <comment ref="G3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$60 Staking, $120 Palm tree hangers
</t>
        </r>
      </text>
    </comment>
    <comment ref="H3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$2,710 Palm trimming
</t>
        </r>
      </text>
    </comment>
    <comment ref="J3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$222 walk on bark, $188 plant fill ins, $650 Pesticide
</t>
        </r>
      </text>
    </comment>
    <comment ref="K3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$60 Stakes, $120 Palm Tree hangers
</t>
        </r>
      </text>
    </comment>
    <comment ref="L3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$1655 plant replacement, $1245 palm fertilization
</t>
        </r>
      </text>
    </comment>
    <comment ref="M3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$740 walk on bark, $1060 cover mulch, $2710 palm trimming, $5445 tree trimming
</t>
        </r>
      </text>
    </comment>
    <comment ref="N3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$650 pesticide, $60 staking, $120 palm tree hangers
</t>
        </r>
      </text>
    </comment>
    <comment ref="C35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Mike Garner:</t>
        </r>
        <r>
          <rPr>
            <sz val="9"/>
            <color indexed="81"/>
            <rFont val="Tahoma"/>
            <family val="2"/>
          </rPr>
          <t xml:space="preserve">
Horizon lighting</t>
        </r>
      </text>
    </comment>
    <comment ref="C3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crack fills per CH2MHill
</t>
        </r>
      </text>
    </comment>
    <comment ref="G3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crack fills per CH2MHill
</t>
        </r>
      </text>
    </comment>
    <comment ref="L3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crack fills per CH2MHill
</t>
        </r>
      </text>
    </comment>
    <comment ref="C3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$1k for monthly maintenance and 1/2 of light replacment of lights on pillars.</t>
        </r>
      </text>
    </comment>
    <comment ref="E37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Ultrasonic Pole Inspection
</t>
        </r>
      </text>
    </comment>
    <comment ref="B3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Work will be phased over two years at 18,890 now and $15,810 in 2017. 
</t>
        </r>
      </text>
    </comment>
    <comment ref="E4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Contingency for sign repairs. 
</t>
        </r>
      </text>
    </comment>
    <comment ref="L4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Contingency for sign repairs. 
</t>
        </r>
      </text>
    </comment>
    <comment ref="C47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Iincrease of 2.5% per ICC
</t>
        </r>
      </text>
    </comment>
    <comment ref="M47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Increase an additional 2 hours in the evening for opening of OSH 
</t>
        </r>
      </text>
    </comment>
    <comment ref="C4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monthly service $155 + Avitrol $75
</t>
        </r>
      </text>
    </comment>
    <comment ref="C53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Mgmt fee is either 3.5% or $4,500. 
</t>
        </r>
      </text>
    </comment>
    <comment ref="H65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$1,350 for storm drain
</t>
        </r>
      </text>
    </comment>
    <comment ref="C72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Mike Garner:</t>
        </r>
        <r>
          <rPr>
            <sz val="9"/>
            <color indexed="81"/>
            <rFont val="Tahoma"/>
            <family val="2"/>
          </rPr>
          <t xml:space="preserve">
This is the contract for the traffic signal</t>
        </r>
      </text>
    </comment>
    <comment ref="C7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Took average of 8 months from 2015 = $2800 added $200 for increase. 
</t>
        </r>
      </text>
    </comment>
    <comment ref="C7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Based on an average of 8 months and straightlined with 3% increase
</t>
        </r>
      </text>
    </comment>
    <comment ref="G8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Semi Annual Cleaning
</t>
        </r>
      </text>
    </comment>
    <comment ref="N81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Semi Annual Cleaning
</t>
        </r>
      </text>
    </comment>
    <comment ref="G8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Priority Minor Repairs
</t>
        </r>
      </text>
    </comment>
    <comment ref="L8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2 year Roof Maintnenace
</t>
        </r>
      </text>
    </comment>
    <comment ref="D83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contract is $140/mo billed quarterly</t>
        </r>
      </text>
    </comment>
    <comment ref="E84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contingency for FA Repairs
</t>
        </r>
      </text>
    </comment>
    <comment ref="C87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D87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E87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F87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G87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H87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J87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K87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L87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M87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N87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O87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Trash to remain the same with 3% increase
Split between Shops and foodcourt
</t>
        </r>
      </text>
    </comment>
    <comment ref="C90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Based on an average of 8 months straightlined with 3% increase
</t>
        </r>
      </text>
    </comment>
    <comment ref="K96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Budgeted a 5% increase for new policy
</t>
        </r>
      </text>
    </comment>
    <comment ref="K97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Increase of 5% for renewal budgeted
</t>
        </r>
      </text>
    </comment>
    <comment ref="K99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Increased by 5% for renewal
</t>
        </r>
      </text>
    </comment>
    <comment ref="J108" authorId="2" shapeId="0" xr:uid="{00000000-0006-0000-0100-000033000000}">
      <text>
        <r>
          <rPr>
            <b/>
            <sz val="9"/>
            <color indexed="81"/>
            <rFont val="Tahoma"/>
            <family val="2"/>
          </rPr>
          <t>Nicole Kasparian:</t>
        </r>
        <r>
          <rPr>
            <sz val="9"/>
            <color indexed="81"/>
            <rFont val="Tahoma"/>
            <family val="2"/>
          </rPr>
          <t xml:space="preserve">
Increase 2%</t>
        </r>
      </text>
    </comment>
    <comment ref="E127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Annual Business Tax 
</t>
        </r>
      </text>
    </comment>
    <comment ref="E128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Environmental Consulting</t>
        </r>
      </text>
    </comment>
    <comment ref="G128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Tax Preparation
</t>
        </r>
      </text>
    </comment>
    <comment ref="H128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$100 Filing Fees
</t>
        </r>
      </text>
    </comment>
    <comment ref="F130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Franchise Tax Board
</t>
        </r>
      </text>
    </comment>
    <comment ref="D140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second half of commission for Submarine Crab;second 1/2 of sprint commission $13,373.10
</t>
        </r>
      </text>
    </comment>
    <comment ref="E140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first half of Sprint Commission for broker
</t>
        </r>
      </text>
    </comment>
    <comment ref="G140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Second half of sprint commission for broker and 1% override for Athena 
</t>
        </r>
      </text>
    </comment>
    <comment ref="C143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Budgeting $18,000 for TI for Flamebroiler
</t>
        </r>
      </text>
    </comment>
    <comment ref="H143" authorId="0" shapeId="0" xr:uid="{00000000-0006-0000-0100-00003D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TI allowance for Sprint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tc={1C78F99E-F89F-4EAE-9924-627D1183C09A}</author>
    <author>tc={F76C8E7F-0C9F-463A-AC04-8783C14F50D9}</author>
    <author>Taso Marcopulos</author>
  </authors>
  <commentList>
    <comment ref="C25" authorId="0" shapeId="0" xr:uid="{1C78F99E-F89F-4EAE-9924-627D1183C09A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Ground Leases</t>
      </text>
    </comment>
    <comment ref="C26" authorId="1" shapeId="0" xr:uid="{F76C8E7F-0C9F-463A-AC04-8783C14F50D9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Ground Leases</t>
      </text>
    </comment>
    <comment ref="P26" authorId="2" shapeId="0" xr:uid="{AE24D259-B17A-46E3-99E7-F719D9F2A437}">
      <text>
        <r>
          <rPr>
            <b/>
            <sz val="9"/>
            <color indexed="81"/>
            <rFont val="Tahoma"/>
            <family val="2"/>
          </rPr>
          <t>Taso Marcopulos:</t>
        </r>
        <r>
          <rPr>
            <sz val="9"/>
            <color indexed="81"/>
            <rFont val="Tahoma"/>
            <family val="2"/>
          </rPr>
          <t xml:space="preserve">
See calculations below for base rent change mid-month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Bourke</author>
  </authors>
  <commentList>
    <comment ref="A29" authorId="0" shapeId="0" xr:uid="{457E6E53-15A7-4AD6-913A-860786659982}">
      <text>
        <r>
          <rPr>
            <b/>
            <sz val="9"/>
            <color indexed="81"/>
            <rFont val="Tahoma"/>
            <family val="2"/>
          </rPr>
          <t>Nikki Bourke:</t>
        </r>
        <r>
          <rPr>
            <sz val="9"/>
            <color indexed="81"/>
            <rFont val="Tahoma"/>
            <family val="2"/>
          </rPr>
          <t xml:space="preserve">
Rent Roll Says Vacant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Bourke</author>
  </authors>
  <commentList>
    <comment ref="A29" authorId="0" shapeId="0" xr:uid="{34B9E7B3-2348-496C-97D2-00C1CCC6F3CC}">
      <text>
        <r>
          <rPr>
            <b/>
            <sz val="9"/>
            <color indexed="81"/>
            <rFont val="Tahoma"/>
            <family val="2"/>
          </rPr>
          <t>Nikki Bourke:</t>
        </r>
        <r>
          <rPr>
            <sz val="9"/>
            <color indexed="81"/>
            <rFont val="Tahoma"/>
            <family val="2"/>
          </rPr>
          <t xml:space="preserve">
Rent Roll Says Vacant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Garner</author>
    <author>tc={9542FDC1-BDF2-4951-B369-5D11892EE3B8}</author>
  </authors>
  <commentList>
    <comment ref="D2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Mike Garner:</t>
        </r>
        <r>
          <rPr>
            <sz val="9"/>
            <color indexed="81"/>
            <rFont val="Tahoma"/>
            <family val="2"/>
          </rPr>
          <t xml:space="preserve">
Natural breakpoint</t>
        </r>
      </text>
    </comment>
    <comment ref="A25" authorId="1" shapeId="0" xr:uid="{9542FDC1-BDF2-4951-B369-5D11892EE3B8}">
      <text>
        <t>[Threaded comment]
Your version of Excel allows you to read this threaded comment; however, any edits to it will get removed if the file is opened in a newer version of Excel. Learn more: https://go.microsoft.com/fwlink/?linkid=870924
Comment:
    Tenant typically does not meet percent sales.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Langevin</author>
    <author>Nicole Kasparian</author>
  </authors>
  <commentList>
    <comment ref="A2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Paula Langevin:</t>
        </r>
        <r>
          <rPr>
            <sz val="9"/>
            <color indexed="81"/>
            <rFont val="Tahoma"/>
            <family val="2"/>
          </rPr>
          <t xml:space="preserve">
Tenant has CAM Cap removed Mgmt
</t>
        </r>
      </text>
    </comment>
    <comment ref="D22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Nicole Kasparian:</t>
        </r>
        <r>
          <rPr>
            <sz val="9"/>
            <color indexed="81"/>
            <rFont val="Tahoma"/>
            <family val="2"/>
          </rPr>
          <t xml:space="preserve">
per Section 10C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tc={BC306EF6-32EF-4676-B883-243F05938266}</author>
    <author>tc={3D9D4690-B5D8-4FD0-95FA-80281181470E}</author>
  </authors>
  <commentList>
    <comment ref="D18" authorId="0" shapeId="0" xr:uid="{BC306EF6-32EF-4676-B883-243F0593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1% of gross sales monthly but only up to $2,000 annual. Tenant exceeds, so annual max is used.</t>
      </text>
    </comment>
    <comment ref="D29" authorId="1" shapeId="0" xr:uid="{3D9D4690-B5D8-4FD0-95FA-80281181470E}">
      <text>
        <t>[Threaded comment]
Your version of Excel allows you to read this threaded comment; however, any edits to it will get removed if the file is opened in a newer version of Excel. Learn more: https://go.microsoft.com/fwlink/?linkid=870924
Comment:
    1% of gross sales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Holly Dorvall</author>
    <author>tc={9C18F20C-A233-442F-8E69-524A35C3B55A}</author>
  </authors>
  <commentList>
    <comment ref="EE73" authorId="0" shapeId="0" xr:uid="{E6278045-25C5-44DD-8DBA-CB3D34E439D9}">
      <text>
        <r>
          <rPr>
            <b/>
            <sz val="9"/>
            <color indexed="81"/>
            <rFont val="Tahoma"/>
            <family val="2"/>
          </rPr>
          <t>Holly Dorvall:</t>
        </r>
        <r>
          <rPr>
            <sz val="9"/>
            <color indexed="81"/>
            <rFont val="Tahoma"/>
            <family val="2"/>
          </rPr>
          <t xml:space="preserve">
Per 2024 dispute, tenant will dispute these charges in 24 Rec and 25 budget as they closed 02.2024</t>
        </r>
      </text>
    </comment>
    <comment ref="DB104" authorId="1" shapeId="0" xr:uid="{9C18F20C-A233-442F-8E69-524A35C3B55A}">
      <text>
        <t>[Threaded comment]
Your version of Excel allows you to read this threaded comment; however, any edits to it will get removed if the file is opened in a newer version of Excel. Learn more: https://go.microsoft.com/fwlink/?linkid=870924
Comment:
    Tenant has 5% cumulative cap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tc={EE40348F-E62F-42B7-B1FC-9316C7134A4C}</author>
    <author>Mike Garner</author>
    <author>tc={81D2C9D4-513C-4A9A-927B-5E9D34F6E29B}</author>
    <author>tc={CE38946F-6ECA-4C92-9D44-73F767EF3BB5}</author>
  </authors>
  <commentList>
    <comment ref="S8" authorId="0" shapeId="0" xr:uid="{EE40348F-E62F-42B7-B1FC-9316C7134A4C}">
      <text>
        <t>[Threaded comment]
Your version of Excel allows you to read this threaded comment; however, any edits to it will get removed if the file is opened in a newer version of Excel. Learn more: https://go.microsoft.com/fwlink/?linkid=870924
Comment:
    Until Dec. 31, 2030</t>
      </text>
    </comment>
    <comment ref="R12" authorId="1" shapeId="0" xr:uid="{C70C2B55-6153-4834-AD13-BD5E99B7453A}">
      <text>
        <r>
          <rPr>
            <b/>
            <sz val="9"/>
            <color indexed="81"/>
            <rFont val="Tahoma"/>
            <family val="2"/>
          </rPr>
          <t>Mike Garner:</t>
        </r>
        <r>
          <rPr>
            <sz val="9"/>
            <color indexed="81"/>
            <rFont val="Tahoma"/>
            <family val="2"/>
          </rPr>
          <t xml:space="preserve">
Due to marketing</t>
        </r>
      </text>
    </comment>
    <comment ref="L14" authorId="2" shapeId="0" xr:uid="{81D2C9D4-513C-4A9A-927B-5E9D34F6E29B}">
      <text>
        <t>[Threaded comment]
Your version of Excel allows you to read this threaded comment; however, any edits to it will get removed if the file is opened in a newer version of Excel. Learn more: https://go.microsoft.com/fwlink/?linkid=870924
Comment:
    Tenat to pay 1% gross sales monthly but cannot exceed $2000/year. Tenant hits over max, so number will be billed at $2000 annual.</t>
      </text>
    </comment>
    <comment ref="L26" authorId="3" shapeId="0" xr:uid="{CE38946F-6ECA-4C92-9D44-73F767EF3B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flat fee. Billing is 1% of gross sales.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Bourke</author>
  </authors>
  <commentList>
    <comment ref="A2" authorId="0" shapeId="0" xr:uid="{A1E055A7-B45C-4E94-BFF5-4035A9E13326}">
      <text>
        <r>
          <rPr>
            <b/>
            <sz val="9"/>
            <color indexed="81"/>
            <rFont val="Tahoma"/>
            <family val="2"/>
          </rPr>
          <t>Nikki Bourke:</t>
        </r>
        <r>
          <rPr>
            <sz val="9"/>
            <color indexed="81"/>
            <rFont val="Tahoma"/>
            <family val="2"/>
          </rPr>
          <t xml:space="preserve">
Should this be 2020?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<sst xmlns="http://schemas.openxmlformats.org/spreadsheetml/2006/main" count="2298" uniqueCount="713">
  <si>
    <t>VARIANCE REPORT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</si>
  <si>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</si>
  <si>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</si>
  <si>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</si>
  <si>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</si>
  <si>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</si>
  <si>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</si>
  <si>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</si>
  <si>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</si>
  <si>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</si>
  <si>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</si>
  <si>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</si>
  <si>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</si>
  <si>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</si>
  <si>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 xml:space="preserve"> </t>
  </si>
  <si>
    <t>Tenant</t>
  </si>
  <si>
    <t xml:space="preserve">Budget </t>
  </si>
  <si>
    <t>Cash Receipts</t>
  </si>
  <si>
    <t>Variance</t>
  </si>
  <si>
    <t>Comments</t>
  </si>
  <si>
    <t xml:space="preserve">GET ($196.7) Budget vs Pmt
PCR ($4,183.04) Budget vs Pmt
</t>
  </si>
  <si>
    <t>GET ($118.38) Short Pmt
PCR ($2,520.82) Budget vs Pmt</t>
  </si>
  <si>
    <t>GET ($926.7) Budget Vs Pmt.
PCR ($20,000) Budget vs Pmt
PRO $824.72 Over Pmt
MKT ($500.00) Budget vs Pmt</t>
  </si>
  <si>
    <t>GET $560.35 Budget Vs Pmt
IFC $1,579.92 Budget Vs Pmt
PCR $10,304.00 Budget Vs Pmt</t>
  </si>
  <si>
    <t>GET ($312.26) Budget Vs Pmt
PCR (6,635.40) Budget Vs Pmt</t>
  </si>
  <si>
    <t>PCR ($7,699.03) Budget vs Pmt
NNN ($10,273.05) SHORTPAID DUE TO PYC CREDIT APPLIED
GET ($846.45) Budget Vs Pmt</t>
  </si>
  <si>
    <t xml:space="preserve">GET ($1.18) Budget vs Pmt
PCR ($25.00) Budget vs Pmt
</t>
  </si>
  <si>
    <t>GET ($135.40) Budget vs Pmt
PCR ($25.00) Budget vs Pmt
NNN ($2,848.66) SHORTPAID DUE TO PYC CREDIT APPLIED</t>
  </si>
  <si>
    <t>GET ($9.42) Budget vs Pmt
PCR ($200) Budget vs Pmt</t>
  </si>
  <si>
    <t>GET $14.01 Budget vs Pmt
PCR $297.37 Budget vs Pmt</t>
  </si>
  <si>
    <t>GET $25.01 Budget vs Pmt
PCR $469.07 Budget vs Pmt</t>
  </si>
  <si>
    <t>GET $6.28  Budget vs Pmt
PCR $71.63 Budget vs Pmt</t>
  </si>
  <si>
    <t>GET ($27.21) Budget vs Pmt
PCR ($108.80) Budget vs Pmt
NNN ($530.44) SHORTPAID DUE TO PYC CREDIT APPLIED</t>
  </si>
  <si>
    <t xml:space="preserve">GET ($55.64) Short Pmt
GET $31.17 Budget vs Pmt
PCR ($1,180.82) Short Pmt
PCR $661.15 Budget vs Pmt
</t>
  </si>
  <si>
    <t>GET $13.25 Over Pmt
PCR $280.82 Over Pmt</t>
  </si>
  <si>
    <t>GET $22.74 Past due paid for Feb'26
PCR $1,382.14 past due paid for Feb'26
PCR ($900) Short Pmt Mar'26</t>
  </si>
  <si>
    <t>GET $6.06 Past due paid for Mar'26
PCR $128.24 Budget vs Pmt</t>
  </si>
  <si>
    <t>GET $ $58.91 Past due paid for Apr'26
PCR $1,249.91 Budget vs Pmt</t>
  </si>
  <si>
    <t>GET $ $24.52 Budget vs Pmt
BAS ($45.51) Budget vs Pmt
PCR $1,863.72 Budget vs Pmt
NNN ($1,374.02) SHORTPAID DUE TO PYC CREDIT APPLIED</t>
  </si>
  <si>
    <t xml:space="preserve">GET $44.52 Budget vs Pmt
PCR $944.73 Budget vs Pmt
</t>
  </si>
  <si>
    <t>GET $40.05 Budget vs Pmt
PCR $849.78 Budget vs Pmt</t>
  </si>
  <si>
    <t>GET $3.10 Budget vs Pmt
PCR $65.64 Budget vs Pmt</t>
  </si>
  <si>
    <t>GET $10.09 Budget vs Pmt
PCR $214.12 Budget vs Pmt</t>
  </si>
  <si>
    <t>GET ($12.65) Budget vs Pmt
PCR ($268.52) Budget vs Pmt</t>
  </si>
  <si>
    <t>GET ($65.26) Budget vs Pmt
PCR ($92.13) Budget vs Pmt
NNN ($1,292.89) SHORTPAID DUE TO PYC CREDIT APPLIED</t>
  </si>
  <si>
    <t>CAM $301.22 Over Pmt
GET $13.55 Budget vs Pmt
PCR $287.67 Budget vs Pmt</t>
  </si>
  <si>
    <t>CAM ($301.22) PAST DUE PAID 01/26
GET $15.21 Budget vs Pmt
PRO $322.80 Budget vs Pmt</t>
  </si>
  <si>
    <t>GET $13.96 Budget vs Pmt
PRO $296.25 Budget vs Pmt</t>
  </si>
  <si>
    <t>GET $15.12 Budget vs Pmt
PRO $320.90 Budget vs Pmt</t>
  </si>
  <si>
    <t>GET $13.07 Budget vs Pmt
PRO $277.29 Budget vs Pmt</t>
  </si>
  <si>
    <t>GET $14.44 Budget vs Pmt
PRO $306.49 Budget vs Pmt</t>
  </si>
  <si>
    <t>CAM ($1,639.41) Short Pmt
GET ($77.25) Short Pmt</t>
  </si>
  <si>
    <t>GET $14.26 Over Pmt</t>
  </si>
  <si>
    <t>BAS ($7,895.51) No Pmt
NNN ($3,103.31) No Pmt</t>
  </si>
  <si>
    <t>BAS $7,895.51 Past due paid
NNN $3,269.63 Past due paid</t>
  </si>
  <si>
    <t>BAS (11,905.63) No Pmt
NNN ($11,372.34) No Pmt
MKT ($500.00) No Pmt</t>
  </si>
  <si>
    <t>BAS ($11,905.63) No Pmt
NNN ($11,872.34) No Pmt</t>
  </si>
  <si>
    <t>BAS $23,811.26 Past Due Paid for Jan'25 &amp; Feb'26
NNN $23,744.68  Past Due Paid for Jan'25 &amp; Feb'26</t>
  </si>
  <si>
    <t>GET ($1,478.09) Short Pmt</t>
  </si>
  <si>
    <t>GET ($1,478.09) Budget vs Pmt</t>
  </si>
  <si>
    <t>GET $1,468.45 Budget vs Pmt
RDR $62,532.77 SHORTPAID DUE TO PYC CREDIT APPLIED
RDR ($62,532.77) 2025 CAM REC DEFERRAL
RDR ($2,946.54) 2025 CAM GET DEFERRAL</t>
  </si>
  <si>
    <t>GET $366.87 Budget vs Pmt
PCR $5,277.93 Budget vs Pmt
MIS $1,000 Budget vs MRI</t>
  </si>
  <si>
    <t>GET $133.38 Budget vs Pmt
PCR $322.88 Budget vs Pmt
MIS $1,000 Budget vs MRI</t>
  </si>
  <si>
    <t>GET $97.91 Budget vs Pmt
PCR $570.10 Budget vs Pmt</t>
  </si>
  <si>
    <t>GET ($1,098.56) Budget vs Pmt
PCR $7,011.64 Budget vs Pmt
MIS $1,500.00 Budget vs Pmt</t>
  </si>
  <si>
    <t>GET ($1,385.44) Budget vs Pmt
PCR $923.29 Budget vs Pmt
MIS $1,500.00 Budget vs Pmt</t>
  </si>
  <si>
    <t>GET ($1,290.84) Budget vs Pmt
PCR $2,931.00 Budget vs Pmt
MIS $1,500.00 Budget vs Pmt</t>
  </si>
  <si>
    <t xml:space="preserve">
PCR ($80.89) Short Pmt
PCR $91.97 Budget vs Pmt</t>
  </si>
  <si>
    <t>GET $32.10 Budget vs Pmt
PCR $681.05 Budget vs Pmt</t>
  </si>
  <si>
    <t>GET $30.27 Budget vs Pmt
PCR $642.34 Budget vs Pmt
PCR ($80.89) Short Pmt</t>
  </si>
  <si>
    <t>CAM ($390.28) Short Pmt
GET $32.20 Budget vs Pmt
PCR $602.23 Budget vs Pmt</t>
  </si>
  <si>
    <t>GET ($38.63) Budget vs Pmt
PCR ($113.25) Budget vs Pmt</t>
  </si>
  <si>
    <t>GET ($214.85) Budget vs Pmt
PCR ($367.35) Budget vs Pmt
NNN ($4,274.68) SHORTPAID DUE TO PYC CREDIT APPLIED</t>
  </si>
  <si>
    <t>GET ($141.3) Budget vs Pmt
PCR ($3,000) Budget vs Pmt</t>
  </si>
  <si>
    <t>GET ($43.84) Budget vs Pmt
PCR ($931.88) Budget vs Pmt</t>
  </si>
  <si>
    <t>GET $272.58 Budget vs Pmt
PCR $3,518.74 Budget vs Pmt
PRO $2,264.72 Budget vs Pmt</t>
  </si>
  <si>
    <t xml:space="preserve">GET ($120.10) Budget vs Pmt
PCR $2,678.47 Budget vs Pmt
PRO $1,211.91 Budget vs Pmt
</t>
  </si>
  <si>
    <t xml:space="preserve">GET ($258.51) Budget vs Pmt
PCR $8.05 Budget vs Pmt
PRO $944.86 Budget vs Pmt
</t>
  </si>
  <si>
    <t>GET ($485.09) Budget vs Pmt
PCR $309.97 Budget vs Pmt
PRO $975.06 Budget vs Pmt
NNN ($5,140.63)  SHORTPAID DUE TO PYC CREDIT APPLIED</t>
  </si>
  <si>
    <t>GET ($77.53) Budget vs Pmt
NNN ($1,645.06)  SHORTPAID DUE TO PYC CREDIT APPLIED</t>
  </si>
  <si>
    <t>Parking Income</t>
  </si>
  <si>
    <t>PARKLINQ RESERVA PAYOUT</t>
  </si>
  <si>
    <t>PARKING Budget Vs Pmt</t>
  </si>
  <si>
    <t>BUDGET VS MRI</t>
  </si>
  <si>
    <t xml:space="preserve">Totals </t>
  </si>
  <si>
    <t>Row Labels</t>
  </si>
  <si>
    <t>Sum of JAN</t>
  </si>
  <si>
    <t>Sum of FEB</t>
  </si>
  <si>
    <t>Sum of MARCH</t>
  </si>
  <si>
    <t>Sum of APRIL</t>
  </si>
  <si>
    <t>Sum of MAY</t>
  </si>
  <si>
    <t>Sum of JUNE</t>
  </si>
  <si>
    <t>Sum of JULY</t>
  </si>
  <si>
    <t>Sum of AUGUST</t>
  </si>
  <si>
    <t>Sum of SEPT</t>
  </si>
  <si>
    <t>Sum of OCT</t>
  </si>
  <si>
    <t>Sum of NOV</t>
  </si>
  <si>
    <t>Sum of DEC</t>
  </si>
  <si>
    <t>ABC STORE #75</t>
  </si>
  <si>
    <t>BIG ISLAND RUNNING CO.</t>
  </si>
  <si>
    <t>BOWLS SUPERFOODS &amp; ORALE TACOS</t>
  </si>
  <si>
    <t>CAFE KONA</t>
  </si>
  <si>
    <t>FOSTERS KITCHEN</t>
  </si>
  <si>
    <t>GECKO GIRLZ SHAVE ICE SHACK</t>
  </si>
  <si>
    <t>GYPSEA GALATO</t>
  </si>
  <si>
    <t>HUMPYS BIG ISLAND ALEHOUSE</t>
  </si>
  <si>
    <t xml:space="preserve">ISLAND LAVA JAVA </t>
  </si>
  <si>
    <t>JACKS DIVE LOCKER</t>
  </si>
  <si>
    <t>KANAKA KAVA</t>
  </si>
  <si>
    <t>KONA GEAR INC.</t>
  </si>
  <si>
    <t>LAVERNES</t>
  </si>
  <si>
    <t>LUCASIE LTD</t>
  </si>
  <si>
    <t>OCEANS SPORTS BAR AND GRILL</t>
  </si>
  <si>
    <t>QPOT</t>
  </si>
  <si>
    <t>TAKA SUSHI</t>
  </si>
  <si>
    <t>(blank)</t>
  </si>
  <si>
    <t>Grand Total</t>
  </si>
  <si>
    <t>Final Total</t>
  </si>
  <si>
    <t>Summary</t>
  </si>
  <si>
    <t>Difference</t>
  </si>
  <si>
    <t>TENANT</t>
  </si>
  <si>
    <t>Particular</t>
  </si>
  <si>
    <t>`</t>
  </si>
  <si>
    <t>SEPT</t>
  </si>
  <si>
    <t>OCT</t>
  </si>
  <si>
    <t>NOV</t>
  </si>
  <si>
    <t>DEC</t>
  </si>
  <si>
    <t>ESTIMATED BASE RENT</t>
  </si>
  <si>
    <t>Rent Recovery</t>
  </si>
  <si>
    <t>COMMON AREA MAINTENANCE</t>
  </si>
  <si>
    <t>BUILDING EXPENSES</t>
  </si>
  <si>
    <t>INS</t>
  </si>
  <si>
    <t>PROPERTY TAX</t>
  </si>
  <si>
    <t>EXCISE TAX (4.712%)</t>
  </si>
  <si>
    <t>FOOD COURT</t>
  </si>
  <si>
    <t>MARKETING</t>
  </si>
  <si>
    <t>ESTIMATED PERCENTAGE RENT</t>
  </si>
  <si>
    <t>Date Revised:</t>
  </si>
  <si>
    <t>ATHENA PROPERTY MANAGEMENT</t>
  </si>
  <si>
    <t>Coconut Grove -  Kona Hawaii</t>
  </si>
  <si>
    <t>PROJECT NO. 165</t>
  </si>
  <si>
    <t>01/01/26- 12/31/26</t>
  </si>
  <si>
    <t>2026 OPERATING BUDGET</t>
  </si>
  <si>
    <t>GL</t>
  </si>
  <si>
    <t>2026 TOTALS</t>
  </si>
  <si>
    <t>% +/-
 from 2025</t>
  </si>
  <si>
    <t>CODE</t>
  </si>
  <si>
    <t>DESCRIPTION</t>
  </si>
  <si>
    <t>Forecast</t>
  </si>
  <si>
    <t>NOTES</t>
  </si>
  <si>
    <t>Totals</t>
  </si>
  <si>
    <t>INCOME</t>
  </si>
  <si>
    <t>Base Rent</t>
  </si>
  <si>
    <t>Percentage Rent</t>
  </si>
  <si>
    <t>Need percentage</t>
  </si>
  <si>
    <t>Parking Income (PKG)</t>
  </si>
  <si>
    <t>Based off of 2025 actuals</t>
  </si>
  <si>
    <t>CAM Recovery</t>
  </si>
  <si>
    <t>Common Area Collections (CAMS)</t>
  </si>
  <si>
    <t>Prior Year CAMS</t>
  </si>
  <si>
    <t xml:space="preserve">as of 09/22 OPX over budget by $160k. Estimate for management fee discount as done in 2021 PYC. </t>
  </si>
  <si>
    <t>Building Recoveries</t>
  </si>
  <si>
    <t>Food Court</t>
  </si>
  <si>
    <t>Insurance Income</t>
  </si>
  <si>
    <t>Property Tax Income</t>
  </si>
  <si>
    <t>Miscellaneous Income</t>
  </si>
  <si>
    <t>ABC STORAGE UNIT</t>
  </si>
  <si>
    <t>Late Charge Income</t>
  </si>
  <si>
    <t>Promo Fee (Marketing Income)</t>
  </si>
  <si>
    <t>Pulls from "Marketing" tab (not marketing budget)</t>
  </si>
  <si>
    <t>Other Income/ Excise Tax</t>
  </si>
  <si>
    <t>4.71% of all income</t>
  </si>
  <si>
    <t>TOTAL INCOME</t>
  </si>
  <si>
    <t>EXPENSES</t>
  </si>
  <si>
    <t>Landscape Consumables</t>
  </si>
  <si>
    <t>Landscape Sprinkler Repairs</t>
  </si>
  <si>
    <t>Contingency for irrigation repairs based on PY actuals.</t>
  </si>
  <si>
    <t>Landscape Maintenance</t>
  </si>
  <si>
    <t>Service with Hawaii Island Lawns budget assumes 3% increase over PY. + $300/mo Outback</t>
  </si>
  <si>
    <t>add Outback landscaping</t>
  </si>
  <si>
    <t>Parking Lot Lights Maintenance</t>
  </si>
  <si>
    <t>Parking Lot Maintenance</t>
  </si>
  <si>
    <t>Contingency-Kept 2023 Numbers</t>
  </si>
  <si>
    <t>Parking Lot Amoritization</t>
  </si>
  <si>
    <t>Amoritization for parkting lot repairs</t>
  </si>
  <si>
    <t>Parking Lot Lights Repair</t>
  </si>
  <si>
    <t>Contingency funds + $4K South Entry Lights</t>
  </si>
  <si>
    <t>Parking Lot Repairs</t>
  </si>
  <si>
    <t>$28K budgeted for repairs &amp; striping</t>
  </si>
  <si>
    <t>Fountain Maintenance</t>
  </si>
  <si>
    <t>Fountain Repair</t>
  </si>
  <si>
    <t>Sign Maintenance</t>
  </si>
  <si>
    <t>Sign Repairs</t>
  </si>
  <si>
    <t>Contingency amount based on prior budgets.</t>
  </si>
  <si>
    <t>Awning Maintenance</t>
  </si>
  <si>
    <t>General Maintenance Site</t>
  </si>
  <si>
    <t>Contigency amount for repairs as needed; less than 2025 due to common area repairs</t>
  </si>
  <si>
    <t>Site Furnishing-Repairs</t>
  </si>
  <si>
    <t>Misc. Maintenance &amp; Repairs</t>
  </si>
  <si>
    <t>no longer using this code</t>
  </si>
  <si>
    <t>Janitorial/Day porter</t>
  </si>
  <si>
    <t>Service with JW Cleaning Systems budget assumes 3% increase over PY</t>
  </si>
  <si>
    <t>-</t>
  </si>
  <si>
    <t>Window Washing Maint.</t>
  </si>
  <si>
    <t>Pest Control Maintenance</t>
  </si>
  <si>
    <t>Service with Smart Pest Protection budget assumes 3% increase over PY; plus quarterly bee service</t>
  </si>
  <si>
    <t>Advertising/Promo</t>
  </si>
  <si>
    <t>Music System Maintenance</t>
  </si>
  <si>
    <t>Music System Repairs</t>
  </si>
  <si>
    <t>On-Site Management</t>
  </si>
  <si>
    <t>4% of income</t>
  </si>
  <si>
    <t>Sidewalk Maintenance</t>
  </si>
  <si>
    <t>Ground Lease State</t>
  </si>
  <si>
    <t>Volleyball court</t>
  </si>
  <si>
    <t>Ground Lease Private</t>
  </si>
  <si>
    <t>Parking lot by ABC is ground lease</t>
  </si>
  <si>
    <t>Sweeping</t>
  </si>
  <si>
    <t xml:space="preserve">Service with Hawaii Island Lawns budget assumes 3% increase over PY. </t>
  </si>
  <si>
    <t>Security - Split 80%</t>
  </si>
  <si>
    <t>Internet $460/mo; Viking $8,900/mo; Elite $3350/mo + $6500 January install</t>
  </si>
  <si>
    <t>Security - Cameras</t>
  </si>
  <si>
    <t>Permits &amp; Fee - Waste Insp. Fee</t>
  </si>
  <si>
    <t>Locksmith</t>
  </si>
  <si>
    <t>Electrical Repairs/Building</t>
  </si>
  <si>
    <t>Electrical Repairs/Common Area</t>
  </si>
  <si>
    <t>Supplies Electrical</t>
  </si>
  <si>
    <t>Plumbing Repairs</t>
  </si>
  <si>
    <t>Annual store drain maintenance and contingency for repairs if needed.</t>
  </si>
  <si>
    <t>Painting</t>
  </si>
  <si>
    <t>Contingency</t>
  </si>
  <si>
    <t>Wall &amp; Block Repairs</t>
  </si>
  <si>
    <t>Window Repairs</t>
  </si>
  <si>
    <t>Janitorial Supplies</t>
  </si>
  <si>
    <t>Budget assumes 3% increase over PY</t>
  </si>
  <si>
    <t>Banners - Seasonal</t>
  </si>
  <si>
    <t>Trash Common Area - Split 20%</t>
  </si>
  <si>
    <t>PY actuals plus 3% increase</t>
  </si>
  <si>
    <t>Street Light Maint.</t>
  </si>
  <si>
    <t>Gas</t>
  </si>
  <si>
    <t>Electric/Common Area</t>
  </si>
  <si>
    <t>Water/Common Area</t>
  </si>
  <si>
    <t>Sewer (do not use)</t>
  </si>
  <si>
    <t>Shifted to Water Building</t>
  </si>
  <si>
    <t>GET Tax Expense</t>
  </si>
  <si>
    <t>Must be a CAM to offset the GET Income and avoid overstating NOI</t>
  </si>
  <si>
    <t>SUBTOTAL COMMON AREA</t>
  </si>
  <si>
    <t>FOOD COURT CAM</t>
  </si>
  <si>
    <t>Janitorial and Supplies</t>
  </si>
  <si>
    <t>Assumed 3% Incease</t>
  </si>
  <si>
    <t>Security - Split 20%</t>
  </si>
  <si>
    <t>Service with Viking Services of Hawaii budget assumes 3% increase over PY (Viking only)</t>
  </si>
  <si>
    <t>Trash - Split 80%</t>
  </si>
  <si>
    <t>SUBTOTAL FOOD COURT</t>
  </si>
  <si>
    <t>BUILDING EXPENSE</t>
  </si>
  <si>
    <t>Roof Maintenance</t>
  </si>
  <si>
    <t>Roof Repairs</t>
  </si>
  <si>
    <t>Elevator Maint.</t>
  </si>
  <si>
    <t>Service with Otis Elevator billed quarterly, monthly phone lines with Hawaiin Telcom and annual testing in January.</t>
  </si>
  <si>
    <t>Monitor Fire Sprinklers</t>
  </si>
  <si>
    <t>Annnual fire alarm inspection and contingency for repairs if needed.</t>
  </si>
  <si>
    <t>Fire Protection Repairs</t>
  </si>
  <si>
    <t>Elevator Repair</t>
  </si>
  <si>
    <t>Backflow Maintenance</t>
  </si>
  <si>
    <t>Backflow Testing</t>
  </si>
  <si>
    <t>Backflow Repairs</t>
  </si>
  <si>
    <t>Building Paint</t>
  </si>
  <si>
    <t>Building Repair and Maint.</t>
  </si>
  <si>
    <t>Trash Removal Foodcourt</t>
  </si>
  <si>
    <t>Grease Trap Maintenance</t>
  </si>
  <si>
    <t>Water/Building and Sewer</t>
  </si>
  <si>
    <t>SUBTOTAL BUILDING EXP.</t>
  </si>
  <si>
    <t>INSURANCE</t>
  </si>
  <si>
    <t>Insurance - Property</t>
  </si>
  <si>
    <t>PY actuals plus 10% increase</t>
  </si>
  <si>
    <t>Insurance - General Liability</t>
  </si>
  <si>
    <t>Insurance - Fire / Extd Covg</t>
  </si>
  <si>
    <t>Insurance - Umbrella</t>
  </si>
  <si>
    <t>Insurance - Flood/Earthquake</t>
  </si>
  <si>
    <t>Insurance - Pollution</t>
  </si>
  <si>
    <t>Insurance - Miscellaneous</t>
  </si>
  <si>
    <t>SUBTOTAL INSURANCE</t>
  </si>
  <si>
    <t>PROPERTY TAXES</t>
  </si>
  <si>
    <t>Property Tax</t>
  </si>
  <si>
    <t>Updated per 24/25 Property Taxes</t>
  </si>
  <si>
    <t>SUBTOTAL TAXES</t>
  </si>
  <si>
    <t>TOTAL COMMON AREA</t>
  </si>
  <si>
    <t>Reverse Amortization</t>
  </si>
  <si>
    <t>Amortization Reversal</t>
  </si>
  <si>
    <t>NET OPERATING INCOME</t>
  </si>
  <si>
    <t>OWNER EXPENSE</t>
  </si>
  <si>
    <t>General Repairs &amp; Maintenance</t>
  </si>
  <si>
    <t>Lan Fee Expense</t>
  </si>
  <si>
    <t>Bank Charges</t>
  </si>
  <si>
    <t>2022 Average</t>
  </si>
  <si>
    <t>Legal Fees</t>
  </si>
  <si>
    <t>Roof Coating and Replacement</t>
  </si>
  <si>
    <t>Advertising</t>
  </si>
  <si>
    <t>Postage and Shipping</t>
  </si>
  <si>
    <t>License and Permit Fees</t>
  </si>
  <si>
    <t>Per 2022</t>
  </si>
  <si>
    <t>Ground Lease</t>
  </si>
  <si>
    <t>Professional Fees</t>
  </si>
  <si>
    <t>General &amp; Admin</t>
  </si>
  <si>
    <t>Utilities</t>
  </si>
  <si>
    <t>contingency for Outback</t>
  </si>
  <si>
    <t>Bond</t>
  </si>
  <si>
    <t>Loss Against Insurance Claims</t>
  </si>
  <si>
    <t>Pass Through Entity Tax</t>
  </si>
  <si>
    <t>TOTAL OWNER EXPENSE</t>
  </si>
  <si>
    <t>ADJUSTED NET OPERATING INCOME</t>
  </si>
  <si>
    <t>CORPORATE G&amp;A EXPENSES</t>
  </si>
  <si>
    <t>Asset Management Fees - 5.4%</t>
  </si>
  <si>
    <t>Owners Tax Expense</t>
  </si>
  <si>
    <t>TOTAL CORPORATE G&amp;A EXPENSES</t>
  </si>
  <si>
    <t>ADJUSTED NOI AFTER G&amp;A EXPENSES</t>
  </si>
  <si>
    <t>INTEREST EXPENSE</t>
  </si>
  <si>
    <t>Interest Expense</t>
  </si>
  <si>
    <t>Per 2022 average</t>
  </si>
  <si>
    <t>Swap Interest</t>
  </si>
  <si>
    <t>TOTAL INTEREST EXPENSE</t>
  </si>
  <si>
    <t>CAPITAL EXPENSES</t>
  </si>
  <si>
    <t>Escrow CAP EX Holdback</t>
  </si>
  <si>
    <t>Note Payable - Morgan Stanley</t>
  </si>
  <si>
    <t>Leasing Commissions - Qpot 2nd half</t>
  </si>
  <si>
    <t>Leasing Commissions - Bowls 2nd half</t>
  </si>
  <si>
    <t>Tenant Improvements - QPOT</t>
  </si>
  <si>
    <t>Tenant Improvements - Bowls</t>
  </si>
  <si>
    <t>Other Capital Items</t>
  </si>
  <si>
    <t>Capital Reimbrsement</t>
  </si>
  <si>
    <t>Owner's Distribution</t>
  </si>
  <si>
    <t>Building Improvements</t>
  </si>
  <si>
    <t>TOTAL CAPITAL AND DEBT SERVICE</t>
  </si>
  <si>
    <t>NET CASH FLOW</t>
  </si>
  <si>
    <t>Management Fee Calc.</t>
  </si>
  <si>
    <t>Tax Calculation</t>
  </si>
  <si>
    <t>QPot</t>
  </si>
  <si>
    <t>Bowls</t>
  </si>
  <si>
    <t>GARDENA VILLAGE - GARDENA, CA</t>
  </si>
  <si>
    <t>PROJECT NO. 151</t>
  </si>
  <si>
    <t>01/01/16 - 12/31/16</t>
  </si>
  <si>
    <t>2016 OPERATING BUDGET</t>
  </si>
  <si>
    <t>2016 TOTALS</t>
  </si>
  <si>
    <t>2016 BUDGET</t>
  </si>
  <si>
    <t>DENOM.</t>
  </si>
  <si>
    <t>JAN-JUN TOTALS</t>
  </si>
  <si>
    <t>$ PSF</t>
  </si>
  <si>
    <t xml:space="preserve">Forecast </t>
  </si>
  <si>
    <t xml:space="preserve">Total </t>
  </si>
  <si>
    <t>SQUARE</t>
  </si>
  <si>
    <t>SF</t>
  </si>
  <si>
    <t>Budget</t>
  </si>
  <si>
    <t>Budgeted</t>
  </si>
  <si>
    <t>FOOTG.</t>
  </si>
  <si>
    <t>Denominator</t>
  </si>
  <si>
    <t>Other Recoveries</t>
  </si>
  <si>
    <t>Reserve</t>
  </si>
  <si>
    <t>Assignment Fee</t>
  </si>
  <si>
    <t>Rent Concessions</t>
  </si>
  <si>
    <t>Management Fee Income</t>
  </si>
  <si>
    <t>General Maintenance</t>
  </si>
  <si>
    <t>HVAC Maintenance</t>
  </si>
  <si>
    <t>HVAC Repairs/Labor</t>
  </si>
  <si>
    <t>Security</t>
  </si>
  <si>
    <t>Concrete Repairs</t>
  </si>
  <si>
    <t>Christmas Decorations</t>
  </si>
  <si>
    <t>Reroof?</t>
  </si>
  <si>
    <t>Trash Removal Shops 1</t>
  </si>
  <si>
    <t>Water/Building</t>
  </si>
  <si>
    <t>GROSS CASH FLOW</t>
  </si>
  <si>
    <t>General &amp; Administrative</t>
  </si>
  <si>
    <t>Postage &amp; Shipping</t>
  </si>
  <si>
    <t>Management Fees - 2.25%</t>
  </si>
  <si>
    <t xml:space="preserve">License &amp; Permit Fees </t>
  </si>
  <si>
    <t>Other Professional Fees</t>
  </si>
  <si>
    <t>Reversal of Amortized Expenses</t>
  </si>
  <si>
    <t>State Franchise Taxes</t>
  </si>
  <si>
    <t>Note Payable</t>
  </si>
  <si>
    <t>Escrow-Property Tax</t>
  </si>
  <si>
    <t>Escrow-Insurance</t>
  </si>
  <si>
    <t>Leasing Commissions</t>
  </si>
  <si>
    <t>Tenant Improvements</t>
  </si>
  <si>
    <t>TOTAL CAITAL AND DEBT SERVICE</t>
  </si>
  <si>
    <t>Building Repairs</t>
  </si>
  <si>
    <t>Final In N Out Draw</t>
  </si>
  <si>
    <t>Reimbursement from In N Out</t>
  </si>
  <si>
    <t>Construction Management Fees</t>
  </si>
  <si>
    <t>INCOME FOR VARIANCE REPORT</t>
  </si>
  <si>
    <t>RECAP OF COSTS PER SQUARE FOOT</t>
  </si>
  <si>
    <t>Tenant Type</t>
  </si>
  <si>
    <t>CAM</t>
  </si>
  <si>
    <t>Tax</t>
  </si>
  <si>
    <t>Insure.</t>
  </si>
  <si>
    <t>Building</t>
  </si>
  <si>
    <t>Grease</t>
  </si>
  <si>
    <t>Mgmt.</t>
  </si>
  <si>
    <t>Total</t>
  </si>
  <si>
    <t>INLINE TENANT</t>
  </si>
  <si>
    <t>FOODCOURT TENANT</t>
  </si>
  <si>
    <t>MAJOR AND PAD TENANTS</t>
  </si>
  <si>
    <t>Actuals</t>
  </si>
  <si>
    <t>AMORTIZED PROJECTS</t>
  </si>
  <si>
    <t>GL CODE</t>
  </si>
  <si>
    <t>TOTAL PROJECT COST</t>
  </si>
  <si>
    <t>COST PER YR</t>
  </si>
  <si>
    <t># OF YEARS</t>
  </si>
  <si>
    <t>DATES</t>
  </si>
  <si>
    <t>Asphalt Repair, Slurry Seal, &amp; Stripe</t>
  </si>
  <si>
    <t>projectt on hold - $28K for 2026 for repairs</t>
  </si>
  <si>
    <t>Paint</t>
  </si>
  <si>
    <t>Stairwell project</t>
  </si>
  <si>
    <t>CAP-EX</t>
  </si>
  <si>
    <t>ACTUAL</t>
  </si>
  <si>
    <t>FORECAST</t>
  </si>
  <si>
    <t>BUDGET</t>
  </si>
  <si>
    <t>PROJECTED</t>
  </si>
  <si>
    <t>Parking Lot/Garage</t>
  </si>
  <si>
    <t>repairs &amp; stripe</t>
  </si>
  <si>
    <t>Electrical/Lighting</t>
  </si>
  <si>
    <t>Roof</t>
  </si>
  <si>
    <t>Landscape</t>
  </si>
  <si>
    <t>HVAC</t>
  </si>
  <si>
    <t>Plumbing</t>
  </si>
  <si>
    <t>MAINTENANCE TRACKING</t>
  </si>
  <si>
    <t>COMPLETED</t>
  </si>
  <si>
    <t>DUE</t>
  </si>
  <si>
    <t>VENDOR</t>
  </si>
  <si>
    <t>5-Year Fire Inspection</t>
  </si>
  <si>
    <t>Guardian</t>
  </si>
  <si>
    <t>Slurry Seal</t>
  </si>
  <si>
    <t>Pricing provided by Manny with SVN - pushed to 2026</t>
  </si>
  <si>
    <t>LED</t>
  </si>
  <si>
    <t>Elevator</t>
  </si>
  <si>
    <t>Otis</t>
  </si>
  <si>
    <t>repairs completed 2024-2025</t>
  </si>
  <si>
    <t>SUITE</t>
  </si>
  <si>
    <t>Expiration</t>
  </si>
  <si>
    <t>RATE</t>
  </si>
  <si>
    <t>TOTALS</t>
  </si>
  <si>
    <t>#</t>
  </si>
  <si>
    <t>FOOTAGE</t>
  </si>
  <si>
    <t>A 1-4</t>
  </si>
  <si>
    <t>Next increase 6/1/2027</t>
  </si>
  <si>
    <t>B-5</t>
  </si>
  <si>
    <t>Next increase 1/1/2027</t>
  </si>
  <si>
    <t>B-6</t>
  </si>
  <si>
    <t>Next increase 4/1/2027</t>
  </si>
  <si>
    <t>C-7</t>
  </si>
  <si>
    <t>Next increase 6/19/2027</t>
  </si>
  <si>
    <t>C-8</t>
  </si>
  <si>
    <t>Next increase 11/1/2027</t>
  </si>
  <si>
    <t>D11-12</t>
  </si>
  <si>
    <t>Rents fixed for first 3 years of renewal - Amendment pending</t>
  </si>
  <si>
    <t>D9-D10</t>
  </si>
  <si>
    <t>Next increase 3/1/2027</t>
  </si>
  <si>
    <t>DU-1</t>
  </si>
  <si>
    <t>Next increase 7/1/2027</t>
  </si>
  <si>
    <t>E</t>
  </si>
  <si>
    <t>NEW AMENDMENT SIGNED; ASSUME $25K/MO; full rents will resume 9/1/27</t>
  </si>
  <si>
    <t>F15,17&amp;A8</t>
  </si>
  <si>
    <t>Base Rent $24,000/mo through 12/31/30</t>
  </si>
  <si>
    <t>F-16</t>
  </si>
  <si>
    <t>Lease expires 5/31/2027</t>
  </si>
  <si>
    <t>G</t>
  </si>
  <si>
    <t>No Ground Lease increase through remainder of term</t>
  </si>
  <si>
    <t>H</t>
  </si>
  <si>
    <t>Ground lease; next increase 11/9/2027</t>
  </si>
  <si>
    <t>I</t>
  </si>
  <si>
    <t>ASSUMING NOVEMBER 1, 2025 POSSESSION DATE; JULY 1ST RENT COMMENCEMENT</t>
  </si>
  <si>
    <t>PC-1&amp;2</t>
  </si>
  <si>
    <t>NO ASSUMPTIONS FOR TH IS SPACE</t>
  </si>
  <si>
    <t>PC 3&amp;4</t>
  </si>
  <si>
    <t>PER 4TH AMENDMENT; RENT FIXED AT $6,445.40/MO 4/1/2026 THROUGH 3/31/2029</t>
  </si>
  <si>
    <t>PC/U1</t>
  </si>
  <si>
    <t>Next increase 9/1/2027</t>
  </si>
  <si>
    <t>ABC STORE #75 (sf added to rent above)</t>
  </si>
  <si>
    <t>Storage</t>
  </si>
  <si>
    <t>BILLED AS MIS INCOME</t>
  </si>
  <si>
    <t xml:space="preserve">Café Kona renewal? </t>
  </si>
  <si>
    <t>Total Center</t>
  </si>
  <si>
    <t>Property Insurance &amp; Building (less Jack's &amp; Oceans)</t>
  </si>
  <si>
    <t>Food Court (see FC tab)</t>
  </si>
  <si>
    <t>Utilities - less vacancies</t>
  </si>
  <si>
    <t>JACKS DIVE LOCKER NOVEMBER 2024 RENT CALCULATION</t>
  </si>
  <si>
    <t>Account</t>
  </si>
  <si>
    <t>Description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</si>
  <si>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</si>
  <si>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</si>
  <si>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</si>
  <si>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</si>
  <si>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</si>
  <si>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</si>
  <si>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</si>
  <si>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</si>
  <si>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</si>
  <si>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</si>
  <si>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</si>
  <si>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</si>
  <si>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</t>
  </si>
  <si>
    <t>Website</t>
  </si>
  <si>
    <t>Creation</t>
  </si>
  <si>
    <t>Management</t>
  </si>
  <si>
    <t>Social Media</t>
  </si>
  <si>
    <t>Photographer</t>
  </si>
  <si>
    <t>capture content</t>
  </si>
  <si>
    <t>Paid Ads</t>
  </si>
  <si>
    <t>Events</t>
  </si>
  <si>
    <t>Misc Promotion Event</t>
  </si>
  <si>
    <t xml:space="preserve">Creative </t>
  </si>
  <si>
    <t>Design Fees</t>
  </si>
  <si>
    <t>geofencing ad design</t>
  </si>
  <si>
    <t>Printed Material</t>
  </si>
  <si>
    <t>Discovery MAP</t>
  </si>
  <si>
    <t>tourism map, updated annually</t>
  </si>
  <si>
    <t>ISLAND LAVA JAVA</t>
  </si>
  <si>
    <t>ZACH GIBSON (KANAKA KAVA)</t>
  </si>
  <si>
    <t>COLORS OF PARADISE GALLERY</t>
  </si>
  <si>
    <t>D-9</t>
  </si>
  <si>
    <t xml:space="preserve">VENTURE SOTHEBY INTERNATION </t>
  </si>
  <si>
    <t>D9</t>
  </si>
  <si>
    <t>MF KONA (FOSTERS KITCHEN)</t>
  </si>
  <si>
    <t>BIG ISLAND ALEHOUSE (HUMPY'S ALEHOUSE)</t>
  </si>
  <si>
    <t>MNS, LTD. (ABC STORE)</t>
  </si>
  <si>
    <t>OCEANS, INC. (OCEAN SPORTS BAR AND GRILL)</t>
  </si>
  <si>
    <t>L AND L, LLC (JACKS DIVE LOCKER)</t>
  </si>
  <si>
    <t>OUTBACK STEAKHOUSE</t>
  </si>
  <si>
    <t>BIG ISLAND GROUP (BONGO BENS ISLAND REST.)VACANT</t>
  </si>
  <si>
    <t>KONA GEAR INC. (CROCS)</t>
  </si>
  <si>
    <t>KOHOLA, LLC (LAVERN'S)</t>
  </si>
  <si>
    <t>Excise Tax</t>
  </si>
  <si>
    <t>Rent Recovery ($423.09 until 12/31/27</t>
  </si>
  <si>
    <t>COMMENTS</t>
  </si>
  <si>
    <t xml:space="preserve">% OF </t>
  </si>
  <si>
    <t>TOTAL</t>
  </si>
  <si>
    <t>NEW AMENDMENT SIGNED; ASSUME $25K/MO; full rents will resume 9/1/26</t>
  </si>
  <si>
    <t>TOTAL CAM</t>
  </si>
  <si>
    <t>RECAPTURE</t>
  </si>
  <si>
    <t>TOTAL BUILDING</t>
  </si>
  <si>
    <t>Average of 2025 PCR</t>
  </si>
  <si>
    <t>Tenant does not pay PCR</t>
  </si>
  <si>
    <t>Average of 2025 PCR; begin July due to fire damage</t>
  </si>
  <si>
    <t>Tenant paying substitute rent through 09/2027</t>
  </si>
  <si>
    <t>Assume July 1st RCD; no PCR projected for 2026 (artifical breakpoint of $4.5M)</t>
  </si>
  <si>
    <t>Tenant is closed.</t>
  </si>
  <si>
    <t>Liability</t>
  </si>
  <si>
    <t>Property</t>
  </si>
  <si>
    <t>PRORATA</t>
  </si>
  <si>
    <t>SHARE</t>
  </si>
  <si>
    <t>Total (Less Pads and Majors)</t>
  </si>
  <si>
    <t>TOTAL INSURANCE</t>
  </si>
  <si>
    <t>TOTAL PROP TAX</t>
  </si>
  <si>
    <t>Percentage Rent Excise Tax</t>
  </si>
  <si>
    <t>Majors</t>
  </si>
  <si>
    <t>In Line</t>
  </si>
  <si>
    <t>TOTAL FOOD CT.</t>
  </si>
  <si>
    <t>Add QPot &amp; Bowls 2027</t>
  </si>
  <si>
    <t>TOTAL MARKETING</t>
  </si>
  <si>
    <t>ESTIMATED MONTHLY SQUARE FOOTAGE OCCUPIED</t>
  </si>
  <si>
    <t>Tenant:</t>
  </si>
  <si>
    <t>Unit Number:</t>
  </si>
  <si>
    <t>Square Footage:</t>
  </si>
  <si>
    <t>GROSS LEASE THROUGH 09/2026</t>
  </si>
  <si>
    <t>NNNs exluded from Storage (1,000sf)</t>
  </si>
  <si>
    <t>G.L.</t>
  </si>
  <si>
    <t>Expense</t>
  </si>
  <si>
    <t>Annual</t>
  </si>
  <si>
    <t>Center</t>
  </si>
  <si>
    <t>Less</t>
  </si>
  <si>
    <t>Billable</t>
  </si>
  <si>
    <t xml:space="preserve">Billable </t>
  </si>
  <si>
    <t>Admin Fee</t>
  </si>
  <si>
    <t>Code</t>
  </si>
  <si>
    <t>Category</t>
  </si>
  <si>
    <t>Deonminator</t>
  </si>
  <si>
    <t>Exclusions</t>
  </si>
  <si>
    <t>Amount</t>
  </si>
  <si>
    <t>Share</t>
  </si>
  <si>
    <t>Due</t>
  </si>
  <si>
    <t>SUBTOTAL CAM EXPENSE</t>
  </si>
  <si>
    <t>FOOD COURT EXPENSE</t>
  </si>
  <si>
    <t>SUBTOTAL FOOD COURT EXPENSE</t>
  </si>
  <si>
    <t>TOTAL PROPERTY TAX</t>
  </si>
  <si>
    <t>TOTAL EXPENSES</t>
  </si>
  <si>
    <t>AMOUNT BILLABLE TO TENANT</t>
  </si>
  <si>
    <t>2021 CAP - $50,427.63, 2022 CAP - $52,949.01</t>
  </si>
  <si>
    <t xml:space="preserve">2023 CAP </t>
  </si>
  <si>
    <t>Less:  Impounds</t>
  </si>
  <si>
    <t>Taxes &amp; Ins., Trash &amp; utilities</t>
  </si>
  <si>
    <t>BALANCE DUE</t>
  </si>
  <si>
    <t>TOTAL NEW MONTHLY CAM</t>
  </si>
  <si>
    <t>Recap</t>
  </si>
  <si>
    <t>A0001</t>
  </si>
  <si>
    <t>AutoNation</t>
  </si>
  <si>
    <t>A0002</t>
  </si>
  <si>
    <t>Office Depot</t>
  </si>
  <si>
    <t>P0001A</t>
  </si>
  <si>
    <t>Taco Bell Pad</t>
  </si>
  <si>
    <t>P0001B</t>
  </si>
  <si>
    <t>Vacant Pad</t>
  </si>
  <si>
    <t>P0002</t>
  </si>
  <si>
    <t>Carl's Jr.</t>
  </si>
  <si>
    <t>Shop Tenants</t>
  </si>
  <si>
    <t>S003A</t>
  </si>
  <si>
    <t>The Great Steak &amp; Potato</t>
  </si>
  <si>
    <t>S003B</t>
  </si>
  <si>
    <t>Hong Kong Express</t>
  </si>
  <si>
    <t>S003C</t>
  </si>
  <si>
    <t>Pacific Bell PCS</t>
  </si>
  <si>
    <t>S003D</t>
  </si>
  <si>
    <t>Subway</t>
  </si>
  <si>
    <t>S003E</t>
  </si>
  <si>
    <t>Sushi Boy, Inc.</t>
  </si>
  <si>
    <t>S003F</t>
  </si>
  <si>
    <t>Starbucks</t>
  </si>
  <si>
    <t>MONTHLY TENANT CHARGES</t>
  </si>
  <si>
    <t>Lease ID</t>
  </si>
  <si>
    <t>LEASE ID</t>
  </si>
  <si>
    <t>BASE RENT        (BAS)</t>
  </si>
  <si>
    <t>COMMON AREA - MONTHLY (CAM)</t>
  </si>
  <si>
    <t>INSURANCE - CAM       (INS)</t>
  </si>
  <si>
    <t>REAL ESTATE TAX     (REX)</t>
  </si>
  <si>
    <t>Marketing Expenses</t>
  </si>
  <si>
    <t>MIS
INCOME</t>
  </si>
  <si>
    <t>2026 TOTAL CHARGES</t>
  </si>
  <si>
    <t>TOTAL 2026 OTHER CHARGES</t>
  </si>
  <si>
    <t>2025 OTHER CHARGES</t>
  </si>
  <si>
    <t>VARIANCE</t>
  </si>
  <si>
    <t>% Change</t>
  </si>
  <si>
    <t>Excise Tax (4.7120%)</t>
  </si>
  <si>
    <t>2023 cost less advertising</t>
  </si>
  <si>
    <t>2023 COST PSF</t>
  </si>
  <si>
    <t>008491</t>
  </si>
  <si>
    <t>010964</t>
  </si>
  <si>
    <t>008492</t>
  </si>
  <si>
    <t>008933</t>
  </si>
  <si>
    <t>008494</t>
  </si>
  <si>
    <t>008496</t>
  </si>
  <si>
    <t>011479</t>
  </si>
  <si>
    <t>010892</t>
  </si>
  <si>
    <t>008498</t>
  </si>
  <si>
    <t>008499</t>
  </si>
  <si>
    <t>008500</t>
  </si>
  <si>
    <t>008509</t>
  </si>
  <si>
    <t>008501</t>
  </si>
  <si>
    <t>008502</t>
  </si>
  <si>
    <t>008503</t>
  </si>
  <si>
    <t>008505</t>
  </si>
  <si>
    <t>008506</t>
  </si>
  <si>
    <t>Shop Cost Per Square Foot</t>
  </si>
  <si>
    <t>TOTAL CHARGES</t>
  </si>
  <si>
    <t>***Humpys will beging paying NNNs 9/2027</t>
  </si>
  <si>
    <t>Property Manager</t>
  </si>
  <si>
    <t>Assistant Property Manager:</t>
  </si>
  <si>
    <t>Date:</t>
  </si>
  <si>
    <t>Coconut Grove</t>
  </si>
  <si>
    <t>2025 MONTHLY TENANT CHARGES</t>
  </si>
  <si>
    <t>BUILDING EXPENSES (NCA)</t>
  </si>
  <si>
    <t>MONTHLY ADMINISTRATIVE FEE (MFE)</t>
  </si>
  <si>
    <t>DIFFERENCE</t>
  </si>
  <si>
    <t>% Increase/Decrease</t>
  </si>
  <si>
    <t>CORRECT</t>
  </si>
  <si>
    <t>SLIPPAGE ANALYSIS</t>
  </si>
  <si>
    <t>% Variance</t>
  </si>
  <si>
    <t>Checks and Balances</t>
  </si>
  <si>
    <t xml:space="preserve">January </t>
  </si>
  <si>
    <t>Tab</t>
  </si>
  <si>
    <t>Tenant Charges</t>
  </si>
  <si>
    <t xml:space="preserve">CAM </t>
  </si>
  <si>
    <t>Building Expenses</t>
  </si>
  <si>
    <t>Insurance</t>
  </si>
  <si>
    <t>Budget is:</t>
  </si>
  <si>
    <t>PCR ($8,823.08) Budget vs Pmt
GET ($415.34) Budget Vs Pmt</t>
  </si>
  <si>
    <t>GET ($1.18) Budget vs Pmt
PCR ($25.00) Budget vs Pmt</t>
  </si>
  <si>
    <t>GET ($6.52) Budget vs Pmt
PCR ($80.56) Budget vs Pmt
PCR ($119.44) Short Pmt</t>
  </si>
  <si>
    <t>GET ($18.25) Budget vs Pmt
PCR ($387.45) Budget vs Pmt</t>
  </si>
  <si>
    <t>GET $14.67 Budget vs Pmt
PRO $311.26 Budget vs Pmt</t>
  </si>
  <si>
    <t>GET $100.02  Budget vs Pmt in Jan'26 to July'26
PCR $287.67 Budget vs Pmt in Jan'26 &amp; Feb'26
PRO $1,834.99 Budget vs Pmt in Feb'26 &amp; July'26</t>
  </si>
  <si>
    <t xml:space="preserve">BAS $7,895.51 past due paid
NNN $ $3,131.83 past due paid
</t>
  </si>
  <si>
    <t xml:space="preserve">BAS ($12,262.80) No Pmt
NNN ($11,872.34) No Pmt
</t>
  </si>
  <si>
    <t>BAS ($25,000.00) No Pmt
NNN ($2,656.09) No Pmt</t>
  </si>
  <si>
    <t>GET  ($2,606.91) Budget vs Pmt
PCR $2,936.94 Budget vs Pmt
MIS $1,500.00 Budget vs Pmt
NNN ($27,936.11) short pmt due to applied PYC</t>
  </si>
  <si>
    <t>GET $19.87 Budget vs Pmt
PCR $339.54 Budget vs Pmt</t>
  </si>
  <si>
    <t>GET ($833.79) Budget vs Pmt
NNN ($17,694.92) short pmt due to applied PYC</t>
  </si>
  <si>
    <t>GET ($833.79) Budget vs Pmt in July'26
NNN ($17,694.92) short pmt due to applied PYC in July'26</t>
  </si>
  <si>
    <t xml:space="preserve">BAS ($13,000) No Pmt
NNN ($14,672.53) No Pmt </t>
  </si>
  <si>
    <t>GET ($229.24) Budget vs Pmt
PCR $573.34 Budget vs Pmt
PRO $1001.39 Budget vs Pmt</t>
  </si>
  <si>
    <t xml:space="preserve">BAS ($7,408) No Pmt
NNN ($11,041) No Pmt </t>
  </si>
  <si>
    <t>Aug</t>
  </si>
  <si>
    <t>PCR ($8,021.89) Budget vs Pmt
GET ($377.59) Budget Vs Pmt</t>
  </si>
  <si>
    <t>PCR ($47,579.26) Budget vs Pmt Jan'26 to July'26
GET ($2,633.07) Budget Vs Pmt in Feb'26 to July'26
MKT ($500.00) Budget vs Pmt in Mar'26
PRO $824.72 Over Pmt in Mar'26
IFC $1,579.92 Budget Vs Pmt in Apr'26
NNN ($10,273.05) SHORTPAID DUE TO PYC CREDIT APPLIED in June'26</t>
  </si>
  <si>
    <t>GET ($143.65 ) Budget vs Pmt in Jan'26 to Aug'26
PCR ($200.00) Budget vs Pmt in Jan'26 to Aug'26
NNN ($2,848.66) SHORTPAID DUE TO PYC CREDIT APPLIED in June'26</t>
  </si>
  <si>
    <t>GET ($0.89) Budget vs Pmt
PCR ($80.56) Budget vs Pmt</t>
  </si>
  <si>
    <t>GET ($8.16) Budget vs Pmt in Jan'26 to Aug'26
PCR $168.15  Budget vs Pmt in Jan'26 to Aug'26
PCR ($119.44) Short Pmt in July'26
NNN ($530.44) SHORTPAID DUE TO PYC CREDIT APPLIED in June'26</t>
  </si>
  <si>
    <t>GET ($38.81) Budget vs Pmt
BAS $73.40 Budget vs Pmt
PCR ($900) Budget vs Pmt</t>
  </si>
  <si>
    <t>GET $95.94 Budget vs Pmt
BAS $73.40 Budget vs Pmt
PCR $1,959.73 Budget vs Pmt</t>
  </si>
  <si>
    <t>GET $157.85 Budget Vs Pmt Mar'26 to Aug'26
PCR $4,545.89  Budget Vs Pmt Mar'26 to Aug'26
NNN ($1,374.02) SHORTPAID DUE TO PYC CREDIT APPLIED in June'26
BAS $101.29  Budget vs Pmt in June'26 to Aug'26</t>
  </si>
  <si>
    <t>GET  $18.07  Budget vs Pmt
PCR $383.51 Budget vs Pmt</t>
  </si>
  <si>
    <t>GET  $19.66  Budget vs Pmt in Jan'26 to Aug'26
PCR  $1,709.68  Budget vs Pmt in Jan'26 to Aug'26
NNN ($1,292.89) SHORTPAID DUE TO PYC CREDIT APPLIED in June'26</t>
  </si>
  <si>
    <t>GET $14.26 Budget vs Pmt</t>
  </si>
  <si>
    <t>CAM ($1,639.41) Short Pmt in Jan'26
GET ($34.42) Short Pmt in Jan'26 &amp; Julyr'26
NNN $166.32 Budget Vs Pmt in May'26
GET $14.26 Budget vs Pmt in Aug'26</t>
  </si>
  <si>
    <t>BAS $25,000.00 Past due paid
GET ($300.09) Budget vs Pmt</t>
  </si>
  <si>
    <t xml:space="preserve">
GET ($6,222.10) Budget vs Pmt in Jan'26 to Aug'26
RDR ($2,946.54) 2025 CAM GET DEFERRAL in June'26
NNN ($2,656.09) No Pmt in July'26</t>
  </si>
  <si>
    <t>GET ($1,046.32) Budget vs Pmt
PCR $8,120.31 Budget vs Pmt
MIS $1,500.00 Budget vs Pmt</t>
  </si>
  <si>
    <t>GET ($6,829.91) Budget vs Pmt in Jan'26 to Aug'26
PCR $28,094.09 Budget vs Pmt in Jan'26 to Aug'26
MIS $9,500 Budget vs MRI for Jan'26 to Aug'26
NNN ($27,936.11) short pmt due to applied PYC in July'26</t>
  </si>
  <si>
    <t>GET ($8.14) Budget vs Pmt
CAM $390.28 past due paid
PCR $70.47 Budget vs Pmt
NNN ($393.06) Short Paid due to PYC credit applied in Aug'26</t>
  </si>
  <si>
    <t>GET ($147.18) Budget vs Pmt in Jan'26 to Aug'26
PCR $1,785.75 Budget vs Pmt in Jan'26 to Aug'26
NNN ($4,667.74) SHORTPAID DUE TO PYC CREDIT APPLIED in June'26 &amp; Aug'26</t>
  </si>
  <si>
    <t>BAS ($26,000) No Pmt in July'26 &amp; Aug'26
NNN ($29,345.07) No Pmt in July'26 &amp; Aug'26</t>
  </si>
  <si>
    <t>GET ($261.90)Budget vs Pmt
PCR ($57.25) Budget vs Pmt
PRO $938.33 Budget vs Pmt</t>
  </si>
  <si>
    <t>GET ($1,267.40) Budget vs Pmt in Jan'26 to Aug'26
PCR $3,099.44 Budget vs Pmt in Jan'26 to Aug'26
PRO $7,336.27 Budget vs Pmt in Apr'26 to Aug'26
NNN ($5,140.63)  SHORTPAID DUE TO PYC CREDIT APPLIED in June'26</t>
  </si>
  <si>
    <t>GET ($77.53) Budget vs Pmt in June'26
NNN ($1,645.06)  SHORTPAID DUE TO PYC CREDIT APPLIED in June'26</t>
  </si>
  <si>
    <t>BAS $7,408 Past due paid for 07/26 in Aug'26
NNN $11,041 Past due paid for 07/26 in Aug'26</t>
  </si>
  <si>
    <t>PARKLINQ RESERVA PAYOUT in Jan'26 to Aug'26
PARKING Budget Vs Pmt in Mar'26</t>
  </si>
  <si>
    <t>BAS $12,262.80 Past due paid
NNN $7,194.05 Past due paid 
CAM ($748.00) Short Pmt</t>
  </si>
  <si>
    <t>NNN ($11,872.34) No Pmt in July'26
NNN $7,194.05 Past due paid in Aug'26
CAM ($748.00) Short Pmt in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</si>
</sst>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_(* #,##0.0_);_(* \(#,##0.0\);_(* &quot;-&quot;_);_(@_)"/>
    <numFmt numFmtId="168" formatCode="_(* #,##0.00_);_(* \(#,##0.00\);_(* &quot;-&quot;_);_(@_)"/>
    <numFmt numFmtId="169" formatCode="mm/dd/yy;@"/>
    <numFmt numFmtId="170" formatCode="_(* #,##0.0_);_(* \(#,##0.0\);_(* &quot;-&quot;??_);_(@_)"/>
  </numFmts>
  <fonts count="49">
    <font>
      <sz val="10"/>
      <name val="Geneva"/>
    </font>
    <font>
      <b/>
      <sz val="10"/>
      <name val="Geneva"/>
      <family val="2"/>
    </font>
    <font>
      <sz val="10"/>
      <name val="Geneva"/>
      <family val="2"/>
    </font>
    <font>
      <sz val="10"/>
      <name val="Times"/>
      <family val="1"/>
    </font>
    <font>
      <sz val="8"/>
      <name val="Geneva"/>
      <family val="2"/>
    </font>
    <font>
      <sz val="11"/>
      <name val="Calibri"/>
      <family val="2"/>
    </font>
    <font>
      <b/>
      <sz val="11"/>
      <name val="Calibri"/>
      <family val="2"/>
    </font>
    <font>
      <shadow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hadow/>
      <sz val="10"/>
      <name val="Calibri"/>
      <family val="2"/>
    </font>
    <font>
      <outline/>
      <sz val="10"/>
      <name val="Calibri"/>
      <family val="2"/>
    </font>
    <font>
      <sz val="9"/>
      <name val="Calibri"/>
      <family val="2"/>
    </font>
    <font>
      <outline/>
      <sz val="11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i/>
      <sz val="11"/>
      <color rgb="FF7030A0"/>
      <name val="Calibri"/>
      <family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name val="Geneva"/>
      <family val="2"/>
    </font>
    <font>
      <b/>
      <sz val="10"/>
      <color rgb="FFFF0000"/>
      <name val="Calibri"/>
      <family val="2"/>
    </font>
    <font>
      <i/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name val="Geneva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name val="Geneva"/>
    </font>
    <font>
      <sz val="10"/>
      <color rgb="FFFF0000"/>
      <name val="Geneva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Aptos Narrow"/>
      <family val="2"/>
    </font>
    <font>
      <b/>
      <sz val="11"/>
      <color theme="1"/>
      <name val="Calibri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5" fillId="0" borderId="0"/>
  </cellStyleXfs>
  <cellXfs count="63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1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1" applyNumberFormat="1" applyFont="1" applyFill="1" applyAlignment="1">
      <alignment horizontal="right"/>
    </xf>
    <xf numFmtId="44" fontId="5" fillId="0" borderId="0" xfId="2" applyFont="1" applyFill="1" applyAlignment="1">
      <alignment horizontal="right"/>
    </xf>
    <xf numFmtId="165" fontId="5" fillId="0" borderId="0" xfId="1" applyNumberFormat="1" applyFont="1" applyFill="1"/>
    <xf numFmtId="165" fontId="5" fillId="0" borderId="5" xfId="1" applyNumberFormat="1" applyFont="1" applyFill="1" applyBorder="1" applyAlignment="1">
      <alignment horizontal="right"/>
    </xf>
    <xf numFmtId="165" fontId="5" fillId="0" borderId="6" xfId="1" applyNumberFormat="1" applyFont="1" applyFill="1" applyBorder="1" applyAlignment="1">
      <alignment horizontal="right"/>
    </xf>
    <xf numFmtId="44" fontId="5" fillId="0" borderId="5" xfId="2" applyFont="1" applyFill="1" applyBorder="1" applyAlignment="1">
      <alignment horizontal="right"/>
    </xf>
    <xf numFmtId="43" fontId="5" fillId="0" borderId="0" xfId="0" applyNumberFormat="1" applyFont="1"/>
    <xf numFmtId="165" fontId="5" fillId="0" borderId="0" xfId="1" applyNumberFormat="1" applyFont="1" applyFill="1" applyBorder="1" applyAlignment="1">
      <alignment horizontal="right"/>
    </xf>
    <xf numFmtId="3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167" fontId="5" fillId="0" borderId="0" xfId="0" applyNumberFormat="1" applyFont="1" applyAlignment="1">
      <alignment horizontal="center"/>
    </xf>
    <xf numFmtId="0" fontId="6" fillId="0" borderId="0" xfId="0" applyFont="1"/>
    <xf numFmtId="44" fontId="5" fillId="0" borderId="0" xfId="2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left"/>
    </xf>
    <xf numFmtId="165" fontId="5" fillId="0" borderId="4" xfId="1" applyNumberFormat="1" applyFont="1" applyFill="1" applyBorder="1" applyAlignment="1">
      <alignment horizontal="right"/>
    </xf>
    <xf numFmtId="165" fontId="5" fillId="0" borderId="5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8" fontId="5" fillId="0" borderId="3" xfId="0" applyNumberFormat="1" applyFont="1" applyBorder="1" applyAlignment="1">
      <alignment horizontal="center"/>
    </xf>
    <xf numFmtId="8" fontId="5" fillId="0" borderId="0" xfId="0" applyNumberFormat="1" applyFont="1" applyAlignment="1">
      <alignment horizontal="center"/>
    </xf>
    <xf numFmtId="8" fontId="5" fillId="0" borderId="2" xfId="0" applyNumberFormat="1" applyFont="1" applyBorder="1" applyAlignment="1">
      <alignment horizontal="center"/>
    </xf>
    <xf numFmtId="8" fontId="5" fillId="0" borderId="10" xfId="0" applyNumberFormat="1" applyFont="1" applyBorder="1" applyAlignment="1">
      <alignment horizontal="center"/>
    </xf>
    <xf numFmtId="0" fontId="5" fillId="0" borderId="11" xfId="0" applyFont="1" applyBorder="1"/>
    <xf numFmtId="0" fontId="5" fillId="0" borderId="8" xfId="0" applyFont="1" applyBorder="1"/>
    <xf numFmtId="8" fontId="5" fillId="0" borderId="1" xfId="0" applyNumberFormat="1" applyFont="1" applyBorder="1" applyAlignment="1">
      <alignment horizontal="center"/>
    </xf>
    <xf numFmtId="8" fontId="5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8" fontId="5" fillId="0" borderId="8" xfId="0" applyNumberFormat="1" applyFont="1" applyBorder="1" applyAlignment="1">
      <alignment horizontal="center"/>
    </xf>
    <xf numFmtId="8" fontId="5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Alignment="1">
      <alignment horizontal="right"/>
    </xf>
    <xf numFmtId="4" fontId="9" fillId="0" borderId="0" xfId="0" applyNumberFormat="1" applyFont="1" applyAlignment="1">
      <alignment horizontal="right"/>
    </xf>
    <xf numFmtId="165" fontId="9" fillId="0" borderId="0" xfId="1" applyNumberFormat="1" applyFont="1" applyFill="1"/>
    <xf numFmtId="3" fontId="9" fillId="0" borderId="0" xfId="0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165" fontId="9" fillId="0" borderId="0" xfId="1" applyNumberFormat="1" applyFont="1"/>
    <xf numFmtId="0" fontId="9" fillId="0" borderId="12" xfId="0" applyFont="1" applyBorder="1"/>
    <xf numFmtId="0" fontId="9" fillId="0" borderId="13" xfId="0" applyFont="1" applyBorder="1"/>
    <xf numFmtId="165" fontId="9" fillId="0" borderId="14" xfId="1" applyNumberFormat="1" applyFont="1" applyBorder="1" applyAlignment="1">
      <alignment horizontal="right"/>
    </xf>
    <xf numFmtId="0" fontId="9" fillId="0" borderId="11" xfId="0" applyFont="1" applyBorder="1"/>
    <xf numFmtId="0" fontId="9" fillId="0" borderId="7" xfId="0" applyFont="1" applyBorder="1"/>
    <xf numFmtId="169" fontId="9" fillId="0" borderId="0" xfId="0" applyNumberFormat="1" applyFont="1" applyAlignment="1">
      <alignment horizontal="center"/>
    </xf>
    <xf numFmtId="169" fontId="9" fillId="0" borderId="0" xfId="0" applyNumberFormat="1" applyFont="1"/>
    <xf numFmtId="165" fontId="9" fillId="0" borderId="0" xfId="0" applyNumberFormat="1" applyFont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10" fontId="9" fillId="0" borderId="0" xfId="4" applyNumberFormat="1" applyFont="1" applyFill="1"/>
    <xf numFmtId="165" fontId="9" fillId="0" borderId="0" xfId="1" applyNumberFormat="1" applyFont="1" applyFill="1" applyBorder="1"/>
    <xf numFmtId="3" fontId="9" fillId="0" borderId="0" xfId="0" applyNumberFormat="1" applyFont="1"/>
    <xf numFmtId="10" fontId="9" fillId="0" borderId="0" xfId="0" applyNumberFormat="1" applyFont="1" applyAlignment="1">
      <alignment horizontal="right"/>
    </xf>
    <xf numFmtId="165" fontId="12" fillId="0" borderId="12" xfId="1" applyNumberFormat="1" applyFont="1" applyBorder="1" applyAlignment="1">
      <alignment horizontal="left"/>
    </xf>
    <xf numFmtId="165" fontId="9" fillId="0" borderId="13" xfId="1" applyNumberFormat="1" applyFont="1" applyBorder="1"/>
    <xf numFmtId="0" fontId="12" fillId="0" borderId="11" xfId="0" applyFont="1" applyBorder="1" applyAlignment="1">
      <alignment horizontal="left"/>
    </xf>
    <xf numFmtId="10" fontId="9" fillId="0" borderId="8" xfId="0" applyNumberFormat="1" applyFont="1" applyBorder="1" applyAlignment="1">
      <alignment horizontal="right"/>
    </xf>
    <xf numFmtId="10" fontId="9" fillId="0" borderId="0" xfId="0" applyNumberFormat="1" applyFont="1"/>
    <xf numFmtId="165" fontId="9" fillId="0" borderId="14" xfId="1" applyNumberFormat="1" applyFont="1" applyBorder="1"/>
    <xf numFmtId="0" fontId="12" fillId="0" borderId="12" xfId="0" applyFont="1" applyBorder="1" applyAlignment="1">
      <alignment horizontal="left"/>
    </xf>
    <xf numFmtId="3" fontId="9" fillId="0" borderId="14" xfId="0" applyNumberFormat="1" applyFont="1" applyBorder="1" applyAlignment="1">
      <alignment horizontal="right"/>
    </xf>
    <xf numFmtId="4" fontId="9" fillId="0" borderId="0" xfId="0" applyNumberFormat="1" applyFont="1"/>
    <xf numFmtId="165" fontId="9" fillId="0" borderId="12" xfId="1" applyNumberFormat="1" applyFont="1" applyBorder="1"/>
    <xf numFmtId="10" fontId="9" fillId="0" borderId="8" xfId="0" applyNumberFormat="1" applyFont="1" applyBorder="1"/>
    <xf numFmtId="165" fontId="9" fillId="0" borderId="0" xfId="1" applyNumberFormat="1" applyFont="1" applyAlignment="1"/>
    <xf numFmtId="10" fontId="9" fillId="0" borderId="0" xfId="4" applyNumberFormat="1" applyFont="1"/>
    <xf numFmtId="3" fontId="9" fillId="0" borderId="14" xfId="0" applyNumberFormat="1" applyFont="1" applyBorder="1"/>
    <xf numFmtId="0" fontId="13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5" fillId="0" borderId="0" xfId="1" applyNumberFormat="1" applyFont="1"/>
    <xf numFmtId="165" fontId="5" fillId="0" borderId="0" xfId="1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10" fontId="5" fillId="0" borderId="0" xfId="4" applyNumberFormat="1" applyFont="1" applyFill="1"/>
    <xf numFmtId="0" fontId="5" fillId="0" borderId="7" xfId="0" applyFont="1" applyBorder="1"/>
    <xf numFmtId="10" fontId="5" fillId="0" borderId="0" xfId="4" applyNumberFormat="1" applyFont="1"/>
    <xf numFmtId="0" fontId="14" fillId="0" borderId="0" xfId="0" applyFont="1"/>
    <xf numFmtId="3" fontId="14" fillId="0" borderId="0" xfId="0" applyNumberFormat="1" applyFont="1"/>
    <xf numFmtId="0" fontId="10" fillId="0" borderId="0" xfId="0" applyFont="1"/>
    <xf numFmtId="0" fontId="8" fillId="0" borderId="0" xfId="0" applyFont="1" applyAlignment="1">
      <alignment textRotation="90"/>
    </xf>
    <xf numFmtId="0" fontId="9" fillId="0" borderId="0" xfId="0" applyFont="1" applyAlignment="1">
      <alignment textRotation="90"/>
    </xf>
    <xf numFmtId="43" fontId="9" fillId="0" borderId="0" xfId="1" applyFont="1"/>
    <xf numFmtId="0" fontId="8" fillId="2" borderId="4" xfId="0" applyFont="1" applyFill="1" applyBorder="1"/>
    <xf numFmtId="43" fontId="8" fillId="2" borderId="5" xfId="1" applyFont="1" applyFill="1" applyBorder="1"/>
    <xf numFmtId="43" fontId="9" fillId="2" borderId="5" xfId="1" applyFont="1" applyFill="1" applyBorder="1"/>
    <xf numFmtId="10" fontId="9" fillId="2" borderId="6" xfId="4" applyNumberFormat="1" applyFont="1" applyFill="1" applyBorder="1"/>
    <xf numFmtId="43" fontId="9" fillId="0" borderId="0" xfId="1" applyFont="1" applyFill="1"/>
    <xf numFmtId="9" fontId="9" fillId="0" borderId="0" xfId="4" applyFont="1"/>
    <xf numFmtId="0" fontId="9" fillId="0" borderId="0" xfId="3" applyFont="1"/>
    <xf numFmtId="0" fontId="8" fillId="0" borderId="0" xfId="3" applyFont="1"/>
    <xf numFmtId="43" fontId="9" fillId="0" borderId="0" xfId="3" applyNumberFormat="1" applyFont="1"/>
    <xf numFmtId="0" fontId="8" fillId="0" borderId="0" xfId="3" applyFont="1" applyAlignment="1">
      <alignment horizontal="left"/>
    </xf>
    <xf numFmtId="43" fontId="8" fillId="0" borderId="0" xfId="3" applyNumberFormat="1" applyFont="1"/>
    <xf numFmtId="10" fontId="9" fillId="0" borderId="0" xfId="3" applyNumberFormat="1" applyFont="1"/>
    <xf numFmtId="0" fontId="9" fillId="0" borderId="0" xfId="3" applyFont="1" applyAlignment="1">
      <alignment horizontal="center"/>
    </xf>
    <xf numFmtId="43" fontId="9" fillId="0" borderId="0" xfId="0" applyNumberFormat="1" applyFont="1"/>
    <xf numFmtId="166" fontId="8" fillId="0" borderId="0" xfId="3" applyNumberFormat="1" applyFont="1"/>
    <xf numFmtId="0" fontId="9" fillId="0" borderId="0" xfId="3" applyFont="1" applyAlignment="1">
      <alignment horizontal="left"/>
    </xf>
    <xf numFmtId="166" fontId="9" fillId="0" borderId="0" xfId="3" applyNumberFormat="1" applyFont="1"/>
    <xf numFmtId="0" fontId="9" fillId="0" borderId="0" xfId="0" applyFont="1" applyAlignment="1">
      <alignment horizontal="left"/>
    </xf>
    <xf numFmtId="43" fontId="9" fillId="0" borderId="0" xfId="3" applyNumberFormat="1" applyFont="1" applyAlignment="1">
      <alignment horizontal="right"/>
    </xf>
    <xf numFmtId="44" fontId="9" fillId="0" borderId="0" xfId="2" applyFont="1"/>
    <xf numFmtId="44" fontId="9" fillId="0" borderId="0" xfId="0" applyNumberFormat="1" applyFont="1"/>
    <xf numFmtId="0" fontId="8" fillId="2" borderId="0" xfId="0" applyFont="1" applyFill="1" applyAlignment="1">
      <alignment horizontal="center"/>
    </xf>
    <xf numFmtId="0" fontId="9" fillId="0" borderId="0" xfId="0" quotePrefix="1" applyFont="1"/>
    <xf numFmtId="44" fontId="9" fillId="0" borderId="0" xfId="2" applyFont="1" applyFill="1"/>
    <xf numFmtId="44" fontId="9" fillId="0" borderId="0" xfId="2" applyFont="1" applyFill="1" applyAlignment="1">
      <alignment horizontal="center"/>
    </xf>
    <xf numFmtId="0" fontId="8" fillId="2" borderId="0" xfId="0" applyFont="1" applyFill="1"/>
    <xf numFmtId="44" fontId="9" fillId="2" borderId="0" xfId="0" applyNumberFormat="1" applyFont="1" applyFill="1"/>
    <xf numFmtId="44" fontId="9" fillId="2" borderId="0" xfId="2" applyFont="1" applyFill="1"/>
    <xf numFmtId="0" fontId="9" fillId="0" borderId="13" xfId="3" applyFont="1" applyBorder="1"/>
    <xf numFmtId="0" fontId="9" fillId="0" borderId="14" xfId="3" applyFont="1" applyBorder="1"/>
    <xf numFmtId="0" fontId="9" fillId="0" borderId="7" xfId="3" applyFont="1" applyBorder="1"/>
    <xf numFmtId="0" fontId="9" fillId="0" borderId="8" xfId="3" applyFont="1" applyBorder="1"/>
    <xf numFmtId="43" fontId="9" fillId="0" borderId="0" xfId="1" applyFont="1" applyFill="1" applyAlignment="1">
      <alignment horizontal="center"/>
    </xf>
    <xf numFmtId="43" fontId="8" fillId="0" borderId="0" xfId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8" fillId="0" borderId="7" xfId="3" applyFont="1" applyBorder="1"/>
    <xf numFmtId="0" fontId="9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5" fillId="0" borderId="0" xfId="1" applyNumberFormat="1" applyFont="1" applyFill="1" applyAlignment="1">
      <alignment horizontal="center"/>
    </xf>
    <xf numFmtId="0" fontId="5" fillId="0" borderId="5" xfId="0" applyFont="1" applyBorder="1"/>
    <xf numFmtId="9" fontId="9" fillId="0" borderId="0" xfId="4" applyFont="1" applyFill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2" borderId="5" xfId="0" applyFont="1" applyFill="1" applyBorder="1"/>
    <xf numFmtId="0" fontId="6" fillId="2" borderId="6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2" xfId="0" applyFont="1" applyBorder="1"/>
    <xf numFmtId="0" fontId="5" fillId="0" borderId="1" xfId="0" applyFont="1" applyBorder="1"/>
    <xf numFmtId="3" fontId="5" fillId="0" borderId="5" xfId="0" applyNumberFormat="1" applyFont="1" applyBorder="1"/>
    <xf numFmtId="8" fontId="9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1" applyNumberFormat="1" applyFont="1" applyFill="1" applyAlignment="1">
      <alignment horizontal="right"/>
    </xf>
    <xf numFmtId="4" fontId="2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center"/>
    </xf>
    <xf numFmtId="0" fontId="8" fillId="4" borderId="13" xfId="3" applyFont="1" applyFill="1" applyBorder="1" applyAlignment="1">
      <alignment horizontal="right"/>
    </xf>
    <xf numFmtId="0" fontId="8" fillId="4" borderId="13" xfId="3" applyFont="1" applyFill="1" applyBorder="1"/>
    <xf numFmtId="0" fontId="9" fillId="4" borderId="13" xfId="3" applyFont="1" applyFill="1" applyBorder="1" applyAlignment="1">
      <alignment horizontal="right"/>
    </xf>
    <xf numFmtId="0" fontId="8" fillId="4" borderId="0" xfId="3" applyFont="1" applyFill="1" applyAlignment="1">
      <alignment horizontal="right"/>
    </xf>
    <xf numFmtId="0" fontId="8" fillId="4" borderId="0" xfId="3" applyFont="1" applyFill="1" applyAlignment="1">
      <alignment horizontal="left"/>
    </xf>
    <xf numFmtId="0" fontId="8" fillId="4" borderId="0" xfId="3" applyFont="1" applyFill="1"/>
    <xf numFmtId="0" fontId="8" fillId="4" borderId="7" xfId="3" applyFont="1" applyFill="1" applyBorder="1" applyAlignment="1">
      <alignment horizontal="right"/>
    </xf>
    <xf numFmtId="0" fontId="8" fillId="4" borderId="7" xfId="3" applyFont="1" applyFill="1" applyBorder="1"/>
    <xf numFmtId="0" fontId="8" fillId="4" borderId="2" xfId="3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4" xfId="0" applyFont="1" applyFill="1" applyBorder="1"/>
    <xf numFmtId="0" fontId="8" fillId="4" borderId="4" xfId="3" applyFont="1" applyFill="1" applyBorder="1" applyAlignment="1">
      <alignment horizontal="center"/>
    </xf>
    <xf numFmtId="43" fontId="8" fillId="4" borderId="5" xfId="3" applyNumberFormat="1" applyFont="1" applyFill="1" applyBorder="1"/>
    <xf numFmtId="0" fontId="8" fillId="4" borderId="5" xfId="3" applyFont="1" applyFill="1" applyBorder="1"/>
    <xf numFmtId="43" fontId="8" fillId="4" borderId="6" xfId="3" applyNumberFormat="1" applyFont="1" applyFill="1" applyBorder="1"/>
    <xf numFmtId="44" fontId="8" fillId="4" borderId="5" xfId="2" applyFont="1" applyFill="1" applyBorder="1"/>
    <xf numFmtId="165" fontId="6" fillId="0" borderId="0" xfId="1" applyNumberFormat="1" applyFont="1" applyFill="1" applyAlignment="1">
      <alignment horizontal="right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65" fontId="6" fillId="4" borderId="13" xfId="1" applyNumberFormat="1" applyFont="1" applyFill="1" applyBorder="1" applyAlignment="1">
      <alignment horizontal="center"/>
    </xf>
    <xf numFmtId="0" fontId="5" fillId="4" borderId="13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4" borderId="0" xfId="1" applyNumberFormat="1" applyFont="1" applyFill="1" applyBorder="1" applyAlignment="1">
      <alignment horizontal="center"/>
    </xf>
    <xf numFmtId="0" fontId="5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5" fontId="6" fillId="4" borderId="7" xfId="1" applyNumberFormat="1" applyFont="1" applyFill="1" applyBorder="1" applyAlignment="1">
      <alignment horizontal="center"/>
    </xf>
    <xf numFmtId="0" fontId="5" fillId="4" borderId="7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4" xfId="0" applyFont="1" applyFill="1" applyBorder="1"/>
    <xf numFmtId="165" fontId="6" fillId="4" borderId="5" xfId="1" applyNumberFormat="1" applyFont="1" applyFill="1" applyBorder="1" applyAlignment="1">
      <alignment horizontal="right"/>
    </xf>
    <xf numFmtId="165" fontId="6" fillId="4" borderId="6" xfId="1" applyNumberFormat="1" applyFont="1" applyFill="1" applyBorder="1" applyAlignment="1">
      <alignment horizontal="right"/>
    </xf>
    <xf numFmtId="0" fontId="8" fillId="4" borderId="2" xfId="0" applyFont="1" applyFill="1" applyBorder="1"/>
    <xf numFmtId="0" fontId="9" fillId="4" borderId="2" xfId="0" applyFont="1" applyFill="1" applyBorder="1"/>
    <xf numFmtId="0" fontId="8" fillId="4" borderId="1" xfId="0" applyFont="1" applyFill="1" applyBorder="1"/>
    <xf numFmtId="0" fontId="8" fillId="4" borderId="12" xfId="0" applyFont="1" applyFill="1" applyBorder="1"/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6" fillId="4" borderId="2" xfId="0" applyFont="1" applyFill="1" applyBorder="1"/>
    <xf numFmtId="0" fontId="5" fillId="4" borderId="2" xfId="0" applyFont="1" applyFill="1" applyBorder="1"/>
    <xf numFmtId="0" fontId="6" fillId="4" borderId="1" xfId="0" applyFont="1" applyFill="1" applyBorder="1"/>
    <xf numFmtId="0" fontId="8" fillId="4" borderId="12" xfId="0" applyFont="1" applyFill="1" applyBorder="1" applyAlignment="1">
      <alignment horizontal="center"/>
    </xf>
    <xf numFmtId="0" fontId="8" fillId="4" borderId="13" xfId="3" applyFont="1" applyFill="1" applyBorder="1" applyAlignment="1">
      <alignment horizontal="left"/>
    </xf>
    <xf numFmtId="9" fontId="8" fillId="4" borderId="13" xfId="4" applyFont="1" applyFill="1" applyBorder="1"/>
    <xf numFmtId="14" fontId="9" fillId="4" borderId="14" xfId="3" applyNumberFormat="1" applyFont="1" applyFill="1" applyBorder="1" applyAlignment="1">
      <alignment horizontal="left"/>
    </xf>
    <xf numFmtId="0" fontId="9" fillId="4" borderId="9" xfId="0" applyFont="1" applyFill="1" applyBorder="1" applyAlignment="1">
      <alignment horizontal="center"/>
    </xf>
    <xf numFmtId="9" fontId="8" fillId="4" borderId="0" xfId="4" applyFont="1" applyFill="1" applyBorder="1"/>
    <xf numFmtId="0" fontId="9" fillId="4" borderId="0" xfId="3" applyFont="1" applyFill="1"/>
    <xf numFmtId="0" fontId="9" fillId="4" borderId="10" xfId="3" applyFont="1" applyFill="1" applyBorder="1"/>
    <xf numFmtId="43" fontId="9" fillId="4" borderId="11" xfId="1" applyFont="1" applyFill="1" applyBorder="1" applyAlignment="1">
      <alignment horizontal="center"/>
    </xf>
    <xf numFmtId="3" fontId="8" fillId="4" borderId="7" xfId="1" quotePrefix="1" applyNumberFormat="1" applyFont="1" applyFill="1" applyBorder="1" applyAlignment="1">
      <alignment horizontal="left"/>
    </xf>
    <xf numFmtId="164" fontId="8" fillId="4" borderId="7" xfId="4" applyNumberFormat="1" applyFont="1" applyFill="1" applyBorder="1"/>
    <xf numFmtId="0" fontId="9" fillId="4" borderId="7" xfId="3" applyFont="1" applyFill="1" applyBorder="1"/>
    <xf numFmtId="0" fontId="9" fillId="4" borderId="8" xfId="3" applyFont="1" applyFill="1" applyBorder="1"/>
    <xf numFmtId="0" fontId="8" fillId="4" borderId="2" xfId="1" quotePrefix="1" applyNumberFormat="1" applyFont="1" applyFill="1" applyBorder="1" applyAlignment="1">
      <alignment horizontal="center"/>
    </xf>
    <xf numFmtId="0" fontId="8" fillId="4" borderId="2" xfId="1" applyNumberFormat="1" applyFont="1" applyFill="1" applyBorder="1" applyAlignment="1">
      <alignment horizontal="center"/>
    </xf>
    <xf numFmtId="0" fontId="8" fillId="4" borderId="14" xfId="3" applyFont="1" applyFill="1" applyBorder="1" applyAlignment="1">
      <alignment horizontal="center"/>
    </xf>
    <xf numFmtId="0" fontId="8" fillId="4" borderId="1" xfId="1" applyNumberFormat="1" applyFont="1" applyFill="1" applyBorder="1" applyAlignment="1">
      <alignment horizontal="center"/>
    </xf>
    <xf numFmtId="9" fontId="8" fillId="4" borderId="1" xfId="1" applyNumberFormat="1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/>
    </xf>
    <xf numFmtId="10" fontId="8" fillId="4" borderId="5" xfId="4" applyNumberFormat="1" applyFont="1" applyFill="1" applyBorder="1"/>
    <xf numFmtId="43" fontId="8" fillId="4" borderId="5" xfId="3" applyNumberFormat="1" applyFont="1" applyFill="1" applyBorder="1" applyAlignment="1">
      <alignment horizontal="right"/>
    </xf>
    <xf numFmtId="43" fontId="9" fillId="4" borderId="5" xfId="3" applyNumberFormat="1" applyFont="1" applyFill="1" applyBorder="1"/>
    <xf numFmtId="0" fontId="0" fillId="0" borderId="0" xfId="0" applyAlignment="1">
      <alignment horizontal="center"/>
    </xf>
    <xf numFmtId="165" fontId="5" fillId="0" borderId="0" xfId="1" applyNumberFormat="1" applyFont="1" applyFill="1" applyBorder="1"/>
    <xf numFmtId="165" fontId="5" fillId="0" borderId="15" xfId="1" applyNumberFormat="1" applyFont="1" applyFill="1" applyBorder="1"/>
    <xf numFmtId="44" fontId="9" fillId="0" borderId="7" xfId="2" applyFont="1" applyFill="1" applyBorder="1"/>
    <xf numFmtId="44" fontId="18" fillId="0" borderId="7" xfId="2" applyFont="1" applyFill="1" applyBorder="1"/>
    <xf numFmtId="0" fontId="9" fillId="6" borderId="0" xfId="0" applyFont="1" applyFill="1"/>
    <xf numFmtId="43" fontId="9" fillId="0" borderId="0" xfId="0" applyNumberFormat="1" applyFont="1" applyAlignment="1">
      <alignment horizontal="center"/>
    </xf>
    <xf numFmtId="0" fontId="19" fillId="0" borderId="0" xfId="0" applyFont="1"/>
    <xf numFmtId="2" fontId="5" fillId="0" borderId="0" xfId="1" applyNumberFormat="1" applyFont="1" applyFill="1" applyAlignment="1">
      <alignment horizontal="right"/>
    </xf>
    <xf numFmtId="37" fontId="5" fillId="0" borderId="0" xfId="2" applyNumberFormat="1" applyFont="1" applyFill="1" applyAlignment="1">
      <alignment horizontal="right"/>
    </xf>
    <xf numFmtId="37" fontId="5" fillId="0" borderId="5" xfId="2" applyNumberFormat="1" applyFont="1" applyFill="1" applyBorder="1" applyAlignment="1">
      <alignment horizontal="right"/>
    </xf>
    <xf numFmtId="165" fontId="5" fillId="0" borderId="15" xfId="1" applyNumberFormat="1" applyFont="1" applyFill="1" applyBorder="1" applyAlignment="1">
      <alignment horizontal="right"/>
    </xf>
    <xf numFmtId="37" fontId="5" fillId="0" borderId="0" xfId="1" applyNumberFormat="1" applyFont="1" applyFill="1"/>
    <xf numFmtId="0" fontId="5" fillId="0" borderId="3" xfId="0" applyFont="1" applyBorder="1"/>
    <xf numFmtId="3" fontId="6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right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 applyAlignment="1">
      <alignment horizontal="right"/>
    </xf>
    <xf numFmtId="8" fontId="6" fillId="0" borderId="10" xfId="0" applyNumberFormat="1" applyFont="1" applyBorder="1" applyAlignment="1">
      <alignment horizontal="center"/>
    </xf>
    <xf numFmtId="8" fontId="6" fillId="0" borderId="8" xfId="0" applyNumberFormat="1" applyFont="1" applyBorder="1" applyAlignment="1">
      <alignment horizontal="center"/>
    </xf>
    <xf numFmtId="165" fontId="6" fillId="0" borderId="16" xfId="1" applyNumberFormat="1" applyFont="1" applyFill="1" applyBorder="1" applyAlignment="1">
      <alignment horizontal="right"/>
    </xf>
    <xf numFmtId="165" fontId="5" fillId="5" borderId="0" xfId="1" applyNumberFormat="1" applyFont="1" applyFill="1" applyAlignment="1">
      <alignment horizontal="right"/>
    </xf>
    <xf numFmtId="165" fontId="5" fillId="5" borderId="0" xfId="1" applyNumberFormat="1" applyFont="1" applyFill="1"/>
    <xf numFmtId="0" fontId="1" fillId="0" borderId="0" xfId="0" applyFont="1"/>
    <xf numFmtId="44" fontId="0" fillId="0" borderId="0" xfId="2" applyFont="1"/>
    <xf numFmtId="0" fontId="9" fillId="7" borderId="0" xfId="0" applyFont="1" applyFill="1"/>
    <xf numFmtId="14" fontId="9" fillId="0" borderId="0" xfId="3" applyNumberFormat="1" applyFont="1"/>
    <xf numFmtId="0" fontId="8" fillId="0" borderId="0" xfId="3" applyFont="1" applyAlignment="1">
      <alignment horizontal="centerContinuous"/>
    </xf>
    <xf numFmtId="0" fontId="0" fillId="0" borderId="0" xfId="0" applyAlignment="1">
      <alignment horizontal="left"/>
    </xf>
    <xf numFmtId="165" fontId="1" fillId="0" borderId="0" xfId="1" applyNumberFormat="1" applyFont="1" applyFill="1" applyAlignment="1">
      <alignment horizontal="right"/>
    </xf>
    <xf numFmtId="165" fontId="9" fillId="0" borderId="0" xfId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4" borderId="5" xfId="0" applyFont="1" applyFill="1" applyBorder="1"/>
    <xf numFmtId="0" fontId="9" fillId="4" borderId="2" xfId="3" applyFont="1" applyFill="1" applyBorder="1" applyAlignment="1">
      <alignment horizontal="center"/>
    </xf>
    <xf numFmtId="0" fontId="8" fillId="4" borderId="3" xfId="3" applyFont="1" applyFill="1" applyBorder="1" applyAlignment="1">
      <alignment horizontal="center"/>
    </xf>
    <xf numFmtId="43" fontId="8" fillId="4" borderId="6" xfId="1" applyFont="1" applyFill="1" applyBorder="1"/>
    <xf numFmtId="0" fontId="20" fillId="0" borderId="0" xfId="0" applyFont="1"/>
    <xf numFmtId="0" fontId="20" fillId="3" borderId="0" xfId="0" applyFont="1" applyFill="1"/>
    <xf numFmtId="0" fontId="8" fillId="4" borderId="4" xfId="0" applyFont="1" applyFill="1" applyBorder="1" applyAlignment="1">
      <alignment horizontal="center"/>
    </xf>
    <xf numFmtId="44" fontId="9" fillId="0" borderId="0" xfId="2" applyFont="1" applyFill="1" applyBorder="1"/>
    <xf numFmtId="43" fontId="9" fillId="0" borderId="0" xfId="1" applyFont="1" applyAlignment="1">
      <alignment horizontal="right"/>
    </xf>
    <xf numFmtId="165" fontId="5" fillId="0" borderId="0" xfId="1" applyNumberFormat="1" applyFont="1" applyBorder="1"/>
    <xf numFmtId="165" fontId="9" fillId="0" borderId="0" xfId="1" applyNumberFormat="1" applyFont="1" applyBorder="1" applyAlignment="1">
      <alignment horizontal="left"/>
    </xf>
    <xf numFmtId="10" fontId="5" fillId="0" borderId="0" xfId="0" applyNumberFormat="1" applyFont="1"/>
    <xf numFmtId="165" fontId="0" fillId="0" borderId="0" xfId="1" applyNumberFormat="1" applyFont="1" applyFill="1" applyAlignment="1">
      <alignment horizontal="right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0" xfId="3" applyFont="1" applyAlignment="1">
      <alignment horizontal="center"/>
    </xf>
    <xf numFmtId="165" fontId="6" fillId="4" borderId="5" xfId="1" applyNumberFormat="1" applyFont="1" applyFill="1" applyBorder="1"/>
    <xf numFmtId="165" fontId="6" fillId="4" borderId="6" xfId="1" applyNumberFormat="1" applyFont="1" applyFill="1" applyBorder="1"/>
    <xf numFmtId="37" fontId="6" fillId="4" borderId="5" xfId="2" applyNumberFormat="1" applyFont="1" applyFill="1" applyBorder="1" applyAlignment="1">
      <alignment horizontal="right"/>
    </xf>
    <xf numFmtId="165" fontId="5" fillId="9" borderId="0" xfId="1" applyNumberFormat="1" applyFont="1" applyFill="1"/>
    <xf numFmtId="0" fontId="21" fillId="9" borderId="0" xfId="0" applyFont="1" applyFill="1"/>
    <xf numFmtId="43" fontId="21" fillId="9" borderId="0" xfId="0" applyNumberFormat="1" applyFont="1" applyFill="1"/>
    <xf numFmtId="168" fontId="21" fillId="9" borderId="0" xfId="0" applyNumberFormat="1" applyFont="1" applyFill="1" applyAlignment="1">
      <alignment horizontal="left" indent="1"/>
    </xf>
    <xf numFmtId="0" fontId="9" fillId="4" borderId="12" xfId="0" applyFont="1" applyFill="1" applyBorder="1"/>
    <xf numFmtId="0" fontId="9" fillId="4" borderId="13" xfId="0" applyFont="1" applyFill="1" applyBorder="1" applyAlignment="1">
      <alignment horizontal="center"/>
    </xf>
    <xf numFmtId="3" fontId="9" fillId="4" borderId="13" xfId="0" applyNumberFormat="1" applyFont="1" applyFill="1" applyBorder="1" applyAlignment="1">
      <alignment horizontal="right"/>
    </xf>
    <xf numFmtId="165" fontId="9" fillId="4" borderId="13" xfId="1" applyNumberFormat="1" applyFont="1" applyFill="1" applyBorder="1" applyAlignment="1">
      <alignment horizontal="right"/>
    </xf>
    <xf numFmtId="165" fontId="9" fillId="4" borderId="14" xfId="1" applyNumberFormat="1" applyFont="1" applyFill="1" applyBorder="1" applyAlignment="1">
      <alignment horizontal="right"/>
    </xf>
    <xf numFmtId="0" fontId="9" fillId="4" borderId="0" xfId="0" applyFont="1" applyFill="1" applyAlignment="1">
      <alignment horizontal="center"/>
    </xf>
    <xf numFmtId="3" fontId="9" fillId="4" borderId="0" xfId="0" applyNumberFormat="1" applyFont="1" applyFill="1" applyAlignment="1">
      <alignment horizontal="right"/>
    </xf>
    <xf numFmtId="165" fontId="9" fillId="4" borderId="0" xfId="1" applyNumberFormat="1" applyFont="1" applyFill="1" applyBorder="1" applyAlignment="1">
      <alignment horizontal="right"/>
    </xf>
    <xf numFmtId="165" fontId="9" fillId="4" borderId="10" xfId="1" applyNumberFormat="1" applyFont="1" applyFill="1" applyBorder="1" applyAlignment="1">
      <alignment horizontal="right"/>
    </xf>
    <xf numFmtId="0" fontId="9" fillId="4" borderId="11" xfId="0" applyFont="1" applyFill="1" applyBorder="1"/>
    <xf numFmtId="0" fontId="9" fillId="4" borderId="7" xfId="0" applyFont="1" applyFill="1" applyBorder="1" applyAlignment="1">
      <alignment horizontal="center"/>
    </xf>
    <xf numFmtId="0" fontId="9" fillId="4" borderId="7" xfId="0" applyFont="1" applyFill="1" applyBorder="1"/>
    <xf numFmtId="0" fontId="9" fillId="4" borderId="7" xfId="0" applyFont="1" applyFill="1" applyBorder="1" applyAlignment="1">
      <alignment horizontal="right"/>
    </xf>
    <xf numFmtId="41" fontId="9" fillId="4" borderId="7" xfId="0" applyNumberFormat="1" applyFont="1" applyFill="1" applyBorder="1" applyAlignment="1">
      <alignment horizontal="right"/>
    </xf>
    <xf numFmtId="41" fontId="9" fillId="4" borderId="8" xfId="0" applyNumberFormat="1" applyFont="1" applyFill="1" applyBorder="1" applyAlignment="1">
      <alignment horizontal="right"/>
    </xf>
    <xf numFmtId="43" fontId="9" fillId="0" borderId="0" xfId="2" applyNumberFormat="1" applyFont="1" applyFill="1"/>
    <xf numFmtId="44" fontId="8" fillId="4" borderId="6" xfId="2" applyFont="1" applyFill="1" applyBorder="1"/>
    <xf numFmtId="43" fontId="8" fillId="4" borderId="13" xfId="0" applyNumberFormat="1" applyFont="1" applyFill="1" applyBorder="1"/>
    <xf numFmtId="43" fontId="9" fillId="4" borderId="13" xfId="0" applyNumberFormat="1" applyFont="1" applyFill="1" applyBorder="1"/>
    <xf numFmtId="44" fontId="9" fillId="4" borderId="13" xfId="0" applyNumberFormat="1" applyFont="1" applyFill="1" applyBorder="1"/>
    <xf numFmtId="44" fontId="9" fillId="4" borderId="14" xfId="0" applyNumberFormat="1" applyFont="1" applyFill="1" applyBorder="1"/>
    <xf numFmtId="0" fontId="9" fillId="4" borderId="9" xfId="0" applyFont="1" applyFill="1" applyBorder="1"/>
    <xf numFmtId="0" fontId="9" fillId="4" borderId="0" xfId="0" applyFont="1" applyFill="1"/>
    <xf numFmtId="0" fontId="9" fillId="4" borderId="10" xfId="0" applyFont="1" applyFill="1" applyBorder="1"/>
    <xf numFmtId="0" fontId="9" fillId="4" borderId="8" xfId="0" applyFont="1" applyFill="1" applyBorder="1"/>
    <xf numFmtId="0" fontId="8" fillId="4" borderId="15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/>
    </xf>
    <xf numFmtId="40" fontId="9" fillId="0" borderId="0" xfId="0" applyNumberFormat="1" applyFont="1"/>
    <xf numFmtId="0" fontId="9" fillId="4" borderId="13" xfId="0" applyFont="1" applyFill="1" applyBorder="1"/>
    <xf numFmtId="10" fontId="9" fillId="4" borderId="0" xfId="4" applyNumberFormat="1" applyFont="1" applyFill="1" applyBorder="1" applyAlignment="1">
      <alignment horizontal="right"/>
    </xf>
    <xf numFmtId="165" fontId="9" fillId="4" borderId="7" xfId="1" applyNumberFormat="1" applyFont="1" applyFill="1" applyBorder="1" applyAlignment="1">
      <alignment horizontal="right"/>
    </xf>
    <xf numFmtId="165" fontId="9" fillId="4" borderId="8" xfId="1" applyNumberFormat="1" applyFont="1" applyFill="1" applyBorder="1" applyAlignment="1">
      <alignment horizontal="right"/>
    </xf>
    <xf numFmtId="3" fontId="9" fillId="4" borderId="0" xfId="0" applyNumberFormat="1" applyFont="1" applyFill="1"/>
    <xf numFmtId="10" fontId="9" fillId="4" borderId="0" xfId="4" applyNumberFormat="1" applyFont="1" applyFill="1" applyBorder="1"/>
    <xf numFmtId="165" fontId="9" fillId="4" borderId="0" xfId="1" applyNumberFormat="1" applyFont="1" applyFill="1" applyBorder="1"/>
    <xf numFmtId="165" fontId="9" fillId="4" borderId="10" xfId="1" applyNumberFormat="1" applyFont="1" applyFill="1" applyBorder="1"/>
    <xf numFmtId="9" fontId="9" fillId="4" borderId="0" xfId="4" applyFont="1" applyFill="1" applyBorder="1" applyAlignment="1">
      <alignment horizontal="right"/>
    </xf>
    <xf numFmtId="3" fontId="9" fillId="4" borderId="7" xfId="0" applyNumberFormat="1" applyFont="1" applyFill="1" applyBorder="1" applyAlignment="1">
      <alignment horizontal="right"/>
    </xf>
    <xf numFmtId="0" fontId="9" fillId="4" borderId="8" xfId="0" applyFont="1" applyFill="1" applyBorder="1" applyAlignment="1">
      <alignment horizontal="right"/>
    </xf>
    <xf numFmtId="0" fontId="6" fillId="4" borderId="9" xfId="0" applyFont="1" applyFill="1" applyBorder="1" applyAlignment="1">
      <alignment horizontal="center"/>
    </xf>
    <xf numFmtId="3" fontId="5" fillId="4" borderId="0" xfId="0" applyNumberFormat="1" applyFont="1" applyFill="1" applyAlignment="1">
      <alignment horizontal="right"/>
    </xf>
    <xf numFmtId="10" fontId="5" fillId="4" borderId="0" xfId="4" applyNumberFormat="1" applyFont="1" applyFill="1" applyBorder="1" applyAlignment="1">
      <alignment horizontal="right"/>
    </xf>
    <xf numFmtId="165" fontId="5" fillId="4" borderId="0" xfId="1" applyNumberFormat="1" applyFont="1" applyFill="1" applyBorder="1" applyAlignment="1">
      <alignment horizontal="right"/>
    </xf>
    <xf numFmtId="165" fontId="5" fillId="4" borderId="10" xfId="1" applyNumberFormat="1" applyFont="1" applyFill="1" applyBorder="1" applyAlignment="1">
      <alignment horizontal="right"/>
    </xf>
    <xf numFmtId="0" fontId="5" fillId="4" borderId="11" xfId="0" applyFont="1" applyFill="1" applyBorder="1"/>
    <xf numFmtId="0" fontId="5" fillId="4" borderId="7" xfId="0" applyFont="1" applyFill="1" applyBorder="1" applyAlignment="1">
      <alignment horizontal="right"/>
    </xf>
    <xf numFmtId="10" fontId="5" fillId="4" borderId="7" xfId="4" applyNumberFormat="1" applyFont="1" applyFill="1" applyBorder="1" applyAlignment="1">
      <alignment horizontal="right"/>
    </xf>
    <xf numFmtId="165" fontId="5" fillId="4" borderId="7" xfId="1" applyNumberFormat="1" applyFont="1" applyFill="1" applyBorder="1" applyAlignment="1">
      <alignment horizontal="right"/>
    </xf>
    <xf numFmtId="165" fontId="5" fillId="4" borderId="8" xfId="1" applyNumberFormat="1" applyFont="1" applyFill="1" applyBorder="1" applyAlignment="1">
      <alignment horizontal="right"/>
    </xf>
    <xf numFmtId="3" fontId="9" fillId="4" borderId="14" xfId="0" applyNumberFormat="1" applyFont="1" applyFill="1" applyBorder="1" applyAlignment="1">
      <alignment horizontal="right"/>
    </xf>
    <xf numFmtId="3" fontId="9" fillId="4" borderId="10" xfId="0" applyNumberFormat="1" applyFont="1" applyFill="1" applyBorder="1" applyAlignment="1">
      <alignment horizontal="right"/>
    </xf>
    <xf numFmtId="9" fontId="9" fillId="4" borderId="7" xfId="0" applyNumberFormat="1" applyFont="1" applyFill="1" applyBorder="1" applyAlignment="1">
      <alignment horizontal="right"/>
    </xf>
    <xf numFmtId="9" fontId="9" fillId="4" borderId="8" xfId="0" applyNumberFormat="1" applyFont="1" applyFill="1" applyBorder="1" applyAlignment="1">
      <alignment horizontal="right"/>
    </xf>
    <xf numFmtId="43" fontId="9" fillId="0" borderId="0" xfId="2" applyNumberFormat="1" applyFont="1" applyFill="1" applyAlignment="1">
      <alignment horizontal="center"/>
    </xf>
    <xf numFmtId="43" fontId="9" fillId="0" borderId="0" xfId="2" applyNumberFormat="1" applyFont="1"/>
    <xf numFmtId="43" fontId="9" fillId="0" borderId="0" xfId="4" applyNumberFormat="1" applyFont="1"/>
    <xf numFmtId="0" fontId="8" fillId="4" borderId="15" xfId="1" applyNumberFormat="1" applyFont="1" applyFill="1" applyBorder="1" applyAlignment="1">
      <alignment horizontal="center" wrapText="1"/>
    </xf>
    <xf numFmtId="43" fontId="0" fillId="0" borderId="0" xfId="0" applyNumberFormat="1"/>
    <xf numFmtId="165" fontId="5" fillId="9" borderId="0" xfId="1" applyNumberFormat="1" applyFont="1" applyFill="1" applyBorder="1"/>
    <xf numFmtId="0" fontId="5" fillId="9" borderId="0" xfId="0" applyFont="1" applyFill="1"/>
    <xf numFmtId="14" fontId="9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0" fillId="8" borderId="0" xfId="0" applyFill="1"/>
    <xf numFmtId="165" fontId="9" fillId="4" borderId="0" xfId="1" applyNumberFormat="1" applyFont="1" applyFill="1"/>
    <xf numFmtId="43" fontId="9" fillId="4" borderId="0" xfId="2" applyNumberFormat="1" applyFont="1" applyFill="1"/>
    <xf numFmtId="43" fontId="9" fillId="4" borderId="0" xfId="0" applyNumberFormat="1" applyFont="1" applyFill="1"/>
    <xf numFmtId="10" fontId="9" fillId="4" borderId="0" xfId="4" applyNumberFormat="1" applyFont="1" applyFill="1"/>
    <xf numFmtId="40" fontId="9" fillId="4" borderId="0" xfId="0" applyNumberFormat="1" applyFont="1" applyFill="1"/>
    <xf numFmtId="9" fontId="9" fillId="4" borderId="0" xfId="4" applyFont="1" applyFill="1"/>
    <xf numFmtId="0" fontId="5" fillId="8" borderId="0" xfId="0" applyFont="1" applyFill="1"/>
    <xf numFmtId="3" fontId="9" fillId="7" borderId="0" xfId="0" applyNumberFormat="1" applyFont="1" applyFill="1" applyAlignment="1">
      <alignment horizontal="right"/>
    </xf>
    <xf numFmtId="10" fontId="9" fillId="7" borderId="0" xfId="4" applyNumberFormat="1" applyFont="1" applyFill="1" applyAlignment="1">
      <alignment horizontal="right"/>
    </xf>
    <xf numFmtId="44" fontId="9" fillId="7" borderId="0" xfId="2" applyFont="1" applyFill="1" applyAlignment="1">
      <alignment horizontal="right"/>
    </xf>
    <xf numFmtId="44" fontId="9" fillId="7" borderId="0" xfId="2" applyFont="1" applyFill="1"/>
    <xf numFmtId="165" fontId="6" fillId="4" borderId="0" xfId="1" applyNumberFormat="1" applyFont="1" applyFill="1" applyBorder="1"/>
    <xf numFmtId="9" fontId="5" fillId="0" borderId="0" xfId="4" applyFont="1" applyFill="1"/>
    <xf numFmtId="9" fontId="5" fillId="0" borderId="0" xfId="4" applyFont="1" applyFill="1" applyAlignment="1">
      <alignment horizontal="right"/>
    </xf>
    <xf numFmtId="0" fontId="22" fillId="0" borderId="0" xfId="0" applyFont="1"/>
    <xf numFmtId="0" fontId="23" fillId="10" borderId="0" xfId="0" applyFont="1" applyFill="1" applyAlignment="1">
      <alignment horizontal="center" vertical="center"/>
    </xf>
    <xf numFmtId="44" fontId="23" fillId="10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44" fontId="25" fillId="0" borderId="10" xfId="2" applyFont="1" applyBorder="1"/>
    <xf numFmtId="44" fontId="25" fillId="0" borderId="0" xfId="2" applyFont="1"/>
    <xf numFmtId="44" fontId="0" fillId="0" borderId="10" xfId="2" applyFont="1" applyBorder="1"/>
    <xf numFmtId="0" fontId="24" fillId="0" borderId="0" xfId="0" applyFont="1" applyAlignment="1">
      <alignment horizontal="right"/>
    </xf>
    <xf numFmtId="44" fontId="25" fillId="0" borderId="17" xfId="2" applyFont="1" applyBorder="1"/>
    <xf numFmtId="44" fontId="25" fillId="0" borderId="16" xfId="2" applyFont="1" applyBorder="1"/>
    <xf numFmtId="14" fontId="26" fillId="0" borderId="0" xfId="0" applyNumberFormat="1" applyFont="1" applyAlignment="1">
      <alignment horizontal="center"/>
    </xf>
    <xf numFmtId="44" fontId="27" fillId="0" borderId="0" xfId="2" applyFont="1"/>
    <xf numFmtId="0" fontId="8" fillId="11" borderId="15" xfId="0" applyFont="1" applyFill="1" applyBorder="1"/>
    <xf numFmtId="43" fontId="8" fillId="11" borderId="15" xfId="1" applyFont="1" applyFill="1" applyBorder="1"/>
    <xf numFmtId="10" fontId="9" fillId="0" borderId="0" xfId="4" applyNumberFormat="1" applyFont="1" applyFill="1" applyBorder="1"/>
    <xf numFmtId="10" fontId="9" fillId="2" borderId="15" xfId="4" applyNumberFormat="1" applyFont="1" applyFill="1" applyBorder="1"/>
    <xf numFmtId="0" fontId="28" fillId="0" borderId="0" xfId="0" applyFont="1" applyAlignment="1">
      <alignment wrapText="1"/>
    </xf>
    <xf numFmtId="0" fontId="28" fillId="4" borderId="2" xfId="0" applyFont="1" applyFill="1" applyBorder="1" applyAlignment="1">
      <alignment wrapText="1"/>
    </xf>
    <xf numFmtId="0" fontId="29" fillId="4" borderId="3" xfId="0" applyFont="1" applyFill="1" applyBorder="1" applyAlignment="1">
      <alignment horizontal="center" wrapText="1"/>
    </xf>
    <xf numFmtId="0" fontId="28" fillId="4" borderId="1" xfId="0" applyFont="1" applyFill="1" applyBorder="1" applyAlignment="1">
      <alignment wrapText="1"/>
    </xf>
    <xf numFmtId="0" fontId="28" fillId="0" borderId="0" xfId="0" applyFont="1"/>
    <xf numFmtId="0" fontId="28" fillId="5" borderId="0" xfId="0" applyFont="1" applyFill="1" applyAlignment="1">
      <alignment wrapText="1"/>
    </xf>
    <xf numFmtId="0" fontId="27" fillId="0" borderId="0" xfId="0" applyFont="1"/>
    <xf numFmtId="169" fontId="8" fillId="0" borderId="0" xfId="0" applyNumberFormat="1" applyFont="1"/>
    <xf numFmtId="165" fontId="30" fillId="0" borderId="0" xfId="1" applyNumberFormat="1" applyFont="1" applyFill="1" applyAlignment="1">
      <alignment horizontal="right"/>
    </xf>
    <xf numFmtId="43" fontId="9" fillId="8" borderId="0" xfId="2" applyNumberFormat="1" applyFont="1" applyFill="1"/>
    <xf numFmtId="0" fontId="5" fillId="8" borderId="0" xfId="0" applyFont="1" applyFill="1" applyAlignment="1">
      <alignment horizontal="center"/>
    </xf>
    <xf numFmtId="165" fontId="5" fillId="8" borderId="0" xfId="1" applyNumberFormat="1" applyFont="1" applyFill="1" applyBorder="1" applyAlignment="1">
      <alignment horizontal="right"/>
    </xf>
    <xf numFmtId="165" fontId="5" fillId="8" borderId="0" xfId="1" applyNumberFormat="1" applyFont="1" applyFill="1" applyBorder="1"/>
    <xf numFmtId="165" fontId="5" fillId="8" borderId="0" xfId="1" applyNumberFormat="1" applyFont="1" applyFill="1"/>
    <xf numFmtId="9" fontId="5" fillId="8" borderId="0" xfId="4" applyFont="1" applyFill="1" applyAlignment="1">
      <alignment horizontal="right"/>
    </xf>
    <xf numFmtId="0" fontId="28" fillId="8" borderId="0" xfId="0" applyFont="1" applyFill="1" applyAlignment="1">
      <alignment wrapText="1"/>
    </xf>
    <xf numFmtId="0" fontId="20" fillId="8" borderId="0" xfId="0" applyFont="1" applyFill="1"/>
    <xf numFmtId="0" fontId="9" fillId="8" borderId="0" xfId="0" applyFont="1" applyFill="1"/>
    <xf numFmtId="2" fontId="9" fillId="0" borderId="0" xfId="4" applyNumberFormat="1" applyFont="1" applyFill="1" applyAlignment="1">
      <alignment horizontal="right"/>
    </xf>
    <xf numFmtId="165" fontId="5" fillId="8" borderId="0" xfId="1" applyNumberFormat="1" applyFont="1" applyFill="1" applyAlignment="1">
      <alignment horizontal="right"/>
    </xf>
    <xf numFmtId="165" fontId="5" fillId="0" borderId="0" xfId="5" applyNumberFormat="1" applyFont="1" applyFill="1" applyAlignment="1">
      <alignment horizontal="right"/>
    </xf>
    <xf numFmtId="0" fontId="31" fillId="0" borderId="0" xfId="0" applyFont="1"/>
    <xf numFmtId="44" fontId="31" fillId="0" borderId="10" xfId="2" applyFont="1" applyBorder="1"/>
    <xf numFmtId="44" fontId="5" fillId="0" borderId="0" xfId="6" applyFont="1" applyAlignment="1">
      <alignment horizontal="center"/>
    </xf>
    <xf numFmtId="0" fontId="33" fillId="13" borderId="9" xfId="0" applyFont="1" applyFill="1" applyBorder="1"/>
    <xf numFmtId="0" fontId="33" fillId="13" borderId="0" xfId="0" applyFont="1" applyFill="1" applyAlignment="1">
      <alignment horizontal="center"/>
    </xf>
    <xf numFmtId="44" fontId="33" fillId="13" borderId="0" xfId="6" applyFont="1" applyFill="1" applyBorder="1" applyAlignment="1">
      <alignment horizontal="center"/>
    </xf>
    <xf numFmtId="0" fontId="33" fillId="13" borderId="10" xfId="0" applyFont="1" applyFill="1" applyBorder="1"/>
    <xf numFmtId="44" fontId="5" fillId="0" borderId="0" xfId="6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4" fontId="5" fillId="0" borderId="7" xfId="6" applyFont="1" applyBorder="1" applyAlignment="1">
      <alignment horizontal="center"/>
    </xf>
    <xf numFmtId="0" fontId="34" fillId="13" borderId="9" xfId="0" applyFont="1" applyFill="1" applyBorder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4" fillId="13" borderId="10" xfId="0" applyFont="1" applyFill="1" applyBorder="1" applyAlignment="1">
      <alignment horizontal="center" vertical="center"/>
    </xf>
    <xf numFmtId="44" fontId="6" fillId="0" borderId="0" xfId="6" applyFont="1" applyAlignment="1">
      <alignment horizontal="center"/>
    </xf>
    <xf numFmtId="44" fontId="6" fillId="0" borderId="0" xfId="6" applyFont="1" applyBorder="1" applyAlignment="1">
      <alignment horizontal="center"/>
    </xf>
    <xf numFmtId="0" fontId="6" fillId="0" borderId="10" xfId="0" applyFont="1" applyBorder="1"/>
    <xf numFmtId="0" fontId="33" fillId="13" borderId="0" xfId="0" applyFont="1" applyFill="1"/>
    <xf numFmtId="0" fontId="5" fillId="0" borderId="7" xfId="0" applyFont="1" applyBorder="1" applyAlignment="1">
      <alignment horizontal="left"/>
    </xf>
    <xf numFmtId="0" fontId="0" fillId="8" borderId="0" xfId="0" applyFill="1" applyAlignment="1">
      <alignment horizontal="center"/>
    </xf>
    <xf numFmtId="14" fontId="26" fillId="8" borderId="0" xfId="0" applyNumberFormat="1" applyFont="1" applyFill="1" applyAlignment="1">
      <alignment horizontal="center"/>
    </xf>
    <xf numFmtId="165" fontId="2" fillId="8" borderId="0" xfId="1" applyNumberFormat="1" applyFont="1" applyFill="1" applyAlignment="1">
      <alignment horizontal="right"/>
    </xf>
    <xf numFmtId="4" fontId="2" fillId="8" borderId="0" xfId="0" applyNumberFormat="1" applyFont="1" applyFill="1" applyAlignment="1">
      <alignment horizontal="right"/>
    </xf>
    <xf numFmtId="165" fontId="31" fillId="8" borderId="0" xfId="1" applyNumberFormat="1" applyFont="1" applyFill="1" applyAlignment="1">
      <alignment horizontal="right"/>
    </xf>
    <xf numFmtId="165" fontId="31" fillId="0" borderId="0" xfId="1" applyNumberFormat="1" applyFont="1" applyFill="1" applyAlignment="1">
      <alignment horizontal="right"/>
    </xf>
    <xf numFmtId="165" fontId="35" fillId="0" borderId="0" xfId="1" applyNumberFormat="1" applyFont="1" applyFill="1" applyAlignment="1">
      <alignment horizontal="right"/>
    </xf>
    <xf numFmtId="0" fontId="8" fillId="8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14" fontId="26" fillId="5" borderId="0" xfId="0" applyNumberFormat="1" applyFont="1" applyFill="1" applyAlignment="1">
      <alignment horizontal="center"/>
    </xf>
    <xf numFmtId="4" fontId="2" fillId="5" borderId="0" xfId="0" applyNumberFormat="1" applyFont="1" applyFill="1" applyAlignment="1">
      <alignment horizontal="right"/>
    </xf>
    <xf numFmtId="165" fontId="2" fillId="5" borderId="0" xfId="1" applyNumberFormat="1" applyFont="1" applyFill="1" applyAlignment="1">
      <alignment horizontal="right"/>
    </xf>
    <xf numFmtId="0" fontId="9" fillId="5" borderId="0" xfId="0" applyFont="1" applyFill="1"/>
    <xf numFmtId="1" fontId="5" fillId="0" borderId="0" xfId="0" applyNumberFormat="1" applyFont="1"/>
    <xf numFmtId="0" fontId="19" fillId="8" borderId="0" xfId="0" applyFont="1" applyFill="1"/>
    <xf numFmtId="0" fontId="9" fillId="5" borderId="0" xfId="0" applyFont="1" applyFill="1" applyAlignment="1">
      <alignment horizontal="center"/>
    </xf>
    <xf numFmtId="3" fontId="9" fillId="5" borderId="0" xfId="0" applyNumberFormat="1" applyFont="1" applyFill="1"/>
    <xf numFmtId="10" fontId="9" fillId="5" borderId="0" xfId="0" applyNumberFormat="1" applyFont="1" applyFill="1" applyAlignment="1">
      <alignment horizontal="right"/>
    </xf>
    <xf numFmtId="165" fontId="9" fillId="5" borderId="0" xfId="1" applyNumberFormat="1" applyFont="1" applyFill="1" applyBorder="1"/>
    <xf numFmtId="43" fontId="9" fillId="5" borderId="0" xfId="1" applyFont="1" applyFill="1"/>
    <xf numFmtId="165" fontId="9" fillId="5" borderId="0" xfId="1" applyNumberFormat="1" applyFont="1" applyFill="1"/>
    <xf numFmtId="10" fontId="9" fillId="5" borderId="0" xfId="0" applyNumberFormat="1" applyFont="1" applyFill="1"/>
    <xf numFmtId="44" fontId="9" fillId="5" borderId="0" xfId="2" applyFont="1" applyFill="1" applyBorder="1"/>
    <xf numFmtId="165" fontId="9" fillId="5" borderId="0" xfId="1" applyNumberFormat="1" applyFont="1" applyFill="1" applyAlignment="1">
      <alignment horizontal="center"/>
    </xf>
    <xf numFmtId="44" fontId="9" fillId="5" borderId="0" xfId="2" applyFont="1" applyFill="1"/>
    <xf numFmtId="165" fontId="9" fillId="5" borderId="0" xfId="1" applyNumberFormat="1" applyFont="1" applyFill="1" applyAlignment="1"/>
    <xf numFmtId="43" fontId="9" fillId="5" borderId="0" xfId="0" applyNumberFormat="1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3" fontId="5" fillId="5" borderId="0" xfId="0" applyNumberFormat="1" applyFont="1" applyFill="1" applyAlignment="1">
      <alignment horizontal="right"/>
    </xf>
    <xf numFmtId="10" fontId="5" fillId="5" borderId="0" xfId="4" applyNumberFormat="1" applyFont="1" applyFill="1"/>
    <xf numFmtId="0" fontId="8" fillId="5" borderId="13" xfId="3" applyFont="1" applyFill="1" applyBorder="1" applyAlignment="1">
      <alignment horizontal="left"/>
    </xf>
    <xf numFmtId="0" fontId="8" fillId="5" borderId="13" xfId="3" applyFont="1" applyFill="1" applyBorder="1"/>
    <xf numFmtId="0" fontId="8" fillId="5" borderId="7" xfId="3" applyFont="1" applyFill="1" applyBorder="1"/>
    <xf numFmtId="164" fontId="8" fillId="5" borderId="7" xfId="4" applyNumberFormat="1" applyFont="1" applyFill="1" applyBorder="1"/>
    <xf numFmtId="43" fontId="9" fillId="5" borderId="0" xfId="2" applyNumberFormat="1" applyFont="1" applyFill="1"/>
    <xf numFmtId="0" fontId="27" fillId="5" borderId="0" xfId="0" applyFont="1" applyFill="1"/>
    <xf numFmtId="0" fontId="36" fillId="0" borderId="0" xfId="0" applyFont="1"/>
    <xf numFmtId="0" fontId="30" fillId="8" borderId="0" xfId="0" applyFont="1" applyFill="1"/>
    <xf numFmtId="0" fontId="19" fillId="5" borderId="0" xfId="0" applyFont="1" applyFill="1"/>
    <xf numFmtId="0" fontId="37" fillId="3" borderId="0" xfId="0" applyFont="1" applyFill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5" fillId="8" borderId="0" xfId="0" applyFont="1" applyFill="1" applyAlignment="1">
      <alignment horizontal="left"/>
    </xf>
    <xf numFmtId="165" fontId="39" fillId="0" borderId="0" xfId="1" applyNumberFormat="1" applyFont="1" applyFill="1" applyAlignment="1">
      <alignment horizontal="right"/>
    </xf>
    <xf numFmtId="0" fontId="5" fillId="0" borderId="0" xfId="0" applyFont="1" applyAlignment="1">
      <alignment wrapText="1"/>
    </xf>
    <xf numFmtId="168" fontId="9" fillId="8" borderId="0" xfId="0" applyNumberFormat="1" applyFont="1" applyFill="1"/>
    <xf numFmtId="0" fontId="6" fillId="8" borderId="0" xfId="0" applyFont="1" applyFill="1"/>
    <xf numFmtId="0" fontId="27" fillId="4" borderId="15" xfId="0" applyFont="1" applyFill="1" applyBorder="1" applyAlignment="1">
      <alignment horizontal="center" wrapText="1"/>
    </xf>
    <xf numFmtId="0" fontId="27" fillId="4" borderId="15" xfId="0" applyFont="1" applyFill="1" applyBorder="1" applyAlignment="1">
      <alignment horizontal="center"/>
    </xf>
    <xf numFmtId="165" fontId="6" fillId="9" borderId="0" xfId="1" applyNumberFormat="1" applyFont="1" applyFill="1"/>
    <xf numFmtId="0" fontId="40" fillId="8" borderId="0" xfId="0" applyFont="1" applyFill="1"/>
    <xf numFmtId="3" fontId="27" fillId="4" borderId="7" xfId="1" quotePrefix="1" applyNumberFormat="1" applyFont="1" applyFill="1" applyBorder="1" applyAlignment="1">
      <alignment horizontal="left"/>
    </xf>
    <xf numFmtId="0" fontId="27" fillId="4" borderId="7" xfId="3" applyFont="1" applyFill="1" applyBorder="1"/>
    <xf numFmtId="3" fontId="21" fillId="0" borderId="0" xfId="0" applyNumberFormat="1" applyFont="1"/>
    <xf numFmtId="0" fontId="8" fillId="5" borderId="0" xfId="0" applyFont="1" applyFill="1"/>
    <xf numFmtId="2" fontId="5" fillId="0" borderId="0" xfId="0" applyNumberFormat="1" applyFont="1"/>
    <xf numFmtId="0" fontId="21" fillId="0" borderId="0" xfId="0" applyFont="1"/>
    <xf numFmtId="0" fontId="41" fillId="0" borderId="0" xfId="0" applyFont="1"/>
    <xf numFmtId="43" fontId="8" fillId="4" borderId="2" xfId="1" applyFont="1" applyFill="1" applyBorder="1"/>
    <xf numFmtId="43" fontId="8" fillId="4" borderId="3" xfId="1" applyFont="1" applyFill="1" applyBorder="1" applyAlignment="1">
      <alignment horizontal="center"/>
    </xf>
    <xf numFmtId="43" fontId="8" fillId="4" borderId="1" xfId="1" applyFont="1" applyFill="1" applyBorder="1"/>
    <xf numFmtId="43" fontId="9" fillId="0" borderId="0" xfId="1" applyFont="1" applyAlignment="1">
      <alignment horizontal="center"/>
    </xf>
    <xf numFmtId="43" fontId="2" fillId="8" borderId="0" xfId="1" applyFont="1" applyFill="1" applyAlignment="1">
      <alignment horizontal="right"/>
    </xf>
    <xf numFmtId="43" fontId="2" fillId="5" borderId="0" xfId="1" applyFont="1" applyFill="1" applyAlignment="1">
      <alignment horizontal="right"/>
    </xf>
    <xf numFmtId="43" fontId="9" fillId="4" borderId="13" xfId="1" applyFont="1" applyFill="1" applyBorder="1" applyAlignment="1">
      <alignment horizontal="right"/>
    </xf>
    <xf numFmtId="43" fontId="9" fillId="4" borderId="7" xfId="1" applyFont="1" applyFill="1" applyBorder="1" applyAlignment="1">
      <alignment horizontal="right"/>
    </xf>
    <xf numFmtId="43" fontId="8" fillId="0" borderId="0" xfId="1" applyFont="1"/>
    <xf numFmtId="43" fontId="27" fillId="0" borderId="0" xfId="1" applyFont="1"/>
    <xf numFmtId="43" fontId="2" fillId="0" borderId="0" xfId="1" applyFont="1" applyFill="1" applyAlignment="1">
      <alignment horizontal="right"/>
    </xf>
    <xf numFmtId="43" fontId="1" fillId="0" borderId="0" xfId="1" applyFont="1" applyFill="1" applyAlignment="1">
      <alignment horizontal="right"/>
    </xf>
    <xf numFmtId="43" fontId="1" fillId="5" borderId="0" xfId="1" applyFont="1" applyFill="1" applyAlignment="1">
      <alignment horizontal="right"/>
    </xf>
    <xf numFmtId="43" fontId="9" fillId="4" borderId="0" xfId="1" applyFont="1" applyFill="1" applyBorder="1" applyAlignment="1">
      <alignment horizontal="right"/>
    </xf>
    <xf numFmtId="165" fontId="31" fillId="5" borderId="0" xfId="1" applyNumberFormat="1" applyFont="1" applyFill="1" applyAlignment="1">
      <alignment horizontal="right"/>
    </xf>
    <xf numFmtId="41" fontId="30" fillId="0" borderId="0" xfId="0" applyNumberFormat="1" applyFont="1" applyAlignment="1">
      <alignment horizontal="right"/>
    </xf>
    <xf numFmtId="43" fontId="8" fillId="0" borderId="0" xfId="0" applyNumberFormat="1" applyFont="1"/>
    <xf numFmtId="43" fontId="5" fillId="0" borderId="0" xfId="1" applyFont="1" applyFill="1" applyAlignment="1">
      <alignment horizontal="right"/>
    </xf>
    <xf numFmtId="43" fontId="9" fillId="0" borderId="0" xfId="1" applyFont="1" applyFill="1" applyAlignment="1">
      <alignment horizontal="right"/>
    </xf>
    <xf numFmtId="0" fontId="0" fillId="0" borderId="0" xfId="0" pivotButton="1"/>
    <xf numFmtId="165" fontId="42" fillId="0" borderId="0" xfId="1" applyNumberFormat="1" applyFont="1" applyFill="1" applyAlignment="1">
      <alignment horizontal="right"/>
    </xf>
    <xf numFmtId="0" fontId="44" fillId="0" borderId="0" xfId="8" applyFont="1"/>
    <xf numFmtId="0" fontId="44" fillId="11" borderId="0" xfId="8" applyFont="1" applyFill="1" applyAlignment="1">
      <alignment vertical="center"/>
    </xf>
    <xf numFmtId="0" fontId="45" fillId="0" borderId="0" xfId="8" applyFont="1" applyAlignment="1">
      <alignment horizontal="center" vertical="center"/>
    </xf>
    <xf numFmtId="0" fontId="44" fillId="0" borderId="0" xfId="8" applyFont="1" applyAlignment="1">
      <alignment vertical="center"/>
    </xf>
    <xf numFmtId="43" fontId="44" fillId="0" borderId="0" xfId="1" applyFont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43" fontId="44" fillId="0" borderId="0" xfId="8" applyNumberFormat="1" applyFont="1" applyAlignment="1">
      <alignment vertical="center"/>
    </xf>
    <xf numFmtId="43" fontId="44" fillId="0" borderId="0" xfId="8" applyNumberFormat="1" applyFont="1" applyAlignment="1">
      <alignment horizontal="right" vertical="center"/>
    </xf>
    <xf numFmtId="4" fontId="44" fillId="0" borderId="0" xfId="8" applyNumberFormat="1" applyFont="1" applyAlignment="1">
      <alignment horizontal="right" vertical="center"/>
    </xf>
    <xf numFmtId="4" fontId="44" fillId="0" borderId="0" xfId="0" applyNumberFormat="1" applyFont="1" applyAlignment="1">
      <alignment vertical="center"/>
    </xf>
    <xf numFmtId="0" fontId="44" fillId="0" borderId="0" xfId="8" applyFont="1" applyAlignment="1">
      <alignment vertical="center" wrapText="1"/>
    </xf>
    <xf numFmtId="4" fontId="44" fillId="0" borderId="0" xfId="8" applyNumberFormat="1" applyFont="1" applyAlignment="1">
      <alignment vertical="center"/>
    </xf>
    <xf numFmtId="0" fontId="44" fillId="0" borderId="0" xfId="8" applyFont="1" applyAlignment="1">
      <alignment horizontal="left" vertical="center" wrapText="1"/>
    </xf>
    <xf numFmtId="43" fontId="45" fillId="0" borderId="0" xfId="1" applyFont="1" applyFill="1" applyAlignment="1">
      <alignment vertical="center"/>
    </xf>
    <xf numFmtId="43" fontId="44" fillId="0" borderId="0" xfId="1" applyFont="1" applyFill="1" applyAlignment="1">
      <alignment horizontal="right" vertical="center"/>
    </xf>
    <xf numFmtId="0" fontId="44" fillId="0" borderId="0" xfId="0" applyFont="1" applyAlignment="1">
      <alignment vertical="center" wrapText="1"/>
    </xf>
    <xf numFmtId="43" fontId="44" fillId="0" borderId="0" xfId="1" applyFont="1" applyFill="1" applyAlignment="1">
      <alignment vertical="center" wrapText="1"/>
    </xf>
    <xf numFmtId="8" fontId="44" fillId="0" borderId="0" xfId="1" applyNumberFormat="1" applyFont="1" applyFill="1" applyAlignment="1">
      <alignment horizontal="right" vertical="center" wrapText="1"/>
    </xf>
    <xf numFmtId="8" fontId="44" fillId="0" borderId="0" xfId="8" applyNumberFormat="1" applyFont="1" applyAlignment="1">
      <alignment vertical="center"/>
    </xf>
    <xf numFmtId="8" fontId="44" fillId="0" borderId="0" xfId="1" applyNumberFormat="1" applyFont="1" applyFill="1" applyAlignment="1">
      <alignment horizontal="right" vertical="center"/>
    </xf>
    <xf numFmtId="40" fontId="44" fillId="0" borderId="0" xfId="8" applyNumberFormat="1" applyFont="1" applyAlignment="1">
      <alignment horizontal="left" vertical="center" wrapText="1"/>
    </xf>
    <xf numFmtId="4" fontId="44" fillId="0" borderId="0" xfId="0" applyNumberFormat="1" applyFont="1"/>
    <xf numFmtId="43" fontId="46" fillId="0" borderId="0" xfId="1" applyFont="1" applyFill="1" applyAlignment="1">
      <alignment vertical="center" wrapText="1"/>
    </xf>
    <xf numFmtId="8" fontId="44" fillId="0" borderId="0" xfId="8" applyNumberFormat="1" applyFont="1" applyAlignment="1">
      <alignment vertical="center" wrapText="1"/>
    </xf>
    <xf numFmtId="4" fontId="44" fillId="0" borderId="0" xfId="0" applyNumberFormat="1" applyFont="1" applyAlignment="1">
      <alignment horizontal="left" vertical="center" wrapText="1"/>
    </xf>
    <xf numFmtId="0" fontId="44" fillId="0" borderId="0" xfId="0" applyFont="1" applyAlignment="1">
      <alignment horizontal="left" wrapText="1"/>
    </xf>
    <xf numFmtId="43" fontId="44" fillId="0" borderId="0" xfId="8" applyNumberFormat="1" applyFont="1" applyAlignment="1">
      <alignment vertical="center" wrapText="1"/>
    </xf>
    <xf numFmtId="4" fontId="44" fillId="0" borderId="0" xfId="0" applyNumberFormat="1" applyFont="1" applyAlignment="1">
      <alignment vertical="center" wrapText="1"/>
    </xf>
    <xf numFmtId="40" fontId="44" fillId="0" borderId="0" xfId="8" applyNumberFormat="1" applyFont="1" applyAlignment="1">
      <alignment vertical="center"/>
    </xf>
    <xf numFmtId="2" fontId="44" fillId="0" borderId="0" xfId="8" applyNumberFormat="1" applyFont="1" applyAlignment="1">
      <alignment horizontal="left" vertical="center" wrapText="1"/>
    </xf>
    <xf numFmtId="0" fontId="44" fillId="0" borderId="0" xfId="0" applyFont="1" applyAlignment="1">
      <alignment horizontal="left"/>
    </xf>
    <xf numFmtId="0" fontId="44" fillId="0" borderId="0" xfId="8" applyFont="1" applyAlignment="1">
      <alignment horizontal="left" vertical="center"/>
    </xf>
    <xf numFmtId="4" fontId="44" fillId="0" borderId="0" xfId="0" applyNumberFormat="1" applyFont="1" applyAlignment="1">
      <alignment horizontal="left" vertical="center"/>
    </xf>
    <xf numFmtId="40" fontId="44" fillId="0" borderId="0" xfId="8" applyNumberFormat="1" applyFont="1" applyAlignment="1">
      <alignment vertical="center" wrapText="1"/>
    </xf>
    <xf numFmtId="0" fontId="48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43" fontId="44" fillId="0" borderId="0" xfId="1" applyFont="1" applyAlignment="1">
      <alignment vertical="center"/>
    </xf>
    <xf numFmtId="43" fontId="45" fillId="0" borderId="0" xfId="1" applyFont="1" applyAlignment="1">
      <alignment horizontal="right" vertical="center"/>
    </xf>
    <xf numFmtId="0" fontId="44" fillId="0" borderId="0" xfId="8" applyFont="1" applyAlignment="1">
      <alignment horizontal="left"/>
    </xf>
    <xf numFmtId="165" fontId="44" fillId="0" borderId="0" xfId="8" applyNumberFormat="1" applyFont="1" applyAlignment="1">
      <alignment horizontal="right" vertical="center"/>
    </xf>
    <xf numFmtId="43" fontId="45" fillId="0" borderId="0" xfId="1" applyFont="1" applyFill="1" applyAlignment="1">
      <alignment horizontal="right" vertical="center"/>
    </xf>
    <xf numFmtId="165" fontId="44" fillId="0" borderId="16" xfId="8" applyNumberFormat="1" applyFont="1" applyBorder="1"/>
    <xf numFmtId="165" fontId="44" fillId="0" borderId="0" xfId="8" applyNumberFormat="1" applyFont="1"/>
    <xf numFmtId="43" fontId="44" fillId="0" borderId="0" xfId="8" applyNumberFormat="1" applyFont="1"/>
    <xf numFmtId="43" fontId="44" fillId="0" borderId="16" xfId="8" applyNumberFormat="1" applyFont="1" applyBorder="1"/>
    <xf numFmtId="0" fontId="45" fillId="0" borderId="16" xfId="8" applyFont="1" applyBorder="1" applyAlignment="1">
      <alignment horizontal="right"/>
    </xf>
    <xf numFmtId="4" fontId="44" fillId="0" borderId="0" xfId="8" applyNumberFormat="1" applyFont="1"/>
    <xf numFmtId="43" fontId="45" fillId="0" borderId="0" xfId="1" applyFont="1"/>
    <xf numFmtId="43" fontId="44" fillId="0" borderId="0" xfId="1" applyFont="1"/>
    <xf numFmtId="0" fontId="45" fillId="0" borderId="0" xfId="8" applyFont="1" applyAlignment="1">
      <alignment horizontal="right"/>
    </xf>
    <xf numFmtId="43" fontId="45" fillId="0" borderId="0" xfId="1" applyFont="1" applyAlignment="1">
      <alignment vertical="center"/>
    </xf>
    <xf numFmtId="43" fontId="44" fillId="0" borderId="0" xfId="1" applyFont="1" applyFill="1" applyAlignment="1">
      <alignment vertical="center"/>
    </xf>
    <xf numFmtId="43" fontId="0" fillId="0" borderId="0" xfId="1" applyFont="1"/>
    <xf numFmtId="4" fontId="44" fillId="0" borderId="0" xfId="8" applyNumberFormat="1" applyFont="1" applyAlignment="1">
      <alignment vertical="center" wrapText="1"/>
    </xf>
    <xf numFmtId="8" fontId="47" fillId="0" borderId="0" xfId="8" applyNumberFormat="1" applyFont="1" applyAlignment="1">
      <alignment vertical="center" wrapText="1"/>
    </xf>
    <xf numFmtId="0" fontId="47" fillId="0" borderId="0" xfId="0" applyFont="1" applyAlignment="1">
      <alignment horizontal="left" vertical="center" wrapText="1"/>
    </xf>
    <xf numFmtId="0" fontId="47" fillId="0" borderId="0" xfId="8" applyFont="1" applyAlignment="1">
      <alignment vertical="center" wrapText="1"/>
    </xf>
    <xf numFmtId="0" fontId="47" fillId="0" borderId="0" xfId="8" applyFont="1" applyAlignment="1">
      <alignment vertical="center"/>
    </xf>
    <xf numFmtId="43" fontId="47" fillId="0" borderId="0" xfId="8" applyNumberFormat="1" applyFont="1" applyAlignment="1">
      <alignment vertical="center"/>
    </xf>
    <xf numFmtId="43" fontId="47" fillId="0" borderId="0" xfId="1" applyFont="1" applyFill="1" applyAlignment="1">
      <alignment horizontal="right" vertical="center"/>
    </xf>
    <xf numFmtId="0" fontId="47" fillId="0" borderId="0" xfId="8" applyFont="1" applyAlignment="1">
      <alignment horizontal="left" vertical="center" wrapText="1"/>
    </xf>
    <xf numFmtId="4" fontId="47" fillId="0" borderId="0" xfId="0" applyNumberFormat="1" applyFont="1" applyAlignment="1">
      <alignment vertical="center"/>
    </xf>
    <xf numFmtId="0" fontId="47" fillId="0" borderId="0" xfId="0" applyFont="1" applyAlignment="1">
      <alignment vertical="center" wrapText="1"/>
    </xf>
    <xf numFmtId="4" fontId="47" fillId="0" borderId="0" xfId="8" applyNumberFormat="1" applyFont="1" applyAlignment="1">
      <alignment vertical="center"/>
    </xf>
    <xf numFmtId="43" fontId="47" fillId="0" borderId="0" xfId="1" applyFont="1" applyFill="1" applyAlignment="1">
      <alignment vertical="center" wrapText="1"/>
    </xf>
    <xf numFmtId="43" fontId="31" fillId="0" borderId="0" xfId="1" applyFont="1"/>
    <xf numFmtId="0" fontId="45" fillId="0" borderId="0" xfId="8" applyFont="1" applyAlignment="1">
      <alignment horizontal="center"/>
    </xf>
    <xf numFmtId="0" fontId="45" fillId="5" borderId="0" xfId="8" applyFont="1" applyFill="1" applyAlignment="1">
      <alignment horizontal="center"/>
    </xf>
    <xf numFmtId="40" fontId="47" fillId="0" borderId="0" xfId="8" applyNumberFormat="1" applyFont="1" applyAlignment="1">
      <alignment vertical="center"/>
    </xf>
    <xf numFmtId="43" fontId="35" fillId="0" borderId="0" xfId="1" applyFont="1"/>
    <xf numFmtId="0" fontId="45" fillId="0" borderId="16" xfId="8" applyFont="1" applyBorder="1" applyAlignment="1">
      <alignment vertical="center"/>
    </xf>
    <xf numFmtId="170" fontId="45" fillId="0" borderId="16" xfId="8" applyNumberFormat="1" applyFont="1" applyBorder="1"/>
    <xf numFmtId="43" fontId="45" fillId="0" borderId="16" xfId="1" applyFont="1" applyBorder="1"/>
    <xf numFmtId="165" fontId="45" fillId="0" borderId="16" xfId="8" applyNumberFormat="1" applyFont="1" applyBorder="1"/>
    <xf numFmtId="43" fontId="45" fillId="0" borderId="16" xfId="8" applyNumberFormat="1" applyFont="1" applyBorder="1"/>
    <xf numFmtId="0" fontId="46" fillId="0" borderId="0" xfId="8" applyFont="1" applyAlignment="1">
      <alignment vertical="center"/>
    </xf>
    <xf numFmtId="43" fontId="46" fillId="0" borderId="0" xfId="1" applyFont="1" applyAlignment="1">
      <alignment horizontal="right" vertical="center"/>
    </xf>
    <xf numFmtId="43" fontId="46" fillId="0" borderId="0" xfId="1" applyFont="1" applyFill="1" applyAlignment="1">
      <alignment horizontal="right" vertical="center"/>
    </xf>
    <xf numFmtId="0" fontId="46" fillId="0" borderId="0" xfId="8" applyFont="1" applyAlignment="1">
      <alignment horizontal="left" vertical="center" wrapText="1"/>
    </xf>
    <xf numFmtId="43" fontId="46" fillId="0" borderId="0" xfId="8" applyNumberFormat="1" applyFont="1" applyAlignment="1">
      <alignment vertical="center"/>
    </xf>
    <xf numFmtId="43" fontId="46" fillId="0" borderId="0" xfId="8" applyNumberFormat="1" applyFont="1" applyAlignment="1">
      <alignment horizontal="right" vertical="center"/>
    </xf>
    <xf numFmtId="4" fontId="46" fillId="0" borderId="0" xfId="8" applyNumberFormat="1" applyFont="1" applyAlignment="1">
      <alignment horizontal="right" vertical="center"/>
    </xf>
    <xf numFmtId="43" fontId="46" fillId="0" borderId="0" xfId="1" applyFont="1" applyAlignment="1">
      <alignment wrapText="1"/>
    </xf>
    <xf numFmtId="4" fontId="46" fillId="0" borderId="0" xfId="0" applyNumberFormat="1" applyFont="1" applyAlignment="1">
      <alignment vertical="center"/>
    </xf>
    <xf numFmtId="0" fontId="46" fillId="0" borderId="0" xfId="8" applyFont="1" applyAlignment="1">
      <alignment vertical="center" wrapText="1"/>
    </xf>
    <xf numFmtId="4" fontId="46" fillId="0" borderId="0" xfId="8" applyNumberFormat="1" applyFont="1" applyAlignment="1">
      <alignment vertical="center"/>
    </xf>
    <xf numFmtId="43" fontId="46" fillId="0" borderId="0" xfId="1" applyFont="1" applyFill="1" applyAlignment="1">
      <alignment vertical="center"/>
    </xf>
    <xf numFmtId="40" fontId="46" fillId="0" borderId="0" xfId="8" applyNumberFormat="1" applyFont="1" applyAlignment="1">
      <alignment vertical="center"/>
    </xf>
    <xf numFmtId="0" fontId="45" fillId="5" borderId="0" xfId="8" applyFont="1" applyFill="1" applyAlignment="1">
      <alignment horizontal="center"/>
    </xf>
    <xf numFmtId="0" fontId="43" fillId="14" borderId="0" xfId="8" applyFont="1" applyFill="1" applyAlignment="1">
      <alignment horizontal="center"/>
    </xf>
    <xf numFmtId="1" fontId="43" fillId="14" borderId="0" xfId="8" applyNumberFormat="1" applyFont="1" applyFill="1" applyAlignment="1">
      <alignment horizontal="center"/>
    </xf>
    <xf numFmtId="0" fontId="45" fillId="11" borderId="0" xfId="8" applyFont="1" applyFill="1" applyAlignment="1">
      <alignment horizontal="center" vertical="top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8" borderId="0" xfId="0" applyFont="1" applyFill="1" applyAlignment="1">
      <alignment horizontal="center" wrapText="1"/>
    </xf>
    <xf numFmtId="0" fontId="5" fillId="8" borderId="7" xfId="0" applyFont="1" applyFill="1" applyBorder="1" applyAlignment="1">
      <alignment horizontal="center" wrapText="1"/>
    </xf>
    <xf numFmtId="0" fontId="6" fillId="0" borderId="4" xfId="0" applyFont="1" applyBorder="1"/>
    <xf numFmtId="0" fontId="5" fillId="0" borderId="6" xfId="0" applyFont="1" applyBorder="1"/>
    <xf numFmtId="0" fontId="5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44" fontId="5" fillId="0" borderId="7" xfId="6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44" fontId="5" fillId="0" borderId="0" xfId="6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2" fillId="12" borderId="12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14" xfId="0" applyFont="1" applyFill="1" applyBorder="1" applyAlignment="1">
      <alignment horizontal="center" vertical="center"/>
    </xf>
    <xf numFmtId="0" fontId="32" fillId="12" borderId="9" xfId="0" applyFont="1" applyFill="1" applyBorder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32" fillId="12" borderId="10" xfId="0" applyFont="1" applyFill="1" applyBorder="1" applyAlignment="1">
      <alignment horizontal="center" vertical="center"/>
    </xf>
    <xf numFmtId="44" fontId="33" fillId="13" borderId="0" xfId="6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3" fillId="13" borderId="0" xfId="0" applyFont="1" applyFill="1" applyAlignment="1">
      <alignment horizontal="left"/>
    </xf>
    <xf numFmtId="0" fontId="33" fillId="13" borderId="10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24" fillId="11" borderId="0" xfId="0" applyFont="1" applyFill="1" applyAlignment="1">
      <alignment horizontal="center"/>
    </xf>
    <xf numFmtId="0" fontId="8" fillId="0" borderId="9" xfId="3" applyFont="1" applyBorder="1" applyAlignment="1">
      <alignment horizontal="center"/>
    </xf>
    <xf numFmtId="0" fontId="8" fillId="0" borderId="0" xfId="3" applyFont="1" applyAlignment="1">
      <alignment horizontal="center"/>
    </xf>
    <xf numFmtId="0" fontId="8" fillId="0" borderId="10" xfId="3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9">
    <cellStyle name="Comma" xfId="1" builtinId="3"/>
    <cellStyle name="Comma 2" xfId="5" xr:uid="{7FA66394-19CB-4C02-8DC6-C47BD1CA3BF7}"/>
    <cellStyle name="Currency" xfId="2" builtinId="4"/>
    <cellStyle name="Currency 2" xfId="6" xr:uid="{2151FB5E-CB52-4184-9CD5-C8AFDC334D60}"/>
    <cellStyle name="Normal" xfId="0" builtinId="0"/>
    <cellStyle name="Normal 2" xfId="8" xr:uid="{50559583-32CA-4EEB-87AC-33D8A63791D0}"/>
    <cellStyle name="Normal_RBP '97 Smith's conversion" xfId="3" xr:uid="{00000000-0005-0000-0000-000004000000}"/>
    <cellStyle name="Percent" xfId="4" builtinId="5"/>
    <cellStyle name="Percent 2" xfId="7" xr:uid="{EEE5844A-77E2-4366-AE93-2A8240C29B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</xdr:colOff>
      <xdr:row>0</xdr:row>
      <xdr:rowOff>0</xdr:rowOff>
    </xdr:from>
    <xdr:ext cx="581025" cy="595313"/>
    <xdr:pic>
      <xdr:nvPicPr>
        <xdr:cNvPr id="2" name="Picture 1">
          <a:extLst>
            <a:ext uri="{FF2B5EF4-FFF2-40B4-BE49-F238E27FC236}">
              <a16:creationId xmlns:a16="http://schemas.microsoft.com/office/drawing/2014/main" id="{B451CC96-BAA5-4B53-B0FE-DB9569B26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" y="0"/>
          <a:ext cx="581025" cy="595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38</xdr:col>
      <xdr:colOff>0</xdr:colOff>
      <xdr:row>32</xdr:row>
      <xdr:rowOff>0</xdr:rowOff>
    </xdr:from>
    <xdr:to>
      <xdr:col>64</xdr:col>
      <xdr:colOff>1070428</xdr:colOff>
      <xdr:row>62</xdr:row>
      <xdr:rowOff>115015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D25C9A-6843-10B8-03B7-47A39EEF5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6357" y="14414500"/>
          <a:ext cx="10377714" cy="5013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221117</xdr:colOff>
      <xdr:row>1</xdr:row>
      <xdr:rowOff>146277</xdr:rowOff>
    </xdr:from>
    <xdr:to>
      <xdr:col>1</xdr:col>
      <xdr:colOff>1849250</xdr:colOff>
      <xdr:row>5</xdr:row>
      <xdr:rowOff>109462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84E57-1955-4461-BAB0-166A647C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117" y="307862"/>
          <a:ext cx="2419048" cy="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95250</xdr:rowOff>
    </xdr:from>
    <xdr:to>
      <xdr:col>1</xdr:col>
      <xdr:colOff>1143000</xdr:colOff>
      <xdr:row>6</xdr:row>
      <xdr:rowOff>33338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95250"/>
          <a:ext cx="1095375" cy="909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114300</xdr:rowOff>
    </xdr:from>
    <xdr:to>
      <xdr:col>0</xdr:col>
      <xdr:colOff>2657173</xdr:colOff>
      <xdr:row>5</xdr:row>
      <xdr:rowOff>76124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6F137-0589-46C9-99E9-9EBCA58FB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04800"/>
          <a:ext cx="2419048" cy="6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114300</xdr:rowOff>
    </xdr:from>
    <xdr:to>
      <xdr:col>0</xdr:col>
      <xdr:colOff>2657173</xdr:colOff>
      <xdr:row>5</xdr:row>
      <xdr:rowOff>76124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2DE1C-ACEC-41E5-B4C3-1EBD40C6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04800"/>
          <a:ext cx="2419048" cy="609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114300</xdr:rowOff>
    </xdr:from>
    <xdr:to>
      <xdr:col>0</xdr:col>
      <xdr:colOff>2657173</xdr:colOff>
      <xdr:row>5</xdr:row>
      <xdr:rowOff>76124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B539A-FD25-469A-BA96-26C3E090B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04800"/>
          <a:ext cx="2419048" cy="609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1</xdr:col>
      <xdr:colOff>75898</xdr:colOff>
      <xdr:row>3</xdr:row>
      <xdr:rowOff>161849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64282-1638-4DBF-85BB-BA47A43C6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6675"/>
          <a:ext cx="2419048" cy="6095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180673</xdr:colOff>
      <xdr:row>4</xdr:row>
      <xdr:rowOff>85649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792097-1D85-4F5B-B1CB-1328646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2419048" cy="6095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1</xdr:col>
      <xdr:colOff>352123</xdr:colOff>
      <xdr:row>3</xdr:row>
      <xdr:rowOff>142799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FDA10-400B-4D8F-8C7F-52DBE5D28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"/>
          <a:ext cx="2419048" cy="6095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114300</xdr:rowOff>
    </xdr:from>
    <xdr:to>
      <xdr:col>1</xdr:col>
      <xdr:colOff>94948</xdr:colOff>
      <xdr:row>4</xdr:row>
      <xdr:rowOff>47549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C01DC0-6003-4DBA-ABDD-8527225D1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14300"/>
          <a:ext cx="2419048" cy="6095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85725</xdr:rowOff>
    </xdr:from>
    <xdr:to>
      <xdr:col>1</xdr:col>
      <xdr:colOff>352123</xdr:colOff>
      <xdr:row>4</xdr:row>
      <xdr:rowOff>18974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0AF87-F17F-40AD-8E41-78841055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85725"/>
          <a:ext cx="2419048" cy="6095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142875</xdr:rowOff>
    </xdr:from>
    <xdr:to>
      <xdr:col>0</xdr:col>
      <xdr:colOff>2723848</xdr:colOff>
      <xdr:row>3</xdr:row>
      <xdr:rowOff>180899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C0E021-519C-476D-B4C2-50EB7C49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42875"/>
          <a:ext cx="2419048" cy="6095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180975</xdr:rowOff>
    </xdr:from>
    <xdr:to>
      <xdr:col>1</xdr:col>
      <xdr:colOff>275923</xdr:colOff>
      <xdr:row>4</xdr:row>
      <xdr:rowOff>114224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C73DA-A673-48B7-91C2-E9DCC6648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80975"/>
          <a:ext cx="2419048" cy="60952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1</xdr:col>
      <xdr:colOff>75898</xdr:colOff>
      <xdr:row>3</xdr:row>
      <xdr:rowOff>161849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DA2A2-4009-4736-878D-3D145892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6675"/>
          <a:ext cx="2419048" cy="6095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133350</xdr:rowOff>
    </xdr:from>
    <xdr:to>
      <xdr:col>0</xdr:col>
      <xdr:colOff>2685748</xdr:colOff>
      <xdr:row>4</xdr:row>
      <xdr:rowOff>66599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415173-375A-431B-9299-B79BAA5A7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33350"/>
          <a:ext cx="2419048" cy="6095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11</xdr:row>
      <xdr:rowOff>104775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147108</xdr:colOff>
      <xdr:row>1</xdr:row>
      <xdr:rowOff>44451</xdr:rowOff>
    </xdr:from>
    <xdr:to>
      <xdr:col>3</xdr:col>
      <xdr:colOff>1857375</xdr:colOff>
      <xdr:row>4</xdr:row>
      <xdr:rowOff>82551</xdr:rowOff>
    </xdr:to>
    <xdr:pic>
      <xdr:nvPicPr>
        <xdr:cNvPr id="3" name="Picture 2" descr="https://attachment.outlook.office.net/owa/HLeonhard@athena-pm.com/service.svc/s/GetFileAttachment?id=AAMkADJiYWRiMzllLTQ1NDgtNDY2MS04YzFlLWY5ZWViNDRjOWRmMwBGAAAAAADkdFsDpSLCT7wbRQFeuoAVBwC9oHtQ06IMSagj9lGRYCABAAAAAAEMAAC9oHtQ06IMSagj9lGRYCABAAEdIB5BAAABEgAQAEQEVw%2B5UFtHrj6FBeT3%2BjM%3D&amp;X-OWA-CANARY=xqeg8xyYSEiVC618t4w9l7CZCRBPVtYY77KTu6fnoDzHyh0Nx4I6WiezrvDmVu_6ljYrPfW4xRQ.&amp;token=eyJhbGciOiJSUzI1NiIsImtpZCI6IjA2MDBGOUY2NzQ2MjA3MzdFNzM0MDRFMjg3QzQ1QTgxOENCN0NFQjgiLCJ4NXQiOiJCZ0Q1OW5SaUJ6Zm5OQVRpaDhSYWdZeTN6cmciLCJ0eXAiOiJKV1QifQ.eyJ2ZXIiOiJFeGNoYW5nZS5DYWxsYmFjay5WMSIsImFwcGN0eHNlbmRlciI6Ik93YURvd25sb2FkQDQxY2ZlZGY2LTI1MjktNDhmMS04ZDdlLTA2ZmE5Zjk3MzA5NSIsImFwcGN0eCI6IntcIm1zZXhjaHByb3RcIjpcIm93YVwiLFwicHJpbWFyeXNpZFwiOlwiUy0xLTUtMjEtMjEzNjUxNjE0OS01ODk0NDI5Mi00Nzg1NDgwNTItNzQwMjU2XCIsXCJwdWlkXCI6XCIxMTUzOTA2NjYxMTk5MTQ2NjM0XCIsXCJvaWRcIjpcImZmMjljMjM2LTMwMzItNDI3ZC1hZWIzLWQyZmE4YThiMGYwNVwiLFwic2NvcGVcIjpcIk93YURvd25sb2FkXCJ9IiwibmJmIjoxNTQzNTMyNjU5LCJleHAiOjE1NDM1MzMyNTksImlzcyI6IjAwMDAwMDAyLTAwMDAtMGZmMS1jZTAwLTAwMDAwMDAwMDAwMEA0MWNmZWRmNi0yNTI5LTQ4ZjEtOGQ3ZS0wNmZhOWY5NzMwOTUiLCJhdWQiOiIwMDAwMDAwMi0wMDAwLTBmZjEtY2UwMC0wMDAwMDAwMDAwMDAvYXR0YWNobWVudC5vdXRsb29rLm9mZmljZS5uZXRANDFjZmVkZjYtMjUyOS00OGYxLThkN2UtMDZmYTlmOTczMDk1In0.MNllFvbjRuA0tIhiULg4R33yFNcVwExX1Zgpmbi1sW_eZr2Pmoyh4nib0ZtxTbimvB-ZoH1eu3vrIs70dnA39f-lbW8EleMh10HuJU31Wv4nEXlQOkW85gfNaBNG3jIwR2LB8BWJrnO_s4b3-vfit0SyB2pZCuUaxssK9Fy9-L4G62K-b1MriNnKBnxVP8XDl0leTknTEWNA69Xk8W4i2Ymv7jEKdTDbJfvPGY7ytOIOwDDWaEbAKV_bpQSqIKGfoPR_Rz4ky1A-3zA-aYbjh87z0MQOtlR07D7PxbXNkiWvuov3k6mU6rTKiG9YM32lTdPwxnR-nWi6ycy3gJfzag&amp;owa=outlook.office.com&amp;isImagePreview=True">
          <a:extLst>
            <a:ext uri="{FF2B5EF4-FFF2-40B4-BE49-F238E27FC236}">
              <a16:creationId xmlns:a16="http://schemas.microsoft.com/office/drawing/2014/main" id="{B69AC869-986F-47CB-9AED-4ACFCBA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08" y="213784"/>
          <a:ext cx="24193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147205</xdr:colOff>
      <xdr:row>1</xdr:row>
      <xdr:rowOff>8660</xdr:rowOff>
    </xdr:from>
    <xdr:to>
      <xdr:col>1</xdr:col>
      <xdr:colOff>581589</xdr:colOff>
      <xdr:row>4</xdr:row>
      <xdr:rowOff>114225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C5BCC-136E-47A0-B3DD-F1D90E476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5" y="173183"/>
          <a:ext cx="2419048" cy="6095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imberly Low" id="{DF44F782-D7D5-496B-96EB-3C34E9F7E336}" userId="S::klow@athena-pm.com::8a82019d-de37-48cf-862e-c5694a2643d9" providerId="AD"/>
  <person displayName="Kamaraj, Sasikumar" id="{B2B80E64-8615-40B6-88B4-E4D73D58141F}" userId="S::Sasikumar.Kamaraj@nmrk.com::5b048c23-7d76-4d14-a57a-b00d89d0afa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ran, Balaji" refreshedDate="46044.858383217594" createdVersion="8" refreshedVersion="8" minRefreshableVersion="3" recordCount="155" xr:uid="{E690632F-9CE3-4AB3-929B-7E1125FC1C7F}">
  <cacheSource type="worksheet">
    <worksheetSource ref="A1:N156" sheet="DATA"/>
  </cacheSource>
  <cacheFields count="14">
    <cacheField name="TENANT" numFmtId="0">
      <sharedItems containsBlank="1" count="18">
        <s v="ISLAND LAVA JAVA "/>
        <s v="TAKA SUSHI"/>
        <s v="KANAKA KAVA"/>
        <s v="GECKO GIRLZ SHAVE ICE SHACK"/>
        <s v="BIG ISLAND RUNNING CO."/>
        <s v="CAFE KONA"/>
        <s v="LUCASIE LTD"/>
        <s v="FOSTERS KITCHEN"/>
        <s v="HUMPYS BIG ISLAND ALEHOUSE"/>
        <s v="ABC STORE #75"/>
        <s v="GYPSEA GALATO"/>
        <s v="OCEANS SPORTS BAR AND GRILL"/>
        <s v="JACKS DIVE LOCKER"/>
        <s v="QPOT"/>
        <s v="BOWLS SUPERFOODS &amp; ORALE TACOS"/>
        <s v="KONA GEAR INC."/>
        <s v="LAVERNES"/>
        <m/>
      </sharedItems>
    </cacheField>
    <cacheField name="Particular" numFmtId="0">
      <sharedItems containsBlank="1"/>
    </cacheField>
    <cacheField name="JAN" numFmtId="0">
      <sharedItems containsString="0" containsBlank="1" containsNumber="1" minValue="0" maxValue="25000"/>
    </cacheField>
    <cacheField name="FEB" numFmtId="0">
      <sharedItems containsString="0" containsBlank="1" containsNumber="1" minValue="0" maxValue="25000"/>
    </cacheField>
    <cacheField name="MARCH" numFmtId="0">
      <sharedItems containsString="0" containsBlank="1" containsNumber="1" minValue="0" maxValue="25000"/>
    </cacheField>
    <cacheField name="APRIL" numFmtId="0">
      <sharedItems containsString="0" containsBlank="1" containsNumber="1" minValue="0" maxValue="25000"/>
    </cacheField>
    <cacheField name="`" numFmtId="0">
      <sharedItems containsString="0" containsBlank="1" containsNumber="1" minValue="0" maxValue="25000"/>
    </cacheField>
    <cacheField name="JUNE" numFmtId="0">
      <sharedItems containsString="0" containsBlank="1" containsNumber="1" minValue="0" maxValue="25000"/>
    </cacheField>
    <cacheField name="JULY" numFmtId="0">
      <sharedItems containsString="0" containsBlank="1" containsNumber="1" minValue="0" maxValue="25000"/>
    </cacheField>
    <cacheField name="AUGUST" numFmtId="0">
      <sharedItems containsString="0" containsBlank="1" containsNumber="1" minValue="0" maxValue="25000"/>
    </cacheField>
    <cacheField name="SEPT" numFmtId="0">
      <sharedItems containsString="0" containsBlank="1" containsNumber="1" minValue="0" maxValue="24000"/>
    </cacheField>
    <cacheField name="OCT" numFmtId="0">
      <sharedItems containsString="0" containsBlank="1" containsNumber="1" minValue="0" maxValue="24000"/>
    </cacheField>
    <cacheField name="NOV" numFmtId="0">
      <sharedItems containsString="0" containsBlank="1" containsNumber="1" minValue="0" maxValue="24264.31"/>
    </cacheField>
    <cacheField name="DEC" numFmtId="0">
      <sharedItems containsString="0" containsBlank="1" containsNumber="1" minValue="0" maxValue="24264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s v="ESTIMATED BASE RENT"/>
    <n v="15803.54"/>
    <n v="15803.54"/>
    <n v="15803.54"/>
    <n v="15803.54"/>
    <n v="15803.54"/>
    <n v="15803.54"/>
    <n v="15803.54"/>
    <n v="15803.54"/>
    <n v="15803.54"/>
    <n v="15803.54"/>
    <n v="15803.54"/>
    <n v="15803.54"/>
  </r>
  <r>
    <x v="1"/>
    <s v="ESTIMATED BASE RENT"/>
    <n v="3383.1"/>
    <n v="3383.1"/>
    <n v="3383.1"/>
    <n v="3383.1"/>
    <n v="3383.1"/>
    <n v="3383.1"/>
    <n v="3383.1"/>
    <n v="3383.1"/>
    <n v="3383.1"/>
    <n v="3383.1"/>
    <n v="3383.1"/>
    <n v="3383.1"/>
  </r>
  <r>
    <x v="2"/>
    <s v="ESTIMATED BASE RENT"/>
    <n v="2060"/>
    <n v="2060"/>
    <n v="2060"/>
    <n v="2121.8000000000002"/>
    <n v="2121.8000000000002"/>
    <n v="2121.8000000000002"/>
    <n v="2121.8000000000002"/>
    <n v="2121.8000000000002"/>
    <n v="2121.8000000000002"/>
    <n v="2121.8000000000002"/>
    <n v="2121.8000000000002"/>
    <n v="2121.8000000000002"/>
  </r>
  <r>
    <x v="3"/>
    <s v="ESTIMATED BASE RENT"/>
    <n v="2527.84"/>
    <n v="2527.84"/>
    <n v="2527.84"/>
    <n v="2527.84"/>
    <n v="2527.84"/>
    <n v="2603.6799999999998"/>
    <n v="2530.2800000000002"/>
    <n v="2530.2800000000002"/>
    <n v="2530.2800000000002"/>
    <n v="2530.2800000000002"/>
    <n v="2530.2800000000002"/>
    <n v="2530.2800000000002"/>
  </r>
  <r>
    <x v="4"/>
    <s v="ESTIMATED BASE RENT"/>
    <n v="2703.75"/>
    <n v="2703.75"/>
    <n v="2703.75"/>
    <n v="2703.75"/>
    <n v="2703.75"/>
    <n v="2703.75"/>
    <n v="2703.75"/>
    <n v="2703.75"/>
    <n v="2703.75"/>
    <n v="2703.75"/>
    <n v="2784.86"/>
    <n v="2784.86"/>
  </r>
  <r>
    <x v="5"/>
    <s v="ESTIMATED BASE RENT"/>
    <n v="3826.9"/>
    <n v="3826.9"/>
    <n v="3826.9"/>
    <n v="3826.9"/>
    <n v="3826.9"/>
    <n v="3826.9"/>
    <n v="3826.9"/>
    <n v="3826.9"/>
    <n v="3826.9"/>
    <n v="3826.9"/>
    <n v="3826.9"/>
    <n v="3826.9"/>
  </r>
  <r>
    <x v="6"/>
    <s v="ESTIMATED BASE RENT"/>
    <n v="7593"/>
    <n v="7593"/>
    <n v="7895.51"/>
    <n v="7895.51"/>
    <n v="7895.51"/>
    <n v="7895.51"/>
    <n v="7895.51"/>
    <n v="7895.51"/>
    <n v="7895.51"/>
    <n v="7895.51"/>
    <n v="7895.51"/>
    <n v="7895.51"/>
  </r>
  <r>
    <x v="7"/>
    <s v="ESTIMATED BASE RENT"/>
    <n v="11905.63"/>
    <n v="11905.63"/>
    <n v="11905.63"/>
    <n v="11905.63"/>
    <n v="11905.63"/>
    <n v="11905.63"/>
    <n v="12262.8"/>
    <n v="12262.8"/>
    <n v="12262.8"/>
    <n v="12262.8"/>
    <n v="12262.8"/>
    <n v="12262.8"/>
  </r>
  <r>
    <x v="8"/>
    <s v="ESTIMATED BASE RENT"/>
    <n v="25000"/>
    <n v="25000"/>
    <n v="25000"/>
    <n v="25000"/>
    <n v="25000"/>
    <n v="25000"/>
    <n v="25000"/>
    <n v="25000"/>
    <n v="20666.8"/>
    <n v="20666.8"/>
    <n v="20666.8"/>
    <n v="20666.8"/>
  </r>
  <r>
    <x v="9"/>
    <s v="ESTIMATED BASE RENT"/>
    <n v="24000"/>
    <n v="24000"/>
    <n v="24000"/>
    <n v="24000"/>
    <n v="24000"/>
    <n v="24000"/>
    <n v="24000"/>
    <n v="24000"/>
    <n v="24000"/>
    <n v="24000"/>
    <n v="24000"/>
    <n v="24000"/>
  </r>
  <r>
    <x v="10"/>
    <s v="ESTIMATED BASE RENT"/>
    <n v="2731.82"/>
    <n v="2731.82"/>
    <n v="2731.82"/>
    <n v="2731.82"/>
    <n v="2731.82"/>
    <n v="2813.77"/>
    <n v="2813.77"/>
    <n v="2813.77"/>
    <n v="2813.77"/>
    <n v="2813.77"/>
    <n v="2813.77"/>
    <n v="2813.77"/>
  </r>
  <r>
    <x v="11"/>
    <s v="ESTIMATED BASE RENT"/>
    <n v="10049.120000000001"/>
    <n v="10049.120000000001"/>
    <n v="10049.120000000001"/>
    <n v="10049.120000000001"/>
    <n v="10049.120000000001"/>
    <n v="10049.120000000001"/>
    <n v="10049.120000000001"/>
    <n v="10049.120000000001"/>
    <n v="10049.120000000001"/>
    <n v="10049.120000000001"/>
    <n v="10049.120000000001"/>
    <n v="10049.120000000001"/>
  </r>
  <r>
    <x v="12"/>
    <s v="ESTIMATED BASE RENT"/>
    <n v="23387.29"/>
    <n v="23387.29"/>
    <n v="23387.29"/>
    <n v="23387.29"/>
    <n v="23387.29"/>
    <n v="23387.29"/>
    <n v="23387.29"/>
    <n v="23387.29"/>
    <n v="23387.29"/>
    <n v="23387.29"/>
    <n v="24264.31"/>
    <n v="24264.31"/>
  </r>
  <r>
    <x v="13"/>
    <s v="ESTIMATED BASE RENT"/>
    <n v="0"/>
    <n v="0"/>
    <n v="0"/>
    <n v="0"/>
    <n v="0"/>
    <n v="0"/>
    <n v="13000"/>
    <n v="13000"/>
    <n v="13000"/>
    <n v="13000"/>
    <n v="13000"/>
    <n v="13000"/>
  </r>
  <r>
    <x v="14"/>
    <s v="ESTIMATED BASE RENT"/>
    <m/>
    <n v="0"/>
    <n v="0"/>
    <n v="0"/>
    <n v="0"/>
    <n v="0"/>
    <m/>
    <n v="0"/>
    <n v="0"/>
    <n v="0"/>
    <n v="0"/>
    <n v="19500"/>
  </r>
  <r>
    <x v="15"/>
    <s v="ESTIMATED BASE RENT"/>
    <n v="6440.59"/>
    <n v="6440.59"/>
    <n v="6440.59"/>
    <n v="6445"/>
    <n v="6445"/>
    <n v="6445"/>
    <n v="6445"/>
    <n v="6445"/>
    <n v="6445"/>
    <n v="6445"/>
    <n v="6445"/>
    <n v="6445"/>
  </r>
  <r>
    <x v="16"/>
    <s v="ESTIMATED BASE RENT"/>
    <n v="7408"/>
    <n v="7408"/>
    <n v="7408"/>
    <n v="7408"/>
    <n v="7408"/>
    <n v="7408"/>
    <n v="7408"/>
    <n v="7408"/>
    <n v="7408"/>
    <n v="7408"/>
    <n v="7408"/>
    <n v="7408"/>
  </r>
  <r>
    <x v="1"/>
    <s v="Rent Recovery"/>
    <n v="423.09"/>
    <n v="423.09"/>
    <n v="423.09"/>
    <n v="423.09"/>
    <n v="423.09"/>
    <n v="423.09"/>
    <n v="423.09"/>
    <n v="423.09"/>
    <n v="423.09"/>
    <n v="423.09"/>
    <n v="423.09"/>
    <n v="423.09"/>
  </r>
  <r>
    <x v="0"/>
    <s v="COMMON AREA MAINTENANCE"/>
    <n v="6087.6782372004827"/>
    <n v="6087.6782372004827"/>
    <n v="6087.6782372004827"/>
    <n v="6087.6782372004827"/>
    <n v="6087.6782372004827"/>
    <n v="6087.6782372004827"/>
    <n v="6087.6782372004827"/>
    <n v="6087.6782372004827"/>
    <n v="6087.6782372004827"/>
    <n v="6087.6782372004827"/>
    <n v="6087.6782372004827"/>
    <n v="6087.6782372004827"/>
  </r>
  <r>
    <x v="1"/>
    <s v="COMMON AREA MAINTENANCE"/>
    <n v="1688.1400533832484"/>
    <n v="1688.1400533832484"/>
    <n v="1688.1400533832484"/>
    <n v="1688.1400533832484"/>
    <n v="1688.1400533832484"/>
    <n v="1688.1400533832484"/>
    <n v="1688.1400533832484"/>
    <n v="1688.1400533832484"/>
    <n v="1688.1400533832484"/>
    <n v="1688.1400533832484"/>
    <n v="1688.1400533832484"/>
    <n v="1688.1400533832484"/>
  </r>
  <r>
    <x v="2"/>
    <s v="COMMON AREA MAINTENANCE"/>
    <n v="314.36500063002751"/>
    <n v="314.36500063002751"/>
    <n v="314.36500063002751"/>
    <n v="314.36500063002751"/>
    <n v="314.36500063002751"/>
    <n v="314.36500063002751"/>
    <n v="314.36500063002751"/>
    <n v="314.36500063002751"/>
    <n v="314.36500063002751"/>
    <n v="314.36500063002751"/>
    <n v="314.36500063002751"/>
    <n v="314.36500063002751"/>
  </r>
  <r>
    <x v="3"/>
    <s v="COMMON AREA MAINTENANCE"/>
    <n v="814.20535163177146"/>
    <n v="814.20535163177146"/>
    <n v="814.20535163177146"/>
    <n v="814.20535163177146"/>
    <n v="814.20535163177146"/>
    <n v="814.20535163177146"/>
    <n v="814.20535163177146"/>
    <n v="814.20535163177146"/>
    <n v="814.20535163177146"/>
    <n v="814.20535163177146"/>
    <n v="814.20535163177146"/>
    <n v="814.20535163177146"/>
  </r>
  <r>
    <x v="4"/>
    <s v="COMMON AREA MAINTENANCE"/>
    <n v="825.20812665382209"/>
    <n v="825.20812665382209"/>
    <n v="825.20812665382209"/>
    <n v="825.20812665382209"/>
    <n v="825.20812665382209"/>
    <n v="825.20812665382209"/>
    <n v="825.20812665382209"/>
    <n v="825.20812665382209"/>
    <n v="825.20812665382209"/>
    <n v="825.20812665382209"/>
    <n v="825.20812665382209"/>
    <n v="825.20812665382209"/>
  </r>
  <r>
    <x v="5"/>
    <s v="COMMON AREA MAINTENANCE"/>
    <n v="1562.3940531312371"/>
    <n v="1562.3940531312371"/>
    <n v="1562.3940531312371"/>
    <n v="1562.3940531312371"/>
    <n v="1562.3940531312371"/>
    <n v="1562.3940531312371"/>
    <n v="1562.3940531312371"/>
    <n v="1562.3940531312371"/>
    <n v="1562.3940531312371"/>
    <n v="1562.3940531312371"/>
    <n v="1562.3940531312371"/>
    <n v="1562.3940531312371"/>
  </r>
  <r>
    <x v="6"/>
    <s v="COMMON AREA MAINTENANCE"/>
    <n v="1639.4134782855933"/>
    <n v="1639.4134782855933"/>
    <n v="1639.4134782855933"/>
    <n v="1639.4134782855933"/>
    <n v="1639.4134782855933"/>
    <n v="1639.4134782855933"/>
    <n v="1639.4134782855933"/>
    <n v="1639.4134782855933"/>
    <n v="1639.4134782855933"/>
    <n v="1639.4134782855933"/>
    <n v="1639.4134782855933"/>
    <n v="1639.4134782855933"/>
  </r>
  <r>
    <x v="7"/>
    <s v="COMMON AREA MAINTENANCE"/>
    <n v="5542.2549611073855"/>
    <n v="5542.2549611073855"/>
    <n v="5542.2549611073855"/>
    <n v="5542.2549611073855"/>
    <n v="5542.2549611073855"/>
    <n v="5542.2549611073855"/>
    <n v="5542.2549611073855"/>
    <n v="5542.2549611073855"/>
    <n v="5542.2549611073855"/>
    <n v="5542.2549611073855"/>
    <n v="5542.2549611073855"/>
    <n v="5542.2549611073855"/>
  </r>
  <r>
    <x v="8"/>
    <s v="COMMON AREA MAINTENANCE"/>
    <n v="0"/>
    <n v="0"/>
    <n v="0"/>
    <n v="0"/>
    <n v="0"/>
    <n v="0"/>
    <n v="0"/>
    <n v="0"/>
    <n v="16875.113233819873"/>
    <n v="16875.113233819873"/>
    <n v="16875.113233819873"/>
    <n v="16875.113233819873"/>
  </r>
  <r>
    <x v="9"/>
    <s v="COMMON AREA MAINTENANCE"/>
    <n v="4715.4750094504134"/>
    <n v="4715.4750094504134"/>
    <n v="4715.4750094504134"/>
    <n v="4715.4750094504134"/>
    <n v="4715.4750094504134"/>
    <n v="4715.4750094504134"/>
    <n v="4715.4750094504134"/>
    <n v="4715.4750094504134"/>
    <n v="4715.4750094504134"/>
    <n v="4715.4750094504134"/>
    <n v="4715.4750094504134"/>
    <n v="4715.4750094504134"/>
  </r>
  <r>
    <x v="10"/>
    <s v="COMMON AREA MAINTENANCE"/>
    <n v="785.91250157506886"/>
    <n v="785.91250157506886"/>
    <n v="785.91250157506886"/>
    <n v="785.91250157506886"/>
    <n v="785.91250157506886"/>
    <n v="785.91250157506886"/>
    <n v="785.91250157506886"/>
    <n v="785.91250157506886"/>
    <n v="785.91250157506886"/>
    <n v="785.91250157506886"/>
    <n v="785.91250157506886"/>
    <n v="785.91250157506886"/>
  </r>
  <r>
    <x v="11"/>
    <s v="COMMON AREA MAINTENANCE"/>
    <n v="2859.5262519576431"/>
    <n v="2859.5262519576431"/>
    <n v="2859.5262519576431"/>
    <n v="2859.5262519576431"/>
    <n v="2859.5262519576431"/>
    <n v="2859.5262519576431"/>
    <n v="2859.5262519576431"/>
    <n v="2859.5262519576431"/>
    <n v="2859.5262519576431"/>
    <n v="2859.5262519576431"/>
    <n v="2859.5262519576431"/>
    <n v="2859.5262519576431"/>
  </r>
  <r>
    <x v="12"/>
    <s v="COMMON AREA MAINTENANCE"/>
    <n v="7913.067466570632"/>
    <n v="7913.067466570632"/>
    <n v="7913.067466570632"/>
    <n v="7913.067466570632"/>
    <n v="7913.067466570632"/>
    <n v="7913.067466570632"/>
    <n v="7913.067466570632"/>
    <n v="7913.067466570632"/>
    <n v="7913.067466570632"/>
    <n v="7913.067466570632"/>
    <n v="7913.067466570632"/>
    <n v="7913.067466570632"/>
  </r>
  <r>
    <x v="13"/>
    <s v="COMMON AREA MAINTENANCE"/>
    <n v="0"/>
    <n v="0"/>
    <n v="0"/>
    <n v="0"/>
    <n v="0"/>
    <n v="0"/>
    <n v="6499.086062536936"/>
    <n v="6499.086062536936"/>
    <n v="6499.086062536936"/>
    <n v="6499.086062536936"/>
    <n v="6499.086062536936"/>
    <n v="6499.086062536936"/>
  </r>
  <r>
    <x v="14"/>
    <s v="COMMON AREA MAINTENANCE"/>
    <n v="0"/>
    <n v="0"/>
    <n v="0"/>
    <n v="0"/>
    <n v="0"/>
    <n v="0"/>
    <n v="0"/>
    <n v="0"/>
    <n v="0"/>
    <n v="0"/>
    <n v="0"/>
    <n v="0"/>
  </r>
  <r>
    <x v="15"/>
    <s v="COMMON AREA MAINTENANCE"/>
    <n v="1512.0956530304327"/>
    <n v="1512.0956530304327"/>
    <n v="1512.0956530304327"/>
    <n v="1512.0956530304327"/>
    <n v="1512.0956530304327"/>
    <n v="1512.0956530304327"/>
    <n v="1512.0956530304327"/>
    <n v="1512.0956530304327"/>
    <n v="1512.0956530304327"/>
    <n v="1512.0956530304327"/>
    <n v="1512.0956530304327"/>
    <n v="1512.0956530304327"/>
  </r>
  <r>
    <x v="16"/>
    <s v="COMMON AREA MAINTENANCE"/>
    <n v="5822.039811668109"/>
    <n v="5822.039811668109"/>
    <n v="5822.039811668109"/>
    <n v="5822.039811668109"/>
    <n v="5822.039811668109"/>
    <n v="5822.039811668109"/>
    <n v="5822.039811668109"/>
    <n v="5822.039811668109"/>
    <n v="5822.039811668109"/>
    <n v="5822.039811668109"/>
    <n v="5822.039811668109"/>
    <n v="5822.039811668109"/>
  </r>
  <r>
    <x v="0"/>
    <s v="BUILDING EXPENSES"/>
    <n v="930.57118038258443"/>
    <n v="930.57118038258443"/>
    <n v="930.57118038258443"/>
    <n v="930.57118038258443"/>
    <n v="930.57118038258443"/>
    <n v="930.57118038258443"/>
    <n v="930.57118038258443"/>
    <n v="930.57118038258443"/>
    <n v="930.57118038258443"/>
    <n v="930.57118038258443"/>
    <n v="930.57118038258443"/>
    <n v="930.57118038258443"/>
  </r>
  <r>
    <x v="1"/>
    <s v="BUILDING EXPENSES"/>
    <n v="258.05149696124334"/>
    <n v="258.05149696124334"/>
    <n v="258.05149696124334"/>
    <n v="258.05149696124334"/>
    <n v="258.05149696124334"/>
    <n v="258.05149696124334"/>
    <n v="258.05149696124334"/>
    <n v="258.05149696124334"/>
    <n v="258.05149696124334"/>
    <n v="258.05149696124334"/>
    <n v="258.05149696124334"/>
    <n v="258.05149696124334"/>
  </r>
  <r>
    <x v="2"/>
    <s v="BUILDING EXPENSES"/>
    <n v="48.054282488127264"/>
    <n v="48.054282488127264"/>
    <n v="48.054282488127264"/>
    <n v="48.054282488127264"/>
    <n v="48.054282488127264"/>
    <n v="48.054282488127264"/>
    <n v="48.054282488127264"/>
    <n v="48.054282488127264"/>
    <n v="48.054282488127264"/>
    <n v="48.054282488127264"/>
    <n v="48.054282488127264"/>
    <n v="48.054282488127264"/>
  </r>
  <r>
    <x v="3"/>
    <s v="BUILDING EXPENSES"/>
    <n v="124.46059164424962"/>
    <n v="124.46059164424962"/>
    <n v="124.46059164424962"/>
    <n v="124.46059164424962"/>
    <n v="124.46059164424962"/>
    <n v="124.46059164424962"/>
    <n v="124.46059164424962"/>
    <n v="124.46059164424962"/>
    <n v="124.46059164424962"/>
    <n v="124.46059164424962"/>
    <n v="124.46059164424962"/>
    <n v="124.46059164424962"/>
  </r>
  <r>
    <x v="4"/>
    <s v="BUILDING EXPENSES"/>
    <n v="126.14249153133407"/>
    <n v="126.14249153133407"/>
    <n v="126.14249153133407"/>
    <n v="126.14249153133407"/>
    <n v="126.14249153133407"/>
    <n v="126.14249153133407"/>
    <n v="126.14249153133407"/>
    <n v="126.14249153133407"/>
    <n v="126.14249153133407"/>
    <n v="126.14249153133407"/>
    <n v="126.14249153133407"/>
    <n v="126.14249153133407"/>
  </r>
  <r>
    <x v="5"/>
    <s v="BUILDING EXPENSES"/>
    <n v="238.8297839659925"/>
    <n v="238.8297839659925"/>
    <n v="238.8297839659925"/>
    <n v="238.8297839659925"/>
    <n v="238.8297839659925"/>
    <n v="238.8297839659925"/>
    <n v="238.8297839659925"/>
    <n v="238.8297839659925"/>
    <n v="238.8297839659925"/>
    <n v="238.8297839659925"/>
    <n v="238.8297839659925"/>
    <n v="238.8297839659925"/>
  </r>
  <r>
    <x v="6"/>
    <s v="BUILDING EXPENSES"/>
    <n v="250.60308317558369"/>
    <n v="250.60308317558369"/>
    <n v="250.60308317558369"/>
    <n v="250.60308317558369"/>
    <n v="250.60308317558369"/>
    <n v="250.60308317558369"/>
    <n v="250.60308317558369"/>
    <n v="250.60308317558369"/>
    <n v="250.60308317558369"/>
    <n v="250.60308317558369"/>
    <n v="250.60308317558369"/>
    <n v="250.60308317558369"/>
  </r>
  <r>
    <x v="7"/>
    <s v="BUILDING EXPENSES"/>
    <n v="847.21163777357106"/>
    <n v="847.21163777357106"/>
    <n v="847.21163777357106"/>
    <n v="847.21163777357106"/>
    <n v="847.21163777357106"/>
    <n v="847.21163777357106"/>
    <n v="847.21163777357106"/>
    <n v="847.21163777357106"/>
    <n v="847.21163777357106"/>
    <n v="847.21163777357106"/>
    <n v="847.21163777357106"/>
    <n v="847.21163777357106"/>
  </r>
  <r>
    <x v="8"/>
    <s v="BUILDING EXPENSES"/>
    <n v="0"/>
    <n v="0"/>
    <n v="0"/>
    <n v="0"/>
    <n v="0"/>
    <n v="0"/>
    <n v="0"/>
    <n v="0"/>
    <n v="2579.5984523928132"/>
    <n v="2579.5984523928132"/>
    <n v="2579.5984523928132"/>
    <n v="2579.5984523928132"/>
  </r>
  <r>
    <x v="9"/>
    <s v="BUILDING EXPENSES"/>
    <n v="720.82669124240317"/>
    <n v="720.82669124240317"/>
    <n v="720.82669124240317"/>
    <n v="720.82669124240317"/>
    <n v="720.82669124240317"/>
    <n v="720.82669124240317"/>
    <n v="720.82669124240317"/>
    <n v="720.82669124240317"/>
    <n v="720.82669124240317"/>
    <n v="720.82669124240317"/>
    <n v="720.82669124240317"/>
    <n v="720.82669124240317"/>
  </r>
  <r>
    <x v="10"/>
    <s v="BUILDING EXPENSES"/>
    <n v="120.13778187373384"/>
    <n v="120.13778187373384"/>
    <n v="120.13778187373384"/>
    <n v="120.13778187373384"/>
    <n v="120.13778187373384"/>
    <n v="120.13778187373384"/>
    <n v="120.13778187373384"/>
    <n v="120.13778187373384"/>
    <n v="120.13778187373384"/>
    <n v="120.13778187373384"/>
    <n v="120.13778187373384"/>
    <n v="120.13778187373384"/>
  </r>
  <r>
    <x v="11"/>
    <s v="BUILDING EXPENSES"/>
    <n v="0"/>
    <n v="0"/>
    <n v="0"/>
    <n v="0"/>
    <n v="0"/>
    <n v="0"/>
    <n v="0"/>
    <n v="0"/>
    <n v="0"/>
    <n v="0"/>
    <n v="0"/>
    <n v="0"/>
  </r>
  <r>
    <x v="12"/>
    <s v="BUILDING EXPENSES"/>
    <n v="0"/>
    <n v="0"/>
    <n v="0"/>
    <n v="0"/>
    <n v="0"/>
    <n v="0"/>
    <n v="0"/>
    <n v="0"/>
    <n v="0"/>
    <n v="0"/>
    <n v="0"/>
    <n v="0"/>
  </r>
  <r>
    <x v="13"/>
    <s v="BUILDING EXPENSES"/>
    <n v="0"/>
    <n v="0"/>
    <n v="0"/>
    <n v="0"/>
    <n v="0"/>
    <n v="0"/>
    <n v="0"/>
    <n v="0"/>
    <n v="0"/>
    <n v="0"/>
    <n v="0"/>
    <n v="0"/>
  </r>
  <r>
    <x v="14"/>
    <s v="BUILDING EXPENSES"/>
    <n v="0"/>
    <n v="0"/>
    <n v="0"/>
    <n v="0"/>
    <n v="0"/>
    <n v="0"/>
    <n v="0"/>
    <n v="0"/>
    <n v="0"/>
    <n v="0"/>
    <n v="0"/>
    <n v="0"/>
  </r>
  <r>
    <x v="15"/>
    <s v="BUILDING EXPENSES"/>
    <n v="72.401194746106071"/>
    <n v="72.401194746106071"/>
    <n v="72.401194746106071"/>
    <n v="72.401194746106071"/>
    <n v="72.401194746106071"/>
    <n v="72.401194746106071"/>
    <n v="72.401194746106071"/>
    <n v="72.401194746106071"/>
    <n v="72.401194746106071"/>
    <n v="72.401194746106071"/>
    <n v="72.401194746106071"/>
    <n v="72.401194746106071"/>
  </r>
  <r>
    <x v="16"/>
    <s v="BUILDING EXPENSES"/>
    <n v="278.76717810766831"/>
    <n v="278.76717810766831"/>
    <n v="278.76717810766831"/>
    <n v="278.76717810766831"/>
    <n v="278.76717810766831"/>
    <n v="278.76717810766831"/>
    <n v="278.76717810766831"/>
    <n v="278.76717810766831"/>
    <n v="278.76717810766831"/>
    <n v="278.76717810766831"/>
    <n v="278.76717810766831"/>
    <n v="278.76717810766831"/>
  </r>
  <r>
    <x v="0"/>
    <s v="INS"/>
    <n v="1512.808507654405"/>
    <n v="1512.808507654405"/>
    <n v="1512.808507654405"/>
    <n v="1512.808507654405"/>
    <n v="1512.808507654405"/>
    <n v="1512.808507654405"/>
    <n v="1512.808507654405"/>
    <n v="1512.808507654405"/>
    <n v="1512.808507654405"/>
    <n v="1512.808507654405"/>
    <n v="1512.808507654405"/>
    <n v="1512.808507654405"/>
  </r>
  <r>
    <x v="1"/>
    <s v="INS"/>
    <n v="419.50847849750352"/>
    <n v="419.50847849750352"/>
    <n v="419.50847849750352"/>
    <n v="419.50847849750352"/>
    <n v="419.50847849750352"/>
    <n v="419.50847849750352"/>
    <n v="419.50847849750352"/>
    <n v="419.50847849750352"/>
    <n v="419.50847849750352"/>
    <n v="419.50847849750352"/>
    <n v="419.50847849750352"/>
    <n v="419.50847849750352"/>
  </r>
  <r>
    <x v="2"/>
    <s v="INS"/>
    <n v="78.120759496741798"/>
    <n v="78.120759496741798"/>
    <n v="78.120759496741798"/>
    <n v="78.120759496741798"/>
    <n v="78.120759496741798"/>
    <n v="78.120759496741798"/>
    <n v="78.120759496741798"/>
    <n v="78.120759496741798"/>
    <n v="78.120759496741798"/>
    <n v="78.120759496741798"/>
    <n v="78.120759496741798"/>
    <n v="78.120759496741798"/>
  </r>
  <r>
    <x v="3"/>
    <s v="INS"/>
    <n v="202.3327670965613"/>
    <n v="202.3327670965613"/>
    <n v="202.3327670965613"/>
    <n v="202.3327670965613"/>
    <n v="202.3327670965613"/>
    <n v="202.3327670965613"/>
    <n v="202.3327670965613"/>
    <n v="202.3327670965613"/>
    <n v="202.3327670965613"/>
    <n v="202.3327670965613"/>
    <n v="202.3327670965613"/>
    <n v="202.3327670965613"/>
  </r>
  <r>
    <x v="4"/>
    <s v="INS"/>
    <n v="205.06699367894723"/>
    <n v="205.06699367894723"/>
    <n v="205.06699367894723"/>
    <n v="205.06699367894723"/>
    <n v="205.06699367894723"/>
    <n v="205.06699367894723"/>
    <n v="205.06699367894723"/>
    <n v="205.06699367894723"/>
    <n v="205.06699367894723"/>
    <n v="205.06699367894723"/>
    <n v="205.06699367894723"/>
    <n v="205.06699367894723"/>
  </r>
  <r>
    <x v="5"/>
    <s v="INS"/>
    <n v="388.26017469880679"/>
    <n v="388.26017469880679"/>
    <n v="388.26017469880679"/>
    <n v="388.26017469880679"/>
    <n v="388.26017469880679"/>
    <n v="388.26017469880679"/>
    <n v="388.26017469880679"/>
    <n v="388.26017469880679"/>
    <n v="388.26017469880679"/>
    <n v="388.26017469880679"/>
    <n v="388.26017469880679"/>
    <n v="388.26017469880679"/>
  </r>
  <r>
    <x v="6"/>
    <s v="INS"/>
    <n v="407.39976077550847"/>
    <n v="407.39976077550847"/>
    <n v="407.39976077550847"/>
    <n v="407.39976077550847"/>
    <n v="407.39976077550847"/>
    <n v="407.39976077550847"/>
    <n v="407.39976077550847"/>
    <n v="407.39976077550847"/>
    <n v="407.39976077550847"/>
    <n v="407.39976077550847"/>
    <n v="407.39976077550847"/>
    <n v="407.39976077550847"/>
  </r>
  <r>
    <x v="7"/>
    <s v="INS"/>
    <n v="1377.2689899275576"/>
    <n v="1377.2689899275576"/>
    <n v="1377.2689899275576"/>
    <n v="1377.2689899275576"/>
    <n v="1377.2689899275576"/>
    <n v="1377.2689899275576"/>
    <n v="1377.2689899275576"/>
    <n v="1377.2689899275576"/>
    <n v="1377.2689899275576"/>
    <n v="1377.2689899275576"/>
    <n v="1377.2689899275576"/>
    <n v="1377.2689899275576"/>
  </r>
  <r>
    <x v="8"/>
    <s v="INS"/>
    <n v="0"/>
    <n v="0"/>
    <n v="0"/>
    <n v="0"/>
    <n v="0"/>
    <n v="0"/>
    <n v="0"/>
    <n v="0"/>
    <n v="4193.5223697850997"/>
    <n v="4193.5223697850997"/>
    <n v="4193.5223697850997"/>
    <n v="4193.5223697850997"/>
  </r>
  <r>
    <x v="9"/>
    <s v="INS"/>
    <n v="1171.8113924511272"/>
    <n v="1171.8113924511272"/>
    <n v="1171.8113924511272"/>
    <n v="1171.8113924511272"/>
    <n v="1171.8113924511272"/>
    <n v="1171.8113924511272"/>
    <n v="1171.8113924511272"/>
    <n v="1171.8113924511272"/>
    <n v="1171.8113924511272"/>
    <n v="1171.8113924511272"/>
    <n v="1171.8113924511272"/>
    <n v="1171.8113924511272"/>
  </r>
  <r>
    <x v="10"/>
    <s v="INS"/>
    <n v="195.30189874185453"/>
    <n v="195.30189874185453"/>
    <n v="195.30189874185453"/>
    <n v="195.30189874185453"/>
    <n v="195.30189874185453"/>
    <n v="195.30189874185453"/>
    <n v="195.30189874185453"/>
    <n v="195.30189874185453"/>
    <n v="195.30189874185453"/>
    <n v="195.30189874185453"/>
    <n v="195.30189874185453"/>
    <n v="195.30189874185453"/>
  </r>
  <r>
    <x v="11"/>
    <s v="INS"/>
    <n v="95.194273179521318"/>
    <n v="95.194273179521318"/>
    <n v="95.194273179521318"/>
    <n v="95.194273179521318"/>
    <n v="95.194273179521318"/>
    <n v="95.194273179521318"/>
    <n v="95.194273179521318"/>
    <n v="95.194273179521318"/>
    <n v="95.194273179521318"/>
    <n v="95.194273179521318"/>
    <n v="95.194273179521318"/>
    <n v="95.194273179521318"/>
  </r>
  <r>
    <x v="12"/>
    <s v="INS"/>
    <n v="263.42779877786046"/>
    <n v="263.42779877786046"/>
    <n v="263.42779877786046"/>
    <n v="263.42779877786046"/>
    <n v="263.42779877786046"/>
    <n v="263.42779877786046"/>
    <n v="263.42779877786046"/>
    <n v="263.42779877786046"/>
    <n v="263.42779877786046"/>
    <n v="263.42779877786046"/>
    <n v="263.42779877786046"/>
    <n v="263.42779877786046"/>
  </r>
  <r>
    <x v="13"/>
    <s v="INS"/>
    <n v="0"/>
    <n v="0"/>
    <n v="0"/>
    <n v="0"/>
    <n v="0"/>
    <n v="0"/>
    <n v="2538.9246836441084"/>
    <n v="2538.9246836441084"/>
    <n v="2538.9246836441084"/>
    <n v="2538.9246836441084"/>
    <n v="2538.9246836441084"/>
    <n v="2538.9246836441084"/>
  </r>
  <r>
    <x v="14"/>
    <s v="INS"/>
    <n v="0"/>
    <n v="0"/>
    <n v="0"/>
    <n v="0"/>
    <n v="0"/>
    <n v="0"/>
    <n v="0"/>
    <n v="0"/>
    <n v="0"/>
    <n v="0"/>
    <n v="0"/>
    <n v="0"/>
  </r>
  <r>
    <x v="15"/>
    <s v="INS"/>
    <n v="375.76085317932808"/>
    <n v="375.76085317932808"/>
    <n v="375.76085317932808"/>
    <n v="375.76085317932808"/>
    <n v="375.76085317932808"/>
    <n v="375.76085317932808"/>
    <n v="375.76085317932808"/>
    <n v="375.76085317932808"/>
    <n v="375.76085317932808"/>
    <n v="375.76085317932808"/>
    <n v="375.76085317932808"/>
    <n v="375.76085317932808"/>
  </r>
  <r>
    <x v="16"/>
    <s v="INS"/>
    <n v="1446.7964658796582"/>
    <n v="1446.7964658796582"/>
    <n v="1446.7964658796582"/>
    <n v="1446.7964658796582"/>
    <n v="1446.7964658796582"/>
    <n v="1446.7964658796582"/>
    <n v="1446.7964658796582"/>
    <n v="1446.7964658796582"/>
    <n v="1446.7964658796582"/>
    <n v="1446.7964658796582"/>
    <n v="1446.7964658796582"/>
    <n v="1446.7964658796582"/>
  </r>
  <r>
    <x v="0"/>
    <s v="PROPERTY TAX"/>
    <n v="1205.2207391593874"/>
    <n v="1205.2207391593874"/>
    <n v="1205.2207391593874"/>
    <n v="1205.2207391593874"/>
    <n v="1205.2207391593874"/>
    <n v="1205.2207391593874"/>
    <n v="1205.2207391593874"/>
    <n v="1205.2207391593874"/>
    <n v="1205.2207391593874"/>
    <n v="1205.2207391593874"/>
    <n v="1205.2207391593874"/>
    <n v="1205.2207391593874"/>
  </r>
  <r>
    <x v="1"/>
    <s v="PROPERTY TAX"/>
    <n v="334.21303223784713"/>
    <n v="334.21303223784713"/>
    <n v="334.21303223784713"/>
    <n v="334.21303223784713"/>
    <n v="334.21303223784713"/>
    <n v="334.21303223784713"/>
    <n v="334.21303223784713"/>
    <n v="334.21303223784713"/>
    <n v="334.21303223784713"/>
    <n v="334.21303223784713"/>
    <n v="334.21303223784713"/>
    <n v="334.21303223784713"/>
  </r>
  <r>
    <x v="2"/>
    <s v="PROPERTY TAX"/>
    <n v="62.237063731442667"/>
    <n v="62.237063731442667"/>
    <n v="62.237063731442667"/>
    <n v="62.237063731442667"/>
    <n v="62.237063731442667"/>
    <n v="62.237063731442667"/>
    <n v="62.237063731442667"/>
    <n v="62.237063731442667"/>
    <n v="62.237063731442667"/>
    <n v="62.237063731442667"/>
    <n v="62.237063731442667"/>
    <n v="62.237063731442667"/>
  </r>
  <r>
    <x v="3"/>
    <s v="PROPERTY TAX"/>
    <n v="161.19399506443654"/>
    <n v="161.19399506443654"/>
    <n v="161.19399506443654"/>
    <n v="161.19399506443654"/>
    <n v="161.19399506443654"/>
    <n v="161.19399506443654"/>
    <n v="161.19399506443654"/>
    <n v="161.19399506443654"/>
    <n v="161.19399506443654"/>
    <n v="161.19399506443654"/>
    <n v="161.19399506443654"/>
    <n v="161.19399506443654"/>
  </r>
  <r>
    <x v="4"/>
    <s v="PROPERTY TAX"/>
    <n v="163.372292295037"/>
    <n v="163.372292295037"/>
    <n v="163.372292295037"/>
    <n v="163.372292295037"/>
    <n v="163.372292295037"/>
    <n v="163.372292295037"/>
    <n v="163.372292295037"/>
    <n v="163.372292295037"/>
    <n v="163.372292295037"/>
    <n v="163.372292295037"/>
    <n v="163.372292295037"/>
    <n v="163.372292295037"/>
  </r>
  <r>
    <x v="5"/>
    <s v="PROPERTY TAX"/>
    <n v="309.31820674527006"/>
    <n v="309.31820674527006"/>
    <n v="309.31820674527006"/>
    <n v="309.31820674527006"/>
    <n v="309.31820674527006"/>
    <n v="309.31820674527006"/>
    <n v="309.31820674527006"/>
    <n v="309.31820674527006"/>
    <n v="309.31820674527006"/>
    <n v="309.31820674527006"/>
    <n v="309.31820674527006"/>
    <n v="309.31820674527006"/>
  </r>
  <r>
    <x v="6"/>
    <s v="PROPERTY TAX"/>
    <n v="324.56628735947351"/>
    <n v="324.56628735947351"/>
    <n v="324.56628735947351"/>
    <n v="324.56628735947351"/>
    <n v="324.56628735947351"/>
    <n v="324.56628735947351"/>
    <n v="324.56628735947351"/>
    <n v="324.56628735947351"/>
    <n v="324.56628735947351"/>
    <n v="324.56628735947351"/>
    <n v="324.56628735947351"/>
    <n v="324.56628735947351"/>
  </r>
  <r>
    <x v="7"/>
    <s v="PROPERTY TAX"/>
    <n v="1097.2394335853344"/>
    <n v="1097.2394335853344"/>
    <n v="1097.2394335853344"/>
    <n v="1097.2394335853344"/>
    <n v="1097.2394335853344"/>
    <n v="1097.2394335853344"/>
    <n v="1097.2394335853344"/>
    <n v="1097.2394335853344"/>
    <n v="1097.2394335853344"/>
    <n v="1097.2394335853344"/>
    <n v="1097.2394335853344"/>
    <n v="1097.2394335853344"/>
  </r>
  <r>
    <x v="8"/>
    <s v="PROPERTY TAX"/>
    <n v="0"/>
    <n v="0"/>
    <n v="0"/>
    <n v="0"/>
    <n v="0"/>
    <n v="0"/>
    <n v="0"/>
    <n v="0"/>
    <n v="3340.8855811038425"/>
    <n v="3340.8855811038425"/>
    <n v="3340.8855811038425"/>
    <n v="3340.8855811038425"/>
  </r>
  <r>
    <x v="9"/>
    <s v="PROPERTY TAX"/>
    <n v="933.55595597163995"/>
    <n v="933.55595597163995"/>
    <n v="933.55595597163995"/>
    <n v="933.55595597163995"/>
    <n v="933.55595597163995"/>
    <n v="933.55595597163995"/>
    <n v="933.55595597163995"/>
    <n v="933.55595597163995"/>
    <n v="933.55595597163995"/>
    <n v="933.55595597163995"/>
    <n v="933.55595597163995"/>
    <n v="933.55595597163995"/>
  </r>
  <r>
    <x v="10"/>
    <s v="PROPERTY TAX"/>
    <n v="155.59265932860669"/>
    <n v="155.59265932860669"/>
    <n v="155.59265932860669"/>
    <n v="155.59265932860669"/>
    <n v="155.59265932860669"/>
    <n v="155.59265932860669"/>
    <n v="155.59265932860669"/>
    <n v="155.59265932860669"/>
    <n v="155.59265932860669"/>
    <n v="155.59265932860669"/>
    <n v="155.59265932860669"/>
    <n v="155.59265932860669"/>
  </r>
  <r>
    <x v="11"/>
    <s v="PROPERTY TAX"/>
    <n v="901.19268283128997"/>
    <n v="901.19268283128997"/>
    <n v="901.19268283128997"/>
    <n v="901.19268283128997"/>
    <n v="901.19268283128997"/>
    <n v="901.19268283128997"/>
    <n v="901.19268283128997"/>
    <n v="901.19268283128997"/>
    <n v="901.19268283128997"/>
    <n v="901.19268283128997"/>
    <n v="901.19268283128997"/>
    <n v="901.19268283128997"/>
  </r>
  <r>
    <x v="12"/>
    <s v="PROPERTY TAX"/>
    <n v="2493.839143718908"/>
    <n v="2493.839143718908"/>
    <n v="2493.839143718908"/>
    <n v="2493.839143718908"/>
    <n v="2493.839143718908"/>
    <n v="2493.839143718908"/>
    <n v="2493.839143718908"/>
    <n v="2493.839143718908"/>
    <n v="2493.839143718908"/>
    <n v="2493.839143718908"/>
    <n v="2493.839143718908"/>
    <n v="2493.839143718908"/>
  </r>
  <r>
    <x v="13"/>
    <s v="PROPERTY TAX"/>
    <n v="0"/>
    <n v="0"/>
    <n v="0"/>
    <n v="0"/>
    <n v="0"/>
    <n v="0"/>
    <n v="2022.7045712718871"/>
    <n v="2022.7045712718871"/>
    <n v="2022.7045712718871"/>
    <n v="2022.7045712718871"/>
    <n v="2022.7045712718871"/>
    <n v="2022.7045712718871"/>
  </r>
  <r>
    <x v="14"/>
    <s v="PROPERTY TAX"/>
    <n v="0"/>
    <n v="0"/>
    <n v="0"/>
    <n v="0"/>
    <n v="0"/>
    <n v="0"/>
    <n v="0"/>
    <n v="0"/>
    <n v="0"/>
    <n v="0"/>
    <n v="0"/>
    <n v="0"/>
  </r>
  <r>
    <x v="15"/>
    <s v="PROPERTY TAX"/>
    <n v="299.36027654823926"/>
    <n v="299.36027654823926"/>
    <n v="299.36027654823926"/>
    <n v="299.36027654823926"/>
    <n v="299.36027654823926"/>
    <n v="299.36027654823926"/>
    <n v="299.36027654823926"/>
    <n v="299.36027654823926"/>
    <n v="299.36027654823926"/>
    <n v="299.36027654823926"/>
    <n v="299.36027654823926"/>
    <n v="299.36027654823926"/>
  </r>
  <r>
    <x v="16"/>
    <s v="PROPERTY TAX"/>
    <n v="1152.6304203063182"/>
    <n v="1152.6304203063182"/>
    <n v="1152.6304203063182"/>
    <n v="1152.6304203063182"/>
    <n v="1152.6304203063182"/>
    <n v="1152.6304203063182"/>
    <n v="1152.6304203063182"/>
    <n v="1152.6304203063182"/>
    <n v="1152.6304203063182"/>
    <n v="1152.6304203063182"/>
    <n v="1152.6304203063182"/>
    <n v="1152.6304203063182"/>
  </r>
  <r>
    <x v="0"/>
    <s v="EXCISE TAX (4.712%)"/>
    <n v="1301.4421859213387"/>
    <n v="1301.4421859213387"/>
    <n v="1301.4421859213387"/>
    <n v="1301.4421859213387"/>
    <n v="1301.4421859213387"/>
    <n v="1301.4421859213387"/>
    <n v="1301.4421859213387"/>
    <n v="1301.4421859213387"/>
    <n v="1301.4421859213387"/>
    <n v="1301.4421859213387"/>
    <n v="1301.4421859213387"/>
    <n v="1301.4421859213387"/>
  </r>
  <r>
    <x v="1"/>
    <s v="EXCISE TAX (4.712%)"/>
    <n v="307.27576064557655"/>
    <n v="307.27576064557655"/>
    <n v="307.27576064557655"/>
    <n v="307.27576064557655"/>
    <n v="307.27576064557655"/>
    <n v="307.27576064557655"/>
    <n v="307.27576064557655"/>
    <n v="307.27576064557655"/>
    <n v="307.27576064557655"/>
    <n v="307.27576064557655"/>
    <n v="307.27576064557655"/>
    <n v="307.27576064557655"/>
  </r>
  <r>
    <x v="2"/>
    <s v="EXCISE TAX (4.712%)"/>
    <n v="134.96881203828241"/>
    <n v="134.96881203828241"/>
    <n v="134.96881203828241"/>
    <n v="134.96881203828241"/>
    <n v="134.96881203828241"/>
    <n v="134.96881203828241"/>
    <n v="134.96881203828241"/>
    <n v="134.96881203828241"/>
    <n v="134.96881203828241"/>
    <n v="134.96881203828241"/>
    <n v="134.96881203828241"/>
    <n v="134.96881203828241"/>
  </r>
  <r>
    <x v="3"/>
    <s v="EXCISE TAX (4.712%)"/>
    <n v="190.42801997915146"/>
    <n v="190.42801997915146"/>
    <n v="190.42801997915146"/>
    <n v="190.42801997915146"/>
    <n v="190.42801997915146"/>
    <n v="190.42801997915146"/>
    <n v="190.42801997915146"/>
    <n v="190.42801997915146"/>
    <n v="190.42801997915146"/>
    <n v="190.42801997915146"/>
    <n v="190.42801997915146"/>
    <n v="190.42801997915146"/>
  </r>
  <r>
    <x v="4"/>
    <s v="EXCISE TAX (4.712%)"/>
    <n v="197.4426906839787"/>
    <n v="197.4426906839787"/>
    <n v="197.4426906839787"/>
    <n v="197.4426906839787"/>
    <n v="197.4426906839787"/>
    <n v="197.4426906839787"/>
    <n v="197.4426906839787"/>
    <n v="197.4426906839787"/>
    <n v="197.4426906839787"/>
    <n v="197.4426906839787"/>
    <n v="197.4426906839787"/>
    <n v="197.4426906839787"/>
  </r>
  <r>
    <x v="5"/>
    <s v="EXCISE TAX (4.712%)"/>
    <n v="317.17353183026358"/>
    <n v="317.17353183026358"/>
    <n v="317.17353183026358"/>
    <n v="317.17353183026358"/>
    <n v="317.17353183026358"/>
    <n v="317.17353183026358"/>
    <n v="317.17353183026358"/>
    <n v="317.17353183026358"/>
    <n v="317.17353183026358"/>
    <n v="317.17353183026358"/>
    <n v="317.17353183026358"/>
    <n v="317.17353183026358"/>
  </r>
  <r>
    <x v="6"/>
    <s v="EXCISE TAX (4.712%)"/>
    <n v="481.33186536417105"/>
    <n v="481.33186536417105"/>
    <n v="481.33186536417105"/>
    <n v="481.33186536417105"/>
    <n v="481.33186536417105"/>
    <n v="481.33186536417105"/>
    <n v="481.33186536417105"/>
    <n v="481.33186536417105"/>
    <n v="481.33186536417105"/>
    <n v="481.33186536417105"/>
    <n v="481.33186536417105"/>
    <n v="481.33186536417105"/>
  </r>
  <r>
    <x v="7"/>
    <s v="EXCISE TAX (4.712%)"/>
    <n v="1069.9997635542904"/>
    <n v="1069.9997635542904"/>
    <n v="1069.9997635542904"/>
    <n v="1069.9997635542904"/>
    <n v="1069.9997635542904"/>
    <n v="1069.9997635542904"/>
    <n v="1069.9997635542904"/>
    <n v="1069.9997635542904"/>
    <n v="1069.9997635542904"/>
    <n v="1069.9997635542904"/>
    <n v="1069.9997635542904"/>
    <n v="1069.9997635542904"/>
  </r>
  <r>
    <x v="8"/>
    <s v="EXCISE TAX (4.712%)"/>
    <n v="2656.0922822794278"/>
    <n v="2656.0922822794278"/>
    <n v="2656.0922822794278"/>
    <n v="2656.0922822794278"/>
    <n v="2656.0922822794278"/>
    <n v="2656.0922822794278"/>
    <n v="2656.0922822794278"/>
    <n v="2656.0922822794278"/>
    <n v="2656.0922822794278"/>
    <n v="2656.0922822794278"/>
    <n v="2656.0922822794278"/>
    <n v="2656.0922822794278"/>
  </r>
  <r>
    <x v="9"/>
    <s v="EXCISE TAX (4.712%)"/>
    <n v="1509.8034455943264"/>
    <n v="1509.8034455943264"/>
    <n v="1509.8034455943264"/>
    <n v="1509.8034455943264"/>
    <n v="1509.8034455943264"/>
    <n v="1509.8034455943264"/>
    <n v="1509.8034455943264"/>
    <n v="1509.8034455943264"/>
    <n v="1509.8034455943264"/>
    <n v="1509.8034455943264"/>
    <n v="1509.8034455943264"/>
    <n v="1509.8034455943264"/>
  </r>
  <r>
    <x v="10"/>
    <s v="EXCISE TAX (4.712%)"/>
    <n v="197.56148630049498"/>
    <n v="197.56148630049498"/>
    <n v="197.56148630049498"/>
    <n v="197.56148630049498"/>
    <n v="197.56148630049498"/>
    <n v="197.56148630049498"/>
    <n v="197.56148630049498"/>
    <n v="197.56148630049498"/>
    <n v="197.56148630049498"/>
    <n v="197.56148630049498"/>
    <n v="197.56148630049498"/>
    <n v="197.56148630049498"/>
  </r>
  <r>
    <x v="11"/>
    <s v="EXCISE TAX (4.712%)"/>
    <n v="751.81870207875079"/>
    <n v="751.81870207875079"/>
    <n v="751.81870207875079"/>
    <n v="751.81870207875079"/>
    <n v="751.81870207875079"/>
    <n v="751.81870207875079"/>
    <n v="751.81870207875079"/>
    <n v="751.81870207875079"/>
    <n v="751.81870207875079"/>
    <n v="751.81870207875079"/>
    <n v="751.81870207875079"/>
    <n v="751.81870207875079"/>
  </r>
  <r>
    <x v="12"/>
    <s v="EXCISE TAX (4.712%)"/>
    <n v="1604.7952621552561"/>
    <n v="1604.7952621552561"/>
    <n v="1604.7952621552561"/>
    <n v="1604.7952621552561"/>
    <n v="1604.7952621552561"/>
    <n v="1604.7952621552561"/>
    <n v="1604.7952621552561"/>
    <n v="1604.7952621552561"/>
    <n v="1604.7952621552561"/>
    <n v="1604.7952621552561"/>
    <n v="1604.7952621552561"/>
    <n v="1604.7952621552561"/>
  </r>
  <r>
    <x v="13"/>
    <s v="EXCISE TAX (4.712%)"/>
    <n v="0"/>
    <n v="0"/>
    <n v="0"/>
    <n v="0"/>
    <n v="0"/>
    <n v="0"/>
    <n v="660.25843634377645"/>
    <n v="660.25843634377645"/>
    <n v="660.25843634377645"/>
    <n v="660.25843634377645"/>
    <n v="660.25843634377645"/>
    <n v="660.25843634377645"/>
  </r>
  <r>
    <x v="14"/>
    <s v="EXCISE TAX (4.712%)"/>
    <n v="0"/>
    <n v="0"/>
    <n v="0"/>
    <n v="0"/>
    <n v="0"/>
    <n v="0"/>
    <n v="0"/>
    <n v="0"/>
    <n v="0"/>
    <n v="0"/>
    <n v="0"/>
    <n v="0"/>
  </r>
  <r>
    <x v="15"/>
    <s v="EXCISE TAX (4.712%)"/>
    <n v="409.9537998999935"/>
    <n v="409.9537998999935"/>
    <n v="409.9537998999935"/>
    <n v="409.9537998999935"/>
    <n v="409.9537998999935"/>
    <n v="409.9537998999935"/>
    <n v="409.9537998999935"/>
    <n v="409.9537998999935"/>
    <n v="409.9537998999935"/>
    <n v="409.9537998999935"/>
    <n v="409.9537998999935"/>
    <n v="409.9537998999935"/>
  </r>
  <r>
    <x v="16"/>
    <s v="EXCISE TAX (4.712%)"/>
    <n v="830.21743089505651"/>
    <n v="830.21743089505651"/>
    <n v="830.21743089505651"/>
    <n v="830.21743089505651"/>
    <n v="830.21743089505651"/>
    <n v="830.21743089505651"/>
    <n v="830.21743089505651"/>
    <n v="830.21743089505651"/>
    <n v="830.21743089505651"/>
    <n v="830.21743089505651"/>
    <n v="830.21743089505651"/>
    <n v="830.21743089505651"/>
  </r>
  <r>
    <x v="0"/>
    <s v="FOOD COURT"/>
    <n v="1579.9221234074446"/>
    <n v="1579.9221234074446"/>
    <n v="1579.9221234074446"/>
    <n v="1579.9221234074446"/>
    <n v="1579.9221234074446"/>
    <n v="1579.9221234074446"/>
    <n v="1579.9221234074446"/>
    <n v="1579.9221234074446"/>
    <n v="1579.9221234074446"/>
    <n v="1579.9221234074446"/>
    <n v="1579.9221234074446"/>
    <n v="1579.9221234074446"/>
  </r>
  <r>
    <x v="1"/>
    <s v="FOOD COURT"/>
    <n v="438.11938046465156"/>
    <n v="438.11938046465156"/>
    <n v="438.11938046465156"/>
    <n v="438.11938046465156"/>
    <n v="438.11938046465156"/>
    <n v="438.11938046465156"/>
    <n v="438.11938046465156"/>
    <n v="438.11938046465156"/>
    <n v="438.11938046465156"/>
    <n v="438.11938046465156"/>
    <n v="438.11938046465156"/>
    <n v="438.11938046465156"/>
  </r>
  <r>
    <x v="2"/>
    <s v="FOOD COURT"/>
    <n v="81.586476809059874"/>
    <n v="81.586476809059874"/>
    <n v="81.586476809059874"/>
    <n v="81.586476809059874"/>
    <n v="81.586476809059874"/>
    <n v="81.586476809059874"/>
    <n v="81.586476809059874"/>
    <n v="81.586476809059874"/>
    <n v="81.586476809059874"/>
    <n v="81.586476809059874"/>
    <n v="81.586476809059874"/>
    <n v="81.586476809059874"/>
  </r>
  <r>
    <x v="3"/>
    <s v="FOOD COURT"/>
    <n v="211.30897493546505"/>
    <n v="211.30897493546505"/>
    <n v="211.30897493546505"/>
    <n v="211.30897493546505"/>
    <n v="211.30897493546505"/>
    <n v="211.30897493546505"/>
    <n v="211.30897493546505"/>
    <n v="211.30897493546505"/>
    <n v="211.30897493546505"/>
    <n v="211.30897493546505"/>
    <n v="211.30897493546505"/>
    <n v="211.30897493546505"/>
  </r>
  <r>
    <x v="4"/>
    <s v="FOOD COURT"/>
    <n v="0"/>
    <n v="0"/>
    <n v="0"/>
    <n v="0"/>
    <n v="0"/>
    <n v="0"/>
    <n v="0"/>
    <n v="0"/>
    <n v="0"/>
    <n v="0"/>
    <n v="0"/>
    <n v="0"/>
  </r>
  <r>
    <x v="5"/>
    <s v="FOOD COURT"/>
    <n v="405.48478974102756"/>
    <n v="405.48478974102756"/>
    <n v="405.48478974102756"/>
    <n v="405.48478974102756"/>
    <n v="405.48478974102756"/>
    <n v="405.48478974102756"/>
    <n v="405.48478974102756"/>
    <n v="405.48478974102756"/>
    <n v="405.48478974102756"/>
    <n v="405.48478974102756"/>
    <n v="405.48478974102756"/>
    <n v="405.48478974102756"/>
  </r>
  <r>
    <x v="6"/>
    <s v="FOOD COURT"/>
    <n v="0"/>
    <n v="0"/>
    <n v="0"/>
    <n v="0"/>
    <n v="0"/>
    <n v="0"/>
    <n v="0"/>
    <n v="0"/>
    <n v="0"/>
    <n v="0"/>
    <n v="0"/>
    <n v="0"/>
  </r>
  <r>
    <x v="7"/>
    <s v="FOOD COURT"/>
    <n v="1438.3695861437254"/>
    <n v="1438.3695861437254"/>
    <n v="1438.3695861437254"/>
    <n v="1438.3695861437254"/>
    <n v="1438.3695861437254"/>
    <n v="1438.3695861437254"/>
    <n v="1438.3695861437254"/>
    <n v="1438.3695861437254"/>
    <n v="1438.3695861437254"/>
    <n v="1438.3695861437254"/>
    <n v="1438.3695861437254"/>
    <n v="1438.3695861437254"/>
  </r>
  <r>
    <x v="8"/>
    <s v="FOOD COURT"/>
    <n v="0"/>
    <n v="0"/>
    <n v="0"/>
    <n v="0"/>
    <n v="0"/>
    <n v="0"/>
    <n v="0"/>
    <n v="0"/>
    <n v="4379.5620751103343"/>
    <n v="4379.5620751103343"/>
    <n v="4379.5620751103343"/>
    <n v="4379.5620751103343"/>
  </r>
  <r>
    <x v="9"/>
    <s v="FOOD COURT"/>
    <n v="0"/>
    <n v="0"/>
    <n v="0"/>
    <n v="0"/>
    <n v="0"/>
    <n v="0"/>
    <n v="0"/>
    <n v="0"/>
    <n v="0"/>
    <n v="0"/>
    <n v="0"/>
    <n v="0"/>
  </r>
  <r>
    <x v="10"/>
    <s v="FOOD COURT"/>
    <n v="203.96619202264969"/>
    <n v="203.96619202264969"/>
    <n v="203.96619202264969"/>
    <n v="203.96619202264969"/>
    <n v="203.96619202264969"/>
    <n v="203.96619202264969"/>
    <n v="203.96619202264969"/>
    <n v="203.96619202264969"/>
    <n v="203.96619202264969"/>
    <n v="203.96619202264969"/>
    <n v="203.96619202264969"/>
    <n v="203.96619202264969"/>
  </r>
  <r>
    <x v="11"/>
    <s v="FOOD COURT"/>
    <n v="1181.3721841951869"/>
    <n v="1181.3721841951869"/>
    <n v="1181.3721841951869"/>
    <n v="1181.3721841951869"/>
    <n v="1181.3721841951869"/>
    <n v="1181.3721841951869"/>
    <n v="1181.3721841951869"/>
    <n v="1181.3721841951869"/>
    <n v="1181.3721841951869"/>
    <n v="1181.3721841951869"/>
    <n v="1181.3721841951869"/>
    <n v="1181.3721841951869"/>
  </r>
  <r>
    <x v="12"/>
    <s v="FOOD COURT"/>
    <n v="0"/>
    <n v="0"/>
    <n v="0"/>
    <n v="0"/>
    <n v="0"/>
    <n v="0"/>
    <n v="0"/>
    <n v="0"/>
    <n v="0"/>
    <n v="0"/>
    <n v="0"/>
    <n v="0"/>
  </r>
  <r>
    <x v="13"/>
    <s v="FOOD COURT"/>
    <n v="0"/>
    <n v="0"/>
    <n v="0"/>
    <n v="0"/>
    <n v="0"/>
    <n v="0"/>
    <n v="2651.5604962944458"/>
    <n v="2651.5604962944458"/>
    <n v="2651.5604962944458"/>
    <n v="2651.5604962944458"/>
    <n v="2651.5604962944458"/>
    <n v="2651.5604962944458"/>
  </r>
  <r>
    <x v="14"/>
    <s v="FOOD COURT"/>
    <n v="0"/>
    <n v="0"/>
    <n v="0"/>
    <n v="0"/>
    <n v="0"/>
    <n v="0"/>
    <n v="0"/>
    <n v="0"/>
    <n v="0"/>
    <n v="0"/>
    <n v="0"/>
    <n v="0"/>
  </r>
  <r>
    <x v="15"/>
    <s v="FOOD COURT"/>
    <n v="0"/>
    <n v="0"/>
    <n v="0"/>
    <n v="0"/>
    <n v="0"/>
    <n v="0"/>
    <n v="0"/>
    <n v="0"/>
    <n v="0"/>
    <n v="0"/>
    <n v="0"/>
    <n v="0"/>
  </r>
  <r>
    <x v="16"/>
    <s v="FOOD COURT"/>
    <n v="1510.9815505037889"/>
    <n v="1510.9815505037889"/>
    <n v="1510.9815505037889"/>
    <n v="1510.9815505037889"/>
    <n v="1510.9815505037889"/>
    <n v="1510.9815505037889"/>
    <n v="1510.9815505037889"/>
    <n v="1510.9815505037889"/>
    <n v="1510.9815505037889"/>
    <n v="1510.9815505037889"/>
    <n v="1510.9815505037889"/>
    <n v="1510.9815505037889"/>
  </r>
  <r>
    <x v="0"/>
    <s v="MARKETING"/>
    <n v="500"/>
    <n v="500"/>
    <n v="500"/>
    <n v="500"/>
    <n v="500"/>
    <n v="500"/>
    <n v="500"/>
    <n v="500"/>
    <n v="500"/>
    <n v="500"/>
    <n v="500"/>
    <n v="500"/>
  </r>
  <r>
    <x v="1"/>
    <s v="MARKETING"/>
    <n v="0"/>
    <n v="0"/>
    <n v="0"/>
    <n v="0"/>
    <n v="0"/>
    <n v="0"/>
    <n v="0"/>
    <n v="0"/>
    <n v="0"/>
    <n v="0"/>
    <n v="0"/>
    <n v="0"/>
  </r>
  <r>
    <x v="2"/>
    <s v="MARKETING"/>
    <n v="220"/>
    <n v="220"/>
    <n v="220"/>
    <n v="220"/>
    <n v="220"/>
    <n v="220"/>
    <n v="220"/>
    <n v="220"/>
    <n v="220"/>
    <n v="220"/>
    <n v="220"/>
    <n v="220"/>
  </r>
  <r>
    <x v="3"/>
    <s v="MARKETING"/>
    <n v="0"/>
    <n v="0"/>
    <n v="0"/>
    <n v="0"/>
    <n v="0"/>
    <n v="0"/>
    <n v="0"/>
    <n v="0"/>
    <n v="0"/>
    <n v="0"/>
    <n v="0"/>
    <n v="0"/>
  </r>
  <r>
    <x v="4"/>
    <s v="MARKETING"/>
    <n v="166.67"/>
    <n v="166.67"/>
    <n v="166.67"/>
    <n v="166.67"/>
    <n v="166.67"/>
    <n v="166.67"/>
    <n v="166.67"/>
    <n v="166.67"/>
    <n v="166.67"/>
    <n v="166.67"/>
    <n v="166.67"/>
    <n v="166.67"/>
  </r>
  <r>
    <x v="5"/>
    <s v="MARKETING"/>
    <n v="0"/>
    <n v="0"/>
    <n v="0"/>
    <n v="0"/>
    <n v="0"/>
    <n v="0"/>
    <n v="0"/>
    <n v="0"/>
    <n v="0"/>
    <n v="0"/>
    <n v="0"/>
    <n v="0"/>
  </r>
  <r>
    <x v="6"/>
    <s v="MARKETING"/>
    <n v="0"/>
    <n v="0"/>
    <n v="0"/>
    <n v="0"/>
    <n v="0"/>
    <n v="0"/>
    <n v="0"/>
    <n v="0"/>
    <n v="0"/>
    <n v="0"/>
    <n v="0"/>
    <n v="0"/>
  </r>
  <r>
    <x v="7"/>
    <s v="MARKETING"/>
    <n v="500"/>
    <n v="500"/>
    <n v="500"/>
    <n v="500"/>
    <n v="500"/>
    <n v="500"/>
    <n v="500"/>
    <n v="500"/>
    <n v="500"/>
    <n v="500"/>
    <n v="500"/>
    <n v="500"/>
  </r>
  <r>
    <x v="8"/>
    <s v="MARKETING"/>
    <n v="0"/>
    <n v="0"/>
    <n v="0"/>
    <n v="0"/>
    <n v="0"/>
    <n v="0"/>
    <n v="0"/>
    <n v="0"/>
    <n v="0"/>
    <n v="0"/>
    <n v="0"/>
    <n v="0"/>
  </r>
  <r>
    <x v="9"/>
    <s v="MARKETING"/>
    <n v="500"/>
    <n v="500"/>
    <n v="500"/>
    <n v="500"/>
    <n v="500"/>
    <n v="500"/>
    <n v="500"/>
    <n v="500"/>
    <n v="500"/>
    <n v="500"/>
    <n v="500"/>
    <n v="500"/>
  </r>
  <r>
    <x v="10"/>
    <s v="MARKETING"/>
    <n v="0"/>
    <n v="0"/>
    <n v="0"/>
    <n v="0"/>
    <n v="0"/>
    <n v="0"/>
    <n v="0"/>
    <n v="0"/>
    <n v="0"/>
    <n v="0"/>
    <n v="0"/>
    <n v="0"/>
  </r>
  <r>
    <x v="11"/>
    <s v="MARKETING"/>
    <n v="869"/>
    <n v="869"/>
    <n v="869"/>
    <n v="869"/>
    <n v="869"/>
    <n v="869"/>
    <n v="869"/>
    <n v="869"/>
    <n v="869"/>
    <n v="869"/>
    <n v="869"/>
    <n v="869"/>
  </r>
  <r>
    <x v="12"/>
    <s v="MARKETING"/>
    <n v="0"/>
    <n v="0"/>
    <n v="0"/>
    <n v="0"/>
    <n v="0"/>
    <n v="0"/>
    <n v="0"/>
    <n v="0"/>
    <n v="0"/>
    <n v="0"/>
    <n v="0"/>
    <n v="0"/>
  </r>
  <r>
    <x v="13"/>
    <s v="MARKETING"/>
    <n v="0"/>
    <n v="0"/>
    <n v="0"/>
    <n v="0"/>
    <n v="0"/>
    <n v="0"/>
    <n v="300"/>
    <n v="300"/>
    <n v="300"/>
    <n v="300"/>
    <n v="300"/>
    <n v="300"/>
  </r>
  <r>
    <x v="14"/>
    <s v="MARKETING"/>
    <n v="0"/>
    <n v="0"/>
    <n v="0"/>
    <n v="0"/>
    <n v="0"/>
    <n v="0"/>
    <n v="0"/>
    <n v="0"/>
    <n v="0"/>
    <n v="0"/>
    <n v="0"/>
    <n v="0"/>
  </r>
  <r>
    <x v="15"/>
    <s v="MARKETING"/>
    <n v="0"/>
    <n v="0"/>
    <n v="0"/>
    <n v="0"/>
    <n v="0"/>
    <n v="0"/>
    <n v="0"/>
    <n v="0"/>
    <n v="0"/>
    <n v="0"/>
    <n v="0"/>
    <n v="0"/>
  </r>
  <r>
    <x v="16"/>
    <s v="MARKETING"/>
    <n v="0"/>
    <n v="0"/>
    <n v="0"/>
    <n v="0"/>
    <n v="0"/>
    <n v="0"/>
    <n v="0"/>
    <n v="0"/>
    <n v="0"/>
    <n v="0"/>
    <n v="0"/>
    <n v="0"/>
  </r>
  <r>
    <x v="0"/>
    <s v="ESTIMATED PERCENTAGE RENT"/>
    <n v="20000"/>
    <n v="20000"/>
    <n v="20000"/>
    <n v="20000"/>
    <n v="20000"/>
    <n v="20000"/>
    <n v="20000"/>
    <n v="20000"/>
    <n v="20000"/>
    <n v="20000"/>
    <n v="20000"/>
    <n v="20000"/>
  </r>
  <r>
    <x v="1"/>
    <s v="ESTIMATED PERCENTAGE RENT"/>
    <n v="25"/>
    <n v="25"/>
    <n v="25"/>
    <n v="25"/>
    <n v="25"/>
    <n v="25"/>
    <n v="25"/>
    <n v="25"/>
    <n v="25"/>
    <n v="25"/>
    <n v="25"/>
    <n v="25"/>
  </r>
  <r>
    <x v="2"/>
    <s v="ESTIMATED PERCENTAGE RENT"/>
    <n v="200"/>
    <n v="200"/>
    <n v="200"/>
    <n v="200"/>
    <n v="200"/>
    <n v="200"/>
    <n v="200"/>
    <n v="200"/>
    <n v="200"/>
    <n v="200"/>
    <n v="200"/>
    <n v="200"/>
  </r>
  <r>
    <x v="3"/>
    <s v="ESTIMATED PERCENTAGE RENT"/>
    <n v="900"/>
    <n v="900"/>
    <n v="900"/>
    <n v="900"/>
    <n v="900"/>
    <n v="900"/>
    <n v="900"/>
    <n v="900"/>
    <n v="900"/>
    <n v="900"/>
    <n v="900"/>
    <n v="900"/>
  </r>
  <r>
    <x v="4"/>
    <s v="ESTIMATED PERCENTAGE RENT"/>
    <n v="950"/>
    <n v="950"/>
    <n v="950"/>
    <n v="950"/>
    <n v="950"/>
    <n v="950"/>
    <n v="950"/>
    <n v="950"/>
    <n v="950"/>
    <n v="950"/>
    <n v="950"/>
    <n v="950"/>
  </r>
  <r>
    <x v="5"/>
    <s v="ESTIMATED PERCENTAGE RENT"/>
    <n v="0"/>
    <n v="0"/>
    <n v="0"/>
    <n v="0"/>
    <n v="0"/>
    <n v="0"/>
    <n v="0"/>
    <n v="0"/>
    <n v="0"/>
    <n v="0"/>
    <n v="0"/>
    <n v="0"/>
  </r>
  <r>
    <x v="6"/>
    <s v="ESTIMATED PERCENTAGE RENT"/>
    <n v="0"/>
    <n v="0"/>
    <n v="0"/>
    <n v="0"/>
    <n v="0"/>
    <n v="0"/>
    <n v="0"/>
    <n v="0"/>
    <n v="0"/>
    <n v="0"/>
    <n v="0"/>
    <n v="0"/>
  </r>
  <r>
    <x v="7"/>
    <s v="ESTIMATED PERCENTAGE RENT"/>
    <m/>
    <n v="0"/>
    <n v="0"/>
    <n v="0"/>
    <n v="0"/>
    <n v="0"/>
    <m/>
    <n v="4500"/>
    <n v="4500"/>
    <n v="4500"/>
    <n v="4500"/>
    <n v="4500"/>
  </r>
  <r>
    <x v="8"/>
    <s v="ESTIMATED PERCENTAGE RENT"/>
    <n v="0"/>
    <n v="0"/>
    <n v="0"/>
    <n v="0"/>
    <n v="0"/>
    <n v="0"/>
    <n v="0"/>
    <m/>
    <n v="3000"/>
    <n v="3000"/>
    <n v="3000"/>
    <n v="3000"/>
  </r>
  <r>
    <x v="9"/>
    <s v="ESTIMATED PERCENTAGE RENT"/>
    <n v="18000"/>
    <n v="18000"/>
    <n v="18000"/>
    <n v="18000"/>
    <n v="18000"/>
    <n v="18000"/>
    <n v="18000"/>
    <n v="18000"/>
    <n v="18000"/>
    <n v="18000"/>
    <n v="18000"/>
    <n v="18000"/>
  </r>
  <r>
    <x v="10"/>
    <s v="ESTIMATED PERCENTAGE RENT"/>
    <n v="820"/>
    <n v="820"/>
    <n v="820"/>
    <n v="820"/>
    <n v="820"/>
    <n v="820"/>
    <n v="820"/>
    <n v="820"/>
    <n v="820"/>
    <n v="820"/>
    <n v="820"/>
    <n v="820"/>
  </r>
  <r>
    <x v="11"/>
    <s v="ESTIMATED PERCENTAGE RENT"/>
    <n v="0"/>
    <n v="0"/>
    <n v="0"/>
    <n v="0"/>
    <n v="0"/>
    <n v="0"/>
    <n v="0"/>
    <n v="0"/>
    <n v="0"/>
    <n v="0"/>
    <n v="0"/>
    <n v="0"/>
  </r>
  <r>
    <x v="12"/>
    <s v="ESTIMATED PERCENTAGE RENT"/>
    <n v="0"/>
    <n v="0"/>
    <n v="0"/>
    <n v="0"/>
    <n v="0"/>
    <n v="0"/>
    <n v="0"/>
    <n v="0"/>
    <n v="0"/>
    <n v="0"/>
    <n v="0"/>
    <n v="0"/>
  </r>
  <r>
    <x v="13"/>
    <s v="ESTIMATED PERCENTAGE RENT"/>
    <m/>
    <m/>
    <n v="0"/>
    <m/>
    <m/>
    <n v="0"/>
    <m/>
    <m/>
    <n v="0"/>
    <m/>
    <m/>
    <n v="0"/>
  </r>
  <r>
    <x v="14"/>
    <s v="ESTIMATED PERCENTAGE RENT"/>
    <n v="0"/>
    <n v="0"/>
    <n v="0"/>
    <n v="0"/>
    <n v="0"/>
    <n v="0"/>
    <n v="0"/>
    <n v="0"/>
    <n v="0"/>
    <n v="0"/>
    <n v="0"/>
    <n v="0"/>
  </r>
  <r>
    <x v="15"/>
    <s v="ESTIMATED PERCENTAGE RENT"/>
    <n v="3000"/>
    <n v="3000"/>
    <n v="3000"/>
    <n v="3000"/>
    <n v="3000"/>
    <n v="3000"/>
    <n v="3000"/>
    <n v="3000"/>
    <n v="3000"/>
    <n v="3000"/>
    <n v="3000"/>
    <n v="3000"/>
  </r>
  <r>
    <x v="16"/>
    <s v="ESTIMATED PERCENTAGE RENT"/>
    <n v="0"/>
    <n v="0"/>
    <n v="0"/>
    <n v="0"/>
    <n v="0"/>
    <n v="0"/>
    <n v="0"/>
    <n v="0"/>
    <n v="0"/>
    <n v="0"/>
    <n v="0"/>
    <n v="0"/>
  </r>
  <r>
    <x v="1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6476E-8CA5-4845-B217-33FFCBBE3DD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0" firstDataRow="1" firstDataCol="1"/>
  <pivotFields count="14">
    <pivotField axis="axisRow" showAll="0">
      <items count="19">
        <item x="9"/>
        <item x="4"/>
        <item x="14"/>
        <item x="5"/>
        <item x="7"/>
        <item x="3"/>
        <item x="10"/>
        <item x="8"/>
        <item x="0"/>
        <item x="12"/>
        <item x="2"/>
        <item x="15"/>
        <item x="16"/>
        <item x="6"/>
        <item x="11"/>
        <item x="13"/>
        <item x="1"/>
        <item x="17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" fld="2" baseField="0" baseItem="0"/>
    <dataField name="Sum of FEB" fld="3" baseField="0" baseItem="0"/>
    <dataField name="Sum of MARCH" fld="4" baseField="0" baseItem="0"/>
    <dataField name="Sum of APRIL" fld="5" baseField="0" baseItem="0"/>
    <dataField name="Sum of MAY" fld="6" baseField="0" baseItem="0"/>
    <dataField name="Sum of JUNE" fld="7" baseField="0" baseItem="0"/>
    <dataField name="Sum of JULY" fld="8" baseField="0" baseItem="0"/>
    <dataField name="Sum of AUGUST" fld="9" baseField="0" baseItem="0"/>
    <dataField name="Sum of SEPT" fld="10" baseField="0" baseItem="0"/>
    <dataField name="Sum of OCT" fld="11" baseField="0" baseItem="0"/>
    <dataField name="Sum of NOV" fld="12" baseField="0" baseItem="0"/>
    <dataField name="Sum of DEC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" dT="2026-04-01T18:00:49.87" personId="{B2B80E64-8615-40B6-88B4-E4D73D58141F}" id="{DFD12A62-5BE3-49E5-ABBE-BB445FC6E138}">
    <text>Added amount based in %rent workings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5" dT="2022-10-19T22:34:47.85" personId="{DF44F782-D7D5-496B-96EB-3C34E9F7E336}" id="{1FB9208D-931E-4D98-9576-B02BCD432236}">
    <text>Copy from bottom</text>
  </threadedComment>
  <threadedComment ref="B120" dT="2022-11-15T23:27:42.21" personId="{DF44F782-D7D5-496B-96EB-3C34E9F7E336}" id="{4FF27058-5C77-450C-AA41-416EF3378E79}">
    <text>3-7-5-009-025
3-7-5-009-027
3-7-5-009-028
3-7-5-009-043
Impounded</text>
  </threadedComment>
  <threadedComment ref="C137" dT="2022-10-18T16:53:16.18" personId="{DF44F782-D7D5-496B-96EB-3C34E9F7E336}" id="{202E6804-3775-41B6-A5BD-E5B283C26DC0}">
    <text>Pull from Marketing budget tab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5" dT="2022-10-18T18:23:33.26" personId="{DF44F782-D7D5-496B-96EB-3C34E9F7E336}" id="{1C78F99E-F89F-4EAE-9924-627D1183C09A}">
    <text>Ground Leases</text>
  </threadedComment>
  <threadedComment ref="C26" dT="2022-10-18T18:23:26.49" personId="{DF44F782-D7D5-496B-96EB-3C34E9F7E336}" id="{F76C8E7F-0C9F-463A-AC04-8783C14F50D9}">
    <text>Ground Leases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5" dT="2022-02-17T19:14:52.28" personId="{DF44F782-D7D5-496B-96EB-3C34E9F7E336}" id="{9542FDC1-BDF2-4951-B369-5D11892EE3B8}">
    <text>Tenant typically does not meet percent sales.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8" dT="2022-01-17T20:20:58.29" personId="{DF44F782-D7D5-496B-96EB-3C34E9F7E336}" id="{BC306EF6-32EF-4676-B883-243F05938266}">
    <text>1% of gross sales monthly but only up to $2,000 annual. Tenant exceeds, so annual max is used.</text>
  </threadedComment>
  <threadedComment ref="D29" dT="2022-01-10T23:45:33.50" personId="{DF44F782-D7D5-496B-96EB-3C34E9F7E336}" id="{3D9D4690-B5D8-4FD0-95FA-80281181470E}">
    <text>1% of gross sales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B104" dT="2022-10-20T00:12:26.26" personId="{DF44F782-D7D5-496B-96EB-3C34E9F7E336}" id="{9C18F20C-A233-442F-8E69-524A35C3B55A}">
    <text>Tenant has 5% cumulative cap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S8" dT="2022-10-19T22:30:55.33" personId="{DF44F782-D7D5-496B-96EB-3C34E9F7E336}" id="{EE40348F-E62F-42B7-B1FC-9316C7134A4C}">
    <text>Until Dec. 31, 2030</text>
  </threadedComment>
  <threadedComment ref="L14" dT="2022-01-17T20:03:51.80" personId="{DF44F782-D7D5-496B-96EB-3C34E9F7E336}" id="{81D2C9D4-513C-4A9A-927B-5E9D34F6E29B}">
    <text>Tenat to pay 1% gross sales monthly but cannot exceed $2000/year. Tenant hits over max, so number will be billed at $2000 annual.</text>
  </threadedComment>
  <threadedComment ref="L26" dT="2022-01-17T20:20:18.15" personId="{DF44F782-D7D5-496B-96EB-3C34E9F7E336}" id="{CE38946F-6ECA-4C92-9D44-73F767EF3BB5}">
    <text>Removed flat fee. Billing is 1% of gross sales.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10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D8F6-3DFD-47AC-9108-B0D634984FFD}">
  <dimension ref="A1:BS51"/>
  <sheetViews>
    <sheetView tabSelected="1" zoomScale="55" zoomScaleNormal="55" workbookViewId="0">
      <pane xSplit="2" ySplit="6" topLeftCell="AN11" activePane="bottomRight" state="frozen"/>
      <selection pane="topRight" sqref="A1:O2"/>
      <selection pane="bottomLeft" sqref="A1:O2"/>
      <selection pane="bottomRight" activeCell="BO14" sqref="BO14"/>
    </sheetView>
  </sheetViews>
  <sheetFormatPr defaultColWidth="9.26953125" defaultRowHeight="12.5"/>
  <cols>
    <col min="1" max="1" width="10.26953125" style="508" bestFit="1" customWidth="1"/>
    <col min="2" max="2" width="36.26953125" style="511" bestFit="1" customWidth="1"/>
    <col min="3" max="3" width="15" style="508" customWidth="1"/>
    <col min="4" max="4" width="18.26953125" style="508" customWidth="1"/>
    <col min="5" max="5" width="14.453125" style="508" customWidth="1"/>
    <col min="6" max="6" width="39.453125" style="508" customWidth="1"/>
    <col min="7" max="7" width="1.7265625" style="508" customWidth="1"/>
    <col min="8" max="8" width="12.26953125" style="508" customWidth="1"/>
    <col min="9" max="9" width="15.54296875" style="508" customWidth="1"/>
    <col min="10" max="10" width="13" style="508" customWidth="1"/>
    <col min="11" max="11" width="45.54296875" style="508" customWidth="1"/>
    <col min="12" max="12" width="0.7265625" style="508" customWidth="1"/>
    <col min="13" max="13" width="13.26953125" style="508" customWidth="1"/>
    <col min="14" max="14" width="15.54296875" style="508" customWidth="1"/>
    <col min="15" max="15" width="13" style="508" customWidth="1"/>
    <col min="16" max="16" width="37.7265625" style="508" customWidth="1"/>
    <col min="17" max="17" width="10" style="508" customWidth="1"/>
    <col min="18" max="18" width="17.7265625" style="508" customWidth="1"/>
    <col min="19" max="19" width="13.7265625" style="508" customWidth="1"/>
    <col min="20" max="20" width="12.54296875" style="508" customWidth="1"/>
    <col min="21" max="21" width="37.7265625" style="508" customWidth="1"/>
    <col min="22" max="22" width="2.453125" style="508" customWidth="1"/>
    <col min="23" max="23" width="14.26953125" style="508" customWidth="1"/>
    <col min="24" max="24" width="15.26953125" style="508" customWidth="1"/>
    <col min="25" max="25" width="12.26953125" style="508" customWidth="1"/>
    <col min="26" max="26" width="43.54296875" style="508" customWidth="1"/>
    <col min="27" max="27" width="1" style="508" customWidth="1"/>
    <col min="28" max="30" width="13.7265625" style="508" customWidth="1"/>
    <col min="31" max="31" width="43.54296875" style="508" customWidth="1"/>
    <col min="32" max="32" width="2" style="508" customWidth="1"/>
    <col min="33" max="33" width="13.81640625" style="508" customWidth="1"/>
    <col min="34" max="34" width="15.54296875" style="508" customWidth="1"/>
    <col min="35" max="35" width="16.26953125" style="508" customWidth="1"/>
    <col min="36" max="36" width="43.54296875" style="508" customWidth="1"/>
    <col min="37" max="37" width="0.26953125" style="508" customWidth="1"/>
    <col min="38" max="38" width="14.1796875" style="508" customWidth="1"/>
    <col min="39" max="39" width="15.54296875" style="508" customWidth="1"/>
    <col min="40" max="40" width="13" style="508" customWidth="1"/>
    <col min="41" max="41" width="43.54296875" style="508" customWidth="1"/>
    <col min="42" max="42" width="9.81640625" style="508" customWidth="1"/>
    <col min="43" max="43" width="12.26953125" style="508" hidden="1" customWidth="1"/>
    <col min="44" max="44" width="15.54296875" style="508" hidden="1" customWidth="1"/>
    <col min="45" max="45" width="13" style="508" hidden="1" customWidth="1"/>
    <col min="46" max="46" width="37.7265625" style="508" hidden="1" customWidth="1"/>
    <col min="47" max="47" width="9.26953125" style="508" hidden="1" customWidth="1"/>
    <col min="48" max="48" width="12" style="508" hidden="1" customWidth="1"/>
    <col min="49" max="49" width="13.7265625" style="508" hidden="1" customWidth="1"/>
    <col min="50" max="50" width="12.7265625" style="508" hidden="1" customWidth="1"/>
    <col min="51" max="51" width="30.7265625" style="508" hidden="1" customWidth="1"/>
    <col min="52" max="52" width="7.54296875" style="508" hidden="1" customWidth="1"/>
    <col min="53" max="53" width="12.26953125" style="508" hidden="1" customWidth="1"/>
    <col min="54" max="54" width="15.54296875" style="508" hidden="1" customWidth="1"/>
    <col min="55" max="55" width="13" style="508" hidden="1" customWidth="1"/>
    <col min="56" max="56" width="55.453125" style="508" hidden="1" customWidth="1"/>
    <col min="57" max="57" width="8" style="508" hidden="1" customWidth="1"/>
    <col min="58" max="58" width="12.7265625" style="508" hidden="1" customWidth="1"/>
    <col min="59" max="59" width="14.26953125" style="508" hidden="1" customWidth="1"/>
    <col min="60" max="60" width="12.7265625" style="508" hidden="1" customWidth="1"/>
    <col min="61" max="61" width="37.7265625" style="508" hidden="1" customWidth="1"/>
    <col min="62" max="62" width="18.453125" style="508" hidden="1" customWidth="1"/>
    <col min="63" max="63" width="34" style="508" customWidth="1"/>
    <col min="64" max="65" width="17.26953125" style="508" bestFit="1" customWidth="1"/>
    <col min="66" max="66" width="15.453125" style="508" bestFit="1" customWidth="1"/>
    <col min="67" max="67" width="58.7265625" style="508" customWidth="1"/>
    <col min="68" max="68" width="29.26953125" style="508" customWidth="1"/>
    <col min="69" max="69" width="11.26953125" style="508" bestFit="1" customWidth="1"/>
    <col min="70" max="70" width="12.26953125" style="508" bestFit="1" customWidth="1"/>
    <col min="71" max="71" width="11.26953125" style="508" bestFit="1" customWidth="1"/>
    <col min="72" max="72" width="12.26953125" style="508" bestFit="1" customWidth="1"/>
    <col min="73" max="73" width="10.26953125" style="508" bestFit="1" customWidth="1"/>
    <col min="74" max="74" width="11.26953125" style="508" bestFit="1" customWidth="1"/>
    <col min="75" max="75" width="9.54296875" style="508" bestFit="1" customWidth="1"/>
    <col min="76" max="76" width="9.7265625" style="508" bestFit="1" customWidth="1"/>
    <col min="77" max="16384" width="9.26953125" style="508"/>
  </cols>
  <sheetData>
    <row r="1" spans="1:70" ht="18">
      <c r="B1" s="597">
        <v>165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7"/>
      <c r="BB1" s="597"/>
      <c r="BC1" s="597"/>
      <c r="BD1" s="597"/>
      <c r="BE1" s="597"/>
      <c r="BF1" s="597"/>
      <c r="BG1" s="597"/>
      <c r="BH1" s="597"/>
      <c r="BI1" s="597"/>
      <c r="BJ1" s="597"/>
      <c r="BK1" s="597"/>
      <c r="BL1" s="597"/>
      <c r="BM1" s="597"/>
      <c r="BN1" s="597"/>
      <c r="BO1" s="597"/>
    </row>
    <row r="2" spans="1:70" ht="18">
      <c r="B2" s="597" t="s">
        <v>0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97"/>
      <c r="AM2" s="597"/>
      <c r="AN2" s="597"/>
      <c r="AO2" s="597"/>
      <c r="AP2" s="597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7"/>
      <c r="BB2" s="597"/>
      <c r="BC2" s="597"/>
      <c r="BD2" s="597"/>
      <c r="BE2" s="597"/>
      <c r="BF2" s="597"/>
      <c r="BG2" s="597"/>
      <c r="BH2" s="597"/>
      <c r="BI2" s="597"/>
      <c r="BJ2" s="597"/>
      <c r="BK2" s="597"/>
      <c r="BL2" s="597"/>
      <c r="BM2" s="597"/>
      <c r="BN2" s="597"/>
      <c r="BO2" s="597"/>
    </row>
    <row r="3" spans="1:70" ht="18">
      <c r="B3" s="598">
        <v>2026</v>
      </c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8"/>
      <c r="T3" s="598"/>
      <c r="U3" s="598"/>
      <c r="V3" s="598"/>
      <c r="W3" s="598"/>
      <c r="X3" s="598"/>
      <c r="Y3" s="598"/>
      <c r="Z3" s="598"/>
      <c r="AA3" s="598"/>
      <c r="AB3" s="598"/>
      <c r="AC3" s="598"/>
      <c r="AD3" s="598"/>
      <c r="AE3" s="598"/>
      <c r="AF3" s="598"/>
      <c r="AG3" s="598"/>
      <c r="AH3" s="598"/>
      <c r="AI3" s="598"/>
      <c r="AJ3" s="598"/>
      <c r="AK3" s="598"/>
      <c r="AL3" s="598"/>
      <c r="AM3" s="598"/>
      <c r="AN3" s="598"/>
      <c r="AO3" s="598"/>
      <c r="AP3" s="598"/>
      <c r="AQ3" s="598"/>
      <c r="AR3" s="598"/>
      <c r="AS3" s="598"/>
      <c r="AT3" s="598"/>
      <c r="AU3" s="598"/>
      <c r="AV3" s="598"/>
      <c r="AW3" s="598"/>
      <c r="AX3" s="598"/>
      <c r="AY3" s="598"/>
      <c r="AZ3" s="598"/>
      <c r="BA3" s="598"/>
      <c r="BB3" s="598"/>
      <c r="BC3" s="598"/>
      <c r="BD3" s="598"/>
      <c r="BE3" s="598"/>
      <c r="BF3" s="598"/>
      <c r="BG3" s="598"/>
      <c r="BH3" s="598"/>
      <c r="BI3" s="598"/>
      <c r="BJ3" s="598"/>
      <c r="BK3" s="598"/>
      <c r="BL3" s="598"/>
      <c r="BM3" s="598"/>
      <c r="BN3" s="598"/>
      <c r="BO3" s="598"/>
    </row>
    <row r="4" spans="1:70" ht="13">
      <c r="B4" s="509"/>
      <c r="C4" s="599" t="s">
        <v>1</v>
      </c>
      <c r="D4" s="599"/>
      <c r="E4" s="599"/>
      <c r="F4" s="599"/>
      <c r="G4" s="574"/>
      <c r="H4" s="599" t="s">
        <v>2</v>
      </c>
      <c r="I4" s="599"/>
      <c r="J4" s="599"/>
      <c r="K4" s="599"/>
      <c r="M4" s="599" t="s">
        <v>3</v>
      </c>
      <c r="N4" s="599"/>
      <c r="O4" s="599"/>
      <c r="P4" s="599"/>
      <c r="R4" s="599" t="s">
        <v>4</v>
      </c>
      <c r="S4" s="599"/>
      <c r="T4" s="599"/>
      <c r="U4" s="599"/>
      <c r="W4" s="599" t="s">
        <v>5</v>
      </c>
      <c r="X4" s="599"/>
      <c r="Y4" s="599"/>
      <c r="Z4" s="599"/>
      <c r="AB4" s="599" t="s">
        <v>6</v>
      </c>
      <c r="AC4" s="599"/>
      <c r="AD4" s="599"/>
      <c r="AE4" s="599"/>
      <c r="AG4" s="599" t="s">
        <v>7</v>
      </c>
      <c r="AH4" s="599"/>
      <c r="AI4" s="599"/>
      <c r="AJ4" s="599"/>
      <c r="AL4" s="599" t="s">
        <v>8</v>
      </c>
      <c r="AM4" s="599"/>
      <c r="AN4" s="599"/>
      <c r="AO4" s="599"/>
      <c r="AQ4" s="599" t="s">
        <v>9</v>
      </c>
      <c r="AR4" s="599"/>
      <c r="AS4" s="599"/>
      <c r="AT4" s="599"/>
      <c r="AV4" s="599" t="s">
        <v>10</v>
      </c>
      <c r="AW4" s="599"/>
      <c r="AX4" s="599"/>
      <c r="AY4" s="599"/>
      <c r="BA4" s="599" t="s">
        <v>11</v>
      </c>
      <c r="BB4" s="599"/>
      <c r="BC4" s="599"/>
      <c r="BD4" s="599"/>
      <c r="BF4" s="599" t="s">
        <v>12</v>
      </c>
      <c r="BG4" s="599"/>
      <c r="BH4" s="599"/>
      <c r="BI4" s="599"/>
      <c r="BK4" s="596" t="s">
        <v>13</v>
      </c>
      <c r="BL4" s="596"/>
      <c r="BM4" s="596"/>
      <c r="BN4" s="596"/>
      <c r="BO4" s="596"/>
      <c r="BQ4" s="508" t="s">
        <v>14</v>
      </c>
    </row>
    <row r="5" spans="1:70" ht="13">
      <c r="B5" s="509"/>
      <c r="C5" s="599"/>
      <c r="D5" s="599"/>
      <c r="E5" s="599"/>
      <c r="F5" s="599"/>
      <c r="G5" s="574"/>
      <c r="H5" s="599"/>
      <c r="I5" s="599"/>
      <c r="J5" s="599"/>
      <c r="K5" s="599"/>
      <c r="M5" s="599"/>
      <c r="N5" s="599"/>
      <c r="O5" s="599"/>
      <c r="P5" s="599"/>
      <c r="R5" s="599"/>
      <c r="S5" s="599"/>
      <c r="T5" s="599"/>
      <c r="U5" s="599"/>
      <c r="W5" s="599"/>
      <c r="X5" s="599"/>
      <c r="Y5" s="599"/>
      <c r="Z5" s="599"/>
      <c r="AB5" s="599"/>
      <c r="AC5" s="599"/>
      <c r="AD5" s="599"/>
      <c r="AE5" s="599"/>
      <c r="AG5" s="599"/>
      <c r="AH5" s="599"/>
      <c r="AI5" s="599"/>
      <c r="AJ5" s="599"/>
      <c r="AL5" s="599"/>
      <c r="AM5" s="599"/>
      <c r="AN5" s="599"/>
      <c r="AO5" s="599"/>
      <c r="AQ5" s="599"/>
      <c r="AR5" s="599"/>
      <c r="AS5" s="599"/>
      <c r="AT5" s="599"/>
      <c r="AV5" s="599"/>
      <c r="AW5" s="599"/>
      <c r="AX5" s="599"/>
      <c r="AY5" s="599"/>
      <c r="BA5" s="599"/>
      <c r="BB5" s="599"/>
      <c r="BC5" s="599"/>
      <c r="BD5" s="599"/>
      <c r="BF5" s="599"/>
      <c r="BG5" s="599"/>
      <c r="BH5" s="599"/>
      <c r="BI5" s="599"/>
      <c r="BK5" s="575"/>
      <c r="BL5" s="575"/>
      <c r="BM5" s="575"/>
      <c r="BN5" s="575"/>
      <c r="BO5" s="575"/>
    </row>
    <row r="6" spans="1:70" ht="34" customHeight="1">
      <c r="B6" s="510" t="s">
        <v>15</v>
      </c>
      <c r="C6" s="510" t="s">
        <v>16</v>
      </c>
      <c r="D6" s="510" t="s">
        <v>17</v>
      </c>
      <c r="E6" s="510" t="s">
        <v>18</v>
      </c>
      <c r="F6" s="510" t="s">
        <v>19</v>
      </c>
      <c r="G6" s="510"/>
      <c r="H6" s="510" t="s">
        <v>16</v>
      </c>
      <c r="I6" s="510" t="s">
        <v>17</v>
      </c>
      <c r="J6" s="510" t="s">
        <v>18</v>
      </c>
      <c r="K6" s="510" t="s">
        <v>19</v>
      </c>
      <c r="M6" s="510" t="s">
        <v>16</v>
      </c>
      <c r="N6" s="510" t="s">
        <v>17</v>
      </c>
      <c r="O6" s="510" t="s">
        <v>18</v>
      </c>
      <c r="P6" s="510" t="s">
        <v>19</v>
      </c>
      <c r="R6" s="510" t="s">
        <v>16</v>
      </c>
      <c r="S6" s="510" t="s">
        <v>17</v>
      </c>
      <c r="T6" s="510" t="s">
        <v>18</v>
      </c>
      <c r="U6" s="510" t="s">
        <v>19</v>
      </c>
      <c r="W6" s="510" t="s">
        <v>16</v>
      </c>
      <c r="X6" s="510" t="s">
        <v>17</v>
      </c>
      <c r="Y6" s="510" t="s">
        <v>18</v>
      </c>
      <c r="Z6" s="510" t="s">
        <v>19</v>
      </c>
      <c r="AB6" s="510" t="s">
        <v>16</v>
      </c>
      <c r="AC6" s="510" t="s">
        <v>17</v>
      </c>
      <c r="AD6" s="510" t="s">
        <v>18</v>
      </c>
      <c r="AE6" s="510" t="s">
        <v>19</v>
      </c>
      <c r="AG6" s="510" t="s">
        <v>16</v>
      </c>
      <c r="AH6" s="510" t="s">
        <v>17</v>
      </c>
      <c r="AI6" s="510" t="s">
        <v>18</v>
      </c>
      <c r="AJ6" s="510" t="s">
        <v>19</v>
      </c>
      <c r="AL6" s="510" t="s">
        <v>16</v>
      </c>
      <c r="AM6" s="510" t="s">
        <v>17</v>
      </c>
      <c r="AN6" s="510" t="s">
        <v>18</v>
      </c>
      <c r="AO6" s="510" t="s">
        <v>19</v>
      </c>
      <c r="AQ6" s="510" t="s">
        <v>16</v>
      </c>
      <c r="AR6" s="510" t="s">
        <v>17</v>
      </c>
      <c r="AS6" s="510" t="s">
        <v>18</v>
      </c>
      <c r="AT6" s="510" t="s">
        <v>19</v>
      </c>
      <c r="AV6" s="510" t="s">
        <v>16</v>
      </c>
      <c r="AW6" s="510" t="s">
        <v>17</v>
      </c>
      <c r="AX6" s="510" t="s">
        <v>18</v>
      </c>
      <c r="AY6" s="510" t="s">
        <v>19</v>
      </c>
      <c r="BA6" s="510" t="s">
        <v>16</v>
      </c>
      <c r="BB6" s="510" t="s">
        <v>17</v>
      </c>
      <c r="BC6" s="510" t="s">
        <v>18</v>
      </c>
      <c r="BD6" s="510" t="s">
        <v>19</v>
      </c>
      <c r="BF6" s="510" t="s">
        <v>16</v>
      </c>
      <c r="BG6" s="510" t="s">
        <v>17</v>
      </c>
      <c r="BH6" s="510" t="s">
        <v>18</v>
      </c>
      <c r="BI6" s="510" t="s">
        <v>19</v>
      </c>
      <c r="BL6" s="510" t="s">
        <v>16</v>
      </c>
      <c r="BM6" s="510" t="s">
        <v>17</v>
      </c>
      <c r="BN6" s="510" t="s">
        <v>18</v>
      </c>
      <c r="BO6" s="510"/>
    </row>
    <row r="7" spans="1:70" s="511" customFormat="1" ht="87.5">
      <c r="A7" s="511" t="str">
        <f>Rent!B14</f>
        <v>A 1-4</v>
      </c>
      <c r="B7" s="511" t="str">
        <f>Rent!A14</f>
        <v xml:space="preserve">ISLAND LAVA JAVA </v>
      </c>
      <c r="C7" s="512">
        <f>VLOOKUP(B7,'Final Data'!A:B,2,0)+942</f>
        <v>49863.182973725641</v>
      </c>
      <c r="D7" s="512">
        <v>45483.44</v>
      </c>
      <c r="E7" s="522">
        <f t="shared" ref="E7:E22" si="0">D7-C7</f>
        <v>-4379.7429737256389</v>
      </c>
      <c r="F7" s="513" t="s">
        <v>20</v>
      </c>
      <c r="G7" s="514"/>
      <c r="H7" s="515">
        <f>VLOOKUP(B7,'Final Data'!$A$3:$C$35,3,0)+942</f>
        <v>49863.182973725641</v>
      </c>
      <c r="I7" s="516">
        <v>47223.98</v>
      </c>
      <c r="J7" s="522">
        <f t="shared" ref="J7:J24" si="1">I7-H7</f>
        <v>-2639.202973725638</v>
      </c>
      <c r="K7" s="513" t="s">
        <v>21</v>
      </c>
      <c r="M7" s="514">
        <f>VLOOKUP(B7,'Final Data'!$A$3:$D$31,4,0)+942</f>
        <v>49863.182973725641</v>
      </c>
      <c r="N7" s="517">
        <f>44637.21-15376.01</f>
        <v>29261.199999999997</v>
      </c>
      <c r="O7" s="522">
        <f t="shared" ref="O7:O24" si="2">N7-M7</f>
        <v>-20601.982973725644</v>
      </c>
      <c r="P7" s="518" t="s">
        <v>22</v>
      </c>
      <c r="R7" s="514">
        <f>VLOOKUP(B7,'Final Data'!$A$3:$E$29,5,0)+942</f>
        <v>49863.182973725641</v>
      </c>
      <c r="S7" s="519">
        <f>46931.45+15376.01</f>
        <v>62307.46</v>
      </c>
      <c r="T7" s="522">
        <f t="shared" ref="T7:T24" si="3">S7-R7</f>
        <v>12444.277026274358</v>
      </c>
      <c r="U7" s="518" t="s">
        <v>23</v>
      </c>
      <c r="W7" s="514">
        <f>VLOOKUP(B7,'Final Data'!$A$3:$F$37,6,0)+942</f>
        <v>49863.182973725641</v>
      </c>
      <c r="X7" s="519">
        <v>42915.519999999997</v>
      </c>
      <c r="Y7" s="522">
        <f t="shared" ref="Y7:Y24" si="4">X7-W7</f>
        <v>-6947.6629737256444</v>
      </c>
      <c r="Z7" s="520" t="s">
        <v>24</v>
      </c>
      <c r="AB7" s="514">
        <f>VLOOKUP(B7,'Final Data'!$A$3:$G$37,7,0)+942</f>
        <v>49863.182973725641</v>
      </c>
      <c r="AC7" s="559">
        <v>31044.65</v>
      </c>
      <c r="AD7" s="522">
        <f t="shared" ref="AD7:AD24" si="5">AC7-AB7</f>
        <v>-18818.53297372564</v>
      </c>
      <c r="AE7" s="562" t="s">
        <v>25</v>
      </c>
      <c r="AG7" s="514">
        <f>VLOOKUP(B7,'Final Data'!$A$3:$H$37,8,0)+942</f>
        <v>49863.182973725641</v>
      </c>
      <c r="AH7" s="522">
        <v>40624.76</v>
      </c>
      <c r="AI7" s="522">
        <f t="shared" ref="AI7:AI25" si="6">AH7-AG7</f>
        <v>-9238.4229737256392</v>
      </c>
      <c r="AJ7" s="520" t="s">
        <v>670</v>
      </c>
      <c r="AL7" s="514">
        <f>VLOOKUP(B7,'Final Data'!$A$3:$I$36,9,0)+942</f>
        <v>49863.182973725641</v>
      </c>
      <c r="AM7" s="517">
        <f>41690.24-226.54</f>
        <v>41463.699999999997</v>
      </c>
      <c r="AN7" s="522">
        <f t="shared" ref="AN7:AN24" si="7">AM7-AL7</f>
        <v>-8399.4829737256441</v>
      </c>
      <c r="AO7" s="520" t="s">
        <v>687</v>
      </c>
      <c r="AQ7" s="514"/>
      <c r="AR7" s="517"/>
      <c r="AS7" s="536"/>
      <c r="AT7" s="523"/>
      <c r="AV7" s="514"/>
      <c r="AW7" s="519"/>
      <c r="AX7" s="536"/>
      <c r="AY7" s="523"/>
      <c r="BA7" s="524"/>
      <c r="BB7" s="524"/>
      <c r="BC7" s="536"/>
      <c r="BD7" s="523"/>
      <c r="BF7" s="514"/>
      <c r="BG7" s="517"/>
      <c r="BH7" s="536"/>
      <c r="BI7" s="523"/>
      <c r="BK7" s="518" t="str">
        <f t="shared" ref="BK7:BK24" si="8">B7</f>
        <v xml:space="preserve">ISLAND LAVA JAVA </v>
      </c>
      <c r="BL7" s="522">
        <f>C7+H7+M7+R7+W7+AB7+AG7+AL7+AQ7+AV7+BA7+BF7</f>
        <v>398905.46378980519</v>
      </c>
      <c r="BM7" s="522">
        <f>D7+I7+N7+S7+X7+AC7+AH7+AM7+AR7+AW7+BB7+BG7</f>
        <v>340324.71</v>
      </c>
      <c r="BN7" s="522">
        <f>BM7-BL7</f>
        <v>-58580.753789805167</v>
      </c>
      <c r="BO7" s="563" t="s">
        <v>688</v>
      </c>
      <c r="BP7" s="525"/>
      <c r="BQ7" s="514"/>
      <c r="BR7" s="514"/>
    </row>
    <row r="8" spans="1:70" s="511" customFormat="1" ht="50">
      <c r="A8" s="511" t="str">
        <f>Rent!B15</f>
        <v>B-5</v>
      </c>
      <c r="B8" s="511" t="str">
        <f>Rent!A15</f>
        <v>TAKA SUSHI</v>
      </c>
      <c r="C8" s="512">
        <f>VLOOKUP(B8,'Final Data'!A:B,2,0)+1.18+19.94</f>
        <v>7297.6182021900695</v>
      </c>
      <c r="D8" s="512">
        <v>7271.44</v>
      </c>
      <c r="E8" s="522">
        <f t="shared" si="0"/>
        <v>-26.178202190069896</v>
      </c>
      <c r="F8" s="513" t="s">
        <v>26</v>
      </c>
      <c r="G8" s="514"/>
      <c r="H8" s="515">
        <f>VLOOKUP(B8,'Final Data'!$A$3:$C$35,3,0)+1.18+19.94</f>
        <v>7297.6182021900695</v>
      </c>
      <c r="I8" s="516">
        <v>7271.44</v>
      </c>
      <c r="J8" s="522">
        <f t="shared" si="1"/>
        <v>-26.178202190069896</v>
      </c>
      <c r="K8" s="513" t="s">
        <v>26</v>
      </c>
      <c r="M8" s="514">
        <f>VLOOKUP(B8,'Final Data'!$A$3:$D$31,4,0)+1.18+19.94</f>
        <v>7297.6182021900695</v>
      </c>
      <c r="N8" s="517">
        <v>7271.44</v>
      </c>
      <c r="O8" s="522">
        <f t="shared" si="2"/>
        <v>-26.178202190069896</v>
      </c>
      <c r="P8" s="513" t="s">
        <v>26</v>
      </c>
      <c r="R8" s="514">
        <f>VLOOKUP(B8,'Final Data'!$A$3:$E$29,5,0)+1.18+19.94</f>
        <v>7297.6182021900695</v>
      </c>
      <c r="S8" s="519">
        <v>7271.44</v>
      </c>
      <c r="T8" s="522">
        <f t="shared" si="3"/>
        <v>-26.178202190069896</v>
      </c>
      <c r="U8" s="513" t="s">
        <v>26</v>
      </c>
      <c r="W8" s="514">
        <f>VLOOKUP(B8,'Final Data'!$A$3:$F$37,6,0)+1.18+19.94</f>
        <v>7297.6182021900695</v>
      </c>
      <c r="X8" s="519">
        <v>7271.44</v>
      </c>
      <c r="Y8" s="522">
        <f t="shared" si="4"/>
        <v>-26.178202190069896</v>
      </c>
      <c r="Z8" s="513" t="s">
        <v>26</v>
      </c>
      <c r="AB8" s="514">
        <f>VLOOKUP(B8,'Final Data'!$A$3:$G$37,7,0)+1.18+19.94</f>
        <v>7297.6182021900695</v>
      </c>
      <c r="AC8" s="559">
        <v>4288.55</v>
      </c>
      <c r="AD8" s="522">
        <f t="shared" si="5"/>
        <v>-3009.0682021900693</v>
      </c>
      <c r="AE8" s="564" t="s">
        <v>27</v>
      </c>
      <c r="AF8" s="565"/>
      <c r="AG8" s="514">
        <f>VLOOKUP(B8,'Final Data'!$A$3:$H$37,8,0)+1.18+19.94</f>
        <v>7297.6182021900695</v>
      </c>
      <c r="AH8" s="567">
        <v>7271.44</v>
      </c>
      <c r="AI8" s="522">
        <f t="shared" si="6"/>
        <v>-26.178202190069896</v>
      </c>
      <c r="AJ8" s="568" t="s">
        <v>671</v>
      </c>
      <c r="AK8" s="565"/>
      <c r="AL8" s="514">
        <f>VLOOKUP(B8,'Final Data'!$A$3:$I$36,9,0)+1.18+19.94</f>
        <v>7297.6182021900695</v>
      </c>
      <c r="AM8" s="517">
        <v>7271.44</v>
      </c>
      <c r="AN8" s="522">
        <f t="shared" si="7"/>
        <v>-26.178202190069896</v>
      </c>
      <c r="AO8" s="568" t="s">
        <v>671</v>
      </c>
      <c r="AP8" s="565"/>
      <c r="AQ8" s="566"/>
      <c r="AR8" s="569"/>
      <c r="AS8" s="576"/>
      <c r="AT8" s="570"/>
      <c r="AU8" s="565"/>
      <c r="AV8" s="566"/>
      <c r="AW8" s="571"/>
      <c r="AX8" s="576"/>
      <c r="AY8" s="570"/>
      <c r="AZ8" s="565"/>
      <c r="BA8" s="572"/>
      <c r="BB8" s="572"/>
      <c r="BC8" s="576"/>
      <c r="BD8" s="570"/>
      <c r="BE8" s="565"/>
      <c r="BF8" s="566"/>
      <c r="BG8" s="569"/>
      <c r="BH8" s="576"/>
      <c r="BI8" s="570"/>
      <c r="BJ8" s="565"/>
      <c r="BK8" s="564" t="str">
        <f t="shared" si="8"/>
        <v>TAKA SUSHI</v>
      </c>
      <c r="BL8" s="567">
        <f t="shared" ref="BL8:BL24" si="9">C8+H8+M8+R8+W8+AB8+AG8+AL8+AQ8+AV8+BA8+BF8</f>
        <v>58380.945617520549</v>
      </c>
      <c r="BM8" s="567">
        <f t="shared" ref="BM8:BM22" si="10">D8+I8+N8+S8+X8+AC8+AH8+AM8+AR8+AW8+BB8+BG8</f>
        <v>55188.630000000005</v>
      </c>
      <c r="BN8" s="567">
        <f t="shared" ref="BN8:BN26" si="11">BM8-BL8</f>
        <v>-3192.315617520544</v>
      </c>
      <c r="BO8" s="563" t="s">
        <v>689</v>
      </c>
      <c r="BP8" s="525"/>
      <c r="BQ8" s="526"/>
    </row>
    <row r="9" spans="1:70" s="511" customFormat="1" ht="62.5">
      <c r="A9" s="511" t="str">
        <f>Rent!B16</f>
        <v>B-6</v>
      </c>
      <c r="B9" s="511" t="str">
        <f>Rent!A16</f>
        <v>KANAKA KAVA</v>
      </c>
      <c r="C9" s="512">
        <f>VLOOKUP(B9,'Final Data'!A:B,2,0)+9.42</f>
        <v>3208.7523951936819</v>
      </c>
      <c r="D9" s="512">
        <v>2999.33</v>
      </c>
      <c r="E9" s="522">
        <f>D9-C9</f>
        <v>-209.42239519368195</v>
      </c>
      <c r="F9" s="520" t="s">
        <v>28</v>
      </c>
      <c r="G9" s="514"/>
      <c r="H9" s="515">
        <f>VLOOKUP(B9,'Final Data'!$A$3:$C$35,3,0)+9.42</f>
        <v>3208.7523951936819</v>
      </c>
      <c r="I9" s="516">
        <v>3520.14</v>
      </c>
      <c r="J9" s="522">
        <f t="shared" si="1"/>
        <v>311.387604806318</v>
      </c>
      <c r="K9" s="520" t="s">
        <v>29</v>
      </c>
      <c r="M9" s="514">
        <f>VLOOKUP(B9,'Final Data'!$A$3:$D$31,4,0)+9.42</f>
        <v>3208.7523951936819</v>
      </c>
      <c r="N9" s="517">
        <v>2999.33</v>
      </c>
      <c r="O9" s="522">
        <f t="shared" si="2"/>
        <v>-209.42239519368195</v>
      </c>
      <c r="P9" s="520" t="s">
        <v>28</v>
      </c>
      <c r="R9" s="514">
        <f>VLOOKUP(B9,'Final Data'!$A$3:$E$29,5,0)+9.42</f>
        <v>3270.5523951936821</v>
      </c>
      <c r="S9" s="519">
        <v>3764.64</v>
      </c>
      <c r="T9" s="522">
        <f>S9-R9</f>
        <v>494.08760480631781</v>
      </c>
      <c r="U9" s="520" t="s">
        <v>30</v>
      </c>
      <c r="W9" s="514">
        <f>VLOOKUP(B9,'Final Data'!$A$3:$F$37,6,0)+9.42</f>
        <v>3270.5523951936821</v>
      </c>
      <c r="X9" s="519">
        <v>3348.47</v>
      </c>
      <c r="Y9" s="522">
        <f t="shared" si="4"/>
        <v>77.91760480631774</v>
      </c>
      <c r="Z9" s="520" t="s">
        <v>31</v>
      </c>
      <c r="AB9" s="514">
        <f>VLOOKUP(B9,'Final Data'!$A$3:$G$37,7,0)+9.42</f>
        <v>3270.5523951936821</v>
      </c>
      <c r="AC9" s="559">
        <v>2604.11</v>
      </c>
      <c r="AD9" s="522">
        <f t="shared" si="5"/>
        <v>-666.44239519368193</v>
      </c>
      <c r="AE9" s="564" t="s">
        <v>32</v>
      </c>
      <c r="AF9" s="565"/>
      <c r="AG9" s="514">
        <f>VLOOKUP(B9,'Final Data'!$A$3:$H$37,8,0)+9.42</f>
        <v>3270.5523951936821</v>
      </c>
      <c r="AH9" s="567">
        <v>3064.04</v>
      </c>
      <c r="AI9" s="522">
        <f t="shared" si="6"/>
        <v>-206.5123951936821</v>
      </c>
      <c r="AJ9" s="568" t="s">
        <v>672</v>
      </c>
      <c r="AK9" s="565"/>
      <c r="AL9" s="514">
        <f>VLOOKUP(B9,'Final Data'!$A$3:$I$36,9,0)+9.42</f>
        <v>3270.5523951936821</v>
      </c>
      <c r="AM9" s="517">
        <v>3189.11</v>
      </c>
      <c r="AN9" s="522">
        <f t="shared" si="7"/>
        <v>-81.442395193681932</v>
      </c>
      <c r="AO9" s="568" t="s">
        <v>690</v>
      </c>
      <c r="AP9" s="565"/>
      <c r="AQ9" s="566"/>
      <c r="AR9" s="569"/>
      <c r="AS9" s="576"/>
      <c r="AT9" s="568"/>
      <c r="AU9" s="565"/>
      <c r="AV9" s="566"/>
      <c r="AW9" s="571"/>
      <c r="AX9" s="576"/>
      <c r="AY9" s="568"/>
      <c r="AZ9" s="565"/>
      <c r="BA9" s="572"/>
      <c r="BB9" s="572"/>
      <c r="BC9" s="576"/>
      <c r="BD9" s="568"/>
      <c r="BE9" s="565"/>
      <c r="BF9" s="566"/>
      <c r="BG9" s="569"/>
      <c r="BH9" s="576"/>
      <c r="BI9" s="568"/>
      <c r="BJ9" s="565"/>
      <c r="BK9" s="565" t="str">
        <f t="shared" si="8"/>
        <v>KANAKA KAVA</v>
      </c>
      <c r="BL9" s="567">
        <f t="shared" si="9"/>
        <v>25979.019161549451</v>
      </c>
      <c r="BM9" s="567">
        <f t="shared" si="10"/>
        <v>25489.170000000002</v>
      </c>
      <c r="BN9" s="567">
        <f t="shared" si="11"/>
        <v>-489.84916154944949</v>
      </c>
      <c r="BO9" s="568" t="s">
        <v>691</v>
      </c>
      <c r="BP9" s="527"/>
      <c r="BQ9" s="526"/>
    </row>
    <row r="10" spans="1:70" s="511" customFormat="1" ht="62.5">
      <c r="A10" s="511" t="str">
        <f>Rent!B17</f>
        <v>C-7</v>
      </c>
      <c r="B10" s="511" t="str">
        <f>Rent!A17</f>
        <v>GECKO GIRLZ SHAVE ICE SHACK</v>
      </c>
      <c r="C10" s="512">
        <f>VLOOKUP(B10,'Final Data'!A:B,2,0)+42.39</f>
        <v>5174.1597003516363</v>
      </c>
      <c r="D10" s="512">
        <v>4630.0200000000004</v>
      </c>
      <c r="E10" s="522">
        <f t="shared" si="0"/>
        <v>-544.13970035163584</v>
      </c>
      <c r="F10" s="513" t="s">
        <v>33</v>
      </c>
      <c r="G10" s="514"/>
      <c r="H10" s="515">
        <f>VLOOKUP(B10,'Final Data'!$A$3:$C$35,3,0)+42.39</f>
        <v>5174.1597003516363</v>
      </c>
      <c r="I10" s="516">
        <v>5468.23</v>
      </c>
      <c r="J10" s="522">
        <f t="shared" si="1"/>
        <v>294.07029964836329</v>
      </c>
      <c r="K10" s="520" t="s">
        <v>34</v>
      </c>
      <c r="M10" s="514">
        <f>VLOOKUP(B10,'Final Data'!$A$3:$D$31,4,0)+42.39</f>
        <v>5174.1597003516363</v>
      </c>
      <c r="N10" s="517">
        <v>5679.04</v>
      </c>
      <c r="O10" s="522">
        <f t="shared" si="2"/>
        <v>504.88029964836369</v>
      </c>
      <c r="P10" s="520" t="s">
        <v>35</v>
      </c>
      <c r="R10" s="514">
        <f>VLOOKUP(B10,'Final Data'!$A$3:$E$29,5,0)+42.39</f>
        <v>5174.1597003516363</v>
      </c>
      <c r="S10" s="519">
        <v>5308.46</v>
      </c>
      <c r="T10" s="522">
        <f t="shared" si="3"/>
        <v>134.30029964836376</v>
      </c>
      <c r="U10" s="520" t="s">
        <v>36</v>
      </c>
      <c r="W10" s="514">
        <f>VLOOKUP(B10,'Final Data'!$A$3:$F$37,6,0)+42.39</f>
        <v>5174.1597003516363</v>
      </c>
      <c r="X10" s="519">
        <v>6482.98</v>
      </c>
      <c r="Y10" s="522">
        <f t="shared" si="4"/>
        <v>1308.8202996483633</v>
      </c>
      <c r="Z10" s="520" t="s">
        <v>37</v>
      </c>
      <c r="AB10" s="514">
        <f>VLOOKUP(B10,'Final Data'!$A$3:$G$37,7,0)+42.39</f>
        <v>5249.9997003516355</v>
      </c>
      <c r="AC10" s="559">
        <v>5718.71</v>
      </c>
      <c r="AD10" s="522">
        <f t="shared" si="5"/>
        <v>468.71029964836453</v>
      </c>
      <c r="AE10" s="518" t="s">
        <v>38</v>
      </c>
      <c r="AG10" s="514">
        <f>VLOOKUP(B10,'Final Data'!$A$3:$H$37,8,0)+42.39</f>
        <v>5176.5997003516359</v>
      </c>
      <c r="AH10" s="522">
        <v>4311.1899999999996</v>
      </c>
      <c r="AI10" s="522">
        <f t="shared" si="6"/>
        <v>-865.40970035163627</v>
      </c>
      <c r="AJ10" s="520" t="s">
        <v>692</v>
      </c>
      <c r="AL10" s="514">
        <f>VLOOKUP(B10,'Final Data'!$A$3:$I$36,9,0)+42.39</f>
        <v>5176.5997003516359</v>
      </c>
      <c r="AM10" s="517">
        <v>7305.67</v>
      </c>
      <c r="AN10" s="522">
        <f t="shared" si="7"/>
        <v>2129.0702996483642</v>
      </c>
      <c r="AO10" s="520" t="s">
        <v>693</v>
      </c>
      <c r="AQ10" s="514"/>
      <c r="AR10" s="517"/>
      <c r="AS10" s="536"/>
      <c r="AT10" s="520"/>
      <c r="AV10" s="514"/>
      <c r="AW10" s="519"/>
      <c r="AX10" s="536"/>
      <c r="AY10" s="520"/>
      <c r="BA10" s="524"/>
      <c r="BB10" s="524"/>
      <c r="BC10" s="536"/>
      <c r="BD10" s="520"/>
      <c r="BF10" s="514"/>
      <c r="BG10" s="517"/>
      <c r="BH10" s="536"/>
      <c r="BI10" s="520"/>
      <c r="BK10" s="511" t="str">
        <f t="shared" si="8"/>
        <v>GECKO GIRLZ SHAVE ICE SHACK</v>
      </c>
      <c r="BL10" s="522">
        <f t="shared" si="9"/>
        <v>41473.997602813091</v>
      </c>
      <c r="BM10" s="522">
        <f t="shared" si="10"/>
        <v>44904.3</v>
      </c>
      <c r="BN10" s="522">
        <f>BM10-BL10</f>
        <v>3430.3023971869115</v>
      </c>
      <c r="BO10" s="563" t="s">
        <v>694</v>
      </c>
      <c r="BP10" s="525"/>
      <c r="BQ10" s="514"/>
      <c r="BR10" s="526"/>
    </row>
    <row r="11" spans="1:70" s="511" customFormat="1" ht="50">
      <c r="A11" s="511" t="str">
        <f>Rent!B18</f>
        <v>C-8</v>
      </c>
      <c r="B11" s="511" t="str">
        <f>Rent!A18</f>
        <v>BIG ISLAND RUNNING CO.</v>
      </c>
      <c r="C11" s="512">
        <f>VLOOKUP(B11,'Final Data'!A:B,2,0)+44.75</f>
        <v>5382.402594843119</v>
      </c>
      <c r="D11" s="512">
        <v>6371.65</v>
      </c>
      <c r="E11" s="522">
        <f t="shared" si="0"/>
        <v>989.24740515688063</v>
      </c>
      <c r="F11" s="513" t="s">
        <v>39</v>
      </c>
      <c r="G11" s="514"/>
      <c r="H11" s="515">
        <f>VLOOKUP(B11,'Final Data'!$A$3:$C$35,3,0)+44.75</f>
        <v>5382.402594843119</v>
      </c>
      <c r="I11" s="516">
        <v>6272.23</v>
      </c>
      <c r="J11" s="522">
        <f t="shared" si="1"/>
        <v>889.82740515688056</v>
      </c>
      <c r="K11" s="513" t="s">
        <v>40</v>
      </c>
      <c r="M11" s="514">
        <f>VLOOKUP(B11,'Final Data'!$A$3:$D$31,4,0)+44.75</f>
        <v>5382.402594843119</v>
      </c>
      <c r="N11" s="517">
        <v>5451.14</v>
      </c>
      <c r="O11" s="522">
        <f t="shared" si="2"/>
        <v>68.737405156881323</v>
      </c>
      <c r="P11" s="513" t="s">
        <v>41</v>
      </c>
      <c r="R11" s="514">
        <f>VLOOKUP(B11,'Final Data'!$A$3:$E$29,5,0)+44.75</f>
        <v>5382.402594843119</v>
      </c>
      <c r="S11" s="519">
        <v>5606.61</v>
      </c>
      <c r="T11" s="522">
        <f t="shared" si="3"/>
        <v>224.20740515688067</v>
      </c>
      <c r="U11" s="513" t="s">
        <v>42</v>
      </c>
      <c r="W11" s="514">
        <f>VLOOKUP(B11,'Final Data'!$A$3:$F$37,6,0)+44.75</f>
        <v>5382.402594843119</v>
      </c>
      <c r="X11" s="519">
        <v>5101.2299999999996</v>
      </c>
      <c r="Y11" s="522">
        <f t="shared" si="4"/>
        <v>-281.17259484311944</v>
      </c>
      <c r="Z11" s="513" t="s">
        <v>43</v>
      </c>
      <c r="AB11" s="514">
        <f>VLOOKUP(B11,'Final Data'!$A$3:$G$37,7,0)+44.75</f>
        <v>5382.402594843119</v>
      </c>
      <c r="AC11" s="559">
        <v>3932.12</v>
      </c>
      <c r="AD11" s="522">
        <f t="shared" si="5"/>
        <v>-1450.2825948431191</v>
      </c>
      <c r="AE11" s="561" t="s">
        <v>44</v>
      </c>
      <c r="AG11" s="514">
        <f>VLOOKUP(B11,'Final Data'!$A$3:$H$37,8,0)+44.75</f>
        <v>5382.402594843119</v>
      </c>
      <c r="AH11" s="522">
        <v>4976.7</v>
      </c>
      <c r="AI11" s="522">
        <f t="shared" si="6"/>
        <v>-405.70259484311919</v>
      </c>
      <c r="AJ11" s="520" t="s">
        <v>673</v>
      </c>
      <c r="AL11" s="514">
        <f>VLOOKUP(B11,'Final Data'!$A$3:$I$36,9,0)+44.75</f>
        <v>5382.402594843119</v>
      </c>
      <c r="AM11" s="517">
        <v>5783.98</v>
      </c>
      <c r="AN11" s="522">
        <f t="shared" si="7"/>
        <v>401.57740515688056</v>
      </c>
      <c r="AO11" s="520" t="s">
        <v>695</v>
      </c>
      <c r="AQ11" s="514"/>
      <c r="AR11" s="517"/>
      <c r="AS11" s="536"/>
      <c r="AT11" s="518"/>
      <c r="AV11" s="514"/>
      <c r="AW11" s="529"/>
      <c r="AX11" s="536"/>
      <c r="AY11" s="520"/>
      <c r="BA11" s="524"/>
      <c r="BB11" s="530"/>
      <c r="BC11" s="536"/>
      <c r="BD11" s="520"/>
      <c r="BF11" s="514"/>
      <c r="BG11" s="517"/>
      <c r="BH11" s="536"/>
      <c r="BI11" s="520"/>
      <c r="BK11" s="511" t="str">
        <f t="shared" si="8"/>
        <v>BIG ISLAND RUNNING CO.</v>
      </c>
      <c r="BL11" s="522">
        <f t="shared" si="9"/>
        <v>43059.220758744952</v>
      </c>
      <c r="BM11" s="522">
        <f t="shared" si="10"/>
        <v>43495.66</v>
      </c>
      <c r="BN11" s="522">
        <f t="shared" si="11"/>
        <v>436.43924125505146</v>
      </c>
      <c r="BO11" s="563" t="s">
        <v>696</v>
      </c>
      <c r="BP11" s="525"/>
      <c r="BQ11" s="514"/>
    </row>
    <row r="12" spans="1:70" s="511" customFormat="1" ht="37.5">
      <c r="A12" s="511" t="str">
        <f>Rent!B19</f>
        <v>D11-12</v>
      </c>
      <c r="B12" s="511" t="str">
        <f>Rent!A19</f>
        <v>CAFE KONA</v>
      </c>
      <c r="C12" s="512">
        <f>VLOOKUP(B12,'Final Data'!A:B,2,0)</f>
        <v>7048.3605401125969</v>
      </c>
      <c r="D12" s="512">
        <v>7650.79</v>
      </c>
      <c r="E12" s="522">
        <f t="shared" si="0"/>
        <v>602.42945988740303</v>
      </c>
      <c r="F12" s="520" t="s">
        <v>45</v>
      </c>
      <c r="G12" s="514"/>
      <c r="H12" s="515">
        <f>VLOOKUP(B12,'Final Data'!$A$3:$C$35,3,0)</f>
        <v>7048.3605401125969</v>
      </c>
      <c r="I12" s="516">
        <f>7425.16-340.02</f>
        <v>7085.1399999999994</v>
      </c>
      <c r="J12" s="522">
        <f t="shared" si="1"/>
        <v>36.779459887402481</v>
      </c>
      <c r="K12" s="520" t="s">
        <v>46</v>
      </c>
      <c r="M12" s="514">
        <f>VLOOKUP(B12,'Final Data'!$A$3:$D$31,4,0)</f>
        <v>7048.3605401125969</v>
      </c>
      <c r="N12" s="517">
        <v>7358.56</v>
      </c>
      <c r="O12" s="522">
        <f t="shared" si="2"/>
        <v>310.19945988740346</v>
      </c>
      <c r="P12" s="531" t="s">
        <v>47</v>
      </c>
      <c r="Q12" s="544"/>
      <c r="R12" s="514">
        <f>VLOOKUP(B12,'Final Data'!$A$3:$E$29,5,0)</f>
        <v>7048.3605401125969</v>
      </c>
      <c r="S12" s="519">
        <v>7384.37</v>
      </c>
      <c r="T12" s="522">
        <f t="shared" si="3"/>
        <v>336.00945988740295</v>
      </c>
      <c r="U12" s="531" t="s">
        <v>48</v>
      </c>
      <c r="W12" s="514">
        <f>VLOOKUP(B12,'Final Data'!$A$3:$F$37,6,0)</f>
        <v>7048.3605401125969</v>
      </c>
      <c r="X12" s="519">
        <v>7338.71</v>
      </c>
      <c r="Y12" s="522">
        <f t="shared" si="4"/>
        <v>290.3494598874031</v>
      </c>
      <c r="Z12" s="531" t="s">
        <v>49</v>
      </c>
      <c r="AB12" s="514">
        <f>VLOOKUP(B12,'Final Data'!$A$3:$G$37,7,0)</f>
        <v>7048.3605401125969</v>
      </c>
      <c r="AC12" s="559">
        <v>7369.28</v>
      </c>
      <c r="AD12" s="522">
        <f t="shared" si="5"/>
        <v>320.91945988740281</v>
      </c>
      <c r="AE12" s="531" t="s">
        <v>50</v>
      </c>
      <c r="AG12" s="514">
        <f>VLOOKUP(B12,'Final Data'!$A$3:$H$37,8,0)</f>
        <v>7048.3605401125969</v>
      </c>
      <c r="AH12" s="522">
        <v>7374.28</v>
      </c>
      <c r="AI12" s="522">
        <f t="shared" si="6"/>
        <v>325.91945988740281</v>
      </c>
      <c r="AJ12" s="531" t="s">
        <v>674</v>
      </c>
      <c r="AL12" s="514">
        <f>VLOOKUP(B12,'Final Data'!$A$3:$I$36,9,0)</f>
        <v>7048.3605401125969</v>
      </c>
      <c r="AM12" s="517">
        <v>7048.35</v>
      </c>
      <c r="AN12" s="522">
        <f t="shared" si="7"/>
        <v>-1.0540112596572726E-2</v>
      </c>
      <c r="AO12" s="520"/>
      <c r="AQ12" s="514"/>
      <c r="AR12" s="517"/>
      <c r="AS12" s="536"/>
      <c r="AT12" s="518"/>
      <c r="AV12" s="514"/>
      <c r="AW12" s="519"/>
      <c r="AX12" s="536"/>
      <c r="AY12" s="520"/>
      <c r="BA12" s="524"/>
      <c r="BB12" s="524"/>
      <c r="BC12" s="536"/>
      <c r="BD12" s="520"/>
      <c r="BE12" s="519"/>
      <c r="BF12" s="514"/>
      <c r="BG12" s="517"/>
      <c r="BH12" s="536"/>
      <c r="BI12" s="520"/>
      <c r="BK12" s="511" t="str">
        <f>B12</f>
        <v>CAFE KONA</v>
      </c>
      <c r="BL12" s="522">
        <f t="shared" si="9"/>
        <v>56386.884320900775</v>
      </c>
      <c r="BM12" s="522">
        <f t="shared" si="10"/>
        <v>58609.479999999996</v>
      </c>
      <c r="BN12" s="522">
        <f t="shared" si="11"/>
        <v>2222.5956790992204</v>
      </c>
      <c r="BO12" s="520" t="s">
        <v>675</v>
      </c>
      <c r="BP12" s="525"/>
      <c r="BQ12" s="514"/>
    </row>
    <row r="13" spans="1:70" s="511" customFormat="1" ht="50">
      <c r="A13" s="511" t="str">
        <f>Rent!B20</f>
        <v>D9-D10</v>
      </c>
      <c r="B13" s="511" t="str">
        <f>Rent!A20</f>
        <v>LUCASIE LTD</v>
      </c>
      <c r="C13" s="512">
        <f>VLOOKUP(B13,'Final Data'!A:B,2,0)</f>
        <v>10696.314474960329</v>
      </c>
      <c r="D13" s="512">
        <v>8979.69</v>
      </c>
      <c r="E13" s="522">
        <f t="shared" si="0"/>
        <v>-1716.6244749603284</v>
      </c>
      <c r="F13" s="513" t="s">
        <v>51</v>
      </c>
      <c r="G13" s="514"/>
      <c r="H13" s="515">
        <f>VLOOKUP(B13,'Final Data'!$A$3:$C$35,3,0)</f>
        <v>10696.314474960329</v>
      </c>
      <c r="I13" s="516">
        <v>10696.35</v>
      </c>
      <c r="J13" s="522">
        <f t="shared" si="1"/>
        <v>3.5525039671483682E-2</v>
      </c>
      <c r="K13" s="532"/>
      <c r="M13" s="514">
        <f>VLOOKUP(B13,'Final Data'!$A$3:$D$31,4,0)</f>
        <v>10998.824474960329</v>
      </c>
      <c r="N13" s="517">
        <v>11013.08</v>
      </c>
      <c r="O13" s="522">
        <f t="shared" si="2"/>
        <v>14.255525039670829</v>
      </c>
      <c r="P13" s="518" t="s">
        <v>52</v>
      </c>
      <c r="R13" s="514">
        <f>VLOOKUP(B13,'Final Data'!$A$3:$E$29,5,0)</f>
        <v>10998.824474960329</v>
      </c>
      <c r="S13" s="519">
        <v>0</v>
      </c>
      <c r="T13" s="522">
        <f t="shared" si="3"/>
        <v>-10998.824474960329</v>
      </c>
      <c r="U13" s="518" t="s">
        <v>53</v>
      </c>
      <c r="W13" s="514">
        <f>VLOOKUP(B13,'Final Data'!$A$3:$F$37,6,0)</f>
        <v>10998.824474960329</v>
      </c>
      <c r="X13" s="519">
        <v>22163.96</v>
      </c>
      <c r="Y13" s="522">
        <f t="shared" si="4"/>
        <v>11165.13552503967</v>
      </c>
      <c r="Z13" s="518" t="s">
        <v>54</v>
      </c>
      <c r="AB13" s="514">
        <f>VLOOKUP(B13,'Final Data'!$A$3:$G$37,7,0)</f>
        <v>10998.824474960329</v>
      </c>
      <c r="AC13" s="559">
        <v>0</v>
      </c>
      <c r="AD13" s="522">
        <f t="shared" si="5"/>
        <v>-10998.824474960329</v>
      </c>
      <c r="AE13" s="518" t="s">
        <v>53</v>
      </c>
      <c r="AG13" s="514">
        <f>VLOOKUP(B13,'Final Data'!$A$3:$H$37,8,0)</f>
        <v>10998.824474960329</v>
      </c>
      <c r="AH13" s="522">
        <v>22026.16</v>
      </c>
      <c r="AI13" s="522">
        <f t="shared" si="6"/>
        <v>11027.335525039671</v>
      </c>
      <c r="AJ13" s="520" t="s">
        <v>676</v>
      </c>
      <c r="AL13" s="514">
        <f>VLOOKUP(B13,'Final Data'!$A$3:$I$36,9,0)</f>
        <v>10998.824474960329</v>
      </c>
      <c r="AM13" s="517">
        <v>11013.08</v>
      </c>
      <c r="AN13" s="522">
        <f t="shared" si="7"/>
        <v>14.255525039670829</v>
      </c>
      <c r="AO13" s="520" t="s">
        <v>697</v>
      </c>
      <c r="AQ13" s="514"/>
      <c r="AR13" s="517"/>
      <c r="AS13" s="536"/>
      <c r="AT13" s="518"/>
      <c r="AV13" s="514"/>
      <c r="AW13" s="519"/>
      <c r="AX13" s="536"/>
      <c r="AY13" s="518"/>
      <c r="BA13" s="524"/>
      <c r="BB13" s="524"/>
      <c r="BC13" s="536"/>
      <c r="BD13" s="520"/>
      <c r="BF13" s="514"/>
      <c r="BG13" s="517"/>
      <c r="BH13" s="536"/>
      <c r="BI13" s="520"/>
      <c r="BK13" s="511" t="str">
        <f t="shared" si="8"/>
        <v>LUCASIE LTD</v>
      </c>
      <c r="BL13" s="522">
        <f t="shared" si="9"/>
        <v>87385.575799682643</v>
      </c>
      <c r="BM13" s="522">
        <f t="shared" si="10"/>
        <v>85892.32</v>
      </c>
      <c r="BN13" s="522">
        <f t="shared" si="11"/>
        <v>-1493.2557996826363</v>
      </c>
      <c r="BO13" s="513" t="s">
        <v>698</v>
      </c>
      <c r="BP13" s="527"/>
      <c r="BQ13" s="514"/>
    </row>
    <row r="14" spans="1:70" s="511" customFormat="1" ht="50">
      <c r="A14" s="511" t="str">
        <f>Rent!B21</f>
        <v>DU-1</v>
      </c>
      <c r="B14" s="583" t="str">
        <f>Rent!A21</f>
        <v>FOSTERS KITCHEN</v>
      </c>
      <c r="C14" s="584">
        <f>VLOOKUP(B14,'Final Data'!A:B,2,0)</f>
        <v>23777.974372091863</v>
      </c>
      <c r="D14" s="584">
        <v>0</v>
      </c>
      <c r="E14" s="585">
        <f t="shared" si="0"/>
        <v>-23777.974372091863</v>
      </c>
      <c r="F14" s="586" t="s">
        <v>55</v>
      </c>
      <c r="G14" s="587"/>
      <c r="H14" s="588">
        <f>VLOOKUP(B14,'Final Data'!$A$3:$C$35,3,0)</f>
        <v>23777.974372091863</v>
      </c>
      <c r="I14" s="589">
        <v>0</v>
      </c>
      <c r="J14" s="585">
        <f t="shared" si="1"/>
        <v>-23777.974372091863</v>
      </c>
      <c r="K14" s="590" t="s">
        <v>56</v>
      </c>
      <c r="L14" s="583"/>
      <c r="M14" s="587">
        <f>VLOOKUP(B14,'Final Data'!$A$3:$D$31,4,0)</f>
        <v>23777.974372091863</v>
      </c>
      <c r="N14" s="591">
        <f>190223.76-118889.85</f>
        <v>71333.91</v>
      </c>
      <c r="O14" s="585">
        <f t="shared" si="2"/>
        <v>47555.93562790814</v>
      </c>
      <c r="P14" s="592" t="s">
        <v>57</v>
      </c>
      <c r="Q14" s="587"/>
      <c r="R14" s="587">
        <f>VLOOKUP(B14,'Final Data'!$A$3:$E$29,5,0)</f>
        <v>23777.974372091863</v>
      </c>
      <c r="S14" s="593">
        <v>23777.97</v>
      </c>
      <c r="T14" s="585">
        <f t="shared" si="3"/>
        <v>-4.3720918620238081E-3</v>
      </c>
      <c r="U14" s="592"/>
      <c r="V14" s="583"/>
      <c r="W14" s="587">
        <f>VLOOKUP(B14,'Final Data'!$A$3:$F$37,6,0)</f>
        <v>23777.974372091863</v>
      </c>
      <c r="X14" s="593">
        <v>23777.97</v>
      </c>
      <c r="Y14" s="585">
        <f t="shared" si="4"/>
        <v>-4.3720918620238081E-3</v>
      </c>
      <c r="Z14" s="586"/>
      <c r="AA14" s="583"/>
      <c r="AB14" s="587">
        <f>VLOOKUP(B14,'Final Data'!$A$3:$G$37,7,0)</f>
        <v>23777.974372091863</v>
      </c>
      <c r="AC14" s="594">
        <v>23777.97</v>
      </c>
      <c r="AD14" s="585">
        <f t="shared" si="5"/>
        <v>-4.3720918620238081E-3</v>
      </c>
      <c r="AE14" s="592"/>
      <c r="AF14" s="583"/>
      <c r="AG14" s="587">
        <f>VLOOKUP(B14,'Final Data'!$A$3:$H$37,8,0)</f>
        <v>24135.144372091861</v>
      </c>
      <c r="AH14" s="585">
        <v>0</v>
      </c>
      <c r="AI14" s="585">
        <f t="shared" si="6"/>
        <v>-24135.144372091861</v>
      </c>
      <c r="AJ14" s="586" t="s">
        <v>677</v>
      </c>
      <c r="AK14" s="583"/>
      <c r="AL14" s="587">
        <f>VLOOKUP(B14,'Final Data'!$A$3:$I$36,9,0)+211.95</f>
        <v>28847.094372091862</v>
      </c>
      <c r="AM14" s="591">
        <v>47555.94</v>
      </c>
      <c r="AN14" s="585">
        <f t="shared" si="7"/>
        <v>18708.84562790814</v>
      </c>
      <c r="AO14" s="586" t="s">
        <v>711</v>
      </c>
      <c r="AP14" s="583"/>
      <c r="AQ14" s="587"/>
      <c r="AR14" s="591"/>
      <c r="AS14" s="595"/>
      <c r="AT14" s="592"/>
      <c r="AU14" s="583"/>
      <c r="AV14" s="587"/>
      <c r="AW14" s="593"/>
      <c r="AX14" s="595"/>
      <c r="AY14" s="586"/>
      <c r="AZ14" s="583"/>
      <c r="BA14" s="530"/>
      <c r="BB14" s="530"/>
      <c r="BC14" s="595"/>
      <c r="BD14" s="586"/>
      <c r="BE14" s="583"/>
      <c r="BF14" s="587"/>
      <c r="BG14" s="591"/>
      <c r="BH14" s="595"/>
      <c r="BI14" s="586"/>
      <c r="BJ14" s="583"/>
      <c r="BK14" s="583" t="str">
        <f t="shared" si="8"/>
        <v>FOSTERS KITCHEN</v>
      </c>
      <c r="BL14" s="585">
        <f>C14+H14+M14+R14+W14+AB14+AG14+AL14+AQ14+AV14+BA14+BF14</f>
        <v>195650.08497673491</v>
      </c>
      <c r="BM14" s="585">
        <f t="shared" si="10"/>
        <v>190223.76</v>
      </c>
      <c r="BN14" s="585">
        <f t="shared" si="11"/>
        <v>-5426.3249767349043</v>
      </c>
      <c r="BO14" s="586" t="s">
        <v>712</v>
      </c>
      <c r="BP14" s="525"/>
      <c r="BQ14" s="526"/>
    </row>
    <row r="15" spans="1:70" s="511" customFormat="1" ht="101.25" customHeight="1">
      <c r="A15" s="511" t="str">
        <f>Rent!B22</f>
        <v>E</v>
      </c>
      <c r="B15" s="511" t="str">
        <f>Rent!A22</f>
        <v>HUMPYS BIG ISLAND ALEHOUSE</v>
      </c>
      <c r="C15" s="512">
        <f>VLOOKUP(B15,'Final Data'!A:B,2,0)</f>
        <v>27656.092282279427</v>
      </c>
      <c r="D15" s="512">
        <v>26178</v>
      </c>
      <c r="E15" s="522">
        <f t="shared" si="0"/>
        <v>-1478.0922822794273</v>
      </c>
      <c r="F15" s="520" t="s">
        <v>58</v>
      </c>
      <c r="G15" s="514"/>
      <c r="H15" s="515">
        <f>VLOOKUP(B15,'Final Data'!$A$3:$C$35,3,0)</f>
        <v>27656.092282279427</v>
      </c>
      <c r="I15" s="516">
        <v>26178</v>
      </c>
      <c r="J15" s="522">
        <f t="shared" si="1"/>
        <v>-1478.0922822794273</v>
      </c>
      <c r="K15" s="520" t="s">
        <v>59</v>
      </c>
      <c r="M15" s="514">
        <f>VLOOKUP(B15,'Final Data'!$A$3:$D$31,4,0)</f>
        <v>27656.092282279427</v>
      </c>
      <c r="N15" s="517">
        <v>26178</v>
      </c>
      <c r="O15" s="522">
        <f t="shared" si="2"/>
        <v>-1478.0922822794273</v>
      </c>
      <c r="P15" s="520" t="s">
        <v>59</v>
      </c>
      <c r="Q15" s="514"/>
      <c r="R15" s="514">
        <f>VLOOKUP(B15,'Final Data'!$A$3:$E$29,5,0)</f>
        <v>27656.092282279427</v>
      </c>
      <c r="S15" s="519">
        <v>26178</v>
      </c>
      <c r="T15" s="522">
        <f t="shared" si="3"/>
        <v>-1478.0922822794273</v>
      </c>
      <c r="U15" s="518" t="s">
        <v>59</v>
      </c>
      <c r="W15" s="514">
        <f>VLOOKUP(B15,'Final Data'!$A$3:$F$37,6,0)</f>
        <v>27656.092282279427</v>
      </c>
      <c r="X15" s="519">
        <v>26178</v>
      </c>
      <c r="Y15" s="522">
        <f t="shared" si="4"/>
        <v>-1478.0922822794273</v>
      </c>
      <c r="Z15" s="518" t="s">
        <v>59</v>
      </c>
      <c r="AB15" s="514">
        <f>VLOOKUP(B15,'Final Data'!$A$3:$G$37,7,0)</f>
        <v>27656.092282279427</v>
      </c>
      <c r="AC15" s="559">
        <f>91657.31-65479.31</f>
        <v>26178</v>
      </c>
      <c r="AD15" s="522">
        <f>AC15-AB15</f>
        <v>-1478.0922822794273</v>
      </c>
      <c r="AE15" s="564" t="s">
        <v>60</v>
      </c>
      <c r="AG15" s="514">
        <f>VLOOKUP(B15,'Final Data'!$A$3:$H$37,8,0)</f>
        <v>27656.092282279427</v>
      </c>
      <c r="AH15" s="522">
        <v>0</v>
      </c>
      <c r="AI15" s="522">
        <f t="shared" si="6"/>
        <v>-27656.092282279427</v>
      </c>
      <c r="AJ15" s="520" t="s">
        <v>678</v>
      </c>
      <c r="AL15" s="514">
        <f>VLOOKUP(B15,'Final Data'!$A$3:$I$36,9,0)</f>
        <v>27656.092282279427</v>
      </c>
      <c r="AM15" s="517">
        <f>-13123.31+65479.31</f>
        <v>52356</v>
      </c>
      <c r="AN15" s="522">
        <f t="shared" si="7"/>
        <v>24699.907717720573</v>
      </c>
      <c r="AO15" s="520" t="s">
        <v>699</v>
      </c>
      <c r="AQ15" s="514"/>
      <c r="AR15" s="517"/>
      <c r="AS15" s="536"/>
      <c r="AT15" s="518"/>
      <c r="AV15" s="514"/>
      <c r="AW15" s="519"/>
      <c r="AX15" s="536"/>
      <c r="AY15" s="518"/>
      <c r="BA15" s="524"/>
      <c r="BB15" s="524"/>
      <c r="BC15" s="536"/>
      <c r="BD15" s="518"/>
      <c r="BF15" s="514"/>
      <c r="BG15" s="517"/>
      <c r="BH15" s="536"/>
      <c r="BI15" s="518"/>
      <c r="BK15" s="511" t="str">
        <f t="shared" si="8"/>
        <v>HUMPYS BIG ISLAND ALEHOUSE</v>
      </c>
      <c r="BL15" s="522">
        <f t="shared" si="9"/>
        <v>221248.73825823542</v>
      </c>
      <c r="BM15" s="522">
        <f t="shared" si="10"/>
        <v>209424</v>
      </c>
      <c r="BN15" s="522">
        <f t="shared" si="11"/>
        <v>-11824.738258235418</v>
      </c>
      <c r="BO15" s="520" t="s">
        <v>700</v>
      </c>
      <c r="BP15" s="525"/>
      <c r="BQ15" s="526"/>
    </row>
    <row r="16" spans="1:70" s="511" customFormat="1" ht="72.75" customHeight="1">
      <c r="A16" s="511" t="str">
        <f>Rent!B23</f>
        <v>F15,17&amp;A8</v>
      </c>
      <c r="B16" s="511" t="str">
        <f>Rent!A23</f>
        <v>ABC STORE #75</v>
      </c>
      <c r="C16" s="512">
        <f>VLOOKUP(B16,'Final Data'!A:B,2,0)+2500+847.8-1000</f>
        <v>53899.272494709912</v>
      </c>
      <c r="D16" s="512">
        <f>61535.66-991.58</f>
        <v>60544.08</v>
      </c>
      <c r="E16" s="522">
        <f t="shared" si="0"/>
        <v>6644.8075052900895</v>
      </c>
      <c r="F16" s="533" t="s">
        <v>61</v>
      </c>
      <c r="G16" s="514"/>
      <c r="H16" s="515">
        <f>VLOOKUP(B16,'Final Data'!$A$3:$C$35,3,0)+2500+847.8-1000</f>
        <v>53899.272494709912</v>
      </c>
      <c r="I16" s="516">
        <f>54363.95+991.58</f>
        <v>55355.53</v>
      </c>
      <c r="J16" s="522">
        <f t="shared" si="1"/>
        <v>1456.2575052900866</v>
      </c>
      <c r="K16" s="533" t="s">
        <v>62</v>
      </c>
      <c r="M16" s="514">
        <f>VLOOKUP(B16,'Final Data'!$A$3:$D$31,4,0)+2500+847.8-1000</f>
        <v>53899.272494709912</v>
      </c>
      <c r="N16" s="517">
        <v>54567.28</v>
      </c>
      <c r="O16" s="522">
        <f t="shared" si="2"/>
        <v>668.00750529008656</v>
      </c>
      <c r="P16" s="533" t="s">
        <v>63</v>
      </c>
      <c r="R16" s="514">
        <f>VLOOKUP(B16,'Final Data'!$A$3:$E$29,5,0)+2500+847.8-1000</f>
        <v>53899.272494709912</v>
      </c>
      <c r="S16" s="519">
        <v>61312.36</v>
      </c>
      <c r="T16" s="522">
        <f t="shared" si="3"/>
        <v>7413.0875052900883</v>
      </c>
      <c r="U16" s="534" t="s">
        <v>64</v>
      </c>
      <c r="W16" s="514">
        <f>VLOOKUP(B16,'Final Data'!$A$3:$F$37,6,0)+2500+847.8-1000</f>
        <v>53899.272494709912</v>
      </c>
      <c r="X16" s="519">
        <v>54937.13</v>
      </c>
      <c r="Y16" s="522">
        <f t="shared" si="4"/>
        <v>1037.8575052900851</v>
      </c>
      <c r="Z16" s="534" t="s">
        <v>65</v>
      </c>
      <c r="AB16" s="514">
        <f>VLOOKUP(B16,'Final Data'!$A$3:$G$37,7,0)+2500+847.8-1000</f>
        <v>53899.272494709912</v>
      </c>
      <c r="AC16" s="559">
        <v>57039.44</v>
      </c>
      <c r="AD16" s="522">
        <f t="shared" si="5"/>
        <v>3140.16750529009</v>
      </c>
      <c r="AE16" s="564" t="s">
        <v>66</v>
      </c>
      <c r="AG16" s="514">
        <f>VLOOKUP(B16,'Final Data'!$A$3:$H$37,8,0)+2500+847.8-1000</f>
        <v>53899.272494709912</v>
      </c>
      <c r="AH16" s="522">
        <v>27793.200000000001</v>
      </c>
      <c r="AI16" s="522">
        <f t="shared" si="6"/>
        <v>-26106.072494709912</v>
      </c>
      <c r="AJ16" s="528" t="s">
        <v>679</v>
      </c>
      <c r="AL16" s="514">
        <f>VLOOKUP(B16,'Final Data'!$A$3:$I$36,9,0)+2500+847.8-1000</f>
        <v>53899.272494709912</v>
      </c>
      <c r="AM16" s="517">
        <v>62473.27</v>
      </c>
      <c r="AN16" s="522">
        <f t="shared" si="7"/>
        <v>8573.9975052900845</v>
      </c>
      <c r="AO16" s="528" t="s">
        <v>701</v>
      </c>
      <c r="AQ16" s="514"/>
      <c r="AR16" s="517"/>
      <c r="AS16" s="536"/>
      <c r="AT16" s="518"/>
      <c r="AV16" s="514"/>
      <c r="AW16" s="519"/>
      <c r="AX16" s="536"/>
      <c r="AY16" s="518"/>
      <c r="BA16" s="524"/>
      <c r="BB16" s="524"/>
      <c r="BC16" s="536"/>
      <c r="BD16" s="518"/>
      <c r="BF16" s="514"/>
      <c r="BG16" s="517"/>
      <c r="BH16" s="536"/>
      <c r="BI16" s="518"/>
      <c r="BK16" s="511" t="str">
        <f t="shared" si="8"/>
        <v>ABC STORE #75</v>
      </c>
      <c r="BL16" s="522">
        <f t="shared" si="9"/>
        <v>431194.17995767936</v>
      </c>
      <c r="BM16" s="522">
        <f t="shared" si="10"/>
        <v>434022.29000000004</v>
      </c>
      <c r="BN16" s="522">
        <f>BM16-BL16</f>
        <v>2828.1100423206808</v>
      </c>
      <c r="BO16" s="533" t="s">
        <v>702</v>
      </c>
      <c r="BP16" s="525"/>
      <c r="BQ16" s="526"/>
    </row>
    <row r="17" spans="1:71" s="511" customFormat="1" ht="62.5">
      <c r="A17" s="511" t="str">
        <f>Rent!B24</f>
        <v>F-16</v>
      </c>
      <c r="B17" s="511" t="str">
        <f>Rent!A24</f>
        <v>GYPSEA GALATO</v>
      </c>
      <c r="C17" s="512">
        <f>VLOOKUP(B17,'Final Data'!A:B,2,0)+38.62</f>
        <v>5248.912519842409</v>
      </c>
      <c r="D17" s="512">
        <v>5260.52</v>
      </c>
      <c r="E17" s="522">
        <f t="shared" si="0"/>
        <v>11.607480157591453</v>
      </c>
      <c r="F17" s="533" t="s">
        <v>67</v>
      </c>
      <c r="G17" s="514"/>
      <c r="H17" s="515">
        <f>VLOOKUP(B17,'Final Data'!$A$3:$C$35,3,0)+38.62</f>
        <v>5248.912519842409</v>
      </c>
      <c r="I17" s="516">
        <v>5962.06</v>
      </c>
      <c r="J17" s="522">
        <f t="shared" si="1"/>
        <v>713.14748015759142</v>
      </c>
      <c r="K17" s="532" t="s">
        <v>68</v>
      </c>
      <c r="M17" s="514">
        <f>VLOOKUP(B17,'Final Data'!$A$3:$D$31,4,0)+38.62</f>
        <v>5248.912519842409</v>
      </c>
      <c r="N17" s="517">
        <f>6142.56-301.92</f>
        <v>5840.64</v>
      </c>
      <c r="O17" s="522">
        <f t="shared" si="2"/>
        <v>591.72748015759134</v>
      </c>
      <c r="P17" s="535" t="s">
        <v>69</v>
      </c>
      <c r="Q17" s="514"/>
      <c r="R17" s="514">
        <f>VLOOKUP(B17,'Final Data'!$A$3:$E$29,5,0)+38.62</f>
        <v>5248.912519842409</v>
      </c>
      <c r="S17" s="519">
        <v>5493.06</v>
      </c>
      <c r="T17" s="522">
        <f t="shared" si="3"/>
        <v>244.14748015759142</v>
      </c>
      <c r="U17" s="518" t="s">
        <v>70</v>
      </c>
      <c r="W17" s="514">
        <f>VLOOKUP(B17,'Final Data'!$A$3:$F$37,6,0)+38.62</f>
        <v>5248.912519842409</v>
      </c>
      <c r="X17" s="519">
        <f>5506.75-409.72</f>
        <v>5097.03</v>
      </c>
      <c r="Y17" s="522">
        <f t="shared" si="4"/>
        <v>-151.88251984240924</v>
      </c>
      <c r="Z17" s="520" t="s">
        <v>71</v>
      </c>
      <c r="AB17" s="514">
        <f>VLOOKUP(B17,'Final Data'!$A$3:$G$37,7,0)+38.62</f>
        <v>5330.8625198424088</v>
      </c>
      <c r="AC17" s="559">
        <v>473.98</v>
      </c>
      <c r="AD17" s="522">
        <f t="shared" si="5"/>
        <v>-4856.8825198424092</v>
      </c>
      <c r="AE17" s="520" t="s">
        <v>72</v>
      </c>
      <c r="AG17" s="514">
        <f>VLOOKUP(B17,'Final Data'!$A$3:$H$37,8,0)+38.62</f>
        <v>5330.8625198424088</v>
      </c>
      <c r="AH17" s="522">
        <v>5690.28</v>
      </c>
      <c r="AI17" s="522">
        <f t="shared" si="6"/>
        <v>359.41748015759094</v>
      </c>
      <c r="AJ17" s="520" t="s">
        <v>680</v>
      </c>
      <c r="AL17" s="514">
        <f>VLOOKUP(B17,'Final Data'!$A$3:$I$36,9,0)+38.62</f>
        <v>5330.8625198424088</v>
      </c>
      <c r="AM17" s="517">
        <f>4678.77+711.64</f>
        <v>5390.4100000000008</v>
      </c>
      <c r="AN17" s="522">
        <f t="shared" si="7"/>
        <v>59.547480157591963</v>
      </c>
      <c r="AO17" s="520" t="s">
        <v>703</v>
      </c>
      <c r="AP17" s="511">
        <f>-8.14+390.28+70.47-393.06</f>
        <v>59.550000000000011</v>
      </c>
      <c r="AQ17" s="514"/>
      <c r="AR17" s="517"/>
      <c r="AS17" s="536"/>
      <c r="AT17" s="518"/>
      <c r="AV17" s="514"/>
      <c r="AW17" s="519"/>
      <c r="AX17" s="536"/>
      <c r="AY17" s="518"/>
      <c r="BA17" s="524"/>
      <c r="BB17" s="524"/>
      <c r="BC17" s="536"/>
      <c r="BD17" s="518"/>
      <c r="BF17" s="514"/>
      <c r="BG17" s="517"/>
      <c r="BH17" s="536"/>
      <c r="BI17" s="518"/>
      <c r="BK17" s="511" t="str">
        <f t="shared" si="8"/>
        <v>GYPSEA GALATO</v>
      </c>
      <c r="BL17" s="522">
        <f t="shared" si="9"/>
        <v>42237.15015873927</v>
      </c>
      <c r="BM17" s="522">
        <f t="shared" si="10"/>
        <v>39207.980000000003</v>
      </c>
      <c r="BN17" s="522">
        <f t="shared" si="11"/>
        <v>-3029.1701587392672</v>
      </c>
      <c r="BO17" s="533" t="s">
        <v>704</v>
      </c>
      <c r="BQ17" s="534"/>
      <c r="BS17" s="511">
        <v>139.04</v>
      </c>
    </row>
    <row r="18" spans="1:71" s="511" customFormat="1" ht="22.5" customHeight="1">
      <c r="A18" s="511" t="str">
        <f>Rent!B25</f>
        <v>G</v>
      </c>
      <c r="B18" s="511" t="str">
        <f>Rent!A25</f>
        <v>OCEANS SPORTS BAR AND GRILL</v>
      </c>
      <c r="C18" s="512">
        <f>VLOOKUP(B18,'Final Data'!A:B,2,0)</f>
        <v>16707.224094242389</v>
      </c>
      <c r="D18" s="512">
        <v>16707.22</v>
      </c>
      <c r="E18" s="522">
        <f t="shared" si="0"/>
        <v>-4.0942423875094391E-3</v>
      </c>
      <c r="F18" s="533"/>
      <c r="G18" s="514"/>
      <c r="H18" s="515">
        <f>VLOOKUP(B18,'Final Data'!$A$3:$C$35,3,0)</f>
        <v>16707.224094242389</v>
      </c>
      <c r="I18" s="516">
        <v>16707.22</v>
      </c>
      <c r="J18" s="522">
        <f t="shared" si="1"/>
        <v>-4.0942423875094391E-3</v>
      </c>
      <c r="K18" s="528"/>
      <c r="L18" s="536"/>
      <c r="M18" s="514">
        <f>VLOOKUP(B18,'Final Data'!$A$3:$D$31,4,0)</f>
        <v>16707.224094242389</v>
      </c>
      <c r="N18" s="517">
        <v>16707.22</v>
      </c>
      <c r="O18" s="522">
        <f t="shared" si="2"/>
        <v>-4.0942423875094391E-3</v>
      </c>
      <c r="P18" s="518"/>
      <c r="Q18" s="519"/>
      <c r="R18" s="514">
        <f>VLOOKUP(B18,'Final Data'!$A$3:$E$29,5,0)</f>
        <v>16707.224094242389</v>
      </c>
      <c r="S18" s="519">
        <v>16707.22</v>
      </c>
      <c r="T18" s="522">
        <f t="shared" si="3"/>
        <v>-4.0942423875094391E-3</v>
      </c>
      <c r="U18" s="518"/>
      <c r="W18" s="514">
        <f>VLOOKUP(B18,'Final Data'!$A$3:$F$37,6,0)</f>
        <v>16707.224094242389</v>
      </c>
      <c r="X18" s="519">
        <v>16707.22</v>
      </c>
      <c r="Y18" s="522">
        <f t="shared" si="4"/>
        <v>-4.0942423875094391E-3</v>
      </c>
      <c r="Z18" s="520"/>
      <c r="AB18" s="514">
        <f>VLOOKUP(B18,'Final Data'!$A$3:$G$37,7,0)</f>
        <v>16707.224094242389</v>
      </c>
      <c r="AC18" s="559">
        <v>16707.22</v>
      </c>
      <c r="AD18" s="522">
        <f t="shared" si="5"/>
        <v>-4.0942423875094391E-3</v>
      </c>
      <c r="AE18" s="520"/>
      <c r="AG18" s="514">
        <f>VLOOKUP(B18,'Final Data'!$A$3:$H$37,8,0)</f>
        <v>16707.224094242389</v>
      </c>
      <c r="AH18" s="522">
        <v>16707.22</v>
      </c>
      <c r="AI18" s="522">
        <f t="shared" si="6"/>
        <v>-4.0942423875094391E-3</v>
      </c>
      <c r="AJ18" s="520"/>
      <c r="AL18" s="514">
        <f>VLOOKUP(B18,'Final Data'!$A$3:$I$36,9,0)</f>
        <v>16707.224094242389</v>
      </c>
      <c r="AM18" s="517">
        <v>16707.22</v>
      </c>
      <c r="AN18" s="522">
        <f t="shared" si="7"/>
        <v>-4.0942423875094391E-3</v>
      </c>
      <c r="AO18" s="520"/>
      <c r="AQ18" s="514"/>
      <c r="AR18" s="517"/>
      <c r="AS18" s="536"/>
      <c r="AT18" s="518"/>
      <c r="AV18" s="514"/>
      <c r="AW18" s="519"/>
      <c r="AX18" s="536"/>
      <c r="AY18" s="518"/>
      <c r="BA18" s="524"/>
      <c r="BB18" s="524"/>
      <c r="BC18" s="536"/>
      <c r="BD18" s="518"/>
      <c r="BF18" s="514"/>
      <c r="BG18" s="517"/>
      <c r="BH18" s="536"/>
      <c r="BI18" s="518"/>
      <c r="BK18" s="511" t="str">
        <f t="shared" si="8"/>
        <v>OCEANS SPORTS BAR AND GRILL</v>
      </c>
      <c r="BL18" s="522">
        <f t="shared" si="9"/>
        <v>133657.79275393908</v>
      </c>
      <c r="BM18" s="522">
        <f t="shared" si="10"/>
        <v>133657.76</v>
      </c>
      <c r="BN18" s="522">
        <f t="shared" si="11"/>
        <v>-3.2753939070971683E-2</v>
      </c>
      <c r="BO18" s="533"/>
      <c r="BS18" s="511">
        <v>8.14</v>
      </c>
    </row>
    <row r="19" spans="1:71" s="511" customFormat="1" ht="25">
      <c r="A19" s="511" t="str">
        <f>Rent!B26</f>
        <v>H</v>
      </c>
      <c r="B19" s="511" t="str">
        <f>Rent!A26</f>
        <v>JACKS DIVE LOCKER</v>
      </c>
      <c r="C19" s="512">
        <f>VLOOKUP(B19,'Final Data'!A:B,2,0)</f>
        <v>35662.419671222655</v>
      </c>
      <c r="D19" s="512">
        <v>35662.42</v>
      </c>
      <c r="E19" s="522">
        <f t="shared" si="0"/>
        <v>3.2877734338399023E-4</v>
      </c>
      <c r="F19" s="520"/>
      <c r="G19" s="514"/>
      <c r="H19" s="515">
        <f>VLOOKUP(B19,'Final Data'!$A$3:$C$35,3,0)</f>
        <v>35662.419671222655</v>
      </c>
      <c r="I19" s="516">
        <v>35662.42</v>
      </c>
      <c r="J19" s="522">
        <f t="shared" si="1"/>
        <v>3.2877734338399023E-4</v>
      </c>
      <c r="K19" s="537"/>
      <c r="M19" s="514">
        <f>VLOOKUP(B19,'Final Data'!$A$3:$D$31,4,0)</f>
        <v>35662.419671222655</v>
      </c>
      <c r="N19" s="517">
        <v>35662.42</v>
      </c>
      <c r="O19" s="522">
        <f t="shared" si="2"/>
        <v>3.2877734338399023E-4</v>
      </c>
      <c r="P19" s="518"/>
      <c r="R19" s="514">
        <f>VLOOKUP(B19,'Final Data'!$A$3:$E$29,5,0)</f>
        <v>35662.419671222655</v>
      </c>
      <c r="S19" s="519">
        <v>35662.42</v>
      </c>
      <c r="T19" s="522">
        <f t="shared" si="3"/>
        <v>3.2877734338399023E-4</v>
      </c>
      <c r="U19" s="518"/>
      <c r="W19" s="514">
        <f>VLOOKUP(B19,'Final Data'!$A$3:$F$37,6,0)</f>
        <v>35662.419671222655</v>
      </c>
      <c r="X19" s="519">
        <v>35662.42</v>
      </c>
      <c r="Y19" s="522">
        <f t="shared" si="4"/>
        <v>3.2877734338399023E-4</v>
      </c>
      <c r="Z19" s="520"/>
      <c r="AB19" s="514">
        <f>VLOOKUP(B19,'Final Data'!$A$3:$G$37,7,0)</f>
        <v>35662.419671222655</v>
      </c>
      <c r="AC19" s="559">
        <v>35662.42</v>
      </c>
      <c r="AD19" s="522">
        <f t="shared" si="5"/>
        <v>3.2877734338399023E-4</v>
      </c>
      <c r="AE19" s="518"/>
      <c r="AG19" s="514">
        <f>VLOOKUP(B19,'Final Data'!$A$3:$H$37,8,0)</f>
        <v>35662.419671222655</v>
      </c>
      <c r="AH19" s="522">
        <v>17133.72</v>
      </c>
      <c r="AI19" s="522">
        <f t="shared" si="6"/>
        <v>-18528.699671222654</v>
      </c>
      <c r="AJ19" s="520" t="s">
        <v>681</v>
      </c>
      <c r="AL19" s="514">
        <f>VLOOKUP(B19,'Final Data'!$A$3:$I$36,9,0)</f>
        <v>35662.419671222655</v>
      </c>
      <c r="AM19" s="517">
        <v>35662.42</v>
      </c>
      <c r="AN19" s="522">
        <f t="shared" si="7"/>
        <v>3.2877734338399023E-4</v>
      </c>
      <c r="AO19" s="520"/>
      <c r="AQ19" s="514"/>
      <c r="AR19" s="517"/>
      <c r="AS19" s="536"/>
      <c r="AT19" s="518"/>
      <c r="AV19" s="514"/>
      <c r="AW19" s="519"/>
      <c r="AX19" s="536"/>
      <c r="AY19" s="520"/>
      <c r="BA19" s="524"/>
      <c r="BB19" s="524"/>
      <c r="BC19" s="536"/>
      <c r="BD19" s="520"/>
      <c r="BF19" s="514"/>
      <c r="BG19" s="517"/>
      <c r="BH19" s="536"/>
      <c r="BI19" s="518"/>
      <c r="BK19" s="511" t="str">
        <f t="shared" si="8"/>
        <v>JACKS DIVE LOCKER</v>
      </c>
      <c r="BL19" s="522">
        <f t="shared" si="9"/>
        <v>285299.35736978124</v>
      </c>
      <c r="BM19" s="522">
        <f t="shared" si="10"/>
        <v>266770.65999999997</v>
      </c>
      <c r="BN19" s="522">
        <f t="shared" si="11"/>
        <v>-18528.697369781265</v>
      </c>
      <c r="BO19" s="520" t="s">
        <v>682</v>
      </c>
    </row>
    <row r="20" spans="1:71" s="511" customFormat="1" ht="25">
      <c r="A20" s="511" t="str">
        <f>Rent!B27</f>
        <v>I</v>
      </c>
      <c r="B20" s="511" t="str">
        <f>Rent!A27</f>
        <v>QPOT</v>
      </c>
      <c r="C20" s="512">
        <f>VLOOKUP(B20,'Final Data'!A:B,2,0)</f>
        <v>0</v>
      </c>
      <c r="D20" s="512">
        <v>0</v>
      </c>
      <c r="E20" s="522">
        <f t="shared" si="0"/>
        <v>0</v>
      </c>
      <c r="F20" s="538"/>
      <c r="G20" s="514"/>
      <c r="H20" s="515">
        <f>VLOOKUP(B20,'Final Data'!$A$3:$C$35,3,0)</f>
        <v>0</v>
      </c>
      <c r="I20" s="516">
        <v>0</v>
      </c>
      <c r="J20" s="522">
        <f t="shared" si="1"/>
        <v>0</v>
      </c>
      <c r="K20" s="539"/>
      <c r="M20" s="514">
        <f>VLOOKUP(B20,'Final Data'!$A$3:$D$31,4,0)</f>
        <v>0</v>
      </c>
      <c r="N20" s="517">
        <v>0</v>
      </c>
      <c r="O20" s="522">
        <f t="shared" si="2"/>
        <v>0</v>
      </c>
      <c r="P20" s="518"/>
      <c r="R20" s="514">
        <f>VLOOKUP(B20,'Final Data'!$A$3:$E$29,5,0)</f>
        <v>0</v>
      </c>
      <c r="S20" s="519">
        <v>0</v>
      </c>
      <c r="T20" s="522">
        <f t="shared" si="3"/>
        <v>0</v>
      </c>
      <c r="W20" s="514">
        <f>VLOOKUP(B20,'Final Data'!$A$3:$F$37,6,0)</f>
        <v>0</v>
      </c>
      <c r="X20" s="519">
        <v>0</v>
      </c>
      <c r="Y20" s="522">
        <f t="shared" si="4"/>
        <v>0</v>
      </c>
      <c r="Z20" s="520"/>
      <c r="AB20" s="514">
        <v>0</v>
      </c>
      <c r="AC20" s="559">
        <v>0</v>
      </c>
      <c r="AD20" s="522">
        <f t="shared" si="5"/>
        <v>0</v>
      </c>
      <c r="AG20" s="514">
        <f>VLOOKUP(B20,'Final Data'!$A$3:$H$37,8,0)</f>
        <v>27672.534250091154</v>
      </c>
      <c r="AH20" s="522">
        <v>0</v>
      </c>
      <c r="AI20" s="522">
        <f t="shared" si="6"/>
        <v>-27672.534250091154</v>
      </c>
      <c r="AJ20" s="520" t="s">
        <v>683</v>
      </c>
      <c r="AL20" s="514">
        <f>VLOOKUP(B20,'Final Data'!$A$3:$I$36,9,0)</f>
        <v>27672.534250091154</v>
      </c>
      <c r="AM20" s="517">
        <v>0</v>
      </c>
      <c r="AN20" s="522">
        <f t="shared" si="7"/>
        <v>-27672.534250091154</v>
      </c>
      <c r="AO20" s="520" t="s">
        <v>683</v>
      </c>
      <c r="AQ20" s="514"/>
      <c r="AR20" s="517"/>
      <c r="AS20" s="536"/>
      <c r="AT20" s="518"/>
      <c r="AV20" s="514"/>
      <c r="AW20" s="519"/>
      <c r="AX20" s="536"/>
      <c r="AY20" s="520"/>
      <c r="BA20" s="524"/>
      <c r="BB20" s="524"/>
      <c r="BC20" s="536"/>
      <c r="BD20" s="520"/>
      <c r="BF20" s="514"/>
      <c r="BG20" s="517"/>
      <c r="BH20" s="536"/>
      <c r="BI20" s="520"/>
      <c r="BK20" s="511" t="str">
        <f t="shared" si="8"/>
        <v>QPOT</v>
      </c>
      <c r="BL20" s="522">
        <f t="shared" si="9"/>
        <v>55345.068500182308</v>
      </c>
      <c r="BM20" s="522">
        <f t="shared" si="10"/>
        <v>0</v>
      </c>
      <c r="BN20" s="522">
        <f t="shared" si="11"/>
        <v>-55345.068500182308</v>
      </c>
      <c r="BO20" s="533" t="s">
        <v>705</v>
      </c>
    </row>
    <row r="21" spans="1:71" s="511" customFormat="1" ht="36.75" hidden="1" customHeight="1">
      <c r="A21" s="511" t="str">
        <f>Rent!B28</f>
        <v>PC-1&amp;2</v>
      </c>
      <c r="B21" s="511" t="str">
        <f>Rent!A28</f>
        <v>BOWLS SUPERFOODS &amp; ORALE TACOS</v>
      </c>
      <c r="C21" s="512">
        <f>VLOOKUP(B21,'Final Data'!A:B,2,0)</f>
        <v>0</v>
      </c>
      <c r="D21" s="512">
        <v>0</v>
      </c>
      <c r="E21" s="522">
        <f t="shared" si="0"/>
        <v>0</v>
      </c>
      <c r="F21" s="538"/>
      <c r="G21" s="514"/>
      <c r="H21" s="515">
        <f>VLOOKUP(B21,'Final Data'!$A$3:$C$35,3,0)</f>
        <v>0</v>
      </c>
      <c r="I21" s="516">
        <v>0</v>
      </c>
      <c r="J21" s="522">
        <f t="shared" si="1"/>
        <v>0</v>
      </c>
      <c r="K21" s="540"/>
      <c r="M21" s="514">
        <f>VLOOKUP(B21,'Final Data'!$A$3:$D$31,4,0)</f>
        <v>0</v>
      </c>
      <c r="N21" s="517">
        <v>0</v>
      </c>
      <c r="O21" s="522">
        <f t="shared" si="2"/>
        <v>0</v>
      </c>
      <c r="R21" s="514">
        <f>VLOOKUP(B21,'Final Data'!$A$3:$E$29,5,0)</f>
        <v>0</v>
      </c>
      <c r="S21" s="519">
        <v>0</v>
      </c>
      <c r="T21" s="522">
        <f t="shared" si="3"/>
        <v>0</v>
      </c>
      <c r="U21" s="518"/>
      <c r="W21" s="514">
        <f>VLOOKUP(B21,'Final Data'!$A$3:$F$37,6,0)</f>
        <v>0</v>
      </c>
      <c r="X21" s="519">
        <v>0</v>
      </c>
      <c r="Y21" s="522">
        <f t="shared" si="4"/>
        <v>0</v>
      </c>
      <c r="Z21" s="520"/>
      <c r="AB21" s="514">
        <v>0</v>
      </c>
      <c r="AC21" s="559">
        <v>0</v>
      </c>
      <c r="AD21" s="522">
        <f t="shared" si="5"/>
        <v>0</v>
      </c>
      <c r="AG21" s="514">
        <f>VLOOKUP(B21,'Final Data'!$A$3:$H$37,8,0)</f>
        <v>0</v>
      </c>
      <c r="AH21" s="522">
        <v>0</v>
      </c>
      <c r="AI21" s="522">
        <f t="shared" si="6"/>
        <v>0</v>
      </c>
      <c r="AJ21" s="528"/>
      <c r="AL21" s="514">
        <f>VLOOKUP(B21,'Final Data'!$A$3:$I$36,9,0)</f>
        <v>0</v>
      </c>
      <c r="AM21" s="517"/>
      <c r="AN21" s="522"/>
      <c r="AO21" s="528"/>
      <c r="AQ21" s="514"/>
      <c r="AR21" s="517"/>
      <c r="AS21" s="536"/>
      <c r="AT21" s="541"/>
      <c r="AV21" s="514"/>
      <c r="AW21" s="514"/>
      <c r="AX21" s="536"/>
      <c r="AY21" s="520"/>
      <c r="BA21" s="524"/>
      <c r="BB21" s="524"/>
      <c r="BC21" s="536"/>
      <c r="BD21" s="513"/>
      <c r="BF21" s="514"/>
      <c r="BG21" s="517"/>
      <c r="BH21" s="536"/>
      <c r="BI21" s="513"/>
      <c r="BK21" s="511" t="str">
        <f t="shared" si="8"/>
        <v>BOWLS SUPERFOODS &amp; ORALE TACOS</v>
      </c>
      <c r="BL21" s="522">
        <f t="shared" si="9"/>
        <v>0</v>
      </c>
      <c r="BM21" s="522">
        <f t="shared" si="10"/>
        <v>0</v>
      </c>
      <c r="BN21" s="522">
        <f t="shared" si="11"/>
        <v>0</v>
      </c>
      <c r="BO21" s="538"/>
    </row>
    <row r="22" spans="1:71" s="511" customFormat="1" ht="62.5">
      <c r="A22" s="511" t="str">
        <f>Rent!B29</f>
        <v>PC 3&amp;4</v>
      </c>
      <c r="B22" s="511" t="str">
        <f>Rent!A29</f>
        <v>KONA GEAR INC.</v>
      </c>
      <c r="C22" s="512">
        <f>VLOOKUP(B22,'Final Data'!A:B,2,0)+141.3</f>
        <v>12251.461777404098</v>
      </c>
      <c r="D22" s="512">
        <f>11275.74-2165.57</f>
        <v>9110.17</v>
      </c>
      <c r="E22" s="522">
        <f t="shared" si="0"/>
        <v>-3141.291777404098</v>
      </c>
      <c r="F22" s="520" t="s">
        <v>73</v>
      </c>
      <c r="G22" s="514"/>
      <c r="H22" s="515">
        <f>VLOOKUP(B22,'Final Data'!$A$3:$C$35,3,0)+141.3</f>
        <v>12251.461777404098</v>
      </c>
      <c r="I22" s="516">
        <f>14213.8-2938.06</f>
        <v>11275.74</v>
      </c>
      <c r="J22" s="522">
        <f t="shared" si="1"/>
        <v>-975.72177740409825</v>
      </c>
      <c r="K22" s="537" t="s">
        <v>74</v>
      </c>
      <c r="M22" s="514">
        <f>VLOOKUP(B22,'Final Data'!$A$3:$D$31,4,0)+141.3</f>
        <v>12251.461777404098</v>
      </c>
      <c r="N22" s="517">
        <f>12863.85+5103.63+340.02</f>
        <v>18307.5</v>
      </c>
      <c r="O22" s="522">
        <f t="shared" si="2"/>
        <v>6056.038222595902</v>
      </c>
      <c r="P22" s="518" t="s">
        <v>75</v>
      </c>
      <c r="R22" s="514">
        <f>VLOOKUP(B22,'Final Data'!$A$3:$E$29,5,0)+141.3</f>
        <v>12255.871777404098</v>
      </c>
      <c r="S22" s="519">
        <v>16026.55</v>
      </c>
      <c r="T22" s="522">
        <f t="shared" si="3"/>
        <v>3770.6782225959014</v>
      </c>
      <c r="U22" s="518" t="s">
        <v>76</v>
      </c>
      <c r="V22" s="519"/>
      <c r="W22" s="514">
        <f>VLOOKUP(B22,'Final Data'!$A$3:$F$37,6,0)+141.3</f>
        <v>12255.871777404098</v>
      </c>
      <c r="X22" s="519">
        <v>12950.67</v>
      </c>
      <c r="Y22" s="522">
        <f t="shared" si="4"/>
        <v>694.79822259590219</v>
      </c>
      <c r="Z22" s="518" t="s">
        <v>77</v>
      </c>
      <c r="AB22" s="514">
        <f>VLOOKUP(B22,'Final Data'!$A$3:$G$37,7,0)+141.3</f>
        <v>12255.871777404098</v>
      </c>
      <c r="AC22" s="559">
        <v>7915.58</v>
      </c>
      <c r="AD22" s="522">
        <f t="shared" si="5"/>
        <v>-4340.291777404098</v>
      </c>
      <c r="AE22" s="518" t="s">
        <v>78</v>
      </c>
      <c r="AG22" s="514">
        <f>VLOOKUP(B22,'Final Data'!$A$3:$H$37,8,0)+141.3</f>
        <v>12255.871777404098</v>
      </c>
      <c r="AH22" s="522">
        <v>13601.76</v>
      </c>
      <c r="AI22" s="522">
        <f t="shared" si="6"/>
        <v>1345.8882225959023</v>
      </c>
      <c r="AJ22" s="520" t="s">
        <v>684</v>
      </c>
      <c r="AL22" s="514">
        <f>VLOOKUP(B22,'Final Data'!$A$3:$I$36,9,0)+141.3</f>
        <v>12255.871777404098</v>
      </c>
      <c r="AM22" s="517">
        <v>12875.45</v>
      </c>
      <c r="AN22" s="522">
        <f t="shared" si="7"/>
        <v>619.57822259590284</v>
      </c>
      <c r="AO22" s="520" t="s">
        <v>706</v>
      </c>
      <c r="AQ22" s="514"/>
      <c r="AR22" s="517"/>
      <c r="AS22" s="536"/>
      <c r="AT22" s="528"/>
      <c r="AV22" s="514"/>
      <c r="AW22" s="519"/>
      <c r="AX22" s="536"/>
      <c r="AY22" s="520"/>
      <c r="BA22" s="524"/>
      <c r="BB22" s="524"/>
      <c r="BC22" s="536"/>
      <c r="BD22" s="520"/>
      <c r="BF22" s="514"/>
      <c r="BG22" s="517"/>
      <c r="BH22" s="536"/>
      <c r="BI22" s="520"/>
      <c r="BK22" s="511" t="str">
        <f t="shared" si="8"/>
        <v>KONA GEAR INC.</v>
      </c>
      <c r="BL22" s="522">
        <f t="shared" si="9"/>
        <v>98033.744219232787</v>
      </c>
      <c r="BM22" s="522">
        <f t="shared" si="10"/>
        <v>102063.42</v>
      </c>
      <c r="BN22" s="522">
        <f t="shared" si="11"/>
        <v>4029.6757807672111</v>
      </c>
      <c r="BO22" s="568" t="s">
        <v>707</v>
      </c>
      <c r="BQ22" s="514"/>
    </row>
    <row r="23" spans="1:71" s="511" customFormat="1" ht="37.5">
      <c r="A23" s="511" t="str">
        <f>Rent!B30</f>
        <v>PC/U1</v>
      </c>
      <c r="B23" s="511" t="str">
        <f>Rent!A30</f>
        <v>LAVERNES</v>
      </c>
      <c r="C23" s="512">
        <f>VLOOKUP(B23,'Final Data'!A:B,2,0)</f>
        <v>18449.4328573606</v>
      </c>
      <c r="D23" s="512">
        <v>18449.43</v>
      </c>
      <c r="E23" s="522">
        <f>D23-C23</f>
        <v>-2.8573605995916296E-3</v>
      </c>
      <c r="F23" s="520"/>
      <c r="G23" s="514"/>
      <c r="H23" s="515">
        <f>VLOOKUP(B23,'Final Data'!$A$3:$C$35,3,0)</f>
        <v>18449.4328573606</v>
      </c>
      <c r="I23" s="516">
        <v>18449.43</v>
      </c>
      <c r="J23" s="522">
        <f t="shared" si="1"/>
        <v>-2.8573605995916296E-3</v>
      </c>
      <c r="K23" s="537"/>
      <c r="M23" s="514">
        <f>VLOOKUP(B23,'Final Data'!$A$3:$D$31,4,0)</f>
        <v>18449.4328573606</v>
      </c>
      <c r="N23" s="517">
        <v>18449.43</v>
      </c>
      <c r="O23" s="522">
        <f t="shared" si="2"/>
        <v>-2.8573605995916296E-3</v>
      </c>
      <c r="P23" s="518"/>
      <c r="R23" s="514">
        <f>VLOOKUP(B23,'Final Data'!$A$3:$E$29,5,0)</f>
        <v>18449.4328573606</v>
      </c>
      <c r="S23" s="519">
        <v>18449.43</v>
      </c>
      <c r="T23" s="522">
        <f t="shared" si="3"/>
        <v>-2.8573605995916296E-3</v>
      </c>
      <c r="U23" s="518"/>
      <c r="V23" s="519"/>
      <c r="W23" s="514">
        <f>VLOOKUP(B23,'Final Data'!$A$3:$F$37,6,0)</f>
        <v>18449.4328573606</v>
      </c>
      <c r="X23" s="519">
        <v>18449.43</v>
      </c>
      <c r="Y23" s="522">
        <f t="shared" si="4"/>
        <v>-2.8573605995916296E-3</v>
      </c>
      <c r="Z23" s="520"/>
      <c r="AB23" s="514">
        <f>VLOOKUP(B23,'Final Data'!$A$3:$G$37,7,0)</f>
        <v>18449.4328573606</v>
      </c>
      <c r="AC23" s="559">
        <v>16726.849999999999</v>
      </c>
      <c r="AD23" s="522">
        <f t="shared" si="5"/>
        <v>-1722.5828573606013</v>
      </c>
      <c r="AE23" s="518" t="s">
        <v>79</v>
      </c>
      <c r="AG23" s="514">
        <f>VLOOKUP(B23,'Final Data'!$A$3:$H$37,8,0)</f>
        <v>18449.4328573606</v>
      </c>
      <c r="AH23" s="522">
        <v>0</v>
      </c>
      <c r="AI23" s="522">
        <f t="shared" si="6"/>
        <v>-18449.4328573606</v>
      </c>
      <c r="AJ23" s="520" t="s">
        <v>685</v>
      </c>
      <c r="AL23" s="514">
        <f>VLOOKUP(B23,'Final Data'!$A$3:$I$36,9,0)</f>
        <v>18449.4328573606</v>
      </c>
      <c r="AM23" s="517">
        <v>36898.86</v>
      </c>
      <c r="AN23" s="522">
        <f t="shared" si="7"/>
        <v>18449.427142639401</v>
      </c>
      <c r="AO23" s="520" t="s">
        <v>709</v>
      </c>
      <c r="AP23" s="514"/>
      <c r="AQ23" s="514"/>
      <c r="AR23" s="517"/>
      <c r="AS23" s="536"/>
      <c r="AT23" s="518"/>
      <c r="AV23" s="514"/>
      <c r="AW23" s="519"/>
      <c r="AX23" s="536"/>
      <c r="AY23" s="520"/>
      <c r="BA23" s="524"/>
      <c r="BB23" s="524"/>
      <c r="BC23" s="536"/>
      <c r="BD23" s="520"/>
      <c r="BF23" s="514"/>
      <c r="BG23" s="517"/>
      <c r="BH23" s="536"/>
      <c r="BI23" s="520"/>
      <c r="BK23" s="511" t="str">
        <f t="shared" si="8"/>
        <v>LAVERNES</v>
      </c>
      <c r="BL23" s="522">
        <f t="shared" si="9"/>
        <v>147595.4628588848</v>
      </c>
      <c r="BM23" s="522">
        <f>D23+I23+N23+S23+X23+AC23+AH23+AM23+AR23+AW23+BB23+BG23</f>
        <v>145872.85999999999</v>
      </c>
      <c r="BN23" s="522">
        <f t="shared" si="11"/>
        <v>-1722.602858884813</v>
      </c>
      <c r="BO23" s="568" t="s">
        <v>708</v>
      </c>
    </row>
    <row r="24" spans="1:71" s="511" customFormat="1" ht="31.5" customHeight="1">
      <c r="B24" s="542" t="s">
        <v>80</v>
      </c>
      <c r="C24" s="512">
        <v>30000</v>
      </c>
      <c r="D24" s="512">
        <v>35803.839999999997</v>
      </c>
      <c r="E24" s="522">
        <f>D24-C24</f>
        <v>5803.8399999999965</v>
      </c>
      <c r="F24" s="538" t="s">
        <v>81</v>
      </c>
      <c r="G24" s="514"/>
      <c r="H24" s="515">
        <v>30000</v>
      </c>
      <c r="I24" s="512">
        <v>42482.1</v>
      </c>
      <c r="J24" s="522">
        <f t="shared" si="1"/>
        <v>12482.099999999999</v>
      </c>
      <c r="K24" s="543" t="s">
        <v>81</v>
      </c>
      <c r="M24" s="514">
        <v>30000</v>
      </c>
      <c r="N24" s="544">
        <v>36409.480000000003</v>
      </c>
      <c r="O24" s="522">
        <f t="shared" si="2"/>
        <v>6409.4800000000032</v>
      </c>
      <c r="P24" s="543" t="s">
        <v>82</v>
      </c>
      <c r="R24" s="514">
        <v>30000</v>
      </c>
      <c r="S24" s="519">
        <v>37497.870000000003</v>
      </c>
      <c r="T24" s="522">
        <f t="shared" si="3"/>
        <v>7497.8700000000026</v>
      </c>
      <c r="U24" s="543" t="s">
        <v>81</v>
      </c>
      <c r="W24" s="577">
        <f>'Final Data'!F26</f>
        <v>30000</v>
      </c>
      <c r="X24" s="519">
        <v>32117.71</v>
      </c>
      <c r="Y24" s="522">
        <f t="shared" si="4"/>
        <v>2117.7099999999991</v>
      </c>
      <c r="Z24" s="543" t="s">
        <v>81</v>
      </c>
      <c r="AB24" s="514">
        <f>'Final Data'!G26</f>
        <v>30000</v>
      </c>
      <c r="AC24" s="559">
        <v>35429.5</v>
      </c>
      <c r="AD24" s="522">
        <f t="shared" si="5"/>
        <v>5429.5</v>
      </c>
      <c r="AE24" s="543" t="s">
        <v>81</v>
      </c>
      <c r="AG24" s="514">
        <f>'Final Data'!H26</f>
        <v>30000</v>
      </c>
      <c r="AH24" s="522">
        <v>42007.06</v>
      </c>
      <c r="AI24" s="522">
        <f t="shared" si="6"/>
        <v>12007.059999999998</v>
      </c>
      <c r="AJ24" s="511" t="s">
        <v>81</v>
      </c>
      <c r="AL24" s="514">
        <f>'Final Data'!I26</f>
        <v>30000</v>
      </c>
      <c r="AM24" s="517">
        <v>44202.54</v>
      </c>
      <c r="AN24" s="522">
        <f t="shared" si="7"/>
        <v>14202.54</v>
      </c>
      <c r="AO24" s="511" t="s">
        <v>81</v>
      </c>
      <c r="AQ24" s="514"/>
      <c r="AR24" s="517"/>
      <c r="AS24" s="536"/>
      <c r="AT24" s="520"/>
      <c r="AV24" s="514"/>
      <c r="AW24" s="519"/>
      <c r="AX24" s="536"/>
      <c r="AY24" s="520"/>
      <c r="BA24" s="524"/>
      <c r="BB24" s="524"/>
      <c r="BC24" s="536"/>
      <c r="BD24" s="520"/>
      <c r="BF24" s="514"/>
      <c r="BG24" s="517"/>
      <c r="BH24" s="536"/>
      <c r="BI24" s="520"/>
      <c r="BK24" s="511" t="str">
        <f t="shared" si="8"/>
        <v>Parking Income</v>
      </c>
      <c r="BL24" s="522">
        <f t="shared" si="9"/>
        <v>240000</v>
      </c>
      <c r="BM24" s="522">
        <f>D24+I24+N24+S24+X24+AC24+AH24+AM24+AR24+AW24+BB24+BG24</f>
        <v>305950.09999999998</v>
      </c>
      <c r="BN24" s="522">
        <f t="shared" si="11"/>
        <v>65950.099999999977</v>
      </c>
      <c r="BO24" s="513" t="s">
        <v>710</v>
      </c>
    </row>
    <row r="25" spans="1:71" s="511" customFormat="1" ht="24.75" customHeight="1">
      <c r="B25" s="542"/>
      <c r="C25" s="522"/>
      <c r="D25" s="522"/>
      <c r="E25" s="522"/>
      <c r="F25" s="543"/>
      <c r="G25" s="514"/>
      <c r="H25" s="515"/>
      <c r="I25" s="522"/>
      <c r="J25" s="522"/>
      <c r="K25" s="543"/>
      <c r="M25" s="514"/>
      <c r="N25" s="559"/>
      <c r="O25" s="522"/>
      <c r="P25" s="543"/>
      <c r="R25" s="514"/>
      <c r="S25" s="529"/>
      <c r="T25" s="522"/>
      <c r="W25" s="514"/>
      <c r="X25" s="519"/>
      <c r="Y25" s="522"/>
      <c r="AB25" s="514">
        <v>0</v>
      </c>
      <c r="AC25" s="521"/>
      <c r="AD25" s="522"/>
      <c r="AG25" s="514">
        <v>0</v>
      </c>
      <c r="AH25" s="522"/>
      <c r="AI25" s="522">
        <f t="shared" si="6"/>
        <v>0</v>
      </c>
      <c r="AL25" s="514"/>
      <c r="AM25" s="517"/>
      <c r="AN25" s="522"/>
      <c r="AQ25" s="514"/>
      <c r="AR25" s="517"/>
      <c r="AS25" s="536"/>
      <c r="AT25" s="520"/>
      <c r="AV25" s="514"/>
      <c r="AW25" s="519"/>
      <c r="AX25" s="536"/>
      <c r="AY25" s="520"/>
      <c r="BA25" s="524"/>
      <c r="BB25" s="524"/>
      <c r="BC25" s="536"/>
      <c r="BD25" s="520"/>
      <c r="BF25" s="514"/>
      <c r="BG25" s="517"/>
      <c r="BH25" s="536"/>
      <c r="BI25" s="520"/>
      <c r="BL25" s="522"/>
      <c r="BM25" s="522"/>
      <c r="BN25" s="522"/>
      <c r="BO25" s="543"/>
    </row>
    <row r="26" spans="1:71" s="511" customFormat="1" ht="13">
      <c r="B26" s="511" t="s">
        <v>14</v>
      </c>
      <c r="C26" s="512"/>
      <c r="D26" s="545"/>
      <c r="E26" s="522">
        <f>D26-C26</f>
        <v>0</v>
      </c>
      <c r="F26" s="546"/>
      <c r="G26" s="514"/>
      <c r="H26" s="547"/>
      <c r="I26" s="512"/>
      <c r="J26" s="522"/>
      <c r="K26" s="539"/>
      <c r="M26" s="514"/>
      <c r="N26" s="544"/>
      <c r="O26" s="522"/>
      <c r="P26" s="508"/>
      <c r="R26" s="514"/>
      <c r="S26" s="544"/>
      <c r="T26" s="522"/>
      <c r="U26" s="508"/>
      <c r="W26" s="514"/>
      <c r="X26" s="519"/>
      <c r="Y26" s="522"/>
      <c r="AB26" s="514"/>
      <c r="AC26" s="521"/>
      <c r="AD26" s="522"/>
      <c r="AG26" s="514"/>
      <c r="AH26" s="548"/>
      <c r="AI26" s="522"/>
      <c r="AL26" s="514"/>
      <c r="AM26" s="514"/>
      <c r="AN26" s="522"/>
      <c r="AQ26" s="514"/>
      <c r="AR26" s="521"/>
      <c r="AS26" s="536"/>
      <c r="AV26" s="514"/>
      <c r="AW26" s="519"/>
      <c r="AX26" s="536"/>
      <c r="BA26" s="514"/>
      <c r="BB26" s="524"/>
      <c r="BC26" s="536"/>
      <c r="BD26" s="520"/>
      <c r="BF26" s="514"/>
      <c r="BG26" s="517"/>
      <c r="BH26" s="536"/>
      <c r="BI26" s="520"/>
      <c r="BK26" s="511" t="s">
        <v>83</v>
      </c>
      <c r="BL26" s="522">
        <f>C26+H26+M26+R26+W26+AB26+AG26+AL26+AQ26+AV26+BA26+BF26</f>
        <v>0</v>
      </c>
      <c r="BM26" s="522">
        <f>D26+I26+N26+S26+X26+AC26+AH26+AM26+AR26+AW26+BB26+BG26</f>
        <v>0</v>
      </c>
      <c r="BN26" s="522">
        <f t="shared" si="11"/>
        <v>0</v>
      </c>
      <c r="BO26" s="546"/>
    </row>
    <row r="27" spans="1:71" ht="13.5" thickBot="1">
      <c r="B27" s="578" t="s">
        <v>84</v>
      </c>
      <c r="C27" s="579">
        <f>SUM(C7:C26)</f>
        <v>312323.58095053042</v>
      </c>
      <c r="D27" s="579">
        <f>SUM(D7:D26)</f>
        <v>291102.03999999998</v>
      </c>
      <c r="E27" s="579">
        <f>SUM(E7:E26)</f>
        <v>-21221.540950530423</v>
      </c>
      <c r="F27" s="549"/>
      <c r="G27" s="550"/>
      <c r="H27" s="580">
        <f>SUM(H7:H26)</f>
        <v>312323.58095053042</v>
      </c>
      <c r="I27" s="580">
        <f>SUM(I7:I26)</f>
        <v>299610.00999999995</v>
      </c>
      <c r="J27" s="580">
        <f>SUM(J7:J26)</f>
        <v>-12713.570950530429</v>
      </c>
      <c r="K27" s="581"/>
      <c r="L27" s="550"/>
      <c r="M27" s="580">
        <f>SUM(M7:M26)</f>
        <v>312626.09095053043</v>
      </c>
      <c r="N27" s="580">
        <f t="shared" ref="N27:O27" si="12">SUM(N7:N26)</f>
        <v>352489.67</v>
      </c>
      <c r="O27" s="580">
        <f t="shared" si="12"/>
        <v>39863.579049469576</v>
      </c>
      <c r="P27" s="581"/>
      <c r="Q27" s="550"/>
      <c r="R27" s="582">
        <f>SUM(R7:R26)</f>
        <v>312692.30095053039</v>
      </c>
      <c r="S27" s="582">
        <f>SUM(S7:S26)</f>
        <v>332747.86</v>
      </c>
      <c r="T27" s="582">
        <f>SUM(T7:T26)</f>
        <v>20055.559049469575</v>
      </c>
      <c r="U27" s="581"/>
      <c r="V27" s="550"/>
      <c r="W27" s="582">
        <f>SUM(W7:W26)</f>
        <v>312692.30095053039</v>
      </c>
      <c r="X27" s="582">
        <f>SUM(X7:X26)</f>
        <v>320499.89</v>
      </c>
      <c r="Y27" s="582">
        <f>SUM(Y7:Y26)</f>
        <v>7807.5890494695641</v>
      </c>
      <c r="Z27" s="582"/>
      <c r="AA27" s="551"/>
      <c r="AB27" s="582">
        <f>SUM(AB7:AB26)</f>
        <v>312850.09095053037</v>
      </c>
      <c r="AC27" s="582">
        <f>SUM(AC7:AC26)</f>
        <v>274868.38</v>
      </c>
      <c r="AD27" s="582">
        <f>SUM(AD7:AD26)</f>
        <v>-37981.710950530425</v>
      </c>
      <c r="AE27" s="582"/>
      <c r="AF27" s="551"/>
      <c r="AG27" s="582">
        <f>SUM(AG7:AG26)</f>
        <v>340806.39520062157</v>
      </c>
      <c r="AH27" s="582">
        <f>SUM(AH7:AH26)</f>
        <v>212581.81000000003</v>
      </c>
      <c r="AI27" s="582">
        <f>SUM(AI7:AI26)</f>
        <v>-128224.58520062157</v>
      </c>
      <c r="AJ27" s="582"/>
      <c r="AK27" s="551"/>
      <c r="AL27" s="582">
        <f>SUM(AL7:AL26)</f>
        <v>345518.34520062152</v>
      </c>
      <c r="AM27" s="582">
        <f>SUM(AM7:AM26)</f>
        <v>397197.44</v>
      </c>
      <c r="AN27" s="582">
        <f>SUM(AN7:AN26)</f>
        <v>51679.094799378414</v>
      </c>
      <c r="AO27" s="582"/>
      <c r="AP27" s="551"/>
      <c r="AQ27" s="582">
        <f>SUM(AQ7:AQ26)</f>
        <v>0</v>
      </c>
      <c r="AR27" s="582">
        <f>SUM(AR7:AR26)</f>
        <v>0</v>
      </c>
      <c r="AS27" s="582">
        <f>SUM(AS7:AS26)</f>
        <v>0</v>
      </c>
      <c r="AT27" s="582"/>
      <c r="AU27" s="551"/>
      <c r="AV27" s="582">
        <f>SUM(AV7:AV26)</f>
        <v>0</v>
      </c>
      <c r="AW27" s="582">
        <f>SUM(AW7:AW26)</f>
        <v>0</v>
      </c>
      <c r="AX27" s="582">
        <f>SUM(AX7:AX26)</f>
        <v>0</v>
      </c>
      <c r="AY27" s="582"/>
      <c r="AZ27" s="551"/>
      <c r="BA27" s="582">
        <f>SUM(BA7:BA26)</f>
        <v>0</v>
      </c>
      <c r="BB27" s="582">
        <f>SUM(BB7:BB26)</f>
        <v>0</v>
      </c>
      <c r="BC27" s="582">
        <f>SUM(BC7:BC26)</f>
        <v>0</v>
      </c>
      <c r="BD27" s="582"/>
      <c r="BE27" s="551"/>
      <c r="BF27" s="582">
        <f>SUM(BF7:BF26)</f>
        <v>0</v>
      </c>
      <c r="BG27" s="582">
        <f>SUM(BG7:BG26)</f>
        <v>0</v>
      </c>
      <c r="BH27" s="582">
        <f>SUM(BH7:BH26)</f>
        <v>0</v>
      </c>
      <c r="BI27" s="582"/>
      <c r="BJ27" s="551"/>
      <c r="BK27" s="552"/>
      <c r="BL27" s="582">
        <f>SUM(BL7:BL26)</f>
        <v>2561832.6861044257</v>
      </c>
      <c r="BM27" s="582">
        <f>SUM(BM7:BM26)</f>
        <v>2481097.1</v>
      </c>
      <c r="BN27" s="582">
        <f>SUM(BN7:BN26)</f>
        <v>-80735.586104425805</v>
      </c>
      <c r="BO27" s="553"/>
    </row>
    <row r="28" spans="1:71" ht="13.5" thickTop="1">
      <c r="H28" s="554"/>
      <c r="I28" s="554"/>
      <c r="J28" s="554"/>
      <c r="M28" s="529"/>
      <c r="N28" s="529"/>
      <c r="O28" s="529"/>
      <c r="AC28" s="529"/>
      <c r="AG28" s="529"/>
      <c r="AH28" s="555"/>
      <c r="AI28" s="555"/>
      <c r="AL28" s="554"/>
      <c r="AM28" s="554"/>
      <c r="AN28" s="554"/>
      <c r="AQ28" s="529"/>
      <c r="AR28" s="529"/>
      <c r="AS28" s="529"/>
      <c r="AV28" s="529"/>
      <c r="AW28" s="529"/>
      <c r="AX28" s="529"/>
      <c r="AY28" s="555"/>
      <c r="AZ28" s="555"/>
      <c r="BA28" s="554"/>
      <c r="BB28" s="556"/>
      <c r="BC28" s="556"/>
      <c r="BD28" s="555"/>
      <c r="BE28" s="555"/>
      <c r="BF28" s="555"/>
      <c r="BG28" s="555"/>
      <c r="BH28" s="555"/>
      <c r="BI28" s="555"/>
      <c r="BJ28" s="555"/>
      <c r="BK28" s="555"/>
      <c r="BO28" s="557"/>
    </row>
    <row r="29" spans="1:71" ht="13">
      <c r="C29" s="529">
        <v>312325</v>
      </c>
      <c r="D29" s="529">
        <v>291102.03999999998</v>
      </c>
      <c r="E29" s="529">
        <v>-21222.959999999999</v>
      </c>
      <c r="H29" s="558">
        <v>312325</v>
      </c>
      <c r="I29" s="558">
        <v>299610.01</v>
      </c>
      <c r="J29" s="558">
        <v>-12714.99</v>
      </c>
      <c r="M29" s="558">
        <v>312627</v>
      </c>
      <c r="N29" s="558">
        <v>312627</v>
      </c>
      <c r="O29" s="558">
        <v>312627</v>
      </c>
      <c r="R29" s="554">
        <v>312693</v>
      </c>
      <c r="S29" s="554">
        <v>332747.86</v>
      </c>
      <c r="T29" s="554">
        <v>20054.86</v>
      </c>
      <c r="W29" s="352">
        <v>312693</v>
      </c>
      <c r="X29" s="551">
        <v>320499.89</v>
      </c>
      <c r="Y29" s="551">
        <v>7806.89</v>
      </c>
      <c r="AB29" s="352">
        <v>312851</v>
      </c>
      <c r="AC29" s="555">
        <v>274868.38</v>
      </c>
      <c r="AD29" s="555">
        <v>-37982.620000000003</v>
      </c>
      <c r="AG29" s="352">
        <v>340807</v>
      </c>
      <c r="AH29" s="551">
        <v>212581.81</v>
      </c>
      <c r="AI29" s="551">
        <v>-128225.19</v>
      </c>
      <c r="AL29" s="555">
        <v>345519</v>
      </c>
      <c r="AM29" s="555">
        <v>397197.44</v>
      </c>
      <c r="AN29" s="555">
        <v>51678.44</v>
      </c>
      <c r="AQ29" s="551"/>
      <c r="AR29" s="551"/>
      <c r="AS29" s="551"/>
      <c r="AV29" s="551"/>
      <c r="AW29" s="551"/>
      <c r="AX29" s="551"/>
      <c r="AY29" s="555"/>
      <c r="AZ29" s="555"/>
      <c r="BA29" s="551"/>
      <c r="BB29" s="551"/>
      <c r="BC29" s="551"/>
      <c r="BD29" s="555"/>
      <c r="BE29" s="555"/>
      <c r="BF29" s="551"/>
      <c r="BG29" s="551"/>
      <c r="BH29" s="551"/>
      <c r="BI29" s="555"/>
      <c r="BJ29" s="555"/>
      <c r="BK29" s="555"/>
      <c r="BL29" s="529">
        <v>2561840</v>
      </c>
      <c r="BM29" s="529">
        <v>2481097.1</v>
      </c>
      <c r="BN29" s="551">
        <v>-80742.899999999994</v>
      </c>
      <c r="BO29" s="557"/>
    </row>
    <row r="30" spans="1:71" ht="13">
      <c r="C30" s="556"/>
      <c r="D30" s="556"/>
      <c r="E30" s="556"/>
      <c r="H30" s="558"/>
      <c r="I30" s="558"/>
      <c r="J30" s="558"/>
      <c r="M30" s="558"/>
      <c r="N30" s="558"/>
      <c r="O30" s="558"/>
      <c r="R30" s="551"/>
      <c r="S30" s="551"/>
      <c r="T30" s="551"/>
      <c r="U30" s="554"/>
      <c r="W30" s="551"/>
      <c r="X30" s="551"/>
      <c r="Y30" s="551"/>
      <c r="AB30" s="555">
        <f>AB29-AB27</f>
        <v>0.9090494696283713</v>
      </c>
      <c r="AC30" s="555">
        <f t="shared" ref="AC30:AD30" si="13">AC29-AC27</f>
        <v>0</v>
      </c>
      <c r="AD30" s="555">
        <f t="shared" si="13"/>
        <v>-0.9090494695774396</v>
      </c>
      <c r="AE30" s="551"/>
      <c r="AG30" s="551">
        <f>AG29-AG27</f>
        <v>0.60479937843047082</v>
      </c>
      <c r="AH30" s="551">
        <f t="shared" ref="AH30:AI30" si="14">AH29-AH27</f>
        <v>0</v>
      </c>
      <c r="AI30" s="551">
        <f t="shared" si="14"/>
        <v>-0.60479937843047082</v>
      </c>
      <c r="AL30" s="551">
        <f>AL29-AL27</f>
        <v>0.65479937847703695</v>
      </c>
      <c r="AM30" s="551">
        <f t="shared" ref="AM30:AN30" si="15">AM29-AM27</f>
        <v>0</v>
      </c>
      <c r="AN30" s="551">
        <f t="shared" si="15"/>
        <v>-0.65479937841155333</v>
      </c>
      <c r="BF30" s="554"/>
      <c r="BG30" s="554"/>
      <c r="BH30" s="554"/>
      <c r="BL30" s="551"/>
      <c r="BM30" s="551"/>
      <c r="BN30" s="551"/>
      <c r="BO30" s="557"/>
    </row>
    <row r="31" spans="1:71">
      <c r="C31" s="551">
        <f>C29-C27</f>
        <v>1.4190494695794769</v>
      </c>
      <c r="D31" s="551">
        <f>D29-D27</f>
        <v>0</v>
      </c>
      <c r="E31" s="551">
        <f>E29-E27</f>
        <v>-1.4190494695758389</v>
      </c>
      <c r="H31" s="551">
        <f>H29-H27</f>
        <v>1.4190494695794769</v>
      </c>
      <c r="I31" s="551">
        <f>I29-I27</f>
        <v>0</v>
      </c>
      <c r="J31" s="551">
        <f>J29-J27</f>
        <v>-1.4190494695703819</v>
      </c>
      <c r="K31" s="554"/>
      <c r="M31" s="551">
        <f>M29-M27</f>
        <v>0.90904946957016364</v>
      </c>
      <c r="N31" s="551">
        <f>N29-N27</f>
        <v>-39862.669999999984</v>
      </c>
      <c r="O31" s="551">
        <f>O29-O27</f>
        <v>272763.42095053045</v>
      </c>
      <c r="R31" s="551">
        <f>R29-R27</f>
        <v>0.69904946960741654</v>
      </c>
      <c r="S31" s="551">
        <f>S29-S27</f>
        <v>0</v>
      </c>
      <c r="T31" s="551">
        <f>T29-T27</f>
        <v>-0.69904946957467473</v>
      </c>
      <c r="U31" s="551"/>
      <c r="W31" s="551">
        <f>W29-W27</f>
        <v>0.69904946960741654</v>
      </c>
      <c r="X31" s="551">
        <f>X29-X27</f>
        <v>0</v>
      </c>
      <c r="Y31" s="551">
        <f>Y29-Y27</f>
        <v>-0.69904946956376079</v>
      </c>
      <c r="AR31" s="529"/>
      <c r="AW31" s="554"/>
      <c r="BD31" s="554"/>
      <c r="BF31" s="551"/>
      <c r="BG31" s="551"/>
      <c r="BH31" s="551"/>
      <c r="BK31" s="551"/>
      <c r="BL31" s="551">
        <f>BL29-BL27</f>
        <v>7.3138955743052065</v>
      </c>
      <c r="BM31" s="551">
        <f>BM29-BM27</f>
        <v>0</v>
      </c>
      <c r="BN31" s="551">
        <f>BN29-BN27</f>
        <v>-7.3138955741887912</v>
      </c>
    </row>
    <row r="32" spans="1:71">
      <c r="AJ32" s="551"/>
      <c r="AL32" s="556"/>
    </row>
    <row r="33" spans="5:38">
      <c r="M33" s="556"/>
      <c r="N33" s="554"/>
      <c r="AC33" s="554"/>
    </row>
    <row r="34" spans="5:38">
      <c r="E34" s="529"/>
      <c r="K34" s="551"/>
      <c r="M34" s="554"/>
    </row>
    <row r="35" spans="5:38">
      <c r="H35" s="551"/>
      <c r="M35" s="554"/>
      <c r="N35" s="551"/>
      <c r="AL35" s="551"/>
    </row>
    <row r="36" spans="5:38">
      <c r="H36" s="551"/>
      <c r="AC36" s="551"/>
    </row>
    <row r="37" spans="5:38">
      <c r="K37" s="554"/>
    </row>
    <row r="51" spans="9:9">
      <c r="I51" s="554"/>
    </row>
  </sheetData>
  <mergeCells count="16">
    <mergeCell ref="BK4:BO4"/>
    <mergeCell ref="B1:BO1"/>
    <mergeCell ref="B2:BO2"/>
    <mergeCell ref="B3:BO3"/>
    <mergeCell ref="C4:F5"/>
    <mergeCell ref="H4:K5"/>
    <mergeCell ref="M4:P5"/>
    <mergeCell ref="R4:U5"/>
    <mergeCell ref="W4:Z5"/>
    <mergeCell ref="AB4:AE5"/>
    <mergeCell ref="AG4:AJ5"/>
    <mergeCell ref="AL4:AO5"/>
    <mergeCell ref="AQ4:AT5"/>
    <mergeCell ref="AV4:AY5"/>
    <mergeCell ref="BA4:BD5"/>
    <mergeCell ref="BF4:BI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4CC2-EFB0-40BB-96F8-61AD6A82F506}">
  <dimension ref="A3:M39"/>
  <sheetViews>
    <sheetView topLeftCell="A16" workbookViewId="0">
      <selection activeCell="I27" sqref="I27"/>
    </sheetView>
  </sheetViews>
  <sheetFormatPr defaultRowHeight="12.5"/>
  <cols>
    <col min="1" max="1" width="36.26953125" bestFit="1" customWidth="1"/>
    <col min="2" max="3" width="12" bestFit="1" customWidth="1"/>
    <col min="4" max="4" width="14.453125" bestFit="1" customWidth="1"/>
    <col min="5" max="5" width="13.26953125" bestFit="1" customWidth="1"/>
    <col min="6" max="6" width="12" bestFit="1" customWidth="1"/>
    <col min="7" max="7" width="12.54296875" bestFit="1" customWidth="1"/>
    <col min="8" max="8" width="12.26953125" bestFit="1" customWidth="1"/>
    <col min="9" max="9" width="15.453125" style="560" bestFit="1" customWidth="1"/>
    <col min="10" max="10" width="12.453125" bestFit="1" customWidth="1"/>
    <col min="11" max="13" width="12" bestFit="1" customWidth="1"/>
  </cols>
  <sheetData>
    <row r="3" spans="1:1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s="560" t="s">
        <v>93</v>
      </c>
      <c r="J3" t="s">
        <v>94</v>
      </c>
      <c r="K3" t="s">
        <v>95</v>
      </c>
      <c r="L3" t="s">
        <v>96</v>
      </c>
      <c r="M3" t="s">
        <v>97</v>
      </c>
    </row>
    <row r="4" spans="1:13">
      <c r="A4" t="s">
        <v>98</v>
      </c>
      <c r="B4">
        <v>51551.472494709909</v>
      </c>
      <c r="C4">
        <v>51551.472494709909</v>
      </c>
      <c r="D4">
        <v>51551.472494709909</v>
      </c>
      <c r="E4">
        <v>51551.472494709909</v>
      </c>
      <c r="F4">
        <v>51551.472494709909</v>
      </c>
      <c r="G4">
        <v>51551.472494709909</v>
      </c>
      <c r="H4">
        <v>51551.472494709909</v>
      </c>
      <c r="I4" s="560">
        <v>51551.472494709909</v>
      </c>
      <c r="J4">
        <v>51551.472494709909</v>
      </c>
      <c r="K4">
        <v>51551.472494709909</v>
      </c>
      <c r="L4">
        <v>51551.472494709909</v>
      </c>
      <c r="M4">
        <v>51551.472494709909</v>
      </c>
    </row>
    <row r="5" spans="1:13">
      <c r="A5" t="s">
        <v>99</v>
      </c>
      <c r="B5">
        <v>5337.652594843119</v>
      </c>
      <c r="C5">
        <v>5337.652594843119</v>
      </c>
      <c r="D5">
        <v>5337.652594843119</v>
      </c>
      <c r="E5">
        <v>5337.652594843119</v>
      </c>
      <c r="F5">
        <v>5337.652594843119</v>
      </c>
      <c r="G5">
        <v>5337.652594843119</v>
      </c>
      <c r="H5">
        <v>5337.652594843119</v>
      </c>
      <c r="I5" s="560">
        <v>5337.652594843119</v>
      </c>
      <c r="J5">
        <v>5337.652594843119</v>
      </c>
      <c r="K5">
        <v>5337.652594843119</v>
      </c>
      <c r="L5">
        <v>5418.7625948431196</v>
      </c>
      <c r="M5">
        <v>5418.7625948431196</v>
      </c>
    </row>
    <row r="6" spans="1:13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560">
        <v>0</v>
      </c>
      <c r="J6">
        <v>0</v>
      </c>
      <c r="K6">
        <v>0</v>
      </c>
      <c r="L6">
        <v>0</v>
      </c>
      <c r="M6">
        <v>19500</v>
      </c>
    </row>
    <row r="7" spans="1:13">
      <c r="A7" t="s">
        <v>101</v>
      </c>
      <c r="B7">
        <v>7048.3605401125969</v>
      </c>
      <c r="C7">
        <v>7048.3605401125969</v>
      </c>
      <c r="D7">
        <v>7048.3605401125969</v>
      </c>
      <c r="E7">
        <v>7048.3605401125969</v>
      </c>
      <c r="F7">
        <v>7048.3605401125969</v>
      </c>
      <c r="G7">
        <v>7048.3605401125969</v>
      </c>
      <c r="H7">
        <v>7048.3605401125969</v>
      </c>
      <c r="I7" s="560">
        <v>7048.3605401125969</v>
      </c>
      <c r="J7">
        <v>7048.3605401125969</v>
      </c>
      <c r="K7">
        <v>7048.3605401125969</v>
      </c>
      <c r="L7">
        <v>7048.3605401125969</v>
      </c>
      <c r="M7">
        <v>7048.3605401125969</v>
      </c>
    </row>
    <row r="8" spans="1:13">
      <c r="A8" t="s">
        <v>102</v>
      </c>
      <c r="B8">
        <v>23777.974372091863</v>
      </c>
      <c r="C8">
        <v>23777.974372091863</v>
      </c>
      <c r="D8">
        <v>23777.974372091863</v>
      </c>
      <c r="E8">
        <v>23777.974372091863</v>
      </c>
      <c r="F8">
        <v>23777.974372091863</v>
      </c>
      <c r="G8">
        <v>23777.974372091863</v>
      </c>
      <c r="H8">
        <v>24135.144372091861</v>
      </c>
      <c r="I8" s="560">
        <v>28635.144372091861</v>
      </c>
      <c r="J8">
        <v>28635.144372091861</v>
      </c>
      <c r="K8">
        <v>28635.144372091861</v>
      </c>
      <c r="L8">
        <v>28635.144372091861</v>
      </c>
      <c r="M8">
        <v>28635.144372091861</v>
      </c>
    </row>
    <row r="9" spans="1:13">
      <c r="A9" t="s">
        <v>103</v>
      </c>
      <c r="B9">
        <v>5131.7697003516359</v>
      </c>
      <c r="C9">
        <v>5131.7697003516359</v>
      </c>
      <c r="D9">
        <v>5131.7697003516359</v>
      </c>
      <c r="E9">
        <v>5131.7697003516359</v>
      </c>
      <c r="F9">
        <v>5131.7697003516359</v>
      </c>
      <c r="G9">
        <v>5207.6097003516352</v>
      </c>
      <c r="H9">
        <v>5134.2097003516355</v>
      </c>
      <c r="I9" s="560">
        <v>5134.2097003516355</v>
      </c>
      <c r="J9">
        <v>5134.2097003516355</v>
      </c>
      <c r="K9">
        <v>5134.2097003516355</v>
      </c>
      <c r="L9">
        <v>5134.2097003516355</v>
      </c>
      <c r="M9">
        <v>5134.2097003516355</v>
      </c>
    </row>
    <row r="10" spans="1:13">
      <c r="A10" t="s">
        <v>104</v>
      </c>
      <c r="B10">
        <v>5210.2925198424091</v>
      </c>
      <c r="C10">
        <v>5210.2925198424091</v>
      </c>
      <c r="D10">
        <v>5210.2925198424091</v>
      </c>
      <c r="E10">
        <v>5210.2925198424091</v>
      </c>
      <c r="F10">
        <v>5210.2925198424091</v>
      </c>
      <c r="G10">
        <v>5292.2425198424089</v>
      </c>
      <c r="H10">
        <v>5292.2425198424089</v>
      </c>
      <c r="I10" s="560">
        <v>5292.2425198424089</v>
      </c>
      <c r="J10">
        <v>5292.2425198424089</v>
      </c>
      <c r="K10">
        <v>5292.2425198424089</v>
      </c>
      <c r="L10">
        <v>5292.2425198424089</v>
      </c>
      <c r="M10">
        <v>5292.2425198424089</v>
      </c>
    </row>
    <row r="11" spans="1:13">
      <c r="A11" t="s">
        <v>105</v>
      </c>
      <c r="B11">
        <v>27656.092282279427</v>
      </c>
      <c r="C11">
        <v>27656.092282279427</v>
      </c>
      <c r="D11">
        <v>27656.092282279427</v>
      </c>
      <c r="E11">
        <v>27656.092282279427</v>
      </c>
      <c r="F11">
        <v>27656.092282279427</v>
      </c>
      <c r="G11">
        <v>27656.092282279427</v>
      </c>
      <c r="H11">
        <v>27656.092282279427</v>
      </c>
      <c r="I11" s="560">
        <v>27656.092282279427</v>
      </c>
      <c r="J11">
        <v>57691.573994491388</v>
      </c>
      <c r="K11">
        <v>57691.573994491388</v>
      </c>
      <c r="L11">
        <v>57691.573994491388</v>
      </c>
      <c r="M11">
        <v>57691.573994491388</v>
      </c>
    </row>
    <row r="12" spans="1:13">
      <c r="A12" t="s">
        <v>106</v>
      </c>
      <c r="B12">
        <v>48921.182973725641</v>
      </c>
      <c r="C12">
        <v>48921.182973725641</v>
      </c>
      <c r="D12">
        <v>48921.182973725641</v>
      </c>
      <c r="E12">
        <v>48921.182973725641</v>
      </c>
      <c r="F12">
        <v>48921.182973725641</v>
      </c>
      <c r="G12">
        <v>48921.182973725641</v>
      </c>
      <c r="H12">
        <v>48921.182973725641</v>
      </c>
      <c r="I12" s="560">
        <v>48921.182973725641</v>
      </c>
      <c r="J12">
        <v>48921.182973725641</v>
      </c>
      <c r="K12">
        <v>48921.182973725641</v>
      </c>
      <c r="L12">
        <v>48921.182973725641</v>
      </c>
      <c r="M12">
        <v>48921.182973725641</v>
      </c>
    </row>
    <row r="13" spans="1:13">
      <c r="A13" t="s">
        <v>107</v>
      </c>
      <c r="B13">
        <v>35662.419671222655</v>
      </c>
      <c r="C13">
        <v>35662.419671222655</v>
      </c>
      <c r="D13">
        <v>35662.419671222655</v>
      </c>
      <c r="E13">
        <v>35662.419671222655</v>
      </c>
      <c r="F13">
        <v>35662.419671222655</v>
      </c>
      <c r="G13">
        <v>35662.419671222655</v>
      </c>
      <c r="H13">
        <v>35662.419671222655</v>
      </c>
      <c r="I13" s="560">
        <v>35662.419671222655</v>
      </c>
      <c r="J13">
        <v>35662.419671222655</v>
      </c>
      <c r="K13">
        <v>35662.419671222655</v>
      </c>
      <c r="L13">
        <v>36539.439671222652</v>
      </c>
      <c r="M13">
        <v>36539.439671222652</v>
      </c>
    </row>
    <row r="14" spans="1:13">
      <c r="A14" t="s">
        <v>108</v>
      </c>
      <c r="B14">
        <v>3199.3323951936818</v>
      </c>
      <c r="C14">
        <v>3199.3323951936818</v>
      </c>
      <c r="D14">
        <v>3199.3323951936818</v>
      </c>
      <c r="E14">
        <v>3261.132395193682</v>
      </c>
      <c r="F14">
        <v>3261.132395193682</v>
      </c>
      <c r="G14">
        <v>3261.132395193682</v>
      </c>
      <c r="H14">
        <v>3261.132395193682</v>
      </c>
      <c r="I14" s="560">
        <v>3261.132395193682</v>
      </c>
      <c r="J14">
        <v>3261.132395193682</v>
      </c>
      <c r="K14">
        <v>3261.132395193682</v>
      </c>
      <c r="L14">
        <v>3261.132395193682</v>
      </c>
      <c r="M14">
        <v>3261.132395193682</v>
      </c>
    </row>
    <row r="15" spans="1:13">
      <c r="A15" t="s">
        <v>109</v>
      </c>
      <c r="B15">
        <v>12110.161777404099</v>
      </c>
      <c r="C15">
        <v>12110.161777404099</v>
      </c>
      <c r="D15">
        <v>12110.161777404099</v>
      </c>
      <c r="E15">
        <v>12114.571777404099</v>
      </c>
      <c r="F15">
        <v>12114.571777404099</v>
      </c>
      <c r="G15">
        <v>12114.571777404099</v>
      </c>
      <c r="H15">
        <v>12114.571777404099</v>
      </c>
      <c r="I15" s="560">
        <v>12114.571777404099</v>
      </c>
      <c r="J15">
        <v>12114.571777404099</v>
      </c>
      <c r="K15">
        <v>12114.571777404099</v>
      </c>
      <c r="L15">
        <v>12114.571777404099</v>
      </c>
      <c r="M15">
        <v>12114.571777404099</v>
      </c>
    </row>
    <row r="16" spans="1:13">
      <c r="A16" t="s">
        <v>110</v>
      </c>
      <c r="B16">
        <v>18449.4328573606</v>
      </c>
      <c r="C16">
        <v>18449.4328573606</v>
      </c>
      <c r="D16">
        <v>18449.4328573606</v>
      </c>
      <c r="E16">
        <v>18449.4328573606</v>
      </c>
      <c r="F16">
        <v>18449.4328573606</v>
      </c>
      <c r="G16">
        <v>18449.4328573606</v>
      </c>
      <c r="H16">
        <v>18449.4328573606</v>
      </c>
      <c r="I16" s="560">
        <v>18449.4328573606</v>
      </c>
      <c r="J16">
        <v>18449.4328573606</v>
      </c>
      <c r="K16">
        <v>18449.4328573606</v>
      </c>
      <c r="L16">
        <v>18449.4328573606</v>
      </c>
      <c r="M16">
        <v>18449.4328573606</v>
      </c>
    </row>
    <row r="17" spans="1:13">
      <c r="A17" t="s">
        <v>111</v>
      </c>
      <c r="B17">
        <v>10696.314474960329</v>
      </c>
      <c r="C17">
        <v>10696.314474960329</v>
      </c>
      <c r="D17">
        <v>10998.824474960329</v>
      </c>
      <c r="E17">
        <v>10998.824474960329</v>
      </c>
      <c r="F17">
        <v>10998.824474960329</v>
      </c>
      <c r="G17">
        <v>10998.824474960329</v>
      </c>
      <c r="H17">
        <v>10998.824474960329</v>
      </c>
      <c r="I17" s="560">
        <v>10998.824474960329</v>
      </c>
      <c r="J17">
        <v>10998.824474960329</v>
      </c>
      <c r="K17">
        <v>10998.824474960329</v>
      </c>
      <c r="L17">
        <v>10998.824474960329</v>
      </c>
      <c r="M17">
        <v>10998.824474960329</v>
      </c>
    </row>
    <row r="18" spans="1:13">
      <c r="A18" t="s">
        <v>112</v>
      </c>
      <c r="B18">
        <v>16707.224094242389</v>
      </c>
      <c r="C18">
        <v>16707.224094242389</v>
      </c>
      <c r="D18">
        <v>16707.224094242389</v>
      </c>
      <c r="E18">
        <v>16707.224094242389</v>
      </c>
      <c r="F18">
        <v>16707.224094242389</v>
      </c>
      <c r="G18">
        <v>16707.224094242389</v>
      </c>
      <c r="H18">
        <v>16707.224094242389</v>
      </c>
      <c r="I18" s="560">
        <v>16707.224094242389</v>
      </c>
      <c r="J18">
        <v>16707.224094242389</v>
      </c>
      <c r="K18">
        <v>16707.224094242389</v>
      </c>
      <c r="L18">
        <v>16707.224094242389</v>
      </c>
      <c r="M18">
        <v>16707.224094242389</v>
      </c>
    </row>
    <row r="19" spans="1:13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27672.534250091154</v>
      </c>
      <c r="I19" s="560">
        <v>27672.534250091154</v>
      </c>
      <c r="J19">
        <v>27672.534250091154</v>
      </c>
      <c r="K19">
        <v>27672.534250091154</v>
      </c>
      <c r="L19">
        <v>27672.534250091154</v>
      </c>
      <c r="M19">
        <v>27672.534250091154</v>
      </c>
    </row>
    <row r="20" spans="1:13">
      <c r="A20" t="s">
        <v>114</v>
      </c>
      <c r="B20">
        <v>7276.4982021900696</v>
      </c>
      <c r="C20">
        <v>7276.4982021900696</v>
      </c>
      <c r="D20">
        <v>7276.4982021900696</v>
      </c>
      <c r="E20">
        <v>7276.4982021900696</v>
      </c>
      <c r="F20">
        <v>7276.4982021900696</v>
      </c>
      <c r="G20">
        <v>7276.4982021900696</v>
      </c>
      <c r="H20">
        <v>7276.4982021900696</v>
      </c>
      <c r="I20" s="560">
        <v>7276.4982021900696</v>
      </c>
      <c r="J20">
        <v>7276.4982021900696</v>
      </c>
      <c r="K20">
        <v>7276.4982021900696</v>
      </c>
      <c r="L20">
        <v>7276.4982021900696</v>
      </c>
      <c r="M20">
        <v>7276.4982021900696</v>
      </c>
    </row>
    <row r="21" spans="1:13">
      <c r="A21" t="s">
        <v>115</v>
      </c>
    </row>
    <row r="22" spans="1:13" ht="13">
      <c r="A22" s="409" t="s">
        <v>116</v>
      </c>
      <c r="B22" s="409">
        <v>278736.18095053046</v>
      </c>
      <c r="C22" s="409">
        <v>278736.18095053046</v>
      </c>
      <c r="D22" s="409">
        <v>279038.69095053046</v>
      </c>
      <c r="E22" s="409">
        <v>279104.90095053049</v>
      </c>
      <c r="F22" s="409">
        <v>279104.90095053049</v>
      </c>
      <c r="G22" s="409">
        <v>279262.69095053046</v>
      </c>
      <c r="H22" s="409">
        <v>307218.99520062166</v>
      </c>
      <c r="I22" s="573">
        <v>311718.99520062166</v>
      </c>
      <c r="J22" s="409">
        <v>341754.47691283358</v>
      </c>
      <c r="K22" s="409">
        <v>341754.47691283358</v>
      </c>
      <c r="L22" s="409">
        <v>342712.60691283358</v>
      </c>
      <c r="M22" s="409">
        <v>362212.60691283358</v>
      </c>
    </row>
    <row r="24" spans="1:13">
      <c r="B24">
        <v>278736.18095053046</v>
      </c>
      <c r="C24">
        <v>278736.18095053046</v>
      </c>
      <c r="D24">
        <v>279038.69095053046</v>
      </c>
      <c r="E24">
        <v>279104.90095053049</v>
      </c>
      <c r="F24">
        <v>279104.90095053049</v>
      </c>
      <c r="G24">
        <v>279262.69095053046</v>
      </c>
      <c r="H24">
        <v>307218.99520062166</v>
      </c>
      <c r="I24" s="560">
        <v>311718.99520062166</v>
      </c>
      <c r="J24">
        <v>341754.47691283358</v>
      </c>
      <c r="K24">
        <v>341754.47691283358</v>
      </c>
      <c r="L24">
        <v>342712.60691283358</v>
      </c>
      <c r="M24">
        <v>362212.60691283358</v>
      </c>
    </row>
    <row r="26" spans="1:13">
      <c r="A26" t="str">
        <f>Summ.!B16</f>
        <v>Parking Income (PKG)</v>
      </c>
      <c r="B26">
        <f>Summ.!C16</f>
        <v>30000</v>
      </c>
      <c r="C26">
        <f>Summ.!D16</f>
        <v>30000</v>
      </c>
      <c r="D26">
        <f>Summ.!E16</f>
        <v>30000</v>
      </c>
      <c r="E26">
        <f>Summ.!F16</f>
        <v>30000</v>
      </c>
      <c r="F26">
        <f>Summ.!G16</f>
        <v>30000</v>
      </c>
      <c r="G26">
        <f>Summ.!H16</f>
        <v>30000</v>
      </c>
      <c r="H26">
        <f>Summ.!I16</f>
        <v>30000</v>
      </c>
      <c r="I26" s="560">
        <f>Summ.!J16</f>
        <v>30000</v>
      </c>
      <c r="J26">
        <f>Summ.!K16</f>
        <v>50000</v>
      </c>
      <c r="K26">
        <f>Summ.!L16</f>
        <v>50000</v>
      </c>
      <c r="L26">
        <f>Summ.!M16</f>
        <v>50000</v>
      </c>
      <c r="M26">
        <f>Summ.!N16</f>
        <v>50000</v>
      </c>
    </row>
    <row r="27" spans="1:13">
      <c r="A27" t="str">
        <f>'Excise Tax'!A32</f>
        <v>Percentage Rent Excise Tax</v>
      </c>
      <c r="B27">
        <f>'Excise Tax'!E32</f>
        <v>2067.4545000000003</v>
      </c>
      <c r="C27">
        <f>'Excise Tax'!F32</f>
        <v>2067.4545000000003</v>
      </c>
      <c r="D27">
        <f>'Excise Tax'!G32</f>
        <v>2067.4545000000003</v>
      </c>
      <c r="E27">
        <f>'Excise Tax'!H32</f>
        <v>2067.4545000000003</v>
      </c>
      <c r="F27">
        <f>'Excise Tax'!I32</f>
        <v>2067.4545000000003</v>
      </c>
      <c r="G27">
        <f>'Excise Tax'!J32</f>
        <v>2067.4545000000003</v>
      </c>
      <c r="H27">
        <f>'Excise Tax'!K32</f>
        <v>2067.4545000000003</v>
      </c>
      <c r="I27" s="560">
        <f>'Excise Tax'!L32</f>
        <v>2279.4045000000001</v>
      </c>
      <c r="J27">
        <f>'Excise Tax'!M32</f>
        <v>2420.7045000000003</v>
      </c>
      <c r="K27">
        <f>'Excise Tax'!N32</f>
        <v>2420.7045000000003</v>
      </c>
      <c r="L27">
        <f>'Excise Tax'!O32</f>
        <v>2420.7045000000003</v>
      </c>
      <c r="M27">
        <f>'Excise Tax'!P32</f>
        <v>2420.7045000000003</v>
      </c>
    </row>
    <row r="28" spans="1:13">
      <c r="A28" t="str">
        <f>Summ.!B24</f>
        <v>Miscellaneous Income</v>
      </c>
      <c r="B28">
        <f>Summ.!C24</f>
        <v>2500</v>
      </c>
      <c r="C28">
        <f>Summ.!D24</f>
        <v>2500</v>
      </c>
      <c r="D28">
        <f>Summ.!E24</f>
        <v>2500</v>
      </c>
      <c r="E28">
        <f>Summ.!F24</f>
        <v>2500</v>
      </c>
      <c r="F28">
        <f>Summ.!G24</f>
        <v>2500</v>
      </c>
      <c r="G28">
        <f>Summ.!H24</f>
        <v>2500</v>
      </c>
      <c r="H28">
        <f>Summ.!I24</f>
        <v>2500</v>
      </c>
      <c r="I28" s="560">
        <f>Summ.!J24</f>
        <v>2500</v>
      </c>
      <c r="J28">
        <f>Summ.!K24</f>
        <v>2500</v>
      </c>
      <c r="K28">
        <f>Summ.!L24</f>
        <v>2500</v>
      </c>
      <c r="L28">
        <f>Summ.!M24</f>
        <v>2500</v>
      </c>
      <c r="M28">
        <f>Summ.!N24</f>
        <v>2500</v>
      </c>
    </row>
    <row r="29" spans="1:13">
      <c r="A29" t="str">
        <f>'Rent Recovery'!A45</f>
        <v>Excise Tax</v>
      </c>
      <c r="B29">
        <f>'Rent Recovery'!E45</f>
        <v>19.936000799999999</v>
      </c>
      <c r="C29">
        <f>'Rent Recovery'!F45</f>
        <v>19.936000799999999</v>
      </c>
      <c r="D29">
        <f>'Rent Recovery'!G45</f>
        <v>19.936000799999999</v>
      </c>
      <c r="E29">
        <f>'Rent Recovery'!H45</f>
        <v>19.936000799999999</v>
      </c>
      <c r="F29">
        <f>'Rent Recovery'!I45</f>
        <v>19.936000799999999</v>
      </c>
      <c r="G29">
        <f>'Rent Recovery'!J45</f>
        <v>19.936000799999999</v>
      </c>
      <c r="H29">
        <f>'Rent Recovery'!K45</f>
        <v>19.936000799999999</v>
      </c>
      <c r="I29" s="560">
        <f>'Rent Recovery'!L45</f>
        <v>19.936000799999999</v>
      </c>
      <c r="J29">
        <f>'Rent Recovery'!M45</f>
        <v>19.936000799999999</v>
      </c>
      <c r="K29">
        <f>'Rent Recovery'!N45</f>
        <v>19.936000799999999</v>
      </c>
      <c r="L29">
        <f>'Rent Recovery'!O45</f>
        <v>19.936000799999999</v>
      </c>
      <c r="M29">
        <f>'Rent Recovery'!P45</f>
        <v>19.936000799999999</v>
      </c>
    </row>
    <row r="31" spans="1:13" ht="13">
      <c r="A31" s="409" t="s">
        <v>117</v>
      </c>
      <c r="B31" s="409">
        <f>SUM(B24:B29)</f>
        <v>313323.57145133044</v>
      </c>
      <c r="C31" s="409">
        <f t="shared" ref="C31:M31" si="0">SUM(C24:C29)</f>
        <v>313323.57145133044</v>
      </c>
      <c r="D31" s="409">
        <f t="shared" si="0"/>
        <v>313626.08145133045</v>
      </c>
      <c r="E31" s="409">
        <f t="shared" si="0"/>
        <v>313692.29145133047</v>
      </c>
      <c r="F31" s="409">
        <f t="shared" si="0"/>
        <v>313692.29145133047</v>
      </c>
      <c r="G31" s="409">
        <f t="shared" si="0"/>
        <v>313850.08145133045</v>
      </c>
      <c r="H31" s="409">
        <f t="shared" si="0"/>
        <v>341806.38570142165</v>
      </c>
      <c r="I31" s="573">
        <f t="shared" si="0"/>
        <v>346518.33570142166</v>
      </c>
      <c r="J31" s="409">
        <f t="shared" si="0"/>
        <v>396695.11741363356</v>
      </c>
      <c r="K31" s="409">
        <f t="shared" si="0"/>
        <v>396695.11741363356</v>
      </c>
      <c r="L31" s="409">
        <f t="shared" si="0"/>
        <v>397653.24741363357</v>
      </c>
      <c r="M31" s="409">
        <f t="shared" si="0"/>
        <v>417153.24741363357</v>
      </c>
    </row>
    <row r="33" spans="1:13">
      <c r="A33" t="s">
        <v>118</v>
      </c>
      <c r="B33">
        <f>Summ.!C30</f>
        <v>313323.57145133044</v>
      </c>
      <c r="C33">
        <f>Summ.!D30</f>
        <v>313323.57145133044</v>
      </c>
      <c r="D33">
        <f>Summ.!E30</f>
        <v>313626.08145133045</v>
      </c>
      <c r="E33">
        <f>Summ.!F30</f>
        <v>313692.29145133047</v>
      </c>
      <c r="F33">
        <f>Summ.!G30</f>
        <v>313692.29145133047</v>
      </c>
      <c r="G33">
        <f>Summ.!H30</f>
        <v>313850.08145133045</v>
      </c>
      <c r="H33">
        <f>Summ.!I30</f>
        <v>341806.38570142153</v>
      </c>
      <c r="I33" s="560">
        <f>Summ.!J30</f>
        <v>346518.33570142154</v>
      </c>
      <c r="J33">
        <f>Summ.!K30</f>
        <v>396695.11741363356</v>
      </c>
      <c r="K33">
        <f>Summ.!L30</f>
        <v>396695.11741363356</v>
      </c>
      <c r="L33">
        <f>Summ.!M30</f>
        <v>397653.24741363357</v>
      </c>
      <c r="M33">
        <f>Summ.!N30</f>
        <v>417153.24741363357</v>
      </c>
    </row>
    <row r="35" spans="1:13" ht="13">
      <c r="A35" s="409" t="s">
        <v>119</v>
      </c>
      <c r="B35" s="409">
        <f>B33-B31</f>
        <v>0</v>
      </c>
      <c r="C35" s="409">
        <f t="shared" ref="C35:M35" si="1">C33-C31</f>
        <v>0</v>
      </c>
      <c r="D35" s="409">
        <f t="shared" si="1"/>
        <v>0</v>
      </c>
      <c r="E35" s="409">
        <f t="shared" si="1"/>
        <v>0</v>
      </c>
      <c r="F35" s="409">
        <f t="shared" si="1"/>
        <v>0</v>
      </c>
      <c r="G35" s="409">
        <f t="shared" si="1"/>
        <v>0</v>
      </c>
      <c r="H35" s="409">
        <f t="shared" si="1"/>
        <v>0</v>
      </c>
      <c r="I35" s="573">
        <f t="shared" si="1"/>
        <v>0</v>
      </c>
      <c r="J35" s="409">
        <f t="shared" si="1"/>
        <v>0</v>
      </c>
      <c r="K35" s="409">
        <f t="shared" si="1"/>
        <v>0</v>
      </c>
      <c r="L35" s="409">
        <f t="shared" si="1"/>
        <v>0</v>
      </c>
      <c r="M35" s="409">
        <f t="shared" si="1"/>
        <v>0</v>
      </c>
    </row>
    <row r="38" spans="1:13">
      <c r="I38" s="560">
        <f>I31-H31</f>
        <v>4711.9500000000116</v>
      </c>
    </row>
    <row r="39" spans="1:13">
      <c r="I39" s="560">
        <v>-4500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6981-AF60-463A-B951-153CF31A3930}">
  <dimension ref="A3:M22"/>
  <sheetViews>
    <sheetView workbookViewId="0">
      <selection activeCell="E21" sqref="E21"/>
    </sheetView>
  </sheetViews>
  <sheetFormatPr defaultRowHeight="12.5"/>
  <cols>
    <col min="1" max="1" width="36.26953125" bestFit="1" customWidth="1"/>
    <col min="2" max="3" width="12" bestFit="1" customWidth="1"/>
    <col min="4" max="4" width="14.453125" bestFit="1" customWidth="1"/>
    <col min="5" max="5" width="13.26953125" bestFit="1" customWidth="1"/>
    <col min="6" max="6" width="12" bestFit="1" customWidth="1"/>
    <col min="7" max="7" width="12.54296875" bestFit="1" customWidth="1"/>
    <col min="8" max="8" width="12.26953125" bestFit="1" customWidth="1"/>
    <col min="9" max="9" width="15.453125" bestFit="1" customWidth="1"/>
    <col min="10" max="10" width="12.453125" bestFit="1" customWidth="1"/>
    <col min="11" max="13" width="12" bestFit="1" customWidth="1"/>
  </cols>
  <sheetData>
    <row r="3" spans="1:13">
      <c r="A3" s="506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</row>
    <row r="4" spans="1:13">
      <c r="A4" s="260" t="s">
        <v>98</v>
      </c>
      <c r="B4">
        <v>51551.472494709909</v>
      </c>
      <c r="C4">
        <v>51551.472494709909</v>
      </c>
      <c r="D4">
        <v>51551.472494709909</v>
      </c>
      <c r="E4">
        <v>51551.472494709909</v>
      </c>
      <c r="F4">
        <v>51551.472494709909</v>
      </c>
      <c r="G4">
        <v>51551.472494709909</v>
      </c>
      <c r="H4">
        <v>51551.472494709909</v>
      </c>
      <c r="I4">
        <v>51551.472494709909</v>
      </c>
      <c r="J4">
        <v>51551.472494709909</v>
      </c>
      <c r="K4">
        <v>51551.472494709909</v>
      </c>
      <c r="L4">
        <v>51551.472494709909</v>
      </c>
      <c r="M4">
        <v>51551.472494709909</v>
      </c>
    </row>
    <row r="5" spans="1:13">
      <c r="A5" s="260" t="s">
        <v>99</v>
      </c>
      <c r="B5">
        <v>5337.652594843119</v>
      </c>
      <c r="C5">
        <v>5337.652594843119</v>
      </c>
      <c r="D5">
        <v>5337.652594843119</v>
      </c>
      <c r="E5">
        <v>5337.652594843119</v>
      </c>
      <c r="F5">
        <v>5337.652594843119</v>
      </c>
      <c r="G5">
        <v>5337.652594843119</v>
      </c>
      <c r="H5">
        <v>5337.652594843119</v>
      </c>
      <c r="I5">
        <v>5337.652594843119</v>
      </c>
      <c r="J5">
        <v>5337.652594843119</v>
      </c>
      <c r="K5">
        <v>5337.652594843119</v>
      </c>
      <c r="L5">
        <v>5418.7625948431196</v>
      </c>
      <c r="M5">
        <v>5418.7625948431196</v>
      </c>
    </row>
    <row r="6" spans="1:13">
      <c r="A6" s="260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19500</v>
      </c>
    </row>
    <row r="7" spans="1:13">
      <c r="A7" s="260" t="s">
        <v>101</v>
      </c>
      <c r="B7">
        <v>7048.3605401125969</v>
      </c>
      <c r="C7">
        <v>7048.3605401125969</v>
      </c>
      <c r="D7">
        <v>7048.3605401125969</v>
      </c>
      <c r="E7">
        <v>7048.3605401125969</v>
      </c>
      <c r="F7">
        <v>7048.3605401125969</v>
      </c>
      <c r="G7">
        <v>7048.3605401125969</v>
      </c>
      <c r="H7">
        <v>7048.3605401125969</v>
      </c>
      <c r="I7">
        <v>7048.3605401125969</v>
      </c>
      <c r="J7">
        <v>7048.3605401125969</v>
      </c>
      <c r="K7">
        <v>7048.3605401125969</v>
      </c>
      <c r="L7">
        <v>7048.3605401125969</v>
      </c>
      <c r="M7">
        <v>7048.3605401125969</v>
      </c>
    </row>
    <row r="8" spans="1:13">
      <c r="A8" s="260" t="s">
        <v>102</v>
      </c>
      <c r="B8">
        <v>23777.974372091863</v>
      </c>
      <c r="C8">
        <v>23777.974372091863</v>
      </c>
      <c r="D8">
        <v>23777.974372091863</v>
      </c>
      <c r="E8">
        <v>23777.974372091863</v>
      </c>
      <c r="F8">
        <v>23777.974372091863</v>
      </c>
      <c r="G8">
        <v>23777.974372091863</v>
      </c>
      <c r="H8">
        <v>24135.144372091861</v>
      </c>
      <c r="I8">
        <v>28635.144372091861</v>
      </c>
      <c r="J8">
        <v>28635.144372091861</v>
      </c>
      <c r="K8">
        <v>28635.144372091861</v>
      </c>
      <c r="L8">
        <v>28635.144372091861</v>
      </c>
      <c r="M8">
        <v>28635.144372091861</v>
      </c>
    </row>
    <row r="9" spans="1:13">
      <c r="A9" s="260" t="s">
        <v>103</v>
      </c>
      <c r="B9">
        <v>5131.7697003516359</v>
      </c>
      <c r="C9">
        <v>5131.7697003516359</v>
      </c>
      <c r="D9">
        <v>5131.7697003516359</v>
      </c>
      <c r="E9">
        <v>5131.7697003516359</v>
      </c>
      <c r="F9">
        <v>5131.7697003516359</v>
      </c>
      <c r="G9">
        <v>5207.6097003516352</v>
      </c>
      <c r="H9">
        <v>5134.2097003516355</v>
      </c>
      <c r="I9">
        <v>5134.2097003516355</v>
      </c>
      <c r="J9">
        <v>5134.2097003516355</v>
      </c>
      <c r="K9">
        <v>5134.2097003516355</v>
      </c>
      <c r="L9">
        <v>5134.2097003516355</v>
      </c>
      <c r="M9">
        <v>5134.2097003516355</v>
      </c>
    </row>
    <row r="10" spans="1:13">
      <c r="A10" s="260" t="s">
        <v>104</v>
      </c>
      <c r="B10">
        <v>5210.2925198424091</v>
      </c>
      <c r="C10">
        <v>5210.2925198424091</v>
      </c>
      <c r="D10">
        <v>5210.2925198424091</v>
      </c>
      <c r="E10">
        <v>5210.2925198424091</v>
      </c>
      <c r="F10">
        <v>5210.2925198424091</v>
      </c>
      <c r="G10">
        <v>5292.2425198424089</v>
      </c>
      <c r="H10">
        <v>5292.2425198424089</v>
      </c>
      <c r="I10">
        <v>5292.2425198424089</v>
      </c>
      <c r="J10">
        <v>5292.2425198424089</v>
      </c>
      <c r="K10">
        <v>5292.2425198424089</v>
      </c>
      <c r="L10">
        <v>5292.2425198424089</v>
      </c>
      <c r="M10">
        <v>5292.2425198424089</v>
      </c>
    </row>
    <row r="11" spans="1:13">
      <c r="A11" s="260" t="s">
        <v>105</v>
      </c>
      <c r="B11">
        <v>27656.092282279427</v>
      </c>
      <c r="C11">
        <v>27656.092282279427</v>
      </c>
      <c r="D11">
        <v>27656.092282279427</v>
      </c>
      <c r="E11">
        <v>27656.092282279427</v>
      </c>
      <c r="F11">
        <v>27656.092282279427</v>
      </c>
      <c r="G11">
        <v>27656.092282279427</v>
      </c>
      <c r="H11">
        <v>27656.092282279427</v>
      </c>
      <c r="I11">
        <v>27656.092282279427</v>
      </c>
      <c r="J11">
        <v>57691.573994491388</v>
      </c>
      <c r="K11">
        <v>57691.573994491388</v>
      </c>
      <c r="L11">
        <v>57691.573994491388</v>
      </c>
      <c r="M11">
        <v>57691.573994491388</v>
      </c>
    </row>
    <row r="12" spans="1:13">
      <c r="A12" s="260" t="s">
        <v>106</v>
      </c>
      <c r="B12">
        <v>48921.182973725641</v>
      </c>
      <c r="C12">
        <v>48921.182973725641</v>
      </c>
      <c r="D12">
        <v>48921.182973725641</v>
      </c>
      <c r="E12">
        <v>48921.182973725641</v>
      </c>
      <c r="F12">
        <v>48921.182973725641</v>
      </c>
      <c r="G12">
        <v>48921.182973725641</v>
      </c>
      <c r="H12">
        <v>48921.182973725641</v>
      </c>
      <c r="I12">
        <v>48921.182973725641</v>
      </c>
      <c r="J12">
        <v>48921.182973725641</v>
      </c>
      <c r="K12">
        <v>48921.182973725641</v>
      </c>
      <c r="L12">
        <v>48921.182973725641</v>
      </c>
      <c r="M12">
        <v>48921.182973725641</v>
      </c>
    </row>
    <row r="13" spans="1:13">
      <c r="A13" s="260" t="s">
        <v>107</v>
      </c>
      <c r="B13">
        <v>35662.419671222655</v>
      </c>
      <c r="C13">
        <v>35662.419671222655</v>
      </c>
      <c r="D13">
        <v>35662.419671222655</v>
      </c>
      <c r="E13">
        <v>35662.419671222655</v>
      </c>
      <c r="F13">
        <v>35662.419671222655</v>
      </c>
      <c r="G13">
        <v>35662.419671222655</v>
      </c>
      <c r="H13">
        <v>35662.419671222655</v>
      </c>
      <c r="I13">
        <v>35662.419671222655</v>
      </c>
      <c r="J13">
        <v>35662.419671222655</v>
      </c>
      <c r="K13">
        <v>35662.419671222655</v>
      </c>
      <c r="L13">
        <v>36539.439671222652</v>
      </c>
      <c r="M13">
        <v>36539.439671222652</v>
      </c>
    </row>
    <row r="14" spans="1:13">
      <c r="A14" s="260" t="s">
        <v>108</v>
      </c>
      <c r="B14">
        <v>3199.3323951936818</v>
      </c>
      <c r="C14">
        <v>3199.3323951936818</v>
      </c>
      <c r="D14">
        <v>3199.3323951936818</v>
      </c>
      <c r="E14">
        <v>3261.132395193682</v>
      </c>
      <c r="F14">
        <v>3261.132395193682</v>
      </c>
      <c r="G14">
        <v>3261.132395193682</v>
      </c>
      <c r="H14">
        <v>3261.132395193682</v>
      </c>
      <c r="I14">
        <v>3261.132395193682</v>
      </c>
      <c r="J14">
        <v>3261.132395193682</v>
      </c>
      <c r="K14">
        <v>3261.132395193682</v>
      </c>
      <c r="L14">
        <v>3261.132395193682</v>
      </c>
      <c r="M14">
        <v>3261.132395193682</v>
      </c>
    </row>
    <row r="15" spans="1:13">
      <c r="A15" s="260" t="s">
        <v>109</v>
      </c>
      <c r="B15">
        <v>12110.161777404099</v>
      </c>
      <c r="C15">
        <v>12110.161777404099</v>
      </c>
      <c r="D15">
        <v>12110.161777404099</v>
      </c>
      <c r="E15">
        <v>12114.571777404099</v>
      </c>
      <c r="F15">
        <v>12114.571777404099</v>
      </c>
      <c r="G15">
        <v>12114.571777404099</v>
      </c>
      <c r="H15">
        <v>12114.571777404099</v>
      </c>
      <c r="I15">
        <v>12114.571777404099</v>
      </c>
      <c r="J15">
        <v>12114.571777404099</v>
      </c>
      <c r="K15">
        <v>12114.571777404099</v>
      </c>
      <c r="L15">
        <v>12114.571777404099</v>
      </c>
      <c r="M15">
        <v>12114.571777404099</v>
      </c>
    </row>
    <row r="16" spans="1:13">
      <c r="A16" s="260" t="s">
        <v>110</v>
      </c>
      <c r="B16">
        <v>18449.4328573606</v>
      </c>
      <c r="C16">
        <v>18449.4328573606</v>
      </c>
      <c r="D16">
        <v>18449.4328573606</v>
      </c>
      <c r="E16">
        <v>18449.4328573606</v>
      </c>
      <c r="F16">
        <v>18449.4328573606</v>
      </c>
      <c r="G16">
        <v>18449.4328573606</v>
      </c>
      <c r="H16">
        <v>18449.4328573606</v>
      </c>
      <c r="I16">
        <v>18449.4328573606</v>
      </c>
      <c r="J16">
        <v>18449.4328573606</v>
      </c>
      <c r="K16">
        <v>18449.4328573606</v>
      </c>
      <c r="L16">
        <v>18449.4328573606</v>
      </c>
      <c r="M16">
        <v>18449.4328573606</v>
      </c>
    </row>
    <row r="17" spans="1:13">
      <c r="A17" s="260" t="s">
        <v>111</v>
      </c>
      <c r="B17">
        <v>10696.314474960329</v>
      </c>
      <c r="C17">
        <v>10696.314474960329</v>
      </c>
      <c r="D17">
        <v>10998.824474960329</v>
      </c>
      <c r="E17">
        <v>10998.824474960329</v>
      </c>
      <c r="F17">
        <v>10998.824474960329</v>
      </c>
      <c r="G17">
        <v>10998.824474960329</v>
      </c>
      <c r="H17">
        <v>10998.824474960329</v>
      </c>
      <c r="I17">
        <v>10998.824474960329</v>
      </c>
      <c r="J17">
        <v>10998.824474960329</v>
      </c>
      <c r="K17">
        <v>10998.824474960329</v>
      </c>
      <c r="L17">
        <v>10998.824474960329</v>
      </c>
      <c r="M17">
        <v>10998.824474960329</v>
      </c>
    </row>
    <row r="18" spans="1:13">
      <c r="A18" s="260" t="s">
        <v>112</v>
      </c>
      <c r="B18">
        <v>16707.224094242389</v>
      </c>
      <c r="C18">
        <v>16707.224094242389</v>
      </c>
      <c r="D18">
        <v>16707.224094242389</v>
      </c>
      <c r="E18">
        <v>16707.224094242389</v>
      </c>
      <c r="F18">
        <v>16707.224094242389</v>
      </c>
      <c r="G18">
        <v>16707.224094242389</v>
      </c>
      <c r="H18">
        <v>16707.224094242389</v>
      </c>
      <c r="I18">
        <v>16707.224094242389</v>
      </c>
      <c r="J18">
        <v>16707.224094242389</v>
      </c>
      <c r="K18">
        <v>16707.224094242389</v>
      </c>
      <c r="L18">
        <v>16707.224094242389</v>
      </c>
      <c r="M18">
        <v>16707.224094242389</v>
      </c>
    </row>
    <row r="19" spans="1:13">
      <c r="A19" s="260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27672.534250091154</v>
      </c>
      <c r="I19">
        <v>27672.534250091154</v>
      </c>
      <c r="J19">
        <v>27672.534250091154</v>
      </c>
      <c r="K19">
        <v>27672.534250091154</v>
      </c>
      <c r="L19">
        <v>27672.534250091154</v>
      </c>
      <c r="M19">
        <v>27672.534250091154</v>
      </c>
    </row>
    <row r="20" spans="1:13">
      <c r="A20" s="260" t="s">
        <v>114</v>
      </c>
      <c r="B20">
        <v>7276.4982021900696</v>
      </c>
      <c r="C20">
        <v>7276.4982021900696</v>
      </c>
      <c r="D20">
        <v>7276.4982021900696</v>
      </c>
      <c r="E20">
        <v>7276.4982021900696</v>
      </c>
      <c r="F20">
        <v>7276.4982021900696</v>
      </c>
      <c r="G20">
        <v>7276.4982021900696</v>
      </c>
      <c r="H20">
        <v>7276.4982021900696</v>
      </c>
      <c r="I20">
        <v>7276.4982021900696</v>
      </c>
      <c r="J20">
        <v>7276.4982021900696</v>
      </c>
      <c r="K20">
        <v>7276.4982021900696</v>
      </c>
      <c r="L20">
        <v>7276.4982021900696</v>
      </c>
      <c r="M20">
        <v>7276.4982021900696</v>
      </c>
    </row>
    <row r="21" spans="1:13">
      <c r="A21" s="260" t="s">
        <v>115</v>
      </c>
    </row>
    <row r="22" spans="1:13">
      <c r="A22" s="260" t="s">
        <v>116</v>
      </c>
      <c r="B22">
        <v>278736.18095053046</v>
      </c>
      <c r="C22">
        <v>278736.18095053046</v>
      </c>
      <c r="D22">
        <v>279038.69095053046</v>
      </c>
      <c r="E22">
        <v>279104.90095053049</v>
      </c>
      <c r="F22">
        <v>279104.90095053049</v>
      </c>
      <c r="G22">
        <v>279262.69095053046</v>
      </c>
      <c r="H22">
        <v>307218.99520062166</v>
      </c>
      <c r="I22">
        <v>311718.99520062166</v>
      </c>
      <c r="J22">
        <v>341754.47691283358</v>
      </c>
      <c r="K22">
        <v>341754.47691283358</v>
      </c>
      <c r="L22">
        <v>342712.60691283358</v>
      </c>
      <c r="M22">
        <v>362212.60691283358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E319-B486-4940-A38A-57A631888A6F}">
  <dimension ref="A1:N161"/>
  <sheetViews>
    <sheetView zoomScale="85" zoomScaleNormal="85" workbookViewId="0">
      <selection activeCell="J1" sqref="J1"/>
    </sheetView>
  </sheetViews>
  <sheetFormatPr defaultRowHeight="12.5"/>
  <cols>
    <col min="1" max="1" width="35.54296875" bestFit="1" customWidth="1"/>
    <col min="2" max="2" width="27" customWidth="1"/>
    <col min="3" max="3" width="11.7265625" bestFit="1" customWidth="1"/>
    <col min="4" max="4" width="13.7265625" customWidth="1"/>
    <col min="5" max="5" width="11.7265625" bestFit="1" customWidth="1"/>
    <col min="6" max="6" width="14.26953125" bestFit="1" customWidth="1"/>
    <col min="7" max="7" width="14.26953125" customWidth="1"/>
    <col min="8" max="9" width="11.7265625" bestFit="1" customWidth="1"/>
    <col min="10" max="10" width="10.54296875" bestFit="1" customWidth="1"/>
    <col min="11" max="11" width="12.54296875" bestFit="1" customWidth="1"/>
    <col min="12" max="12" width="10.7265625" bestFit="1" customWidth="1"/>
    <col min="13" max="13" width="11.7265625" bestFit="1" customWidth="1"/>
    <col min="14" max="14" width="11.453125" bestFit="1" customWidth="1"/>
  </cols>
  <sheetData>
    <row r="1" spans="1:14" ht="13">
      <c r="A1" s="166" t="s">
        <v>120</v>
      </c>
      <c r="B1" s="166" t="s">
        <v>121</v>
      </c>
      <c r="C1" s="166" t="s">
        <v>1</v>
      </c>
      <c r="D1" s="166" t="s">
        <v>2</v>
      </c>
      <c r="E1" s="166" t="s">
        <v>3</v>
      </c>
      <c r="F1" s="166" t="s">
        <v>4</v>
      </c>
      <c r="G1" s="166" t="s">
        <v>122</v>
      </c>
      <c r="H1" s="166" t="s">
        <v>6</v>
      </c>
      <c r="I1" s="166" t="s">
        <v>7</v>
      </c>
      <c r="J1" s="166" t="s">
        <v>8</v>
      </c>
      <c r="K1" s="166" t="s">
        <v>123</v>
      </c>
      <c r="L1" s="166" t="s">
        <v>124</v>
      </c>
      <c r="M1" s="166" t="s">
        <v>125</v>
      </c>
      <c r="N1" s="166" t="s">
        <v>126</v>
      </c>
    </row>
    <row r="2" spans="1:14" ht="13">
      <c r="A2" t="s">
        <v>106</v>
      </c>
      <c r="B2" s="51" t="s">
        <v>127</v>
      </c>
      <c r="C2" s="153">
        <v>15803.54</v>
      </c>
      <c r="D2" s="153">
        <v>15803.54</v>
      </c>
      <c r="E2" s="153">
        <v>15803.54</v>
      </c>
      <c r="F2" s="153">
        <v>15803.54</v>
      </c>
      <c r="G2" s="153">
        <v>15803.54</v>
      </c>
      <c r="H2" s="153">
        <v>15803.54</v>
      </c>
      <c r="I2" s="153">
        <v>15803.54</v>
      </c>
      <c r="J2" s="153">
        <v>15803.54</v>
      </c>
      <c r="K2" s="153">
        <v>15803.54</v>
      </c>
      <c r="L2" s="153">
        <v>15803.54</v>
      </c>
      <c r="M2" s="153">
        <v>15803.54</v>
      </c>
      <c r="N2" s="153">
        <v>15803.54</v>
      </c>
    </row>
    <row r="3" spans="1:14" ht="13">
      <c r="A3" t="s">
        <v>114</v>
      </c>
      <c r="B3" s="51" t="s">
        <v>127</v>
      </c>
      <c r="C3" s="261">
        <v>3383.1</v>
      </c>
      <c r="D3" s="153">
        <v>3383.1</v>
      </c>
      <c r="E3" s="153">
        <v>3383.1</v>
      </c>
      <c r="F3" s="153">
        <v>3383.1</v>
      </c>
      <c r="G3" s="153">
        <v>3383.1</v>
      </c>
      <c r="H3" s="153">
        <v>3383.1</v>
      </c>
      <c r="I3" s="153">
        <v>3383.1</v>
      </c>
      <c r="J3" s="153">
        <v>3383.1</v>
      </c>
      <c r="K3" s="153">
        <v>3383.1</v>
      </c>
      <c r="L3" s="153">
        <v>3383.1</v>
      </c>
      <c r="M3" s="153">
        <v>3383.1</v>
      </c>
      <c r="N3" s="153">
        <v>3383.1</v>
      </c>
    </row>
    <row r="4" spans="1:14" ht="13">
      <c r="A4" t="s">
        <v>108</v>
      </c>
      <c r="B4" s="51" t="s">
        <v>127</v>
      </c>
      <c r="C4" s="153">
        <v>2060</v>
      </c>
      <c r="D4" s="153">
        <v>2060</v>
      </c>
      <c r="E4" s="153">
        <v>2060</v>
      </c>
      <c r="F4" s="261">
        <v>2121.8000000000002</v>
      </c>
      <c r="G4" s="153">
        <v>2121.8000000000002</v>
      </c>
      <c r="H4" s="153">
        <v>2121.8000000000002</v>
      </c>
      <c r="I4" s="153">
        <v>2121.8000000000002</v>
      </c>
      <c r="J4" s="153">
        <v>2121.8000000000002</v>
      </c>
      <c r="K4" s="153">
        <v>2121.8000000000002</v>
      </c>
      <c r="L4" s="153">
        <v>2121.8000000000002</v>
      </c>
      <c r="M4" s="153">
        <v>2121.8000000000002</v>
      </c>
      <c r="N4" s="153">
        <v>2121.8000000000002</v>
      </c>
    </row>
    <row r="5" spans="1:14" ht="13">
      <c r="A5" t="s">
        <v>103</v>
      </c>
      <c r="B5" s="51" t="s">
        <v>127</v>
      </c>
      <c r="C5" s="153">
        <v>2527.84</v>
      </c>
      <c r="D5" s="153">
        <v>2527.84</v>
      </c>
      <c r="E5" s="153">
        <v>2527.84</v>
      </c>
      <c r="F5" s="153">
        <v>2527.84</v>
      </c>
      <c r="G5" s="153">
        <v>2527.84</v>
      </c>
      <c r="H5" s="261">
        <v>2603.6799999999998</v>
      </c>
      <c r="I5" s="153">
        <v>2530.2800000000002</v>
      </c>
      <c r="J5" s="153">
        <v>2530.2800000000002</v>
      </c>
      <c r="K5" s="153">
        <v>2530.2800000000002</v>
      </c>
      <c r="L5" s="153">
        <v>2530.2800000000002</v>
      </c>
      <c r="M5" s="153">
        <v>2530.2800000000002</v>
      </c>
      <c r="N5" s="153">
        <v>2530.2800000000002</v>
      </c>
    </row>
    <row r="6" spans="1:14" ht="13">
      <c r="A6" s="356" t="s">
        <v>99</v>
      </c>
      <c r="B6" s="51" t="s">
        <v>127</v>
      </c>
      <c r="C6" s="429">
        <v>2703.75</v>
      </c>
      <c r="D6" s="429">
        <v>2703.75</v>
      </c>
      <c r="E6" s="429">
        <v>2703.75</v>
      </c>
      <c r="F6" s="429">
        <v>2703.75</v>
      </c>
      <c r="G6" s="429">
        <v>2703.75</v>
      </c>
      <c r="H6" s="429">
        <v>2703.75</v>
      </c>
      <c r="I6" s="429">
        <v>2703.75</v>
      </c>
      <c r="J6" s="429">
        <v>2703.75</v>
      </c>
      <c r="K6" s="429">
        <v>2703.75</v>
      </c>
      <c r="L6" s="429">
        <v>2703.75</v>
      </c>
      <c r="M6" s="431">
        <v>2784.86</v>
      </c>
      <c r="N6" s="429">
        <v>2784.86</v>
      </c>
    </row>
    <row r="7" spans="1:14" ht="13">
      <c r="A7" t="s">
        <v>101</v>
      </c>
      <c r="B7" s="51" t="s">
        <v>127</v>
      </c>
      <c r="C7" s="153">
        <v>3826.9</v>
      </c>
      <c r="D7" s="153">
        <v>3826.9</v>
      </c>
      <c r="E7" s="153">
        <v>3826.9</v>
      </c>
      <c r="F7" s="153">
        <v>3826.9</v>
      </c>
      <c r="G7" s="153">
        <v>3826.9</v>
      </c>
      <c r="H7" s="153">
        <v>3826.9</v>
      </c>
      <c r="I7" s="153">
        <v>3826.9</v>
      </c>
      <c r="J7" s="153">
        <v>3826.9</v>
      </c>
      <c r="K7" s="261">
        <v>3826.9</v>
      </c>
      <c r="L7" s="153">
        <v>3826.9</v>
      </c>
      <c r="M7" s="153">
        <v>3826.9</v>
      </c>
      <c r="N7" s="153">
        <v>3826.9</v>
      </c>
    </row>
    <row r="8" spans="1:14" ht="13">
      <c r="A8" t="s">
        <v>111</v>
      </c>
      <c r="B8" s="51" t="s">
        <v>127</v>
      </c>
      <c r="C8" s="153">
        <v>7593</v>
      </c>
      <c r="D8" s="153">
        <v>7593</v>
      </c>
      <c r="E8" s="432">
        <v>7895.51</v>
      </c>
      <c r="F8" s="153">
        <v>7895.51</v>
      </c>
      <c r="G8" s="153">
        <v>7895.51</v>
      </c>
      <c r="H8" s="153">
        <v>7895.51</v>
      </c>
      <c r="I8" s="153">
        <v>7895.51</v>
      </c>
      <c r="J8" s="153">
        <v>7895.51</v>
      </c>
      <c r="K8" s="153">
        <v>7895.51</v>
      </c>
      <c r="L8" s="153">
        <v>7895.51</v>
      </c>
      <c r="M8" s="153">
        <v>7895.51</v>
      </c>
      <c r="N8" s="153">
        <v>7895.51</v>
      </c>
    </row>
    <row r="9" spans="1:14" ht="13">
      <c r="A9" t="s">
        <v>102</v>
      </c>
      <c r="B9" s="51" t="s">
        <v>127</v>
      </c>
      <c r="C9" s="153">
        <v>11905.63</v>
      </c>
      <c r="D9" s="153">
        <v>11905.63</v>
      </c>
      <c r="E9" s="153">
        <v>11905.63</v>
      </c>
      <c r="F9" s="153">
        <v>11905.63</v>
      </c>
      <c r="G9" s="153">
        <v>11905.63</v>
      </c>
      <c r="H9" s="153">
        <v>11905.63</v>
      </c>
      <c r="I9" s="261">
        <v>12262.8</v>
      </c>
      <c r="J9" s="153">
        <v>12262.8</v>
      </c>
      <c r="K9" s="153">
        <v>12262.8</v>
      </c>
      <c r="L9" s="153">
        <v>12262.8</v>
      </c>
      <c r="M9" s="153">
        <v>12262.8</v>
      </c>
      <c r="N9" s="153">
        <v>12262.8</v>
      </c>
    </row>
    <row r="10" spans="1:14" ht="13">
      <c r="A10" t="s">
        <v>105</v>
      </c>
      <c r="B10" s="51" t="s">
        <v>127</v>
      </c>
      <c r="C10" s="153">
        <v>25000</v>
      </c>
      <c r="D10" s="153">
        <v>25000</v>
      </c>
      <c r="E10" s="153">
        <v>25000</v>
      </c>
      <c r="F10" s="153">
        <v>25000</v>
      </c>
      <c r="G10" s="153">
        <v>25000</v>
      </c>
      <c r="H10" s="153">
        <v>25000</v>
      </c>
      <c r="I10" s="153">
        <v>25000</v>
      </c>
      <c r="J10" s="153">
        <v>25000</v>
      </c>
      <c r="K10" s="153">
        <v>20666.8</v>
      </c>
      <c r="L10" s="153">
        <v>20666.8</v>
      </c>
      <c r="M10" s="153">
        <v>20666.8</v>
      </c>
      <c r="N10" s="153">
        <v>20666.8</v>
      </c>
    </row>
    <row r="11" spans="1:14" ht="13">
      <c r="A11" t="s">
        <v>98</v>
      </c>
      <c r="B11" s="51" t="s">
        <v>127</v>
      </c>
      <c r="C11" s="261">
        <v>24000</v>
      </c>
      <c r="D11" s="153">
        <v>24000</v>
      </c>
      <c r="E11" s="153">
        <v>24000</v>
      </c>
      <c r="F11" s="153">
        <v>24000</v>
      </c>
      <c r="G11" s="153">
        <v>24000</v>
      </c>
      <c r="H11" s="153">
        <v>24000</v>
      </c>
      <c r="I11" s="153">
        <v>24000</v>
      </c>
      <c r="J11" s="153">
        <v>24000</v>
      </c>
      <c r="K11" s="153">
        <v>24000</v>
      </c>
      <c r="L11" s="153">
        <v>24000</v>
      </c>
      <c r="M11" s="153">
        <v>24000</v>
      </c>
      <c r="N11" s="153">
        <v>24000</v>
      </c>
    </row>
    <row r="12" spans="1:14" ht="13">
      <c r="A12" t="s">
        <v>104</v>
      </c>
      <c r="B12" s="51" t="s">
        <v>127</v>
      </c>
      <c r="C12" s="153">
        <v>2731.82</v>
      </c>
      <c r="D12" s="153">
        <v>2731.82</v>
      </c>
      <c r="E12" s="153">
        <v>2731.82</v>
      </c>
      <c r="F12" s="153">
        <v>2731.82</v>
      </c>
      <c r="G12" s="153">
        <v>2731.82</v>
      </c>
      <c r="H12" s="261">
        <v>2813.77</v>
      </c>
      <c r="I12" s="153">
        <v>2813.77</v>
      </c>
      <c r="J12" s="153">
        <v>2813.77</v>
      </c>
      <c r="K12" s="153">
        <v>2813.77</v>
      </c>
      <c r="L12" s="153">
        <v>2813.77</v>
      </c>
      <c r="M12" s="153">
        <v>2813.77</v>
      </c>
      <c r="N12" s="153">
        <v>2813.77</v>
      </c>
    </row>
    <row r="13" spans="1:14" ht="13">
      <c r="A13" t="s">
        <v>112</v>
      </c>
      <c r="B13" s="51" t="s">
        <v>127</v>
      </c>
      <c r="C13" s="153">
        <v>10049.120000000001</v>
      </c>
      <c r="D13" s="153">
        <v>10049.120000000001</v>
      </c>
      <c r="E13" s="433">
        <v>10049.120000000001</v>
      </c>
      <c r="F13" s="153">
        <v>10049.120000000001</v>
      </c>
      <c r="G13" s="153">
        <v>10049.120000000001</v>
      </c>
      <c r="H13" s="153">
        <v>10049.120000000001</v>
      </c>
      <c r="I13" s="153">
        <v>10049.120000000001</v>
      </c>
      <c r="J13" s="153">
        <v>10049.120000000001</v>
      </c>
      <c r="K13" s="153">
        <v>10049.120000000001</v>
      </c>
      <c r="L13" s="153">
        <v>10049.120000000001</v>
      </c>
      <c r="M13" s="153">
        <v>10049.120000000001</v>
      </c>
      <c r="N13" s="153">
        <v>10049.120000000001</v>
      </c>
    </row>
    <row r="14" spans="1:14" ht="13">
      <c r="A14" s="260" t="s">
        <v>107</v>
      </c>
      <c r="B14" s="51" t="s">
        <v>127</v>
      </c>
      <c r="C14" s="153">
        <v>23387.29</v>
      </c>
      <c r="D14" s="153">
        <v>23387.29</v>
      </c>
      <c r="E14" s="153">
        <v>23387.29</v>
      </c>
      <c r="F14" s="153">
        <v>23387.29</v>
      </c>
      <c r="G14" s="153">
        <v>23387.29</v>
      </c>
      <c r="H14" s="153">
        <v>23387.29</v>
      </c>
      <c r="I14" s="153">
        <v>23387.29</v>
      </c>
      <c r="J14" s="153">
        <v>23387.29</v>
      </c>
      <c r="K14" s="153">
        <v>23387.29</v>
      </c>
      <c r="L14" s="153">
        <v>23387.29</v>
      </c>
      <c r="M14" s="261">
        <v>24264.31</v>
      </c>
      <c r="N14" s="153">
        <v>24264.31</v>
      </c>
    </row>
    <row r="15" spans="1:14" ht="13">
      <c r="A15" s="435" t="s">
        <v>113</v>
      </c>
      <c r="B15" s="51" t="s">
        <v>127</v>
      </c>
      <c r="C15" s="492">
        <v>0</v>
      </c>
      <c r="D15" s="492">
        <v>0</v>
      </c>
      <c r="E15" s="492">
        <v>0</v>
      </c>
      <c r="F15" s="492">
        <v>0</v>
      </c>
      <c r="G15" s="492">
        <v>0</v>
      </c>
      <c r="H15" s="492">
        <v>0</v>
      </c>
      <c r="I15" s="492">
        <v>13000</v>
      </c>
      <c r="J15" s="492">
        <v>13000</v>
      </c>
      <c r="K15" s="492">
        <v>13000</v>
      </c>
      <c r="L15" s="492">
        <v>13000</v>
      </c>
      <c r="M15" s="492">
        <v>13000</v>
      </c>
      <c r="N15" s="492">
        <v>13000</v>
      </c>
    </row>
    <row r="16" spans="1:14" ht="13">
      <c r="A16" t="s">
        <v>100</v>
      </c>
      <c r="B16" s="51" t="s">
        <v>127</v>
      </c>
      <c r="C16" s="153"/>
      <c r="D16" s="153">
        <v>0</v>
      </c>
      <c r="E16" s="153">
        <v>0</v>
      </c>
      <c r="F16" s="153">
        <v>0</v>
      </c>
      <c r="G16" s="153">
        <v>0</v>
      </c>
      <c r="H16" s="153">
        <v>0</v>
      </c>
      <c r="I16" s="153"/>
      <c r="J16" s="153">
        <v>0</v>
      </c>
      <c r="K16" s="153">
        <v>0</v>
      </c>
      <c r="L16" s="153">
        <v>0</v>
      </c>
      <c r="M16" s="432">
        <v>0</v>
      </c>
      <c r="N16" s="153">
        <v>19500</v>
      </c>
    </row>
    <row r="17" spans="1:14" ht="13">
      <c r="A17" t="s">
        <v>109</v>
      </c>
      <c r="B17" s="51" t="s">
        <v>127</v>
      </c>
      <c r="C17" s="153">
        <v>6440.59</v>
      </c>
      <c r="D17" s="153">
        <v>6440.59</v>
      </c>
      <c r="E17" s="153">
        <v>6440.59</v>
      </c>
      <c r="F17" s="261">
        <v>6445</v>
      </c>
      <c r="G17" s="153">
        <v>6445</v>
      </c>
      <c r="H17" s="153">
        <v>6445</v>
      </c>
      <c r="I17" s="153">
        <v>6445</v>
      </c>
      <c r="J17" s="153">
        <v>6445</v>
      </c>
      <c r="K17" s="153">
        <v>6445</v>
      </c>
      <c r="L17" s="153">
        <v>6445</v>
      </c>
      <c r="M17" s="153">
        <v>6445</v>
      </c>
      <c r="N17" s="153">
        <v>6445</v>
      </c>
    </row>
    <row r="18" spans="1:14" ht="13">
      <c r="A18" t="s">
        <v>110</v>
      </c>
      <c r="B18" s="51" t="s">
        <v>127</v>
      </c>
      <c r="C18" s="153">
        <v>7408</v>
      </c>
      <c r="D18" s="153">
        <v>7408</v>
      </c>
      <c r="E18" s="153">
        <v>7408</v>
      </c>
      <c r="F18" s="153">
        <v>7408</v>
      </c>
      <c r="G18" s="153">
        <v>7408</v>
      </c>
      <c r="H18" s="153">
        <v>7408</v>
      </c>
      <c r="I18" s="153">
        <v>7408</v>
      </c>
      <c r="J18" s="153">
        <v>7408</v>
      </c>
      <c r="K18" s="153">
        <v>7408</v>
      </c>
      <c r="L18" s="153">
        <v>7408</v>
      </c>
      <c r="M18" s="153">
        <v>7408</v>
      </c>
      <c r="N18" s="497">
        <v>7408</v>
      </c>
    </row>
    <row r="19" spans="1:14" ht="13">
      <c r="A19" t="s">
        <v>114</v>
      </c>
      <c r="B19" s="51" t="s">
        <v>128</v>
      </c>
      <c r="C19" s="153">
        <v>423.09</v>
      </c>
      <c r="D19" s="153">
        <v>423.09</v>
      </c>
      <c r="E19" s="153">
        <v>423.09</v>
      </c>
      <c r="F19" s="153">
        <v>423.09</v>
      </c>
      <c r="G19" s="153">
        <v>423.09</v>
      </c>
      <c r="H19" s="153">
        <v>423.09</v>
      </c>
      <c r="I19" s="153">
        <v>423.09</v>
      </c>
      <c r="J19" s="153">
        <v>423.09</v>
      </c>
      <c r="K19" s="153">
        <v>423.09</v>
      </c>
      <c r="L19" s="153">
        <v>423.09</v>
      </c>
      <c r="M19" s="153">
        <v>423.09</v>
      </c>
      <c r="N19" s="153">
        <v>423.09</v>
      </c>
    </row>
    <row r="20" spans="1:14" ht="14.5">
      <c r="A20" t="s">
        <v>106</v>
      </c>
      <c r="B20" s="51" t="s">
        <v>129</v>
      </c>
      <c r="C20" s="9">
        <v>6087.6782372004827</v>
      </c>
      <c r="D20" s="9">
        <v>6087.6782372004827</v>
      </c>
      <c r="E20" s="9">
        <v>6087.6782372004827</v>
      </c>
      <c r="F20" s="9">
        <v>6087.6782372004827</v>
      </c>
      <c r="G20" s="9">
        <v>6087.6782372004827</v>
      </c>
      <c r="H20" s="9">
        <v>6087.6782372004827</v>
      </c>
      <c r="I20" s="9">
        <v>6087.6782372004827</v>
      </c>
      <c r="J20" s="9">
        <v>6087.6782372004827</v>
      </c>
      <c r="K20" s="9">
        <v>6087.6782372004827</v>
      </c>
      <c r="L20" s="9">
        <v>6087.6782372004827</v>
      </c>
      <c r="M20" s="9">
        <v>6087.6782372004827</v>
      </c>
      <c r="N20" s="9">
        <v>6087.6782372004827</v>
      </c>
    </row>
    <row r="21" spans="1:14" ht="14.5">
      <c r="A21" t="s">
        <v>114</v>
      </c>
      <c r="B21" s="51" t="s">
        <v>129</v>
      </c>
      <c r="C21" s="9">
        <v>1688.1400533832484</v>
      </c>
      <c r="D21" s="9">
        <v>1688.1400533832484</v>
      </c>
      <c r="E21" s="9">
        <v>1688.1400533832484</v>
      </c>
      <c r="F21" s="9">
        <v>1688.1400533832484</v>
      </c>
      <c r="G21" s="9">
        <v>1688.1400533832484</v>
      </c>
      <c r="H21" s="9">
        <v>1688.1400533832484</v>
      </c>
      <c r="I21" s="9">
        <v>1688.1400533832484</v>
      </c>
      <c r="J21" s="9">
        <v>1688.1400533832484</v>
      </c>
      <c r="K21" s="9">
        <v>1688.1400533832484</v>
      </c>
      <c r="L21" s="9">
        <v>1688.1400533832484</v>
      </c>
      <c r="M21" s="9">
        <v>1688.1400533832484</v>
      </c>
      <c r="N21" s="9">
        <v>1688.1400533832484</v>
      </c>
    </row>
    <row r="22" spans="1:14" ht="14.5">
      <c r="A22" t="s">
        <v>108</v>
      </c>
      <c r="B22" s="51" t="s">
        <v>129</v>
      </c>
      <c r="C22" s="9">
        <v>314.36500063002751</v>
      </c>
      <c r="D22" s="9">
        <v>314.36500063002751</v>
      </c>
      <c r="E22" s="9">
        <v>314.36500063002751</v>
      </c>
      <c r="F22" s="9">
        <v>314.36500063002751</v>
      </c>
      <c r="G22" s="9">
        <v>314.36500063002751</v>
      </c>
      <c r="H22" s="9">
        <v>314.36500063002751</v>
      </c>
      <c r="I22" s="9">
        <v>314.36500063002751</v>
      </c>
      <c r="J22" s="9">
        <v>314.36500063002751</v>
      </c>
      <c r="K22" s="9">
        <v>314.36500063002751</v>
      </c>
      <c r="L22" s="9">
        <v>314.36500063002751</v>
      </c>
      <c r="M22" s="9">
        <v>314.36500063002751</v>
      </c>
      <c r="N22" s="9">
        <v>314.36500063002751</v>
      </c>
    </row>
    <row r="23" spans="1:14" ht="14.5">
      <c r="A23" t="s">
        <v>103</v>
      </c>
      <c r="B23" s="51" t="s">
        <v>129</v>
      </c>
      <c r="C23" s="9">
        <v>814.20535163177146</v>
      </c>
      <c r="D23" s="9">
        <v>814.20535163177146</v>
      </c>
      <c r="E23" s="9">
        <v>814.20535163177146</v>
      </c>
      <c r="F23" s="9">
        <v>814.20535163177146</v>
      </c>
      <c r="G23" s="9">
        <v>814.20535163177146</v>
      </c>
      <c r="H23" s="9">
        <v>814.20535163177146</v>
      </c>
      <c r="I23" s="9">
        <v>814.20535163177146</v>
      </c>
      <c r="J23" s="9">
        <v>814.20535163177146</v>
      </c>
      <c r="K23" s="9">
        <v>814.20535163177146</v>
      </c>
      <c r="L23" s="9">
        <v>814.20535163177146</v>
      </c>
      <c r="M23" s="9">
        <v>814.20535163177146</v>
      </c>
      <c r="N23" s="9">
        <v>814.20535163177146</v>
      </c>
    </row>
    <row r="24" spans="1:14" ht="14.5">
      <c r="A24" s="356" t="s">
        <v>99</v>
      </c>
      <c r="B24" s="51" t="s">
        <v>129</v>
      </c>
      <c r="C24" s="9">
        <v>825.20812665382209</v>
      </c>
      <c r="D24" s="9">
        <v>825.20812665382209</v>
      </c>
      <c r="E24" s="9">
        <v>825.20812665382209</v>
      </c>
      <c r="F24" s="9">
        <v>825.20812665382209</v>
      </c>
      <c r="G24" s="9">
        <v>825.20812665382209</v>
      </c>
      <c r="H24" s="9">
        <v>825.20812665382209</v>
      </c>
      <c r="I24" s="9">
        <v>825.20812665382209</v>
      </c>
      <c r="J24" s="9">
        <v>825.20812665382209</v>
      </c>
      <c r="K24" s="9">
        <v>825.20812665382209</v>
      </c>
      <c r="L24" s="9">
        <v>825.20812665382209</v>
      </c>
      <c r="M24" s="9">
        <v>825.20812665382209</v>
      </c>
      <c r="N24" s="9">
        <v>825.20812665382209</v>
      </c>
    </row>
    <row r="25" spans="1:14" ht="14.5">
      <c r="A25" t="s">
        <v>101</v>
      </c>
      <c r="B25" s="51" t="s">
        <v>129</v>
      </c>
      <c r="C25" s="9">
        <v>1562.3940531312371</v>
      </c>
      <c r="D25" s="9">
        <v>1562.3940531312371</v>
      </c>
      <c r="E25" s="9">
        <v>1562.3940531312371</v>
      </c>
      <c r="F25" s="9">
        <v>1562.3940531312371</v>
      </c>
      <c r="G25" s="9">
        <v>1562.3940531312371</v>
      </c>
      <c r="H25" s="9">
        <v>1562.3940531312371</v>
      </c>
      <c r="I25" s="9">
        <v>1562.3940531312371</v>
      </c>
      <c r="J25" s="9">
        <v>1562.3940531312371</v>
      </c>
      <c r="K25" s="9">
        <v>1562.3940531312371</v>
      </c>
      <c r="L25" s="9">
        <v>1562.3940531312371</v>
      </c>
      <c r="M25" s="9">
        <v>1562.3940531312371</v>
      </c>
      <c r="N25" s="9">
        <v>1562.3940531312371</v>
      </c>
    </row>
    <row r="26" spans="1:14" ht="14.5">
      <c r="A26" t="s">
        <v>111</v>
      </c>
      <c r="B26" s="51" t="s">
        <v>129</v>
      </c>
      <c r="C26" s="9">
        <v>1639.4134782855933</v>
      </c>
      <c r="D26" s="9">
        <v>1639.4134782855933</v>
      </c>
      <c r="E26" s="9">
        <v>1639.4134782855933</v>
      </c>
      <c r="F26" s="9">
        <v>1639.4134782855933</v>
      </c>
      <c r="G26" s="9">
        <v>1639.4134782855933</v>
      </c>
      <c r="H26" s="9">
        <v>1639.4134782855933</v>
      </c>
      <c r="I26" s="9">
        <v>1639.4134782855933</v>
      </c>
      <c r="J26" s="9">
        <v>1639.4134782855933</v>
      </c>
      <c r="K26" s="9">
        <v>1639.4134782855933</v>
      </c>
      <c r="L26" s="9">
        <v>1639.4134782855933</v>
      </c>
      <c r="M26" s="9">
        <v>1639.4134782855933</v>
      </c>
      <c r="N26" s="9">
        <v>1639.4134782855933</v>
      </c>
    </row>
    <row r="27" spans="1:14" ht="14.5">
      <c r="A27" t="s">
        <v>102</v>
      </c>
      <c r="B27" s="51" t="s">
        <v>129</v>
      </c>
      <c r="C27" s="9">
        <v>5542.2549611073855</v>
      </c>
      <c r="D27" s="9">
        <v>5542.2549611073855</v>
      </c>
      <c r="E27" s="9">
        <v>5542.2549611073855</v>
      </c>
      <c r="F27" s="9">
        <v>5542.2549611073855</v>
      </c>
      <c r="G27" s="9">
        <v>5542.2549611073855</v>
      </c>
      <c r="H27" s="9">
        <v>5542.2549611073855</v>
      </c>
      <c r="I27" s="9">
        <v>5542.2549611073855</v>
      </c>
      <c r="J27" s="9">
        <v>5542.2549611073855</v>
      </c>
      <c r="K27" s="9">
        <v>5542.2549611073855</v>
      </c>
      <c r="L27" s="9">
        <v>5542.2549611073855</v>
      </c>
      <c r="M27" s="9">
        <v>5542.2549611073855</v>
      </c>
      <c r="N27" s="9">
        <v>5542.2549611073855</v>
      </c>
    </row>
    <row r="28" spans="1:14" ht="14.5">
      <c r="A28" t="s">
        <v>105</v>
      </c>
      <c r="B28" s="51" t="s">
        <v>129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16875.113233819873</v>
      </c>
      <c r="L28" s="9">
        <v>16875.113233819873</v>
      </c>
      <c r="M28" s="9">
        <v>16875.113233819873</v>
      </c>
      <c r="N28" s="9">
        <v>16875.113233819873</v>
      </c>
    </row>
    <row r="29" spans="1:14" ht="14.5">
      <c r="A29" t="s">
        <v>98</v>
      </c>
      <c r="B29" s="51" t="s">
        <v>129</v>
      </c>
      <c r="C29" s="9">
        <v>4715.4750094504134</v>
      </c>
      <c r="D29" s="9">
        <v>4715.4750094504134</v>
      </c>
      <c r="E29" s="9">
        <v>4715.4750094504134</v>
      </c>
      <c r="F29" s="9">
        <v>4715.4750094504134</v>
      </c>
      <c r="G29" s="9">
        <v>4715.4750094504134</v>
      </c>
      <c r="H29" s="9">
        <v>4715.4750094504134</v>
      </c>
      <c r="I29" s="9">
        <v>4715.4750094504134</v>
      </c>
      <c r="J29" s="9">
        <v>4715.4750094504134</v>
      </c>
      <c r="K29" s="9">
        <v>4715.4750094504134</v>
      </c>
      <c r="L29" s="9">
        <v>4715.4750094504134</v>
      </c>
      <c r="M29" s="9">
        <v>4715.4750094504134</v>
      </c>
      <c r="N29" s="9">
        <v>4715.4750094504134</v>
      </c>
    </row>
    <row r="30" spans="1:14" ht="14.5">
      <c r="A30" t="s">
        <v>104</v>
      </c>
      <c r="B30" s="51" t="s">
        <v>129</v>
      </c>
      <c r="C30" s="9">
        <v>785.91250157506886</v>
      </c>
      <c r="D30" s="9">
        <v>785.91250157506886</v>
      </c>
      <c r="E30" s="9">
        <v>785.91250157506886</v>
      </c>
      <c r="F30" s="9">
        <v>785.91250157506886</v>
      </c>
      <c r="G30" s="9">
        <v>785.91250157506886</v>
      </c>
      <c r="H30" s="9">
        <v>785.91250157506886</v>
      </c>
      <c r="I30" s="9">
        <v>785.91250157506886</v>
      </c>
      <c r="J30" s="9">
        <v>785.91250157506886</v>
      </c>
      <c r="K30" s="9">
        <v>785.91250157506886</v>
      </c>
      <c r="L30" s="9">
        <v>785.91250157506886</v>
      </c>
      <c r="M30" s="9">
        <v>785.91250157506886</v>
      </c>
      <c r="N30" s="9">
        <v>785.91250157506886</v>
      </c>
    </row>
    <row r="31" spans="1:14" ht="14.5">
      <c r="A31" t="s">
        <v>112</v>
      </c>
      <c r="B31" s="51" t="s">
        <v>129</v>
      </c>
      <c r="C31" s="9">
        <v>2859.5262519576431</v>
      </c>
      <c r="D31" s="9">
        <v>2859.5262519576431</v>
      </c>
      <c r="E31" s="9">
        <v>2859.5262519576431</v>
      </c>
      <c r="F31" s="9">
        <v>2859.5262519576431</v>
      </c>
      <c r="G31" s="9">
        <v>2859.5262519576431</v>
      </c>
      <c r="H31" s="9">
        <v>2859.5262519576431</v>
      </c>
      <c r="I31" s="9">
        <v>2859.5262519576431</v>
      </c>
      <c r="J31" s="9">
        <v>2859.5262519576431</v>
      </c>
      <c r="K31" s="9">
        <v>2859.5262519576431</v>
      </c>
      <c r="L31" s="9">
        <v>2859.5262519576431</v>
      </c>
      <c r="M31" s="9">
        <v>2859.5262519576431</v>
      </c>
      <c r="N31" s="9">
        <v>2859.5262519576431</v>
      </c>
    </row>
    <row r="32" spans="1:14" ht="14.5">
      <c r="A32" s="260" t="s">
        <v>107</v>
      </c>
      <c r="B32" s="51" t="s">
        <v>129</v>
      </c>
      <c r="C32" s="9">
        <v>7913.067466570632</v>
      </c>
      <c r="D32" s="9">
        <v>7913.067466570632</v>
      </c>
      <c r="E32" s="9">
        <v>7913.067466570632</v>
      </c>
      <c r="F32" s="9">
        <v>7913.067466570632</v>
      </c>
      <c r="G32" s="9">
        <v>7913.067466570632</v>
      </c>
      <c r="H32" s="9">
        <v>7913.067466570632</v>
      </c>
      <c r="I32" s="9">
        <v>7913.067466570632</v>
      </c>
      <c r="J32" s="9">
        <v>7913.067466570632</v>
      </c>
      <c r="K32" s="9">
        <v>7913.067466570632</v>
      </c>
      <c r="L32" s="9">
        <v>7913.067466570632</v>
      </c>
      <c r="M32" s="9">
        <v>7913.067466570632</v>
      </c>
      <c r="N32" s="9">
        <v>7913.067466570632</v>
      </c>
    </row>
    <row r="33" spans="1:14" ht="14.5">
      <c r="A33" s="435" t="s">
        <v>113</v>
      </c>
      <c r="B33" s="51" t="s">
        <v>129</v>
      </c>
      <c r="C33" s="504">
        <v>0</v>
      </c>
      <c r="D33" s="504">
        <v>0</v>
      </c>
      <c r="E33" s="504">
        <v>0</v>
      </c>
      <c r="F33" s="504">
        <v>0</v>
      </c>
      <c r="G33" s="504">
        <v>0</v>
      </c>
      <c r="H33" s="504">
        <v>0</v>
      </c>
      <c r="I33" s="504">
        <v>6499.086062536936</v>
      </c>
      <c r="J33" s="504">
        <v>6499.086062536936</v>
      </c>
      <c r="K33" s="504">
        <v>6499.086062536936</v>
      </c>
      <c r="L33" s="504">
        <v>6499.086062536936</v>
      </c>
      <c r="M33" s="504">
        <v>6499.086062536936</v>
      </c>
      <c r="N33" s="504">
        <v>6499.086062536936</v>
      </c>
    </row>
    <row r="34" spans="1:14" ht="14.5">
      <c r="A34" t="s">
        <v>100</v>
      </c>
      <c r="B34" s="51" t="s">
        <v>129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spans="1:14" ht="14.5">
      <c r="A35" t="s">
        <v>109</v>
      </c>
      <c r="B35" s="51" t="s">
        <v>129</v>
      </c>
      <c r="C35" s="9">
        <v>1512.0956530304327</v>
      </c>
      <c r="D35" s="9">
        <v>1512.0956530304327</v>
      </c>
      <c r="E35" s="9">
        <v>1512.0956530304327</v>
      </c>
      <c r="F35" s="9">
        <v>1512.0956530304327</v>
      </c>
      <c r="G35" s="9">
        <v>1512.0956530304327</v>
      </c>
      <c r="H35" s="9">
        <v>1512.0956530304327</v>
      </c>
      <c r="I35" s="9">
        <v>1512.0956530304327</v>
      </c>
      <c r="J35" s="9">
        <v>1512.0956530304327</v>
      </c>
      <c r="K35" s="9">
        <v>1512.0956530304327</v>
      </c>
      <c r="L35" s="9">
        <v>1512.0956530304327</v>
      </c>
      <c r="M35" s="9">
        <v>1512.0956530304327</v>
      </c>
      <c r="N35" s="9">
        <v>1512.0956530304327</v>
      </c>
    </row>
    <row r="36" spans="1:14" ht="14.5">
      <c r="A36" t="s">
        <v>110</v>
      </c>
      <c r="B36" s="51" t="s">
        <v>129</v>
      </c>
      <c r="C36" s="9">
        <v>5822.039811668109</v>
      </c>
      <c r="D36" s="9">
        <v>5822.039811668109</v>
      </c>
      <c r="E36" s="9">
        <v>5822.039811668109</v>
      </c>
      <c r="F36" s="9">
        <v>5822.039811668109</v>
      </c>
      <c r="G36" s="9">
        <v>5822.039811668109</v>
      </c>
      <c r="H36" s="9">
        <v>5822.039811668109</v>
      </c>
      <c r="I36" s="9">
        <v>5822.039811668109</v>
      </c>
      <c r="J36" s="9">
        <v>5822.039811668109</v>
      </c>
      <c r="K36" s="9">
        <v>5822.039811668109</v>
      </c>
      <c r="L36" s="9">
        <v>5822.039811668109</v>
      </c>
      <c r="M36" s="9">
        <v>5822.039811668109</v>
      </c>
      <c r="N36" s="504">
        <v>5822.039811668109</v>
      </c>
    </row>
    <row r="37" spans="1:14" ht="14.5">
      <c r="A37" t="s">
        <v>106</v>
      </c>
      <c r="B37" s="51" t="s">
        <v>130</v>
      </c>
      <c r="C37" s="9">
        <v>930.57118038258443</v>
      </c>
      <c r="D37" s="9">
        <v>930.57118038258443</v>
      </c>
      <c r="E37" s="9">
        <v>930.57118038258443</v>
      </c>
      <c r="F37" s="9">
        <v>930.57118038258443</v>
      </c>
      <c r="G37" s="9">
        <v>930.57118038258443</v>
      </c>
      <c r="H37" s="9">
        <v>930.57118038258443</v>
      </c>
      <c r="I37" s="9">
        <v>930.57118038258443</v>
      </c>
      <c r="J37" s="9">
        <v>930.57118038258443</v>
      </c>
      <c r="K37" s="9">
        <v>930.57118038258443</v>
      </c>
      <c r="L37" s="9">
        <v>930.57118038258443</v>
      </c>
      <c r="M37" s="9">
        <v>930.57118038258443</v>
      </c>
      <c r="N37" s="9">
        <v>930.57118038258443</v>
      </c>
    </row>
    <row r="38" spans="1:14" ht="14.5">
      <c r="A38" t="s">
        <v>114</v>
      </c>
      <c r="B38" s="51" t="s">
        <v>130</v>
      </c>
      <c r="C38" s="9">
        <v>258.05149696124334</v>
      </c>
      <c r="D38" s="9">
        <v>258.05149696124334</v>
      </c>
      <c r="E38" s="9">
        <v>258.05149696124334</v>
      </c>
      <c r="F38" s="9">
        <v>258.05149696124334</v>
      </c>
      <c r="G38" s="9">
        <v>258.05149696124334</v>
      </c>
      <c r="H38" s="9">
        <v>258.05149696124334</v>
      </c>
      <c r="I38" s="9">
        <v>258.05149696124334</v>
      </c>
      <c r="J38" s="9">
        <v>258.05149696124334</v>
      </c>
      <c r="K38" s="9">
        <v>258.05149696124334</v>
      </c>
      <c r="L38" s="9">
        <v>258.05149696124334</v>
      </c>
      <c r="M38" s="9">
        <v>258.05149696124334</v>
      </c>
      <c r="N38" s="9">
        <v>258.05149696124334</v>
      </c>
    </row>
    <row r="39" spans="1:14" ht="14.5">
      <c r="A39" t="s">
        <v>108</v>
      </c>
      <c r="B39" s="51" t="s">
        <v>130</v>
      </c>
      <c r="C39" s="9">
        <v>48.054282488127264</v>
      </c>
      <c r="D39" s="9">
        <v>48.054282488127264</v>
      </c>
      <c r="E39" s="9">
        <v>48.054282488127264</v>
      </c>
      <c r="F39" s="9">
        <v>48.054282488127264</v>
      </c>
      <c r="G39" s="9">
        <v>48.054282488127264</v>
      </c>
      <c r="H39" s="9">
        <v>48.054282488127264</v>
      </c>
      <c r="I39" s="9">
        <v>48.054282488127264</v>
      </c>
      <c r="J39" s="9">
        <v>48.054282488127264</v>
      </c>
      <c r="K39" s="9">
        <v>48.054282488127264</v>
      </c>
      <c r="L39" s="9">
        <v>48.054282488127264</v>
      </c>
      <c r="M39" s="9">
        <v>48.054282488127264</v>
      </c>
      <c r="N39" s="9">
        <v>48.054282488127264</v>
      </c>
    </row>
    <row r="40" spans="1:14" ht="14.5">
      <c r="A40" t="s">
        <v>103</v>
      </c>
      <c r="B40" s="51" t="s">
        <v>130</v>
      </c>
      <c r="C40" s="9">
        <v>124.46059164424962</v>
      </c>
      <c r="D40" s="9">
        <v>124.46059164424962</v>
      </c>
      <c r="E40" s="9">
        <v>124.46059164424962</v>
      </c>
      <c r="F40" s="9">
        <v>124.46059164424962</v>
      </c>
      <c r="G40" s="9">
        <v>124.46059164424962</v>
      </c>
      <c r="H40" s="9">
        <v>124.46059164424962</v>
      </c>
      <c r="I40" s="9">
        <v>124.46059164424962</v>
      </c>
      <c r="J40" s="9">
        <v>124.46059164424962</v>
      </c>
      <c r="K40" s="9">
        <v>124.46059164424962</v>
      </c>
      <c r="L40" s="9">
        <v>124.46059164424962</v>
      </c>
      <c r="M40" s="9">
        <v>124.46059164424962</v>
      </c>
      <c r="N40" s="9">
        <v>124.46059164424962</v>
      </c>
    </row>
    <row r="41" spans="1:14" ht="14.5">
      <c r="A41" s="356" t="s">
        <v>99</v>
      </c>
      <c r="B41" s="51" t="s">
        <v>130</v>
      </c>
      <c r="C41" s="9">
        <v>126.14249153133407</v>
      </c>
      <c r="D41" s="9">
        <v>126.14249153133407</v>
      </c>
      <c r="E41" s="9">
        <v>126.14249153133407</v>
      </c>
      <c r="F41" s="9">
        <v>126.14249153133407</v>
      </c>
      <c r="G41" s="9">
        <v>126.14249153133407</v>
      </c>
      <c r="H41" s="9">
        <v>126.14249153133407</v>
      </c>
      <c r="I41" s="9">
        <v>126.14249153133407</v>
      </c>
      <c r="J41" s="9">
        <v>126.14249153133407</v>
      </c>
      <c r="K41" s="9">
        <v>126.14249153133407</v>
      </c>
      <c r="L41" s="9">
        <v>126.14249153133407</v>
      </c>
      <c r="M41" s="9">
        <v>126.14249153133407</v>
      </c>
      <c r="N41" s="9">
        <v>126.14249153133407</v>
      </c>
    </row>
    <row r="42" spans="1:14" ht="14.5">
      <c r="A42" t="s">
        <v>101</v>
      </c>
      <c r="B42" s="51" t="s">
        <v>130</v>
      </c>
      <c r="C42" s="9">
        <v>238.8297839659925</v>
      </c>
      <c r="D42" s="9">
        <v>238.8297839659925</v>
      </c>
      <c r="E42" s="9">
        <v>238.8297839659925</v>
      </c>
      <c r="F42" s="9">
        <v>238.8297839659925</v>
      </c>
      <c r="G42" s="9">
        <v>238.8297839659925</v>
      </c>
      <c r="H42" s="9">
        <v>238.8297839659925</v>
      </c>
      <c r="I42" s="9">
        <v>238.8297839659925</v>
      </c>
      <c r="J42" s="9">
        <v>238.8297839659925</v>
      </c>
      <c r="K42" s="9">
        <v>238.8297839659925</v>
      </c>
      <c r="L42" s="9">
        <v>238.8297839659925</v>
      </c>
      <c r="M42" s="9">
        <v>238.8297839659925</v>
      </c>
      <c r="N42" s="9">
        <v>238.8297839659925</v>
      </c>
    </row>
    <row r="43" spans="1:14" ht="14.5">
      <c r="A43" t="s">
        <v>111</v>
      </c>
      <c r="B43" s="51" t="s">
        <v>130</v>
      </c>
      <c r="C43" s="9">
        <v>250.60308317558369</v>
      </c>
      <c r="D43" s="9">
        <v>250.60308317558369</v>
      </c>
      <c r="E43" s="9">
        <v>250.60308317558369</v>
      </c>
      <c r="F43" s="9">
        <v>250.60308317558369</v>
      </c>
      <c r="G43" s="9">
        <v>250.60308317558369</v>
      </c>
      <c r="H43" s="9">
        <v>250.60308317558369</v>
      </c>
      <c r="I43" s="9">
        <v>250.60308317558369</v>
      </c>
      <c r="J43" s="9">
        <v>250.60308317558369</v>
      </c>
      <c r="K43" s="9">
        <v>250.60308317558369</v>
      </c>
      <c r="L43" s="9">
        <v>250.60308317558369</v>
      </c>
      <c r="M43" s="9">
        <v>250.60308317558369</v>
      </c>
      <c r="N43" s="9">
        <v>250.60308317558369</v>
      </c>
    </row>
    <row r="44" spans="1:14" ht="14.5">
      <c r="A44" t="s">
        <v>102</v>
      </c>
      <c r="B44" s="51" t="s">
        <v>130</v>
      </c>
      <c r="C44" s="9">
        <v>847.21163777357106</v>
      </c>
      <c r="D44" s="9">
        <v>847.21163777357106</v>
      </c>
      <c r="E44" s="9">
        <v>847.21163777357106</v>
      </c>
      <c r="F44" s="9">
        <v>847.21163777357106</v>
      </c>
      <c r="G44" s="9">
        <v>847.21163777357106</v>
      </c>
      <c r="H44" s="9">
        <v>847.21163777357106</v>
      </c>
      <c r="I44" s="9">
        <v>847.21163777357106</v>
      </c>
      <c r="J44" s="9">
        <v>847.21163777357106</v>
      </c>
      <c r="K44" s="9">
        <v>847.21163777357106</v>
      </c>
      <c r="L44" s="9">
        <v>847.21163777357106</v>
      </c>
      <c r="M44" s="9">
        <v>847.21163777357106</v>
      </c>
      <c r="N44" s="9">
        <v>847.21163777357106</v>
      </c>
    </row>
    <row r="45" spans="1:14" ht="14.5">
      <c r="A45" t="s">
        <v>105</v>
      </c>
      <c r="B45" s="51" t="s">
        <v>130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2579.5984523928132</v>
      </c>
      <c r="L45" s="9">
        <v>2579.5984523928132</v>
      </c>
      <c r="M45" s="9">
        <v>2579.5984523928132</v>
      </c>
      <c r="N45" s="9">
        <v>2579.5984523928132</v>
      </c>
    </row>
    <row r="46" spans="1:14" ht="14.5">
      <c r="A46" t="s">
        <v>98</v>
      </c>
      <c r="B46" s="51" t="s">
        <v>130</v>
      </c>
      <c r="C46" s="9">
        <v>720.82669124240317</v>
      </c>
      <c r="D46" s="9">
        <v>720.82669124240317</v>
      </c>
      <c r="E46" s="9">
        <v>720.82669124240317</v>
      </c>
      <c r="F46" s="9">
        <v>720.82669124240317</v>
      </c>
      <c r="G46" s="9">
        <v>720.82669124240317</v>
      </c>
      <c r="H46" s="9">
        <v>720.82669124240317</v>
      </c>
      <c r="I46" s="9">
        <v>720.82669124240317</v>
      </c>
      <c r="J46" s="9">
        <v>720.82669124240317</v>
      </c>
      <c r="K46" s="9">
        <v>720.82669124240317</v>
      </c>
      <c r="L46" s="9">
        <v>720.82669124240317</v>
      </c>
      <c r="M46" s="9">
        <v>720.82669124240317</v>
      </c>
      <c r="N46" s="9">
        <v>720.82669124240317</v>
      </c>
    </row>
    <row r="47" spans="1:14" ht="14.5">
      <c r="A47" t="s">
        <v>104</v>
      </c>
      <c r="B47" s="51" t="s">
        <v>130</v>
      </c>
      <c r="C47" s="9">
        <v>120.13778187373384</v>
      </c>
      <c r="D47" s="9">
        <v>120.13778187373384</v>
      </c>
      <c r="E47" s="9">
        <v>120.13778187373384</v>
      </c>
      <c r="F47" s="9">
        <v>120.13778187373384</v>
      </c>
      <c r="G47" s="9">
        <v>120.13778187373384</v>
      </c>
      <c r="H47" s="9">
        <v>120.13778187373384</v>
      </c>
      <c r="I47" s="9">
        <v>120.13778187373384</v>
      </c>
      <c r="J47" s="9">
        <v>120.13778187373384</v>
      </c>
      <c r="K47" s="9">
        <v>120.13778187373384</v>
      </c>
      <c r="L47" s="9">
        <v>120.13778187373384</v>
      </c>
      <c r="M47" s="9">
        <v>120.13778187373384</v>
      </c>
      <c r="N47" s="9">
        <v>120.13778187373384</v>
      </c>
    </row>
    <row r="48" spans="1:14" ht="14.5">
      <c r="A48" t="s">
        <v>112</v>
      </c>
      <c r="B48" s="51" t="s">
        <v>130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ht="14.5">
      <c r="A49" s="260" t="s">
        <v>107</v>
      </c>
      <c r="B49" s="51" t="s">
        <v>130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ht="14.5">
      <c r="A50" s="435" t="s">
        <v>113</v>
      </c>
      <c r="B50" s="51" t="s">
        <v>130</v>
      </c>
      <c r="C50" s="504">
        <v>0</v>
      </c>
      <c r="D50" s="504">
        <v>0</v>
      </c>
      <c r="E50" s="504">
        <v>0</v>
      </c>
      <c r="F50" s="504">
        <v>0</v>
      </c>
      <c r="G50" s="504">
        <v>0</v>
      </c>
      <c r="H50" s="504">
        <v>0</v>
      </c>
      <c r="I50" s="504">
        <v>0</v>
      </c>
      <c r="J50" s="504">
        <v>0</v>
      </c>
      <c r="K50" s="504">
        <v>0</v>
      </c>
      <c r="L50" s="504">
        <v>0</v>
      </c>
      <c r="M50" s="504">
        <v>0</v>
      </c>
      <c r="N50" s="504">
        <v>0</v>
      </c>
    </row>
    <row r="51" spans="1:14" ht="14.5">
      <c r="A51" t="s">
        <v>100</v>
      </c>
      <c r="B51" s="51" t="s">
        <v>130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ht="14.5">
      <c r="A52" t="s">
        <v>109</v>
      </c>
      <c r="B52" s="51" t="s">
        <v>130</v>
      </c>
      <c r="C52" s="9">
        <v>72.401194746106071</v>
      </c>
      <c r="D52" s="9">
        <v>72.401194746106071</v>
      </c>
      <c r="E52" s="9">
        <v>72.401194746106071</v>
      </c>
      <c r="F52" s="9">
        <v>72.401194746106071</v>
      </c>
      <c r="G52" s="9">
        <v>72.401194746106071</v>
      </c>
      <c r="H52" s="9">
        <v>72.401194746106071</v>
      </c>
      <c r="I52" s="9">
        <v>72.401194746106071</v>
      </c>
      <c r="J52" s="9">
        <v>72.401194746106071</v>
      </c>
      <c r="K52" s="9">
        <v>72.401194746106071</v>
      </c>
      <c r="L52" s="9">
        <v>72.401194746106071</v>
      </c>
      <c r="M52" s="9">
        <v>72.401194746106071</v>
      </c>
      <c r="N52" s="9">
        <v>72.401194746106071</v>
      </c>
    </row>
    <row r="53" spans="1:14" ht="14.5">
      <c r="A53" t="s">
        <v>110</v>
      </c>
      <c r="B53" s="51" t="s">
        <v>130</v>
      </c>
      <c r="C53" s="9">
        <v>278.76717810766831</v>
      </c>
      <c r="D53" s="9">
        <v>278.76717810766831</v>
      </c>
      <c r="E53" s="9">
        <v>278.76717810766831</v>
      </c>
      <c r="F53" s="9">
        <v>278.76717810766831</v>
      </c>
      <c r="G53" s="9">
        <v>278.76717810766831</v>
      </c>
      <c r="H53" s="9">
        <v>278.76717810766831</v>
      </c>
      <c r="I53" s="9">
        <v>278.76717810766831</v>
      </c>
      <c r="J53" s="9">
        <v>278.76717810766831</v>
      </c>
      <c r="K53" s="9">
        <v>278.76717810766831</v>
      </c>
      <c r="L53" s="9">
        <v>278.76717810766831</v>
      </c>
      <c r="M53" s="9">
        <v>278.76717810766831</v>
      </c>
      <c r="N53" s="504">
        <v>278.76717810766831</v>
      </c>
    </row>
    <row r="54" spans="1:14" ht="14.5">
      <c r="A54" t="s">
        <v>106</v>
      </c>
      <c r="B54" s="51" t="s">
        <v>131</v>
      </c>
      <c r="C54" s="9">
        <v>1512.808507654405</v>
      </c>
      <c r="D54" s="9">
        <v>1512.808507654405</v>
      </c>
      <c r="E54" s="9">
        <v>1512.808507654405</v>
      </c>
      <c r="F54" s="9">
        <v>1512.808507654405</v>
      </c>
      <c r="G54" s="9">
        <v>1512.808507654405</v>
      </c>
      <c r="H54" s="9">
        <v>1512.808507654405</v>
      </c>
      <c r="I54" s="9">
        <v>1512.808507654405</v>
      </c>
      <c r="J54" s="9">
        <v>1512.808507654405</v>
      </c>
      <c r="K54" s="9">
        <v>1512.808507654405</v>
      </c>
      <c r="L54" s="9">
        <v>1512.808507654405</v>
      </c>
      <c r="M54" s="9">
        <v>1512.808507654405</v>
      </c>
      <c r="N54" s="9">
        <v>1512.808507654405</v>
      </c>
    </row>
    <row r="55" spans="1:14" ht="14.5">
      <c r="A55" t="s">
        <v>114</v>
      </c>
      <c r="B55" s="51" t="s">
        <v>131</v>
      </c>
      <c r="C55" s="9">
        <v>419.50847849750352</v>
      </c>
      <c r="D55" s="9">
        <v>419.50847849750352</v>
      </c>
      <c r="E55" s="9">
        <v>419.50847849750352</v>
      </c>
      <c r="F55" s="9">
        <v>419.50847849750352</v>
      </c>
      <c r="G55" s="9">
        <v>419.50847849750352</v>
      </c>
      <c r="H55" s="9">
        <v>419.50847849750352</v>
      </c>
      <c r="I55" s="9">
        <v>419.50847849750352</v>
      </c>
      <c r="J55" s="9">
        <v>419.50847849750352</v>
      </c>
      <c r="K55" s="9">
        <v>419.50847849750352</v>
      </c>
      <c r="L55" s="9">
        <v>419.50847849750352</v>
      </c>
      <c r="M55" s="9">
        <v>419.50847849750352</v>
      </c>
      <c r="N55" s="9">
        <v>419.50847849750352</v>
      </c>
    </row>
    <row r="56" spans="1:14" ht="14.5">
      <c r="A56" t="s">
        <v>108</v>
      </c>
      <c r="B56" s="51" t="s">
        <v>131</v>
      </c>
      <c r="C56" s="9">
        <v>78.120759496741798</v>
      </c>
      <c r="D56" s="9">
        <v>78.120759496741798</v>
      </c>
      <c r="E56" s="9">
        <v>78.120759496741798</v>
      </c>
      <c r="F56" s="9">
        <v>78.120759496741798</v>
      </c>
      <c r="G56" s="9">
        <v>78.120759496741798</v>
      </c>
      <c r="H56" s="9">
        <v>78.120759496741798</v>
      </c>
      <c r="I56" s="9">
        <v>78.120759496741798</v>
      </c>
      <c r="J56" s="9">
        <v>78.120759496741798</v>
      </c>
      <c r="K56" s="9">
        <v>78.120759496741798</v>
      </c>
      <c r="L56" s="9">
        <v>78.120759496741798</v>
      </c>
      <c r="M56" s="9">
        <v>78.120759496741798</v>
      </c>
      <c r="N56" s="9">
        <v>78.120759496741798</v>
      </c>
    </row>
    <row r="57" spans="1:14" ht="14.5">
      <c r="A57" t="s">
        <v>103</v>
      </c>
      <c r="B57" s="51" t="s">
        <v>131</v>
      </c>
      <c r="C57" s="9">
        <v>202.3327670965613</v>
      </c>
      <c r="D57" s="9">
        <v>202.3327670965613</v>
      </c>
      <c r="E57" s="9">
        <v>202.3327670965613</v>
      </c>
      <c r="F57" s="9">
        <v>202.3327670965613</v>
      </c>
      <c r="G57" s="9">
        <v>202.3327670965613</v>
      </c>
      <c r="H57" s="9">
        <v>202.3327670965613</v>
      </c>
      <c r="I57" s="9">
        <v>202.3327670965613</v>
      </c>
      <c r="J57" s="9">
        <v>202.3327670965613</v>
      </c>
      <c r="K57" s="9">
        <v>202.3327670965613</v>
      </c>
      <c r="L57" s="9">
        <v>202.3327670965613</v>
      </c>
      <c r="M57" s="9">
        <v>202.3327670965613</v>
      </c>
      <c r="N57" s="9">
        <v>202.3327670965613</v>
      </c>
    </row>
    <row r="58" spans="1:14" ht="14.5">
      <c r="A58" s="356" t="s">
        <v>99</v>
      </c>
      <c r="B58" s="51" t="s">
        <v>131</v>
      </c>
      <c r="C58" s="9">
        <v>205.06699367894723</v>
      </c>
      <c r="D58" s="9">
        <v>205.06699367894723</v>
      </c>
      <c r="E58" s="9">
        <v>205.06699367894723</v>
      </c>
      <c r="F58" s="9">
        <v>205.06699367894723</v>
      </c>
      <c r="G58" s="9">
        <v>205.06699367894723</v>
      </c>
      <c r="H58" s="9">
        <v>205.06699367894723</v>
      </c>
      <c r="I58" s="9">
        <v>205.06699367894723</v>
      </c>
      <c r="J58" s="9">
        <v>205.06699367894723</v>
      </c>
      <c r="K58" s="9">
        <v>205.06699367894723</v>
      </c>
      <c r="L58" s="9">
        <v>205.06699367894723</v>
      </c>
      <c r="M58" s="9">
        <v>205.06699367894723</v>
      </c>
      <c r="N58" s="9">
        <v>205.06699367894723</v>
      </c>
    </row>
    <row r="59" spans="1:14" ht="14.5">
      <c r="A59" t="s">
        <v>101</v>
      </c>
      <c r="B59" s="51" t="s">
        <v>131</v>
      </c>
      <c r="C59" s="9">
        <v>388.26017469880679</v>
      </c>
      <c r="D59" s="9">
        <v>388.26017469880679</v>
      </c>
      <c r="E59" s="9">
        <v>388.26017469880679</v>
      </c>
      <c r="F59" s="9">
        <v>388.26017469880679</v>
      </c>
      <c r="G59" s="9">
        <v>388.26017469880679</v>
      </c>
      <c r="H59" s="9">
        <v>388.26017469880679</v>
      </c>
      <c r="I59" s="9">
        <v>388.26017469880679</v>
      </c>
      <c r="J59" s="9">
        <v>388.26017469880679</v>
      </c>
      <c r="K59" s="9">
        <v>388.26017469880679</v>
      </c>
      <c r="L59" s="9">
        <v>388.26017469880679</v>
      </c>
      <c r="M59" s="9">
        <v>388.26017469880679</v>
      </c>
      <c r="N59" s="9">
        <v>388.26017469880679</v>
      </c>
    </row>
    <row r="60" spans="1:14" ht="14.5">
      <c r="A60" t="s">
        <v>111</v>
      </c>
      <c r="B60" s="51" t="s">
        <v>131</v>
      </c>
      <c r="C60" s="9">
        <v>407.39976077550847</v>
      </c>
      <c r="D60" s="9">
        <v>407.39976077550847</v>
      </c>
      <c r="E60" s="9">
        <v>407.39976077550847</v>
      </c>
      <c r="F60" s="9">
        <v>407.39976077550847</v>
      </c>
      <c r="G60" s="9">
        <v>407.39976077550847</v>
      </c>
      <c r="H60" s="9">
        <v>407.39976077550847</v>
      </c>
      <c r="I60" s="9">
        <v>407.39976077550847</v>
      </c>
      <c r="J60" s="9">
        <v>407.39976077550847</v>
      </c>
      <c r="K60" s="9">
        <v>407.39976077550847</v>
      </c>
      <c r="L60" s="9">
        <v>407.39976077550847</v>
      </c>
      <c r="M60" s="9">
        <v>407.39976077550847</v>
      </c>
      <c r="N60" s="9">
        <v>407.39976077550847</v>
      </c>
    </row>
    <row r="61" spans="1:14" ht="14.5">
      <c r="A61" t="s">
        <v>102</v>
      </c>
      <c r="B61" s="51" t="s">
        <v>131</v>
      </c>
      <c r="C61" s="9">
        <v>1377.2689899275576</v>
      </c>
      <c r="D61" s="9">
        <v>1377.2689899275576</v>
      </c>
      <c r="E61" s="9">
        <v>1377.2689899275576</v>
      </c>
      <c r="F61" s="9">
        <v>1377.2689899275576</v>
      </c>
      <c r="G61" s="9">
        <v>1377.2689899275576</v>
      </c>
      <c r="H61" s="9">
        <v>1377.2689899275576</v>
      </c>
      <c r="I61" s="9">
        <v>1377.2689899275576</v>
      </c>
      <c r="J61" s="9">
        <v>1377.2689899275576</v>
      </c>
      <c r="K61" s="9">
        <v>1377.2689899275576</v>
      </c>
      <c r="L61" s="9">
        <v>1377.2689899275576</v>
      </c>
      <c r="M61" s="9">
        <v>1377.2689899275576</v>
      </c>
      <c r="N61" s="9">
        <v>1377.2689899275576</v>
      </c>
    </row>
    <row r="62" spans="1:14" ht="14.5">
      <c r="A62" t="s">
        <v>105</v>
      </c>
      <c r="B62" s="51" t="s">
        <v>131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4193.5223697850997</v>
      </c>
      <c r="L62" s="9">
        <v>4193.5223697850997</v>
      </c>
      <c r="M62" s="9">
        <v>4193.5223697850997</v>
      </c>
      <c r="N62" s="9">
        <v>4193.5223697850997</v>
      </c>
    </row>
    <row r="63" spans="1:14" ht="14.5">
      <c r="A63" t="s">
        <v>98</v>
      </c>
      <c r="B63" s="51" t="s">
        <v>131</v>
      </c>
      <c r="C63" s="9">
        <v>1171.8113924511272</v>
      </c>
      <c r="D63" s="9">
        <v>1171.8113924511272</v>
      </c>
      <c r="E63" s="9">
        <v>1171.8113924511272</v>
      </c>
      <c r="F63" s="9">
        <v>1171.8113924511272</v>
      </c>
      <c r="G63" s="9">
        <v>1171.8113924511272</v>
      </c>
      <c r="H63" s="9">
        <v>1171.8113924511272</v>
      </c>
      <c r="I63" s="9">
        <v>1171.8113924511272</v>
      </c>
      <c r="J63" s="9">
        <v>1171.8113924511272</v>
      </c>
      <c r="K63" s="9">
        <v>1171.8113924511272</v>
      </c>
      <c r="L63" s="9">
        <v>1171.8113924511272</v>
      </c>
      <c r="M63" s="9">
        <v>1171.8113924511272</v>
      </c>
      <c r="N63" s="9">
        <v>1171.8113924511272</v>
      </c>
    </row>
    <row r="64" spans="1:14" ht="14.5">
      <c r="A64" t="s">
        <v>104</v>
      </c>
      <c r="B64" s="51" t="s">
        <v>131</v>
      </c>
      <c r="C64" s="9">
        <v>195.30189874185453</v>
      </c>
      <c r="D64" s="9">
        <v>195.30189874185453</v>
      </c>
      <c r="E64" s="9">
        <v>195.30189874185453</v>
      </c>
      <c r="F64" s="9">
        <v>195.30189874185453</v>
      </c>
      <c r="G64" s="9">
        <v>195.30189874185453</v>
      </c>
      <c r="H64" s="9">
        <v>195.30189874185453</v>
      </c>
      <c r="I64" s="9">
        <v>195.30189874185453</v>
      </c>
      <c r="J64" s="9">
        <v>195.30189874185453</v>
      </c>
      <c r="K64" s="9">
        <v>195.30189874185453</v>
      </c>
      <c r="L64" s="9">
        <v>195.30189874185453</v>
      </c>
      <c r="M64" s="9">
        <v>195.30189874185453</v>
      </c>
      <c r="N64" s="9">
        <v>195.30189874185453</v>
      </c>
    </row>
    <row r="65" spans="1:14" ht="14.5">
      <c r="A65" t="s">
        <v>112</v>
      </c>
      <c r="B65" s="51" t="s">
        <v>131</v>
      </c>
      <c r="C65" s="9">
        <v>95.194273179521318</v>
      </c>
      <c r="D65" s="9">
        <v>95.194273179521318</v>
      </c>
      <c r="E65" s="9">
        <v>95.194273179521318</v>
      </c>
      <c r="F65" s="9">
        <v>95.194273179521318</v>
      </c>
      <c r="G65" s="9">
        <v>95.194273179521318</v>
      </c>
      <c r="H65" s="9">
        <v>95.194273179521318</v>
      </c>
      <c r="I65" s="9">
        <v>95.194273179521318</v>
      </c>
      <c r="J65" s="9">
        <v>95.194273179521318</v>
      </c>
      <c r="K65" s="9">
        <v>95.194273179521318</v>
      </c>
      <c r="L65" s="9">
        <v>95.194273179521318</v>
      </c>
      <c r="M65" s="9">
        <v>95.194273179521318</v>
      </c>
      <c r="N65" s="9">
        <v>95.194273179521318</v>
      </c>
    </row>
    <row r="66" spans="1:14" ht="14.5">
      <c r="A66" s="260" t="s">
        <v>107</v>
      </c>
      <c r="B66" s="51" t="s">
        <v>131</v>
      </c>
      <c r="C66" s="9">
        <v>263.42779877786046</v>
      </c>
      <c r="D66" s="9">
        <v>263.42779877786046</v>
      </c>
      <c r="E66" s="9">
        <v>263.42779877786046</v>
      </c>
      <c r="F66" s="9">
        <v>263.42779877786046</v>
      </c>
      <c r="G66" s="9">
        <v>263.42779877786046</v>
      </c>
      <c r="H66" s="9">
        <v>263.42779877786046</v>
      </c>
      <c r="I66" s="9">
        <v>263.42779877786046</v>
      </c>
      <c r="J66" s="9">
        <v>263.42779877786046</v>
      </c>
      <c r="K66" s="9">
        <v>263.42779877786046</v>
      </c>
      <c r="L66" s="9">
        <v>263.42779877786046</v>
      </c>
      <c r="M66" s="9">
        <v>263.42779877786046</v>
      </c>
      <c r="N66" s="9">
        <v>263.42779877786046</v>
      </c>
    </row>
    <row r="67" spans="1:14" ht="14.5">
      <c r="A67" s="435" t="s">
        <v>113</v>
      </c>
      <c r="B67" s="51" t="s">
        <v>131</v>
      </c>
      <c r="C67" s="504">
        <v>0</v>
      </c>
      <c r="D67" s="504">
        <v>0</v>
      </c>
      <c r="E67" s="504">
        <v>0</v>
      </c>
      <c r="F67" s="504">
        <v>0</v>
      </c>
      <c r="G67" s="504">
        <v>0</v>
      </c>
      <c r="H67" s="504">
        <v>0</v>
      </c>
      <c r="I67" s="504">
        <v>2538.9246836441084</v>
      </c>
      <c r="J67" s="504">
        <v>2538.9246836441084</v>
      </c>
      <c r="K67" s="504">
        <v>2538.9246836441084</v>
      </c>
      <c r="L67" s="504">
        <v>2538.9246836441084</v>
      </c>
      <c r="M67" s="504">
        <v>2538.9246836441084</v>
      </c>
      <c r="N67" s="504">
        <v>2538.9246836441084</v>
      </c>
    </row>
    <row r="68" spans="1:14" ht="14.5">
      <c r="A68" t="s">
        <v>100</v>
      </c>
      <c r="B68" s="51" t="s">
        <v>131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 spans="1:14" ht="14.5">
      <c r="A69" t="s">
        <v>109</v>
      </c>
      <c r="B69" s="51" t="s">
        <v>131</v>
      </c>
      <c r="C69" s="9">
        <v>375.76085317932808</v>
      </c>
      <c r="D69" s="9">
        <v>375.76085317932808</v>
      </c>
      <c r="E69" s="9">
        <v>375.76085317932808</v>
      </c>
      <c r="F69" s="9">
        <v>375.76085317932808</v>
      </c>
      <c r="G69" s="9">
        <v>375.76085317932808</v>
      </c>
      <c r="H69" s="9">
        <v>375.76085317932808</v>
      </c>
      <c r="I69" s="9">
        <v>375.76085317932808</v>
      </c>
      <c r="J69" s="9">
        <v>375.76085317932808</v>
      </c>
      <c r="K69" s="9">
        <v>375.76085317932808</v>
      </c>
      <c r="L69" s="9">
        <v>375.76085317932808</v>
      </c>
      <c r="M69" s="9">
        <v>375.76085317932808</v>
      </c>
      <c r="N69" s="9">
        <v>375.76085317932808</v>
      </c>
    </row>
    <row r="70" spans="1:14" ht="14.5">
      <c r="A70" t="s">
        <v>110</v>
      </c>
      <c r="B70" s="51" t="s">
        <v>131</v>
      </c>
      <c r="C70" s="9">
        <v>1446.7964658796582</v>
      </c>
      <c r="D70" s="9">
        <v>1446.7964658796582</v>
      </c>
      <c r="E70" s="9">
        <v>1446.7964658796582</v>
      </c>
      <c r="F70" s="9">
        <v>1446.7964658796582</v>
      </c>
      <c r="G70" s="9">
        <v>1446.7964658796582</v>
      </c>
      <c r="H70" s="9">
        <v>1446.7964658796582</v>
      </c>
      <c r="I70" s="9">
        <v>1446.7964658796582</v>
      </c>
      <c r="J70" s="9">
        <v>1446.7964658796582</v>
      </c>
      <c r="K70" s="9">
        <v>1446.7964658796582</v>
      </c>
      <c r="L70" s="9">
        <v>1446.7964658796582</v>
      </c>
      <c r="M70" s="9">
        <v>1446.7964658796582</v>
      </c>
      <c r="N70" s="504">
        <v>1446.7964658796582</v>
      </c>
    </row>
    <row r="71" spans="1:14" ht="14.5">
      <c r="A71" t="s">
        <v>106</v>
      </c>
      <c r="B71" s="51" t="s">
        <v>132</v>
      </c>
      <c r="C71" s="9">
        <v>1205.2207391593874</v>
      </c>
      <c r="D71" s="9">
        <v>1205.2207391593874</v>
      </c>
      <c r="E71" s="9">
        <v>1205.2207391593874</v>
      </c>
      <c r="F71" s="9">
        <v>1205.2207391593874</v>
      </c>
      <c r="G71" s="9">
        <v>1205.2207391593874</v>
      </c>
      <c r="H71" s="9">
        <v>1205.2207391593874</v>
      </c>
      <c r="I71" s="9">
        <v>1205.2207391593874</v>
      </c>
      <c r="J71" s="9">
        <v>1205.2207391593874</v>
      </c>
      <c r="K71" s="9">
        <v>1205.2207391593874</v>
      </c>
      <c r="L71" s="9">
        <v>1205.2207391593874</v>
      </c>
      <c r="M71" s="9">
        <v>1205.2207391593874</v>
      </c>
      <c r="N71" s="9">
        <v>1205.2207391593874</v>
      </c>
    </row>
    <row r="72" spans="1:14" ht="14.5">
      <c r="A72" t="s">
        <v>114</v>
      </c>
      <c r="B72" s="51" t="s">
        <v>132</v>
      </c>
      <c r="C72" s="9">
        <v>334.21303223784713</v>
      </c>
      <c r="D72" s="9">
        <v>334.21303223784713</v>
      </c>
      <c r="E72" s="9">
        <v>334.21303223784713</v>
      </c>
      <c r="F72" s="9">
        <v>334.21303223784713</v>
      </c>
      <c r="G72" s="9">
        <v>334.21303223784713</v>
      </c>
      <c r="H72" s="9">
        <v>334.21303223784713</v>
      </c>
      <c r="I72" s="9">
        <v>334.21303223784713</v>
      </c>
      <c r="J72" s="9">
        <v>334.21303223784713</v>
      </c>
      <c r="K72" s="9">
        <v>334.21303223784713</v>
      </c>
      <c r="L72" s="9">
        <v>334.21303223784713</v>
      </c>
      <c r="M72" s="9">
        <v>334.21303223784713</v>
      </c>
      <c r="N72" s="9">
        <v>334.21303223784713</v>
      </c>
    </row>
    <row r="73" spans="1:14" ht="14.5">
      <c r="A73" t="s">
        <v>108</v>
      </c>
      <c r="B73" s="51" t="s">
        <v>132</v>
      </c>
      <c r="C73" s="9">
        <v>62.237063731442667</v>
      </c>
      <c r="D73" s="9">
        <v>62.237063731442667</v>
      </c>
      <c r="E73" s="9">
        <v>62.237063731442667</v>
      </c>
      <c r="F73" s="9">
        <v>62.237063731442667</v>
      </c>
      <c r="G73" s="9">
        <v>62.237063731442667</v>
      </c>
      <c r="H73" s="9">
        <v>62.237063731442667</v>
      </c>
      <c r="I73" s="9">
        <v>62.237063731442667</v>
      </c>
      <c r="J73" s="9">
        <v>62.237063731442667</v>
      </c>
      <c r="K73" s="9">
        <v>62.237063731442667</v>
      </c>
      <c r="L73" s="9">
        <v>62.237063731442667</v>
      </c>
      <c r="M73" s="9">
        <v>62.237063731442667</v>
      </c>
      <c r="N73" s="9">
        <v>62.237063731442667</v>
      </c>
    </row>
    <row r="74" spans="1:14" ht="14.5">
      <c r="A74" t="s">
        <v>103</v>
      </c>
      <c r="B74" s="51" t="s">
        <v>132</v>
      </c>
      <c r="C74" s="9">
        <v>161.19399506443654</v>
      </c>
      <c r="D74" s="9">
        <v>161.19399506443654</v>
      </c>
      <c r="E74" s="9">
        <v>161.19399506443654</v>
      </c>
      <c r="F74" s="9">
        <v>161.19399506443654</v>
      </c>
      <c r="G74" s="9">
        <v>161.19399506443654</v>
      </c>
      <c r="H74" s="9">
        <v>161.19399506443654</v>
      </c>
      <c r="I74" s="9">
        <v>161.19399506443654</v>
      </c>
      <c r="J74" s="9">
        <v>161.19399506443654</v>
      </c>
      <c r="K74" s="9">
        <v>161.19399506443654</v>
      </c>
      <c r="L74" s="9">
        <v>161.19399506443654</v>
      </c>
      <c r="M74" s="9">
        <v>161.19399506443654</v>
      </c>
      <c r="N74" s="9">
        <v>161.19399506443654</v>
      </c>
    </row>
    <row r="75" spans="1:14" ht="14.5">
      <c r="A75" s="356" t="s">
        <v>99</v>
      </c>
      <c r="B75" s="51" t="s">
        <v>132</v>
      </c>
      <c r="C75" s="9">
        <v>163.372292295037</v>
      </c>
      <c r="D75" s="9">
        <v>163.372292295037</v>
      </c>
      <c r="E75" s="9">
        <v>163.372292295037</v>
      </c>
      <c r="F75" s="9">
        <v>163.372292295037</v>
      </c>
      <c r="G75" s="9">
        <v>163.372292295037</v>
      </c>
      <c r="H75" s="9">
        <v>163.372292295037</v>
      </c>
      <c r="I75" s="9">
        <v>163.372292295037</v>
      </c>
      <c r="J75" s="9">
        <v>163.372292295037</v>
      </c>
      <c r="K75" s="9">
        <v>163.372292295037</v>
      </c>
      <c r="L75" s="9">
        <v>163.372292295037</v>
      </c>
      <c r="M75" s="9">
        <v>163.372292295037</v>
      </c>
      <c r="N75" s="9">
        <v>163.372292295037</v>
      </c>
    </row>
    <row r="76" spans="1:14" ht="14.5">
      <c r="A76" t="s">
        <v>101</v>
      </c>
      <c r="B76" s="51" t="s">
        <v>132</v>
      </c>
      <c r="C76" s="9">
        <v>309.31820674527006</v>
      </c>
      <c r="D76" s="9">
        <v>309.31820674527006</v>
      </c>
      <c r="E76" s="9">
        <v>309.31820674527006</v>
      </c>
      <c r="F76" s="9">
        <v>309.31820674527006</v>
      </c>
      <c r="G76" s="9">
        <v>309.31820674527006</v>
      </c>
      <c r="H76" s="9">
        <v>309.31820674527006</v>
      </c>
      <c r="I76" s="9">
        <v>309.31820674527006</v>
      </c>
      <c r="J76" s="9">
        <v>309.31820674527006</v>
      </c>
      <c r="K76" s="9">
        <v>309.31820674527006</v>
      </c>
      <c r="L76" s="9">
        <v>309.31820674527006</v>
      </c>
      <c r="M76" s="9">
        <v>309.31820674527006</v>
      </c>
      <c r="N76" s="9">
        <v>309.31820674527006</v>
      </c>
    </row>
    <row r="77" spans="1:14" ht="14.5">
      <c r="A77" t="s">
        <v>111</v>
      </c>
      <c r="B77" s="51" t="s">
        <v>132</v>
      </c>
      <c r="C77" s="9">
        <v>324.56628735947351</v>
      </c>
      <c r="D77" s="9">
        <v>324.56628735947351</v>
      </c>
      <c r="E77" s="9">
        <v>324.56628735947351</v>
      </c>
      <c r="F77" s="9">
        <v>324.56628735947351</v>
      </c>
      <c r="G77" s="9">
        <v>324.56628735947351</v>
      </c>
      <c r="H77" s="9">
        <v>324.56628735947351</v>
      </c>
      <c r="I77" s="9">
        <v>324.56628735947351</v>
      </c>
      <c r="J77" s="9">
        <v>324.56628735947351</v>
      </c>
      <c r="K77" s="9">
        <v>324.56628735947351</v>
      </c>
      <c r="L77" s="9">
        <v>324.56628735947351</v>
      </c>
      <c r="M77" s="9">
        <v>324.56628735947351</v>
      </c>
      <c r="N77" s="9">
        <v>324.56628735947351</v>
      </c>
    </row>
    <row r="78" spans="1:14" ht="14.5">
      <c r="A78" t="s">
        <v>102</v>
      </c>
      <c r="B78" s="51" t="s">
        <v>132</v>
      </c>
      <c r="C78" s="9">
        <v>1097.2394335853344</v>
      </c>
      <c r="D78" s="9">
        <v>1097.2394335853344</v>
      </c>
      <c r="E78" s="9">
        <v>1097.2394335853344</v>
      </c>
      <c r="F78" s="9">
        <v>1097.2394335853344</v>
      </c>
      <c r="G78" s="9">
        <v>1097.2394335853344</v>
      </c>
      <c r="H78" s="9">
        <v>1097.2394335853344</v>
      </c>
      <c r="I78" s="9">
        <v>1097.2394335853344</v>
      </c>
      <c r="J78" s="9">
        <v>1097.2394335853344</v>
      </c>
      <c r="K78" s="9">
        <v>1097.2394335853344</v>
      </c>
      <c r="L78" s="9">
        <v>1097.2394335853344</v>
      </c>
      <c r="M78" s="9">
        <v>1097.2394335853344</v>
      </c>
      <c r="N78" s="9">
        <v>1097.2394335853344</v>
      </c>
    </row>
    <row r="79" spans="1:14" ht="14.5">
      <c r="A79" t="s">
        <v>105</v>
      </c>
      <c r="B79" s="51" t="s">
        <v>132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3340.8855811038425</v>
      </c>
      <c r="L79" s="9">
        <v>3340.8855811038425</v>
      </c>
      <c r="M79" s="9">
        <v>3340.8855811038425</v>
      </c>
      <c r="N79" s="9">
        <v>3340.8855811038425</v>
      </c>
    </row>
    <row r="80" spans="1:14" ht="14.5">
      <c r="A80" t="s">
        <v>98</v>
      </c>
      <c r="B80" s="51" t="s">
        <v>132</v>
      </c>
      <c r="C80" s="9">
        <v>933.55595597163995</v>
      </c>
      <c r="D80" s="9">
        <v>933.55595597163995</v>
      </c>
      <c r="E80" s="9">
        <v>933.55595597163995</v>
      </c>
      <c r="F80" s="9">
        <v>933.55595597163995</v>
      </c>
      <c r="G80" s="9">
        <v>933.55595597163995</v>
      </c>
      <c r="H80" s="9">
        <v>933.55595597163995</v>
      </c>
      <c r="I80" s="9">
        <v>933.55595597163995</v>
      </c>
      <c r="J80" s="9">
        <v>933.55595597163995</v>
      </c>
      <c r="K80" s="9">
        <v>933.55595597163995</v>
      </c>
      <c r="L80" s="9">
        <v>933.55595597163995</v>
      </c>
      <c r="M80" s="9">
        <v>933.55595597163995</v>
      </c>
      <c r="N80" s="9">
        <v>933.55595597163995</v>
      </c>
    </row>
    <row r="81" spans="1:14" ht="14.5">
      <c r="A81" t="s">
        <v>104</v>
      </c>
      <c r="B81" s="51" t="s">
        <v>132</v>
      </c>
      <c r="C81" s="9">
        <v>155.59265932860669</v>
      </c>
      <c r="D81" s="9">
        <v>155.59265932860669</v>
      </c>
      <c r="E81" s="9">
        <v>155.59265932860669</v>
      </c>
      <c r="F81" s="9">
        <v>155.59265932860669</v>
      </c>
      <c r="G81" s="9">
        <v>155.59265932860669</v>
      </c>
      <c r="H81" s="9">
        <v>155.59265932860669</v>
      </c>
      <c r="I81" s="9">
        <v>155.59265932860669</v>
      </c>
      <c r="J81" s="9">
        <v>155.59265932860669</v>
      </c>
      <c r="K81" s="9">
        <v>155.59265932860669</v>
      </c>
      <c r="L81" s="9">
        <v>155.59265932860669</v>
      </c>
      <c r="M81" s="9">
        <v>155.59265932860669</v>
      </c>
      <c r="N81" s="9">
        <v>155.59265932860669</v>
      </c>
    </row>
    <row r="82" spans="1:14" ht="14.5">
      <c r="A82" t="s">
        <v>112</v>
      </c>
      <c r="B82" s="51" t="s">
        <v>132</v>
      </c>
      <c r="C82" s="9">
        <v>901.19268283128997</v>
      </c>
      <c r="D82" s="9">
        <v>901.19268283128997</v>
      </c>
      <c r="E82" s="9">
        <v>901.19268283128997</v>
      </c>
      <c r="F82" s="9">
        <v>901.19268283128997</v>
      </c>
      <c r="G82" s="9">
        <v>901.19268283128997</v>
      </c>
      <c r="H82" s="9">
        <v>901.19268283128997</v>
      </c>
      <c r="I82" s="9">
        <v>901.19268283128997</v>
      </c>
      <c r="J82" s="9">
        <v>901.19268283128997</v>
      </c>
      <c r="K82" s="9">
        <v>901.19268283128997</v>
      </c>
      <c r="L82" s="9">
        <v>901.19268283128997</v>
      </c>
      <c r="M82" s="9">
        <v>901.19268283128997</v>
      </c>
      <c r="N82" s="9">
        <v>901.19268283128997</v>
      </c>
    </row>
    <row r="83" spans="1:14" ht="14.5">
      <c r="A83" s="260" t="s">
        <v>107</v>
      </c>
      <c r="B83" s="51" t="s">
        <v>132</v>
      </c>
      <c r="C83" s="9">
        <v>2493.839143718908</v>
      </c>
      <c r="D83" s="9">
        <v>2493.839143718908</v>
      </c>
      <c r="E83" s="9">
        <v>2493.839143718908</v>
      </c>
      <c r="F83" s="9">
        <v>2493.839143718908</v>
      </c>
      <c r="G83" s="9">
        <v>2493.839143718908</v>
      </c>
      <c r="H83" s="9">
        <v>2493.839143718908</v>
      </c>
      <c r="I83" s="9">
        <v>2493.839143718908</v>
      </c>
      <c r="J83" s="9">
        <v>2493.839143718908</v>
      </c>
      <c r="K83" s="9">
        <v>2493.839143718908</v>
      </c>
      <c r="L83" s="9">
        <v>2493.839143718908</v>
      </c>
      <c r="M83" s="9">
        <v>2493.839143718908</v>
      </c>
      <c r="N83" s="9">
        <v>2493.839143718908</v>
      </c>
    </row>
    <row r="84" spans="1:14" ht="14.5">
      <c r="A84" s="435" t="s">
        <v>113</v>
      </c>
      <c r="B84" s="51" t="s">
        <v>132</v>
      </c>
      <c r="C84" s="504">
        <v>0</v>
      </c>
      <c r="D84" s="504">
        <v>0</v>
      </c>
      <c r="E84" s="504">
        <v>0</v>
      </c>
      <c r="F84" s="504">
        <v>0</v>
      </c>
      <c r="G84" s="504">
        <v>0</v>
      </c>
      <c r="H84" s="504">
        <v>0</v>
      </c>
      <c r="I84" s="504">
        <v>2022.7045712718871</v>
      </c>
      <c r="J84" s="504">
        <v>2022.7045712718871</v>
      </c>
      <c r="K84" s="504">
        <v>2022.7045712718871</v>
      </c>
      <c r="L84" s="504">
        <v>2022.7045712718871</v>
      </c>
      <c r="M84" s="504">
        <v>2022.7045712718871</v>
      </c>
      <c r="N84" s="504">
        <v>2022.7045712718871</v>
      </c>
    </row>
    <row r="85" spans="1:14" ht="14.5">
      <c r="A85" t="s">
        <v>100</v>
      </c>
      <c r="B85" s="51" t="s">
        <v>132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ht="14.5">
      <c r="A86" t="s">
        <v>109</v>
      </c>
      <c r="B86" s="51" t="s">
        <v>132</v>
      </c>
      <c r="C86" s="9">
        <v>299.36027654823926</v>
      </c>
      <c r="D86" s="9">
        <v>299.36027654823926</v>
      </c>
      <c r="E86" s="9">
        <v>299.36027654823926</v>
      </c>
      <c r="F86" s="9">
        <v>299.36027654823926</v>
      </c>
      <c r="G86" s="9">
        <v>299.36027654823926</v>
      </c>
      <c r="H86" s="9">
        <v>299.36027654823926</v>
      </c>
      <c r="I86" s="9">
        <v>299.36027654823926</v>
      </c>
      <c r="J86" s="9">
        <v>299.36027654823926</v>
      </c>
      <c r="K86" s="9">
        <v>299.36027654823926</v>
      </c>
      <c r="L86" s="9">
        <v>299.36027654823926</v>
      </c>
      <c r="M86" s="9">
        <v>299.36027654823926</v>
      </c>
      <c r="N86" s="9">
        <v>299.36027654823926</v>
      </c>
    </row>
    <row r="87" spans="1:14" ht="14.5">
      <c r="A87" t="s">
        <v>110</v>
      </c>
      <c r="B87" s="51" t="s">
        <v>132</v>
      </c>
      <c r="C87" s="9">
        <v>1152.6304203063182</v>
      </c>
      <c r="D87" s="9">
        <v>1152.6304203063182</v>
      </c>
      <c r="E87" s="9">
        <v>1152.6304203063182</v>
      </c>
      <c r="F87" s="9">
        <v>1152.6304203063182</v>
      </c>
      <c r="G87" s="9">
        <v>1152.6304203063182</v>
      </c>
      <c r="H87" s="9">
        <v>1152.6304203063182</v>
      </c>
      <c r="I87" s="9">
        <v>1152.6304203063182</v>
      </c>
      <c r="J87" s="9">
        <v>1152.6304203063182</v>
      </c>
      <c r="K87" s="9">
        <v>1152.6304203063182</v>
      </c>
      <c r="L87" s="9">
        <v>1152.6304203063182</v>
      </c>
      <c r="M87" s="9">
        <v>1152.6304203063182</v>
      </c>
      <c r="N87" s="504">
        <v>1152.6304203063182</v>
      </c>
    </row>
    <row r="88" spans="1:14" ht="14.5">
      <c r="A88" t="s">
        <v>106</v>
      </c>
      <c r="B88" s="26" t="s">
        <v>133</v>
      </c>
      <c r="C88" s="9">
        <v>1301.4421859213387</v>
      </c>
      <c r="D88" s="9">
        <v>1301.4421859213387</v>
      </c>
      <c r="E88" s="9">
        <v>1301.4421859213387</v>
      </c>
      <c r="F88" s="9">
        <v>1301.4421859213387</v>
      </c>
      <c r="G88" s="9">
        <v>1301.4421859213387</v>
      </c>
      <c r="H88" s="9">
        <v>1301.4421859213387</v>
      </c>
      <c r="I88" s="9">
        <v>1301.4421859213387</v>
      </c>
      <c r="J88" s="9">
        <v>1301.4421859213387</v>
      </c>
      <c r="K88" s="9">
        <v>1301.4421859213387</v>
      </c>
      <c r="L88" s="9">
        <v>1301.4421859213387</v>
      </c>
      <c r="M88" s="9">
        <v>1301.4421859213387</v>
      </c>
      <c r="N88" s="9">
        <v>1301.4421859213387</v>
      </c>
    </row>
    <row r="89" spans="1:14" ht="14.5">
      <c r="A89" t="s">
        <v>114</v>
      </c>
      <c r="B89" s="26" t="s">
        <v>133</v>
      </c>
      <c r="C89" s="9">
        <v>307.27576064557655</v>
      </c>
      <c r="D89" s="9">
        <v>307.27576064557655</v>
      </c>
      <c r="E89" s="9">
        <v>307.27576064557655</v>
      </c>
      <c r="F89" s="9">
        <v>307.27576064557655</v>
      </c>
      <c r="G89" s="9">
        <v>307.27576064557655</v>
      </c>
      <c r="H89" s="9">
        <v>307.27576064557655</v>
      </c>
      <c r="I89" s="9">
        <v>307.27576064557655</v>
      </c>
      <c r="J89" s="9">
        <v>307.27576064557655</v>
      </c>
      <c r="K89" s="9">
        <v>307.27576064557655</v>
      </c>
      <c r="L89" s="9">
        <v>307.27576064557655</v>
      </c>
      <c r="M89" s="9">
        <v>307.27576064557655</v>
      </c>
      <c r="N89" s="9">
        <v>307.27576064557655</v>
      </c>
    </row>
    <row r="90" spans="1:14" ht="14.5">
      <c r="A90" t="s">
        <v>108</v>
      </c>
      <c r="B90" s="26" t="s">
        <v>133</v>
      </c>
      <c r="C90" s="9">
        <v>134.96881203828241</v>
      </c>
      <c r="D90" s="9">
        <v>134.96881203828241</v>
      </c>
      <c r="E90" s="9">
        <v>134.96881203828241</v>
      </c>
      <c r="F90" s="9">
        <v>134.96881203828241</v>
      </c>
      <c r="G90" s="9">
        <v>134.96881203828241</v>
      </c>
      <c r="H90" s="9">
        <v>134.96881203828241</v>
      </c>
      <c r="I90" s="9">
        <v>134.96881203828241</v>
      </c>
      <c r="J90" s="9">
        <v>134.96881203828241</v>
      </c>
      <c r="K90" s="9">
        <v>134.96881203828241</v>
      </c>
      <c r="L90" s="9">
        <v>134.96881203828241</v>
      </c>
      <c r="M90" s="9">
        <v>134.96881203828241</v>
      </c>
      <c r="N90" s="9">
        <v>134.96881203828241</v>
      </c>
    </row>
    <row r="91" spans="1:14" ht="14.5">
      <c r="A91" t="s">
        <v>103</v>
      </c>
      <c r="B91" s="26" t="s">
        <v>133</v>
      </c>
      <c r="C91" s="9">
        <v>190.42801997915146</v>
      </c>
      <c r="D91" s="9">
        <v>190.42801997915146</v>
      </c>
      <c r="E91" s="9">
        <v>190.42801997915146</v>
      </c>
      <c r="F91" s="9">
        <v>190.42801997915146</v>
      </c>
      <c r="G91" s="9">
        <v>190.42801997915146</v>
      </c>
      <c r="H91" s="9">
        <v>190.42801997915146</v>
      </c>
      <c r="I91" s="9">
        <v>190.42801997915146</v>
      </c>
      <c r="J91" s="9">
        <v>190.42801997915146</v>
      </c>
      <c r="K91" s="9">
        <v>190.42801997915146</v>
      </c>
      <c r="L91" s="9">
        <v>190.42801997915146</v>
      </c>
      <c r="M91" s="9">
        <v>190.42801997915146</v>
      </c>
      <c r="N91" s="9">
        <v>190.42801997915146</v>
      </c>
    </row>
    <row r="92" spans="1:14" ht="14.5">
      <c r="A92" s="356" t="s">
        <v>99</v>
      </c>
      <c r="B92" s="26" t="s">
        <v>133</v>
      </c>
      <c r="C92" s="9">
        <v>197.4426906839787</v>
      </c>
      <c r="D92" s="9">
        <v>197.4426906839787</v>
      </c>
      <c r="E92" s="9">
        <v>197.4426906839787</v>
      </c>
      <c r="F92" s="9">
        <v>197.4426906839787</v>
      </c>
      <c r="G92" s="9">
        <v>197.4426906839787</v>
      </c>
      <c r="H92" s="9">
        <v>197.4426906839787</v>
      </c>
      <c r="I92" s="9">
        <v>197.4426906839787</v>
      </c>
      <c r="J92" s="9">
        <v>197.4426906839787</v>
      </c>
      <c r="K92" s="9">
        <v>197.4426906839787</v>
      </c>
      <c r="L92" s="9">
        <v>197.4426906839787</v>
      </c>
      <c r="M92" s="9">
        <v>197.4426906839787</v>
      </c>
      <c r="N92" s="9">
        <v>197.4426906839787</v>
      </c>
    </row>
    <row r="93" spans="1:14" ht="14.5">
      <c r="A93" t="s">
        <v>101</v>
      </c>
      <c r="B93" s="26" t="s">
        <v>133</v>
      </c>
      <c r="C93" s="9">
        <v>317.17353183026358</v>
      </c>
      <c r="D93" s="9">
        <v>317.17353183026358</v>
      </c>
      <c r="E93" s="9">
        <v>317.17353183026358</v>
      </c>
      <c r="F93" s="9">
        <v>317.17353183026358</v>
      </c>
      <c r="G93" s="9">
        <v>317.17353183026358</v>
      </c>
      <c r="H93" s="9">
        <v>317.17353183026358</v>
      </c>
      <c r="I93" s="9">
        <v>317.17353183026358</v>
      </c>
      <c r="J93" s="9">
        <v>317.17353183026358</v>
      </c>
      <c r="K93" s="9">
        <v>317.17353183026358</v>
      </c>
      <c r="L93" s="9">
        <v>317.17353183026358</v>
      </c>
      <c r="M93" s="9">
        <v>317.17353183026358</v>
      </c>
      <c r="N93" s="9">
        <v>317.17353183026358</v>
      </c>
    </row>
    <row r="94" spans="1:14" ht="14.5">
      <c r="A94" t="s">
        <v>111</v>
      </c>
      <c r="B94" s="26" t="s">
        <v>133</v>
      </c>
      <c r="C94" s="9">
        <v>481.33186536417105</v>
      </c>
      <c r="D94" s="9">
        <v>481.33186536417105</v>
      </c>
      <c r="E94" s="9">
        <v>481.33186536417105</v>
      </c>
      <c r="F94" s="9">
        <v>481.33186536417105</v>
      </c>
      <c r="G94" s="9">
        <v>481.33186536417105</v>
      </c>
      <c r="H94" s="9">
        <v>481.33186536417105</v>
      </c>
      <c r="I94" s="9">
        <v>481.33186536417105</v>
      </c>
      <c r="J94" s="9">
        <v>481.33186536417105</v>
      </c>
      <c r="K94" s="9">
        <v>481.33186536417105</v>
      </c>
      <c r="L94" s="9">
        <v>481.33186536417105</v>
      </c>
      <c r="M94" s="9">
        <v>481.33186536417105</v>
      </c>
      <c r="N94" s="9">
        <v>481.33186536417105</v>
      </c>
    </row>
    <row r="95" spans="1:14" ht="14.5">
      <c r="A95" t="s">
        <v>102</v>
      </c>
      <c r="B95" s="26" t="s">
        <v>133</v>
      </c>
      <c r="C95" s="9">
        <v>1069.9997635542904</v>
      </c>
      <c r="D95" s="9">
        <v>1069.9997635542904</v>
      </c>
      <c r="E95" s="9">
        <v>1069.9997635542904</v>
      </c>
      <c r="F95" s="9">
        <v>1069.9997635542904</v>
      </c>
      <c r="G95" s="9">
        <v>1069.9997635542904</v>
      </c>
      <c r="H95" s="9">
        <v>1069.9997635542904</v>
      </c>
      <c r="I95" s="9">
        <v>1069.9997635542904</v>
      </c>
      <c r="J95" s="9">
        <v>1069.9997635542904</v>
      </c>
      <c r="K95" s="9">
        <v>1069.9997635542904</v>
      </c>
      <c r="L95" s="9">
        <v>1069.9997635542904</v>
      </c>
      <c r="M95" s="9">
        <v>1069.9997635542904</v>
      </c>
      <c r="N95" s="9">
        <v>1069.9997635542904</v>
      </c>
    </row>
    <row r="96" spans="1:14" ht="14.5">
      <c r="A96" t="s">
        <v>105</v>
      </c>
      <c r="B96" s="26" t="s">
        <v>133</v>
      </c>
      <c r="C96" s="9">
        <v>2656.0922822794278</v>
      </c>
      <c r="D96" s="9">
        <v>2656.0922822794278</v>
      </c>
      <c r="E96" s="9">
        <v>2656.0922822794278</v>
      </c>
      <c r="F96" s="9">
        <v>2656.0922822794278</v>
      </c>
      <c r="G96" s="9">
        <v>2656.0922822794278</v>
      </c>
      <c r="H96" s="9">
        <v>2656.0922822794278</v>
      </c>
      <c r="I96" s="9">
        <v>2656.0922822794278</v>
      </c>
      <c r="J96" s="9">
        <v>2656.0922822794278</v>
      </c>
      <c r="K96" s="9">
        <v>2656.0922822794278</v>
      </c>
      <c r="L96" s="9">
        <v>2656.0922822794278</v>
      </c>
      <c r="M96" s="9">
        <v>2656.0922822794278</v>
      </c>
      <c r="N96" s="9">
        <v>2656.0922822794278</v>
      </c>
    </row>
    <row r="97" spans="1:14" ht="14.5">
      <c r="A97" t="s">
        <v>98</v>
      </c>
      <c r="B97" s="26" t="s">
        <v>133</v>
      </c>
      <c r="C97" s="9">
        <v>1509.8034455943264</v>
      </c>
      <c r="D97" s="9">
        <v>1509.8034455943264</v>
      </c>
      <c r="E97" s="9">
        <v>1509.8034455943264</v>
      </c>
      <c r="F97" s="9">
        <v>1509.8034455943264</v>
      </c>
      <c r="G97" s="9">
        <v>1509.8034455943264</v>
      </c>
      <c r="H97" s="9">
        <v>1509.8034455943264</v>
      </c>
      <c r="I97" s="9">
        <v>1509.8034455943264</v>
      </c>
      <c r="J97" s="9">
        <v>1509.8034455943264</v>
      </c>
      <c r="K97" s="9">
        <v>1509.8034455943264</v>
      </c>
      <c r="L97" s="9">
        <v>1509.8034455943264</v>
      </c>
      <c r="M97" s="9">
        <v>1509.8034455943264</v>
      </c>
      <c r="N97" s="9">
        <v>1509.8034455943264</v>
      </c>
    </row>
    <row r="98" spans="1:14" ht="14.5">
      <c r="A98" t="s">
        <v>104</v>
      </c>
      <c r="B98" s="26" t="s">
        <v>133</v>
      </c>
      <c r="C98" s="9">
        <v>197.56148630049498</v>
      </c>
      <c r="D98" s="9">
        <v>197.56148630049498</v>
      </c>
      <c r="E98" s="9">
        <v>197.56148630049498</v>
      </c>
      <c r="F98" s="9">
        <v>197.56148630049498</v>
      </c>
      <c r="G98" s="9">
        <v>197.56148630049498</v>
      </c>
      <c r="H98" s="9">
        <v>197.56148630049498</v>
      </c>
      <c r="I98" s="9">
        <v>197.56148630049498</v>
      </c>
      <c r="J98" s="9">
        <v>197.56148630049498</v>
      </c>
      <c r="K98" s="9">
        <v>197.56148630049498</v>
      </c>
      <c r="L98" s="9">
        <v>197.56148630049498</v>
      </c>
      <c r="M98" s="9">
        <v>197.56148630049498</v>
      </c>
      <c r="N98" s="9">
        <v>197.56148630049498</v>
      </c>
    </row>
    <row r="99" spans="1:14" ht="14.5">
      <c r="A99" t="s">
        <v>112</v>
      </c>
      <c r="B99" s="26" t="s">
        <v>133</v>
      </c>
      <c r="C99" s="9">
        <v>751.81870207875079</v>
      </c>
      <c r="D99" s="9">
        <v>751.81870207875079</v>
      </c>
      <c r="E99" s="9">
        <v>751.81870207875079</v>
      </c>
      <c r="F99" s="9">
        <v>751.81870207875079</v>
      </c>
      <c r="G99" s="9">
        <v>751.81870207875079</v>
      </c>
      <c r="H99" s="9">
        <v>751.81870207875079</v>
      </c>
      <c r="I99" s="9">
        <v>751.81870207875079</v>
      </c>
      <c r="J99" s="9">
        <v>751.81870207875079</v>
      </c>
      <c r="K99" s="9">
        <v>751.81870207875079</v>
      </c>
      <c r="L99" s="9">
        <v>751.81870207875079</v>
      </c>
      <c r="M99" s="9">
        <v>751.81870207875079</v>
      </c>
      <c r="N99" s="9">
        <v>751.81870207875079</v>
      </c>
    </row>
    <row r="100" spans="1:14" ht="14.5">
      <c r="A100" s="260" t="s">
        <v>107</v>
      </c>
      <c r="B100" s="26" t="s">
        <v>133</v>
      </c>
      <c r="C100" s="9">
        <v>1604.7952621552561</v>
      </c>
      <c r="D100" s="9">
        <v>1604.7952621552561</v>
      </c>
      <c r="E100" s="9">
        <v>1604.7952621552561</v>
      </c>
      <c r="F100" s="9">
        <v>1604.7952621552561</v>
      </c>
      <c r="G100" s="9">
        <v>1604.7952621552561</v>
      </c>
      <c r="H100" s="9">
        <v>1604.7952621552561</v>
      </c>
      <c r="I100" s="9">
        <v>1604.7952621552561</v>
      </c>
      <c r="J100" s="9">
        <v>1604.7952621552561</v>
      </c>
      <c r="K100" s="9">
        <v>1604.7952621552561</v>
      </c>
      <c r="L100" s="9">
        <v>1604.7952621552561</v>
      </c>
      <c r="M100" s="9">
        <v>1604.7952621552561</v>
      </c>
      <c r="N100" s="9">
        <v>1604.7952621552561</v>
      </c>
    </row>
    <row r="101" spans="1:14" ht="14.5">
      <c r="A101" s="435" t="s">
        <v>113</v>
      </c>
      <c r="B101" s="26" t="s">
        <v>133</v>
      </c>
      <c r="C101" s="504">
        <v>0</v>
      </c>
      <c r="D101" s="504">
        <v>0</v>
      </c>
      <c r="E101" s="504">
        <v>0</v>
      </c>
      <c r="F101" s="504">
        <v>0</v>
      </c>
      <c r="G101" s="504">
        <v>0</v>
      </c>
      <c r="H101" s="504">
        <v>0</v>
      </c>
      <c r="I101" s="504">
        <v>660.25843634377645</v>
      </c>
      <c r="J101" s="504">
        <v>660.25843634377645</v>
      </c>
      <c r="K101" s="504">
        <v>660.25843634377645</v>
      </c>
      <c r="L101" s="504">
        <v>660.25843634377645</v>
      </c>
      <c r="M101" s="504">
        <v>660.25843634377645</v>
      </c>
      <c r="N101" s="504">
        <v>660.25843634377645</v>
      </c>
    </row>
    <row r="102" spans="1:14" ht="14.5">
      <c r="A102" t="s">
        <v>100</v>
      </c>
      <c r="B102" s="26" t="s">
        <v>133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 spans="1:14" ht="14.5">
      <c r="A103" t="s">
        <v>109</v>
      </c>
      <c r="B103" s="26" t="s">
        <v>133</v>
      </c>
      <c r="C103" s="9">
        <v>409.9537998999935</v>
      </c>
      <c r="D103" s="9">
        <v>409.9537998999935</v>
      </c>
      <c r="E103" s="9">
        <v>409.9537998999935</v>
      </c>
      <c r="F103" s="9">
        <v>409.9537998999935</v>
      </c>
      <c r="G103" s="9">
        <v>409.9537998999935</v>
      </c>
      <c r="H103" s="9">
        <v>409.9537998999935</v>
      </c>
      <c r="I103" s="9">
        <v>409.9537998999935</v>
      </c>
      <c r="J103" s="9">
        <v>409.9537998999935</v>
      </c>
      <c r="K103" s="9">
        <v>409.9537998999935</v>
      </c>
      <c r="L103" s="9">
        <v>409.9537998999935</v>
      </c>
      <c r="M103" s="9">
        <v>409.9537998999935</v>
      </c>
      <c r="N103" s="9">
        <v>409.9537998999935</v>
      </c>
    </row>
    <row r="104" spans="1:14" ht="14.5">
      <c r="A104" t="s">
        <v>110</v>
      </c>
      <c r="B104" s="26" t="s">
        <v>133</v>
      </c>
      <c r="C104" s="9">
        <v>830.21743089505651</v>
      </c>
      <c r="D104" s="9">
        <v>830.21743089505651</v>
      </c>
      <c r="E104" s="9">
        <v>830.21743089505651</v>
      </c>
      <c r="F104" s="9">
        <v>830.21743089505651</v>
      </c>
      <c r="G104" s="9">
        <v>830.21743089505651</v>
      </c>
      <c r="H104" s="9">
        <v>830.21743089505651</v>
      </c>
      <c r="I104" s="9">
        <v>830.21743089505651</v>
      </c>
      <c r="J104" s="9">
        <v>830.21743089505651</v>
      </c>
      <c r="K104" s="9">
        <v>830.21743089505651</v>
      </c>
      <c r="L104" s="9">
        <v>830.21743089505651</v>
      </c>
      <c r="M104" s="9">
        <v>830.21743089505651</v>
      </c>
      <c r="N104" s="504">
        <v>830.21743089505651</v>
      </c>
    </row>
    <row r="105" spans="1:14" ht="14.5">
      <c r="A105" t="s">
        <v>106</v>
      </c>
      <c r="B105" s="51" t="s">
        <v>134</v>
      </c>
      <c r="C105" s="9">
        <v>1579.9221234074446</v>
      </c>
      <c r="D105" s="9">
        <v>1579.9221234074446</v>
      </c>
      <c r="E105" s="9">
        <v>1579.9221234074446</v>
      </c>
      <c r="F105" s="9">
        <v>1579.9221234074446</v>
      </c>
      <c r="G105" s="9">
        <v>1579.9221234074446</v>
      </c>
      <c r="H105" s="9">
        <v>1579.9221234074446</v>
      </c>
      <c r="I105" s="9">
        <v>1579.9221234074446</v>
      </c>
      <c r="J105" s="9">
        <v>1579.9221234074446</v>
      </c>
      <c r="K105" s="9">
        <v>1579.9221234074446</v>
      </c>
      <c r="L105" s="9">
        <v>1579.9221234074446</v>
      </c>
      <c r="M105" s="9">
        <v>1579.9221234074446</v>
      </c>
      <c r="N105" s="9">
        <v>1579.9221234074446</v>
      </c>
    </row>
    <row r="106" spans="1:14" ht="14.5">
      <c r="A106" t="s">
        <v>114</v>
      </c>
      <c r="B106" s="51" t="s">
        <v>134</v>
      </c>
      <c r="C106" s="9">
        <v>438.11938046465156</v>
      </c>
      <c r="D106" s="9">
        <v>438.11938046465156</v>
      </c>
      <c r="E106" s="9">
        <v>438.11938046465156</v>
      </c>
      <c r="F106" s="9">
        <v>438.11938046465156</v>
      </c>
      <c r="G106" s="9">
        <v>438.11938046465156</v>
      </c>
      <c r="H106" s="9">
        <v>438.11938046465156</v>
      </c>
      <c r="I106" s="9">
        <v>438.11938046465156</v>
      </c>
      <c r="J106" s="9">
        <v>438.11938046465156</v>
      </c>
      <c r="K106" s="9">
        <v>438.11938046465156</v>
      </c>
      <c r="L106" s="9">
        <v>438.11938046465156</v>
      </c>
      <c r="M106" s="9">
        <v>438.11938046465156</v>
      </c>
      <c r="N106" s="9">
        <v>438.11938046465156</v>
      </c>
    </row>
    <row r="107" spans="1:14" ht="14.5">
      <c r="A107" t="s">
        <v>108</v>
      </c>
      <c r="B107" s="51" t="s">
        <v>134</v>
      </c>
      <c r="C107" s="9">
        <v>81.586476809059874</v>
      </c>
      <c r="D107" s="9">
        <v>81.586476809059874</v>
      </c>
      <c r="E107" s="9">
        <v>81.586476809059874</v>
      </c>
      <c r="F107" s="9">
        <v>81.586476809059874</v>
      </c>
      <c r="G107" s="9">
        <v>81.586476809059874</v>
      </c>
      <c r="H107" s="9">
        <v>81.586476809059874</v>
      </c>
      <c r="I107" s="9">
        <v>81.586476809059874</v>
      </c>
      <c r="J107" s="9">
        <v>81.586476809059874</v>
      </c>
      <c r="K107" s="9">
        <v>81.586476809059874</v>
      </c>
      <c r="L107" s="9">
        <v>81.586476809059874</v>
      </c>
      <c r="M107" s="9">
        <v>81.586476809059874</v>
      </c>
      <c r="N107" s="9">
        <v>81.586476809059874</v>
      </c>
    </row>
    <row r="108" spans="1:14" ht="14.5">
      <c r="A108" t="s">
        <v>103</v>
      </c>
      <c r="B108" s="51" t="s">
        <v>134</v>
      </c>
      <c r="C108" s="9">
        <v>211.30897493546505</v>
      </c>
      <c r="D108" s="9">
        <v>211.30897493546505</v>
      </c>
      <c r="E108" s="9">
        <v>211.30897493546505</v>
      </c>
      <c r="F108" s="9">
        <v>211.30897493546505</v>
      </c>
      <c r="G108" s="9">
        <v>211.30897493546505</v>
      </c>
      <c r="H108" s="9">
        <v>211.30897493546505</v>
      </c>
      <c r="I108" s="9">
        <v>211.30897493546505</v>
      </c>
      <c r="J108" s="9">
        <v>211.30897493546505</v>
      </c>
      <c r="K108" s="9">
        <v>211.30897493546505</v>
      </c>
      <c r="L108" s="9">
        <v>211.30897493546505</v>
      </c>
      <c r="M108" s="9">
        <v>211.30897493546505</v>
      </c>
      <c r="N108" s="9">
        <v>211.30897493546505</v>
      </c>
    </row>
    <row r="109" spans="1:14" ht="14.5">
      <c r="A109" s="356" t="s">
        <v>99</v>
      </c>
      <c r="B109" s="51" t="s">
        <v>134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 spans="1:14" ht="14.5">
      <c r="A110" t="s">
        <v>101</v>
      </c>
      <c r="B110" s="51" t="s">
        <v>134</v>
      </c>
      <c r="C110" s="9">
        <v>405.48478974102756</v>
      </c>
      <c r="D110" s="9">
        <v>405.48478974102756</v>
      </c>
      <c r="E110" s="9">
        <v>405.48478974102756</v>
      </c>
      <c r="F110" s="9">
        <v>405.48478974102756</v>
      </c>
      <c r="G110" s="9">
        <v>405.48478974102756</v>
      </c>
      <c r="H110" s="9">
        <v>405.48478974102756</v>
      </c>
      <c r="I110" s="9">
        <v>405.48478974102756</v>
      </c>
      <c r="J110" s="9">
        <v>405.48478974102756</v>
      </c>
      <c r="K110" s="9">
        <v>405.48478974102756</v>
      </c>
      <c r="L110" s="9">
        <v>405.48478974102756</v>
      </c>
      <c r="M110" s="9">
        <v>405.48478974102756</v>
      </c>
      <c r="N110" s="9">
        <v>405.48478974102756</v>
      </c>
    </row>
    <row r="111" spans="1:14" ht="14.5">
      <c r="A111" t="s">
        <v>111</v>
      </c>
      <c r="B111" s="51" t="s">
        <v>134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 spans="1:14" ht="14.5">
      <c r="A112" t="s">
        <v>102</v>
      </c>
      <c r="B112" s="51" t="s">
        <v>134</v>
      </c>
      <c r="C112" s="9">
        <v>1438.3695861437254</v>
      </c>
      <c r="D112" s="9">
        <v>1438.3695861437254</v>
      </c>
      <c r="E112" s="9">
        <v>1438.3695861437254</v>
      </c>
      <c r="F112" s="9">
        <v>1438.3695861437254</v>
      </c>
      <c r="G112" s="9">
        <v>1438.3695861437254</v>
      </c>
      <c r="H112" s="9">
        <v>1438.3695861437254</v>
      </c>
      <c r="I112" s="9">
        <v>1438.3695861437254</v>
      </c>
      <c r="J112" s="9">
        <v>1438.3695861437254</v>
      </c>
      <c r="K112" s="9">
        <v>1438.3695861437254</v>
      </c>
      <c r="L112" s="9">
        <v>1438.3695861437254</v>
      </c>
      <c r="M112" s="9">
        <v>1438.3695861437254</v>
      </c>
      <c r="N112" s="9">
        <v>1438.3695861437254</v>
      </c>
    </row>
    <row r="113" spans="1:14" ht="14.5">
      <c r="A113" t="s">
        <v>105</v>
      </c>
      <c r="B113" s="51" t="s">
        <v>134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4379.5620751103343</v>
      </c>
      <c r="L113" s="9">
        <v>4379.5620751103343</v>
      </c>
      <c r="M113" s="9">
        <v>4379.5620751103343</v>
      </c>
      <c r="N113" s="9">
        <v>4379.5620751103343</v>
      </c>
    </row>
    <row r="114" spans="1:14" ht="14.5">
      <c r="A114" t="s">
        <v>98</v>
      </c>
      <c r="B114" s="51" t="s">
        <v>134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 spans="1:14" ht="14.5">
      <c r="A115" t="s">
        <v>104</v>
      </c>
      <c r="B115" s="51" t="s">
        <v>134</v>
      </c>
      <c r="C115" s="9">
        <v>203.96619202264969</v>
      </c>
      <c r="D115" s="9">
        <v>203.96619202264969</v>
      </c>
      <c r="E115" s="9">
        <v>203.96619202264969</v>
      </c>
      <c r="F115" s="9">
        <v>203.96619202264969</v>
      </c>
      <c r="G115" s="9">
        <v>203.96619202264969</v>
      </c>
      <c r="H115" s="9">
        <v>203.96619202264969</v>
      </c>
      <c r="I115" s="9">
        <v>203.96619202264969</v>
      </c>
      <c r="J115" s="9">
        <v>203.96619202264969</v>
      </c>
      <c r="K115" s="9">
        <v>203.96619202264969</v>
      </c>
      <c r="L115" s="9">
        <v>203.96619202264969</v>
      </c>
      <c r="M115" s="9">
        <v>203.96619202264969</v>
      </c>
      <c r="N115" s="9">
        <v>203.96619202264969</v>
      </c>
    </row>
    <row r="116" spans="1:14" ht="14.5">
      <c r="A116" t="s">
        <v>112</v>
      </c>
      <c r="B116" s="51" t="s">
        <v>134</v>
      </c>
      <c r="C116" s="9">
        <v>1181.3721841951869</v>
      </c>
      <c r="D116" s="9">
        <v>1181.3721841951869</v>
      </c>
      <c r="E116" s="9">
        <v>1181.3721841951869</v>
      </c>
      <c r="F116" s="9">
        <v>1181.3721841951869</v>
      </c>
      <c r="G116" s="9">
        <v>1181.3721841951869</v>
      </c>
      <c r="H116" s="9">
        <v>1181.3721841951869</v>
      </c>
      <c r="I116" s="9">
        <v>1181.3721841951869</v>
      </c>
      <c r="J116" s="9">
        <v>1181.3721841951869</v>
      </c>
      <c r="K116" s="9">
        <v>1181.3721841951869</v>
      </c>
      <c r="L116" s="9">
        <v>1181.3721841951869</v>
      </c>
      <c r="M116" s="9">
        <v>1181.3721841951869</v>
      </c>
      <c r="N116" s="9">
        <v>1181.3721841951869</v>
      </c>
    </row>
    <row r="117" spans="1:14" ht="14.5">
      <c r="A117" s="260" t="s">
        <v>107</v>
      </c>
      <c r="B117" s="51" t="s">
        <v>134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 spans="1:14" ht="14.5">
      <c r="A118" s="435" t="s">
        <v>113</v>
      </c>
      <c r="B118" s="51" t="s">
        <v>134</v>
      </c>
      <c r="C118" s="504">
        <v>0</v>
      </c>
      <c r="D118" s="504">
        <v>0</v>
      </c>
      <c r="E118" s="504">
        <v>0</v>
      </c>
      <c r="F118" s="504">
        <v>0</v>
      </c>
      <c r="G118" s="504">
        <v>0</v>
      </c>
      <c r="H118" s="504">
        <v>0</v>
      </c>
      <c r="I118" s="504">
        <v>2651.5604962944458</v>
      </c>
      <c r="J118" s="504">
        <v>2651.5604962944458</v>
      </c>
      <c r="K118" s="504">
        <v>2651.5604962944458</v>
      </c>
      <c r="L118" s="504">
        <v>2651.5604962944458</v>
      </c>
      <c r="M118" s="504">
        <v>2651.5604962944458</v>
      </c>
      <c r="N118" s="504">
        <v>2651.5604962944458</v>
      </c>
    </row>
    <row r="119" spans="1:14" ht="14.5">
      <c r="A119" t="s">
        <v>100</v>
      </c>
      <c r="B119" s="51" t="s">
        <v>134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 spans="1:14" ht="14.5">
      <c r="A120" t="s">
        <v>109</v>
      </c>
      <c r="B120" s="51" t="s">
        <v>134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 spans="1:14" ht="14.5">
      <c r="A121" t="s">
        <v>110</v>
      </c>
      <c r="B121" s="51" t="s">
        <v>134</v>
      </c>
      <c r="C121" s="9">
        <v>1510.9815505037889</v>
      </c>
      <c r="D121" s="9">
        <v>1510.9815505037889</v>
      </c>
      <c r="E121" s="9">
        <v>1510.9815505037889</v>
      </c>
      <c r="F121" s="9">
        <v>1510.9815505037889</v>
      </c>
      <c r="G121" s="9">
        <v>1510.9815505037889</v>
      </c>
      <c r="H121" s="9">
        <v>1510.9815505037889</v>
      </c>
      <c r="I121" s="9">
        <v>1510.9815505037889</v>
      </c>
      <c r="J121" s="9">
        <v>1510.9815505037889</v>
      </c>
      <c r="K121" s="9">
        <v>1510.9815505037889</v>
      </c>
      <c r="L121" s="9">
        <v>1510.9815505037889</v>
      </c>
      <c r="M121" s="9">
        <v>1510.9815505037889</v>
      </c>
      <c r="N121" s="504">
        <v>1510.9815505037889</v>
      </c>
    </row>
    <row r="122" spans="1:14" ht="14.5">
      <c r="A122" t="s">
        <v>106</v>
      </c>
      <c r="B122" s="51" t="s">
        <v>135</v>
      </c>
      <c r="C122" s="9">
        <v>500</v>
      </c>
      <c r="D122" s="9">
        <v>500</v>
      </c>
      <c r="E122" s="9">
        <v>500</v>
      </c>
      <c r="F122" s="9">
        <v>500</v>
      </c>
      <c r="G122" s="9">
        <v>500</v>
      </c>
      <c r="H122" s="9">
        <v>500</v>
      </c>
      <c r="I122" s="9">
        <v>500</v>
      </c>
      <c r="J122" s="9">
        <v>500</v>
      </c>
      <c r="K122" s="9">
        <v>500</v>
      </c>
      <c r="L122" s="9">
        <v>500</v>
      </c>
      <c r="M122" s="9">
        <v>500</v>
      </c>
      <c r="N122" s="9">
        <v>500</v>
      </c>
    </row>
    <row r="123" spans="1:14" ht="14.5">
      <c r="A123" t="s">
        <v>114</v>
      </c>
      <c r="B123" s="51" t="s">
        <v>135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 spans="1:14" ht="14.5">
      <c r="A124" t="s">
        <v>108</v>
      </c>
      <c r="B124" s="51" t="s">
        <v>135</v>
      </c>
      <c r="C124" s="9">
        <v>220</v>
      </c>
      <c r="D124" s="9">
        <v>220</v>
      </c>
      <c r="E124" s="9">
        <v>220</v>
      </c>
      <c r="F124" s="9">
        <v>220</v>
      </c>
      <c r="G124" s="9">
        <v>220</v>
      </c>
      <c r="H124" s="9">
        <v>220</v>
      </c>
      <c r="I124" s="9">
        <v>220</v>
      </c>
      <c r="J124" s="9">
        <v>220</v>
      </c>
      <c r="K124" s="9">
        <v>220</v>
      </c>
      <c r="L124" s="9">
        <v>220</v>
      </c>
      <c r="M124" s="9">
        <v>220</v>
      </c>
      <c r="N124" s="9">
        <v>220</v>
      </c>
    </row>
    <row r="125" spans="1:14" ht="14.5">
      <c r="A125" t="s">
        <v>103</v>
      </c>
      <c r="B125" s="51" t="s">
        <v>135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ht="14.5">
      <c r="A126" s="356" t="s">
        <v>99</v>
      </c>
      <c r="B126" s="51" t="s">
        <v>135</v>
      </c>
      <c r="C126" s="9">
        <v>166.67</v>
      </c>
      <c r="D126" s="9">
        <v>166.67</v>
      </c>
      <c r="E126" s="9">
        <v>166.67</v>
      </c>
      <c r="F126" s="9">
        <v>166.67</v>
      </c>
      <c r="G126" s="9">
        <v>166.67</v>
      </c>
      <c r="H126" s="9">
        <v>166.67</v>
      </c>
      <c r="I126" s="9">
        <v>166.67</v>
      </c>
      <c r="J126" s="9">
        <v>166.67</v>
      </c>
      <c r="K126" s="9">
        <v>166.67</v>
      </c>
      <c r="L126" s="9">
        <v>166.67</v>
      </c>
      <c r="M126" s="9">
        <v>166.67</v>
      </c>
      <c r="N126" s="9">
        <v>166.67</v>
      </c>
    </row>
    <row r="127" spans="1:14" ht="14.5">
      <c r="A127" t="s">
        <v>101</v>
      </c>
      <c r="B127" s="51" t="s">
        <v>135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 spans="1:14" ht="14.5">
      <c r="A128" t="s">
        <v>111</v>
      </c>
      <c r="B128" s="51" t="s">
        <v>135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 spans="1:14" ht="14.5">
      <c r="A129" t="s">
        <v>102</v>
      </c>
      <c r="B129" s="51" t="s">
        <v>135</v>
      </c>
      <c r="C129" s="9">
        <v>500</v>
      </c>
      <c r="D129" s="9">
        <v>500</v>
      </c>
      <c r="E129" s="9">
        <v>500</v>
      </c>
      <c r="F129" s="9">
        <v>500</v>
      </c>
      <c r="G129" s="9">
        <v>500</v>
      </c>
      <c r="H129" s="9">
        <v>500</v>
      </c>
      <c r="I129" s="9">
        <v>500</v>
      </c>
      <c r="J129" s="9">
        <v>500</v>
      </c>
      <c r="K129" s="9">
        <v>500</v>
      </c>
      <c r="L129" s="9">
        <v>500</v>
      </c>
      <c r="M129" s="9">
        <v>500</v>
      </c>
      <c r="N129" s="9">
        <v>500</v>
      </c>
    </row>
    <row r="130" spans="1:14" ht="14.5">
      <c r="A130" t="s">
        <v>105</v>
      </c>
      <c r="B130" s="51" t="s">
        <v>135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 spans="1:14" ht="14.5">
      <c r="A131" t="s">
        <v>98</v>
      </c>
      <c r="B131" s="51" t="s">
        <v>135</v>
      </c>
      <c r="C131" s="9">
        <v>500</v>
      </c>
      <c r="D131" s="9">
        <v>500</v>
      </c>
      <c r="E131" s="9">
        <v>500</v>
      </c>
      <c r="F131" s="9">
        <v>500</v>
      </c>
      <c r="G131" s="9">
        <v>500</v>
      </c>
      <c r="H131" s="9">
        <v>500</v>
      </c>
      <c r="I131" s="9">
        <v>500</v>
      </c>
      <c r="J131" s="9">
        <v>500</v>
      </c>
      <c r="K131" s="9">
        <v>500</v>
      </c>
      <c r="L131" s="9">
        <v>500</v>
      </c>
      <c r="M131" s="9">
        <v>500</v>
      </c>
      <c r="N131" s="9">
        <v>500</v>
      </c>
    </row>
    <row r="132" spans="1:14" ht="14.5">
      <c r="A132" t="s">
        <v>104</v>
      </c>
      <c r="B132" s="51" t="s">
        <v>135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 spans="1:14" ht="14.5">
      <c r="A133" t="s">
        <v>112</v>
      </c>
      <c r="B133" s="51" t="s">
        <v>135</v>
      </c>
      <c r="C133" s="9">
        <v>869</v>
      </c>
      <c r="D133" s="9">
        <v>869</v>
      </c>
      <c r="E133" s="9">
        <v>869</v>
      </c>
      <c r="F133" s="9">
        <v>869</v>
      </c>
      <c r="G133" s="9">
        <v>869</v>
      </c>
      <c r="H133" s="9">
        <v>869</v>
      </c>
      <c r="I133" s="9">
        <v>869</v>
      </c>
      <c r="J133" s="9">
        <v>869</v>
      </c>
      <c r="K133" s="9">
        <v>869</v>
      </c>
      <c r="L133" s="9">
        <v>869</v>
      </c>
      <c r="M133" s="9">
        <v>869</v>
      </c>
      <c r="N133" s="9">
        <v>869</v>
      </c>
    </row>
    <row r="134" spans="1:14" ht="14.5">
      <c r="A134" s="260" t="s">
        <v>107</v>
      </c>
      <c r="B134" s="51" t="s">
        <v>135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</row>
    <row r="135" spans="1:14" ht="14.5">
      <c r="A135" s="435" t="s">
        <v>113</v>
      </c>
      <c r="B135" s="51" t="s">
        <v>135</v>
      </c>
      <c r="C135" s="504">
        <v>0</v>
      </c>
      <c r="D135" s="504">
        <v>0</v>
      </c>
      <c r="E135" s="504">
        <v>0</v>
      </c>
      <c r="F135" s="504">
        <v>0</v>
      </c>
      <c r="G135" s="504">
        <v>0</v>
      </c>
      <c r="H135" s="504">
        <v>0</v>
      </c>
      <c r="I135" s="504">
        <v>300</v>
      </c>
      <c r="J135" s="504">
        <v>300</v>
      </c>
      <c r="K135" s="504">
        <v>300</v>
      </c>
      <c r="L135" s="504">
        <v>300</v>
      </c>
      <c r="M135" s="504">
        <v>300</v>
      </c>
      <c r="N135" s="504">
        <v>300</v>
      </c>
    </row>
    <row r="136" spans="1:14" ht="14.5">
      <c r="A136" t="s">
        <v>100</v>
      </c>
      <c r="B136" s="51" t="s">
        <v>135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 spans="1:14" ht="14.5">
      <c r="A137" t="s">
        <v>109</v>
      </c>
      <c r="B137" s="51" t="s">
        <v>135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 spans="1:14" ht="14.5">
      <c r="A138" t="s">
        <v>110</v>
      </c>
      <c r="B138" s="51" t="s">
        <v>135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504">
        <v>0</v>
      </c>
    </row>
    <row r="139" spans="1:14" ht="13">
      <c r="A139" t="s">
        <v>106</v>
      </c>
      <c r="B139" s="51" t="s">
        <v>136</v>
      </c>
      <c r="C139" s="53">
        <v>20000</v>
      </c>
      <c r="D139" s="53">
        <v>20000</v>
      </c>
      <c r="E139" s="53">
        <v>20000</v>
      </c>
      <c r="F139" s="53">
        <v>20000</v>
      </c>
      <c r="G139" s="53">
        <v>20000</v>
      </c>
      <c r="H139" s="53">
        <v>20000</v>
      </c>
      <c r="I139" s="53">
        <v>20000</v>
      </c>
      <c r="J139" s="53">
        <v>20000</v>
      </c>
      <c r="K139" s="53">
        <v>20000</v>
      </c>
      <c r="L139" s="53">
        <v>20000</v>
      </c>
      <c r="M139" s="53">
        <v>20000</v>
      </c>
      <c r="N139" s="53">
        <v>20000</v>
      </c>
    </row>
    <row r="140" spans="1:14" ht="13">
      <c r="A140" t="s">
        <v>114</v>
      </c>
      <c r="B140" s="51" t="s">
        <v>136</v>
      </c>
      <c r="C140" s="53">
        <v>25</v>
      </c>
      <c r="D140" s="53">
        <v>25</v>
      </c>
      <c r="E140" s="53">
        <v>25</v>
      </c>
      <c r="F140" s="53">
        <v>25</v>
      </c>
      <c r="G140" s="53">
        <v>25</v>
      </c>
      <c r="H140" s="53">
        <v>25</v>
      </c>
      <c r="I140" s="53">
        <v>25</v>
      </c>
      <c r="J140" s="53">
        <v>25</v>
      </c>
      <c r="K140" s="53">
        <v>25</v>
      </c>
      <c r="L140" s="53">
        <v>25</v>
      </c>
      <c r="M140" s="53">
        <v>25</v>
      </c>
      <c r="N140" s="53">
        <v>25</v>
      </c>
    </row>
    <row r="141" spans="1:14" ht="13">
      <c r="A141" t="s">
        <v>108</v>
      </c>
      <c r="B141" s="51" t="s">
        <v>136</v>
      </c>
      <c r="C141" s="53">
        <v>200</v>
      </c>
      <c r="D141" s="53">
        <v>200</v>
      </c>
      <c r="E141" s="53">
        <v>200</v>
      </c>
      <c r="F141" s="53">
        <v>200</v>
      </c>
      <c r="G141" s="53">
        <v>200</v>
      </c>
      <c r="H141" s="53">
        <v>200</v>
      </c>
      <c r="I141" s="53">
        <v>200</v>
      </c>
      <c r="J141" s="53">
        <v>200</v>
      </c>
      <c r="K141" s="53">
        <v>200</v>
      </c>
      <c r="L141" s="53">
        <v>200</v>
      </c>
      <c r="M141" s="53">
        <v>200</v>
      </c>
      <c r="N141" s="53">
        <v>200</v>
      </c>
    </row>
    <row r="142" spans="1:14" ht="13">
      <c r="A142" t="s">
        <v>103</v>
      </c>
      <c r="B142" s="51" t="s">
        <v>136</v>
      </c>
      <c r="C142" s="53">
        <v>900</v>
      </c>
      <c r="D142" s="53">
        <v>900</v>
      </c>
      <c r="E142" s="53">
        <v>900</v>
      </c>
      <c r="F142" s="53">
        <v>900</v>
      </c>
      <c r="G142" s="53">
        <v>900</v>
      </c>
      <c r="H142" s="53">
        <v>900</v>
      </c>
      <c r="I142" s="53">
        <v>900</v>
      </c>
      <c r="J142" s="53">
        <v>900</v>
      </c>
      <c r="K142" s="53">
        <v>900</v>
      </c>
      <c r="L142" s="53">
        <v>900</v>
      </c>
      <c r="M142" s="53">
        <v>900</v>
      </c>
      <c r="N142" s="53">
        <v>900</v>
      </c>
    </row>
    <row r="143" spans="1:14" ht="13">
      <c r="A143" s="356" t="s">
        <v>99</v>
      </c>
      <c r="B143" s="51" t="s">
        <v>136</v>
      </c>
      <c r="C143" s="53">
        <v>950</v>
      </c>
      <c r="D143" s="53">
        <v>950</v>
      </c>
      <c r="E143" s="53">
        <v>950</v>
      </c>
      <c r="F143" s="53">
        <v>950</v>
      </c>
      <c r="G143" s="53">
        <v>950</v>
      </c>
      <c r="H143" s="53">
        <v>950</v>
      </c>
      <c r="I143" s="53">
        <v>950</v>
      </c>
      <c r="J143" s="53">
        <v>950</v>
      </c>
      <c r="K143" s="53">
        <v>950</v>
      </c>
      <c r="L143" s="53">
        <v>950</v>
      </c>
      <c r="M143" s="53">
        <v>950</v>
      </c>
      <c r="N143" s="53">
        <v>950</v>
      </c>
    </row>
    <row r="144" spans="1:14" ht="13">
      <c r="A144" t="s">
        <v>101</v>
      </c>
      <c r="B144" s="51" t="s">
        <v>136</v>
      </c>
      <c r="C144" s="53">
        <v>0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</row>
    <row r="145" spans="1:14" ht="13">
      <c r="A145" t="s">
        <v>111</v>
      </c>
      <c r="B145" s="51" t="s">
        <v>136</v>
      </c>
      <c r="C145" s="53">
        <v>0</v>
      </c>
      <c r="D145" s="53">
        <v>0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  <c r="N145" s="53">
        <v>0</v>
      </c>
    </row>
    <row r="146" spans="1:14" ht="13">
      <c r="A146" t="s">
        <v>102</v>
      </c>
      <c r="B146" s="51" t="s">
        <v>136</v>
      </c>
      <c r="C146" s="53"/>
      <c r="D146" s="53">
        <v>0</v>
      </c>
      <c r="E146" s="53">
        <v>0</v>
      </c>
      <c r="F146" s="53">
        <v>0</v>
      </c>
      <c r="G146" s="53">
        <v>0</v>
      </c>
      <c r="H146" s="53">
        <v>0</v>
      </c>
      <c r="I146" s="53"/>
      <c r="J146" s="53">
        <v>4500</v>
      </c>
      <c r="K146" s="53">
        <v>4500</v>
      </c>
      <c r="L146" s="53">
        <v>4500</v>
      </c>
      <c r="M146" s="53">
        <v>4500</v>
      </c>
      <c r="N146" s="53">
        <v>4500</v>
      </c>
    </row>
    <row r="147" spans="1:14" ht="13">
      <c r="A147" t="s">
        <v>105</v>
      </c>
      <c r="B147" s="51" t="s">
        <v>136</v>
      </c>
      <c r="C147" s="53">
        <v>0</v>
      </c>
      <c r="D147" s="53">
        <v>0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/>
      <c r="K147" s="53">
        <v>3000</v>
      </c>
      <c r="L147" s="53">
        <v>3000</v>
      </c>
      <c r="M147" s="53">
        <v>3000</v>
      </c>
      <c r="N147" s="53">
        <v>3000</v>
      </c>
    </row>
    <row r="148" spans="1:14" ht="13">
      <c r="A148" t="s">
        <v>98</v>
      </c>
      <c r="B148" s="51" t="s">
        <v>136</v>
      </c>
      <c r="C148" s="53">
        <v>18000</v>
      </c>
      <c r="D148" s="53">
        <v>18000</v>
      </c>
      <c r="E148" s="53">
        <v>18000</v>
      </c>
      <c r="F148" s="53">
        <v>18000</v>
      </c>
      <c r="G148" s="53">
        <v>18000</v>
      </c>
      <c r="H148" s="53">
        <v>18000</v>
      </c>
      <c r="I148" s="53">
        <v>18000</v>
      </c>
      <c r="J148" s="53">
        <v>18000</v>
      </c>
      <c r="K148" s="53">
        <v>18000</v>
      </c>
      <c r="L148" s="53">
        <v>18000</v>
      </c>
      <c r="M148" s="53">
        <v>18000</v>
      </c>
      <c r="N148" s="53">
        <v>18000</v>
      </c>
    </row>
    <row r="149" spans="1:14" ht="13">
      <c r="A149" t="s">
        <v>104</v>
      </c>
      <c r="B149" s="51" t="s">
        <v>136</v>
      </c>
      <c r="C149" s="53">
        <v>820</v>
      </c>
      <c r="D149" s="53">
        <v>820</v>
      </c>
      <c r="E149" s="53">
        <v>820</v>
      </c>
      <c r="F149" s="53">
        <v>820</v>
      </c>
      <c r="G149" s="53">
        <v>820</v>
      </c>
      <c r="H149" s="53">
        <v>820</v>
      </c>
      <c r="I149" s="53">
        <v>820</v>
      </c>
      <c r="J149" s="53">
        <v>820</v>
      </c>
      <c r="K149" s="53">
        <v>820</v>
      </c>
      <c r="L149" s="53">
        <v>820</v>
      </c>
      <c r="M149" s="53">
        <v>820</v>
      </c>
      <c r="N149" s="53">
        <v>820</v>
      </c>
    </row>
    <row r="150" spans="1:14" ht="13">
      <c r="A150" t="s">
        <v>112</v>
      </c>
      <c r="B150" s="51" t="s">
        <v>136</v>
      </c>
      <c r="C150" s="53">
        <v>0</v>
      </c>
      <c r="D150" s="53">
        <v>0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  <c r="N150" s="53">
        <v>0</v>
      </c>
    </row>
    <row r="151" spans="1:14" ht="13">
      <c r="A151" s="260" t="s">
        <v>107</v>
      </c>
      <c r="B151" s="51" t="s">
        <v>136</v>
      </c>
      <c r="C151" s="53">
        <v>0</v>
      </c>
      <c r="D151" s="53">
        <v>0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  <c r="N151" s="53">
        <v>0</v>
      </c>
    </row>
    <row r="152" spans="1:14" ht="13">
      <c r="A152" s="435" t="s">
        <v>113</v>
      </c>
      <c r="B152" s="51" t="s">
        <v>136</v>
      </c>
      <c r="C152" s="505"/>
      <c r="D152" s="505"/>
      <c r="E152" s="505">
        <v>0</v>
      </c>
      <c r="F152" s="505"/>
      <c r="G152" s="505"/>
      <c r="H152" s="505">
        <v>0</v>
      </c>
      <c r="I152" s="505"/>
      <c r="J152" s="505"/>
      <c r="K152" s="505">
        <v>0</v>
      </c>
      <c r="L152" s="505"/>
      <c r="M152" s="505"/>
      <c r="N152" s="505">
        <v>0</v>
      </c>
    </row>
    <row r="153" spans="1:14" ht="13">
      <c r="A153" t="s">
        <v>100</v>
      </c>
      <c r="B153" s="51" t="s">
        <v>136</v>
      </c>
      <c r="C153" s="53">
        <v>0</v>
      </c>
      <c r="D153" s="53">
        <v>0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  <c r="N153" s="53">
        <v>0</v>
      </c>
    </row>
    <row r="154" spans="1:14" ht="13">
      <c r="A154" t="s">
        <v>109</v>
      </c>
      <c r="B154" s="51" t="s">
        <v>136</v>
      </c>
      <c r="C154" s="53">
        <v>3000</v>
      </c>
      <c r="D154" s="53">
        <v>3000</v>
      </c>
      <c r="E154" s="53">
        <v>3000</v>
      </c>
      <c r="F154" s="53">
        <v>3000</v>
      </c>
      <c r="G154" s="53">
        <v>3000</v>
      </c>
      <c r="H154" s="53">
        <v>3000</v>
      </c>
      <c r="I154" s="53">
        <v>3000</v>
      </c>
      <c r="J154" s="53">
        <v>3000</v>
      </c>
      <c r="K154" s="53">
        <v>3000</v>
      </c>
      <c r="L154" s="53">
        <v>3000</v>
      </c>
      <c r="M154" s="53">
        <v>3000</v>
      </c>
      <c r="N154" s="53">
        <v>3000</v>
      </c>
    </row>
    <row r="155" spans="1:14" ht="13">
      <c r="A155" t="s">
        <v>110</v>
      </c>
      <c r="B155" s="51" t="s">
        <v>136</v>
      </c>
      <c r="C155" s="53">
        <v>0</v>
      </c>
      <c r="D155" s="53">
        <v>0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  <c r="N155" s="505">
        <v>0</v>
      </c>
    </row>
    <row r="161" spans="2:8">
      <c r="B161" s="600"/>
      <c r="C161" s="600"/>
      <c r="D161" s="600"/>
      <c r="E161" s="600"/>
      <c r="G161" s="600"/>
      <c r="H161" s="600"/>
    </row>
  </sheetData>
  <autoFilter ref="A1:N155" xr:uid="{D5EEE319-B486-4940-A38A-57A631888A6F}"/>
  <mergeCells count="3">
    <mergeCell ref="B161:C161"/>
    <mergeCell ref="D161:E161"/>
    <mergeCell ref="G161:H16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R203"/>
  <sheetViews>
    <sheetView zoomScale="85" zoomScaleNormal="85" workbookViewId="0">
      <pane xSplit="2" ySplit="10" topLeftCell="C65" activePane="bottomRight" state="frozen"/>
      <selection pane="topRight" activeCell="C1" sqref="C1"/>
      <selection pane="bottomLeft" activeCell="A11" sqref="A11"/>
      <selection pane="bottomRight" activeCell="A77" sqref="A77"/>
    </sheetView>
  </sheetViews>
  <sheetFormatPr defaultColWidth="8.7265625" defaultRowHeight="14.5"/>
  <cols>
    <col min="1" max="1" width="11.7265625" style="269" customWidth="1"/>
    <col min="2" max="2" width="37.453125" style="269" customWidth="1"/>
    <col min="3" max="3" width="11.7265625" style="269" customWidth="1"/>
    <col min="4" max="13" width="11.26953125" style="269" customWidth="1"/>
    <col min="14" max="19" width="13.453125" style="269" customWidth="1"/>
    <col min="20" max="20" width="83" style="388" customWidth="1"/>
    <col min="21" max="16384" width="8.7265625" style="269"/>
  </cols>
  <sheetData>
    <row r="1" spans="1:70" ht="13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1"/>
      <c r="Q1" s="1"/>
      <c r="R1" s="1" t="s">
        <v>137</v>
      </c>
      <c r="S1" s="60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13.15" customHeight="1">
      <c r="A2" s="607" t="s">
        <v>138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1"/>
      <c r="Q2" s="1"/>
      <c r="R2" s="1"/>
      <c r="S2" s="608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13.15" customHeight="1">
      <c r="A3" s="607" t="s">
        <v>139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1"/>
      <c r="Q3" s="1"/>
      <c r="R3" s="1"/>
      <c r="S3" s="608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3.15" customHeight="1">
      <c r="A4" s="607" t="s">
        <v>140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1"/>
      <c r="Q4" s="1"/>
      <c r="R4" s="1"/>
      <c r="S4" s="608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ht="13.15" customHeight="1">
      <c r="A5" s="607" t="s">
        <v>141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1"/>
      <c r="Q5" s="1"/>
      <c r="R5" s="1"/>
      <c r="S5" s="608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ht="13.15" customHeight="1">
      <c r="A6" s="607" t="s">
        <v>142</v>
      </c>
      <c r="B6" s="607"/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1"/>
      <c r="Q6" s="1"/>
      <c r="R6" s="1"/>
      <c r="S6" s="608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ht="16.149999999999999" customHeight="1">
      <c r="A7" s="1"/>
      <c r="B7" s="1"/>
      <c r="C7" s="1"/>
      <c r="D7" s="1"/>
      <c r="E7" s="1"/>
      <c r="F7" s="5"/>
      <c r="G7" s="1"/>
      <c r="H7" s="1"/>
      <c r="I7" s="1"/>
      <c r="J7" s="1"/>
      <c r="K7" s="1"/>
      <c r="L7" s="1"/>
      <c r="M7" s="1"/>
      <c r="N7" s="1"/>
      <c r="O7" s="1"/>
      <c r="P7" s="371"/>
      <c r="Q7" s="1"/>
      <c r="R7" s="1"/>
      <c r="S7" s="60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ht="15.75" customHeight="1">
      <c r="A8" s="176" t="s">
        <v>143</v>
      </c>
      <c r="B8" s="278"/>
      <c r="C8" s="177"/>
      <c r="D8" s="278"/>
      <c r="E8" s="177"/>
      <c r="F8" s="278"/>
      <c r="G8" s="177"/>
      <c r="H8" s="278"/>
      <c r="I8" s="177"/>
      <c r="J8" s="278"/>
      <c r="K8" s="177"/>
      <c r="L8" s="278"/>
      <c r="M8" s="177"/>
      <c r="N8" s="278"/>
      <c r="O8" s="604" t="s">
        <v>144</v>
      </c>
      <c r="P8" s="182">
        <v>2025</v>
      </c>
      <c r="Q8" s="182">
        <v>2025</v>
      </c>
      <c r="R8" s="182"/>
      <c r="S8" s="601" t="s">
        <v>145</v>
      </c>
      <c r="T8" s="389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ht="13.15" customHeight="1">
      <c r="A9" s="183" t="s">
        <v>146</v>
      </c>
      <c r="B9" s="279" t="s">
        <v>147</v>
      </c>
      <c r="C9" s="184" t="s">
        <v>1</v>
      </c>
      <c r="D9" s="279" t="s">
        <v>2</v>
      </c>
      <c r="E9" s="184" t="s">
        <v>3</v>
      </c>
      <c r="F9" s="279" t="s">
        <v>4</v>
      </c>
      <c r="G9" s="184" t="s">
        <v>5</v>
      </c>
      <c r="H9" s="279" t="s">
        <v>6</v>
      </c>
      <c r="I9" s="184" t="s">
        <v>7</v>
      </c>
      <c r="J9" s="279" t="s">
        <v>8</v>
      </c>
      <c r="K9" s="184" t="s">
        <v>123</v>
      </c>
      <c r="L9" s="279" t="s">
        <v>124</v>
      </c>
      <c r="M9" s="184" t="s">
        <v>125</v>
      </c>
      <c r="N9" s="279" t="s">
        <v>126</v>
      </c>
      <c r="O9" s="605"/>
      <c r="P9" s="189" t="s">
        <v>148</v>
      </c>
      <c r="Q9" s="189" t="s">
        <v>16</v>
      </c>
      <c r="R9" s="189" t="s">
        <v>18</v>
      </c>
      <c r="S9" s="602"/>
      <c r="T9" s="390" t="s">
        <v>149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90"/>
      <c r="B10" s="280"/>
      <c r="C10" s="191"/>
      <c r="D10" s="280"/>
      <c r="E10" s="191"/>
      <c r="F10" s="280"/>
      <c r="G10" s="191"/>
      <c r="H10" s="280"/>
      <c r="I10" s="191"/>
      <c r="J10" s="280"/>
      <c r="K10" s="191"/>
      <c r="L10" s="280"/>
      <c r="M10" s="191"/>
      <c r="N10" s="280"/>
      <c r="O10" s="606"/>
      <c r="P10" s="196" t="s">
        <v>150</v>
      </c>
      <c r="Q10" s="196" t="s">
        <v>150</v>
      </c>
      <c r="R10" s="196"/>
      <c r="S10" s="603"/>
      <c r="T10" s="39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ht="15" customHeight="1">
      <c r="A11" s="1"/>
      <c r="B11" s="4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1"/>
      <c r="Q11" s="1"/>
      <c r="R11" s="1"/>
      <c r="S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ht="21" customHeight="1">
      <c r="A12" s="1"/>
      <c r="B12" s="4" t="s">
        <v>151</v>
      </c>
      <c r="C12" s="50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ht="15" customHeight="1">
      <c r="A13" s="7">
        <v>40100</v>
      </c>
      <c r="B13" s="8" t="s">
        <v>152</v>
      </c>
      <c r="C13" s="507">
        <f>Rent!F33</f>
        <v>148820.58000000002</v>
      </c>
      <c r="D13" s="9">
        <f>Rent!G33</f>
        <v>148820.58000000002</v>
      </c>
      <c r="E13" s="9">
        <f>Rent!H33</f>
        <v>149123.09</v>
      </c>
      <c r="F13" s="9">
        <f>Rent!I33</f>
        <v>149189.30000000002</v>
      </c>
      <c r="G13" s="9">
        <f>Rent!J33</f>
        <v>149189.30000000002</v>
      </c>
      <c r="H13" s="9">
        <f>Rent!K33</f>
        <v>149347.09</v>
      </c>
      <c r="I13" s="9">
        <f>Rent!L33</f>
        <v>162630.85999999999</v>
      </c>
      <c r="J13" s="9">
        <f>Rent!M33</f>
        <v>162630.85999999999</v>
      </c>
      <c r="K13" s="9">
        <f>Rent!N33</f>
        <v>158297.66</v>
      </c>
      <c r="L13" s="9">
        <f>Rent!O33</f>
        <v>158297.66</v>
      </c>
      <c r="M13" s="9">
        <f>Rent!P33</f>
        <v>159255.79</v>
      </c>
      <c r="N13" s="9">
        <f>Rent!Q33</f>
        <v>178755.79</v>
      </c>
      <c r="O13" s="9">
        <f>SUM(C13:N13)</f>
        <v>1874358.56</v>
      </c>
      <c r="P13" s="285">
        <v>1722677</v>
      </c>
      <c r="Q13" s="285">
        <v>1782656</v>
      </c>
      <c r="R13" s="11">
        <f>+O13-P13</f>
        <v>151681.56000000006</v>
      </c>
      <c r="S13" s="369">
        <f>(O13-Q13)/Q13</f>
        <v>5.1441534429525412E-2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ht="15" customHeight="1">
      <c r="A14" s="7">
        <v>40106</v>
      </c>
      <c r="B14" s="1" t="s">
        <v>128</v>
      </c>
      <c r="C14" s="507">
        <f>'Rent Recovery'!E38</f>
        <v>423.09</v>
      </c>
      <c r="D14" s="9">
        <f>'Rent Recovery'!F38</f>
        <v>423.09</v>
      </c>
      <c r="E14" s="9">
        <f>'Rent Recovery'!G38</f>
        <v>423.09</v>
      </c>
      <c r="F14" s="9">
        <f>'Rent Recovery'!H38</f>
        <v>423.09</v>
      </c>
      <c r="G14" s="9">
        <f>'Rent Recovery'!I38</f>
        <v>423.09</v>
      </c>
      <c r="H14" s="9">
        <f>'Rent Recovery'!J38</f>
        <v>423.09</v>
      </c>
      <c r="I14" s="9">
        <f>'Rent Recovery'!K38</f>
        <v>423.09</v>
      </c>
      <c r="J14" s="9">
        <f>'Rent Recovery'!L38</f>
        <v>423.09</v>
      </c>
      <c r="K14" s="9">
        <f>'Rent Recovery'!M38</f>
        <v>423.09</v>
      </c>
      <c r="L14" s="9">
        <f>'Rent Recovery'!N38</f>
        <v>423.09</v>
      </c>
      <c r="M14" s="9">
        <f>'Rent Recovery'!O38</f>
        <v>423.09</v>
      </c>
      <c r="N14" s="9">
        <f>'Rent Recovery'!P38</f>
        <v>423.09</v>
      </c>
      <c r="O14" s="9">
        <f>SUM(C14:N14)</f>
        <v>5077.0800000000008</v>
      </c>
      <c r="P14" s="285">
        <v>5077</v>
      </c>
      <c r="Q14" s="285">
        <v>5076</v>
      </c>
      <c r="R14" s="11"/>
      <c r="S14" s="369">
        <f>(O14-Q14)/Q14</f>
        <v>2.1276595744697336E-4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ht="15" customHeight="1">
      <c r="A15" s="7">
        <v>40110</v>
      </c>
      <c r="B15" s="1" t="s">
        <v>153</v>
      </c>
      <c r="C15" s="507">
        <f>'% Rent'!E36</f>
        <v>43895</v>
      </c>
      <c r="D15" s="9">
        <f>'% Rent'!F36</f>
        <v>43895</v>
      </c>
      <c r="E15" s="9">
        <f>'% Rent'!G36</f>
        <v>43895</v>
      </c>
      <c r="F15" s="9">
        <f>'% Rent'!H36</f>
        <v>43895</v>
      </c>
      <c r="G15" s="9">
        <f>'% Rent'!I36</f>
        <v>43895</v>
      </c>
      <c r="H15" s="9">
        <f>'% Rent'!J36</f>
        <v>43895</v>
      </c>
      <c r="I15" s="9">
        <f>'% Rent'!K36</f>
        <v>43895</v>
      </c>
      <c r="J15" s="9">
        <f>'% Rent'!L36</f>
        <v>48395</v>
      </c>
      <c r="K15" s="9">
        <f>'% Rent'!M36</f>
        <v>51395</v>
      </c>
      <c r="L15" s="9">
        <f>'% Rent'!N36</f>
        <v>51395</v>
      </c>
      <c r="M15" s="9">
        <f>'% Rent'!O36</f>
        <v>51395</v>
      </c>
      <c r="N15" s="9">
        <f>'% Rent'!P36</f>
        <v>51395</v>
      </c>
      <c r="O15" s="9">
        <f t="shared" ref="O15:O25" si="0">SUM(C15:N15)</f>
        <v>561240</v>
      </c>
      <c r="P15" s="285">
        <v>609190</v>
      </c>
      <c r="Q15" s="285">
        <v>673152</v>
      </c>
      <c r="R15" s="11">
        <f>+O15-P15</f>
        <v>-47950</v>
      </c>
      <c r="S15" s="369">
        <f t="shared" ref="S15:S26" si="1">(O15-Q15)/Q15</f>
        <v>-0.16625071306332001</v>
      </c>
      <c r="T15" s="388" t="s">
        <v>154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ht="15" customHeight="1">
      <c r="A16" s="7">
        <v>40129</v>
      </c>
      <c r="B16" s="1" t="s">
        <v>155</v>
      </c>
      <c r="C16" s="396">
        <v>30000</v>
      </c>
      <c r="D16" s="9">
        <f>C16</f>
        <v>30000</v>
      </c>
      <c r="E16" s="9">
        <f t="shared" ref="E16:N16" si="2">D16</f>
        <v>30000</v>
      </c>
      <c r="F16" s="9">
        <f t="shared" si="2"/>
        <v>30000</v>
      </c>
      <c r="G16" s="9">
        <f t="shared" si="2"/>
        <v>30000</v>
      </c>
      <c r="H16" s="9">
        <f t="shared" si="2"/>
        <v>30000</v>
      </c>
      <c r="I16" s="9">
        <f t="shared" si="2"/>
        <v>30000</v>
      </c>
      <c r="J16" s="9">
        <f t="shared" si="2"/>
        <v>30000</v>
      </c>
      <c r="K16" s="9">
        <v>50000</v>
      </c>
      <c r="L16" s="9">
        <f t="shared" si="2"/>
        <v>50000</v>
      </c>
      <c r="M16" s="9">
        <f t="shared" si="2"/>
        <v>50000</v>
      </c>
      <c r="N16" s="9">
        <f t="shared" si="2"/>
        <v>50000</v>
      </c>
      <c r="O16" s="9">
        <f>SUM(C16:N16)</f>
        <v>440000</v>
      </c>
      <c r="P16" s="285">
        <v>344359</v>
      </c>
      <c r="Q16" s="285">
        <v>549996</v>
      </c>
      <c r="R16" s="11">
        <f>+O16-P16</f>
        <v>95641</v>
      </c>
      <c r="S16" s="369">
        <f>(O16-Q16)/Q16</f>
        <v>-0.19999418177586747</v>
      </c>
      <c r="T16" s="388" t="s">
        <v>156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21" ht="15" customHeight="1">
      <c r="A17" s="7">
        <v>40143</v>
      </c>
      <c r="B17" s="1" t="s">
        <v>157</v>
      </c>
      <c r="C17" s="396">
        <f>'CAM Recovery'!E17</f>
        <v>0</v>
      </c>
      <c r="D17" s="9">
        <f>'CAM Recovery'!F17</f>
        <v>0</v>
      </c>
      <c r="E17" s="9">
        <f>'CAM Recovery'!G17</f>
        <v>0</v>
      </c>
      <c r="F17" s="9">
        <f>'CAM Recovery'!H17</f>
        <v>0</v>
      </c>
      <c r="G17" s="9">
        <f>'CAM Recovery'!I17</f>
        <v>0</v>
      </c>
      <c r="H17" s="9">
        <f>'CAM Recovery'!J17</f>
        <v>0</v>
      </c>
      <c r="I17" s="9">
        <f>'CAM Recovery'!K17</f>
        <v>0</v>
      </c>
      <c r="J17" s="9">
        <f>'CAM Recovery'!L17</f>
        <v>0</v>
      </c>
      <c r="K17" s="9">
        <f>'CAM Recovery'!M17</f>
        <v>0</v>
      </c>
      <c r="L17" s="9">
        <f>'CAM Recovery'!N17</f>
        <v>0</v>
      </c>
      <c r="M17" s="9">
        <f>'CAM Recovery'!O17</f>
        <v>0</v>
      </c>
      <c r="N17" s="9">
        <f>'CAM Recovery'!P17</f>
        <v>0</v>
      </c>
      <c r="O17" s="9">
        <f>SUM(C17:N17)</f>
        <v>0</v>
      </c>
      <c r="P17" s="285"/>
      <c r="Q17" s="285"/>
      <c r="R17" s="11"/>
      <c r="S17" s="369" t="e">
        <f t="shared" si="1"/>
        <v>#DIV/0!</v>
      </c>
      <c r="U17" s="1"/>
    </row>
    <row r="18" spans="1:21" ht="15" customHeight="1">
      <c r="A18" s="7">
        <v>40140</v>
      </c>
      <c r="B18" s="1" t="s">
        <v>158</v>
      </c>
      <c r="C18" s="507">
        <f>CAM!E33</f>
        <v>42081.775956275866</v>
      </c>
      <c r="D18" s="9">
        <f>CAM!F33</f>
        <v>42081.775956275866</v>
      </c>
      <c r="E18" s="9">
        <f>CAM!G33</f>
        <v>42081.775956275866</v>
      </c>
      <c r="F18" s="9">
        <f>CAM!H33</f>
        <v>42081.775956275866</v>
      </c>
      <c r="G18" s="9">
        <f>CAM!I33</f>
        <v>42081.775956275866</v>
      </c>
      <c r="H18" s="9">
        <f>CAM!J33</f>
        <v>42081.775956275866</v>
      </c>
      <c r="I18" s="9">
        <f>CAM!K33</f>
        <v>48580.862018812804</v>
      </c>
      <c r="J18" s="9">
        <f>CAM!L33</f>
        <v>48580.862018812804</v>
      </c>
      <c r="K18" s="9">
        <f>CAM!M33</f>
        <v>65455.975252632677</v>
      </c>
      <c r="L18" s="9">
        <f>CAM!N33</f>
        <v>65455.975252632677</v>
      </c>
      <c r="M18" s="9">
        <f>CAM!O33</f>
        <v>65455.975252632677</v>
      </c>
      <c r="N18" s="9">
        <f>CAM!P33</f>
        <v>65455.975252632677</v>
      </c>
      <c r="O18" s="9">
        <f>SUM(C18:N18)</f>
        <v>611476.28078581148</v>
      </c>
      <c r="P18" s="285">
        <v>768194</v>
      </c>
      <c r="Q18" s="285">
        <v>980252</v>
      </c>
      <c r="R18" s="11">
        <f>+O18-P18</f>
        <v>-156717.71921418852</v>
      </c>
      <c r="S18" s="369">
        <f t="shared" si="1"/>
        <v>-0.37620501586754074</v>
      </c>
      <c r="U18" s="1"/>
    </row>
    <row r="19" spans="1:21" ht="15" customHeight="1">
      <c r="A19" s="7">
        <v>40150</v>
      </c>
      <c r="B19" s="1" t="s">
        <v>159</v>
      </c>
      <c r="C19" s="396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f t="shared" si="0"/>
        <v>0</v>
      </c>
      <c r="P19" s="285">
        <v>41626</v>
      </c>
      <c r="Q19" s="285"/>
      <c r="R19" s="11">
        <f t="shared" ref="R19:R27" si="3">+O19-P19</f>
        <v>-41626</v>
      </c>
      <c r="S19" s="369" t="e">
        <f t="shared" si="1"/>
        <v>#DIV/0!</v>
      </c>
      <c r="T19" s="388" t="s">
        <v>160</v>
      </c>
      <c r="U19" s="1"/>
    </row>
    <row r="20" spans="1:21" ht="15" customHeight="1">
      <c r="A20" s="7">
        <v>40170</v>
      </c>
      <c r="B20" s="1" t="s">
        <v>161</v>
      </c>
      <c r="C20" s="507">
        <f>'Building Exp.'!E33</f>
        <v>4016.0573938925972</v>
      </c>
      <c r="D20" s="9">
        <f>'Building Exp.'!F33</f>
        <v>4016.0573938925972</v>
      </c>
      <c r="E20" s="9">
        <f>'Building Exp.'!G33</f>
        <v>4016.0573938925972</v>
      </c>
      <c r="F20" s="9">
        <f>'Building Exp.'!H33</f>
        <v>4016.0573938925972</v>
      </c>
      <c r="G20" s="9">
        <f>'Building Exp.'!I33</f>
        <v>4016.0573938925972</v>
      </c>
      <c r="H20" s="9">
        <f>'Building Exp.'!J33</f>
        <v>4016.0573938925972</v>
      </c>
      <c r="I20" s="9">
        <f>'Building Exp.'!K33</f>
        <v>4016.0573938925972</v>
      </c>
      <c r="J20" s="9">
        <f>'Building Exp.'!L33</f>
        <v>4016.0573938925972</v>
      </c>
      <c r="K20" s="9">
        <f>'Building Exp.'!M33</f>
        <v>6595.65584628541</v>
      </c>
      <c r="L20" s="9">
        <f>'Building Exp.'!N33</f>
        <v>6595.65584628541</v>
      </c>
      <c r="M20" s="9">
        <f>'Building Exp.'!O33</f>
        <v>6595.65584628541</v>
      </c>
      <c r="N20" s="9">
        <f>'Building Exp.'!P33</f>
        <v>6595.65584628541</v>
      </c>
      <c r="O20" s="9">
        <f t="shared" si="0"/>
        <v>58511.082536282403</v>
      </c>
      <c r="P20" s="285">
        <v>91042</v>
      </c>
      <c r="Q20" s="285">
        <v>118234</v>
      </c>
      <c r="R20" s="11">
        <f t="shared" si="3"/>
        <v>-32530.917463717597</v>
      </c>
      <c r="S20" s="369">
        <f t="shared" si="1"/>
        <v>-0.50512473115785306</v>
      </c>
      <c r="U20" s="1"/>
    </row>
    <row r="21" spans="1:21" ht="15" customHeight="1">
      <c r="A21" s="7">
        <v>40180</v>
      </c>
      <c r="B21" s="1" t="s">
        <v>162</v>
      </c>
      <c r="C21" s="507">
        <f>'Food Court'!E33</f>
        <v>7051.1112582229989</v>
      </c>
      <c r="D21" s="9">
        <f>'Food Court'!F33</f>
        <v>7051.1112582229989</v>
      </c>
      <c r="E21" s="9">
        <f>'Food Court'!G33</f>
        <v>7051.1112582229989</v>
      </c>
      <c r="F21" s="9">
        <f>'Food Court'!H33</f>
        <v>7051.1112582229989</v>
      </c>
      <c r="G21" s="9">
        <f>'Food Court'!I33</f>
        <v>7051.1112582229989</v>
      </c>
      <c r="H21" s="9">
        <f>'Food Court'!J33</f>
        <v>7051.1112582229989</v>
      </c>
      <c r="I21" s="9">
        <f>'Food Court'!K33</f>
        <v>9702.6717545174452</v>
      </c>
      <c r="J21" s="9">
        <f>'Food Court'!L33</f>
        <v>9702.6717545174452</v>
      </c>
      <c r="K21" s="9">
        <f>'Food Court'!M33</f>
        <v>14082.233829627779</v>
      </c>
      <c r="L21" s="9">
        <f>'Food Court'!N33</f>
        <v>14082.233829627779</v>
      </c>
      <c r="M21" s="9">
        <f>'Food Court'!O33</f>
        <v>14082.233829627779</v>
      </c>
      <c r="N21" s="9">
        <f>'Food Court'!P33</f>
        <v>14082.233829627779</v>
      </c>
      <c r="O21" s="9">
        <f t="shared" si="0"/>
        <v>118040.94637688399</v>
      </c>
      <c r="P21" s="285">
        <v>101411</v>
      </c>
      <c r="Q21" s="285">
        <v>135136</v>
      </c>
      <c r="R21" s="11">
        <f t="shared" si="3"/>
        <v>16629.946376883992</v>
      </c>
      <c r="S21" s="369">
        <f t="shared" si="1"/>
        <v>-0.12650258719450042</v>
      </c>
      <c r="U21" s="1"/>
    </row>
    <row r="22" spans="1:21" ht="15" customHeight="1">
      <c r="A22" s="7">
        <v>40230</v>
      </c>
      <c r="B22" s="1" t="s">
        <v>163</v>
      </c>
      <c r="C22" s="507">
        <f>Ins.!F33</f>
        <v>8139.0591140353827</v>
      </c>
      <c r="D22" s="9">
        <f>Ins.!G33</f>
        <v>8139.0591140353827</v>
      </c>
      <c r="E22" s="9">
        <f>Ins.!H33</f>
        <v>8139.0591140353827</v>
      </c>
      <c r="F22" s="9">
        <f>Ins.!I33</f>
        <v>8139.0591140353827</v>
      </c>
      <c r="G22" s="9">
        <f>Ins.!J33</f>
        <v>8139.0591140353827</v>
      </c>
      <c r="H22" s="9">
        <f>Ins.!K33</f>
        <v>8139.0591140353827</v>
      </c>
      <c r="I22" s="9">
        <f>Ins.!L33</f>
        <v>10677.983797679492</v>
      </c>
      <c r="J22" s="9">
        <f>Ins.!M33</f>
        <v>10677.983797679492</v>
      </c>
      <c r="K22" s="9">
        <f>Ins.!N33</f>
        <v>14871.506167464591</v>
      </c>
      <c r="L22" s="9">
        <f>Ins.!O33</f>
        <v>14871.506167464591</v>
      </c>
      <c r="M22" s="9">
        <f>Ins.!P33</f>
        <v>14871.506167464591</v>
      </c>
      <c r="N22" s="9">
        <f>Ins.!Q33</f>
        <v>14871.506167464591</v>
      </c>
      <c r="O22" s="9">
        <f t="shared" si="0"/>
        <v>129676.34694942966</v>
      </c>
      <c r="P22" s="285">
        <v>168681</v>
      </c>
      <c r="Q22" s="285">
        <v>213510</v>
      </c>
      <c r="R22" s="11">
        <f t="shared" si="3"/>
        <v>-39004.653050570341</v>
      </c>
      <c r="S22" s="369">
        <f t="shared" si="1"/>
        <v>-0.39264508945983956</v>
      </c>
      <c r="U22" s="1"/>
    </row>
    <row r="23" spans="1:21" ht="15" customHeight="1">
      <c r="A23" s="7">
        <v>40240</v>
      </c>
      <c r="B23" s="1" t="s">
        <v>164</v>
      </c>
      <c r="C23" s="507">
        <f>'RE Tax'!E33</f>
        <v>9593.5321888832295</v>
      </c>
      <c r="D23" s="9">
        <f>'RE Tax'!F33</f>
        <v>9593.5321888832295</v>
      </c>
      <c r="E23" s="9">
        <f>'RE Tax'!G33</f>
        <v>9593.5321888832295</v>
      </c>
      <c r="F23" s="9">
        <f>'RE Tax'!H33</f>
        <v>9593.5321888832295</v>
      </c>
      <c r="G23" s="9">
        <f>'RE Tax'!I33</f>
        <v>9593.5321888832295</v>
      </c>
      <c r="H23" s="9">
        <f>'RE Tax'!J33</f>
        <v>9593.5321888832295</v>
      </c>
      <c r="I23" s="9">
        <f>'RE Tax'!K33</f>
        <v>11616.236760155116</v>
      </c>
      <c r="J23" s="9">
        <f>'RE Tax'!L33</f>
        <v>11616.236760155116</v>
      </c>
      <c r="K23" s="9">
        <f>'RE Tax'!M33</f>
        <v>14957.122341258961</v>
      </c>
      <c r="L23" s="9">
        <f>'RE Tax'!N33</f>
        <v>14957.122341258961</v>
      </c>
      <c r="M23" s="9">
        <f>'RE Tax'!O33</f>
        <v>14957.122341258961</v>
      </c>
      <c r="N23" s="9">
        <f>'RE Tax'!P33</f>
        <v>14957.122341258961</v>
      </c>
      <c r="O23" s="9">
        <f>SUM(C23:N23)</f>
        <v>140622.15601864544</v>
      </c>
      <c r="P23" s="285">
        <v>152409</v>
      </c>
      <c r="Q23" s="285">
        <v>185396</v>
      </c>
      <c r="R23" s="11">
        <f t="shared" si="3"/>
        <v>-11786.843981354556</v>
      </c>
      <c r="S23" s="369">
        <f t="shared" si="1"/>
        <v>-0.24150382953976654</v>
      </c>
      <c r="U23" s="1"/>
    </row>
    <row r="24" spans="1:21" ht="15" customHeight="1">
      <c r="A24" s="7">
        <v>40250</v>
      </c>
      <c r="B24" s="1" t="s">
        <v>165</v>
      </c>
      <c r="C24" s="396">
        <f>Rent!D37</f>
        <v>2500</v>
      </c>
      <c r="D24" s="9">
        <f>Rent!E37</f>
        <v>2500</v>
      </c>
      <c r="E24" s="9">
        <f>Rent!F37</f>
        <v>2500</v>
      </c>
      <c r="F24" s="9">
        <f>Rent!G37</f>
        <v>2500</v>
      </c>
      <c r="G24" s="9">
        <f>Rent!H37</f>
        <v>2500</v>
      </c>
      <c r="H24" s="9">
        <f>Rent!I37</f>
        <v>2500</v>
      </c>
      <c r="I24" s="9">
        <f>Rent!J37</f>
        <v>2500</v>
      </c>
      <c r="J24" s="9">
        <f>Rent!K37</f>
        <v>2500</v>
      </c>
      <c r="K24" s="9">
        <f>Rent!L37</f>
        <v>2500</v>
      </c>
      <c r="L24" s="9">
        <f>Rent!M37</f>
        <v>2500</v>
      </c>
      <c r="M24" s="9">
        <f>Rent!N37</f>
        <v>2500</v>
      </c>
      <c r="N24" s="9">
        <f>Rent!O37</f>
        <v>2500</v>
      </c>
      <c r="O24" s="9">
        <f>SUM(C24:N24)</f>
        <v>30000</v>
      </c>
      <c r="P24" s="285">
        <v>500</v>
      </c>
      <c r="Q24" s="285"/>
      <c r="R24" s="11">
        <f t="shared" si="3"/>
        <v>29500</v>
      </c>
      <c r="S24" s="369" t="e">
        <f t="shared" si="1"/>
        <v>#DIV/0!</v>
      </c>
      <c r="T24" s="388" t="s">
        <v>166</v>
      </c>
      <c r="U24" s="1"/>
    </row>
    <row r="25" spans="1:21" ht="15" customHeight="1">
      <c r="A25" s="7">
        <v>40600</v>
      </c>
      <c r="B25" s="1" t="s">
        <v>167</v>
      </c>
      <c r="C25" s="396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f t="shared" si="0"/>
        <v>0</v>
      </c>
      <c r="P25" s="285"/>
      <c r="Q25" s="285"/>
      <c r="R25" s="11">
        <f t="shared" si="3"/>
        <v>0</v>
      </c>
      <c r="S25" s="369" t="e">
        <f t="shared" si="1"/>
        <v>#DIV/0!</v>
      </c>
      <c r="U25" s="1"/>
    </row>
    <row r="26" spans="1:21" ht="15" customHeight="1">
      <c r="A26" s="7">
        <v>40300</v>
      </c>
      <c r="B26" s="1" t="s">
        <v>168</v>
      </c>
      <c r="C26" s="507">
        <f>Marketing!E33</f>
        <v>2755.67</v>
      </c>
      <c r="D26" s="9">
        <f>Marketing!F33</f>
        <v>2755.67</v>
      </c>
      <c r="E26" s="9">
        <f>Marketing!G33</f>
        <v>2755.67</v>
      </c>
      <c r="F26" s="9">
        <f>Marketing!H33</f>
        <v>2755.67</v>
      </c>
      <c r="G26" s="9">
        <f>Marketing!I33</f>
        <v>2755.67</v>
      </c>
      <c r="H26" s="9">
        <f>Marketing!J33</f>
        <v>2755.67</v>
      </c>
      <c r="I26" s="9">
        <f>Marketing!K33</f>
        <v>3055.67</v>
      </c>
      <c r="J26" s="9">
        <f>Marketing!L33</f>
        <v>3055.67</v>
      </c>
      <c r="K26" s="9">
        <f>Marketing!M33</f>
        <v>3055.67</v>
      </c>
      <c r="L26" s="9">
        <f>Marketing!N33</f>
        <v>3055.67</v>
      </c>
      <c r="M26" s="9">
        <f>Marketing!O33</f>
        <v>3055.67</v>
      </c>
      <c r="N26" s="9">
        <f>Marketing!P33</f>
        <v>3055.67</v>
      </c>
      <c r="O26" s="9">
        <f>SUM(C26:N26)</f>
        <v>34868.039999999994</v>
      </c>
      <c r="P26" s="285">
        <v>48514</v>
      </c>
      <c r="Q26" s="285">
        <v>36672</v>
      </c>
      <c r="R26" s="11">
        <f t="shared" si="3"/>
        <v>-13645.960000000006</v>
      </c>
      <c r="S26" s="369">
        <f t="shared" si="1"/>
        <v>-4.9191753926701748E-2</v>
      </c>
      <c r="T26" s="470" t="s">
        <v>169</v>
      </c>
      <c r="U26" s="1"/>
    </row>
    <row r="27" spans="1:21" ht="15" customHeight="1">
      <c r="A27" s="7">
        <v>41100</v>
      </c>
      <c r="B27" s="1" t="s">
        <v>170</v>
      </c>
      <c r="C27" s="507">
        <f>'Excise Tax'!E35+'Rent Recovery'!E45+'CAM Recovery'!E45</f>
        <v>14047.695540020357</v>
      </c>
      <c r="D27" s="9">
        <f>'Excise Tax'!F35+'Rent Recovery'!F45+'CAM Recovery'!F45</f>
        <v>14047.695540020357</v>
      </c>
      <c r="E27" s="9">
        <f>'Excise Tax'!G35+'Rent Recovery'!G45+'CAM Recovery'!G45</f>
        <v>14047.695540020357</v>
      </c>
      <c r="F27" s="9">
        <f>'Excise Tax'!H35+'Rent Recovery'!H45+'CAM Recovery'!H45</f>
        <v>14047.695540020357</v>
      </c>
      <c r="G27" s="9">
        <f>'Excise Tax'!I35+'Rent Recovery'!I45+'CAM Recovery'!I45</f>
        <v>14047.695540020357</v>
      </c>
      <c r="H27" s="9">
        <f>'Excise Tax'!J35+'Rent Recovery'!J45+'CAM Recovery'!J45</f>
        <v>14047.695540020357</v>
      </c>
      <c r="I27" s="9">
        <f>'Excise Tax'!K35+'Rent Recovery'!K45+'CAM Recovery'!K45</f>
        <v>14707.953976364133</v>
      </c>
      <c r="J27" s="9">
        <f>'Excise Tax'!L35+'Rent Recovery'!L45+'CAM Recovery'!L45</f>
        <v>14919.903976364134</v>
      </c>
      <c r="K27" s="9">
        <f>'Excise Tax'!M35+'Rent Recovery'!M45+'CAM Recovery'!M45</f>
        <v>15061.203976364133</v>
      </c>
      <c r="L27" s="9">
        <f>'Excise Tax'!N35+'Rent Recovery'!N45+'CAM Recovery'!N45</f>
        <v>15061.203976364133</v>
      </c>
      <c r="M27" s="9">
        <f>'Excise Tax'!O35+'Rent Recovery'!O45+'CAM Recovery'!O45</f>
        <v>15061.203976364133</v>
      </c>
      <c r="N27" s="9">
        <f>'Excise Tax'!P35+'Rent Recovery'!P45+'CAM Recovery'!P45</f>
        <v>15061.203976364133</v>
      </c>
      <c r="O27" s="9">
        <f>SUM(C$27:N$27)</f>
        <v>174158.84709830696</v>
      </c>
      <c r="P27" s="285">
        <v>184054</v>
      </c>
      <c r="Q27" s="285">
        <v>197272</v>
      </c>
      <c r="R27" s="11">
        <f t="shared" si="3"/>
        <v>-9895.1529016930435</v>
      </c>
      <c r="S27" s="370">
        <f>(O27-Q27)/Q27</f>
        <v>-0.11716387982933738</v>
      </c>
      <c r="T27" s="388" t="s">
        <v>171</v>
      </c>
      <c r="U27" s="1"/>
    </row>
    <row r="28" spans="1:21" ht="18" customHeight="1">
      <c r="A28" s="7"/>
      <c r="B28" s="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>
        <f>SUM(C$28:N$28)</f>
        <v>0</v>
      </c>
      <c r="P28" s="285"/>
      <c r="Q28" s="285"/>
      <c r="R28" s="11">
        <f t="shared" ref="R28" si="4">+O28-P28</f>
        <v>0</v>
      </c>
      <c r="S28" s="370"/>
      <c r="U28" s="1"/>
    </row>
    <row r="29" spans="1:21" ht="18" customHeight="1">
      <c r="A29" s="7"/>
      <c r="B29" s="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285"/>
      <c r="Q29" s="285"/>
      <c r="R29" s="11"/>
      <c r="S29" s="370"/>
      <c r="U29" s="1"/>
    </row>
    <row r="30" spans="1:21" ht="13.15" customHeight="1">
      <c r="A30" s="1"/>
      <c r="B30" s="197" t="s">
        <v>172</v>
      </c>
      <c r="C30" s="198">
        <f t="shared" ref="C30:R30" si="5">SUM(C13:C28)</f>
        <v>313323.57145133044</v>
      </c>
      <c r="D30" s="198">
        <f t="shared" si="5"/>
        <v>313323.57145133044</v>
      </c>
      <c r="E30" s="198">
        <f t="shared" si="5"/>
        <v>313626.08145133045</v>
      </c>
      <c r="F30" s="198">
        <f t="shared" si="5"/>
        <v>313692.29145133047</v>
      </c>
      <c r="G30" s="198">
        <f t="shared" si="5"/>
        <v>313692.29145133047</v>
      </c>
      <c r="H30" s="198">
        <f t="shared" si="5"/>
        <v>313850.08145133045</v>
      </c>
      <c r="I30" s="198">
        <f t="shared" si="5"/>
        <v>341806.38570142153</v>
      </c>
      <c r="J30" s="198">
        <f t="shared" si="5"/>
        <v>346518.33570142154</v>
      </c>
      <c r="K30" s="198">
        <f t="shared" si="5"/>
        <v>396695.11741363356</v>
      </c>
      <c r="L30" s="198">
        <f t="shared" si="5"/>
        <v>396695.11741363356</v>
      </c>
      <c r="M30" s="198">
        <f t="shared" si="5"/>
        <v>397653.24741363357</v>
      </c>
      <c r="N30" s="198">
        <f t="shared" si="5"/>
        <v>417153.24741363357</v>
      </c>
      <c r="O30" s="198">
        <f t="shared" si="5"/>
        <v>4178029.3397653601</v>
      </c>
      <c r="P30" s="282">
        <f t="shared" si="5"/>
        <v>4237734</v>
      </c>
      <c r="Q30" s="282">
        <f t="shared" si="5"/>
        <v>4877352</v>
      </c>
      <c r="R30" s="283">
        <f t="shared" si="5"/>
        <v>-59704.740234640005</v>
      </c>
      <c r="S30" s="370">
        <f t="shared" ref="S30:S94" si="6">(O30-Q30)/Q30</f>
        <v>-0.14338162597955609</v>
      </c>
      <c r="U30" s="1"/>
    </row>
    <row r="31" spans="1:21" ht="12.75" customHeight="1">
      <c r="A31" s="1"/>
      <c r="B31" s="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1"/>
      <c r="Q31" s="11"/>
      <c r="R31" s="11"/>
      <c r="S31" s="370"/>
      <c r="U31" s="1"/>
    </row>
    <row r="32" spans="1:21" ht="21" customHeight="1">
      <c r="A32" s="1"/>
      <c r="B32" s="4" t="s">
        <v>173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1"/>
      <c r="Q32" s="11"/>
      <c r="R32" s="11"/>
      <c r="S32" s="370"/>
      <c r="U32" s="1"/>
    </row>
    <row r="33" spans="1:21" ht="15" customHeight="1">
      <c r="A33" s="398">
        <v>50160</v>
      </c>
      <c r="B33" s="442" t="s">
        <v>174</v>
      </c>
      <c r="C33" s="9"/>
      <c r="D33" s="441">
        <f>(6835.6*3%)+6835.6</f>
        <v>7040.6680000000006</v>
      </c>
      <c r="E33" s="441">
        <f>(8654.458*3%)+8654</f>
        <v>8913.6337399999993</v>
      </c>
      <c r="F33" s="9">
        <v>0</v>
      </c>
      <c r="G33" s="9">
        <f>(10000*3%)+10000</f>
        <v>10300</v>
      </c>
      <c r="H33" s="9">
        <v>0</v>
      </c>
      <c r="I33" s="9">
        <v>0</v>
      </c>
      <c r="J33" s="9">
        <v>0</v>
      </c>
      <c r="K33" s="9"/>
      <c r="L33" s="9">
        <v>0</v>
      </c>
      <c r="M33" s="9">
        <v>0</v>
      </c>
      <c r="N33" s="9"/>
      <c r="O33" s="9">
        <f>SUM(C33:N33)</f>
        <v>26254.301739999999</v>
      </c>
      <c r="P33" s="478">
        <v>12542</v>
      </c>
      <c r="Q33" s="285">
        <v>26255</v>
      </c>
      <c r="R33" s="11">
        <f>+O33-P33</f>
        <v>13712.301739999999</v>
      </c>
      <c r="S33" s="370">
        <f t="shared" si="6"/>
        <v>-2.6595315178100475E-5</v>
      </c>
      <c r="U33" s="1"/>
    </row>
    <row r="34" spans="1:21" ht="15" customHeight="1">
      <c r="A34" s="398">
        <v>50190</v>
      </c>
      <c r="B34" s="466" t="s">
        <v>175</v>
      </c>
      <c r="C34" s="407">
        <v>250</v>
      </c>
      <c r="D34" s="407"/>
      <c r="E34" s="407"/>
      <c r="F34" s="407">
        <v>250</v>
      </c>
      <c r="G34" s="407"/>
      <c r="H34" s="407"/>
      <c r="I34" s="407">
        <v>250</v>
      </c>
      <c r="J34" s="407"/>
      <c r="K34" s="407"/>
      <c r="L34" s="407">
        <v>250</v>
      </c>
      <c r="M34" s="407"/>
      <c r="N34" s="407"/>
      <c r="O34" s="9">
        <f t="shared" ref="O34:O77" si="7">SUM(C34:N34)</f>
        <v>1000</v>
      </c>
      <c r="P34" s="478">
        <v>2472</v>
      </c>
      <c r="Q34" s="285">
        <v>8748</v>
      </c>
      <c r="R34" s="11">
        <f t="shared" ref="R34:R78" si="8">+O34-P34</f>
        <v>-1472</v>
      </c>
      <c r="S34" s="370">
        <f t="shared" si="6"/>
        <v>-0.88568815729309558</v>
      </c>
      <c r="T34" s="469" t="s">
        <v>176</v>
      </c>
      <c r="U34" s="1"/>
    </row>
    <row r="35" spans="1:21" ht="15" customHeight="1">
      <c r="A35" s="398">
        <v>50170</v>
      </c>
      <c r="B35" s="442" t="s">
        <v>177</v>
      </c>
      <c r="C35" s="407">
        <f>(7506.4*1.03)+300</f>
        <v>8031.5919999999996</v>
      </c>
      <c r="D35" s="407">
        <f>C35</f>
        <v>8031.5919999999996</v>
      </c>
      <c r="E35" s="407">
        <f t="shared" ref="E35:N35" si="9">D35</f>
        <v>8031.5919999999996</v>
      </c>
      <c r="F35" s="407">
        <f t="shared" si="9"/>
        <v>8031.5919999999996</v>
      </c>
      <c r="G35" s="407">
        <f t="shared" si="9"/>
        <v>8031.5919999999996</v>
      </c>
      <c r="H35" s="407">
        <f t="shared" si="9"/>
        <v>8031.5919999999996</v>
      </c>
      <c r="I35" s="407">
        <f t="shared" si="9"/>
        <v>8031.5919999999996</v>
      </c>
      <c r="J35" s="407">
        <f t="shared" si="9"/>
        <v>8031.5919999999996</v>
      </c>
      <c r="K35" s="407">
        <f t="shared" si="9"/>
        <v>8031.5919999999996</v>
      </c>
      <c r="L35" s="407">
        <f t="shared" si="9"/>
        <v>8031.5919999999996</v>
      </c>
      <c r="M35" s="407">
        <f t="shared" si="9"/>
        <v>8031.5919999999996</v>
      </c>
      <c r="N35" s="407">
        <f t="shared" si="9"/>
        <v>8031.5919999999996</v>
      </c>
      <c r="O35" s="9">
        <f t="shared" si="7"/>
        <v>96379.104000000007</v>
      </c>
      <c r="P35" s="478">
        <v>91884</v>
      </c>
      <c r="Q35" s="285">
        <v>92784</v>
      </c>
      <c r="R35" s="11">
        <f t="shared" si="8"/>
        <v>4495.1040000000066</v>
      </c>
      <c r="S35" s="370">
        <f t="shared" si="6"/>
        <v>3.8747025349198209E-2</v>
      </c>
      <c r="T35" s="393" t="s">
        <v>178</v>
      </c>
      <c r="U35" s="455" t="s">
        <v>179</v>
      </c>
    </row>
    <row r="36" spans="1:21" ht="15" customHeight="1">
      <c r="A36" s="398">
        <v>50510</v>
      </c>
      <c r="B36" s="466" t="s">
        <v>180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f t="shared" si="7"/>
        <v>0</v>
      </c>
      <c r="P36" s="285"/>
      <c r="Q36" s="285"/>
      <c r="R36" s="11">
        <f t="shared" si="8"/>
        <v>0</v>
      </c>
      <c r="S36" s="370" t="e">
        <f t="shared" si="6"/>
        <v>#DIV/0!</v>
      </c>
      <c r="U36" s="1"/>
    </row>
    <row r="37" spans="1:21" ht="15" customHeight="1">
      <c r="A37" s="398">
        <v>50520</v>
      </c>
      <c r="B37" s="466" t="s">
        <v>181</v>
      </c>
      <c r="C37" s="9">
        <v>0</v>
      </c>
      <c r="D37" s="9">
        <v>500</v>
      </c>
      <c r="E37" s="9">
        <v>0</v>
      </c>
      <c r="F37" s="9">
        <v>0</v>
      </c>
      <c r="G37" s="9">
        <v>500</v>
      </c>
      <c r="H37" s="9">
        <v>0</v>
      </c>
      <c r="I37" s="9">
        <v>0</v>
      </c>
      <c r="J37" s="9">
        <v>500</v>
      </c>
      <c r="K37" s="9">
        <v>0</v>
      </c>
      <c r="L37" s="9">
        <v>0</v>
      </c>
      <c r="M37" s="9">
        <v>500</v>
      </c>
      <c r="N37" s="1"/>
      <c r="O37" s="9">
        <f t="shared" si="7"/>
        <v>2000</v>
      </c>
      <c r="P37" s="478">
        <v>626</v>
      </c>
      <c r="Q37" s="478">
        <v>2000</v>
      </c>
      <c r="R37" s="11">
        <f t="shared" si="8"/>
        <v>1374</v>
      </c>
      <c r="S37" s="370">
        <f t="shared" si="6"/>
        <v>0</v>
      </c>
      <c r="T37" s="469" t="s">
        <v>182</v>
      </c>
      <c r="U37" s="1"/>
    </row>
    <row r="38" spans="1:21" ht="15" customHeight="1">
      <c r="A38" s="398">
        <v>50520</v>
      </c>
      <c r="B38" s="238" t="s">
        <v>183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/>
      <c r="O38" s="9">
        <f t="shared" ref="O38" si="10">SUM(C38:N38)</f>
        <v>0</v>
      </c>
      <c r="P38" s="285"/>
      <c r="Q38" s="285"/>
      <c r="R38" s="11">
        <f t="shared" ref="R38" si="11">+O38-P38</f>
        <v>0</v>
      </c>
      <c r="S38" s="370" t="e">
        <f t="shared" ref="S38" si="12">(O38-Q38)/Q38</f>
        <v>#DIV/0!</v>
      </c>
      <c r="T38" s="388" t="s">
        <v>184</v>
      </c>
      <c r="U38" s="1"/>
    </row>
    <row r="39" spans="1:21" ht="15" customHeight="1">
      <c r="A39" s="398">
        <v>50530</v>
      </c>
      <c r="B39" s="466" t="s">
        <v>185</v>
      </c>
      <c r="C39" s="9">
        <v>0</v>
      </c>
      <c r="D39" s="9">
        <v>0</v>
      </c>
      <c r="E39" s="9">
        <v>500</v>
      </c>
      <c r="F39" s="9">
        <v>0</v>
      </c>
      <c r="G39" s="9">
        <v>0</v>
      </c>
      <c r="H39" s="9">
        <v>500</v>
      </c>
      <c r="I39" s="9">
        <v>4000</v>
      </c>
      <c r="J39" s="9">
        <v>0</v>
      </c>
      <c r="K39" s="9">
        <v>500</v>
      </c>
      <c r="L39" s="9">
        <v>0</v>
      </c>
      <c r="M39" s="9">
        <v>0</v>
      </c>
      <c r="N39" s="9">
        <v>500</v>
      </c>
      <c r="O39" s="9">
        <f t="shared" si="7"/>
        <v>6000</v>
      </c>
      <c r="P39" s="478">
        <v>11998</v>
      </c>
      <c r="Q39" s="285">
        <v>0</v>
      </c>
      <c r="R39" s="11">
        <f t="shared" si="8"/>
        <v>-5998</v>
      </c>
      <c r="S39" s="370" t="e">
        <f>(O39-Q39)/Q39</f>
        <v>#DIV/0!</v>
      </c>
      <c r="T39" s="486" t="s">
        <v>186</v>
      </c>
      <c r="U39" s="1"/>
    </row>
    <row r="40" spans="1:21" ht="15" customHeight="1">
      <c r="A40" s="398">
        <v>50540</v>
      </c>
      <c r="B40" s="466" t="s">
        <v>187</v>
      </c>
      <c r="C40" s="9">
        <v>0</v>
      </c>
      <c r="D40" s="9">
        <v>750</v>
      </c>
      <c r="E40" s="9">
        <v>0</v>
      </c>
      <c r="F40" s="9">
        <v>0</v>
      </c>
      <c r="G40" s="9">
        <v>28000</v>
      </c>
      <c r="H40" s="9">
        <v>0</v>
      </c>
      <c r="I40" s="9">
        <v>0</v>
      </c>
      <c r="J40" s="9">
        <v>750</v>
      </c>
      <c r="K40" s="9">
        <v>0</v>
      </c>
      <c r="L40" s="9">
        <v>0</v>
      </c>
      <c r="M40" s="9">
        <v>750</v>
      </c>
      <c r="N40" s="9">
        <v>0</v>
      </c>
      <c r="O40" s="9">
        <f>SUM(C40:N40)</f>
        <v>30250</v>
      </c>
      <c r="P40" s="478">
        <v>4803</v>
      </c>
      <c r="Q40" s="478">
        <v>3000</v>
      </c>
      <c r="R40" s="11">
        <f t="shared" si="8"/>
        <v>25447</v>
      </c>
      <c r="S40" s="370">
        <f>(O40-Q40)/Q40</f>
        <v>9.0833333333333339</v>
      </c>
      <c r="T40" s="388" t="s">
        <v>188</v>
      </c>
      <c r="U40" s="1"/>
    </row>
    <row r="41" spans="1:21" ht="15.75" customHeight="1">
      <c r="A41" s="7">
        <v>50560</v>
      </c>
      <c r="B41" s="466" t="s">
        <v>189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f t="shared" si="7"/>
        <v>0</v>
      </c>
      <c r="P41" s="285"/>
      <c r="Q41" s="285"/>
      <c r="R41" s="11">
        <f t="shared" si="8"/>
        <v>0</v>
      </c>
      <c r="S41" s="370" t="e">
        <f t="shared" si="6"/>
        <v>#DIV/0!</v>
      </c>
      <c r="U41" s="1"/>
    </row>
    <row r="42" spans="1:21" ht="15" customHeight="1">
      <c r="A42" s="7">
        <v>50570</v>
      </c>
      <c r="B42" s="466" t="s">
        <v>190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f t="shared" si="7"/>
        <v>0</v>
      </c>
      <c r="P42" s="285"/>
      <c r="Q42" s="285"/>
      <c r="R42" s="11">
        <f t="shared" si="8"/>
        <v>0</v>
      </c>
      <c r="S42" s="370" t="e">
        <f t="shared" si="6"/>
        <v>#DIV/0!</v>
      </c>
      <c r="U42" s="1"/>
    </row>
    <row r="43" spans="1:21" ht="15" customHeight="1">
      <c r="A43" s="7">
        <v>50550</v>
      </c>
      <c r="B43" s="466" t="s">
        <v>191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f t="shared" si="7"/>
        <v>0</v>
      </c>
      <c r="P43" s="285"/>
      <c r="Q43" s="285"/>
      <c r="R43" s="11">
        <f t="shared" si="8"/>
        <v>0</v>
      </c>
      <c r="S43" s="370" t="e">
        <f t="shared" si="6"/>
        <v>#DIV/0!</v>
      </c>
      <c r="U43" s="1"/>
    </row>
    <row r="44" spans="1:21" ht="15" customHeight="1">
      <c r="A44" s="7">
        <v>50551</v>
      </c>
      <c r="B44" s="466" t="s">
        <v>192</v>
      </c>
      <c r="C44" s="407">
        <v>200</v>
      </c>
      <c r="D44" s="9">
        <v>0</v>
      </c>
      <c r="E44" s="9">
        <v>0</v>
      </c>
      <c r="F44" s="9">
        <v>200</v>
      </c>
      <c r="G44" s="9">
        <v>0</v>
      </c>
      <c r="H44" s="9">
        <v>0</v>
      </c>
      <c r="I44" s="9">
        <v>200</v>
      </c>
      <c r="J44" s="9">
        <v>0</v>
      </c>
      <c r="K44" s="9">
        <v>0</v>
      </c>
      <c r="L44" s="9">
        <v>200</v>
      </c>
      <c r="M44" s="9">
        <v>0</v>
      </c>
      <c r="N44" s="9">
        <v>0</v>
      </c>
      <c r="O44" s="9">
        <f t="shared" si="7"/>
        <v>800</v>
      </c>
      <c r="P44" s="478">
        <v>614</v>
      </c>
      <c r="Q44" s="478">
        <v>800</v>
      </c>
      <c r="R44" s="11">
        <f t="shared" si="8"/>
        <v>186</v>
      </c>
      <c r="S44" s="370">
        <f t="shared" si="6"/>
        <v>0</v>
      </c>
      <c r="T44" s="469" t="s">
        <v>193</v>
      </c>
      <c r="U44" s="1"/>
    </row>
    <row r="45" spans="1:21" ht="15" customHeight="1">
      <c r="A45" s="7">
        <v>51010</v>
      </c>
      <c r="B45" s="466" t="s">
        <v>194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f t="shared" si="7"/>
        <v>0</v>
      </c>
      <c r="P45" s="478"/>
      <c r="Q45" s="478"/>
      <c r="R45" s="11">
        <f t="shared" si="8"/>
        <v>0</v>
      </c>
      <c r="S45" s="370" t="e">
        <f t="shared" si="6"/>
        <v>#DIV/0!</v>
      </c>
      <c r="U45" s="1"/>
    </row>
    <row r="46" spans="1:21" s="270" customFormat="1" ht="15" customHeight="1">
      <c r="A46" s="7">
        <v>51020</v>
      </c>
      <c r="B46" s="466" t="s">
        <v>195</v>
      </c>
      <c r="C46" s="407">
        <v>1300</v>
      </c>
      <c r="D46" s="9">
        <f>C46</f>
        <v>1300</v>
      </c>
      <c r="E46" s="9">
        <f t="shared" ref="E46:N46" si="13">D46</f>
        <v>1300</v>
      </c>
      <c r="F46" s="9">
        <f t="shared" si="13"/>
        <v>1300</v>
      </c>
      <c r="G46" s="9">
        <f t="shared" si="13"/>
        <v>1300</v>
      </c>
      <c r="H46" s="9">
        <f t="shared" si="13"/>
        <v>1300</v>
      </c>
      <c r="I46" s="9">
        <f t="shared" si="13"/>
        <v>1300</v>
      </c>
      <c r="J46" s="9">
        <f t="shared" si="13"/>
        <v>1300</v>
      </c>
      <c r="K46" s="9">
        <f t="shared" si="13"/>
        <v>1300</v>
      </c>
      <c r="L46" s="9">
        <f t="shared" si="13"/>
        <v>1300</v>
      </c>
      <c r="M46" s="9">
        <f t="shared" si="13"/>
        <v>1300</v>
      </c>
      <c r="N46" s="9">
        <f t="shared" si="13"/>
        <v>1300</v>
      </c>
      <c r="O46" s="9">
        <f t="shared" si="7"/>
        <v>15600</v>
      </c>
      <c r="P46" s="478">
        <v>37169</v>
      </c>
      <c r="Q46" s="478">
        <v>36000</v>
      </c>
      <c r="R46" s="11">
        <f t="shared" si="8"/>
        <v>-21569</v>
      </c>
      <c r="S46" s="370">
        <f t="shared" si="6"/>
        <v>-0.56666666666666665</v>
      </c>
      <c r="T46" s="468" t="s">
        <v>196</v>
      </c>
      <c r="U46" s="20"/>
    </row>
    <row r="47" spans="1:21" ht="15.75" customHeight="1">
      <c r="A47" s="7">
        <v>51023</v>
      </c>
      <c r="B47" s="363" t="s">
        <v>197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f t="shared" si="7"/>
        <v>0</v>
      </c>
      <c r="P47" s="478">
        <v>1865</v>
      </c>
      <c r="Q47" s="285"/>
      <c r="R47" s="11">
        <f t="shared" si="8"/>
        <v>-1865</v>
      </c>
      <c r="S47" s="370" t="e">
        <f t="shared" si="6"/>
        <v>#DIV/0!</v>
      </c>
      <c r="U47" s="1"/>
    </row>
    <row r="48" spans="1:21" ht="18.75" customHeight="1">
      <c r="A48" s="7">
        <v>51030</v>
      </c>
      <c r="B48" s="466" t="s">
        <v>198</v>
      </c>
      <c r="C48" s="9">
        <v>0</v>
      </c>
      <c r="D48" s="9">
        <v>0</v>
      </c>
      <c r="E48" s="9">
        <v>0</v>
      </c>
      <c r="F48" s="1">
        <v>0</v>
      </c>
      <c r="G48" s="1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f t="shared" si="7"/>
        <v>0</v>
      </c>
      <c r="P48" s="478">
        <v>2082</v>
      </c>
      <c r="Q48" s="478">
        <v>8500</v>
      </c>
      <c r="R48" s="11">
        <f t="shared" si="8"/>
        <v>-2082</v>
      </c>
      <c r="S48" s="370">
        <f t="shared" si="6"/>
        <v>-1</v>
      </c>
      <c r="T48" s="469" t="s">
        <v>199</v>
      </c>
      <c r="U48" s="1"/>
    </row>
    <row r="49" spans="1:21" ht="15" customHeight="1">
      <c r="A49" s="7">
        <v>51040</v>
      </c>
      <c r="B49" s="442" t="s">
        <v>200</v>
      </c>
      <c r="C49" s="9">
        <f>10872.62*1.03</f>
        <v>11198.798600000002</v>
      </c>
      <c r="D49" s="9">
        <f>C49</f>
        <v>11198.798600000002</v>
      </c>
      <c r="E49" s="9">
        <f t="shared" ref="E49:N49" si="14">D49</f>
        <v>11198.798600000002</v>
      </c>
      <c r="F49" s="9">
        <f t="shared" si="14"/>
        <v>11198.798600000002</v>
      </c>
      <c r="G49" s="9">
        <f t="shared" si="14"/>
        <v>11198.798600000002</v>
      </c>
      <c r="H49" s="9">
        <f t="shared" si="14"/>
        <v>11198.798600000002</v>
      </c>
      <c r="I49" s="9">
        <f t="shared" si="14"/>
        <v>11198.798600000002</v>
      </c>
      <c r="J49" s="9">
        <f t="shared" si="14"/>
        <v>11198.798600000002</v>
      </c>
      <c r="K49" s="9">
        <f t="shared" si="14"/>
        <v>11198.798600000002</v>
      </c>
      <c r="L49" s="9">
        <f t="shared" si="14"/>
        <v>11198.798600000002</v>
      </c>
      <c r="M49" s="9">
        <f t="shared" si="14"/>
        <v>11198.798600000002</v>
      </c>
      <c r="N49" s="9">
        <f t="shared" si="14"/>
        <v>11198.798600000002</v>
      </c>
      <c r="O49" s="9">
        <f t="shared" si="7"/>
        <v>134385.58320000005</v>
      </c>
      <c r="P49" s="478">
        <v>130752</v>
      </c>
      <c r="Q49" s="478">
        <v>134388</v>
      </c>
      <c r="R49" s="11">
        <f t="shared" si="8"/>
        <v>3633.5832000000519</v>
      </c>
      <c r="S49" s="370">
        <f t="shared" si="6"/>
        <v>-1.7983748548591581E-5</v>
      </c>
      <c r="T49" s="388" t="s">
        <v>201</v>
      </c>
      <c r="U49" s="1"/>
    </row>
    <row r="50" spans="1:21" ht="15" customHeight="1">
      <c r="A50" s="21" t="s">
        <v>202</v>
      </c>
      <c r="B50" s="479" t="s">
        <v>203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f t="shared" si="7"/>
        <v>0</v>
      </c>
      <c r="P50" s="478"/>
      <c r="Q50" s="478"/>
      <c r="R50" s="11">
        <f t="shared" si="8"/>
        <v>0</v>
      </c>
      <c r="S50" s="370" t="e">
        <f t="shared" si="6"/>
        <v>#DIV/0!</v>
      </c>
      <c r="U50" s="1"/>
    </row>
    <row r="51" spans="1:21" ht="15" customHeight="1">
      <c r="A51" s="7">
        <v>51050</v>
      </c>
      <c r="B51" s="466" t="s">
        <v>204</v>
      </c>
      <c r="C51" s="9">
        <v>295</v>
      </c>
      <c r="D51" s="9">
        <v>295</v>
      </c>
      <c r="E51" s="9">
        <f>295+500+1500</f>
        <v>2295</v>
      </c>
      <c r="F51" s="9">
        <f>D51</f>
        <v>295</v>
      </c>
      <c r="G51" s="9">
        <f>F51</f>
        <v>295</v>
      </c>
      <c r="H51" s="9">
        <f>E51</f>
        <v>2295</v>
      </c>
      <c r="I51" s="9">
        <f>G51</f>
        <v>295</v>
      </c>
      <c r="J51" s="9">
        <f>I51</f>
        <v>295</v>
      </c>
      <c r="K51" s="9">
        <f>H51</f>
        <v>2295</v>
      </c>
      <c r="L51" s="9">
        <f>J51</f>
        <v>295</v>
      </c>
      <c r="M51" s="9">
        <f>L51</f>
        <v>295</v>
      </c>
      <c r="N51" s="9">
        <f>K51</f>
        <v>2295</v>
      </c>
      <c r="O51" s="9">
        <f t="shared" si="7"/>
        <v>11540</v>
      </c>
      <c r="P51" s="478">
        <v>10636</v>
      </c>
      <c r="Q51" s="478">
        <v>5576</v>
      </c>
      <c r="R51" s="11">
        <f t="shared" si="8"/>
        <v>904</v>
      </c>
      <c r="S51" s="370">
        <f t="shared" si="6"/>
        <v>1.069583931133429</v>
      </c>
      <c r="T51" s="469" t="s">
        <v>205</v>
      </c>
      <c r="U51" s="1"/>
    </row>
    <row r="52" spans="1:21" ht="15" customHeight="1">
      <c r="A52" s="7">
        <v>51055</v>
      </c>
      <c r="B52" s="466" t="s">
        <v>206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f t="shared" si="7"/>
        <v>0</v>
      </c>
      <c r="P52" s="285"/>
      <c r="Q52" s="285"/>
      <c r="R52" s="11">
        <f t="shared" si="8"/>
        <v>0</v>
      </c>
      <c r="S52" s="370" t="e">
        <f t="shared" si="6"/>
        <v>#DIV/0!</v>
      </c>
      <c r="U52" s="1"/>
    </row>
    <row r="53" spans="1:21" ht="15" customHeight="1">
      <c r="A53" s="7">
        <v>51074</v>
      </c>
      <c r="B53" s="466" t="s">
        <v>207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f t="shared" si="7"/>
        <v>0</v>
      </c>
      <c r="P53" s="285"/>
      <c r="Q53" s="285"/>
      <c r="R53" s="11">
        <f t="shared" si="8"/>
        <v>0</v>
      </c>
      <c r="S53" s="370" t="e">
        <f t="shared" si="6"/>
        <v>#DIV/0!</v>
      </c>
      <c r="U53" s="1"/>
    </row>
    <row r="54" spans="1:21" ht="15" customHeight="1">
      <c r="A54" s="7">
        <v>51075</v>
      </c>
      <c r="B54" s="466" t="s">
        <v>208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f t="shared" si="7"/>
        <v>0</v>
      </c>
      <c r="P54" s="285"/>
      <c r="Q54" s="285"/>
      <c r="R54" s="11">
        <f t="shared" si="8"/>
        <v>0</v>
      </c>
      <c r="S54" s="370" t="e">
        <f t="shared" si="6"/>
        <v>#DIV/0!</v>
      </c>
      <c r="U54" s="1"/>
    </row>
    <row r="55" spans="1:21" ht="15" customHeight="1">
      <c r="A55" s="7">
        <v>51080</v>
      </c>
      <c r="B55" s="467" t="s">
        <v>209</v>
      </c>
      <c r="C55" s="253">
        <v>12457</v>
      </c>
      <c r="D55" s="253">
        <v>12517</v>
      </c>
      <c r="E55" s="253">
        <v>1229</v>
      </c>
      <c r="F55" s="253">
        <v>12531</v>
      </c>
      <c r="G55" s="253">
        <v>12531</v>
      </c>
      <c r="H55" s="253">
        <v>12537</v>
      </c>
      <c r="I55" s="253">
        <v>13658</v>
      </c>
      <c r="J55" s="253">
        <v>13658</v>
      </c>
      <c r="K55" s="253">
        <v>15657</v>
      </c>
      <c r="L55" s="253">
        <v>15657</v>
      </c>
      <c r="M55" s="253">
        <v>15695</v>
      </c>
      <c r="N55" s="253">
        <v>16475</v>
      </c>
      <c r="O55" s="253">
        <f t="shared" si="7"/>
        <v>154602</v>
      </c>
      <c r="P55" s="478">
        <v>173817</v>
      </c>
      <c r="Q55" s="478">
        <v>211469</v>
      </c>
      <c r="R55" s="11">
        <f t="shared" si="8"/>
        <v>-19215</v>
      </c>
      <c r="S55" s="370">
        <f t="shared" si="6"/>
        <v>-0.26891411980006524</v>
      </c>
      <c r="T55" s="470" t="s">
        <v>210</v>
      </c>
      <c r="U55" s="1"/>
    </row>
    <row r="56" spans="1:21" ht="15" customHeight="1">
      <c r="A56" s="7">
        <v>51100</v>
      </c>
      <c r="B56" s="466" t="s">
        <v>211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/>
      <c r="K56" s="9">
        <v>0</v>
      </c>
      <c r="L56" s="9">
        <v>0</v>
      </c>
      <c r="M56" s="9">
        <v>0</v>
      </c>
      <c r="N56" s="9">
        <v>0</v>
      </c>
      <c r="O56" s="9">
        <f t="shared" si="7"/>
        <v>0</v>
      </c>
      <c r="P56" s="285"/>
      <c r="Q56" s="285"/>
      <c r="R56" s="11">
        <f t="shared" si="8"/>
        <v>0</v>
      </c>
      <c r="S56" s="370" t="e">
        <f t="shared" si="6"/>
        <v>#DIV/0!</v>
      </c>
      <c r="U56" s="1"/>
    </row>
    <row r="57" spans="1:21" ht="15" customHeight="1">
      <c r="A57" s="7">
        <v>55190</v>
      </c>
      <c r="B57" s="363" t="s">
        <v>212</v>
      </c>
      <c r="C57" s="9">
        <v>0</v>
      </c>
      <c r="D57" s="9">
        <v>0</v>
      </c>
      <c r="E57" s="9">
        <v>0</v>
      </c>
      <c r="F57" s="9">
        <v>0</v>
      </c>
      <c r="G57" s="9">
        <v>16200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16200</v>
      </c>
      <c r="N57" s="9">
        <v>0</v>
      </c>
      <c r="O57" s="9">
        <f t="shared" si="7"/>
        <v>32400</v>
      </c>
      <c r="P57" s="285"/>
      <c r="Q57" s="285"/>
      <c r="R57" s="11">
        <f t="shared" si="8"/>
        <v>32400</v>
      </c>
      <c r="S57" s="370" t="e">
        <f t="shared" si="6"/>
        <v>#DIV/0!</v>
      </c>
      <c r="T57" s="470" t="s">
        <v>213</v>
      </c>
      <c r="U57" s="1"/>
    </row>
    <row r="58" spans="1:21" ht="15.75" customHeight="1">
      <c r="A58" s="7">
        <v>55190</v>
      </c>
      <c r="B58" s="363" t="s">
        <v>214</v>
      </c>
      <c r="C58" s="9">
        <v>8802.81</v>
      </c>
      <c r="D58" s="9">
        <f>C58</f>
        <v>8802.81</v>
      </c>
      <c r="E58" s="9">
        <f t="shared" ref="E58:N59" si="15">D58</f>
        <v>8802.81</v>
      </c>
      <c r="F58" s="9">
        <f t="shared" si="15"/>
        <v>8802.81</v>
      </c>
      <c r="G58" s="9">
        <f t="shared" si="15"/>
        <v>8802.81</v>
      </c>
      <c r="H58" s="9">
        <f t="shared" si="15"/>
        <v>8802.81</v>
      </c>
      <c r="I58" s="9">
        <f t="shared" si="15"/>
        <v>8802.81</v>
      </c>
      <c r="J58" s="9">
        <f t="shared" si="15"/>
        <v>8802.81</v>
      </c>
      <c r="K58" s="9">
        <f t="shared" si="15"/>
        <v>8802.81</v>
      </c>
      <c r="L58" s="9">
        <f t="shared" si="15"/>
        <v>8802.81</v>
      </c>
      <c r="M58" s="9">
        <f t="shared" si="15"/>
        <v>8802.81</v>
      </c>
      <c r="N58" s="9">
        <f t="shared" si="15"/>
        <v>8802.81</v>
      </c>
      <c r="O58" s="9">
        <f t="shared" si="7"/>
        <v>105633.71999999999</v>
      </c>
      <c r="P58" s="478">
        <v>138246</v>
      </c>
      <c r="Q58" s="478">
        <v>138036</v>
      </c>
      <c r="R58" s="11">
        <f>+O58-P58</f>
        <v>-32612.280000000013</v>
      </c>
      <c r="S58" s="370">
        <f t="shared" si="6"/>
        <v>-0.23473789446231427</v>
      </c>
      <c r="T58" s="470" t="s">
        <v>215</v>
      </c>
      <c r="U58" s="1"/>
    </row>
    <row r="59" spans="1:21" ht="15" customHeight="1">
      <c r="A59" s="7">
        <v>51150</v>
      </c>
      <c r="B59" s="442" t="s">
        <v>216</v>
      </c>
      <c r="C59" s="9">
        <f>2501.94*1.03</f>
        <v>2576.9982</v>
      </c>
      <c r="D59" s="9">
        <f>C59</f>
        <v>2576.9982</v>
      </c>
      <c r="E59" s="9">
        <f t="shared" si="15"/>
        <v>2576.9982</v>
      </c>
      <c r="F59" s="9">
        <f t="shared" si="15"/>
        <v>2576.9982</v>
      </c>
      <c r="G59" s="9">
        <f t="shared" si="15"/>
        <v>2576.9982</v>
      </c>
      <c r="H59" s="9">
        <f t="shared" si="15"/>
        <v>2576.9982</v>
      </c>
      <c r="I59" s="9">
        <f t="shared" si="15"/>
        <v>2576.9982</v>
      </c>
      <c r="J59" s="9">
        <f t="shared" si="15"/>
        <v>2576.9982</v>
      </c>
      <c r="K59" s="9">
        <f t="shared" si="15"/>
        <v>2576.9982</v>
      </c>
      <c r="L59" s="9">
        <f t="shared" si="15"/>
        <v>2576.9982</v>
      </c>
      <c r="M59" s="9">
        <f t="shared" si="15"/>
        <v>2576.9982</v>
      </c>
      <c r="N59" s="9">
        <f t="shared" si="15"/>
        <v>2576.9982</v>
      </c>
      <c r="O59" s="9">
        <f t="shared" si="7"/>
        <v>30923.978400000007</v>
      </c>
      <c r="P59" s="478">
        <v>30624</v>
      </c>
      <c r="Q59" s="478">
        <v>31474</v>
      </c>
      <c r="R59" s="11">
        <f t="shared" si="8"/>
        <v>299.97840000000724</v>
      </c>
      <c r="S59" s="370">
        <f t="shared" si="6"/>
        <v>-1.7475427336849234E-2</v>
      </c>
      <c r="T59" s="388" t="s">
        <v>217</v>
      </c>
      <c r="U59" s="1"/>
    </row>
    <row r="60" spans="1:21" s="270" customFormat="1" ht="15" customHeight="1">
      <c r="A60" s="7">
        <v>51160</v>
      </c>
      <c r="B60" s="363" t="s">
        <v>218</v>
      </c>
      <c r="C60" s="9">
        <f>(460+8900+3350)*80%</f>
        <v>10168</v>
      </c>
      <c r="D60" s="9">
        <f>C60</f>
        <v>10168</v>
      </c>
      <c r="E60" s="9">
        <f>D60</f>
        <v>10168</v>
      </c>
      <c r="F60" s="9">
        <f>E60</f>
        <v>10168</v>
      </c>
      <c r="G60" s="9">
        <f t="shared" ref="G60:N61" si="16">F60</f>
        <v>10168</v>
      </c>
      <c r="H60" s="9">
        <f t="shared" si="16"/>
        <v>10168</v>
      </c>
      <c r="I60" s="9">
        <f t="shared" si="16"/>
        <v>10168</v>
      </c>
      <c r="J60" s="9">
        <f t="shared" si="16"/>
        <v>10168</v>
      </c>
      <c r="K60" s="9">
        <f t="shared" si="16"/>
        <v>10168</v>
      </c>
      <c r="L60" s="9">
        <f t="shared" si="16"/>
        <v>10168</v>
      </c>
      <c r="M60" s="9">
        <f t="shared" si="16"/>
        <v>10168</v>
      </c>
      <c r="N60" s="9">
        <f t="shared" si="16"/>
        <v>10168</v>
      </c>
      <c r="O60" s="9">
        <f t="shared" si="7"/>
        <v>122016</v>
      </c>
      <c r="P60" s="478">
        <v>188100</v>
      </c>
      <c r="Q60" s="478">
        <v>179160</v>
      </c>
      <c r="R60" s="11">
        <f t="shared" si="8"/>
        <v>-66084</v>
      </c>
      <c r="S60" s="370">
        <f t="shared" si="6"/>
        <v>-0.31895512391158742</v>
      </c>
      <c r="T60" s="470" t="s">
        <v>219</v>
      </c>
      <c r="U60" s="20"/>
    </row>
    <row r="61" spans="1:21" ht="15" customHeight="1">
      <c r="A61" s="7">
        <v>51161</v>
      </c>
      <c r="B61" s="466" t="s">
        <v>220</v>
      </c>
      <c r="C61" s="9">
        <v>0</v>
      </c>
      <c r="D61" s="9">
        <f>C61</f>
        <v>0</v>
      </c>
      <c r="E61" s="9">
        <f t="shared" ref="E61:F61" si="17">D61</f>
        <v>0</v>
      </c>
      <c r="F61" s="9">
        <f t="shared" si="17"/>
        <v>0</v>
      </c>
      <c r="G61" s="9">
        <f t="shared" si="16"/>
        <v>0</v>
      </c>
      <c r="H61" s="9">
        <f t="shared" si="16"/>
        <v>0</v>
      </c>
      <c r="I61" s="9">
        <f t="shared" si="16"/>
        <v>0</v>
      </c>
      <c r="J61" s="9">
        <f t="shared" si="16"/>
        <v>0</v>
      </c>
      <c r="K61" s="9">
        <f t="shared" si="16"/>
        <v>0</v>
      </c>
      <c r="L61" s="9">
        <f t="shared" si="16"/>
        <v>0</v>
      </c>
      <c r="M61" s="9">
        <f t="shared" si="16"/>
        <v>0</v>
      </c>
      <c r="N61" s="9">
        <f t="shared" si="16"/>
        <v>0</v>
      </c>
      <c r="O61" s="9">
        <f t="shared" si="7"/>
        <v>0</v>
      </c>
      <c r="P61" s="285"/>
      <c r="Q61" s="285"/>
      <c r="R61" s="11">
        <f t="shared" si="8"/>
        <v>0</v>
      </c>
      <c r="S61" s="370" t="e">
        <f t="shared" si="6"/>
        <v>#DIV/0!</v>
      </c>
      <c r="T61" s="469" t="s">
        <v>199</v>
      </c>
      <c r="U61" s="1"/>
    </row>
    <row r="62" spans="1:21" ht="15" customHeight="1">
      <c r="A62" s="7">
        <v>50103</v>
      </c>
      <c r="B62" s="466" t="s">
        <v>221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f t="shared" si="7"/>
        <v>0</v>
      </c>
      <c r="P62" s="285"/>
      <c r="Q62" s="285"/>
      <c r="R62" s="11">
        <f t="shared" si="8"/>
        <v>0</v>
      </c>
      <c r="S62" s="370" t="e">
        <f t="shared" si="6"/>
        <v>#DIV/0!</v>
      </c>
      <c r="U62" s="1"/>
    </row>
    <row r="63" spans="1:21" ht="15" customHeight="1">
      <c r="A63" s="7">
        <v>51170</v>
      </c>
      <c r="B63" s="466" t="s">
        <v>222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f t="shared" si="7"/>
        <v>0</v>
      </c>
      <c r="P63" s="285"/>
      <c r="Q63" s="285"/>
      <c r="R63" s="11">
        <f t="shared" si="8"/>
        <v>0</v>
      </c>
      <c r="S63" s="370" t="e">
        <f t="shared" si="6"/>
        <v>#DIV/0!</v>
      </c>
      <c r="U63" s="1"/>
    </row>
    <row r="64" spans="1:21" ht="15" customHeight="1">
      <c r="A64" s="21">
        <v>0</v>
      </c>
      <c r="B64" s="479" t="s">
        <v>223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f t="shared" si="7"/>
        <v>0</v>
      </c>
      <c r="P64" s="285"/>
      <c r="Q64" s="285"/>
      <c r="R64" s="11">
        <f t="shared" si="8"/>
        <v>0</v>
      </c>
      <c r="S64" s="370" t="e">
        <f t="shared" si="6"/>
        <v>#DIV/0!</v>
      </c>
      <c r="U64" s="1"/>
    </row>
    <row r="65" spans="1:21" ht="15" customHeight="1">
      <c r="A65" s="7">
        <v>51200</v>
      </c>
      <c r="B65" s="479" t="s">
        <v>224</v>
      </c>
      <c r="C65" s="9">
        <v>0</v>
      </c>
      <c r="D65" s="9">
        <v>0</v>
      </c>
      <c r="E65" s="9">
        <v>0</v>
      </c>
      <c r="F65" s="9">
        <v>0</v>
      </c>
      <c r="G65" s="9">
        <f>D65</f>
        <v>0</v>
      </c>
      <c r="H65" s="9">
        <v>0</v>
      </c>
      <c r="I65" s="9">
        <v>0</v>
      </c>
      <c r="J65" s="9">
        <f>G65</f>
        <v>0</v>
      </c>
      <c r="K65" s="9">
        <v>0</v>
      </c>
      <c r="L65" s="9">
        <v>0</v>
      </c>
      <c r="M65" s="9">
        <f>J65</f>
        <v>0</v>
      </c>
      <c r="N65" s="9">
        <v>0</v>
      </c>
      <c r="O65" s="9">
        <f t="shared" si="7"/>
        <v>0</v>
      </c>
      <c r="P65" s="478">
        <v>1500</v>
      </c>
      <c r="Q65" s="478">
        <v>6000</v>
      </c>
      <c r="R65" s="11">
        <f t="shared" si="8"/>
        <v>-1500</v>
      </c>
      <c r="S65" s="370">
        <f t="shared" si="6"/>
        <v>-1</v>
      </c>
      <c r="U65" s="1"/>
    </row>
    <row r="66" spans="1:21" ht="15" customHeight="1">
      <c r="A66" s="21">
        <v>0</v>
      </c>
      <c r="B66" s="479" t="s">
        <v>225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f t="shared" si="7"/>
        <v>0</v>
      </c>
      <c r="P66" s="285"/>
      <c r="Q66" s="285"/>
      <c r="R66" s="11">
        <f t="shared" si="8"/>
        <v>0</v>
      </c>
      <c r="S66" s="370" t="e">
        <f t="shared" si="6"/>
        <v>#DIV/0!</v>
      </c>
      <c r="U66" s="1"/>
    </row>
    <row r="67" spans="1:21" ht="15" customHeight="1">
      <c r="A67" s="7">
        <v>51210</v>
      </c>
      <c r="B67" s="466" t="s">
        <v>226</v>
      </c>
      <c r="C67" s="9">
        <v>1500</v>
      </c>
      <c r="D67" s="9">
        <v>0</v>
      </c>
      <c r="E67" s="9">
        <v>0</v>
      </c>
      <c r="F67" s="9">
        <f>C67</f>
        <v>1500</v>
      </c>
      <c r="G67" s="9">
        <v>0</v>
      </c>
      <c r="H67" s="9">
        <v>0</v>
      </c>
      <c r="I67" s="9">
        <f>F67</f>
        <v>1500</v>
      </c>
      <c r="J67" s="9">
        <v>0</v>
      </c>
      <c r="K67" s="9">
        <v>0</v>
      </c>
      <c r="L67" s="9">
        <f>I67</f>
        <v>1500</v>
      </c>
      <c r="M67" s="9">
        <v>0</v>
      </c>
      <c r="N67" s="9">
        <v>0</v>
      </c>
      <c r="O67" s="9">
        <f t="shared" si="7"/>
        <v>6000</v>
      </c>
      <c r="P67" s="478">
        <v>14377</v>
      </c>
      <c r="Q67" s="478">
        <v>6000</v>
      </c>
      <c r="R67" s="11">
        <f t="shared" si="8"/>
        <v>-8377</v>
      </c>
      <c r="S67" s="370">
        <f t="shared" si="6"/>
        <v>0</v>
      </c>
      <c r="T67" s="469" t="s">
        <v>227</v>
      </c>
      <c r="U67" s="1"/>
    </row>
    <row r="68" spans="1:21" ht="15" customHeight="1">
      <c r="A68" s="7">
        <v>51220</v>
      </c>
      <c r="B68" s="466" t="s">
        <v>228</v>
      </c>
      <c r="C68" s="9">
        <v>0</v>
      </c>
      <c r="D68" s="9">
        <v>0</v>
      </c>
      <c r="E68" s="9"/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 t="shared" si="7"/>
        <v>0</v>
      </c>
      <c r="P68" s="478">
        <v>7055</v>
      </c>
      <c r="Q68" s="478">
        <v>2000</v>
      </c>
      <c r="R68" s="11">
        <f t="shared" si="8"/>
        <v>-7055</v>
      </c>
      <c r="S68" s="370">
        <f t="shared" si="6"/>
        <v>-1</v>
      </c>
      <c r="T68" s="469" t="s">
        <v>229</v>
      </c>
      <c r="U68" s="1"/>
    </row>
    <row r="69" spans="1:21" ht="15" customHeight="1">
      <c r="A69" s="21">
        <v>0</v>
      </c>
      <c r="B69" s="479" t="s">
        <v>230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f t="shared" si="7"/>
        <v>0</v>
      </c>
      <c r="P69" s="285"/>
      <c r="Q69" s="285"/>
      <c r="R69" s="11">
        <f t="shared" si="8"/>
        <v>0</v>
      </c>
      <c r="S69" s="370" t="e">
        <f t="shared" si="6"/>
        <v>#DIV/0!</v>
      </c>
      <c r="U69" s="1"/>
    </row>
    <row r="70" spans="1:21" ht="15" customHeight="1">
      <c r="A70" s="21">
        <v>0</v>
      </c>
      <c r="B70" s="479" t="s">
        <v>231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f t="shared" si="7"/>
        <v>0</v>
      </c>
      <c r="P70" s="285"/>
      <c r="Q70" s="285"/>
      <c r="R70" s="11">
        <f t="shared" si="8"/>
        <v>0</v>
      </c>
      <c r="S70" s="370" t="e">
        <f t="shared" si="6"/>
        <v>#DIV/0!</v>
      </c>
      <c r="U70" s="1"/>
    </row>
    <row r="71" spans="1:21" ht="15" customHeight="1">
      <c r="A71" s="7">
        <v>52010</v>
      </c>
      <c r="B71" s="479" t="s">
        <v>232</v>
      </c>
      <c r="C71" s="9">
        <v>2000</v>
      </c>
      <c r="D71" s="9">
        <f>C71</f>
        <v>2000</v>
      </c>
      <c r="E71" s="9">
        <f t="shared" ref="E71:N71" si="18">D71</f>
        <v>2000</v>
      </c>
      <c r="F71" s="9">
        <f t="shared" si="18"/>
        <v>2000</v>
      </c>
      <c r="G71" s="9">
        <f t="shared" si="18"/>
        <v>2000</v>
      </c>
      <c r="H71" s="9">
        <f t="shared" si="18"/>
        <v>2000</v>
      </c>
      <c r="I71" s="9">
        <f t="shared" si="18"/>
        <v>2000</v>
      </c>
      <c r="J71" s="9">
        <f t="shared" si="18"/>
        <v>2000</v>
      </c>
      <c r="K71" s="9">
        <f t="shared" si="18"/>
        <v>2000</v>
      </c>
      <c r="L71" s="9">
        <f t="shared" si="18"/>
        <v>2000</v>
      </c>
      <c r="M71" s="9">
        <f t="shared" si="18"/>
        <v>2000</v>
      </c>
      <c r="N71" s="9">
        <f t="shared" si="18"/>
        <v>2000</v>
      </c>
      <c r="O71" s="9">
        <f t="shared" si="7"/>
        <v>24000</v>
      </c>
      <c r="P71" s="478">
        <v>22798</v>
      </c>
      <c r="Q71" s="478">
        <v>22248</v>
      </c>
      <c r="R71" s="11">
        <f t="shared" si="8"/>
        <v>1202</v>
      </c>
      <c r="S71" s="370">
        <f t="shared" si="6"/>
        <v>7.8748651564185548E-2</v>
      </c>
      <c r="T71" s="388" t="s">
        <v>233</v>
      </c>
      <c r="U71" s="1"/>
    </row>
    <row r="72" spans="1:21" ht="18.75" customHeight="1">
      <c r="A72" s="21">
        <v>0</v>
      </c>
      <c r="B72" s="479" t="s">
        <v>234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f t="shared" si="7"/>
        <v>0</v>
      </c>
      <c r="P72" s="285"/>
      <c r="Q72" s="285"/>
      <c r="R72" s="11">
        <f t="shared" si="8"/>
        <v>0</v>
      </c>
      <c r="S72" s="370" t="e">
        <f t="shared" si="6"/>
        <v>#DIV/0!</v>
      </c>
      <c r="U72" s="1"/>
    </row>
    <row r="73" spans="1:21" ht="15" customHeight="1">
      <c r="A73" s="7">
        <v>55120</v>
      </c>
      <c r="B73" s="466" t="s">
        <v>235</v>
      </c>
      <c r="C73" s="407">
        <v>1350</v>
      </c>
      <c r="D73" s="407">
        <f>C73</f>
        <v>1350</v>
      </c>
      <c r="E73" s="407">
        <f t="shared" ref="E73:N73" si="19">D73</f>
        <v>1350</v>
      </c>
      <c r="F73" s="407">
        <f t="shared" si="19"/>
        <v>1350</v>
      </c>
      <c r="G73" s="407">
        <f t="shared" si="19"/>
        <v>1350</v>
      </c>
      <c r="H73" s="407">
        <f t="shared" si="19"/>
        <v>1350</v>
      </c>
      <c r="I73" s="407">
        <f t="shared" si="19"/>
        <v>1350</v>
      </c>
      <c r="J73" s="407">
        <f t="shared" si="19"/>
        <v>1350</v>
      </c>
      <c r="K73" s="407">
        <f t="shared" si="19"/>
        <v>1350</v>
      </c>
      <c r="L73" s="407">
        <f t="shared" si="19"/>
        <v>1350</v>
      </c>
      <c r="M73" s="407">
        <f t="shared" si="19"/>
        <v>1350</v>
      </c>
      <c r="N73" s="407">
        <f t="shared" si="19"/>
        <v>1350</v>
      </c>
      <c r="O73" s="9">
        <f t="shared" si="7"/>
        <v>16200</v>
      </c>
      <c r="P73" s="478">
        <v>15724</v>
      </c>
      <c r="Q73" s="478">
        <v>19440</v>
      </c>
      <c r="R73" s="11">
        <f t="shared" si="8"/>
        <v>476</v>
      </c>
      <c r="S73" s="370">
        <f t="shared" si="6"/>
        <v>-0.16666666666666666</v>
      </c>
      <c r="T73" s="469" t="s">
        <v>236</v>
      </c>
      <c r="U73" s="1"/>
    </row>
    <row r="74" spans="1:21" ht="15" customHeight="1">
      <c r="A74" s="140">
        <v>50220</v>
      </c>
      <c r="B74" s="466" t="s">
        <v>237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f t="shared" si="7"/>
        <v>0</v>
      </c>
      <c r="P74" s="285"/>
      <c r="Q74" s="285"/>
      <c r="R74" s="11">
        <f t="shared" si="8"/>
        <v>0</v>
      </c>
      <c r="S74" s="370" t="e">
        <f t="shared" si="6"/>
        <v>#DIV/0!</v>
      </c>
      <c r="U74" s="1"/>
    </row>
    <row r="75" spans="1:21" ht="15" customHeight="1">
      <c r="A75" s="7">
        <v>55160</v>
      </c>
      <c r="B75" s="466" t="s">
        <v>238</v>
      </c>
      <c r="C75" s="407">
        <v>112</v>
      </c>
      <c r="D75" s="9">
        <f t="shared" ref="D75:N75" si="20">C75</f>
        <v>112</v>
      </c>
      <c r="E75" s="9">
        <f t="shared" si="20"/>
        <v>112</v>
      </c>
      <c r="F75" s="9">
        <f t="shared" si="20"/>
        <v>112</v>
      </c>
      <c r="G75" s="9">
        <f t="shared" si="20"/>
        <v>112</v>
      </c>
      <c r="H75" s="9">
        <f t="shared" si="20"/>
        <v>112</v>
      </c>
      <c r="I75" s="9">
        <f t="shared" si="20"/>
        <v>112</v>
      </c>
      <c r="J75" s="9">
        <f t="shared" si="20"/>
        <v>112</v>
      </c>
      <c r="K75" s="9">
        <f t="shared" si="20"/>
        <v>112</v>
      </c>
      <c r="L75" s="9">
        <f t="shared" si="20"/>
        <v>112</v>
      </c>
      <c r="M75" s="9">
        <f t="shared" si="20"/>
        <v>112</v>
      </c>
      <c r="N75" s="9">
        <f t="shared" si="20"/>
        <v>112</v>
      </c>
      <c r="O75" s="9">
        <f t="shared" si="7"/>
        <v>1344</v>
      </c>
      <c r="P75" s="478">
        <v>1309</v>
      </c>
      <c r="Q75" s="478">
        <v>2412</v>
      </c>
      <c r="R75" s="11">
        <f t="shared" si="8"/>
        <v>35</v>
      </c>
      <c r="S75" s="370">
        <f t="shared" si="6"/>
        <v>-0.44278606965174128</v>
      </c>
      <c r="T75" s="469" t="s">
        <v>236</v>
      </c>
      <c r="U75" s="1"/>
    </row>
    <row r="76" spans="1:21" ht="15" customHeight="1">
      <c r="A76" s="7">
        <v>55110</v>
      </c>
      <c r="B76" s="466" t="s">
        <v>239</v>
      </c>
      <c r="C76" s="407">
        <v>2810</v>
      </c>
      <c r="D76" s="9">
        <f t="shared" ref="D76:N76" si="21">C76</f>
        <v>2810</v>
      </c>
      <c r="E76" s="9">
        <f t="shared" si="21"/>
        <v>2810</v>
      </c>
      <c r="F76" s="9">
        <f t="shared" si="21"/>
        <v>2810</v>
      </c>
      <c r="G76" s="9">
        <f t="shared" si="21"/>
        <v>2810</v>
      </c>
      <c r="H76" s="9">
        <f t="shared" si="21"/>
        <v>2810</v>
      </c>
      <c r="I76" s="9">
        <f t="shared" si="21"/>
        <v>2810</v>
      </c>
      <c r="J76" s="9">
        <f t="shared" si="21"/>
        <v>2810</v>
      </c>
      <c r="K76" s="9">
        <f t="shared" si="21"/>
        <v>2810</v>
      </c>
      <c r="L76" s="9">
        <f t="shared" si="21"/>
        <v>2810</v>
      </c>
      <c r="M76" s="9">
        <f t="shared" si="21"/>
        <v>2810</v>
      </c>
      <c r="N76" s="9">
        <f t="shared" si="21"/>
        <v>2810</v>
      </c>
      <c r="O76" s="9">
        <f t="shared" si="7"/>
        <v>33720</v>
      </c>
      <c r="P76" s="478">
        <v>32748</v>
      </c>
      <c r="Q76" s="478">
        <v>36264</v>
      </c>
      <c r="R76" s="11">
        <f t="shared" si="8"/>
        <v>972</v>
      </c>
      <c r="S76" s="370">
        <f>(O76-Q76)/Q76</f>
        <v>-7.0152217074784917E-2</v>
      </c>
      <c r="T76" s="469" t="s">
        <v>236</v>
      </c>
      <c r="U76" s="1"/>
    </row>
    <row r="77" spans="1:21" ht="15" customHeight="1">
      <c r="A77" s="7">
        <v>55140</v>
      </c>
      <c r="B77" s="466" t="s">
        <v>240</v>
      </c>
      <c r="C77" s="407">
        <v>460</v>
      </c>
      <c r="D77" s="9">
        <v>10400</v>
      </c>
      <c r="E77" s="9">
        <v>920</v>
      </c>
      <c r="F77" s="9">
        <f t="shared" ref="F77:N77" si="22">D77</f>
        <v>10400</v>
      </c>
      <c r="G77" s="9">
        <v>460</v>
      </c>
      <c r="H77" s="9">
        <f t="shared" si="22"/>
        <v>10400</v>
      </c>
      <c r="I77" s="9">
        <v>920</v>
      </c>
      <c r="J77" s="9">
        <f t="shared" si="22"/>
        <v>10400</v>
      </c>
      <c r="K77" s="9">
        <v>460</v>
      </c>
      <c r="L77" s="9">
        <f t="shared" si="22"/>
        <v>10400</v>
      </c>
      <c r="M77" s="9">
        <v>920</v>
      </c>
      <c r="N77" s="9">
        <f t="shared" si="22"/>
        <v>10400</v>
      </c>
      <c r="O77" s="9">
        <f t="shared" si="7"/>
        <v>66540</v>
      </c>
      <c r="P77" s="478">
        <v>65102</v>
      </c>
      <c r="Q77" s="478">
        <v>70296</v>
      </c>
      <c r="R77" s="11">
        <f t="shared" si="8"/>
        <v>1438</v>
      </c>
      <c r="S77" s="370">
        <f t="shared" si="6"/>
        <v>-5.3431205189484465E-2</v>
      </c>
      <c r="T77" s="469" t="s">
        <v>236</v>
      </c>
      <c r="U77" s="1"/>
    </row>
    <row r="78" spans="1:21" ht="15" customHeight="1">
      <c r="A78" s="7">
        <v>55180</v>
      </c>
      <c r="B78" s="479" t="s">
        <v>241</v>
      </c>
      <c r="C78" s="9"/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f t="shared" ref="O78" si="23">SUM(C78:N78)</f>
        <v>0</v>
      </c>
      <c r="P78" s="11"/>
      <c r="Q78" s="11"/>
      <c r="R78" s="11">
        <f t="shared" si="8"/>
        <v>0</v>
      </c>
      <c r="S78" s="370" t="e">
        <f t="shared" si="6"/>
        <v>#DIV/0!</v>
      </c>
      <c r="T78" s="388" t="s">
        <v>242</v>
      </c>
      <c r="U78" s="1"/>
    </row>
    <row r="79" spans="1:21" ht="15" customHeight="1">
      <c r="A79" s="7">
        <v>70411</v>
      </c>
      <c r="B79" s="442" t="s">
        <v>243</v>
      </c>
      <c r="C79" s="9">
        <f>'Excise Tax'!E35</f>
        <v>14027.759539220357</v>
      </c>
      <c r="D79" s="9">
        <f>'Excise Tax'!F35</f>
        <v>14027.759539220357</v>
      </c>
      <c r="E79" s="9">
        <f>'Excise Tax'!G35</f>
        <v>14027.759539220357</v>
      </c>
      <c r="F79" s="9">
        <f>'Excise Tax'!H35</f>
        <v>14027.759539220357</v>
      </c>
      <c r="G79" s="9">
        <f>'Excise Tax'!I35</f>
        <v>14027.759539220357</v>
      </c>
      <c r="H79" s="9">
        <f>'Excise Tax'!J35</f>
        <v>14027.759539220357</v>
      </c>
      <c r="I79" s="9">
        <f>'Excise Tax'!K35</f>
        <v>14688.017975564133</v>
      </c>
      <c r="J79" s="9">
        <f>'Excise Tax'!L35</f>
        <v>14899.967975564134</v>
      </c>
      <c r="K79" s="9">
        <f>'Excise Tax'!M35</f>
        <v>15041.267975564133</v>
      </c>
      <c r="L79" s="9">
        <f>'Excise Tax'!N35</f>
        <v>15041.267975564133</v>
      </c>
      <c r="M79" s="9">
        <f>'Excise Tax'!O35</f>
        <v>15041.267975564133</v>
      </c>
      <c r="N79" s="9">
        <f>'Excise Tax'!P35</f>
        <v>15041.267975564133</v>
      </c>
      <c r="O79" s="9">
        <f>SUM(C79:N79)</f>
        <v>173919.61508870695</v>
      </c>
      <c r="P79" s="478">
        <v>193237</v>
      </c>
      <c r="Q79" s="478">
        <v>197034</v>
      </c>
      <c r="R79" s="11">
        <f>+O79-P79</f>
        <v>-19317.384911293047</v>
      </c>
      <c r="S79" s="370">
        <f>(O79-Q79)/Q79</f>
        <v>-0.11731165642119151</v>
      </c>
      <c r="T79" s="392" t="s">
        <v>244</v>
      </c>
      <c r="U79" s="1"/>
    </row>
    <row r="80" spans="1:21" ht="15" customHeight="1">
      <c r="A80" s="7"/>
      <c r="B80" s="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1"/>
      <c r="Q80" s="11"/>
      <c r="R80" s="11"/>
      <c r="S80" s="370"/>
      <c r="U80" s="1"/>
    </row>
    <row r="81" spans="1:20" ht="15" customHeight="1">
      <c r="A81" s="1"/>
      <c r="B81" s="197" t="s">
        <v>245</v>
      </c>
      <c r="C81" s="198">
        <f>SUM(C33:C80)</f>
        <v>77539.958339220349</v>
      </c>
      <c r="D81" s="198">
        <f t="shared" ref="D81:N81" si="24">SUM(D33:D80)</f>
        <v>93880.626339220355</v>
      </c>
      <c r="E81" s="198">
        <f t="shared" si="24"/>
        <v>76235.592079220354</v>
      </c>
      <c r="F81" s="198">
        <f t="shared" si="24"/>
        <v>87553.958339220349</v>
      </c>
      <c r="G81" s="198">
        <f t="shared" si="24"/>
        <v>130663.95833922036</v>
      </c>
      <c r="H81" s="198">
        <f t="shared" si="24"/>
        <v>88109.958339220349</v>
      </c>
      <c r="I81" s="198">
        <f t="shared" si="24"/>
        <v>83861.216775564128</v>
      </c>
      <c r="J81" s="198">
        <f t="shared" si="24"/>
        <v>88853.166775564139</v>
      </c>
      <c r="K81" s="198">
        <f t="shared" si="24"/>
        <v>82303.466775564128</v>
      </c>
      <c r="L81" s="198">
        <f t="shared" si="24"/>
        <v>91693.466775564128</v>
      </c>
      <c r="M81" s="198">
        <f t="shared" si="24"/>
        <v>97751.466775564128</v>
      </c>
      <c r="N81" s="198">
        <f t="shared" si="24"/>
        <v>93061.466775564128</v>
      </c>
      <c r="O81" s="198">
        <f>SUM(O33:O80)</f>
        <v>1091508.302428707</v>
      </c>
      <c r="P81" s="284">
        <f>SUM(P33:P80)</f>
        <v>1192080</v>
      </c>
      <c r="Q81" s="284">
        <f>SUM(Q33:Q80)</f>
        <v>1239884</v>
      </c>
      <c r="R81" s="283">
        <f>SUM(R33:R80)</f>
        <v>-100571.697571293</v>
      </c>
      <c r="S81" s="370">
        <f t="shared" si="6"/>
        <v>-0.11966901546539271</v>
      </c>
    </row>
    <row r="82" spans="1:20" ht="12" customHeight="1">
      <c r="A82" s="1"/>
      <c r="B82" s="22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1"/>
      <c r="Q82" s="11"/>
      <c r="R82" s="11"/>
      <c r="S82" s="370"/>
    </row>
    <row r="83" spans="1:20" ht="15" customHeight="1">
      <c r="A83" s="1"/>
      <c r="B83" s="22" t="s">
        <v>246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1"/>
      <c r="Q83" s="11"/>
      <c r="R83" s="11"/>
      <c r="S83" s="370"/>
    </row>
    <row r="84" spans="1:20" ht="15" customHeight="1">
      <c r="A84" s="7">
        <v>57110</v>
      </c>
      <c r="B84" s="363" t="s">
        <v>247</v>
      </c>
      <c r="C84" s="16">
        <v>3300</v>
      </c>
      <c r="D84" s="16">
        <f>C84</f>
        <v>3300</v>
      </c>
      <c r="E84" s="16">
        <f t="shared" ref="E84:N87" si="25">D84</f>
        <v>3300</v>
      </c>
      <c r="F84" s="16">
        <f t="shared" si="25"/>
        <v>3300</v>
      </c>
      <c r="G84" s="16">
        <f t="shared" si="25"/>
        <v>3300</v>
      </c>
      <c r="H84" s="16">
        <f t="shared" si="25"/>
        <v>3300</v>
      </c>
      <c r="I84" s="16">
        <f t="shared" si="25"/>
        <v>3300</v>
      </c>
      <c r="J84" s="16">
        <f t="shared" si="25"/>
        <v>3300</v>
      </c>
      <c r="K84" s="16">
        <f t="shared" si="25"/>
        <v>3300</v>
      </c>
      <c r="L84" s="16">
        <f t="shared" si="25"/>
        <v>3300</v>
      </c>
      <c r="M84" s="16">
        <f t="shared" si="25"/>
        <v>3300</v>
      </c>
      <c r="N84" s="16">
        <f t="shared" si="25"/>
        <v>3300</v>
      </c>
      <c r="O84" s="16">
        <f>SUM(C84:N84)</f>
        <v>39600</v>
      </c>
      <c r="P84" s="478">
        <v>37331</v>
      </c>
      <c r="Q84" s="478">
        <v>33600</v>
      </c>
      <c r="R84" s="11">
        <f t="shared" ref="R84:R88" si="26">+O84-P84</f>
        <v>2269</v>
      </c>
      <c r="S84" s="370">
        <f t="shared" si="6"/>
        <v>0.17857142857142858</v>
      </c>
      <c r="T84" s="470" t="s">
        <v>201</v>
      </c>
    </row>
    <row r="85" spans="1:20" ht="15" customHeight="1">
      <c r="A85" s="7">
        <v>57120</v>
      </c>
      <c r="B85" s="363" t="s">
        <v>238</v>
      </c>
      <c r="C85" s="399">
        <f>78*103%</f>
        <v>80.34</v>
      </c>
      <c r="D85" s="399">
        <f>C85</f>
        <v>80.34</v>
      </c>
      <c r="E85" s="399">
        <f t="shared" si="25"/>
        <v>80.34</v>
      </c>
      <c r="F85" s="399">
        <f t="shared" si="25"/>
        <v>80.34</v>
      </c>
      <c r="G85" s="399">
        <f t="shared" si="25"/>
        <v>80.34</v>
      </c>
      <c r="H85" s="399">
        <f t="shared" si="25"/>
        <v>80.34</v>
      </c>
      <c r="I85" s="399">
        <f t="shared" si="25"/>
        <v>80.34</v>
      </c>
      <c r="J85" s="399">
        <f t="shared" si="25"/>
        <v>80.34</v>
      </c>
      <c r="K85" s="399">
        <f t="shared" si="25"/>
        <v>80.34</v>
      </c>
      <c r="L85" s="399">
        <f t="shared" si="25"/>
        <v>80.34</v>
      </c>
      <c r="M85" s="399">
        <f t="shared" si="25"/>
        <v>80.34</v>
      </c>
      <c r="N85" s="399">
        <f t="shared" si="25"/>
        <v>80.34</v>
      </c>
      <c r="O85" s="16">
        <f t="shared" ref="O85:O87" si="27">SUM(C85:N85)</f>
        <v>964.08000000000027</v>
      </c>
      <c r="P85" s="478">
        <v>1141</v>
      </c>
      <c r="Q85" s="478">
        <v>1740</v>
      </c>
      <c r="R85" s="11">
        <f t="shared" si="26"/>
        <v>-176.91999999999973</v>
      </c>
      <c r="S85" s="370">
        <f t="shared" si="6"/>
        <v>-0.44593103448275845</v>
      </c>
      <c r="T85" s="470" t="s">
        <v>248</v>
      </c>
    </row>
    <row r="86" spans="1:20" ht="15" customHeight="1">
      <c r="A86" s="7">
        <v>57130</v>
      </c>
      <c r="B86" s="363" t="s">
        <v>249</v>
      </c>
      <c r="C86" s="16">
        <f>(460+8900+3350+6500)*20%</f>
        <v>3842</v>
      </c>
      <c r="D86" s="16">
        <f>(460+8900+3350)*20%</f>
        <v>2542</v>
      </c>
      <c r="E86" s="16">
        <f t="shared" si="25"/>
        <v>2542</v>
      </c>
      <c r="F86" s="16">
        <f t="shared" si="25"/>
        <v>2542</v>
      </c>
      <c r="G86" s="16">
        <f t="shared" si="25"/>
        <v>2542</v>
      </c>
      <c r="H86" s="16">
        <f t="shared" si="25"/>
        <v>2542</v>
      </c>
      <c r="I86" s="16">
        <f t="shared" si="25"/>
        <v>2542</v>
      </c>
      <c r="J86" s="16">
        <f t="shared" si="25"/>
        <v>2542</v>
      </c>
      <c r="K86" s="16">
        <f t="shared" si="25"/>
        <v>2542</v>
      </c>
      <c r="L86" s="16">
        <f t="shared" si="25"/>
        <v>2542</v>
      </c>
      <c r="M86" s="16">
        <f t="shared" si="25"/>
        <v>2542</v>
      </c>
      <c r="N86" s="16">
        <f t="shared" si="25"/>
        <v>2542</v>
      </c>
      <c r="O86" s="16">
        <f t="shared" si="27"/>
        <v>31804</v>
      </c>
      <c r="P86" s="478">
        <v>41554</v>
      </c>
      <c r="Q86" s="478">
        <v>35712</v>
      </c>
      <c r="R86" s="11">
        <f t="shared" si="26"/>
        <v>-9750</v>
      </c>
      <c r="S86" s="370">
        <f t="shared" si="6"/>
        <v>-0.10943100358422939</v>
      </c>
      <c r="T86" s="388" t="s">
        <v>250</v>
      </c>
    </row>
    <row r="87" spans="1:20" ht="15" customHeight="1">
      <c r="A87" s="7">
        <v>57140</v>
      </c>
      <c r="B87" s="363" t="s">
        <v>251</v>
      </c>
      <c r="C87" s="407">
        <v>5400</v>
      </c>
      <c r="D87" s="407">
        <f>C87</f>
        <v>5400</v>
      </c>
      <c r="E87" s="407">
        <f t="shared" si="25"/>
        <v>5400</v>
      </c>
      <c r="F87" s="407">
        <f t="shared" si="25"/>
        <v>5400</v>
      </c>
      <c r="G87" s="407">
        <f t="shared" si="25"/>
        <v>5400</v>
      </c>
      <c r="H87" s="407">
        <f t="shared" si="25"/>
        <v>5400</v>
      </c>
      <c r="I87" s="407">
        <f t="shared" si="25"/>
        <v>5400</v>
      </c>
      <c r="J87" s="407">
        <f t="shared" si="25"/>
        <v>5400</v>
      </c>
      <c r="K87" s="407">
        <f t="shared" si="25"/>
        <v>5400</v>
      </c>
      <c r="L87" s="407">
        <f t="shared" si="25"/>
        <v>5400</v>
      </c>
      <c r="M87" s="407">
        <f t="shared" si="25"/>
        <v>5400</v>
      </c>
      <c r="N87" s="407">
        <f t="shared" si="25"/>
        <v>5400</v>
      </c>
      <c r="O87" s="16">
        <f t="shared" si="27"/>
        <v>64800</v>
      </c>
      <c r="P87" s="478">
        <v>62781</v>
      </c>
      <c r="Q87" s="478">
        <v>78000</v>
      </c>
      <c r="R87" s="11">
        <f t="shared" si="26"/>
        <v>2019</v>
      </c>
      <c r="S87" s="370">
        <f t="shared" si="6"/>
        <v>-0.16923076923076924</v>
      </c>
      <c r="T87" s="469" t="s">
        <v>236</v>
      </c>
    </row>
    <row r="88" spans="1:20" ht="12" customHeight="1">
      <c r="A88" s="7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6"/>
      <c r="P88" s="11"/>
      <c r="Q88" s="11"/>
      <c r="R88" s="11">
        <f t="shared" si="26"/>
        <v>0</v>
      </c>
      <c r="S88" s="370"/>
    </row>
    <row r="89" spans="1:20" ht="15" customHeight="1">
      <c r="A89" s="1"/>
      <c r="B89" s="197" t="s">
        <v>252</v>
      </c>
      <c r="C89" s="198">
        <f t="shared" ref="C89:N89" si="28">SUM(C84:C87)</f>
        <v>12622.34</v>
      </c>
      <c r="D89" s="198">
        <f t="shared" si="28"/>
        <v>11322.34</v>
      </c>
      <c r="E89" s="198">
        <f t="shared" si="28"/>
        <v>11322.34</v>
      </c>
      <c r="F89" s="198">
        <f t="shared" si="28"/>
        <v>11322.34</v>
      </c>
      <c r="G89" s="198">
        <f t="shared" si="28"/>
        <v>11322.34</v>
      </c>
      <c r="H89" s="198">
        <f t="shared" si="28"/>
        <v>11322.34</v>
      </c>
      <c r="I89" s="198">
        <f t="shared" si="28"/>
        <v>11322.34</v>
      </c>
      <c r="J89" s="198">
        <f t="shared" si="28"/>
        <v>11322.34</v>
      </c>
      <c r="K89" s="198">
        <f t="shared" si="28"/>
        <v>11322.34</v>
      </c>
      <c r="L89" s="198">
        <f t="shared" si="28"/>
        <v>11322.34</v>
      </c>
      <c r="M89" s="198">
        <f t="shared" si="28"/>
        <v>11322.34</v>
      </c>
      <c r="N89" s="198">
        <f t="shared" si="28"/>
        <v>11322.34</v>
      </c>
      <c r="O89" s="198">
        <f>SUM(O84:O88)</f>
        <v>137168.08000000002</v>
      </c>
      <c r="P89" s="284">
        <f>SUM(P84:P88)</f>
        <v>142807</v>
      </c>
      <c r="Q89" s="284">
        <f>SUM(Q84:Q87)</f>
        <v>149052</v>
      </c>
      <c r="R89" s="283">
        <f>SUM(R84:R88)</f>
        <v>-5638.92</v>
      </c>
      <c r="S89" s="370">
        <f t="shared" si="6"/>
        <v>-7.9730027104634518E-2</v>
      </c>
    </row>
    <row r="90" spans="1:20" ht="15" customHeight="1">
      <c r="A90" s="1"/>
      <c r="B90" s="22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1"/>
      <c r="Q90" s="11"/>
      <c r="R90" s="11"/>
      <c r="S90" s="370"/>
    </row>
    <row r="91" spans="1:20" ht="15" customHeight="1">
      <c r="A91" s="1"/>
      <c r="B91" s="4" t="s">
        <v>253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1"/>
      <c r="Q91" s="11"/>
      <c r="R91" s="11"/>
      <c r="S91" s="370"/>
    </row>
    <row r="92" spans="1:20" ht="15" customHeight="1">
      <c r="A92" s="398">
        <v>51060</v>
      </c>
      <c r="B92" s="363" t="s">
        <v>254</v>
      </c>
      <c r="C92" s="9">
        <v>0</v>
      </c>
      <c r="D92" s="9">
        <v>2500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2500</v>
      </c>
      <c r="M92" s="9">
        <v>0</v>
      </c>
      <c r="N92" s="9">
        <v>0</v>
      </c>
      <c r="O92" s="9">
        <f t="shared" ref="O92:O98" si="29">SUM(C92:N92)</f>
        <v>5000</v>
      </c>
      <c r="P92" s="478">
        <v>4914</v>
      </c>
      <c r="Q92" s="478">
        <v>5000</v>
      </c>
      <c r="R92" s="11">
        <f t="shared" ref="R92:R104" si="30">+O92-P92</f>
        <v>86</v>
      </c>
      <c r="S92" s="370">
        <f t="shared" si="6"/>
        <v>0</v>
      </c>
      <c r="T92" s="470" t="s">
        <v>229</v>
      </c>
    </row>
    <row r="93" spans="1:20" ht="15" customHeight="1">
      <c r="A93" s="398">
        <v>51070</v>
      </c>
      <c r="B93" s="363" t="s">
        <v>255</v>
      </c>
      <c r="C93" s="9">
        <v>0</v>
      </c>
      <c r="D93" s="9">
        <v>0</v>
      </c>
      <c r="E93" s="9">
        <v>0</v>
      </c>
      <c r="F93" s="9">
        <v>500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f t="shared" si="29"/>
        <v>500</v>
      </c>
      <c r="P93" s="478">
        <v>581</v>
      </c>
      <c r="Q93" s="478">
        <v>500</v>
      </c>
      <c r="R93" s="11">
        <f t="shared" si="30"/>
        <v>-81</v>
      </c>
      <c r="S93" s="370">
        <f t="shared" si="6"/>
        <v>0</v>
      </c>
      <c r="T93" s="470" t="s">
        <v>229</v>
      </c>
    </row>
    <row r="94" spans="1:20" ht="15" customHeight="1">
      <c r="A94" s="7">
        <v>50210</v>
      </c>
      <c r="B94" s="363" t="s">
        <v>256</v>
      </c>
      <c r="C94" s="408">
        <f>365+2500</f>
        <v>2865</v>
      </c>
      <c r="D94" s="408">
        <f>C94</f>
        <v>2865</v>
      </c>
      <c r="E94" s="408">
        <v>365</v>
      </c>
      <c r="F94" s="408">
        <f>D94</f>
        <v>2865</v>
      </c>
      <c r="G94" s="408">
        <f>F94</f>
        <v>2865</v>
      </c>
      <c r="H94" s="408">
        <f>E94</f>
        <v>365</v>
      </c>
      <c r="I94" s="408">
        <f>G94</f>
        <v>2865</v>
      </c>
      <c r="J94" s="408">
        <f>G94</f>
        <v>2865</v>
      </c>
      <c r="K94" s="408">
        <f>H94</f>
        <v>365</v>
      </c>
      <c r="L94" s="408">
        <f>J94</f>
        <v>2865</v>
      </c>
      <c r="M94" s="408">
        <f>L94</f>
        <v>2865</v>
      </c>
      <c r="N94" s="408">
        <f>K94</f>
        <v>365</v>
      </c>
      <c r="O94" s="9">
        <f t="shared" ref="O94" si="31">SUM(C94:N94)</f>
        <v>24380</v>
      </c>
      <c r="P94" s="478">
        <v>23469</v>
      </c>
      <c r="Q94" s="478">
        <v>13892</v>
      </c>
      <c r="R94" s="11">
        <f t="shared" si="30"/>
        <v>911</v>
      </c>
      <c r="S94" s="370">
        <f t="shared" si="6"/>
        <v>0.75496688741721851</v>
      </c>
      <c r="T94" s="470" t="s">
        <v>257</v>
      </c>
    </row>
    <row r="95" spans="1:20" ht="15" customHeight="1">
      <c r="A95" s="7">
        <v>51110</v>
      </c>
      <c r="B95" s="442" t="s">
        <v>258</v>
      </c>
      <c r="C95" s="9"/>
      <c r="D95" s="9"/>
      <c r="E95" s="9">
        <f>(700*10%)+700</f>
        <v>770</v>
      </c>
      <c r="F95" s="9"/>
      <c r="G95" s="9"/>
      <c r="H95" s="9"/>
      <c r="I95" s="9">
        <v>2874</v>
      </c>
      <c r="J95" s="9"/>
      <c r="K95" s="9"/>
      <c r="L95" s="9"/>
      <c r="M95" s="9"/>
      <c r="N95" s="9"/>
      <c r="O95" s="9">
        <f t="shared" si="29"/>
        <v>3644</v>
      </c>
      <c r="P95" s="478">
        <v>1445</v>
      </c>
      <c r="Q95" s="478">
        <v>3644</v>
      </c>
      <c r="R95" s="11">
        <f t="shared" si="30"/>
        <v>2199</v>
      </c>
      <c r="S95" s="370">
        <f t="shared" ref="S95:S165" si="32">(O95-Q95)/Q95</f>
        <v>0</v>
      </c>
      <c r="T95" s="388" t="s">
        <v>259</v>
      </c>
    </row>
    <row r="96" spans="1:20" ht="15" customHeight="1">
      <c r="A96" s="7">
        <v>51120</v>
      </c>
      <c r="B96" s="442" t="s">
        <v>260</v>
      </c>
      <c r="C96" s="9">
        <v>0</v>
      </c>
      <c r="D96" s="9">
        <v>0</v>
      </c>
      <c r="E96" s="9">
        <v>0</v>
      </c>
      <c r="F96" s="9">
        <v>603</v>
      </c>
      <c r="G96" s="9">
        <v>0</v>
      </c>
      <c r="H96" s="9">
        <v>0</v>
      </c>
      <c r="I96" s="9">
        <v>0</v>
      </c>
      <c r="J96" s="9">
        <v>600</v>
      </c>
      <c r="K96" s="9">
        <v>0</v>
      </c>
      <c r="L96" s="9">
        <v>0</v>
      </c>
      <c r="M96" s="9">
        <v>0</v>
      </c>
      <c r="N96" s="9">
        <v>0</v>
      </c>
      <c r="O96" s="9">
        <f t="shared" si="29"/>
        <v>1203</v>
      </c>
      <c r="P96" s="478">
        <v>16393</v>
      </c>
      <c r="Q96" s="478">
        <v>1203</v>
      </c>
      <c r="R96" s="11">
        <f t="shared" si="30"/>
        <v>-15190</v>
      </c>
      <c r="S96" s="370">
        <f t="shared" si="32"/>
        <v>0</v>
      </c>
      <c r="T96" s="388" t="s">
        <v>229</v>
      </c>
    </row>
    <row r="97" spans="1:20" ht="15" customHeight="1">
      <c r="A97" s="7">
        <v>51120</v>
      </c>
      <c r="B97" s="363" t="s">
        <v>261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f t="shared" si="29"/>
        <v>0</v>
      </c>
      <c r="P97" s="285"/>
      <c r="Q97" s="285"/>
      <c r="R97" s="11">
        <f t="shared" si="30"/>
        <v>0</v>
      </c>
      <c r="S97" s="370" t="e">
        <f t="shared" si="32"/>
        <v>#DIV/0!</v>
      </c>
    </row>
    <row r="98" spans="1:20" ht="15" customHeight="1">
      <c r="A98" s="7">
        <v>52020</v>
      </c>
      <c r="B98" s="363" t="s">
        <v>262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1030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f t="shared" si="29"/>
        <v>1030</v>
      </c>
      <c r="P98" s="285">
        <v>0</v>
      </c>
      <c r="Q98" s="285">
        <v>1030</v>
      </c>
      <c r="R98" s="11">
        <f t="shared" si="30"/>
        <v>1030</v>
      </c>
      <c r="S98" s="370">
        <f t="shared" si="32"/>
        <v>0</v>
      </c>
      <c r="T98" s="388" t="s">
        <v>263</v>
      </c>
    </row>
    <row r="99" spans="1:20" ht="15" customHeight="1">
      <c r="A99" s="7"/>
      <c r="B99" s="442" t="s">
        <v>264</v>
      </c>
      <c r="C99" s="9">
        <v>0</v>
      </c>
      <c r="D99" s="9">
        <v>0</v>
      </c>
      <c r="E99" s="9">
        <v>0</v>
      </c>
      <c r="F99" s="9">
        <v>0</v>
      </c>
      <c r="G99" s="9">
        <v>500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f>SUM(C99:N99)</f>
        <v>500</v>
      </c>
      <c r="P99" s="285"/>
      <c r="Q99" s="285"/>
      <c r="R99" s="11">
        <f t="shared" si="30"/>
        <v>500</v>
      </c>
      <c r="S99" s="370" t="e">
        <f t="shared" si="32"/>
        <v>#DIV/0!</v>
      </c>
      <c r="T99" s="388" t="s">
        <v>229</v>
      </c>
    </row>
    <row r="100" spans="1:20" ht="15" customHeight="1">
      <c r="A100" s="7"/>
      <c r="B100" s="479" t="s">
        <v>265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>
        <f t="shared" ref="O100:O104" si="33">SUM(C100:N100)</f>
        <v>0</v>
      </c>
      <c r="P100" s="285"/>
      <c r="Q100" s="285"/>
      <c r="R100" s="11">
        <f t="shared" si="30"/>
        <v>0</v>
      </c>
      <c r="S100" s="370" t="e">
        <f t="shared" si="32"/>
        <v>#DIV/0!</v>
      </c>
    </row>
    <row r="101" spans="1:20" ht="15" customHeight="1">
      <c r="A101" s="7">
        <v>51400</v>
      </c>
      <c r="B101" s="479" t="s">
        <v>266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f t="shared" si="33"/>
        <v>0</v>
      </c>
      <c r="P101" s="285"/>
      <c r="Q101" s="285"/>
      <c r="R101" s="11">
        <f t="shared" si="30"/>
        <v>0</v>
      </c>
      <c r="S101" s="370" t="e">
        <f t="shared" si="32"/>
        <v>#DIV/0!</v>
      </c>
    </row>
    <row r="102" spans="1:20" ht="15" customHeight="1">
      <c r="A102" s="7">
        <v>55120</v>
      </c>
      <c r="B102" s="479" t="s">
        <v>267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9">
        <f t="shared" si="33"/>
        <v>0</v>
      </c>
      <c r="P102" s="349"/>
      <c r="Q102" s="349"/>
      <c r="R102" s="11">
        <f t="shared" si="30"/>
        <v>0</v>
      </c>
      <c r="S102" s="370" t="e">
        <f t="shared" si="32"/>
        <v>#DIV/0!</v>
      </c>
    </row>
    <row r="103" spans="1:20" ht="15" customHeight="1">
      <c r="A103" s="7">
        <v>51180</v>
      </c>
      <c r="B103" s="479" t="s">
        <v>268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f t="shared" si="33"/>
        <v>0</v>
      </c>
      <c r="P103" s="285"/>
      <c r="Q103" s="285"/>
      <c r="R103" s="11">
        <f t="shared" si="30"/>
        <v>0</v>
      </c>
      <c r="S103" s="370" t="e">
        <f t="shared" si="32"/>
        <v>#DIV/0!</v>
      </c>
    </row>
    <row r="104" spans="1:20" ht="15" customHeight="1">
      <c r="A104" s="7">
        <v>55180</v>
      </c>
      <c r="B104" s="363" t="s">
        <v>269</v>
      </c>
      <c r="C104" s="9">
        <v>13250</v>
      </c>
      <c r="D104" s="9"/>
      <c r="E104" s="9">
        <f>C104</f>
        <v>13250</v>
      </c>
      <c r="F104" s="9"/>
      <c r="G104" s="9">
        <f>E104</f>
        <v>13250</v>
      </c>
      <c r="H104" s="9"/>
      <c r="I104" s="9">
        <f>G104</f>
        <v>13250</v>
      </c>
      <c r="J104" s="9"/>
      <c r="K104" s="9">
        <f>I104</f>
        <v>13250</v>
      </c>
      <c r="L104" s="9"/>
      <c r="M104" s="9">
        <f>K104</f>
        <v>13250</v>
      </c>
      <c r="N104" s="9"/>
      <c r="O104" s="9">
        <f t="shared" si="33"/>
        <v>79500</v>
      </c>
      <c r="P104" s="478">
        <v>77439</v>
      </c>
      <c r="Q104" s="478">
        <v>122196</v>
      </c>
      <c r="R104" s="11">
        <f t="shared" si="30"/>
        <v>2061</v>
      </c>
      <c r="S104" s="370">
        <f t="shared" si="32"/>
        <v>-0.34940587253265248</v>
      </c>
      <c r="T104" s="469" t="s">
        <v>236</v>
      </c>
    </row>
    <row r="105" spans="1:20" ht="15" customHeight="1">
      <c r="A105" s="7"/>
      <c r="B105" s="1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1"/>
      <c r="Q105" s="11"/>
      <c r="R105" s="11"/>
      <c r="S105" s="370"/>
    </row>
    <row r="106" spans="1:20" ht="15" customHeight="1">
      <c r="A106" s="7"/>
      <c r="B106" s="197" t="s">
        <v>270</v>
      </c>
      <c r="C106" s="198">
        <f>SUM(C92:C104)</f>
        <v>16115</v>
      </c>
      <c r="D106" s="198">
        <f t="shared" ref="D106:O106" si="34">SUM(D92:D104)</f>
        <v>5365</v>
      </c>
      <c r="E106" s="198">
        <f t="shared" si="34"/>
        <v>14385</v>
      </c>
      <c r="F106" s="198">
        <f t="shared" si="34"/>
        <v>3968</v>
      </c>
      <c r="G106" s="198">
        <f t="shared" si="34"/>
        <v>16615</v>
      </c>
      <c r="H106" s="198">
        <f t="shared" si="34"/>
        <v>365</v>
      </c>
      <c r="I106" s="198">
        <f t="shared" si="34"/>
        <v>20019</v>
      </c>
      <c r="J106" s="198">
        <f t="shared" si="34"/>
        <v>3465</v>
      </c>
      <c r="K106" s="198">
        <f t="shared" si="34"/>
        <v>13615</v>
      </c>
      <c r="L106" s="198">
        <f t="shared" si="34"/>
        <v>5365</v>
      </c>
      <c r="M106" s="198">
        <f t="shared" si="34"/>
        <v>16115</v>
      </c>
      <c r="N106" s="198">
        <f t="shared" si="34"/>
        <v>365</v>
      </c>
      <c r="O106" s="198">
        <f t="shared" si="34"/>
        <v>115757</v>
      </c>
      <c r="P106" s="198">
        <f>SUM(P92:P105)</f>
        <v>124241</v>
      </c>
      <c r="Q106" s="198">
        <f>SUM(Q92:Q105)</f>
        <v>147465</v>
      </c>
      <c r="R106" s="199">
        <f>+O106-P106</f>
        <v>-8484</v>
      </c>
      <c r="S106" s="370">
        <f t="shared" si="32"/>
        <v>-0.21502051334214897</v>
      </c>
    </row>
    <row r="107" spans="1:20" ht="15" customHeight="1">
      <c r="A107" s="7"/>
      <c r="B107" s="22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1"/>
      <c r="Q107" s="11"/>
      <c r="R107" s="11"/>
      <c r="S107" s="370"/>
    </row>
    <row r="108" spans="1:20" ht="15" customHeight="1">
      <c r="A108" s="1"/>
      <c r="B108" s="4" t="s">
        <v>271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1"/>
      <c r="Q108" s="11"/>
      <c r="R108" s="11"/>
      <c r="S108" s="370"/>
    </row>
    <row r="109" spans="1:20" ht="15" customHeight="1">
      <c r="A109" s="398">
        <v>50111</v>
      </c>
      <c r="B109" s="471" t="s">
        <v>272</v>
      </c>
      <c r="C109" s="396">
        <v>10328</v>
      </c>
      <c r="D109" s="396">
        <v>10328</v>
      </c>
      <c r="E109" s="396">
        <v>0</v>
      </c>
      <c r="F109" s="396">
        <f>55277*110%</f>
        <v>60804.700000000004</v>
      </c>
      <c r="G109" s="396">
        <f>D109*110%</f>
        <v>11360.800000000001</v>
      </c>
      <c r="H109" s="396">
        <f t="shared" ref="H109:N109" si="35">G109</f>
        <v>11360.800000000001</v>
      </c>
      <c r="I109" s="396">
        <f t="shared" si="35"/>
        <v>11360.800000000001</v>
      </c>
      <c r="J109" s="396">
        <f t="shared" si="35"/>
        <v>11360.800000000001</v>
      </c>
      <c r="K109" s="396">
        <f t="shared" si="35"/>
        <v>11360.800000000001</v>
      </c>
      <c r="L109" s="396">
        <f t="shared" si="35"/>
        <v>11360.800000000001</v>
      </c>
      <c r="M109" s="396">
        <f>L109</f>
        <v>11360.800000000001</v>
      </c>
      <c r="N109" s="396">
        <f t="shared" si="35"/>
        <v>11360.800000000001</v>
      </c>
      <c r="O109" s="9">
        <f>SUM(C109:N109)</f>
        <v>172347.09999999998</v>
      </c>
      <c r="P109" s="478">
        <v>159057</v>
      </c>
      <c r="Q109" s="478">
        <v>190827</v>
      </c>
      <c r="R109" s="11">
        <f t="shared" ref="R109:R115" si="36">+O109-P109</f>
        <v>13290.099999999977</v>
      </c>
      <c r="S109" s="370">
        <v>0.12</v>
      </c>
      <c r="T109" s="469" t="s">
        <v>273</v>
      </c>
    </row>
    <row r="110" spans="1:20" ht="15" customHeight="1">
      <c r="A110" s="398">
        <v>50112</v>
      </c>
      <c r="B110" s="471" t="s">
        <v>274</v>
      </c>
      <c r="C110" s="396">
        <f>4713*110%</f>
        <v>5184.3</v>
      </c>
      <c r="D110" s="396">
        <f>1140*110%</f>
        <v>1254</v>
      </c>
      <c r="E110" s="396">
        <f t="shared" ref="E110:N110" si="37">D110</f>
        <v>1254</v>
      </c>
      <c r="F110" s="396">
        <f t="shared" si="37"/>
        <v>1254</v>
      </c>
      <c r="G110" s="396">
        <f t="shared" si="37"/>
        <v>1254</v>
      </c>
      <c r="H110" s="396">
        <f t="shared" si="37"/>
        <v>1254</v>
      </c>
      <c r="I110" s="396">
        <f t="shared" si="37"/>
        <v>1254</v>
      </c>
      <c r="J110" s="396">
        <f t="shared" si="37"/>
        <v>1254</v>
      </c>
      <c r="K110" s="396">
        <f t="shared" si="37"/>
        <v>1254</v>
      </c>
      <c r="L110" s="396">
        <f t="shared" si="37"/>
        <v>1254</v>
      </c>
      <c r="M110" s="396">
        <v>0</v>
      </c>
      <c r="N110" s="396">
        <f t="shared" si="37"/>
        <v>0</v>
      </c>
      <c r="O110" s="9">
        <f t="shared" ref="O110:O115" si="38">SUM(C110:N110)</f>
        <v>16470.3</v>
      </c>
      <c r="P110" s="478">
        <v>18532</v>
      </c>
      <c r="Q110" s="478">
        <v>14973</v>
      </c>
      <c r="R110" s="11">
        <f t="shared" si="36"/>
        <v>-2061.7000000000007</v>
      </c>
      <c r="S110" s="370">
        <v>0.21</v>
      </c>
      <c r="T110" s="469" t="s">
        <v>273</v>
      </c>
    </row>
    <row r="111" spans="1:20" ht="15" hidden="1" customHeight="1">
      <c r="A111" s="398">
        <v>50120</v>
      </c>
      <c r="B111" s="471" t="s">
        <v>275</v>
      </c>
      <c r="C111" s="396">
        <v>0</v>
      </c>
      <c r="D111" s="396">
        <v>0</v>
      </c>
      <c r="E111" s="396">
        <v>0</v>
      </c>
      <c r="F111" s="396"/>
      <c r="G111" s="396"/>
      <c r="H111" s="396"/>
      <c r="I111" s="396"/>
      <c r="J111" s="396"/>
      <c r="K111" s="396"/>
      <c r="L111" s="396"/>
      <c r="M111" s="396"/>
      <c r="N111" s="396"/>
      <c r="O111" s="9">
        <f t="shared" si="38"/>
        <v>0</v>
      </c>
      <c r="P111" s="478"/>
      <c r="Q111" s="478"/>
      <c r="R111" s="11">
        <f t="shared" si="36"/>
        <v>0</v>
      </c>
      <c r="S111" s="370" t="e">
        <f t="shared" si="32"/>
        <v>#DIV/0!</v>
      </c>
      <c r="T111" s="469" t="s">
        <v>273</v>
      </c>
    </row>
    <row r="112" spans="1:20" ht="15" customHeight="1">
      <c r="A112" s="398">
        <v>50130</v>
      </c>
      <c r="B112" s="471" t="s">
        <v>276</v>
      </c>
      <c r="C112" s="396">
        <f>1050*110%</f>
        <v>1155</v>
      </c>
      <c r="D112" s="396">
        <f>254*110%</f>
        <v>279.40000000000003</v>
      </c>
      <c r="E112" s="396">
        <f t="shared" ref="E112:N112" si="39">D112</f>
        <v>279.40000000000003</v>
      </c>
      <c r="F112" s="396">
        <f t="shared" si="39"/>
        <v>279.40000000000003</v>
      </c>
      <c r="G112" s="396">
        <f t="shared" si="39"/>
        <v>279.40000000000003</v>
      </c>
      <c r="H112" s="396">
        <f t="shared" si="39"/>
        <v>279.40000000000003</v>
      </c>
      <c r="I112" s="396">
        <f t="shared" si="39"/>
        <v>279.40000000000003</v>
      </c>
      <c r="J112" s="396">
        <f t="shared" si="39"/>
        <v>279.40000000000003</v>
      </c>
      <c r="K112" s="396">
        <f t="shared" si="39"/>
        <v>279.40000000000003</v>
      </c>
      <c r="L112" s="396">
        <f t="shared" si="39"/>
        <v>279.40000000000003</v>
      </c>
      <c r="M112" s="396">
        <v>0</v>
      </c>
      <c r="N112" s="396">
        <f t="shared" si="39"/>
        <v>0</v>
      </c>
      <c r="O112" s="9">
        <f t="shared" si="38"/>
        <v>3669.6000000000008</v>
      </c>
      <c r="P112" s="478">
        <v>3336</v>
      </c>
      <c r="Q112" s="478">
        <v>3336</v>
      </c>
      <c r="R112" s="11">
        <f t="shared" si="36"/>
        <v>333.60000000000082</v>
      </c>
      <c r="S112" s="370">
        <v>0.1</v>
      </c>
      <c r="T112" s="469" t="s">
        <v>273</v>
      </c>
    </row>
    <row r="113" spans="1:20" ht="15" hidden="1" customHeight="1">
      <c r="A113" s="7">
        <v>50140</v>
      </c>
      <c r="B113" s="8" t="s">
        <v>277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f t="shared" si="38"/>
        <v>0</v>
      </c>
      <c r="P113" s="11">
        <v>0</v>
      </c>
      <c r="Q113" s="11">
        <v>0</v>
      </c>
      <c r="R113" s="11">
        <f t="shared" si="36"/>
        <v>0</v>
      </c>
      <c r="S113" s="370" t="e">
        <f t="shared" si="32"/>
        <v>#DIV/0!</v>
      </c>
    </row>
    <row r="114" spans="1:20" ht="15" hidden="1" customHeight="1">
      <c r="A114" s="7">
        <v>50142</v>
      </c>
      <c r="B114" s="8" t="s">
        <v>278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f t="shared" si="38"/>
        <v>0</v>
      </c>
      <c r="P114" s="11">
        <v>0</v>
      </c>
      <c r="Q114" s="11">
        <v>0</v>
      </c>
      <c r="R114" s="11">
        <f t="shared" si="36"/>
        <v>0</v>
      </c>
      <c r="S114" s="370" t="e">
        <f t="shared" si="32"/>
        <v>#DIV/0!</v>
      </c>
    </row>
    <row r="115" spans="1:20" ht="15" hidden="1" customHeight="1">
      <c r="A115" s="7"/>
      <c r="B115" s="8" t="s">
        <v>279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f t="shared" si="38"/>
        <v>0</v>
      </c>
      <c r="P115" s="11">
        <v>0</v>
      </c>
      <c r="Q115" s="11">
        <v>0</v>
      </c>
      <c r="R115" s="11">
        <f t="shared" si="36"/>
        <v>0</v>
      </c>
      <c r="S115" s="370" t="e">
        <f t="shared" si="32"/>
        <v>#DIV/0!</v>
      </c>
    </row>
    <row r="116" spans="1:20" ht="15" customHeight="1">
      <c r="A116" s="7"/>
      <c r="B116" s="8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9"/>
      <c r="P116" s="11"/>
      <c r="Q116" s="11"/>
      <c r="R116" s="11">
        <f>+O116-P116</f>
        <v>0</v>
      </c>
      <c r="S116" s="370"/>
    </row>
    <row r="117" spans="1:20" ht="15" customHeight="1">
      <c r="A117" s="7"/>
      <c r="B117" s="197" t="s">
        <v>280</v>
      </c>
      <c r="C117" s="198">
        <f t="shared" ref="C117:N117" si="40">SUM(C109:C116)</f>
        <v>16667.3</v>
      </c>
      <c r="D117" s="198">
        <f t="shared" si="40"/>
        <v>11861.4</v>
      </c>
      <c r="E117" s="198">
        <f t="shared" si="40"/>
        <v>1533.4</v>
      </c>
      <c r="F117" s="198">
        <f t="shared" si="40"/>
        <v>62338.100000000006</v>
      </c>
      <c r="G117" s="198">
        <f t="shared" si="40"/>
        <v>12894.2</v>
      </c>
      <c r="H117" s="198">
        <f t="shared" si="40"/>
        <v>12894.2</v>
      </c>
      <c r="I117" s="198">
        <f t="shared" si="40"/>
        <v>12894.2</v>
      </c>
      <c r="J117" s="198">
        <f t="shared" si="40"/>
        <v>12894.2</v>
      </c>
      <c r="K117" s="198">
        <f t="shared" si="40"/>
        <v>12894.2</v>
      </c>
      <c r="L117" s="198">
        <f t="shared" si="40"/>
        <v>12894.2</v>
      </c>
      <c r="M117" s="198">
        <f t="shared" si="40"/>
        <v>11360.800000000001</v>
      </c>
      <c r="N117" s="198">
        <f t="shared" si="40"/>
        <v>11360.800000000001</v>
      </c>
      <c r="O117" s="198">
        <f>SUM(O109:O116)</f>
        <v>192486.99999999997</v>
      </c>
      <c r="P117" s="284">
        <f>SUM(P109:P116)</f>
        <v>180925</v>
      </c>
      <c r="Q117" s="284">
        <f>SUM(Q109:Q116)</f>
        <v>209136</v>
      </c>
      <c r="R117" s="283">
        <f>+O117-P117</f>
        <v>11561.999999999971</v>
      </c>
      <c r="S117" s="370">
        <f t="shared" si="32"/>
        <v>-7.9608484431183679E-2</v>
      </c>
    </row>
    <row r="118" spans="1:20" ht="15" customHeight="1">
      <c r="A118" s="7"/>
      <c r="B118" s="8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1"/>
      <c r="Q118" s="11"/>
      <c r="R118" s="11"/>
      <c r="S118" s="370"/>
    </row>
    <row r="119" spans="1:20" ht="15" customHeight="1">
      <c r="A119" s="1"/>
      <c r="B119" s="4" t="s">
        <v>281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1"/>
      <c r="Q119" s="11"/>
      <c r="R119" s="11"/>
      <c r="S119" s="370"/>
    </row>
    <row r="120" spans="1:20" ht="15" customHeight="1">
      <c r="A120" s="7">
        <v>54000</v>
      </c>
      <c r="B120" s="1" t="s">
        <v>282</v>
      </c>
      <c r="C120" s="9">
        <v>0</v>
      </c>
      <c r="D120" s="9">
        <v>95331</v>
      </c>
      <c r="E120" s="9">
        <f>C120</f>
        <v>0</v>
      </c>
      <c r="F120" s="9">
        <f>C120</f>
        <v>0</v>
      </c>
      <c r="G120" s="9">
        <f>C120</f>
        <v>0</v>
      </c>
      <c r="H120" s="18">
        <f>C120</f>
        <v>0</v>
      </c>
      <c r="I120" s="175">
        <f>C120*1.02</f>
        <v>0</v>
      </c>
      <c r="J120" s="9">
        <v>95331</v>
      </c>
      <c r="K120" s="9">
        <v>0</v>
      </c>
      <c r="L120" s="9">
        <v>0</v>
      </c>
      <c r="M120" s="9">
        <v>0</v>
      </c>
      <c r="N120" s="9">
        <v>0</v>
      </c>
      <c r="O120" s="9">
        <f>SUM(C120:N120)</f>
        <v>190662</v>
      </c>
      <c r="P120" s="478">
        <v>192212</v>
      </c>
      <c r="Q120" s="478">
        <v>195213</v>
      </c>
      <c r="R120" s="11">
        <f>+O120-P120</f>
        <v>-1550</v>
      </c>
      <c r="S120" s="370">
        <f t="shared" si="32"/>
        <v>-2.3312996572974136E-2</v>
      </c>
      <c r="T120" s="388" t="s">
        <v>283</v>
      </c>
    </row>
    <row r="121" spans="1:20" ht="15" customHeight="1">
      <c r="A121" s="7"/>
      <c r="B121" s="1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1"/>
      <c r="Q121" s="11"/>
      <c r="R121" s="11"/>
      <c r="S121" s="370"/>
    </row>
    <row r="122" spans="1:20" ht="15" customHeight="1">
      <c r="A122" s="7"/>
      <c r="B122" s="197" t="s">
        <v>284</v>
      </c>
      <c r="C122" s="198">
        <f t="shared" ref="C122:Q122" si="41">SUM(C120:C121)</f>
        <v>0</v>
      </c>
      <c r="D122" s="198">
        <f t="shared" si="41"/>
        <v>95331</v>
      </c>
      <c r="E122" s="198">
        <f t="shared" si="41"/>
        <v>0</v>
      </c>
      <c r="F122" s="198">
        <f t="shared" si="41"/>
        <v>0</v>
      </c>
      <c r="G122" s="198">
        <f t="shared" si="41"/>
        <v>0</v>
      </c>
      <c r="H122" s="198">
        <f t="shared" si="41"/>
        <v>0</v>
      </c>
      <c r="I122" s="198">
        <f t="shared" si="41"/>
        <v>0</v>
      </c>
      <c r="J122" s="198">
        <f t="shared" si="41"/>
        <v>95331</v>
      </c>
      <c r="K122" s="198">
        <f t="shared" si="41"/>
        <v>0</v>
      </c>
      <c r="L122" s="198">
        <f t="shared" si="41"/>
        <v>0</v>
      </c>
      <c r="M122" s="198">
        <f t="shared" si="41"/>
        <v>0</v>
      </c>
      <c r="N122" s="198">
        <f t="shared" si="41"/>
        <v>0</v>
      </c>
      <c r="O122" s="198">
        <f t="shared" si="41"/>
        <v>190662</v>
      </c>
      <c r="P122" s="198">
        <f t="shared" si="41"/>
        <v>192212</v>
      </c>
      <c r="Q122" s="198">
        <f t="shared" si="41"/>
        <v>195213</v>
      </c>
      <c r="R122" s="283">
        <f>+O122-P122</f>
        <v>-1550</v>
      </c>
      <c r="S122" s="370">
        <f t="shared" si="32"/>
        <v>-2.3312996572974136E-2</v>
      </c>
    </row>
    <row r="123" spans="1:20" ht="15" customHeight="1">
      <c r="A123" s="7"/>
      <c r="B123" s="2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1"/>
      <c r="Q123" s="11"/>
      <c r="R123" s="11"/>
      <c r="S123" s="370"/>
    </row>
    <row r="124" spans="1:20" ht="15" customHeight="1">
      <c r="A124" s="7"/>
      <c r="B124" s="197" t="s">
        <v>285</v>
      </c>
      <c r="C124" s="198">
        <f t="shared" ref="C124:R124" si="42">C81+C106+C117+C122+C89</f>
        <v>122944.59833922035</v>
      </c>
      <c r="D124" s="198">
        <f t="shared" si="42"/>
        <v>217760.36633922035</v>
      </c>
      <c r="E124" s="198">
        <f t="shared" si="42"/>
        <v>103476.33207922034</v>
      </c>
      <c r="F124" s="198">
        <f t="shared" si="42"/>
        <v>165182.39833922035</v>
      </c>
      <c r="G124" s="198">
        <f t="shared" si="42"/>
        <v>171495.49833922039</v>
      </c>
      <c r="H124" s="198">
        <f t="shared" si="42"/>
        <v>112691.49833922034</v>
      </c>
      <c r="I124" s="198">
        <f t="shared" si="42"/>
        <v>128096.75677556412</v>
      </c>
      <c r="J124" s="198">
        <f t="shared" si="42"/>
        <v>211865.70677556415</v>
      </c>
      <c r="K124" s="198">
        <f t="shared" si="42"/>
        <v>120135.00677556412</v>
      </c>
      <c r="L124" s="198">
        <f t="shared" si="42"/>
        <v>121275.00677556412</v>
      </c>
      <c r="M124" s="198">
        <f t="shared" si="42"/>
        <v>136549.60677556414</v>
      </c>
      <c r="N124" s="198">
        <f t="shared" si="42"/>
        <v>116109.60677556413</v>
      </c>
      <c r="O124" s="198">
        <f t="shared" si="42"/>
        <v>1727582.3824287071</v>
      </c>
      <c r="P124" s="198">
        <f t="shared" si="42"/>
        <v>1832265</v>
      </c>
      <c r="Q124" s="198">
        <f t="shared" si="42"/>
        <v>1940750</v>
      </c>
      <c r="R124" s="199">
        <f t="shared" si="42"/>
        <v>-104682.61757129303</v>
      </c>
      <c r="S124" s="370">
        <f t="shared" si="32"/>
        <v>-0.10983775219440572</v>
      </c>
    </row>
    <row r="125" spans="1:20" ht="15" customHeight="1">
      <c r="A125" s="7"/>
      <c r="B125" s="22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232"/>
      <c r="Q125" s="232"/>
      <c r="R125" s="232"/>
      <c r="S125" s="370"/>
    </row>
    <row r="126" spans="1:20" ht="15" customHeight="1">
      <c r="A126" s="7"/>
      <c r="B126" s="22" t="s">
        <v>286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232"/>
      <c r="Q126" s="232"/>
      <c r="R126" s="232"/>
      <c r="S126" s="370"/>
    </row>
    <row r="127" spans="1:20" ht="15" customHeight="1">
      <c r="A127" s="7"/>
      <c r="B127" s="363" t="s">
        <v>287</v>
      </c>
      <c r="C127" s="16">
        <f t="shared" ref="C127:M127" si="43">-C100</f>
        <v>0</v>
      </c>
      <c r="D127" s="16">
        <f t="shared" si="43"/>
        <v>0</v>
      </c>
      <c r="E127" s="16">
        <f t="shared" si="43"/>
        <v>0</v>
      </c>
      <c r="F127" s="16">
        <f t="shared" si="43"/>
        <v>0</v>
      </c>
      <c r="G127" s="16">
        <f t="shared" si="43"/>
        <v>0</v>
      </c>
      <c r="H127" s="16">
        <f t="shared" si="43"/>
        <v>0</v>
      </c>
      <c r="I127" s="16">
        <f t="shared" si="43"/>
        <v>0</v>
      </c>
      <c r="J127" s="16">
        <f t="shared" si="43"/>
        <v>0</v>
      </c>
      <c r="K127" s="16">
        <f t="shared" si="43"/>
        <v>0</v>
      </c>
      <c r="L127" s="16">
        <f t="shared" si="43"/>
        <v>0</v>
      </c>
      <c r="M127" s="16">
        <f t="shared" si="43"/>
        <v>0</v>
      </c>
      <c r="N127" s="16">
        <f>-N38</f>
        <v>0</v>
      </c>
      <c r="O127" s="16">
        <f>SUM(C127:N127)</f>
        <v>0</v>
      </c>
      <c r="P127" s="16">
        <v>0</v>
      </c>
      <c r="Q127" s="16"/>
      <c r="R127" s="232">
        <v>0</v>
      </c>
      <c r="S127" s="370" t="e">
        <f t="shared" si="32"/>
        <v>#DIV/0!</v>
      </c>
    </row>
    <row r="128" spans="1:20" ht="15" customHeight="1">
      <c r="A128" s="7"/>
      <c r="B128" s="22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232"/>
      <c r="Q128" s="232"/>
      <c r="R128" s="232"/>
      <c r="S128" s="370"/>
    </row>
    <row r="129" spans="1:20" ht="15" customHeight="1">
      <c r="A129" s="7"/>
      <c r="B129" s="197" t="s">
        <v>288</v>
      </c>
      <c r="C129" s="198">
        <f t="shared" ref="C129:O129" si="44">C30-C124-C127</f>
        <v>190378.97311211011</v>
      </c>
      <c r="D129" s="198">
        <f t="shared" si="44"/>
        <v>95563.205112110096</v>
      </c>
      <c r="E129" s="198">
        <f t="shared" si="44"/>
        <v>210149.74937211012</v>
      </c>
      <c r="F129" s="198">
        <f t="shared" si="44"/>
        <v>148509.89311211012</v>
      </c>
      <c r="G129" s="198">
        <f t="shared" si="44"/>
        <v>142196.79311211008</v>
      </c>
      <c r="H129" s="198">
        <f t="shared" si="44"/>
        <v>201158.58311211009</v>
      </c>
      <c r="I129" s="198">
        <f t="shared" si="44"/>
        <v>213709.62892585743</v>
      </c>
      <c r="J129" s="198">
        <f t="shared" si="44"/>
        <v>134652.6289258574</v>
      </c>
      <c r="K129" s="198">
        <f t="shared" si="44"/>
        <v>276560.11063806945</v>
      </c>
      <c r="L129" s="198">
        <f t="shared" si="44"/>
        <v>275420.11063806945</v>
      </c>
      <c r="M129" s="198">
        <f t="shared" si="44"/>
        <v>261103.64063806942</v>
      </c>
      <c r="N129" s="198">
        <f t="shared" si="44"/>
        <v>301043.64063806942</v>
      </c>
      <c r="O129" s="198">
        <f t="shared" si="44"/>
        <v>2450446.957336653</v>
      </c>
      <c r="P129" s="198">
        <f>+P30-P124-P127</f>
        <v>2405469</v>
      </c>
      <c r="Q129" s="198">
        <f>+Q30-Q124-Q127</f>
        <v>2936602</v>
      </c>
      <c r="R129" s="199">
        <f>+O129-P129-R127</f>
        <v>44977.957336653024</v>
      </c>
      <c r="S129" s="370">
        <f t="shared" si="32"/>
        <v>-0.16555019803955284</v>
      </c>
    </row>
    <row r="130" spans="1:20" ht="15" customHeight="1">
      <c r="A130" s="7"/>
      <c r="B130" s="22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232"/>
      <c r="Q130" s="232"/>
      <c r="R130" s="232"/>
      <c r="S130" s="370"/>
    </row>
    <row r="131" spans="1:20" ht="15" customHeight="1">
      <c r="A131" s="1"/>
      <c r="B131" s="4" t="s">
        <v>289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1"/>
      <c r="Q131" s="11"/>
      <c r="R131" s="11"/>
      <c r="S131" s="370"/>
    </row>
    <row r="132" spans="1:20" ht="14.25" customHeight="1">
      <c r="A132" s="7">
        <v>70210</v>
      </c>
      <c r="B132" s="363" t="s">
        <v>290</v>
      </c>
      <c r="C132" s="9">
        <v>0</v>
      </c>
      <c r="D132" s="9">
        <v>0</v>
      </c>
      <c r="E132" s="9">
        <v>1000</v>
      </c>
      <c r="F132" s="9">
        <v>0</v>
      </c>
      <c r="G132" s="9">
        <v>0</v>
      </c>
      <c r="H132" s="9">
        <v>1000</v>
      </c>
      <c r="I132" s="9">
        <v>0</v>
      </c>
      <c r="J132" s="9">
        <v>0</v>
      </c>
      <c r="K132" s="9">
        <v>1000</v>
      </c>
      <c r="L132" s="9">
        <v>0</v>
      </c>
      <c r="M132" s="9">
        <v>0</v>
      </c>
      <c r="N132" s="9">
        <v>1000</v>
      </c>
      <c r="O132" s="9">
        <f t="shared" ref="O132:O147" si="45">SUM(C132:N132)</f>
        <v>4000</v>
      </c>
      <c r="P132" s="285">
        <v>2890</v>
      </c>
      <c r="Q132" s="285">
        <v>12000</v>
      </c>
      <c r="R132" s="11">
        <f t="shared" ref="R132:R147" si="46">+O132-P132</f>
        <v>1110</v>
      </c>
      <c r="S132" s="370">
        <f t="shared" si="32"/>
        <v>-0.66666666666666663</v>
      </c>
      <c r="T132" s="388" t="s">
        <v>182</v>
      </c>
    </row>
    <row r="133" spans="1:20" ht="13.5" customHeight="1">
      <c r="A133" s="21">
        <v>0</v>
      </c>
      <c r="B133" s="363" t="s">
        <v>291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f t="shared" si="45"/>
        <v>0</v>
      </c>
      <c r="P133" s="285"/>
      <c r="Q133" s="285"/>
      <c r="R133" s="11">
        <f t="shared" si="46"/>
        <v>0</v>
      </c>
      <c r="S133" s="370" t="e">
        <f t="shared" si="32"/>
        <v>#DIV/0!</v>
      </c>
    </row>
    <row r="134" spans="1:20" ht="13.5" customHeight="1">
      <c r="A134" s="7">
        <v>70280</v>
      </c>
      <c r="B134" s="363" t="s">
        <v>292</v>
      </c>
      <c r="C134" s="9">
        <v>50</v>
      </c>
      <c r="D134" s="9">
        <f>C134</f>
        <v>50</v>
      </c>
      <c r="E134" s="9">
        <f t="shared" ref="E134:N134" si="47">D134</f>
        <v>50</v>
      </c>
      <c r="F134" s="9">
        <f t="shared" si="47"/>
        <v>50</v>
      </c>
      <c r="G134" s="9">
        <f t="shared" si="47"/>
        <v>50</v>
      </c>
      <c r="H134" s="9">
        <f t="shared" si="47"/>
        <v>50</v>
      </c>
      <c r="I134" s="9">
        <f t="shared" si="47"/>
        <v>50</v>
      </c>
      <c r="J134" s="9">
        <f t="shared" si="47"/>
        <v>50</v>
      </c>
      <c r="K134" s="9">
        <f t="shared" si="47"/>
        <v>50</v>
      </c>
      <c r="L134" s="9">
        <f t="shared" si="47"/>
        <v>50</v>
      </c>
      <c r="M134" s="9">
        <f t="shared" si="47"/>
        <v>50</v>
      </c>
      <c r="N134" s="9">
        <f t="shared" si="47"/>
        <v>50</v>
      </c>
      <c r="O134" s="9">
        <f t="shared" si="45"/>
        <v>600</v>
      </c>
      <c r="P134" s="285">
        <v>5150</v>
      </c>
      <c r="Q134" s="285">
        <v>19200</v>
      </c>
      <c r="R134" s="11">
        <f t="shared" si="46"/>
        <v>-4550</v>
      </c>
      <c r="S134" s="370">
        <f t="shared" si="32"/>
        <v>-0.96875</v>
      </c>
      <c r="T134" s="388" t="s">
        <v>293</v>
      </c>
    </row>
    <row r="135" spans="1:20" ht="15" customHeight="1">
      <c r="A135" s="7">
        <v>70220</v>
      </c>
      <c r="B135" s="363" t="s">
        <v>294</v>
      </c>
      <c r="C135" s="9">
        <v>0</v>
      </c>
      <c r="D135" s="9">
        <v>0</v>
      </c>
      <c r="E135" s="9">
        <v>1000</v>
      </c>
      <c r="F135" s="9">
        <v>0</v>
      </c>
      <c r="G135" s="9">
        <v>0</v>
      </c>
      <c r="H135" s="9">
        <v>0</v>
      </c>
      <c r="I135" s="9">
        <v>0</v>
      </c>
      <c r="J135" s="9">
        <v>1000</v>
      </c>
      <c r="K135" s="9">
        <v>0</v>
      </c>
      <c r="L135" s="9">
        <v>0</v>
      </c>
      <c r="M135" s="9">
        <v>0</v>
      </c>
      <c r="N135" s="9">
        <v>0</v>
      </c>
      <c r="O135" s="9">
        <f t="shared" si="45"/>
        <v>2000</v>
      </c>
      <c r="P135" s="285">
        <v>4313</v>
      </c>
      <c r="Q135" s="285">
        <v>2000</v>
      </c>
      <c r="R135" s="11">
        <f t="shared" si="46"/>
        <v>-2313</v>
      </c>
      <c r="S135" s="370">
        <f t="shared" si="32"/>
        <v>0</v>
      </c>
    </row>
    <row r="136" spans="1:20" ht="15" customHeight="1">
      <c r="A136" s="7">
        <v>70240</v>
      </c>
      <c r="B136" s="363" t="s">
        <v>295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f t="shared" si="45"/>
        <v>0</v>
      </c>
      <c r="P136" s="285"/>
      <c r="Q136" s="285"/>
      <c r="R136" s="11">
        <f t="shared" si="46"/>
        <v>0</v>
      </c>
      <c r="S136" s="370" t="e">
        <f t="shared" si="32"/>
        <v>#DIV/0!</v>
      </c>
    </row>
    <row r="137" spans="1:20" ht="17.25" customHeight="1">
      <c r="A137" s="7">
        <v>70260</v>
      </c>
      <c r="B137" s="363" t="s">
        <v>296</v>
      </c>
      <c r="C137" s="9">
        <f>'Marketing Budget'!D21</f>
        <v>3125</v>
      </c>
      <c r="D137" s="9">
        <f>'Marketing Budget'!E21</f>
        <v>3925</v>
      </c>
      <c r="E137" s="9">
        <f>'Marketing Budget'!F21</f>
        <v>3125</v>
      </c>
      <c r="F137" s="9">
        <f>'Marketing Budget'!G21</f>
        <v>3125</v>
      </c>
      <c r="G137" s="9">
        <f>'Marketing Budget'!H21</f>
        <v>3925</v>
      </c>
      <c r="H137" s="9">
        <f>'Marketing Budget'!I21</f>
        <v>9725</v>
      </c>
      <c r="I137" s="9">
        <f>'Marketing Budget'!J21</f>
        <v>4475</v>
      </c>
      <c r="J137" s="9">
        <f>'Marketing Budget'!K21</f>
        <v>5275</v>
      </c>
      <c r="K137" s="9">
        <f>'Marketing Budget'!L21</f>
        <v>3125</v>
      </c>
      <c r="L137" s="9">
        <f>'Marketing Budget'!M21</f>
        <v>3125</v>
      </c>
      <c r="M137" s="9">
        <f>'Marketing Budget'!N21</f>
        <v>3925</v>
      </c>
      <c r="N137" s="9">
        <f>'Marketing Budget'!O21</f>
        <v>3125</v>
      </c>
      <c r="O137" s="9">
        <f t="shared" si="45"/>
        <v>50000</v>
      </c>
      <c r="P137" s="285">
        <v>46750</v>
      </c>
      <c r="Q137" s="285">
        <v>46350</v>
      </c>
      <c r="R137" s="11">
        <f t="shared" si="46"/>
        <v>3250</v>
      </c>
      <c r="S137" s="370">
        <f t="shared" si="32"/>
        <v>7.8748651564185548E-2</v>
      </c>
    </row>
    <row r="138" spans="1:20" ht="15" customHeight="1">
      <c r="A138" s="7">
        <v>70340</v>
      </c>
      <c r="B138" s="363" t="s">
        <v>297</v>
      </c>
      <c r="C138" s="9">
        <v>0</v>
      </c>
      <c r="D138" s="9">
        <v>500</v>
      </c>
      <c r="E138" s="9">
        <v>0</v>
      </c>
      <c r="F138" s="9">
        <v>0</v>
      </c>
      <c r="G138" s="9">
        <v>500</v>
      </c>
      <c r="H138" s="9">
        <v>0</v>
      </c>
      <c r="I138" s="9">
        <v>0</v>
      </c>
      <c r="J138" s="9">
        <v>500</v>
      </c>
      <c r="K138" s="9">
        <v>0</v>
      </c>
      <c r="L138" s="9">
        <v>0</v>
      </c>
      <c r="M138" s="9">
        <v>500</v>
      </c>
      <c r="N138" s="9">
        <v>0</v>
      </c>
      <c r="O138" s="9">
        <f t="shared" si="45"/>
        <v>2000</v>
      </c>
      <c r="P138" s="285">
        <v>1607</v>
      </c>
      <c r="Q138" s="285">
        <v>2000</v>
      </c>
      <c r="R138" s="11">
        <f t="shared" si="46"/>
        <v>393</v>
      </c>
      <c r="S138" s="370">
        <f t="shared" si="32"/>
        <v>0</v>
      </c>
    </row>
    <row r="139" spans="1:20" ht="15" customHeight="1">
      <c r="A139" s="7">
        <v>70370</v>
      </c>
      <c r="B139" s="363" t="s">
        <v>298</v>
      </c>
      <c r="C139" s="9">
        <v>0</v>
      </c>
      <c r="D139" s="9">
        <v>0</v>
      </c>
      <c r="E139" s="9">
        <v>0</v>
      </c>
      <c r="F139" s="9">
        <v>0</v>
      </c>
      <c r="G139" s="9">
        <v>2800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f t="shared" si="45"/>
        <v>2800</v>
      </c>
      <c r="P139" s="285">
        <v>2630</v>
      </c>
      <c r="Q139" s="285">
        <v>3209</v>
      </c>
      <c r="R139" s="11">
        <f t="shared" si="46"/>
        <v>170</v>
      </c>
      <c r="S139" s="370">
        <f t="shared" si="32"/>
        <v>-0.12745403552508569</v>
      </c>
      <c r="T139" s="388" t="s">
        <v>299</v>
      </c>
    </row>
    <row r="140" spans="1:20" ht="15.75" customHeight="1">
      <c r="A140" s="7" t="s">
        <v>14</v>
      </c>
      <c r="B140" s="363" t="s">
        <v>300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f t="shared" si="45"/>
        <v>0</v>
      </c>
      <c r="P140" s="285"/>
      <c r="Q140" s="285"/>
      <c r="R140" s="11">
        <f t="shared" si="46"/>
        <v>0</v>
      </c>
      <c r="S140" s="370" t="e">
        <f t="shared" si="32"/>
        <v>#DIV/0!</v>
      </c>
    </row>
    <row r="141" spans="1:20" ht="15.75" customHeight="1">
      <c r="A141" s="7">
        <v>70230</v>
      </c>
      <c r="B141" s="363" t="s">
        <v>301</v>
      </c>
      <c r="C141" s="9">
        <v>0</v>
      </c>
      <c r="D141" s="9">
        <v>0</v>
      </c>
      <c r="E141" s="9">
        <v>1500</v>
      </c>
      <c r="F141" s="9">
        <v>0</v>
      </c>
      <c r="G141" s="9">
        <v>0</v>
      </c>
      <c r="H141" s="9">
        <v>1500</v>
      </c>
      <c r="I141" s="9">
        <v>0</v>
      </c>
      <c r="J141" s="9">
        <v>0</v>
      </c>
      <c r="K141" s="9">
        <v>1500</v>
      </c>
      <c r="L141" s="9">
        <v>0</v>
      </c>
      <c r="M141" s="9">
        <v>0</v>
      </c>
      <c r="N141" s="9">
        <v>1500</v>
      </c>
      <c r="O141" s="9">
        <f t="shared" si="45"/>
        <v>6000</v>
      </c>
      <c r="P141" s="285">
        <v>5887</v>
      </c>
      <c r="Q141" s="285">
        <v>8000</v>
      </c>
      <c r="R141" s="11">
        <f t="shared" si="46"/>
        <v>113</v>
      </c>
      <c r="S141" s="370">
        <f t="shared" si="32"/>
        <v>-0.25</v>
      </c>
      <c r="T141" s="388" t="s">
        <v>299</v>
      </c>
    </row>
    <row r="142" spans="1:20" ht="15.75" customHeight="1">
      <c r="A142" s="7"/>
      <c r="B142" s="363" t="s">
        <v>302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285">
        <v>5000</v>
      </c>
      <c r="Q142" s="285">
        <v>0</v>
      </c>
      <c r="R142" s="11"/>
      <c r="S142" s="370"/>
    </row>
    <row r="143" spans="1:20" ht="15.75" customHeight="1">
      <c r="A143" s="7">
        <v>70320</v>
      </c>
      <c r="B143" s="363" t="s">
        <v>303</v>
      </c>
      <c r="C143" s="9">
        <v>500</v>
      </c>
      <c r="D143" s="9">
        <f>C143</f>
        <v>500</v>
      </c>
      <c r="E143" s="9">
        <f t="shared" ref="E143:N143" si="48">D143</f>
        <v>500</v>
      </c>
      <c r="F143" s="9">
        <f t="shared" si="48"/>
        <v>500</v>
      </c>
      <c r="G143" s="9">
        <f t="shared" si="48"/>
        <v>500</v>
      </c>
      <c r="H143" s="9">
        <f t="shared" si="48"/>
        <v>500</v>
      </c>
      <c r="I143" s="9">
        <f t="shared" si="48"/>
        <v>500</v>
      </c>
      <c r="J143" s="9">
        <f t="shared" si="48"/>
        <v>500</v>
      </c>
      <c r="K143" s="9">
        <f t="shared" si="48"/>
        <v>500</v>
      </c>
      <c r="L143" s="9">
        <f t="shared" si="48"/>
        <v>500</v>
      </c>
      <c r="M143" s="9">
        <f t="shared" si="48"/>
        <v>500</v>
      </c>
      <c r="N143" s="9">
        <f t="shared" si="48"/>
        <v>500</v>
      </c>
      <c r="O143" s="9">
        <f t="shared" si="45"/>
        <v>6000</v>
      </c>
      <c r="P143" s="285">
        <v>150</v>
      </c>
      <c r="Q143" s="285">
        <v>600</v>
      </c>
      <c r="R143" s="11">
        <f t="shared" si="46"/>
        <v>5850</v>
      </c>
      <c r="S143" s="370">
        <f t="shared" si="32"/>
        <v>9</v>
      </c>
      <c r="T143" s="470" t="s">
        <v>304</v>
      </c>
    </row>
    <row r="144" spans="1:20" ht="15.75" customHeight="1">
      <c r="A144" s="7">
        <v>70420</v>
      </c>
      <c r="B144" s="363" t="s">
        <v>305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f t="shared" si="45"/>
        <v>0</v>
      </c>
      <c r="P144" s="285">
        <v>1296</v>
      </c>
      <c r="Q144" s="285">
        <v>0</v>
      </c>
      <c r="R144" s="11">
        <f t="shared" si="46"/>
        <v>-1296</v>
      </c>
      <c r="S144" s="370" t="e">
        <f t="shared" si="32"/>
        <v>#DIV/0!</v>
      </c>
    </row>
    <row r="145" spans="1:55" ht="15.75" customHeight="1">
      <c r="A145" s="7"/>
      <c r="B145" s="363" t="s">
        <v>306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285">
        <v>2094</v>
      </c>
      <c r="Q145" s="285">
        <v>0</v>
      </c>
      <c r="R145" s="11"/>
      <c r="S145" s="370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15.75" customHeight="1">
      <c r="A146" s="7">
        <v>70461</v>
      </c>
      <c r="B146" s="363" t="s">
        <v>307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285"/>
      <c r="Q146" s="285"/>
      <c r="R146" s="11"/>
      <c r="S146" s="370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15" customHeight="1">
      <c r="A147" s="1"/>
      <c r="B147" s="2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>
        <f t="shared" si="45"/>
        <v>0</v>
      </c>
      <c r="P147" s="11"/>
      <c r="Q147" s="11"/>
      <c r="R147" s="11">
        <f t="shared" si="46"/>
        <v>0</v>
      </c>
      <c r="S147" s="370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15" customHeight="1">
      <c r="A148" s="1"/>
      <c r="B148" s="197" t="s">
        <v>308</v>
      </c>
      <c r="C148" s="198">
        <f t="shared" ref="C148:R148" si="49">SUM(C132:C147)</f>
        <v>3675</v>
      </c>
      <c r="D148" s="198">
        <f t="shared" si="49"/>
        <v>4975</v>
      </c>
      <c r="E148" s="198">
        <f t="shared" si="49"/>
        <v>7175</v>
      </c>
      <c r="F148" s="198">
        <f t="shared" si="49"/>
        <v>3675</v>
      </c>
      <c r="G148" s="198">
        <f t="shared" si="49"/>
        <v>7775</v>
      </c>
      <c r="H148" s="198">
        <f t="shared" si="49"/>
        <v>12775</v>
      </c>
      <c r="I148" s="198">
        <f t="shared" si="49"/>
        <v>5025</v>
      </c>
      <c r="J148" s="198">
        <f t="shared" si="49"/>
        <v>7325</v>
      </c>
      <c r="K148" s="198">
        <f t="shared" si="49"/>
        <v>6175</v>
      </c>
      <c r="L148" s="198">
        <f t="shared" si="49"/>
        <v>3675</v>
      </c>
      <c r="M148" s="198">
        <f t="shared" si="49"/>
        <v>4975</v>
      </c>
      <c r="N148" s="198">
        <f t="shared" si="49"/>
        <v>6175</v>
      </c>
      <c r="O148" s="198">
        <f t="shared" si="49"/>
        <v>73400</v>
      </c>
      <c r="P148" s="198">
        <f>SUM(P132:P147)</f>
        <v>77767</v>
      </c>
      <c r="Q148" s="198">
        <f t="shared" si="49"/>
        <v>93359</v>
      </c>
      <c r="R148" s="199">
        <f t="shared" si="49"/>
        <v>2727</v>
      </c>
      <c r="S148" s="370">
        <f t="shared" si="32"/>
        <v>-0.21378763697126146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15" customHeight="1">
      <c r="A149" s="1"/>
      <c r="B149" s="1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232"/>
      <c r="Q149" s="232"/>
      <c r="R149" s="232"/>
      <c r="S149" s="370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15" customHeight="1">
      <c r="A150" s="1"/>
      <c r="B150" s="1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232"/>
      <c r="Q150" s="232"/>
      <c r="R150" s="232"/>
      <c r="S150" s="370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15" customHeight="1">
      <c r="A151" s="1"/>
      <c r="B151" s="197" t="s">
        <v>309</v>
      </c>
      <c r="C151" s="198">
        <f t="shared" ref="C151:R151" si="50">+C129-C148</f>
        <v>186703.97311211011</v>
      </c>
      <c r="D151" s="198">
        <f t="shared" si="50"/>
        <v>90588.205112110096</v>
      </c>
      <c r="E151" s="198">
        <f t="shared" si="50"/>
        <v>202974.74937211012</v>
      </c>
      <c r="F151" s="198">
        <f t="shared" si="50"/>
        <v>144834.89311211012</v>
      </c>
      <c r="G151" s="198">
        <f t="shared" si="50"/>
        <v>134421.79311211008</v>
      </c>
      <c r="H151" s="198">
        <f t="shared" si="50"/>
        <v>188383.58311211009</v>
      </c>
      <c r="I151" s="198">
        <f t="shared" si="50"/>
        <v>208684.62892585743</v>
      </c>
      <c r="J151" s="198">
        <f t="shared" si="50"/>
        <v>127327.6289258574</v>
      </c>
      <c r="K151" s="198">
        <f t="shared" si="50"/>
        <v>270385.11063806945</v>
      </c>
      <c r="L151" s="198">
        <f t="shared" si="50"/>
        <v>271745.11063806945</v>
      </c>
      <c r="M151" s="198">
        <f t="shared" si="50"/>
        <v>256128.64063806942</v>
      </c>
      <c r="N151" s="198">
        <f t="shared" si="50"/>
        <v>294868.64063806942</v>
      </c>
      <c r="O151" s="198">
        <f t="shared" si="50"/>
        <v>2377046.957336653</v>
      </c>
      <c r="P151" s="198">
        <f t="shared" si="50"/>
        <v>2327702</v>
      </c>
      <c r="Q151" s="198">
        <f t="shared" si="50"/>
        <v>2843243</v>
      </c>
      <c r="R151" s="198">
        <f t="shared" si="50"/>
        <v>42250.957336653024</v>
      </c>
      <c r="S151" s="370">
        <f>(O151-Q151)/Q151</f>
        <v>-0.16396630279696353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15" customHeight="1">
      <c r="A152" s="1"/>
      <c r="B152" s="22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232"/>
      <c r="Q152" s="232"/>
      <c r="R152" s="232"/>
      <c r="S152" s="370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4"/>
      <c r="AX152" s="1"/>
      <c r="AY152" s="1"/>
      <c r="AZ152" s="1"/>
      <c r="BA152" s="1"/>
      <c r="BB152" s="1" t="s">
        <v>14</v>
      </c>
      <c r="BC152" s="1" t="s">
        <v>14</v>
      </c>
    </row>
    <row r="153" spans="1:55" ht="15" customHeight="1">
      <c r="A153" s="1"/>
      <c r="B153" s="4" t="s">
        <v>310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232"/>
      <c r="Q153" s="232"/>
      <c r="R153" s="232"/>
      <c r="S153" s="370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4"/>
      <c r="AX153" s="1"/>
      <c r="AY153" s="1"/>
      <c r="AZ153" s="1"/>
      <c r="BA153" s="1"/>
      <c r="BB153" s="1"/>
      <c r="BC153" s="1"/>
    </row>
    <row r="154" spans="1:55" ht="15" customHeight="1">
      <c r="A154" s="25">
        <v>70360</v>
      </c>
      <c r="B154" s="1" t="s">
        <v>311</v>
      </c>
      <c r="C154" s="9">
        <f t="shared" ref="C154:N154" si="51">C30*0.054</f>
        <v>16919.472858371842</v>
      </c>
      <c r="D154" s="9">
        <f t="shared" si="51"/>
        <v>16919.472858371842</v>
      </c>
      <c r="E154" s="9">
        <f t="shared" si="51"/>
        <v>16935.808398371842</v>
      </c>
      <c r="F154" s="9">
        <f t="shared" si="51"/>
        <v>16939.383738371846</v>
      </c>
      <c r="G154" s="9">
        <f t="shared" si="51"/>
        <v>16939.383738371846</v>
      </c>
      <c r="H154" s="9">
        <f t="shared" si="51"/>
        <v>16947.904398371844</v>
      </c>
      <c r="I154" s="9">
        <f t="shared" si="51"/>
        <v>18457.544827876762</v>
      </c>
      <c r="J154" s="9">
        <f t="shared" si="51"/>
        <v>18711.990127876765</v>
      </c>
      <c r="K154" s="9">
        <f t="shared" si="51"/>
        <v>21421.536340336213</v>
      </c>
      <c r="L154" s="9">
        <f t="shared" si="51"/>
        <v>21421.536340336213</v>
      </c>
      <c r="M154" s="9">
        <f t="shared" si="51"/>
        <v>21473.275360336211</v>
      </c>
      <c r="N154" s="9">
        <f t="shared" si="51"/>
        <v>22526.275360336211</v>
      </c>
      <c r="O154" s="9">
        <f t="shared" ref="O154" si="52">SUM(C154:N154)</f>
        <v>225613.58434732939</v>
      </c>
      <c r="P154" s="285">
        <v>241058</v>
      </c>
      <c r="Q154" s="285">
        <v>268564</v>
      </c>
      <c r="R154" s="11">
        <f>+O154-P154</f>
        <v>-15444.415652670607</v>
      </c>
      <c r="S154" s="370">
        <f t="shared" si="32"/>
        <v>-0.15992618389907287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4"/>
      <c r="AX154" s="1"/>
      <c r="AY154" s="1"/>
      <c r="AZ154" s="1"/>
      <c r="BA154" s="1"/>
      <c r="BB154" s="1"/>
      <c r="BC154" s="1"/>
    </row>
    <row r="155" spans="1:55" ht="15" customHeight="1">
      <c r="A155" s="7">
        <v>70411</v>
      </c>
      <c r="B155" s="1" t="s">
        <v>312</v>
      </c>
      <c r="C155" s="9"/>
      <c r="D155" s="9"/>
      <c r="E155" s="9"/>
      <c r="F155" s="9">
        <v>800</v>
      </c>
      <c r="G155" s="9"/>
      <c r="H155" s="9"/>
      <c r="I155" s="9"/>
      <c r="J155" s="9"/>
      <c r="K155" s="9"/>
      <c r="L155" s="9"/>
      <c r="M155" s="9"/>
      <c r="N155" s="9"/>
      <c r="O155" s="277">
        <f>SUM(C155:N155)</f>
        <v>800</v>
      </c>
      <c r="P155" s="285"/>
      <c r="Q155" s="285">
        <v>800</v>
      </c>
      <c r="R155" s="11">
        <f>+O155-P155</f>
        <v>800</v>
      </c>
      <c r="S155" s="370">
        <f t="shared" si="32"/>
        <v>0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4"/>
      <c r="AX155" s="1"/>
      <c r="AY155" s="1"/>
      <c r="AZ155" s="1"/>
      <c r="BA155" s="1"/>
      <c r="BB155" s="1"/>
      <c r="BC155" s="1"/>
    </row>
    <row r="156" spans="1:55" ht="15" customHeight="1">
      <c r="A156" s="1"/>
      <c r="B156" s="2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1"/>
      <c r="Q156" s="11"/>
      <c r="R156" s="11">
        <f>+O156-P156</f>
        <v>0</v>
      </c>
      <c r="S156" s="370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4"/>
      <c r="AX156" s="1"/>
      <c r="AY156" s="1"/>
      <c r="AZ156" s="1"/>
      <c r="BA156" s="1"/>
      <c r="BB156" s="1"/>
      <c r="BC156" s="1"/>
    </row>
    <row r="157" spans="1:55" ht="15" customHeight="1">
      <c r="A157" s="1"/>
      <c r="B157" s="197" t="s">
        <v>313</v>
      </c>
      <c r="C157" s="198">
        <f t="shared" ref="C157:Q157" si="53">SUM(C154:C156)</f>
        <v>16919.472858371842</v>
      </c>
      <c r="D157" s="198">
        <f t="shared" si="53"/>
        <v>16919.472858371842</v>
      </c>
      <c r="E157" s="198">
        <f t="shared" si="53"/>
        <v>16935.808398371842</v>
      </c>
      <c r="F157" s="198">
        <f t="shared" si="53"/>
        <v>17739.383738371846</v>
      </c>
      <c r="G157" s="198">
        <f t="shared" si="53"/>
        <v>16939.383738371846</v>
      </c>
      <c r="H157" s="198">
        <f t="shared" si="53"/>
        <v>16947.904398371844</v>
      </c>
      <c r="I157" s="198">
        <f t="shared" si="53"/>
        <v>18457.544827876762</v>
      </c>
      <c r="J157" s="198">
        <f t="shared" si="53"/>
        <v>18711.990127876765</v>
      </c>
      <c r="K157" s="198">
        <f t="shared" si="53"/>
        <v>21421.536340336213</v>
      </c>
      <c r="L157" s="198">
        <f t="shared" si="53"/>
        <v>21421.536340336213</v>
      </c>
      <c r="M157" s="198">
        <f t="shared" si="53"/>
        <v>21473.275360336211</v>
      </c>
      <c r="N157" s="198">
        <f t="shared" si="53"/>
        <v>22526.275360336211</v>
      </c>
      <c r="O157" s="198">
        <f>SUM(O154:O156)</f>
        <v>226413.58434732939</v>
      </c>
      <c r="P157" s="198">
        <f t="shared" si="53"/>
        <v>241058</v>
      </c>
      <c r="Q157" s="198">
        <f t="shared" si="53"/>
        <v>269364</v>
      </c>
      <c r="R157" s="199">
        <f>SUM(R147:R156)</f>
        <v>30333.541683982417</v>
      </c>
      <c r="S157" s="370">
        <f t="shared" si="32"/>
        <v>-0.15945120971128512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4"/>
      <c r="AX157" s="1"/>
      <c r="AY157" s="1"/>
      <c r="AZ157" s="1"/>
      <c r="BA157" s="1"/>
      <c r="BB157" s="1"/>
      <c r="BC157" s="1"/>
    </row>
    <row r="158" spans="1:55" ht="15" customHeight="1">
      <c r="A158" s="1"/>
      <c r="B158" s="22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232"/>
      <c r="Q158" s="232"/>
      <c r="R158" s="232"/>
      <c r="S158" s="370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4"/>
      <c r="AX158" s="1"/>
      <c r="AY158" s="1"/>
      <c r="AZ158" s="1"/>
      <c r="BA158" s="1"/>
      <c r="BB158" s="1"/>
      <c r="BC158" s="1"/>
    </row>
    <row r="159" spans="1:55" ht="15" customHeight="1">
      <c r="A159" s="1"/>
      <c r="B159" s="197" t="s">
        <v>314</v>
      </c>
      <c r="C159" s="198">
        <f t="shared" ref="C159:Q159" si="54">+C151-C157</f>
        <v>169784.50025373825</v>
      </c>
      <c r="D159" s="198">
        <f t="shared" si="54"/>
        <v>73668.732253738257</v>
      </c>
      <c r="E159" s="198">
        <f t="shared" si="54"/>
        <v>186038.94097373827</v>
      </c>
      <c r="F159" s="198">
        <f t="shared" si="54"/>
        <v>127095.50937373827</v>
      </c>
      <c r="G159" s="198">
        <f t="shared" si="54"/>
        <v>117482.40937373824</v>
      </c>
      <c r="H159" s="198">
        <f t="shared" si="54"/>
        <v>171435.67871373825</v>
      </c>
      <c r="I159" s="198">
        <f t="shared" si="54"/>
        <v>190227.08409798067</v>
      </c>
      <c r="J159" s="198">
        <f t="shared" si="54"/>
        <v>108615.63879798063</v>
      </c>
      <c r="K159" s="198">
        <f t="shared" si="54"/>
        <v>248963.57429773326</v>
      </c>
      <c r="L159" s="198">
        <f t="shared" si="54"/>
        <v>250323.57429773326</v>
      </c>
      <c r="M159" s="198">
        <f t="shared" si="54"/>
        <v>234655.36527773322</v>
      </c>
      <c r="N159" s="198">
        <f t="shared" si="54"/>
        <v>272342.36527773319</v>
      </c>
      <c r="O159" s="198">
        <f t="shared" si="54"/>
        <v>2150633.3729893235</v>
      </c>
      <c r="P159" s="198">
        <f t="shared" si="54"/>
        <v>2086644</v>
      </c>
      <c r="Q159" s="198">
        <f t="shared" si="54"/>
        <v>2573879</v>
      </c>
      <c r="R159" s="283">
        <f>+O159-P159</f>
        <v>63989.372989323456</v>
      </c>
      <c r="S159" s="370">
        <f t="shared" si="32"/>
        <v>-0.16443882055476444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4"/>
      <c r="AX159" s="1"/>
      <c r="AY159" s="1"/>
      <c r="AZ159" s="1"/>
      <c r="BA159" s="1"/>
      <c r="BB159" s="1"/>
      <c r="BC159" s="1"/>
    </row>
    <row r="160" spans="1:55" ht="15" customHeight="1">
      <c r="A160" s="1"/>
      <c r="B160" s="22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232"/>
      <c r="Q160" s="232"/>
      <c r="R160" s="232"/>
      <c r="S160" s="370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4"/>
      <c r="AX160" s="1"/>
      <c r="AY160" s="1"/>
      <c r="AZ160" s="1"/>
      <c r="BA160" s="1"/>
      <c r="BB160" s="1"/>
      <c r="BC160" s="1"/>
    </row>
    <row r="161" spans="1:20" ht="15" customHeight="1">
      <c r="A161" s="1"/>
      <c r="B161" s="4" t="s">
        <v>315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232"/>
      <c r="Q161" s="232"/>
      <c r="R161" s="232"/>
      <c r="S161" s="370"/>
    </row>
    <row r="162" spans="1:20" ht="15" customHeight="1">
      <c r="A162" s="7">
        <v>70125</v>
      </c>
      <c r="B162" s="363" t="s">
        <v>316</v>
      </c>
      <c r="C162" s="16">
        <v>155000</v>
      </c>
      <c r="D162" s="16">
        <f>C162</f>
        <v>155000</v>
      </c>
      <c r="E162" s="16">
        <f t="shared" ref="E162:N162" si="55">D162</f>
        <v>155000</v>
      </c>
      <c r="F162" s="16">
        <f t="shared" si="55"/>
        <v>155000</v>
      </c>
      <c r="G162" s="16">
        <f t="shared" si="55"/>
        <v>155000</v>
      </c>
      <c r="H162" s="16">
        <f t="shared" si="55"/>
        <v>155000</v>
      </c>
      <c r="I162" s="16">
        <f t="shared" si="55"/>
        <v>155000</v>
      </c>
      <c r="J162" s="16">
        <f t="shared" si="55"/>
        <v>155000</v>
      </c>
      <c r="K162" s="16">
        <f t="shared" si="55"/>
        <v>155000</v>
      </c>
      <c r="L162" s="16">
        <f t="shared" si="55"/>
        <v>155000</v>
      </c>
      <c r="M162" s="16">
        <f t="shared" si="55"/>
        <v>155000</v>
      </c>
      <c r="N162" s="16">
        <f t="shared" si="55"/>
        <v>155000</v>
      </c>
      <c r="O162" s="16">
        <f t="shared" ref="O162:O163" si="56">SUM(C162:N162)</f>
        <v>1860000</v>
      </c>
      <c r="P162" s="348">
        <v>1795078</v>
      </c>
      <c r="Q162" s="348">
        <v>1620000</v>
      </c>
      <c r="R162" s="11">
        <f t="shared" ref="R162" si="57">+O162-P162</f>
        <v>64922</v>
      </c>
      <c r="S162" s="370">
        <f t="shared" si="32"/>
        <v>0.14814814814814814</v>
      </c>
      <c r="T162" s="388" t="s">
        <v>317</v>
      </c>
    </row>
    <row r="163" spans="1:20" ht="15" customHeight="1">
      <c r="A163" s="7">
        <v>70186</v>
      </c>
      <c r="B163" s="363" t="s">
        <v>318</v>
      </c>
      <c r="C163" s="16">
        <v>5833</v>
      </c>
      <c r="D163" s="16">
        <v>5833</v>
      </c>
      <c r="E163" s="16">
        <v>5833</v>
      </c>
      <c r="F163" s="16">
        <v>5833</v>
      </c>
      <c r="G163" s="16">
        <v>5833</v>
      </c>
      <c r="H163" s="16">
        <v>5833</v>
      </c>
      <c r="I163" s="16">
        <v>5833</v>
      </c>
      <c r="J163" s="16">
        <v>5833</v>
      </c>
      <c r="K163" s="16">
        <v>5833</v>
      </c>
      <c r="L163" s="16">
        <v>5833</v>
      </c>
      <c r="M163" s="16">
        <v>5833</v>
      </c>
      <c r="N163" s="16">
        <v>5833</v>
      </c>
      <c r="O163" s="16">
        <f t="shared" si="56"/>
        <v>69996</v>
      </c>
      <c r="P163" s="348">
        <v>17499</v>
      </c>
      <c r="Q163" s="348"/>
      <c r="R163" s="11"/>
      <c r="S163" s="370"/>
    </row>
    <row r="164" spans="1:20" ht="15" customHeight="1">
      <c r="A164" s="7"/>
      <c r="B164" s="1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232"/>
      <c r="Q164" s="232"/>
      <c r="R164" s="232"/>
      <c r="S164" s="370"/>
    </row>
    <row r="165" spans="1:20" ht="15" customHeight="1">
      <c r="A165" s="7"/>
      <c r="B165" s="197" t="s">
        <v>319</v>
      </c>
      <c r="C165" s="198">
        <f>SUM(C162:C164)</f>
        <v>160833</v>
      </c>
      <c r="D165" s="198">
        <f t="shared" ref="D165:R165" si="58">SUM(D162:D164)</f>
        <v>160833</v>
      </c>
      <c r="E165" s="198">
        <f t="shared" si="58"/>
        <v>160833</v>
      </c>
      <c r="F165" s="198">
        <f t="shared" si="58"/>
        <v>160833</v>
      </c>
      <c r="G165" s="198">
        <f t="shared" si="58"/>
        <v>160833</v>
      </c>
      <c r="H165" s="198">
        <f t="shared" si="58"/>
        <v>160833</v>
      </c>
      <c r="I165" s="198">
        <f t="shared" si="58"/>
        <v>160833</v>
      </c>
      <c r="J165" s="198">
        <f t="shared" si="58"/>
        <v>160833</v>
      </c>
      <c r="K165" s="198">
        <f t="shared" si="58"/>
        <v>160833</v>
      </c>
      <c r="L165" s="198">
        <f t="shared" si="58"/>
        <v>160833</v>
      </c>
      <c r="M165" s="198">
        <f t="shared" si="58"/>
        <v>160833</v>
      </c>
      <c r="N165" s="198">
        <f t="shared" si="58"/>
        <v>160833</v>
      </c>
      <c r="O165" s="198">
        <f t="shared" si="58"/>
        <v>1929996</v>
      </c>
      <c r="P165" s="198">
        <f t="shared" si="58"/>
        <v>1812577</v>
      </c>
      <c r="Q165" s="198">
        <f t="shared" si="58"/>
        <v>1620000</v>
      </c>
      <c r="R165" s="283">
        <f t="shared" si="58"/>
        <v>64922</v>
      </c>
      <c r="S165" s="370">
        <f t="shared" si="32"/>
        <v>0.19135555555555556</v>
      </c>
    </row>
    <row r="166" spans="1:20" ht="15" customHeight="1">
      <c r="A166" s="7"/>
      <c r="B166" s="1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232"/>
      <c r="Q166" s="232"/>
      <c r="R166" s="232"/>
      <c r="S166" s="370"/>
    </row>
    <row r="167" spans="1:20" ht="15" customHeight="1">
      <c r="A167" s="7"/>
      <c r="B167" s="197" t="s">
        <v>314</v>
      </c>
      <c r="C167" s="198">
        <f t="shared" ref="C167:Q167" si="59">+C159-C165</f>
        <v>8951.5002537382534</v>
      </c>
      <c r="D167" s="198">
        <f t="shared" si="59"/>
        <v>-87164.267746261743</v>
      </c>
      <c r="E167" s="198">
        <f t="shared" si="59"/>
        <v>25205.940973738267</v>
      </c>
      <c r="F167" s="198">
        <f t="shared" si="59"/>
        <v>-33737.49062626173</v>
      </c>
      <c r="G167" s="198">
        <f t="shared" si="59"/>
        <v>-43350.590626261765</v>
      </c>
      <c r="H167" s="198">
        <f t="shared" si="59"/>
        <v>10602.678713738249</v>
      </c>
      <c r="I167" s="198">
        <f t="shared" si="59"/>
        <v>29394.084097980667</v>
      </c>
      <c r="J167" s="198">
        <f t="shared" si="59"/>
        <v>-52217.361202019369</v>
      </c>
      <c r="K167" s="198">
        <f t="shared" si="59"/>
        <v>88130.574297733256</v>
      </c>
      <c r="L167" s="198">
        <f t="shared" si="59"/>
        <v>89490.574297733256</v>
      </c>
      <c r="M167" s="198">
        <f t="shared" si="59"/>
        <v>73822.365277733217</v>
      </c>
      <c r="N167" s="198">
        <f t="shared" si="59"/>
        <v>111509.36527773319</v>
      </c>
      <c r="O167" s="198">
        <f t="shared" si="59"/>
        <v>220637.37298932346</v>
      </c>
      <c r="P167" s="198">
        <f t="shared" si="59"/>
        <v>274067</v>
      </c>
      <c r="Q167" s="198">
        <f t="shared" si="59"/>
        <v>953879</v>
      </c>
      <c r="R167" s="283">
        <f>O167-P167</f>
        <v>-53429.627010676544</v>
      </c>
      <c r="S167" s="370">
        <f t="shared" ref="S167:S177" si="60">(O167-Q167)/Q167</f>
        <v>-0.76869459020554654</v>
      </c>
    </row>
    <row r="168" spans="1:20" ht="15" customHeight="1">
      <c r="A168" s="7"/>
      <c r="B168" s="1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232"/>
      <c r="Q168" s="232"/>
      <c r="R168" s="232"/>
      <c r="S168" s="370"/>
    </row>
    <row r="169" spans="1:20" ht="15" customHeight="1">
      <c r="A169" s="7"/>
      <c r="B169" s="4" t="s">
        <v>320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232"/>
      <c r="Q169" s="232"/>
      <c r="R169" s="232"/>
      <c r="S169" s="370"/>
    </row>
    <row r="170" spans="1:20" s="404" customFormat="1" ht="15" customHeight="1">
      <c r="A170" s="398">
        <v>10490</v>
      </c>
      <c r="B170" s="475" t="s">
        <v>321</v>
      </c>
      <c r="C170" s="399">
        <v>0</v>
      </c>
      <c r="D170" s="399">
        <v>0</v>
      </c>
      <c r="E170" s="399">
        <v>0</v>
      </c>
      <c r="F170" s="399">
        <v>0</v>
      </c>
      <c r="G170" s="399">
        <v>0</v>
      </c>
      <c r="H170" s="399">
        <v>0</v>
      </c>
      <c r="I170" s="399">
        <v>0</v>
      </c>
      <c r="J170" s="399">
        <v>0</v>
      </c>
      <c r="K170" s="399">
        <v>0</v>
      </c>
      <c r="L170" s="399">
        <v>0</v>
      </c>
      <c r="M170" s="399">
        <v>0</v>
      </c>
      <c r="N170" s="399">
        <v>0</v>
      </c>
      <c r="O170" s="399">
        <f t="shared" ref="O170:O177" si="61">SUM(C170:N170)</f>
        <v>0</v>
      </c>
      <c r="P170" s="400"/>
      <c r="Q170" s="400"/>
      <c r="R170" s="401">
        <f t="shared" ref="R170:R175" si="62">+O170-P170</f>
        <v>0</v>
      </c>
      <c r="S170" s="402" t="e">
        <f t="shared" si="60"/>
        <v>#DIV/0!</v>
      </c>
      <c r="T170" s="403"/>
    </row>
    <row r="171" spans="1:20" ht="15" customHeight="1">
      <c r="A171" s="7">
        <v>25300</v>
      </c>
      <c r="B171" s="363" t="s">
        <v>322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348"/>
      <c r="Q171" s="348"/>
      <c r="R171" s="11"/>
      <c r="S171" s="370"/>
    </row>
    <row r="172" spans="1:20" ht="15" customHeight="1">
      <c r="A172" s="7">
        <v>16500</v>
      </c>
      <c r="B172" s="1" t="s">
        <v>323</v>
      </c>
      <c r="C172" s="16"/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f>79500/2</f>
        <v>39750</v>
      </c>
      <c r="K172" s="16">
        <v>0</v>
      </c>
      <c r="L172" s="16">
        <v>0</v>
      </c>
      <c r="M172" s="16">
        <v>0</v>
      </c>
      <c r="N172" s="16">
        <v>0</v>
      </c>
      <c r="O172" s="16">
        <f t="shared" si="61"/>
        <v>39750</v>
      </c>
      <c r="P172" s="348">
        <v>17161</v>
      </c>
      <c r="Q172" s="348">
        <v>74102</v>
      </c>
      <c r="R172" s="11">
        <f t="shared" si="62"/>
        <v>22589</v>
      </c>
      <c r="S172" s="370">
        <f t="shared" si="60"/>
        <v>-0.46357723138376833</v>
      </c>
    </row>
    <row r="173" spans="1:20" s="404" customFormat="1" ht="15" customHeight="1">
      <c r="A173" s="398">
        <v>16500</v>
      </c>
      <c r="B173" s="1" t="s">
        <v>324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/>
      <c r="K173" s="16">
        <v>0</v>
      </c>
      <c r="L173" s="16">
        <v>0</v>
      </c>
      <c r="M173" s="16">
        <v>0</v>
      </c>
      <c r="N173" s="16">
        <f>54200/2</f>
        <v>27100</v>
      </c>
      <c r="O173" s="16">
        <f t="shared" si="61"/>
        <v>27100</v>
      </c>
      <c r="P173" s="400"/>
      <c r="Q173" s="400"/>
      <c r="R173" s="401">
        <f t="shared" si="62"/>
        <v>27100</v>
      </c>
      <c r="S173" s="402" t="e">
        <f t="shared" si="60"/>
        <v>#DIV/0!</v>
      </c>
      <c r="T173" s="403"/>
    </row>
    <row r="174" spans="1:20" ht="15" customHeight="1">
      <c r="A174" s="7">
        <v>15100</v>
      </c>
      <c r="B174" s="1" t="s">
        <v>325</v>
      </c>
      <c r="C174" s="16"/>
      <c r="D174" s="16">
        <v>176666.66</v>
      </c>
      <c r="E174" s="16">
        <v>0</v>
      </c>
      <c r="F174" s="16">
        <v>0</v>
      </c>
      <c r="G174" s="16">
        <v>176667</v>
      </c>
      <c r="H174" s="16">
        <v>0</v>
      </c>
      <c r="I174" s="16">
        <v>0</v>
      </c>
      <c r="J174" s="16"/>
      <c r="K174" s="16">
        <v>176667</v>
      </c>
      <c r="L174" s="16">
        <v>0</v>
      </c>
      <c r="M174" s="16">
        <v>0</v>
      </c>
      <c r="N174" s="16">
        <v>0</v>
      </c>
      <c r="O174" s="16">
        <f t="shared" si="61"/>
        <v>530000.66</v>
      </c>
      <c r="P174" s="348">
        <v>299300</v>
      </c>
      <c r="Q174" s="348">
        <v>299300</v>
      </c>
      <c r="R174" s="11">
        <f t="shared" si="62"/>
        <v>230700.66000000003</v>
      </c>
      <c r="S174" s="370">
        <f t="shared" si="60"/>
        <v>0.77080073504844648</v>
      </c>
    </row>
    <row r="175" spans="1:20" ht="15" customHeight="1">
      <c r="A175" s="7">
        <v>15100</v>
      </c>
      <c r="B175" s="473" t="s">
        <v>326</v>
      </c>
      <c r="C175" s="16"/>
      <c r="D175" s="16">
        <v>0</v>
      </c>
      <c r="E175" s="16">
        <v>0</v>
      </c>
      <c r="F175" s="16">
        <v>0</v>
      </c>
      <c r="G175" s="16">
        <v>0</v>
      </c>
      <c r="H175" s="16">
        <f>C175</f>
        <v>0</v>
      </c>
      <c r="I175" s="16">
        <v>0</v>
      </c>
      <c r="J175" s="16"/>
      <c r="K175" s="16">
        <v>0</v>
      </c>
      <c r="L175" s="16">
        <v>0</v>
      </c>
      <c r="M175" s="16">
        <v>0</v>
      </c>
      <c r="N175" s="16">
        <v>300000</v>
      </c>
      <c r="O175" s="16">
        <f t="shared" si="61"/>
        <v>300000</v>
      </c>
      <c r="P175" s="348"/>
      <c r="Q175" s="348"/>
      <c r="R175" s="11">
        <f t="shared" si="62"/>
        <v>300000</v>
      </c>
      <c r="S175" s="370" t="e">
        <f t="shared" si="60"/>
        <v>#DIV/0!</v>
      </c>
    </row>
    <row r="176" spans="1:20" ht="15" customHeight="1">
      <c r="A176" s="7">
        <v>15200</v>
      </c>
      <c r="B176" s="1" t="s">
        <v>327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"/>
      <c r="I176" s="16">
        <v>0</v>
      </c>
      <c r="J176" s="1"/>
      <c r="K176" s="16">
        <v>0</v>
      </c>
      <c r="L176" s="16">
        <v>0</v>
      </c>
      <c r="M176" s="16">
        <v>0</v>
      </c>
      <c r="N176" s="16">
        <v>0</v>
      </c>
      <c r="O176" s="16">
        <f t="shared" si="61"/>
        <v>0</v>
      </c>
      <c r="P176" s="348"/>
      <c r="Q176" s="348"/>
      <c r="R176" s="11">
        <f>+O176-P176</f>
        <v>0</v>
      </c>
      <c r="S176" s="370" t="e">
        <f>(O176-Q176)/Q176</f>
        <v>#DIV/0!</v>
      </c>
    </row>
    <row r="177" spans="1:19" ht="15" customHeight="1">
      <c r="A177" s="7"/>
      <c r="B177" s="363" t="s">
        <v>328</v>
      </c>
      <c r="C177" s="16">
        <v>0</v>
      </c>
      <c r="D177" s="16">
        <v>0</v>
      </c>
      <c r="E177" s="16">
        <v>0</v>
      </c>
      <c r="F177" s="16">
        <v>0</v>
      </c>
      <c r="G177" s="16">
        <f>-G175</f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f t="shared" si="61"/>
        <v>0</v>
      </c>
      <c r="P177" s="348"/>
      <c r="Q177" s="348"/>
      <c r="R177" s="11">
        <f t="shared" ref="R177:R179" si="63">+O177-P177</f>
        <v>0</v>
      </c>
      <c r="S177" s="370" t="e">
        <f t="shared" si="60"/>
        <v>#DIV/0!</v>
      </c>
    </row>
    <row r="178" spans="1:19" ht="15" customHeight="1">
      <c r="A178" s="7">
        <v>35000</v>
      </c>
      <c r="B178" s="1" t="s">
        <v>329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f>SUM(C178:N178)</f>
        <v>0</v>
      </c>
      <c r="P178" s="348">
        <v>13354709</v>
      </c>
      <c r="Q178" s="348">
        <v>0</v>
      </c>
      <c r="R178" s="11">
        <f t="shared" si="63"/>
        <v>-13354709</v>
      </c>
      <c r="S178" s="370"/>
    </row>
    <row r="179" spans="1:19" ht="15" customHeight="1">
      <c r="A179" s="7">
        <v>15010</v>
      </c>
      <c r="B179" s="1" t="s">
        <v>330</v>
      </c>
      <c r="C179" s="16"/>
      <c r="D179" s="16"/>
      <c r="E179" s="16">
        <v>0</v>
      </c>
      <c r="F179" s="16"/>
      <c r="G179" s="16"/>
      <c r="H179" s="16"/>
      <c r="I179" s="16"/>
      <c r="J179" s="16"/>
      <c r="K179" s="16"/>
      <c r="L179" s="16"/>
      <c r="M179" s="16"/>
      <c r="N179" s="16"/>
      <c r="O179" s="16">
        <f t="shared" ref="O179" si="64">SUM(C179:N179)</f>
        <v>0</v>
      </c>
      <c r="P179" s="348">
        <v>117969</v>
      </c>
      <c r="Q179" s="348">
        <v>310320</v>
      </c>
      <c r="R179" s="11">
        <f t="shared" si="63"/>
        <v>-117969</v>
      </c>
      <c r="S179" s="232"/>
    </row>
    <row r="180" spans="1:19" ht="15" customHeight="1">
      <c r="A180" s="7"/>
      <c r="B180" s="1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399"/>
      <c r="P180" s="348"/>
      <c r="Q180" s="348"/>
      <c r="R180" s="11"/>
      <c r="S180" s="232"/>
    </row>
    <row r="181" spans="1:19" ht="15" customHeight="1">
      <c r="A181" s="7"/>
      <c r="B181" s="197" t="s">
        <v>331</v>
      </c>
      <c r="C181" s="198">
        <f t="shared" ref="C181:R181" si="65">SUM(C170:C179)</f>
        <v>0</v>
      </c>
      <c r="D181" s="198">
        <f t="shared" si="65"/>
        <v>176666.66</v>
      </c>
      <c r="E181" s="198">
        <f t="shared" si="65"/>
        <v>0</v>
      </c>
      <c r="F181" s="198">
        <f t="shared" si="65"/>
        <v>0</v>
      </c>
      <c r="G181" s="198">
        <f t="shared" si="65"/>
        <v>176667</v>
      </c>
      <c r="H181" s="198">
        <f t="shared" si="65"/>
        <v>0</v>
      </c>
      <c r="I181" s="198">
        <f t="shared" si="65"/>
        <v>0</v>
      </c>
      <c r="J181" s="198">
        <f t="shared" si="65"/>
        <v>39750</v>
      </c>
      <c r="K181" s="198">
        <f t="shared" si="65"/>
        <v>176667</v>
      </c>
      <c r="L181" s="198">
        <f t="shared" si="65"/>
        <v>0</v>
      </c>
      <c r="M181" s="198">
        <f t="shared" si="65"/>
        <v>0</v>
      </c>
      <c r="N181" s="198">
        <f t="shared" si="65"/>
        <v>327100</v>
      </c>
      <c r="O181" s="198">
        <f t="shared" si="65"/>
        <v>896850.66</v>
      </c>
      <c r="P181" s="198">
        <f t="shared" si="65"/>
        <v>13789139</v>
      </c>
      <c r="Q181" s="198">
        <f t="shared" si="65"/>
        <v>683722</v>
      </c>
      <c r="R181" s="283">
        <f t="shared" si="65"/>
        <v>-12892288.34</v>
      </c>
      <c r="S181" s="368"/>
    </row>
    <row r="182" spans="1:19" ht="15" customHeight="1">
      <c r="A182" s="7"/>
      <c r="B182" s="1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232"/>
      <c r="Q182" s="232"/>
      <c r="R182" s="232"/>
      <c r="S182" s="232"/>
    </row>
    <row r="183" spans="1:19" ht="15" customHeight="1">
      <c r="A183" s="1"/>
      <c r="B183" s="197" t="s">
        <v>332</v>
      </c>
      <c r="C183" s="198">
        <f t="shared" ref="C183:Q183" si="66">+C167-C181</f>
        <v>8951.5002537382534</v>
      </c>
      <c r="D183" s="198">
        <f t="shared" si="66"/>
        <v>-263830.92774626176</v>
      </c>
      <c r="E183" s="198">
        <f t="shared" si="66"/>
        <v>25205.940973738267</v>
      </c>
      <c r="F183" s="198">
        <f t="shared" si="66"/>
        <v>-33737.49062626173</v>
      </c>
      <c r="G183" s="198">
        <f t="shared" si="66"/>
        <v>-220017.59062626178</v>
      </c>
      <c r="H183" s="198">
        <f t="shared" si="66"/>
        <v>10602.678713738249</v>
      </c>
      <c r="I183" s="198">
        <f t="shared" si="66"/>
        <v>29394.084097980667</v>
      </c>
      <c r="J183" s="198">
        <f t="shared" si="66"/>
        <v>-91967.361202019369</v>
      </c>
      <c r="K183" s="198">
        <f t="shared" si="66"/>
        <v>-88536.425702266744</v>
      </c>
      <c r="L183" s="198">
        <f t="shared" si="66"/>
        <v>89490.574297733256</v>
      </c>
      <c r="M183" s="198">
        <f t="shared" si="66"/>
        <v>73822.365277733217</v>
      </c>
      <c r="N183" s="198">
        <f t="shared" si="66"/>
        <v>-215590.63472226681</v>
      </c>
      <c r="O183" s="198">
        <f t="shared" si="66"/>
        <v>-676213.28701067658</v>
      </c>
      <c r="P183" s="198">
        <f t="shared" si="66"/>
        <v>-13515072</v>
      </c>
      <c r="Q183" s="198">
        <f t="shared" si="66"/>
        <v>270157</v>
      </c>
      <c r="R183" s="283">
        <f>O183-P183</f>
        <v>12838858.712989323</v>
      </c>
      <c r="S183" s="368"/>
    </row>
    <row r="184" spans="1:19" ht="15" customHeight="1">
      <c r="A184" s="1"/>
      <c r="B184" s="1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</row>
    <row r="185" spans="1:19" ht="15" customHeight="1">
      <c r="A185" s="1"/>
      <c r="B185" s="1" t="s">
        <v>333</v>
      </c>
      <c r="C185" s="11">
        <f t="shared" ref="C185:N185" si="67">C30*0.04</f>
        <v>12532.942858053219</v>
      </c>
      <c r="D185" s="11">
        <f t="shared" si="67"/>
        <v>12532.942858053219</v>
      </c>
      <c r="E185" s="11">
        <f t="shared" si="67"/>
        <v>12545.043258053218</v>
      </c>
      <c r="F185" s="11">
        <f t="shared" si="67"/>
        <v>12547.69165805322</v>
      </c>
      <c r="G185" s="11">
        <f t="shared" si="67"/>
        <v>12547.69165805322</v>
      </c>
      <c r="H185" s="11">
        <f t="shared" si="67"/>
        <v>12554.003258053219</v>
      </c>
      <c r="I185" s="11">
        <f t="shared" si="67"/>
        <v>13672.255428056862</v>
      </c>
      <c r="J185" s="11">
        <f t="shared" si="67"/>
        <v>13860.733428056861</v>
      </c>
      <c r="K185" s="11">
        <f t="shared" si="67"/>
        <v>15867.804696545343</v>
      </c>
      <c r="L185" s="11">
        <f t="shared" si="67"/>
        <v>15867.804696545343</v>
      </c>
      <c r="M185" s="11">
        <f t="shared" si="67"/>
        <v>15906.129896545342</v>
      </c>
      <c r="N185" s="11">
        <f t="shared" si="67"/>
        <v>16686.129896545342</v>
      </c>
      <c r="O185" s="11">
        <f>SUM(C185:N185)</f>
        <v>167121.1735906144</v>
      </c>
      <c r="P185" s="11"/>
      <c r="Q185" s="11"/>
      <c r="R185" s="11"/>
      <c r="S185" s="11"/>
    </row>
    <row r="186" spans="1:19" ht="15" customHeight="1">
      <c r="A186" s="1"/>
      <c r="B186" s="1" t="s">
        <v>334</v>
      </c>
      <c r="C186" s="11">
        <f t="shared" ref="C186:N186" si="68">SUM(C13:C26)*4.712%</f>
        <v>14101.879272940929</v>
      </c>
      <c r="D186" s="11">
        <f t="shared" si="68"/>
        <v>14101.879272940929</v>
      </c>
      <c r="E186" s="11">
        <f t="shared" si="68"/>
        <v>14116.13354414093</v>
      </c>
      <c r="F186" s="11">
        <f t="shared" si="68"/>
        <v>14119.253359340932</v>
      </c>
      <c r="G186" s="11">
        <f t="shared" si="68"/>
        <v>14119.253359340932</v>
      </c>
      <c r="H186" s="11">
        <f t="shared" si="68"/>
        <v>14126.68842414093</v>
      </c>
      <c r="I186" s="11">
        <f t="shared" si="68"/>
        <v>15412.878102884704</v>
      </c>
      <c r="J186" s="11">
        <f t="shared" si="68"/>
        <v>15624.918102884703</v>
      </c>
      <c r="K186" s="11">
        <f t="shared" si="68"/>
        <v>17982.590001164135</v>
      </c>
      <c r="L186" s="11">
        <f t="shared" si="68"/>
        <v>17982.590001164135</v>
      </c>
      <c r="M186" s="11">
        <f t="shared" si="68"/>
        <v>18027.737086764137</v>
      </c>
      <c r="N186" s="11">
        <f t="shared" si="68"/>
        <v>18946.577086764133</v>
      </c>
      <c r="O186" s="11">
        <f>SUM(C186:N186)</f>
        <v>188662.37761447151</v>
      </c>
      <c r="P186" s="11"/>
      <c r="Q186" s="11"/>
      <c r="R186" s="11"/>
      <c r="S186" s="11"/>
    </row>
    <row r="187" spans="1:19" ht="15" customHeight="1">
      <c r="A187" s="1"/>
      <c r="B187" s="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>
      <c r="A188" s="1"/>
      <c r="B188" s="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>
      <c r="A189" s="1"/>
      <c r="B189" s="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44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3.15" customHeight="1">
      <c r="A192" s="1"/>
      <c r="B192" s="1"/>
      <c r="C192" s="1" t="s">
        <v>335</v>
      </c>
      <c r="D192" s="1"/>
      <c r="E192" s="1"/>
      <c r="F192" s="1" t="s">
        <v>336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3:59" ht="13.15" customHeight="1">
      <c r="C193" s="1">
        <f>156000*2</f>
        <v>312000</v>
      </c>
      <c r="D193" s="1">
        <f>C193*6%</f>
        <v>18720</v>
      </c>
      <c r="E193" s="1"/>
      <c r="F193" s="484">
        <f>8979*12</f>
        <v>107748</v>
      </c>
      <c r="G193" s="484">
        <f>F193*6%</f>
        <v>6464.88</v>
      </c>
      <c r="H193" s="1"/>
      <c r="I193" s="1"/>
      <c r="J193" s="44"/>
      <c r="K193" s="1"/>
      <c r="L193" s="1"/>
      <c r="M193" s="1"/>
      <c r="N193" s="1"/>
      <c r="O193" s="1"/>
      <c r="P193" s="1"/>
      <c r="Q193" s="1"/>
      <c r="R193" s="1"/>
      <c r="S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3:59" ht="13.15" customHeight="1">
      <c r="C194" s="1">
        <f>175500*3</f>
        <v>526500</v>
      </c>
      <c r="D194" s="1">
        <f>C194*6%</f>
        <v>31590</v>
      </c>
      <c r="E194" s="1"/>
      <c r="F194" s="484">
        <f>F193*103%</f>
        <v>110980.44</v>
      </c>
      <c r="G194" s="484">
        <f t="shared" ref="G194:G197" si="69">F194*6%</f>
        <v>6658.8263999999999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7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3:59" ht="13.15" customHeight="1">
      <c r="C195" s="1">
        <f>195000*5</f>
        <v>975000</v>
      </c>
      <c r="D195" s="1">
        <f>C195*3%</f>
        <v>29250</v>
      </c>
      <c r="E195" s="1"/>
      <c r="F195" s="484">
        <f t="shared" ref="F195:F202" si="70">F194*103%</f>
        <v>114309.85320000001</v>
      </c>
      <c r="G195" s="484">
        <f t="shared" si="69"/>
        <v>6858.5911920000008</v>
      </c>
      <c r="H195" s="1"/>
      <c r="I195" s="1"/>
      <c r="J195" s="44"/>
      <c r="K195" s="1"/>
      <c r="L195" s="1"/>
      <c r="M195" s="1"/>
      <c r="N195" s="1"/>
      <c r="O195" s="1"/>
      <c r="P195" s="1"/>
      <c r="Q195" s="1"/>
      <c r="R195" s="1"/>
      <c r="S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3:59" ht="13.15" customHeight="1">
      <c r="C196" s="1"/>
      <c r="D196" s="1">
        <f>SUM(D193:D195)</f>
        <v>79560</v>
      </c>
      <c r="E196" s="1"/>
      <c r="F196" s="484">
        <f t="shared" si="70"/>
        <v>117739.14879600001</v>
      </c>
      <c r="G196" s="484">
        <f t="shared" si="69"/>
        <v>7064.3489277600002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3:59" ht="13.15" customHeight="1">
      <c r="C197" s="1"/>
      <c r="D197" s="1"/>
      <c r="E197" s="1"/>
      <c r="F197" s="484">
        <f t="shared" si="70"/>
        <v>121271.32325988001</v>
      </c>
      <c r="G197" s="484">
        <f t="shared" si="69"/>
        <v>7276.2793955928</v>
      </c>
      <c r="H197" s="1"/>
      <c r="I197" s="1"/>
      <c r="J197" s="44"/>
      <c r="K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3:59">
      <c r="C198" s="1"/>
      <c r="D198" s="1"/>
      <c r="E198" s="1"/>
      <c r="F198" s="484">
        <f t="shared" si="70"/>
        <v>124909.46295767641</v>
      </c>
      <c r="G198" s="484">
        <f>F198*3%</f>
        <v>3747.2838887302923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3:59" ht="13.15" customHeight="1">
      <c r="C199" s="1"/>
      <c r="D199" s="1"/>
      <c r="E199" s="1"/>
      <c r="F199" s="484">
        <f t="shared" si="70"/>
        <v>128656.74684640671</v>
      </c>
      <c r="G199" s="484">
        <f t="shared" ref="G199:G202" si="71">F199*3%</f>
        <v>3859.7024053922009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 t="s">
        <v>14</v>
      </c>
    </row>
    <row r="200" spans="3:59" ht="13.15" customHeight="1">
      <c r="C200" s="1"/>
      <c r="D200" s="1"/>
      <c r="E200" s="1"/>
      <c r="F200" s="484">
        <f t="shared" si="70"/>
        <v>132516.44925179891</v>
      </c>
      <c r="G200" s="484">
        <f t="shared" si="71"/>
        <v>3975.4934775539673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3" t="s">
        <v>14</v>
      </c>
    </row>
    <row r="201" spans="3:59" ht="13.15" customHeight="1">
      <c r="C201" s="1"/>
      <c r="D201" s="1"/>
      <c r="E201" s="1"/>
      <c r="F201" s="484">
        <f t="shared" si="70"/>
        <v>136491.94272935289</v>
      </c>
      <c r="G201" s="484">
        <f t="shared" si="71"/>
        <v>4094.7582818805863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7"/>
    </row>
    <row r="202" spans="3:59" ht="13.15" customHeight="1">
      <c r="C202" s="1"/>
      <c r="D202" s="1"/>
      <c r="E202" s="1"/>
      <c r="F202" s="484">
        <f t="shared" si="70"/>
        <v>140586.70101123347</v>
      </c>
      <c r="G202" s="484">
        <f t="shared" si="71"/>
        <v>4217.601030337004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7"/>
    </row>
    <row r="203" spans="3:59" ht="13.15" customHeight="1">
      <c r="C203" s="1"/>
      <c r="D203" s="1"/>
      <c r="E203" s="1"/>
      <c r="F203" s="1"/>
      <c r="G203" s="484">
        <f>SUM(G193:G202)</f>
        <v>54217.76499924685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7"/>
    </row>
  </sheetData>
  <mergeCells count="8">
    <mergeCell ref="S8:S10"/>
    <mergeCell ref="O8:O10"/>
    <mergeCell ref="A6:O6"/>
    <mergeCell ref="A2:O2"/>
    <mergeCell ref="A3:O3"/>
    <mergeCell ref="A4:O4"/>
    <mergeCell ref="A5:O5"/>
    <mergeCell ref="S1:S7"/>
  </mergeCells>
  <phoneticPr fontId="0" type="noConversion"/>
  <printOptions horizontalCentered="1"/>
  <pageMargins left="0.25" right="0.25" top="0.25" bottom="0.5" header="0.5" footer="0.25"/>
  <pageSetup paperSize="3" scale="94" fitToHeight="0" orientation="landscape" useFirstPageNumber="1" r:id="rId1"/>
  <headerFooter alignWithMargins="0">
    <oddFooter>Page &amp;P</oddFooter>
  </headerFooter>
  <rowBreaks count="1" manualBreakCount="1">
    <brk id="168" max="16383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95"/>
  <sheetViews>
    <sheetView workbookViewId="0"/>
  </sheetViews>
  <sheetFormatPr defaultColWidth="8.7265625" defaultRowHeight="14.5"/>
  <cols>
    <col min="1" max="1" width="11.7265625" style="1" customWidth="1"/>
    <col min="2" max="2" width="36.26953125" style="1" customWidth="1"/>
    <col min="3" max="3" width="14.26953125" style="1" customWidth="1"/>
    <col min="4" max="8" width="11.26953125" style="1" customWidth="1"/>
    <col min="9" max="9" width="21.7265625" style="22" customWidth="1"/>
    <col min="10" max="15" width="11.26953125" style="1" customWidth="1"/>
    <col min="16" max="16" width="13.453125" style="1" customWidth="1"/>
    <col min="17" max="17" width="17.54296875" style="1" hidden="1" customWidth="1"/>
    <col min="18" max="20" width="13.453125" style="1" customWidth="1"/>
    <col min="21" max="22" width="8.7265625" style="1" customWidth="1"/>
    <col min="23" max="23" width="13" style="1" customWidth="1"/>
    <col min="24" max="24" width="12.453125" style="1" bestFit="1" customWidth="1"/>
    <col min="25" max="16384" width="8.7265625" style="1"/>
  </cols>
  <sheetData>
    <row r="1" spans="1:23" ht="13.15" customHeight="1">
      <c r="O1" s="2" t="s">
        <v>137</v>
      </c>
      <c r="P1" s="3">
        <f ca="1">TODAY()</f>
        <v>46265</v>
      </c>
      <c r="Q1" s="3"/>
      <c r="R1" s="3"/>
    </row>
    <row r="2" spans="1:23" ht="13.15" customHeight="1">
      <c r="A2" s="607" t="s">
        <v>138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4"/>
      <c r="R2" s="4"/>
    </row>
    <row r="3" spans="1:23" ht="13.15" customHeight="1">
      <c r="A3" s="607" t="s">
        <v>337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4"/>
      <c r="R3" s="4"/>
    </row>
    <row r="4" spans="1:23" ht="13.15" customHeight="1">
      <c r="A4" s="607" t="s">
        <v>338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4"/>
      <c r="R4" s="4"/>
    </row>
    <row r="5" spans="1:23" ht="13.15" customHeight="1">
      <c r="A5" s="607" t="s">
        <v>339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07"/>
      <c r="Q5" s="4"/>
      <c r="R5" s="4"/>
    </row>
    <row r="6" spans="1:23" ht="13.15" customHeight="1">
      <c r="A6" s="607" t="s">
        <v>340</v>
      </c>
      <c r="B6" s="607"/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  <c r="Q6" s="4"/>
      <c r="R6" s="4"/>
    </row>
    <row r="7" spans="1:23" ht="16.149999999999999" customHeight="1">
      <c r="F7" s="5"/>
    </row>
    <row r="8" spans="1:23" ht="15.75" customHeight="1">
      <c r="A8" s="176" t="s">
        <v>143</v>
      </c>
      <c r="B8" s="278"/>
      <c r="C8" s="177"/>
      <c r="D8" s="278"/>
      <c r="E8" s="177"/>
      <c r="F8" s="278"/>
      <c r="G8" s="177"/>
      <c r="H8" s="278"/>
      <c r="I8" s="278"/>
      <c r="J8" s="278"/>
      <c r="K8" s="278"/>
      <c r="L8" s="177"/>
      <c r="M8" s="278"/>
      <c r="N8" s="177"/>
      <c r="O8" s="278"/>
      <c r="P8" s="604" t="s">
        <v>341</v>
      </c>
      <c r="Q8" s="178" t="s">
        <v>342</v>
      </c>
      <c r="R8" s="178">
        <v>2015</v>
      </c>
      <c r="S8" s="182">
        <v>2015</v>
      </c>
      <c r="T8" s="179" t="s">
        <v>18</v>
      </c>
      <c r="U8" s="180" t="s">
        <v>343</v>
      </c>
      <c r="V8" s="181"/>
      <c r="W8" s="182"/>
    </row>
    <row r="9" spans="1:23" ht="13.15" customHeight="1">
      <c r="A9" s="183" t="s">
        <v>146</v>
      </c>
      <c r="B9" s="279" t="s">
        <v>147</v>
      </c>
      <c r="C9" s="184" t="s">
        <v>1</v>
      </c>
      <c r="D9" s="279" t="s">
        <v>2</v>
      </c>
      <c r="E9" s="184" t="s">
        <v>3</v>
      </c>
      <c r="F9" s="279" t="s">
        <v>4</v>
      </c>
      <c r="G9" s="184" t="s">
        <v>5</v>
      </c>
      <c r="H9" s="279" t="s">
        <v>6</v>
      </c>
      <c r="I9" s="279" t="s">
        <v>344</v>
      </c>
      <c r="J9" s="279" t="s">
        <v>7</v>
      </c>
      <c r="K9" s="279" t="s">
        <v>8</v>
      </c>
      <c r="L9" s="184" t="s">
        <v>123</v>
      </c>
      <c r="M9" s="279" t="s">
        <v>124</v>
      </c>
      <c r="N9" s="184" t="s">
        <v>125</v>
      </c>
      <c r="O9" s="279" t="s">
        <v>126</v>
      </c>
      <c r="P9" s="605"/>
      <c r="Q9" s="185" t="s">
        <v>345</v>
      </c>
      <c r="R9" s="185" t="s">
        <v>346</v>
      </c>
      <c r="S9" s="189" t="s">
        <v>347</v>
      </c>
      <c r="T9" s="186"/>
      <c r="U9" s="187" t="s">
        <v>348</v>
      </c>
      <c r="V9" s="188"/>
      <c r="W9" s="189" t="s">
        <v>349</v>
      </c>
    </row>
    <row r="10" spans="1:23">
      <c r="A10" s="190"/>
      <c r="B10" s="280"/>
      <c r="C10" s="191"/>
      <c r="D10" s="280"/>
      <c r="E10" s="191"/>
      <c r="F10" s="280"/>
      <c r="G10" s="191"/>
      <c r="H10" s="280"/>
      <c r="I10" s="280"/>
      <c r="J10" s="280"/>
      <c r="K10" s="280"/>
      <c r="L10" s="191"/>
      <c r="M10" s="280"/>
      <c r="N10" s="191"/>
      <c r="O10" s="280"/>
      <c r="P10" s="606"/>
      <c r="Q10" s="192"/>
      <c r="R10" s="192" t="s">
        <v>350</v>
      </c>
      <c r="S10" s="196" t="s">
        <v>351</v>
      </c>
      <c r="T10" s="193"/>
      <c r="U10" s="194" t="s">
        <v>352</v>
      </c>
      <c r="V10" s="195"/>
      <c r="W10" s="196" t="s">
        <v>353</v>
      </c>
    </row>
    <row r="11" spans="1:23" ht="15" customHeight="1">
      <c r="B11" s="4"/>
      <c r="C11" s="92"/>
      <c r="D11" s="92"/>
      <c r="E11" s="92"/>
      <c r="F11" s="92"/>
      <c r="G11" s="92"/>
      <c r="H11" s="92"/>
      <c r="I11" s="245"/>
      <c r="J11" s="92"/>
      <c r="K11" s="92"/>
      <c r="L11" s="92"/>
      <c r="M11" s="92"/>
      <c r="N11" s="92"/>
      <c r="O11" s="92"/>
      <c r="P11" s="92"/>
      <c r="Q11" s="92"/>
      <c r="R11" s="92"/>
    </row>
    <row r="12" spans="1:23" ht="21" customHeight="1">
      <c r="B12" s="4" t="s">
        <v>151</v>
      </c>
      <c r="C12" s="6"/>
      <c r="D12" s="6"/>
      <c r="E12" s="6"/>
      <c r="F12" s="6"/>
      <c r="G12" s="6"/>
      <c r="H12" s="6"/>
      <c r="I12" s="246"/>
      <c r="J12" s="6"/>
      <c r="K12" s="6"/>
      <c r="L12" s="6"/>
      <c r="M12" s="6"/>
      <c r="N12" s="6"/>
      <c r="O12" s="6"/>
      <c r="P12" s="6"/>
      <c r="Q12" s="6"/>
      <c r="R12" s="6"/>
    </row>
    <row r="13" spans="1:23" ht="13.15" customHeight="1">
      <c r="C13" s="6"/>
      <c r="D13" s="6"/>
      <c r="E13" s="6"/>
      <c r="F13" s="6"/>
      <c r="G13" s="6"/>
      <c r="H13" s="6"/>
      <c r="I13" s="246"/>
      <c r="J13" s="6"/>
      <c r="K13" s="6"/>
      <c r="L13" s="6"/>
      <c r="M13" s="6"/>
      <c r="N13" s="6"/>
      <c r="O13" s="6"/>
      <c r="P13" s="6"/>
      <c r="Q13" s="6"/>
      <c r="R13" s="6"/>
    </row>
    <row r="14" spans="1:23" ht="12.65" customHeight="1">
      <c r="A14" s="7">
        <v>40100</v>
      </c>
      <c r="B14" s="8" t="s">
        <v>152</v>
      </c>
      <c r="C14" s="9">
        <f>101488.15-12333.33+4968.94</f>
        <v>94123.76</v>
      </c>
      <c r="D14" s="9">
        <f>103499.47+4968.94</f>
        <v>108468.41</v>
      </c>
      <c r="E14" s="9">
        <f>111248.8+4968.94-7430</f>
        <v>108787.74</v>
      </c>
      <c r="F14" s="9">
        <f>111436.66+4968.94-7430</f>
        <v>108975.6</v>
      </c>
      <c r="G14" s="9">
        <f>111594.16-7430</f>
        <v>104164.16</v>
      </c>
      <c r="H14" s="9">
        <f>111738.97-7430</f>
        <v>104308.97</v>
      </c>
      <c r="I14" s="175">
        <f>SUM(C14:H14)</f>
        <v>628828.64</v>
      </c>
      <c r="J14" s="9">
        <v>111738.97</v>
      </c>
      <c r="K14" s="9">
        <v>112026.97</v>
      </c>
      <c r="L14" s="9">
        <v>112419.814</v>
      </c>
      <c r="M14" s="9">
        <v>112501.7</v>
      </c>
      <c r="N14" s="9">
        <v>112501.7</v>
      </c>
      <c r="O14" s="9">
        <v>112501.7</v>
      </c>
      <c r="P14" s="9">
        <f>SUM(C14:O14)</f>
        <v>1931348.1339999998</v>
      </c>
      <c r="Q14" s="10" t="e">
        <f>SUM((P14)/(Rent!D33-Rent!D14-Rent!#REF!))</f>
        <v>#REF!</v>
      </c>
      <c r="R14" s="9">
        <v>1031796</v>
      </c>
      <c r="S14" s="11">
        <v>1060644</v>
      </c>
      <c r="T14" s="11">
        <f>+P14-R14</f>
        <v>899552.13399999985</v>
      </c>
    </row>
    <row r="15" spans="1:23" ht="12.65" customHeight="1">
      <c r="A15" s="7">
        <v>40110</v>
      </c>
      <c r="B15" s="1" t="s">
        <v>153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75">
        <f t="shared" ref="I15:I26" si="0">SUM(C15:H15)</f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f t="shared" ref="P15:P26" si="1">SUM(C15:O15)</f>
        <v>0</v>
      </c>
      <c r="Q15" s="10">
        <f>P15/Rent!D24</f>
        <v>0</v>
      </c>
      <c r="R15" s="9"/>
      <c r="S15" s="11">
        <v>0</v>
      </c>
      <c r="T15" s="11">
        <f t="shared" ref="T15:T27" si="2">+P15-R15</f>
        <v>0</v>
      </c>
    </row>
    <row r="16" spans="1:23" ht="13.15" customHeight="1">
      <c r="A16" s="7">
        <v>40140</v>
      </c>
      <c r="B16" s="1" t="s">
        <v>158</v>
      </c>
      <c r="C16" s="9">
        <f>20810.2446678818-1758.52+502.32</f>
        <v>19554.044667881801</v>
      </c>
      <c r="D16" s="9">
        <f>20810.2446678818+502.32</f>
        <v>21312.564667881801</v>
      </c>
      <c r="E16" s="9">
        <v>21312.564630259309</v>
      </c>
      <c r="F16" s="9">
        <f>21312.5646302593-502.32</f>
        <v>20810.244630259302</v>
      </c>
      <c r="G16" s="9">
        <f>21312.5646302593-502.32</f>
        <v>20810.244630259302</v>
      </c>
      <c r="H16" s="9">
        <f>21312.5646302593-502.32</f>
        <v>20810.244630259302</v>
      </c>
      <c r="I16" s="175">
        <f t="shared" si="0"/>
        <v>124609.90785680081</v>
      </c>
      <c r="J16" s="9">
        <v>21312.564630259309</v>
      </c>
      <c r="K16" s="9">
        <v>21312.564630259309</v>
      </c>
      <c r="L16" s="9">
        <v>21312.564630259309</v>
      </c>
      <c r="M16" s="9">
        <v>21312.564630259309</v>
      </c>
      <c r="N16" s="9">
        <v>21312.564630259309</v>
      </c>
      <c r="O16" s="9">
        <v>21312.564630259309</v>
      </c>
      <c r="P16" s="9">
        <f>SUM(C16:O16)</f>
        <v>377095.20349515742</v>
      </c>
      <c r="Q16" s="10">
        <f>P16/'Occup,'!C33</f>
        <v>7.3856242605499123</v>
      </c>
      <c r="R16" s="9">
        <v>201576</v>
      </c>
      <c r="S16" s="11">
        <v>205676</v>
      </c>
      <c r="T16" s="11">
        <f t="shared" si="2"/>
        <v>175519.20349515742</v>
      </c>
    </row>
    <row r="17" spans="1:24" ht="13.15" customHeight="1">
      <c r="A17" s="7">
        <v>40150</v>
      </c>
      <c r="B17" s="1" t="s">
        <v>159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75">
        <f t="shared" si="0"/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f t="shared" si="1"/>
        <v>0</v>
      </c>
      <c r="Q17" s="10">
        <v>0</v>
      </c>
      <c r="R17" s="9">
        <v>3054</v>
      </c>
      <c r="S17" s="11">
        <v>0</v>
      </c>
      <c r="T17" s="11">
        <f t="shared" si="2"/>
        <v>-3054</v>
      </c>
    </row>
    <row r="18" spans="1:24" ht="13.15" customHeight="1">
      <c r="A18" s="7">
        <v>40170</v>
      </c>
      <c r="B18" s="1" t="s">
        <v>354</v>
      </c>
      <c r="C18" s="9">
        <f>6511.54648066769-34.04+361.64</f>
        <v>6839.1464806676904</v>
      </c>
      <c r="D18" s="9">
        <f>6511.54648066769+361.64</f>
        <v>6873.1864806676904</v>
      </c>
      <c r="E18" s="9">
        <f>6873.18491186468</f>
        <v>6873.1849118646796</v>
      </c>
      <c r="F18" s="9">
        <f>6873.18491186468-361.64</f>
        <v>6511.5449118646793</v>
      </c>
      <c r="G18" s="9">
        <f>6873.18491186468-361.64</f>
        <v>6511.5449118646793</v>
      </c>
      <c r="H18" s="9">
        <f>6873.18491186468-361.64</f>
        <v>6511.5449118646793</v>
      </c>
      <c r="I18" s="175">
        <f t="shared" si="0"/>
        <v>40120.152608794102</v>
      </c>
      <c r="J18" s="9">
        <v>6873.1849118646842</v>
      </c>
      <c r="K18" s="9">
        <v>6873.1849118646842</v>
      </c>
      <c r="L18" s="9">
        <v>6873.1849118646842</v>
      </c>
      <c r="M18" s="9">
        <v>6873.1849118646842</v>
      </c>
      <c r="N18" s="9">
        <v>6873.1849118646842</v>
      </c>
      <c r="O18" s="9">
        <v>6873.1849118646842</v>
      </c>
      <c r="P18" s="9">
        <f t="shared" si="1"/>
        <v>121479.41468877628</v>
      </c>
      <c r="Q18" s="10">
        <f>P18/'Occup,'!$C$33</f>
        <v>2.3792435012882658</v>
      </c>
      <c r="R18" s="9">
        <v>63135</v>
      </c>
      <c r="S18" s="11">
        <v>65790</v>
      </c>
      <c r="T18" s="11">
        <f t="shared" si="2"/>
        <v>58344.414688776276</v>
      </c>
    </row>
    <row r="19" spans="1:24" ht="13.15" customHeight="1">
      <c r="A19" s="7">
        <v>40190</v>
      </c>
      <c r="B19" s="1" t="s">
        <v>355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75">
        <f t="shared" si="0"/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f t="shared" si="1"/>
        <v>0</v>
      </c>
      <c r="Q19" s="10">
        <v>0</v>
      </c>
      <c r="R19" s="9"/>
      <c r="S19" s="11">
        <v>0</v>
      </c>
      <c r="T19" s="11">
        <f t="shared" si="2"/>
        <v>0</v>
      </c>
    </row>
    <row r="20" spans="1:24" ht="13.15" customHeight="1">
      <c r="A20" s="7">
        <v>40230</v>
      </c>
      <c r="B20" s="1" t="s">
        <v>163</v>
      </c>
      <c r="C20" s="9">
        <f>2889.40608837532-194.11+197.21</f>
        <v>2892.5060883753199</v>
      </c>
      <c r="D20" s="9">
        <f>2889.40608837532+197.21</f>
        <v>3086.61608837532</v>
      </c>
      <c r="E20" s="9">
        <v>3086.611133168718</v>
      </c>
      <c r="F20" s="9">
        <f>3086.61113316872-197.21</f>
        <v>2889.4011331687198</v>
      </c>
      <c r="G20" s="9">
        <f>3086.61113316872-197.21</f>
        <v>2889.4011331687198</v>
      </c>
      <c r="H20" s="9">
        <f>3086.61113316872-197.21</f>
        <v>2889.4011331687198</v>
      </c>
      <c r="I20" s="175">
        <f t="shared" si="0"/>
        <v>17733.936709425514</v>
      </c>
      <c r="J20" s="9">
        <v>3086.611133168718</v>
      </c>
      <c r="K20" s="9">
        <v>3086.611133168718</v>
      </c>
      <c r="L20" s="9">
        <v>3086.611133168718</v>
      </c>
      <c r="M20" s="9">
        <v>3086.611133168718</v>
      </c>
      <c r="N20" s="9">
        <v>3086.611133168718</v>
      </c>
      <c r="O20" s="9">
        <v>3086.611133168718</v>
      </c>
      <c r="P20" s="9">
        <f t="shared" si="1"/>
        <v>53987.540217863352</v>
      </c>
      <c r="Q20" s="10">
        <f>P20/'Occup,'!$C$33</f>
        <v>1.0573767131079037</v>
      </c>
      <c r="R20" s="9">
        <v>19351</v>
      </c>
      <c r="S20" s="11">
        <v>19761</v>
      </c>
      <c r="T20" s="11">
        <f t="shared" si="2"/>
        <v>34636.540217863352</v>
      </c>
    </row>
    <row r="21" spans="1:24" ht="13.15" customHeight="1">
      <c r="A21" s="7">
        <v>40240</v>
      </c>
      <c r="B21" s="1" t="s">
        <v>164</v>
      </c>
      <c r="C21" s="9">
        <f>16967.922717225+1175.41</f>
        <v>18143.332717224999</v>
      </c>
      <c r="D21" s="9">
        <f>16967.922717225+1175.41</f>
        <v>18143.332717224999</v>
      </c>
      <c r="E21" s="9">
        <v>18143.336999999996</v>
      </c>
      <c r="F21" s="9">
        <f>18143.337-1175.41</f>
        <v>16967.927</v>
      </c>
      <c r="G21" s="9">
        <f>18143.337-1175.41</f>
        <v>16967.927</v>
      </c>
      <c r="H21" s="9">
        <f>18143.337-1175.41</f>
        <v>16967.927</v>
      </c>
      <c r="I21" s="175">
        <f t="shared" si="0"/>
        <v>105333.78343444999</v>
      </c>
      <c r="J21" s="9">
        <v>18143.336999999996</v>
      </c>
      <c r="K21" s="9">
        <v>18143.336999999996</v>
      </c>
      <c r="L21" s="9">
        <v>18143.336999999996</v>
      </c>
      <c r="M21" s="9">
        <v>18143.336999999996</v>
      </c>
      <c r="N21" s="9">
        <v>18143.336999999996</v>
      </c>
      <c r="O21" s="9">
        <v>18143.336999999996</v>
      </c>
      <c r="P21" s="9">
        <f>SUM(C21:O21)</f>
        <v>319527.58886889997</v>
      </c>
      <c r="Q21" s="10"/>
      <c r="R21" s="9">
        <v>193387</v>
      </c>
      <c r="S21" s="11">
        <v>203978</v>
      </c>
      <c r="T21" s="11">
        <f t="shared" si="2"/>
        <v>126140.58886889997</v>
      </c>
    </row>
    <row r="22" spans="1:24" ht="13.15" customHeight="1">
      <c r="A22" s="7">
        <v>40250</v>
      </c>
      <c r="B22" s="1" t="s">
        <v>165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75">
        <f t="shared" si="0"/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f>SUM(C22:O22)</f>
        <v>0</v>
      </c>
      <c r="Q22" s="10">
        <v>0</v>
      </c>
      <c r="R22" s="9">
        <v>3098</v>
      </c>
      <c r="S22" s="11">
        <v>0</v>
      </c>
      <c r="T22" s="11">
        <f t="shared" si="2"/>
        <v>-3098</v>
      </c>
    </row>
    <row r="23" spans="1:24" ht="13.15" customHeight="1">
      <c r="A23" s="7">
        <v>40330</v>
      </c>
      <c r="B23" s="1" t="s">
        <v>356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75">
        <f t="shared" si="0"/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f>SUM(C23:O23)</f>
        <v>0</v>
      </c>
      <c r="Q23" s="10">
        <v>0</v>
      </c>
      <c r="R23" s="9"/>
      <c r="S23" s="11">
        <v>0</v>
      </c>
      <c r="T23" s="11">
        <f t="shared" si="2"/>
        <v>0</v>
      </c>
    </row>
    <row r="24" spans="1:24" ht="13.15" customHeight="1">
      <c r="A24" s="7">
        <v>40600</v>
      </c>
      <c r="B24" s="1" t="s">
        <v>167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75">
        <f t="shared" si="0"/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f t="shared" si="1"/>
        <v>0</v>
      </c>
      <c r="Q24" s="10">
        <v>0</v>
      </c>
      <c r="R24" s="9">
        <v>1220</v>
      </c>
      <c r="S24" s="11">
        <v>0</v>
      </c>
      <c r="T24" s="11">
        <f t="shared" si="2"/>
        <v>-1220</v>
      </c>
    </row>
    <row r="25" spans="1:24" ht="13.15" customHeight="1">
      <c r="A25" s="7">
        <v>40220</v>
      </c>
      <c r="B25" s="1" t="s">
        <v>357</v>
      </c>
      <c r="C25" s="9">
        <v>-2000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75">
        <f t="shared" si="0"/>
        <v>-2000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f>SUM(C25:O25)</f>
        <v>-4000</v>
      </c>
      <c r="Q25" s="10">
        <v>0</v>
      </c>
      <c r="R25" s="9">
        <v>6000</v>
      </c>
      <c r="S25" s="11">
        <v>0</v>
      </c>
      <c r="T25" s="11">
        <f t="shared" si="2"/>
        <v>-10000</v>
      </c>
    </row>
    <row r="26" spans="1:24" ht="13.15" customHeight="1">
      <c r="A26" s="7">
        <v>40400</v>
      </c>
      <c r="B26" s="1" t="s">
        <v>358</v>
      </c>
      <c r="C26" s="9">
        <f>4018.52665102711-268.88+335.49</f>
        <v>4085.13665102711</v>
      </c>
      <c r="D26" s="9">
        <f>4018.52665102711+335.49</f>
        <v>4354.0166510271101</v>
      </c>
      <c r="E26" s="9">
        <v>4354.0133091985463</v>
      </c>
      <c r="F26" s="9">
        <f>4354.01330919855-335.49</f>
        <v>4018.5233091985501</v>
      </c>
      <c r="G26" s="9">
        <f>4354.01330919855-335.49</f>
        <v>4018.5233091985501</v>
      </c>
      <c r="H26" s="9">
        <f>4354.01330919855-335.49</f>
        <v>4018.5233091985501</v>
      </c>
      <c r="I26" s="175">
        <f t="shared" si="0"/>
        <v>24848.736538848418</v>
      </c>
      <c r="J26" s="9">
        <v>4354.0133091985463</v>
      </c>
      <c r="K26" s="9">
        <v>4354.0133091985463</v>
      </c>
      <c r="L26" s="9">
        <v>4354.0133091985463</v>
      </c>
      <c r="M26" s="9">
        <v>4354.0133091985463</v>
      </c>
      <c r="N26" s="9">
        <v>4354.0133091985463</v>
      </c>
      <c r="O26" s="9">
        <v>4354.0133091985463</v>
      </c>
      <c r="P26" s="9">
        <f t="shared" si="1"/>
        <v>75821.552932888124</v>
      </c>
      <c r="Q26" s="10">
        <f>P26/'Occup,'!$C$33</f>
        <v>1.4850082833814118</v>
      </c>
      <c r="R26" s="9">
        <v>35375</v>
      </c>
      <c r="S26" s="11">
        <v>37803</v>
      </c>
      <c r="T26" s="11">
        <f t="shared" si="2"/>
        <v>40446.552932888124</v>
      </c>
    </row>
    <row r="27" spans="1:24" ht="13.15" customHeight="1">
      <c r="A27" s="7"/>
      <c r="C27" s="9"/>
      <c r="D27" s="9"/>
      <c r="E27" s="9"/>
      <c r="F27" s="9"/>
      <c r="G27" s="9"/>
      <c r="H27" s="9"/>
      <c r="I27" s="175"/>
      <c r="J27" s="9"/>
      <c r="K27" s="9"/>
      <c r="L27" s="9"/>
      <c r="M27" s="9"/>
      <c r="N27" s="9"/>
      <c r="O27" s="9"/>
      <c r="P27" s="9"/>
      <c r="Q27" s="9"/>
      <c r="R27" s="239"/>
      <c r="S27" s="11"/>
      <c r="T27" s="11">
        <f t="shared" si="2"/>
        <v>0</v>
      </c>
    </row>
    <row r="28" spans="1:24" ht="13.15" customHeight="1">
      <c r="B28" s="197" t="s">
        <v>172</v>
      </c>
      <c r="C28" s="198">
        <f t="shared" ref="C28:P28" si="3">SUM(C14:C27)</f>
        <v>143637.92660517691</v>
      </c>
      <c r="D28" s="198">
        <f t="shared" si="3"/>
        <v>162238.12660517692</v>
      </c>
      <c r="E28" s="198">
        <f t="shared" si="3"/>
        <v>162557.45098449127</v>
      </c>
      <c r="F28" s="198">
        <f t="shared" si="3"/>
        <v>160173.24098449128</v>
      </c>
      <c r="G28" s="198">
        <f t="shared" si="3"/>
        <v>155361.80098449127</v>
      </c>
      <c r="H28" s="198">
        <f t="shared" si="3"/>
        <v>155506.61098449127</v>
      </c>
      <c r="I28" s="198">
        <f t="shared" si="3"/>
        <v>939475.15714831883</v>
      </c>
      <c r="J28" s="198">
        <f t="shared" si="3"/>
        <v>165508.68098449128</v>
      </c>
      <c r="K28" s="198">
        <f t="shared" si="3"/>
        <v>165796.68098449128</v>
      </c>
      <c r="L28" s="198">
        <f t="shared" si="3"/>
        <v>166189.52498449126</v>
      </c>
      <c r="M28" s="198">
        <f t="shared" si="3"/>
        <v>166271.41098449126</v>
      </c>
      <c r="N28" s="198">
        <f t="shared" si="3"/>
        <v>166271.41098449126</v>
      </c>
      <c r="O28" s="198">
        <f t="shared" si="3"/>
        <v>166271.41098449126</v>
      </c>
      <c r="P28" s="199">
        <f t="shared" si="3"/>
        <v>2875259.4342035856</v>
      </c>
      <c r="Q28" s="14" t="e">
        <f>SUM(Q14:Q27)</f>
        <v>#REF!</v>
      </c>
      <c r="R28" s="28">
        <f>SUM(R14:R27)</f>
        <v>1557992</v>
      </c>
      <c r="S28" s="28">
        <f>SUM(S14:S27)</f>
        <v>1593652</v>
      </c>
      <c r="T28" s="28">
        <f>+P28-R28</f>
        <v>1317267.4342035856</v>
      </c>
      <c r="U28" s="141"/>
      <c r="V28" s="141"/>
      <c r="X28" s="15" t="s">
        <v>14</v>
      </c>
    </row>
    <row r="29" spans="1:24" ht="12.75" customHeight="1">
      <c r="C29" s="16"/>
      <c r="D29" s="16"/>
      <c r="E29" s="16"/>
      <c r="F29" s="16"/>
      <c r="G29" s="16"/>
      <c r="H29" s="16"/>
      <c r="I29" s="247"/>
      <c r="J29" s="16"/>
      <c r="K29" s="16"/>
      <c r="L29" s="16"/>
      <c r="M29" s="16"/>
      <c r="N29" s="16"/>
      <c r="O29" s="16"/>
      <c r="P29" s="16"/>
      <c r="Q29" s="16"/>
      <c r="R29" s="16"/>
      <c r="S29" s="11"/>
      <c r="T29" s="11"/>
      <c r="X29" s="15" t="s">
        <v>14</v>
      </c>
    </row>
    <row r="30" spans="1:24" ht="21" customHeight="1">
      <c r="B30" s="4" t="s">
        <v>173</v>
      </c>
      <c r="C30" s="9"/>
      <c r="D30" s="9"/>
      <c r="E30" s="9"/>
      <c r="F30" s="9"/>
      <c r="G30" s="9"/>
      <c r="H30" s="9"/>
      <c r="I30" s="175"/>
      <c r="J30" s="9"/>
      <c r="K30" s="9"/>
      <c r="L30" s="9"/>
      <c r="M30" s="9"/>
      <c r="N30" s="9"/>
      <c r="O30" s="9"/>
      <c r="P30" s="9"/>
      <c r="Q30" s="9"/>
      <c r="R30" s="9"/>
      <c r="S30" s="11"/>
      <c r="T30" s="11"/>
    </row>
    <row r="31" spans="1:24" ht="13.15" customHeight="1">
      <c r="C31" s="9"/>
      <c r="D31" s="9"/>
      <c r="E31" s="9"/>
      <c r="F31" s="9"/>
      <c r="G31" s="9"/>
      <c r="H31" s="9"/>
      <c r="I31" s="175"/>
      <c r="J31" s="9"/>
      <c r="K31" s="9"/>
      <c r="L31" s="9"/>
      <c r="M31" s="9"/>
      <c r="N31" s="9"/>
      <c r="O31" s="9"/>
      <c r="P31" s="9"/>
      <c r="Q31" s="9"/>
      <c r="R31" s="9"/>
      <c r="S31" s="11"/>
      <c r="T31" s="11"/>
    </row>
    <row r="32" spans="1:24" ht="15" customHeight="1">
      <c r="A32" s="7">
        <v>50160</v>
      </c>
      <c r="B32" s="1" t="s">
        <v>174</v>
      </c>
      <c r="C32" s="9">
        <v>410</v>
      </c>
      <c r="D32" s="9">
        <v>7180</v>
      </c>
      <c r="E32" s="9">
        <v>1895</v>
      </c>
      <c r="F32" s="9">
        <v>3455</v>
      </c>
      <c r="G32" s="9">
        <v>180</v>
      </c>
      <c r="H32" s="9">
        <v>2710</v>
      </c>
      <c r="I32" s="175">
        <f t="shared" ref="I32:I75" si="4">SUM(C32:H32)</f>
        <v>15830</v>
      </c>
      <c r="J32" s="9">
        <v>1060</v>
      </c>
      <c r="K32" s="9">
        <v>180</v>
      </c>
      <c r="L32" s="9">
        <v>2900</v>
      </c>
      <c r="M32" s="9">
        <v>9955</v>
      </c>
      <c r="N32" s="9">
        <v>830</v>
      </c>
      <c r="O32" s="9">
        <v>0</v>
      </c>
      <c r="P32" s="9">
        <f>SUM(C32:O32)</f>
        <v>46585</v>
      </c>
      <c r="Q32" s="10">
        <f t="shared" ref="Q32:Q75" si="5">P32/U32</f>
        <v>0.91239374828626263</v>
      </c>
      <c r="R32" s="240">
        <v>16274</v>
      </c>
      <c r="S32" s="11">
        <v>42540</v>
      </c>
      <c r="T32" s="11">
        <f>+P32-R32</f>
        <v>30311</v>
      </c>
      <c r="U32" s="17">
        <f>Rent!D33</f>
        <v>51058</v>
      </c>
      <c r="W32" s="17">
        <f>Rent!D$33</f>
        <v>51058</v>
      </c>
    </row>
    <row r="33" spans="1:23" ht="15" customHeight="1">
      <c r="A33" s="7">
        <v>50190</v>
      </c>
      <c r="B33" s="1" t="s">
        <v>175</v>
      </c>
      <c r="C33" s="9">
        <v>75</v>
      </c>
      <c r="D33" s="9">
        <v>75</v>
      </c>
      <c r="E33" s="9">
        <v>75</v>
      </c>
      <c r="F33" s="9">
        <v>75</v>
      </c>
      <c r="G33" s="9">
        <v>75</v>
      </c>
      <c r="H33" s="9">
        <v>75</v>
      </c>
      <c r="I33" s="175">
        <f t="shared" si="4"/>
        <v>450</v>
      </c>
      <c r="J33" s="9">
        <v>75</v>
      </c>
      <c r="K33" s="9">
        <v>75</v>
      </c>
      <c r="L33" s="9">
        <v>75</v>
      </c>
      <c r="M33" s="9">
        <v>75</v>
      </c>
      <c r="N33" s="9">
        <v>75</v>
      </c>
      <c r="O33" s="9">
        <v>75</v>
      </c>
      <c r="P33" s="9">
        <f t="shared" ref="P33:P75" si="6">SUM(C33:O33)</f>
        <v>1350</v>
      </c>
      <c r="Q33" s="10" t="e">
        <f t="shared" si="5"/>
        <v>#REF!</v>
      </c>
      <c r="R33" s="240">
        <v>2560</v>
      </c>
      <c r="S33" s="11">
        <v>900</v>
      </c>
      <c r="T33" s="11">
        <f t="shared" ref="T33:T76" si="7">+P33-R33</f>
        <v>-1210</v>
      </c>
      <c r="U33" s="17" t="e">
        <f>Rent!D$33-Rent!#REF!</f>
        <v>#REF!</v>
      </c>
      <c r="W33" s="17">
        <f>Rent!D$33</f>
        <v>51058</v>
      </c>
    </row>
    <row r="34" spans="1:23" ht="15" customHeight="1">
      <c r="A34" s="7">
        <v>50170</v>
      </c>
      <c r="B34" s="1" t="s">
        <v>177</v>
      </c>
      <c r="C34" s="9">
        <v>3245</v>
      </c>
      <c r="D34" s="9">
        <v>3245</v>
      </c>
      <c r="E34" s="9">
        <v>3245</v>
      </c>
      <c r="F34" s="9">
        <v>3245</v>
      </c>
      <c r="G34" s="9">
        <v>3245</v>
      </c>
      <c r="H34" s="9">
        <v>3245</v>
      </c>
      <c r="I34" s="175">
        <f t="shared" si="4"/>
        <v>19470</v>
      </c>
      <c r="J34" s="9">
        <v>3245</v>
      </c>
      <c r="K34" s="9">
        <v>3245</v>
      </c>
      <c r="L34" s="9">
        <v>3245</v>
      </c>
      <c r="M34" s="9">
        <v>3245</v>
      </c>
      <c r="N34" s="9">
        <v>3245</v>
      </c>
      <c r="O34" s="9">
        <v>3245</v>
      </c>
      <c r="P34" s="9">
        <f t="shared" si="6"/>
        <v>58410</v>
      </c>
      <c r="Q34" s="10" t="e">
        <f t="shared" si="5"/>
        <v>#REF!</v>
      </c>
      <c r="R34" s="240">
        <v>37800</v>
      </c>
      <c r="S34" s="11">
        <v>37800</v>
      </c>
      <c r="T34" s="11">
        <f t="shared" si="7"/>
        <v>20610</v>
      </c>
      <c r="U34" s="17" t="e">
        <f>Rent!D$33-Rent!#REF!</f>
        <v>#REF!</v>
      </c>
      <c r="W34" s="17">
        <f>Rent!D$33</f>
        <v>51058</v>
      </c>
    </row>
    <row r="35" spans="1:23" ht="15" customHeight="1">
      <c r="A35" s="7">
        <v>50510</v>
      </c>
      <c r="B35" s="1" t="s">
        <v>180</v>
      </c>
      <c r="C35" s="9">
        <v>52</v>
      </c>
      <c r="D35" s="9">
        <v>52</v>
      </c>
      <c r="E35" s="9">
        <v>52</v>
      </c>
      <c r="F35" s="9">
        <v>52</v>
      </c>
      <c r="G35" s="9">
        <v>52</v>
      </c>
      <c r="H35" s="9">
        <v>52</v>
      </c>
      <c r="I35" s="175">
        <f t="shared" si="4"/>
        <v>312</v>
      </c>
      <c r="J35" s="9">
        <v>52</v>
      </c>
      <c r="K35" s="9">
        <v>52</v>
      </c>
      <c r="L35" s="9">
        <v>52</v>
      </c>
      <c r="M35" s="9">
        <v>52</v>
      </c>
      <c r="N35" s="9">
        <v>52</v>
      </c>
      <c r="O35" s="9">
        <v>52</v>
      </c>
      <c r="P35" s="9">
        <f t="shared" si="6"/>
        <v>936</v>
      </c>
      <c r="Q35" s="10" t="e">
        <f t="shared" si="5"/>
        <v>#REF!</v>
      </c>
      <c r="R35" s="240">
        <v>624</v>
      </c>
      <c r="S35" s="11">
        <v>624</v>
      </c>
      <c r="T35" s="11">
        <f t="shared" si="7"/>
        <v>312</v>
      </c>
      <c r="U35" s="17" t="e">
        <f>Rent!D$33-Rent!#REF!</f>
        <v>#REF!</v>
      </c>
      <c r="W35" s="17">
        <f>Rent!D$33</f>
        <v>51058</v>
      </c>
    </row>
    <row r="36" spans="1:23" ht="15" customHeight="1">
      <c r="A36" s="7">
        <v>50520</v>
      </c>
      <c r="B36" s="1" t="s">
        <v>181</v>
      </c>
      <c r="C36" s="9">
        <v>750</v>
      </c>
      <c r="D36" s="9">
        <v>0</v>
      </c>
      <c r="E36" s="9">
        <v>0</v>
      </c>
      <c r="F36" s="9">
        <v>0</v>
      </c>
      <c r="G36" s="9">
        <v>750</v>
      </c>
      <c r="H36" s="9">
        <v>0</v>
      </c>
      <c r="I36" s="175">
        <f t="shared" si="4"/>
        <v>1500</v>
      </c>
      <c r="J36" s="9">
        <v>0</v>
      </c>
      <c r="K36" s="9">
        <v>0</v>
      </c>
      <c r="L36" s="9">
        <v>750</v>
      </c>
      <c r="M36" s="9">
        <v>0</v>
      </c>
      <c r="N36" s="9">
        <v>0</v>
      </c>
      <c r="O36" s="9">
        <v>0</v>
      </c>
      <c r="P36" s="9">
        <f t="shared" si="6"/>
        <v>3750</v>
      </c>
      <c r="Q36" s="10" t="e">
        <f t="shared" si="5"/>
        <v>#REF!</v>
      </c>
      <c r="R36" s="240">
        <v>56672</v>
      </c>
      <c r="S36" s="11">
        <v>35450</v>
      </c>
      <c r="T36" s="11">
        <f t="shared" si="7"/>
        <v>-52922</v>
      </c>
      <c r="U36" s="17" t="e">
        <f>Rent!D$33-Rent!#REF!</f>
        <v>#REF!</v>
      </c>
      <c r="W36" s="17">
        <f>Rent!D$33</f>
        <v>51058</v>
      </c>
    </row>
    <row r="37" spans="1:23" ht="15" customHeight="1">
      <c r="A37" s="7">
        <v>50530</v>
      </c>
      <c r="B37" s="1" t="s">
        <v>185</v>
      </c>
      <c r="C37" s="9">
        <v>6879</v>
      </c>
      <c r="D37" s="9">
        <v>1000</v>
      </c>
      <c r="E37" s="9">
        <v>2830</v>
      </c>
      <c r="F37" s="9">
        <v>1000</v>
      </c>
      <c r="G37" s="9">
        <v>1000</v>
      </c>
      <c r="H37" s="9">
        <v>1000</v>
      </c>
      <c r="I37" s="175">
        <f t="shared" si="4"/>
        <v>13709</v>
      </c>
      <c r="J37" s="9">
        <v>1000</v>
      </c>
      <c r="K37" s="9">
        <v>1000</v>
      </c>
      <c r="L37" s="9">
        <v>1000</v>
      </c>
      <c r="M37" s="9">
        <v>1000</v>
      </c>
      <c r="N37" s="9">
        <v>1000</v>
      </c>
      <c r="O37" s="9">
        <v>1000</v>
      </c>
      <c r="P37" s="9">
        <f t="shared" si="6"/>
        <v>33418</v>
      </c>
      <c r="Q37" s="10" t="e">
        <f t="shared" si="5"/>
        <v>#REF!</v>
      </c>
      <c r="R37" s="240">
        <v>12189</v>
      </c>
      <c r="S37" s="11">
        <v>13200</v>
      </c>
      <c r="T37" s="11">
        <f t="shared" si="7"/>
        <v>21229</v>
      </c>
      <c r="U37" s="17" t="e">
        <f>Rent!D$33-Rent!#REF!</f>
        <v>#REF!</v>
      </c>
      <c r="W37" s="17">
        <f>Rent!D$33</f>
        <v>51058</v>
      </c>
    </row>
    <row r="38" spans="1:23" ht="15" customHeight="1">
      <c r="A38" s="7">
        <v>50540</v>
      </c>
      <c r="B38" s="1" t="s">
        <v>187</v>
      </c>
      <c r="C38" s="9">
        <v>0</v>
      </c>
      <c r="D38" s="9">
        <v>0</v>
      </c>
      <c r="E38" s="9">
        <v>0</v>
      </c>
      <c r="F38" s="9">
        <v>0</v>
      </c>
      <c r="H38" s="9">
        <v>0</v>
      </c>
      <c r="I38" s="175">
        <f t="shared" si="4"/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18890</v>
      </c>
      <c r="P38" s="9">
        <f t="shared" si="6"/>
        <v>18890</v>
      </c>
      <c r="Q38" s="10" t="e">
        <f t="shared" si="5"/>
        <v>#REF!</v>
      </c>
      <c r="R38" s="240">
        <v>0</v>
      </c>
      <c r="S38" s="11">
        <v>0</v>
      </c>
      <c r="T38" s="11">
        <f t="shared" si="7"/>
        <v>18890</v>
      </c>
      <c r="U38" s="17" t="e">
        <f>Rent!D$33-Rent!#REF!</f>
        <v>#REF!</v>
      </c>
      <c r="W38" s="17">
        <f>Rent!D$33</f>
        <v>51058</v>
      </c>
    </row>
    <row r="39" spans="1:23" ht="15" hidden="1" customHeight="1">
      <c r="A39" s="7">
        <v>50560</v>
      </c>
      <c r="B39" s="1" t="s">
        <v>189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75">
        <f t="shared" si="4"/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f t="shared" si="6"/>
        <v>0</v>
      </c>
      <c r="Q39" s="10" t="e">
        <f t="shared" si="5"/>
        <v>#REF!</v>
      </c>
      <c r="R39" s="240"/>
      <c r="S39" s="11">
        <v>0</v>
      </c>
      <c r="T39" s="11">
        <f t="shared" si="7"/>
        <v>0</v>
      </c>
      <c r="U39" s="17" t="e">
        <f>+U38</f>
        <v>#REF!</v>
      </c>
      <c r="W39" s="17">
        <f>Rent!D$33</f>
        <v>51058</v>
      </c>
    </row>
    <row r="40" spans="1:23" ht="15" hidden="1" customHeight="1">
      <c r="A40" s="7">
        <v>50570</v>
      </c>
      <c r="B40" s="1" t="s">
        <v>190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75">
        <f t="shared" si="4"/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f t="shared" si="6"/>
        <v>0</v>
      </c>
      <c r="Q40" s="10" t="e">
        <f t="shared" si="5"/>
        <v>#REF!</v>
      </c>
      <c r="R40" s="240"/>
      <c r="S40" s="11">
        <v>0</v>
      </c>
      <c r="T40" s="11">
        <f t="shared" si="7"/>
        <v>0</v>
      </c>
      <c r="U40" s="17" t="e">
        <f>+U39</f>
        <v>#REF!</v>
      </c>
      <c r="W40" s="17">
        <f>Rent!D$33</f>
        <v>51058</v>
      </c>
    </row>
    <row r="41" spans="1:23" ht="15" hidden="1" customHeight="1">
      <c r="A41" s="7">
        <v>50550</v>
      </c>
      <c r="B41" s="1" t="s">
        <v>191</v>
      </c>
      <c r="C41" s="9">
        <v>0</v>
      </c>
      <c r="D41" s="9">
        <v>0</v>
      </c>
      <c r="E41" s="9"/>
      <c r="F41" s="9"/>
      <c r="G41" s="9"/>
      <c r="H41" s="9"/>
      <c r="I41" s="175">
        <f t="shared" si="4"/>
        <v>0</v>
      </c>
      <c r="J41" s="9"/>
      <c r="K41" s="9"/>
      <c r="L41" s="9"/>
      <c r="M41" s="9">
        <v>0</v>
      </c>
      <c r="N41" s="9">
        <v>0</v>
      </c>
      <c r="O41" s="9">
        <v>0</v>
      </c>
      <c r="P41" s="9">
        <f t="shared" si="6"/>
        <v>0</v>
      </c>
      <c r="Q41" s="10" t="e">
        <f t="shared" si="5"/>
        <v>#REF!</v>
      </c>
      <c r="R41" s="240"/>
      <c r="S41" s="11">
        <v>0</v>
      </c>
      <c r="T41" s="11">
        <f t="shared" si="7"/>
        <v>0</v>
      </c>
      <c r="U41" s="17" t="e">
        <f>Rent!D$33-Rent!#REF!</f>
        <v>#REF!</v>
      </c>
      <c r="W41" s="17">
        <f>Rent!D$33</f>
        <v>51058</v>
      </c>
    </row>
    <row r="42" spans="1:23" ht="15" customHeight="1">
      <c r="A42" s="7">
        <v>50551</v>
      </c>
      <c r="B42" s="1" t="s">
        <v>192</v>
      </c>
      <c r="C42" s="9">
        <v>0</v>
      </c>
      <c r="D42" s="9">
        <v>0</v>
      </c>
      <c r="E42" s="9">
        <v>1000</v>
      </c>
      <c r="F42" s="9">
        <v>0</v>
      </c>
      <c r="G42" s="9">
        <v>0</v>
      </c>
      <c r="H42" s="9">
        <v>0</v>
      </c>
      <c r="I42" s="175">
        <f t="shared" si="4"/>
        <v>1000</v>
      </c>
      <c r="J42" s="9">
        <v>0</v>
      </c>
      <c r="K42" s="9">
        <v>0</v>
      </c>
      <c r="L42" s="9">
        <v>1000</v>
      </c>
      <c r="M42" s="9">
        <v>0</v>
      </c>
      <c r="N42" s="9">
        <v>0</v>
      </c>
      <c r="O42" s="9">
        <v>0</v>
      </c>
      <c r="P42" s="9">
        <f t="shared" si="6"/>
        <v>3000</v>
      </c>
      <c r="Q42" s="10" t="e">
        <f t="shared" si="5"/>
        <v>#REF!</v>
      </c>
      <c r="R42" s="240">
        <v>1718</v>
      </c>
      <c r="S42" s="11">
        <v>2000</v>
      </c>
      <c r="T42" s="11">
        <f t="shared" si="7"/>
        <v>1282</v>
      </c>
      <c r="U42" s="17" t="e">
        <f>Rent!D$33-Rent!#REF!</f>
        <v>#REF!</v>
      </c>
      <c r="W42" s="17">
        <f>Rent!D$33</f>
        <v>51058</v>
      </c>
    </row>
    <row r="43" spans="1:23" ht="15" hidden="1" customHeight="1">
      <c r="A43" s="7">
        <v>51010</v>
      </c>
      <c r="B43" s="1" t="s">
        <v>194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75">
        <f t="shared" si="4"/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f t="shared" si="6"/>
        <v>0</v>
      </c>
      <c r="Q43" s="10" t="e">
        <f t="shared" si="5"/>
        <v>#REF!</v>
      </c>
      <c r="R43" s="240"/>
      <c r="S43" s="11">
        <v>0</v>
      </c>
      <c r="T43" s="11">
        <f t="shared" si="7"/>
        <v>0</v>
      </c>
      <c r="U43" s="17" t="e">
        <f>Rent!D$33-Rent!#REF!</f>
        <v>#REF!</v>
      </c>
      <c r="W43" s="17">
        <f>Rent!D$33</f>
        <v>51058</v>
      </c>
    </row>
    <row r="44" spans="1:23" s="20" customFormat="1" ht="15" customHeight="1">
      <c r="A44" s="19">
        <v>51020</v>
      </c>
      <c r="B44" s="1" t="s">
        <v>359</v>
      </c>
      <c r="C44" s="9">
        <v>625</v>
      </c>
      <c r="D44" s="9">
        <v>625</v>
      </c>
      <c r="E44" s="9">
        <v>625</v>
      </c>
      <c r="F44" s="9">
        <v>625</v>
      </c>
      <c r="G44" s="9">
        <v>625</v>
      </c>
      <c r="H44" s="9">
        <v>625</v>
      </c>
      <c r="I44" s="175">
        <f t="shared" si="4"/>
        <v>3750</v>
      </c>
      <c r="J44" s="9">
        <v>625</v>
      </c>
      <c r="K44" s="9">
        <v>625</v>
      </c>
      <c r="L44" s="9">
        <v>625</v>
      </c>
      <c r="M44" s="9">
        <v>625</v>
      </c>
      <c r="N44" s="9">
        <v>625</v>
      </c>
      <c r="O44" s="9">
        <v>625</v>
      </c>
      <c r="P44" s="9">
        <f t="shared" si="6"/>
        <v>11250</v>
      </c>
      <c r="Q44" s="10" t="e">
        <f t="shared" si="5"/>
        <v>#REF!</v>
      </c>
      <c r="R44" s="240">
        <v>6880</v>
      </c>
      <c r="S44" s="11">
        <v>7500</v>
      </c>
      <c r="T44" s="11">
        <f t="shared" si="7"/>
        <v>4370</v>
      </c>
      <c r="U44" s="17" t="e">
        <f>Rent!D$33-Rent!#REF!</f>
        <v>#REF!</v>
      </c>
      <c r="V44" s="1"/>
      <c r="W44" s="17">
        <f>Rent!D$33</f>
        <v>51058</v>
      </c>
    </row>
    <row r="45" spans="1:23" ht="15" hidden="1" customHeight="1">
      <c r="A45" s="7">
        <v>51023</v>
      </c>
      <c r="B45" s="1" t="s">
        <v>197</v>
      </c>
      <c r="C45" s="9"/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75">
        <f t="shared" si="4"/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f t="shared" si="6"/>
        <v>0</v>
      </c>
      <c r="Q45" s="10" t="e">
        <f t="shared" si="5"/>
        <v>#REF!</v>
      </c>
      <c r="R45" s="240"/>
      <c r="S45" s="11">
        <v>0</v>
      </c>
      <c r="T45" s="11">
        <f t="shared" si="7"/>
        <v>0</v>
      </c>
      <c r="U45" s="17" t="e">
        <f>Rent!D$33-Rent!#REF!</f>
        <v>#REF!</v>
      </c>
      <c r="W45" s="17">
        <f>Rent!D$33</f>
        <v>51058</v>
      </c>
    </row>
    <row r="46" spans="1:23" ht="15" hidden="1" customHeight="1">
      <c r="A46" s="7">
        <v>51030</v>
      </c>
      <c r="B46" s="1" t="s">
        <v>198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75">
        <f t="shared" si="4"/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f t="shared" si="6"/>
        <v>0</v>
      </c>
      <c r="Q46" s="10" t="e">
        <f t="shared" si="5"/>
        <v>#REF!</v>
      </c>
      <c r="R46" s="240"/>
      <c r="S46" s="11">
        <v>0</v>
      </c>
      <c r="T46" s="11">
        <f t="shared" si="7"/>
        <v>0</v>
      </c>
      <c r="U46" s="17" t="e">
        <f>Rent!D$33-Rent!#REF!</f>
        <v>#REF!</v>
      </c>
      <c r="W46" s="17">
        <f>Rent!D$33</f>
        <v>51058</v>
      </c>
    </row>
    <row r="47" spans="1:23" ht="15" customHeight="1">
      <c r="A47" s="7">
        <v>51040</v>
      </c>
      <c r="B47" s="1" t="s">
        <v>200</v>
      </c>
      <c r="C47" s="9">
        <v>4024</v>
      </c>
      <c r="D47" s="9">
        <v>4024</v>
      </c>
      <c r="E47" s="9">
        <v>4024</v>
      </c>
      <c r="F47" s="9">
        <v>4024</v>
      </c>
      <c r="G47" s="9">
        <v>4024</v>
      </c>
      <c r="H47" s="9">
        <v>4024</v>
      </c>
      <c r="I47" s="175">
        <f t="shared" si="4"/>
        <v>24144</v>
      </c>
      <c r="J47" s="9">
        <v>4024</v>
      </c>
      <c r="K47" s="9">
        <v>4024</v>
      </c>
      <c r="L47" s="9">
        <v>4024</v>
      </c>
      <c r="M47" s="9">
        <v>4864</v>
      </c>
      <c r="N47" s="9">
        <v>4864</v>
      </c>
      <c r="O47" s="9">
        <v>4864</v>
      </c>
      <c r="P47" s="9">
        <f t="shared" si="6"/>
        <v>74952</v>
      </c>
      <c r="Q47" s="10" t="e">
        <f t="shared" si="5"/>
        <v>#REF!</v>
      </c>
      <c r="R47" s="240">
        <v>47112</v>
      </c>
      <c r="S47" s="11">
        <v>47112</v>
      </c>
      <c r="T47" s="11">
        <f t="shared" si="7"/>
        <v>27840</v>
      </c>
      <c r="U47" s="17" t="e">
        <f>Rent!D$33-Rent!#REF!</f>
        <v>#REF!</v>
      </c>
      <c r="W47" s="17">
        <f>Rent!D$33</f>
        <v>51058</v>
      </c>
    </row>
    <row r="48" spans="1:23" ht="15" hidden="1" customHeight="1">
      <c r="A48" s="21" t="s">
        <v>202</v>
      </c>
      <c r="B48" s="1" t="s">
        <v>203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175">
        <f t="shared" si="4"/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f t="shared" si="6"/>
        <v>0</v>
      </c>
      <c r="Q48" s="10" t="e">
        <f t="shared" si="5"/>
        <v>#REF!</v>
      </c>
      <c r="R48" s="240"/>
      <c r="S48" s="11">
        <v>0</v>
      </c>
      <c r="T48" s="11">
        <f t="shared" si="7"/>
        <v>0</v>
      </c>
      <c r="U48" s="17" t="e">
        <f>Rent!D$33-Rent!#REF!</f>
        <v>#REF!</v>
      </c>
      <c r="W48" s="17">
        <f>Rent!D$33</f>
        <v>51058</v>
      </c>
    </row>
    <row r="49" spans="1:23" ht="15" customHeight="1">
      <c r="A49" s="7">
        <v>51050</v>
      </c>
      <c r="B49" s="1" t="s">
        <v>204</v>
      </c>
      <c r="C49" s="9">
        <v>230</v>
      </c>
      <c r="D49" s="9">
        <v>230</v>
      </c>
      <c r="E49" s="9">
        <v>230</v>
      </c>
      <c r="F49" s="9">
        <v>230</v>
      </c>
      <c r="G49" s="9">
        <v>230</v>
      </c>
      <c r="H49" s="9">
        <v>230</v>
      </c>
      <c r="I49" s="175">
        <f t="shared" si="4"/>
        <v>1380</v>
      </c>
      <c r="J49" s="9">
        <v>230</v>
      </c>
      <c r="K49" s="9">
        <v>230</v>
      </c>
      <c r="L49" s="9">
        <v>230</v>
      </c>
      <c r="M49" s="9">
        <v>230</v>
      </c>
      <c r="N49" s="9">
        <v>230</v>
      </c>
      <c r="O49" s="9">
        <v>230</v>
      </c>
      <c r="P49" s="9">
        <f t="shared" si="6"/>
        <v>4140</v>
      </c>
      <c r="Q49" s="10" t="e">
        <f t="shared" si="5"/>
        <v>#REF!</v>
      </c>
      <c r="R49" s="240">
        <v>1860</v>
      </c>
      <c r="S49" s="11">
        <v>1860</v>
      </c>
      <c r="T49" s="11">
        <f t="shared" si="7"/>
        <v>2280</v>
      </c>
      <c r="U49" s="17" t="e">
        <f>Rent!D$33-Rent!#REF!</f>
        <v>#REF!</v>
      </c>
      <c r="W49" s="17">
        <f>Rent!D$33</f>
        <v>51058</v>
      </c>
    </row>
    <row r="50" spans="1:23" ht="15" hidden="1" customHeight="1">
      <c r="A50" s="7">
        <v>51055</v>
      </c>
      <c r="B50" s="1" t="s">
        <v>206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75">
        <f t="shared" si="4"/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f t="shared" si="6"/>
        <v>0</v>
      </c>
      <c r="Q50" s="10" t="e">
        <f t="shared" si="5"/>
        <v>#REF!</v>
      </c>
      <c r="R50" s="240"/>
      <c r="S50" s="11">
        <v>0</v>
      </c>
      <c r="T50" s="11">
        <f t="shared" si="7"/>
        <v>0</v>
      </c>
      <c r="U50" s="17" t="e">
        <f>Rent!D$33-Rent!#REF!</f>
        <v>#REF!</v>
      </c>
      <c r="W50" s="17">
        <f>Rent!D$33</f>
        <v>51058</v>
      </c>
    </row>
    <row r="51" spans="1:23" ht="15" hidden="1" customHeight="1">
      <c r="A51" s="7">
        <v>51074</v>
      </c>
      <c r="B51" s="1" t="s">
        <v>207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75">
        <f t="shared" si="4"/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f t="shared" si="6"/>
        <v>0</v>
      </c>
      <c r="Q51" s="10" t="e">
        <f t="shared" si="5"/>
        <v>#REF!</v>
      </c>
      <c r="R51" s="240"/>
      <c r="S51" s="11">
        <v>0</v>
      </c>
      <c r="T51" s="11">
        <f t="shared" si="7"/>
        <v>0</v>
      </c>
      <c r="U51" s="17" t="e">
        <f>Rent!D$33-Rent!#REF!</f>
        <v>#REF!</v>
      </c>
      <c r="W51" s="17">
        <f>Rent!D$33</f>
        <v>51058</v>
      </c>
    </row>
    <row r="52" spans="1:23" ht="15" hidden="1" customHeight="1">
      <c r="A52" s="7">
        <v>51075</v>
      </c>
      <c r="B52" s="1" t="s">
        <v>208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75">
        <f t="shared" si="4"/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f t="shared" si="6"/>
        <v>0</v>
      </c>
      <c r="Q52" s="10" t="e">
        <f t="shared" si="5"/>
        <v>#REF!</v>
      </c>
      <c r="R52" s="240"/>
      <c r="S52" s="11">
        <v>0</v>
      </c>
      <c r="T52" s="11">
        <f t="shared" si="7"/>
        <v>0</v>
      </c>
      <c r="U52" s="17" t="e">
        <f>Rent!D$33-Rent!#REF!</f>
        <v>#REF!</v>
      </c>
      <c r="W52" s="17">
        <f>Rent!D$33</f>
        <v>51058</v>
      </c>
    </row>
    <row r="53" spans="1:23" ht="15" customHeight="1">
      <c r="A53" s="7">
        <v>51080</v>
      </c>
      <c r="B53" s="1" t="s">
        <v>209</v>
      </c>
      <c r="C53" s="9">
        <v>5730</v>
      </c>
      <c r="D53" s="9">
        <v>5730</v>
      </c>
      <c r="E53" s="9">
        <v>5730</v>
      </c>
      <c r="F53" s="9">
        <v>5730</v>
      </c>
      <c r="G53" s="9">
        <v>5730</v>
      </c>
      <c r="H53" s="9">
        <v>5730</v>
      </c>
      <c r="I53" s="175">
        <f t="shared" si="4"/>
        <v>34380</v>
      </c>
      <c r="J53" s="9">
        <v>5730</v>
      </c>
      <c r="K53" s="9">
        <v>5730</v>
      </c>
      <c r="L53" s="9">
        <v>5730</v>
      </c>
      <c r="M53" s="9">
        <v>5730</v>
      </c>
      <c r="N53" s="9">
        <v>5730</v>
      </c>
      <c r="O53" s="9">
        <v>5730</v>
      </c>
      <c r="P53" s="9">
        <f t="shared" si="6"/>
        <v>103140</v>
      </c>
      <c r="Q53" s="10" t="e">
        <f t="shared" si="5"/>
        <v>#REF!</v>
      </c>
      <c r="R53" s="240">
        <v>56352</v>
      </c>
      <c r="S53" s="11">
        <v>56500</v>
      </c>
      <c r="T53" s="11">
        <f t="shared" si="7"/>
        <v>46788</v>
      </c>
      <c r="U53" s="17" t="e">
        <f>Rent!D$33-Rent!#REF!</f>
        <v>#REF!</v>
      </c>
      <c r="W53" s="17">
        <f>Rent!D$33</f>
        <v>51058</v>
      </c>
    </row>
    <row r="54" spans="1:23" ht="15" customHeight="1">
      <c r="A54" s="7">
        <v>51100</v>
      </c>
      <c r="B54" s="1" t="s">
        <v>211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75">
        <f t="shared" si="4"/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f t="shared" si="6"/>
        <v>0</v>
      </c>
      <c r="Q54" s="10" t="e">
        <f t="shared" si="5"/>
        <v>#REF!</v>
      </c>
      <c r="R54" s="240"/>
      <c r="S54" s="11">
        <v>0</v>
      </c>
      <c r="T54" s="11">
        <f t="shared" si="7"/>
        <v>0</v>
      </c>
      <c r="U54" s="17" t="e">
        <f>Rent!D$33-Rent!#REF!</f>
        <v>#REF!</v>
      </c>
      <c r="W54" s="17">
        <f>Rent!D$33</f>
        <v>51058</v>
      </c>
    </row>
    <row r="55" spans="1:23" ht="15" customHeight="1">
      <c r="A55" s="7">
        <v>51130</v>
      </c>
      <c r="B55" s="1" t="s">
        <v>360</v>
      </c>
      <c r="C55" s="9">
        <v>1297</v>
      </c>
      <c r="D55" s="9">
        <v>0</v>
      </c>
      <c r="E55" s="9">
        <v>0</v>
      </c>
      <c r="F55" s="9">
        <v>1297</v>
      </c>
      <c r="G55" s="9">
        <v>0</v>
      </c>
      <c r="H55" s="9">
        <v>0</v>
      </c>
      <c r="I55" s="175">
        <f t="shared" si="4"/>
        <v>2594</v>
      </c>
      <c r="J55" s="9">
        <v>1297</v>
      </c>
      <c r="K55" s="9">
        <v>0</v>
      </c>
      <c r="L55" s="9">
        <v>0</v>
      </c>
      <c r="M55" s="9">
        <v>1297</v>
      </c>
      <c r="N55" s="9">
        <v>0</v>
      </c>
      <c r="O55" s="9">
        <v>0</v>
      </c>
      <c r="P55" s="9">
        <f t="shared" si="6"/>
        <v>7782</v>
      </c>
      <c r="Q55" s="10" t="e">
        <f t="shared" si="5"/>
        <v>#REF!</v>
      </c>
      <c r="R55" s="240"/>
      <c r="S55" s="11">
        <v>0</v>
      </c>
      <c r="T55" s="11">
        <f t="shared" si="7"/>
        <v>7782</v>
      </c>
      <c r="U55" s="17" t="e">
        <f>Rent!D$33-Rent!#REF!</f>
        <v>#REF!</v>
      </c>
      <c r="W55" s="17" t="e">
        <f>Rent!D$33-Rent!D14-Rent!#REF!-Rent!#REF!-Rent!D23</f>
        <v>#REF!</v>
      </c>
    </row>
    <row r="56" spans="1:23" ht="15" hidden="1" customHeight="1">
      <c r="A56" s="7">
        <v>51140</v>
      </c>
      <c r="B56" s="1" t="s">
        <v>361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75">
        <f t="shared" si="4"/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f t="shared" si="6"/>
        <v>0</v>
      </c>
      <c r="Q56" s="10" t="e">
        <f t="shared" si="5"/>
        <v>#REF!</v>
      </c>
      <c r="R56" s="240"/>
      <c r="S56" s="11">
        <v>0</v>
      </c>
      <c r="T56" s="11">
        <f t="shared" si="7"/>
        <v>0</v>
      </c>
      <c r="U56" s="17" t="e">
        <f>Rent!D$33-Rent!#REF!</f>
        <v>#REF!</v>
      </c>
      <c r="W56" s="17">
        <f>Rent!D$33</f>
        <v>51058</v>
      </c>
    </row>
    <row r="57" spans="1:23" ht="15" customHeight="1">
      <c r="A57" s="7">
        <v>51150</v>
      </c>
      <c r="B57" s="1" t="s">
        <v>216</v>
      </c>
      <c r="C57" s="9">
        <v>710.7</v>
      </c>
      <c r="D57" s="9">
        <v>710.7</v>
      </c>
      <c r="E57" s="9">
        <v>710.7</v>
      </c>
      <c r="F57" s="9">
        <v>710.7</v>
      </c>
      <c r="G57" s="9">
        <v>710.7</v>
      </c>
      <c r="H57" s="9">
        <v>710.7</v>
      </c>
      <c r="I57" s="175">
        <f t="shared" si="4"/>
        <v>4264.2</v>
      </c>
      <c r="J57" s="9">
        <v>710.7</v>
      </c>
      <c r="K57" s="9">
        <v>710.7</v>
      </c>
      <c r="L57" s="9">
        <v>710.7</v>
      </c>
      <c r="M57" s="9">
        <v>710.7</v>
      </c>
      <c r="N57" s="9">
        <v>710.7</v>
      </c>
      <c r="O57" s="9">
        <v>710.7</v>
      </c>
      <c r="P57" s="9">
        <f t="shared" si="6"/>
        <v>12792.600000000004</v>
      </c>
      <c r="Q57" s="10" t="e">
        <f t="shared" si="5"/>
        <v>#REF!</v>
      </c>
      <c r="R57" s="240">
        <v>8280</v>
      </c>
      <c r="S57" s="11">
        <v>8280</v>
      </c>
      <c r="T57" s="11">
        <f t="shared" si="7"/>
        <v>4512.600000000004</v>
      </c>
      <c r="U57" s="17" t="e">
        <f>Rent!D$33-Rent!#REF!</f>
        <v>#REF!</v>
      </c>
      <c r="W57" s="17">
        <f>Rent!D$33</f>
        <v>51058</v>
      </c>
    </row>
    <row r="58" spans="1:23" s="20" customFormat="1" ht="15" customHeight="1">
      <c r="A58" s="19">
        <v>51160</v>
      </c>
      <c r="B58" s="1" t="s">
        <v>362</v>
      </c>
      <c r="C58" s="9"/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75">
        <f t="shared" si="4"/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f t="shared" si="6"/>
        <v>0</v>
      </c>
      <c r="Q58" s="10" t="e">
        <f t="shared" si="5"/>
        <v>#REF!</v>
      </c>
      <c r="R58" s="240"/>
      <c r="S58" s="11">
        <v>0</v>
      </c>
      <c r="T58" s="11">
        <f t="shared" si="7"/>
        <v>0</v>
      </c>
      <c r="U58" s="17" t="e">
        <f>Rent!D$33-Rent!#REF!</f>
        <v>#REF!</v>
      </c>
      <c r="V58" s="1"/>
      <c r="W58" s="17">
        <f>Rent!D$33</f>
        <v>51058</v>
      </c>
    </row>
    <row r="59" spans="1:23" ht="15" customHeight="1">
      <c r="A59" s="7">
        <v>51190</v>
      </c>
      <c r="B59" s="1" t="s">
        <v>363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75">
        <f t="shared" si="4"/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f t="shared" si="6"/>
        <v>0</v>
      </c>
      <c r="Q59" s="10" t="e">
        <f t="shared" si="5"/>
        <v>#REF!</v>
      </c>
      <c r="R59" s="240"/>
      <c r="S59" s="11">
        <v>0</v>
      </c>
      <c r="T59" s="11">
        <f t="shared" si="7"/>
        <v>0</v>
      </c>
      <c r="U59" s="17" t="e">
        <f>Rent!D$33-Rent!#REF!</f>
        <v>#REF!</v>
      </c>
      <c r="W59" s="17">
        <f>Rent!D$33</f>
        <v>51058</v>
      </c>
    </row>
    <row r="60" spans="1:23" ht="15" hidden="1" customHeight="1">
      <c r="A60" s="7">
        <v>50103</v>
      </c>
      <c r="B60" s="1" t="s">
        <v>221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75">
        <f t="shared" si="4"/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f t="shared" si="6"/>
        <v>0</v>
      </c>
      <c r="Q60" s="10" t="e">
        <f t="shared" si="5"/>
        <v>#REF!</v>
      </c>
      <c r="R60" s="240"/>
      <c r="S60" s="11">
        <v>0</v>
      </c>
      <c r="T60" s="11">
        <f t="shared" si="7"/>
        <v>0</v>
      </c>
      <c r="U60" s="17" t="e">
        <f>Rent!D$33-Rent!#REF!</f>
        <v>#REF!</v>
      </c>
      <c r="W60" s="17">
        <f>Rent!D$33</f>
        <v>51058</v>
      </c>
    </row>
    <row r="61" spans="1:23" ht="15" hidden="1" customHeight="1">
      <c r="A61" s="7">
        <v>51170</v>
      </c>
      <c r="B61" s="1" t="s">
        <v>222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75">
        <f t="shared" si="4"/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f t="shared" si="6"/>
        <v>0</v>
      </c>
      <c r="Q61" s="10" t="e">
        <f t="shared" si="5"/>
        <v>#REF!</v>
      </c>
      <c r="R61" s="240"/>
      <c r="S61" s="11">
        <v>0</v>
      </c>
      <c r="T61" s="11">
        <f t="shared" si="7"/>
        <v>0</v>
      </c>
      <c r="U61" s="17" t="e">
        <f>Rent!D$33-Rent!#REF!</f>
        <v>#REF!</v>
      </c>
      <c r="W61" s="17">
        <f>Rent!D$33</f>
        <v>51058</v>
      </c>
    </row>
    <row r="62" spans="1:23" ht="15" hidden="1" customHeight="1">
      <c r="A62" s="21">
        <v>0</v>
      </c>
      <c r="B62" s="1" t="s">
        <v>223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75">
        <f t="shared" si="4"/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f t="shared" si="6"/>
        <v>0</v>
      </c>
      <c r="Q62" s="10" t="e">
        <f t="shared" si="5"/>
        <v>#REF!</v>
      </c>
      <c r="R62" s="240"/>
      <c r="S62" s="11">
        <v>0</v>
      </c>
      <c r="T62" s="11">
        <f t="shared" si="7"/>
        <v>0</v>
      </c>
      <c r="U62" s="17" t="e">
        <f>Rent!D$33-Rent!#REF!</f>
        <v>#REF!</v>
      </c>
      <c r="W62" s="17">
        <f>Rent!D$33</f>
        <v>51058</v>
      </c>
    </row>
    <row r="63" spans="1:23" ht="15" hidden="1" customHeight="1">
      <c r="A63" s="7">
        <v>51200</v>
      </c>
      <c r="B63" s="1" t="s">
        <v>224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75">
        <f t="shared" si="4"/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f t="shared" si="6"/>
        <v>0</v>
      </c>
      <c r="Q63" s="10" t="e">
        <f t="shared" si="5"/>
        <v>#REF!</v>
      </c>
      <c r="R63" s="240"/>
      <c r="S63" s="11">
        <v>0</v>
      </c>
      <c r="T63" s="11">
        <f t="shared" si="7"/>
        <v>0</v>
      </c>
      <c r="U63" s="17" t="e">
        <f>Rent!D$33-Rent!#REF!</f>
        <v>#REF!</v>
      </c>
      <c r="W63" s="17">
        <f>Rent!D$33</f>
        <v>51058</v>
      </c>
    </row>
    <row r="64" spans="1:23" ht="15" hidden="1" customHeight="1">
      <c r="A64" s="21">
        <v>0</v>
      </c>
      <c r="B64" s="1" t="s">
        <v>225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75">
        <f t="shared" si="4"/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f t="shared" si="6"/>
        <v>0</v>
      </c>
      <c r="Q64" s="10" t="e">
        <f t="shared" si="5"/>
        <v>#REF!</v>
      </c>
      <c r="R64" s="240"/>
      <c r="S64" s="11">
        <v>0</v>
      </c>
      <c r="T64" s="11">
        <f t="shared" si="7"/>
        <v>0</v>
      </c>
      <c r="U64" s="17" t="e">
        <f>Rent!D$33-Rent!#REF!</f>
        <v>#REF!</v>
      </c>
      <c r="W64" s="17">
        <f>Rent!D$33</f>
        <v>51058</v>
      </c>
    </row>
    <row r="65" spans="1:23" ht="15" customHeight="1">
      <c r="A65" s="7">
        <v>51210</v>
      </c>
      <c r="B65" s="1" t="s">
        <v>226</v>
      </c>
      <c r="C65" s="9"/>
      <c r="D65" s="9">
        <v>0</v>
      </c>
      <c r="E65" s="9">
        <v>1000</v>
      </c>
      <c r="F65" s="9"/>
      <c r="G65" s="9">
        <v>0</v>
      </c>
      <c r="H65" s="9">
        <v>1350</v>
      </c>
      <c r="I65" s="175">
        <f t="shared" si="4"/>
        <v>2350</v>
      </c>
      <c r="J65" s="9">
        <v>0</v>
      </c>
      <c r="K65" s="9">
        <v>0</v>
      </c>
      <c r="L65" s="9">
        <v>1000</v>
      </c>
      <c r="M65" s="9"/>
      <c r="N65" s="9">
        <v>0</v>
      </c>
      <c r="O65" s="9">
        <v>0</v>
      </c>
      <c r="P65" s="9">
        <f t="shared" si="6"/>
        <v>5700</v>
      </c>
      <c r="Q65" s="10" t="e">
        <f t="shared" si="5"/>
        <v>#REF!</v>
      </c>
      <c r="R65" s="240">
        <v>500</v>
      </c>
      <c r="S65" s="11">
        <v>4550</v>
      </c>
      <c r="T65" s="11">
        <f t="shared" si="7"/>
        <v>5200</v>
      </c>
      <c r="U65" s="17" t="e">
        <f>Rent!D$33-Rent!#REF!</f>
        <v>#REF!</v>
      </c>
      <c r="W65" s="17" t="e">
        <f>Rent!D$33-Rent!#REF!</f>
        <v>#REF!</v>
      </c>
    </row>
    <row r="66" spans="1:23" ht="15" customHeight="1">
      <c r="A66" s="7">
        <v>51220</v>
      </c>
      <c r="B66" s="1" t="s">
        <v>228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75">
        <f t="shared" si="4"/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f t="shared" si="6"/>
        <v>0</v>
      </c>
      <c r="Q66" s="10" t="e">
        <f t="shared" si="5"/>
        <v>#REF!</v>
      </c>
      <c r="R66" s="240"/>
      <c r="S66" s="11">
        <v>0</v>
      </c>
      <c r="T66" s="11">
        <f t="shared" si="7"/>
        <v>0</v>
      </c>
      <c r="U66" s="17" t="e">
        <f>Rent!D$33-Rent!#REF!</f>
        <v>#REF!</v>
      </c>
      <c r="W66" s="17" t="e">
        <f>Rent!D$33-Rent!D14-Rent!#REF!</f>
        <v>#REF!</v>
      </c>
    </row>
    <row r="67" spans="1:23" ht="15" hidden="1" customHeight="1">
      <c r="A67" s="21">
        <v>0</v>
      </c>
      <c r="B67" s="1" t="s">
        <v>230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75">
        <f t="shared" si="4"/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f t="shared" si="6"/>
        <v>0</v>
      </c>
      <c r="Q67" s="10" t="e">
        <f t="shared" si="5"/>
        <v>#REF!</v>
      </c>
      <c r="R67" s="240"/>
      <c r="S67" s="11">
        <v>0</v>
      </c>
      <c r="T67" s="11">
        <f t="shared" si="7"/>
        <v>0</v>
      </c>
      <c r="U67" s="17" t="e">
        <f>Rent!D$33-Rent!#REF!</f>
        <v>#REF!</v>
      </c>
      <c r="W67" s="17">
        <f>Rent!D$33</f>
        <v>51058</v>
      </c>
    </row>
    <row r="68" spans="1:23" ht="15" hidden="1" customHeight="1">
      <c r="A68" s="21">
        <v>0</v>
      </c>
      <c r="B68" s="1" t="s">
        <v>231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75">
        <f t="shared" si="4"/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f t="shared" si="6"/>
        <v>0</v>
      </c>
      <c r="Q68" s="10" t="e">
        <f t="shared" si="5"/>
        <v>#REF!</v>
      </c>
      <c r="R68" s="240"/>
      <c r="S68" s="11">
        <v>0</v>
      </c>
      <c r="T68" s="11">
        <f t="shared" si="7"/>
        <v>0</v>
      </c>
      <c r="U68" s="17" t="e">
        <f>Rent!D$33-Rent!#REF!</f>
        <v>#REF!</v>
      </c>
      <c r="W68" s="17">
        <f>Rent!D$33</f>
        <v>51058</v>
      </c>
    </row>
    <row r="69" spans="1:23" ht="15" customHeight="1">
      <c r="A69" s="7">
        <v>52010</v>
      </c>
      <c r="B69" s="1" t="s">
        <v>232</v>
      </c>
      <c r="C69" s="9">
        <v>100</v>
      </c>
      <c r="D69" s="9"/>
      <c r="E69" s="9"/>
      <c r="F69" s="9">
        <v>100</v>
      </c>
      <c r="G69" s="9"/>
      <c r="H69" s="9"/>
      <c r="I69" s="175">
        <f t="shared" si="4"/>
        <v>200</v>
      </c>
      <c r="J69" s="9">
        <v>100</v>
      </c>
      <c r="K69" s="9"/>
      <c r="L69" s="9"/>
      <c r="M69" s="9">
        <v>100</v>
      </c>
      <c r="N69" s="9"/>
      <c r="O69" s="9"/>
      <c r="P69" s="9">
        <f t="shared" si="6"/>
        <v>600</v>
      </c>
      <c r="Q69" s="10" t="e">
        <f t="shared" si="5"/>
        <v>#REF!</v>
      </c>
      <c r="R69" s="240">
        <v>425</v>
      </c>
      <c r="S69" s="11">
        <v>1200</v>
      </c>
      <c r="T69" s="11">
        <f t="shared" si="7"/>
        <v>175</v>
      </c>
      <c r="U69" s="17" t="e">
        <f>Rent!D$33-Rent!#REF!</f>
        <v>#REF!</v>
      </c>
      <c r="W69" s="17">
        <f>Rent!D$33</f>
        <v>51058</v>
      </c>
    </row>
    <row r="70" spans="1:23" ht="18.75" hidden="1" customHeight="1">
      <c r="A70" s="21">
        <v>0</v>
      </c>
      <c r="B70" s="1" t="s">
        <v>234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75">
        <f t="shared" si="4"/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f t="shared" si="6"/>
        <v>0</v>
      </c>
      <c r="Q70" s="10" t="e">
        <f t="shared" si="5"/>
        <v>#REF!</v>
      </c>
      <c r="R70" s="240"/>
      <c r="S70" s="11">
        <v>0</v>
      </c>
      <c r="T70" s="11">
        <f t="shared" si="7"/>
        <v>0</v>
      </c>
      <c r="U70" s="17" t="e">
        <f>Rent!D$33-Rent!#REF!</f>
        <v>#REF!</v>
      </c>
      <c r="W70" s="17">
        <f>Rent!D$33</f>
        <v>51058</v>
      </c>
    </row>
    <row r="71" spans="1:23" ht="15" customHeight="1">
      <c r="A71" s="7">
        <v>51230</v>
      </c>
      <c r="B71" s="1" t="s">
        <v>364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75">
        <f t="shared" si="4"/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f t="shared" si="6"/>
        <v>0</v>
      </c>
      <c r="Q71" s="10" t="e">
        <f t="shared" si="5"/>
        <v>#REF!</v>
      </c>
      <c r="R71" s="240"/>
      <c r="S71" s="11">
        <v>0</v>
      </c>
      <c r="T71" s="11">
        <f t="shared" si="7"/>
        <v>0</v>
      </c>
      <c r="U71" s="17" t="e">
        <f>Rent!D$33-Rent!#REF!</f>
        <v>#REF!</v>
      </c>
      <c r="W71" s="17">
        <f>Rent!D$33</f>
        <v>51058</v>
      </c>
    </row>
    <row r="72" spans="1:23" ht="15" customHeight="1">
      <c r="A72" s="140">
        <v>50220</v>
      </c>
      <c r="B72" s="1" t="s">
        <v>237</v>
      </c>
      <c r="C72" s="9">
        <v>570</v>
      </c>
      <c r="D72" s="9">
        <v>570</v>
      </c>
      <c r="E72" s="9">
        <v>570</v>
      </c>
      <c r="F72" s="9">
        <v>570</v>
      </c>
      <c r="G72" s="9">
        <v>570</v>
      </c>
      <c r="H72" s="9">
        <v>570</v>
      </c>
      <c r="I72" s="175">
        <f t="shared" si="4"/>
        <v>3420</v>
      </c>
      <c r="J72" s="9">
        <v>570</v>
      </c>
      <c r="K72" s="9">
        <v>570</v>
      </c>
      <c r="L72" s="9">
        <v>570</v>
      </c>
      <c r="M72" s="9">
        <v>570</v>
      </c>
      <c r="N72" s="9">
        <v>570</v>
      </c>
      <c r="O72" s="9">
        <v>570</v>
      </c>
      <c r="P72" s="9">
        <f t="shared" si="6"/>
        <v>10260</v>
      </c>
      <c r="Q72" s="10" t="e">
        <f t="shared" si="5"/>
        <v>#REF!</v>
      </c>
      <c r="R72" s="240">
        <v>6800</v>
      </c>
      <c r="S72" s="11">
        <v>6840</v>
      </c>
      <c r="T72" s="11">
        <f t="shared" si="7"/>
        <v>3460</v>
      </c>
      <c r="U72" s="17" t="e">
        <f>Rent!D$33-Rent!#REF!</f>
        <v>#REF!</v>
      </c>
      <c r="W72" s="17">
        <f>Rent!D$33</f>
        <v>51058</v>
      </c>
    </row>
    <row r="73" spans="1:23" ht="15" customHeight="1">
      <c r="A73" s="7">
        <v>55160</v>
      </c>
      <c r="B73" s="1" t="s">
        <v>238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75">
        <f t="shared" si="4"/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f t="shared" si="6"/>
        <v>0</v>
      </c>
      <c r="Q73" s="10" t="e">
        <f t="shared" si="5"/>
        <v>#REF!</v>
      </c>
      <c r="R73" s="240"/>
      <c r="S73" s="11">
        <v>0</v>
      </c>
      <c r="T73" s="11">
        <f t="shared" si="7"/>
        <v>0</v>
      </c>
      <c r="U73" s="17" t="e">
        <f>Rent!D$33-Rent!#REF!</f>
        <v>#REF!</v>
      </c>
      <c r="W73" s="17">
        <f>Rent!D$33</f>
        <v>51058</v>
      </c>
    </row>
    <row r="74" spans="1:23" ht="15" customHeight="1">
      <c r="A74" s="7">
        <v>55110</v>
      </c>
      <c r="B74" s="1" t="s">
        <v>239</v>
      </c>
      <c r="C74" s="9">
        <v>3000</v>
      </c>
      <c r="D74" s="9">
        <v>3000</v>
      </c>
      <c r="E74" s="9">
        <v>3000</v>
      </c>
      <c r="F74" s="9">
        <v>3000</v>
      </c>
      <c r="G74" s="9">
        <v>3000</v>
      </c>
      <c r="H74" s="9">
        <v>3000</v>
      </c>
      <c r="I74" s="175">
        <f t="shared" si="4"/>
        <v>18000</v>
      </c>
      <c r="J74" s="9">
        <v>3000</v>
      </c>
      <c r="K74" s="9">
        <v>3000</v>
      </c>
      <c r="L74" s="9">
        <v>3000</v>
      </c>
      <c r="M74" s="9">
        <v>3000</v>
      </c>
      <c r="N74" s="9">
        <v>3000</v>
      </c>
      <c r="O74" s="9">
        <v>3000</v>
      </c>
      <c r="P74" s="9">
        <f t="shared" si="6"/>
        <v>54000</v>
      </c>
      <c r="Q74" s="10" t="e">
        <f t="shared" si="5"/>
        <v>#REF!</v>
      </c>
      <c r="R74" s="240">
        <v>33619</v>
      </c>
      <c r="S74" s="11">
        <v>38400</v>
      </c>
      <c r="T74" s="11">
        <f t="shared" si="7"/>
        <v>20381</v>
      </c>
      <c r="U74" s="17" t="e">
        <f>+U73</f>
        <v>#REF!</v>
      </c>
      <c r="W74" s="17">
        <f>Rent!D$33</f>
        <v>51058</v>
      </c>
    </row>
    <row r="75" spans="1:23" ht="15" customHeight="1">
      <c r="A75" s="7">
        <v>55140</v>
      </c>
      <c r="B75" s="1" t="s">
        <v>240</v>
      </c>
      <c r="C75" s="9">
        <v>850</v>
      </c>
      <c r="D75" s="9">
        <v>850</v>
      </c>
      <c r="E75" s="9">
        <v>850</v>
      </c>
      <c r="F75" s="9">
        <v>850</v>
      </c>
      <c r="G75" s="9">
        <v>850</v>
      </c>
      <c r="H75" s="9">
        <v>850</v>
      </c>
      <c r="I75" s="175">
        <f t="shared" si="4"/>
        <v>5100</v>
      </c>
      <c r="J75" s="9">
        <v>850</v>
      </c>
      <c r="K75" s="9">
        <v>850</v>
      </c>
      <c r="L75" s="9">
        <v>850</v>
      </c>
      <c r="M75" s="9">
        <v>850</v>
      </c>
      <c r="N75" s="9">
        <v>850</v>
      </c>
      <c r="O75" s="9">
        <v>850</v>
      </c>
      <c r="P75" s="9">
        <f t="shared" si="6"/>
        <v>15300</v>
      </c>
      <c r="Q75" s="10" t="e">
        <f t="shared" si="5"/>
        <v>#REF!</v>
      </c>
      <c r="R75" s="240">
        <v>11553</v>
      </c>
      <c r="S75" s="11">
        <v>20436</v>
      </c>
      <c r="T75" s="11">
        <f t="shared" si="7"/>
        <v>3747</v>
      </c>
      <c r="U75" s="17" t="e">
        <f>+U74</f>
        <v>#REF!</v>
      </c>
      <c r="W75" s="17">
        <f>Rent!D$33</f>
        <v>51058</v>
      </c>
    </row>
    <row r="76" spans="1:23" ht="15" customHeight="1">
      <c r="A76" s="7"/>
      <c r="C76" s="9"/>
      <c r="D76" s="9"/>
      <c r="E76" s="9"/>
      <c r="F76" s="9"/>
      <c r="G76" s="9"/>
      <c r="H76" s="9"/>
      <c r="I76" s="175"/>
      <c r="J76" s="9"/>
      <c r="K76" s="9"/>
      <c r="L76" s="9"/>
      <c r="M76" s="9"/>
      <c r="N76" s="9"/>
      <c r="O76" s="9"/>
      <c r="P76" s="9"/>
      <c r="Q76" s="10"/>
      <c r="R76" s="240"/>
      <c r="S76" s="11"/>
      <c r="T76" s="11">
        <f t="shared" si="7"/>
        <v>0</v>
      </c>
    </row>
    <row r="77" spans="1:23" ht="15" customHeight="1">
      <c r="B77" s="197" t="s">
        <v>245</v>
      </c>
      <c r="C77" s="198">
        <f t="shared" ref="C77:Q77" si="8">SUM(C32:C76)</f>
        <v>28547.7</v>
      </c>
      <c r="D77" s="198">
        <f t="shared" si="8"/>
        <v>27291.7</v>
      </c>
      <c r="E77" s="198">
        <f t="shared" si="8"/>
        <v>25836.7</v>
      </c>
      <c r="F77" s="198">
        <f t="shared" si="8"/>
        <v>24963.7</v>
      </c>
      <c r="G77" s="198">
        <f t="shared" si="8"/>
        <v>21041.7</v>
      </c>
      <c r="H77" s="198">
        <f t="shared" si="8"/>
        <v>24171.7</v>
      </c>
      <c r="I77" s="198">
        <f t="shared" si="8"/>
        <v>151853.20000000001</v>
      </c>
      <c r="J77" s="198">
        <f t="shared" si="8"/>
        <v>22568.7</v>
      </c>
      <c r="K77" s="198">
        <f t="shared" si="8"/>
        <v>20291.7</v>
      </c>
      <c r="L77" s="198">
        <f t="shared" si="8"/>
        <v>25761.7</v>
      </c>
      <c r="M77" s="198">
        <f t="shared" si="8"/>
        <v>32303.7</v>
      </c>
      <c r="N77" s="198">
        <f t="shared" si="8"/>
        <v>21781.7</v>
      </c>
      <c r="O77" s="198">
        <f t="shared" si="8"/>
        <v>39841.699999999997</v>
      </c>
      <c r="P77" s="199">
        <f t="shared" si="8"/>
        <v>466255.6</v>
      </c>
      <c r="Q77" s="14" t="e">
        <f t="shared" si="8"/>
        <v>#REF!</v>
      </c>
      <c r="R77" s="241">
        <f>SUM(R32:R76)</f>
        <v>301218</v>
      </c>
      <c r="S77" s="241">
        <f>SUM(S32:S76)</f>
        <v>325192</v>
      </c>
      <c r="T77" s="28">
        <f>+P77-R77</f>
        <v>165037.59999999998</v>
      </c>
      <c r="U77" s="150"/>
      <c r="V77" s="141"/>
    </row>
    <row r="78" spans="1:23" ht="15" customHeight="1">
      <c r="B78" s="22"/>
      <c r="C78" s="16"/>
      <c r="D78" s="16"/>
      <c r="E78" s="16"/>
      <c r="F78" s="16"/>
      <c r="G78" s="16"/>
      <c r="H78" s="16"/>
      <c r="I78" s="247"/>
      <c r="J78" s="16"/>
      <c r="K78" s="16"/>
      <c r="L78" s="16"/>
      <c r="M78" s="16"/>
      <c r="N78" s="16"/>
      <c r="O78" s="16"/>
      <c r="P78" s="16"/>
      <c r="Q78" s="23"/>
      <c r="R78" s="23"/>
      <c r="S78" s="11"/>
      <c r="T78" s="11"/>
    </row>
    <row r="79" spans="1:23" ht="15" customHeight="1">
      <c r="B79" s="4" t="s">
        <v>253</v>
      </c>
      <c r="C79" s="9"/>
      <c r="D79" s="9"/>
      <c r="E79" s="9"/>
      <c r="F79" s="9"/>
      <c r="G79" s="9"/>
      <c r="H79" s="9"/>
      <c r="I79" s="175"/>
      <c r="J79" s="9"/>
      <c r="K79" s="9"/>
      <c r="L79" s="9"/>
      <c r="M79" s="9"/>
      <c r="N79" s="9"/>
      <c r="O79" s="9"/>
      <c r="P79" s="9"/>
      <c r="Q79" s="10"/>
      <c r="R79" s="10"/>
      <c r="S79" s="11"/>
      <c r="T79" s="11"/>
    </row>
    <row r="80" spans="1:23" ht="15" customHeight="1">
      <c r="A80" s="7"/>
      <c r="B80" s="8"/>
      <c r="C80" s="9"/>
      <c r="D80" s="9"/>
      <c r="E80" s="9"/>
      <c r="F80" s="9"/>
      <c r="G80" s="9"/>
      <c r="H80" s="9"/>
      <c r="I80" s="175"/>
      <c r="J80" s="9"/>
      <c r="K80" s="9"/>
      <c r="L80" s="9"/>
      <c r="M80" s="9"/>
      <c r="N80" s="9"/>
      <c r="O80" s="9"/>
      <c r="P80" s="9"/>
      <c r="Q80" s="10"/>
      <c r="R80" s="10"/>
      <c r="S80" s="11"/>
      <c r="T80" s="11"/>
    </row>
    <row r="81" spans="1:25" ht="15" customHeight="1">
      <c r="A81" s="7">
        <v>51060</v>
      </c>
      <c r="B81" s="1" t="s">
        <v>254</v>
      </c>
      <c r="C81" s="9">
        <v>0</v>
      </c>
      <c r="D81" s="9">
        <v>0</v>
      </c>
      <c r="E81" s="9">
        <v>0</v>
      </c>
      <c r="F81" s="9"/>
      <c r="G81" s="9">
        <v>1176.27</v>
      </c>
      <c r="H81" s="9">
        <v>0</v>
      </c>
      <c r="I81" s="175">
        <f t="shared" ref="I81:I90" si="9">SUM(C81:H81)</f>
        <v>1176.27</v>
      </c>
      <c r="J81" s="9">
        <v>0</v>
      </c>
      <c r="L81" s="9">
        <v>0</v>
      </c>
      <c r="M81" s="9">
        <v>0</v>
      </c>
      <c r="N81" s="9">
        <v>1176.27</v>
      </c>
      <c r="O81" s="9">
        <v>0</v>
      </c>
      <c r="P81" s="9">
        <f t="shared" ref="P81:P90" si="10">SUM(C81:O81)</f>
        <v>3528.81</v>
      </c>
      <c r="Q81" s="10" t="e">
        <f>+P81/U81</f>
        <v>#REF!</v>
      </c>
      <c r="R81" s="240">
        <v>2108</v>
      </c>
      <c r="S81" s="11">
        <v>1054</v>
      </c>
      <c r="T81" s="11">
        <f>+P81-R81</f>
        <v>1420.81</v>
      </c>
      <c r="U81" s="17" t="e">
        <f>+W81</f>
        <v>#REF!</v>
      </c>
      <c r="W81" s="17" t="e">
        <f>Rent!D$33-Rent!#REF!-Rent!D14</f>
        <v>#REF!</v>
      </c>
      <c r="Y81" s="238" t="s">
        <v>365</v>
      </c>
    </row>
    <row r="82" spans="1:25" ht="15" customHeight="1">
      <c r="A82" s="7">
        <v>51070</v>
      </c>
      <c r="B82" s="1" t="s">
        <v>255</v>
      </c>
      <c r="C82" s="9">
        <v>0</v>
      </c>
      <c r="D82" s="9">
        <v>0</v>
      </c>
      <c r="E82" s="9">
        <v>0</v>
      </c>
      <c r="F82" s="9">
        <v>0</v>
      </c>
      <c r="G82" s="9">
        <v>5562.5</v>
      </c>
      <c r="H82" s="9">
        <v>0</v>
      </c>
      <c r="I82" s="175">
        <f t="shared" si="9"/>
        <v>5562.5</v>
      </c>
      <c r="J82" s="9">
        <v>0</v>
      </c>
      <c r="K82" s="9">
        <v>0</v>
      </c>
      <c r="L82" s="9">
        <v>4746.5</v>
      </c>
      <c r="M82" s="9">
        <v>0</v>
      </c>
      <c r="N82" s="9">
        <v>0</v>
      </c>
      <c r="O82" s="9">
        <v>0</v>
      </c>
      <c r="P82" s="9">
        <f t="shared" si="10"/>
        <v>15871.5</v>
      </c>
      <c r="Q82" s="10" t="e">
        <f t="shared" ref="Q82:Q90" si="11">+P82/U82</f>
        <v>#REF!</v>
      </c>
      <c r="R82" s="240">
        <v>6883</v>
      </c>
      <c r="S82" s="11">
        <v>3788</v>
      </c>
      <c r="T82" s="11">
        <f t="shared" ref="T82:T91" si="12">+P82-R82</f>
        <v>8988.5</v>
      </c>
      <c r="U82" s="17" t="e">
        <f>+W82</f>
        <v>#REF!</v>
      </c>
      <c r="W82" s="17" t="e">
        <f>Rent!D$33-Rent!#REF!-Rent!D14</f>
        <v>#REF!</v>
      </c>
    </row>
    <row r="83" spans="1:25" ht="15" customHeight="1">
      <c r="A83" s="7">
        <v>51110</v>
      </c>
      <c r="B83" s="1" t="s">
        <v>258</v>
      </c>
      <c r="C83" s="9"/>
      <c r="D83" s="9">
        <v>420</v>
      </c>
      <c r="E83" s="9"/>
      <c r="F83" s="9"/>
      <c r="G83" s="9">
        <v>420</v>
      </c>
      <c r="H83" s="9"/>
      <c r="I83" s="175">
        <f t="shared" si="9"/>
        <v>840</v>
      </c>
      <c r="J83" s="9"/>
      <c r="K83" s="9">
        <v>420</v>
      </c>
      <c r="L83" s="9"/>
      <c r="M83" s="9"/>
      <c r="N83" s="9">
        <v>420</v>
      </c>
      <c r="O83" s="9"/>
      <c r="P83" s="9">
        <f t="shared" si="10"/>
        <v>2520</v>
      </c>
      <c r="Q83" s="10" t="e">
        <f t="shared" si="11"/>
        <v>#REF!</v>
      </c>
      <c r="R83" s="240">
        <v>5147</v>
      </c>
      <c r="S83" s="11">
        <v>2904</v>
      </c>
      <c r="T83" s="11">
        <f t="shared" si="12"/>
        <v>-2627</v>
      </c>
      <c r="U83" s="17" t="e">
        <f t="shared" ref="U83:U90" si="13">+W83</f>
        <v>#REF!</v>
      </c>
      <c r="W83" s="17" t="e">
        <f>Rent!D$33-Rent!D14-Rent!#REF!</f>
        <v>#REF!</v>
      </c>
    </row>
    <row r="84" spans="1:25" ht="15" customHeight="1">
      <c r="A84" s="7">
        <v>51120</v>
      </c>
      <c r="B84" s="1" t="s">
        <v>260</v>
      </c>
      <c r="C84" s="9">
        <v>0</v>
      </c>
      <c r="D84" s="9">
        <v>0</v>
      </c>
      <c r="E84" s="9">
        <v>250</v>
      </c>
      <c r="F84" s="9">
        <v>0</v>
      </c>
      <c r="G84" s="9">
        <v>0</v>
      </c>
      <c r="H84" s="9">
        <v>0</v>
      </c>
      <c r="I84" s="175">
        <f t="shared" si="9"/>
        <v>250</v>
      </c>
      <c r="J84" s="9">
        <v>0</v>
      </c>
      <c r="K84" s="9">
        <v>0</v>
      </c>
      <c r="L84" s="9">
        <v>250</v>
      </c>
      <c r="M84" s="9">
        <v>0</v>
      </c>
      <c r="N84" s="9">
        <v>0</v>
      </c>
      <c r="O84" s="9">
        <v>0</v>
      </c>
      <c r="P84" s="9">
        <f t="shared" si="10"/>
        <v>750</v>
      </c>
      <c r="Q84" s="10" t="e">
        <f t="shared" si="11"/>
        <v>#REF!</v>
      </c>
      <c r="R84" s="240">
        <v>923</v>
      </c>
      <c r="S84" s="11">
        <v>0</v>
      </c>
      <c r="T84" s="11">
        <f t="shared" si="12"/>
        <v>-173</v>
      </c>
      <c r="U84" s="17" t="e">
        <f t="shared" si="13"/>
        <v>#REF!</v>
      </c>
      <c r="W84" s="17" t="e">
        <f>Rent!D$33-Rent!D14-Rent!#REF!</f>
        <v>#REF!</v>
      </c>
    </row>
    <row r="85" spans="1:25" ht="15" customHeight="1">
      <c r="A85" s="7">
        <v>52020</v>
      </c>
      <c r="B85" s="1" t="s">
        <v>262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300</v>
      </c>
      <c r="I85" s="175">
        <f t="shared" si="9"/>
        <v>300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f t="shared" si="10"/>
        <v>600</v>
      </c>
      <c r="Q85" s="10" t="e">
        <f t="shared" si="11"/>
        <v>#REF!</v>
      </c>
      <c r="R85" s="240">
        <v>180</v>
      </c>
      <c r="S85" s="11">
        <v>300</v>
      </c>
      <c r="T85" s="11">
        <f t="shared" si="12"/>
        <v>420</v>
      </c>
      <c r="U85" s="17" t="e">
        <f t="shared" si="13"/>
        <v>#REF!</v>
      </c>
      <c r="W85" s="17" t="e">
        <f>Rent!D$33-Rent!#REF!</f>
        <v>#REF!</v>
      </c>
    </row>
    <row r="86" spans="1:25" ht="15" customHeight="1">
      <c r="A86" s="7">
        <v>52030</v>
      </c>
      <c r="B86" s="1" t="s">
        <v>264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175">
        <f t="shared" si="9"/>
        <v>0</v>
      </c>
      <c r="J86" s="9">
        <v>500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f t="shared" si="10"/>
        <v>500</v>
      </c>
      <c r="Q86" s="10" t="e">
        <f t="shared" si="11"/>
        <v>#REF!</v>
      </c>
      <c r="R86" s="240">
        <v>721</v>
      </c>
      <c r="S86" s="11">
        <v>500</v>
      </c>
      <c r="T86" s="11">
        <f t="shared" si="12"/>
        <v>-221</v>
      </c>
      <c r="U86" s="17" t="e">
        <f t="shared" si="13"/>
        <v>#REF!</v>
      </c>
      <c r="W86" s="17" t="e">
        <f>Rent!D$33-Rent!#REF!</f>
        <v>#REF!</v>
      </c>
    </row>
    <row r="87" spans="1:25" ht="15" customHeight="1">
      <c r="A87" s="7">
        <v>55120</v>
      </c>
      <c r="B87" s="1" t="s">
        <v>366</v>
      </c>
      <c r="C87" s="9">
        <v>1263.0899999999999</v>
      </c>
      <c r="D87" s="9">
        <v>1263.0899999999999</v>
      </c>
      <c r="E87" s="9">
        <v>1263.0899999999999</v>
      </c>
      <c r="F87" s="9">
        <v>1263.0899999999999</v>
      </c>
      <c r="G87" s="9">
        <v>1263.0899999999999</v>
      </c>
      <c r="H87" s="9">
        <v>1263.0899999999999</v>
      </c>
      <c r="I87" s="175">
        <f t="shared" si="9"/>
        <v>7578.54</v>
      </c>
      <c r="J87" s="9">
        <v>1263.0899999999999</v>
      </c>
      <c r="K87" s="9">
        <v>1263.0899999999999</v>
      </c>
      <c r="L87" s="9">
        <v>1263.0899999999999</v>
      </c>
      <c r="M87" s="9">
        <v>1263.0899999999999</v>
      </c>
      <c r="N87" s="9">
        <v>1263.0899999999999</v>
      </c>
      <c r="O87" s="9">
        <v>1263.0899999999999</v>
      </c>
      <c r="P87" s="9">
        <f t="shared" si="10"/>
        <v>22735.62</v>
      </c>
      <c r="Q87" s="10" t="e">
        <f t="shared" si="11"/>
        <v>#REF!</v>
      </c>
      <c r="R87" s="240">
        <v>35712</v>
      </c>
      <c r="S87" s="11">
        <v>35748</v>
      </c>
      <c r="T87" s="11">
        <f t="shared" si="12"/>
        <v>-12976.380000000001</v>
      </c>
      <c r="U87" s="17" t="e">
        <f>+#REF!</f>
        <v>#REF!</v>
      </c>
      <c r="W87" s="17" t="e">
        <f>+#REF!</f>
        <v>#REF!</v>
      </c>
    </row>
    <row r="88" spans="1:25" ht="15" customHeight="1">
      <c r="A88" s="7">
        <v>55120</v>
      </c>
      <c r="B88" s="1" t="s">
        <v>267</v>
      </c>
      <c r="C88" s="9">
        <v>1894.65</v>
      </c>
      <c r="D88" s="9">
        <v>1894.65</v>
      </c>
      <c r="E88" s="9">
        <v>1894.65</v>
      </c>
      <c r="F88" s="9">
        <v>1894.65</v>
      </c>
      <c r="G88" s="9">
        <v>1894.65</v>
      </c>
      <c r="H88" s="9">
        <v>1894.65</v>
      </c>
      <c r="I88" s="175">
        <f t="shared" si="9"/>
        <v>11367.9</v>
      </c>
      <c r="J88" s="9">
        <v>1894.65</v>
      </c>
      <c r="K88" s="9">
        <v>1894.65</v>
      </c>
      <c r="L88" s="9">
        <v>1894.65</v>
      </c>
      <c r="M88" s="9">
        <v>1894.65</v>
      </c>
      <c r="N88" s="9">
        <v>1894.65</v>
      </c>
      <c r="O88" s="9">
        <v>1894.65</v>
      </c>
      <c r="P88" s="9">
        <f t="shared" ref="P88" si="14">SUM(C88:O88)</f>
        <v>34103.700000000004</v>
      </c>
      <c r="Q88" s="10" t="e">
        <f t="shared" si="11"/>
        <v>#REF!</v>
      </c>
      <c r="R88" s="240">
        <v>35713</v>
      </c>
      <c r="S88" s="11">
        <v>35749</v>
      </c>
      <c r="T88" s="11">
        <f t="shared" si="12"/>
        <v>-1609.2999999999956</v>
      </c>
      <c r="U88" s="17" t="e">
        <f>+#REF!</f>
        <v>#REF!</v>
      </c>
      <c r="W88" s="17" t="e">
        <f>+#REF!</f>
        <v>#REF!</v>
      </c>
    </row>
    <row r="89" spans="1:25" ht="15" customHeight="1">
      <c r="A89" s="7">
        <v>51180</v>
      </c>
      <c r="B89" s="1" t="s">
        <v>268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175">
        <f t="shared" si="9"/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f t="shared" si="10"/>
        <v>0</v>
      </c>
      <c r="Q89" s="10" t="e">
        <f t="shared" si="11"/>
        <v>#REF!</v>
      </c>
      <c r="R89" s="240"/>
      <c r="S89" s="11">
        <v>0</v>
      </c>
      <c r="T89" s="11">
        <f t="shared" si="12"/>
        <v>0</v>
      </c>
      <c r="U89" s="17" t="e">
        <f>+W89</f>
        <v>#REF!</v>
      </c>
      <c r="W89" s="17" t="e">
        <f>Rent!D$33-Rent!D14-Rent!#REF!</f>
        <v>#REF!</v>
      </c>
    </row>
    <row r="90" spans="1:25" ht="15" customHeight="1">
      <c r="A90" s="7">
        <v>55130</v>
      </c>
      <c r="B90" s="1" t="s">
        <v>367</v>
      </c>
      <c r="C90" s="9">
        <v>2400</v>
      </c>
      <c r="D90" s="9">
        <v>2400</v>
      </c>
      <c r="E90" s="9">
        <v>2400</v>
      </c>
      <c r="F90" s="9">
        <v>2400</v>
      </c>
      <c r="G90" s="9">
        <v>2400</v>
      </c>
      <c r="H90" s="9">
        <v>2400</v>
      </c>
      <c r="I90" s="175">
        <f t="shared" si="9"/>
        <v>14400</v>
      </c>
      <c r="J90" s="9">
        <v>2400</v>
      </c>
      <c r="K90" s="9">
        <v>2400</v>
      </c>
      <c r="L90" s="9">
        <v>2400</v>
      </c>
      <c r="M90" s="9">
        <v>2400</v>
      </c>
      <c r="N90" s="9">
        <v>2400</v>
      </c>
      <c r="O90" s="9">
        <v>2400</v>
      </c>
      <c r="P90" s="9">
        <f t="shared" si="10"/>
        <v>43200</v>
      </c>
      <c r="Q90" s="10" t="e">
        <f t="shared" si="11"/>
        <v>#REF!</v>
      </c>
      <c r="R90" s="240">
        <v>28453</v>
      </c>
      <c r="S90" s="11">
        <v>35400</v>
      </c>
      <c r="T90" s="11">
        <f t="shared" si="12"/>
        <v>14747</v>
      </c>
      <c r="U90" s="17" t="e">
        <f t="shared" si="13"/>
        <v>#REF!</v>
      </c>
      <c r="W90" s="17" t="e">
        <f>Rent!D$33-Rent!D14-Rent!#REF!</f>
        <v>#REF!</v>
      </c>
    </row>
    <row r="91" spans="1:25" ht="15" customHeight="1">
      <c r="A91" s="7"/>
      <c r="C91" s="16"/>
      <c r="D91" s="16"/>
      <c r="E91" s="16"/>
      <c r="F91" s="16"/>
      <c r="G91" s="16"/>
      <c r="H91" s="16"/>
      <c r="I91" s="247"/>
      <c r="J91" s="16"/>
      <c r="K91" s="16"/>
      <c r="L91" s="16"/>
      <c r="M91" s="16"/>
      <c r="N91" s="16"/>
      <c r="O91" s="16"/>
      <c r="P91" s="16"/>
      <c r="Q91" s="23"/>
      <c r="R91" s="23"/>
      <c r="S91" s="11"/>
      <c r="T91" s="11">
        <f t="shared" si="12"/>
        <v>0</v>
      </c>
    </row>
    <row r="92" spans="1:25" ht="15" customHeight="1">
      <c r="A92" s="7"/>
      <c r="B92" s="197" t="s">
        <v>270</v>
      </c>
      <c r="C92" s="198">
        <f t="shared" ref="C92:P92" si="15">SUM(C81:C91)</f>
        <v>5557.74</v>
      </c>
      <c r="D92" s="198">
        <f t="shared" si="15"/>
        <v>5977.74</v>
      </c>
      <c r="E92" s="198">
        <f t="shared" si="15"/>
        <v>5807.74</v>
      </c>
      <c r="F92" s="198">
        <f t="shared" si="15"/>
        <v>5557.74</v>
      </c>
      <c r="G92" s="198">
        <f t="shared" si="15"/>
        <v>12716.51</v>
      </c>
      <c r="H92" s="198">
        <f t="shared" si="15"/>
        <v>5857.74</v>
      </c>
      <c r="I92" s="198">
        <f t="shared" si="15"/>
        <v>41475.21</v>
      </c>
      <c r="J92" s="198">
        <f t="shared" si="15"/>
        <v>6057.74</v>
      </c>
      <c r="K92" s="198">
        <f>SUM(K82:K91)</f>
        <v>5977.74</v>
      </c>
      <c r="L92" s="198">
        <f t="shared" si="15"/>
        <v>10554.24</v>
      </c>
      <c r="M92" s="198">
        <f t="shared" si="15"/>
        <v>5557.74</v>
      </c>
      <c r="N92" s="198">
        <f t="shared" si="15"/>
        <v>7154.01</v>
      </c>
      <c r="O92" s="198">
        <f t="shared" si="15"/>
        <v>5557.74</v>
      </c>
      <c r="P92" s="199">
        <f t="shared" si="15"/>
        <v>123809.63</v>
      </c>
      <c r="Q92" s="13" t="e">
        <f>SUM(Q81:Q91)</f>
        <v>#REF!</v>
      </c>
      <c r="R92" s="13">
        <f>SUM(R81:R91)</f>
        <v>115840</v>
      </c>
      <c r="S92" s="13">
        <f>SUM(S81:S91)</f>
        <v>115443</v>
      </c>
      <c r="T92" s="13">
        <f>+P92-R92</f>
        <v>7969.6300000000047</v>
      </c>
      <c r="U92" s="13"/>
      <c r="V92" s="12">
        <f>SUM(V81:V91)</f>
        <v>0</v>
      </c>
      <c r="W92" s="16"/>
    </row>
    <row r="93" spans="1:25" ht="15" customHeight="1">
      <c r="A93" s="7"/>
      <c r="B93" s="22"/>
      <c r="C93" s="16"/>
      <c r="D93" s="16"/>
      <c r="E93" s="16"/>
      <c r="F93" s="16"/>
      <c r="G93" s="16"/>
      <c r="H93" s="16"/>
      <c r="I93" s="247"/>
      <c r="J93" s="16"/>
      <c r="K93" s="16"/>
      <c r="L93" s="16"/>
      <c r="M93" s="16"/>
      <c r="N93" s="16"/>
      <c r="O93" s="16"/>
      <c r="P93" s="16"/>
      <c r="Q93" s="23"/>
      <c r="R93" s="23"/>
      <c r="S93" s="11"/>
      <c r="T93" s="11"/>
      <c r="U93" s="17"/>
    </row>
    <row r="94" spans="1:25" ht="15" customHeight="1">
      <c r="B94" s="4" t="s">
        <v>271</v>
      </c>
      <c r="C94" s="9"/>
      <c r="D94" s="9"/>
      <c r="E94" s="9"/>
      <c r="F94" s="9"/>
      <c r="G94" s="9"/>
      <c r="H94" s="9"/>
      <c r="I94" s="175"/>
      <c r="J94" s="9"/>
      <c r="K94" s="9"/>
      <c r="L94" s="9"/>
      <c r="M94" s="9"/>
      <c r="N94" s="9"/>
      <c r="O94" s="9"/>
      <c r="P94" s="9"/>
      <c r="Q94" s="10"/>
      <c r="R94" s="10"/>
      <c r="S94" s="11"/>
      <c r="T94" s="11"/>
    </row>
    <row r="95" spans="1:25" ht="15" customHeight="1">
      <c r="A95" s="7"/>
      <c r="B95" s="8"/>
      <c r="C95" s="9"/>
      <c r="D95" s="9"/>
      <c r="E95" s="9"/>
      <c r="F95" s="9"/>
      <c r="G95" s="9"/>
      <c r="H95" s="9"/>
      <c r="I95" s="175"/>
      <c r="J95" s="9"/>
      <c r="K95" s="9"/>
      <c r="L95" s="9"/>
      <c r="M95" s="9"/>
      <c r="N95" s="9"/>
      <c r="O95" s="9"/>
      <c r="P95" s="9"/>
      <c r="Q95" s="10"/>
      <c r="R95" s="10"/>
      <c r="S95" s="11"/>
      <c r="T95" s="11"/>
    </row>
    <row r="96" spans="1:25" ht="15" customHeight="1">
      <c r="A96" s="7">
        <v>50111</v>
      </c>
      <c r="B96" s="8" t="s">
        <v>272</v>
      </c>
      <c r="C96" s="9">
        <v>1035.5999999999999</v>
      </c>
      <c r="D96" s="9">
        <v>1035.5999999999999</v>
      </c>
      <c r="E96" s="9">
        <v>1035.5999999999999</v>
      </c>
      <c r="F96" s="9">
        <v>1035.5999999999999</v>
      </c>
      <c r="G96" s="9">
        <v>1035.5999999999999</v>
      </c>
      <c r="H96" s="9">
        <v>1035.5999999999999</v>
      </c>
      <c r="I96" s="175">
        <f t="shared" ref="I96:I102" si="16">SUM(C96:H96)</f>
        <v>6213.6</v>
      </c>
      <c r="J96" s="9">
        <v>1035.5999999999999</v>
      </c>
      <c r="K96" s="9">
        <v>1087.3799999999999</v>
      </c>
      <c r="L96" s="9">
        <v>1087</v>
      </c>
      <c r="M96" s="9">
        <v>1087</v>
      </c>
      <c r="N96" s="9">
        <v>1087</v>
      </c>
      <c r="O96" s="9">
        <v>1087</v>
      </c>
      <c r="P96" s="9">
        <f>SUM(C96:O96)</f>
        <v>18898.18</v>
      </c>
      <c r="Q96" s="10" t="e">
        <f>P96/U96</f>
        <v>#REF!</v>
      </c>
      <c r="R96" s="240">
        <v>12936</v>
      </c>
      <c r="S96" s="11">
        <v>14640</v>
      </c>
      <c r="T96" s="11">
        <f>+P96-R96</f>
        <v>5962.18</v>
      </c>
      <c r="U96" s="17" t="e">
        <f>U86</f>
        <v>#REF!</v>
      </c>
      <c r="W96" s="17" t="e">
        <f>Rent!D$33-Rent!D$14-Rent!#REF!</f>
        <v>#REF!</v>
      </c>
    </row>
    <row r="97" spans="1:26" ht="15" customHeight="1">
      <c r="A97" s="7">
        <v>50112</v>
      </c>
      <c r="B97" s="8" t="s">
        <v>274</v>
      </c>
      <c r="C97" s="9">
        <v>540</v>
      </c>
      <c r="D97" s="9">
        <v>540</v>
      </c>
      <c r="E97" s="9">
        <v>540</v>
      </c>
      <c r="F97" s="9">
        <v>540</v>
      </c>
      <c r="G97" s="9">
        <v>540</v>
      </c>
      <c r="H97" s="9">
        <v>540</v>
      </c>
      <c r="I97" s="175">
        <f t="shared" si="16"/>
        <v>3240</v>
      </c>
      <c r="J97" s="9">
        <v>540</v>
      </c>
      <c r="K97" s="9">
        <v>567</v>
      </c>
      <c r="L97" s="9">
        <v>567</v>
      </c>
      <c r="M97" s="9">
        <v>567</v>
      </c>
      <c r="N97" s="9">
        <v>567</v>
      </c>
      <c r="O97" s="9">
        <v>567</v>
      </c>
      <c r="P97" s="9">
        <f t="shared" ref="P97:P102" si="17">SUM(C97:O97)</f>
        <v>9855</v>
      </c>
      <c r="Q97" s="10"/>
      <c r="R97" s="240">
        <v>3170</v>
      </c>
      <c r="S97" s="11">
        <v>3264</v>
      </c>
      <c r="T97" s="11">
        <f t="shared" ref="T97:T103" si="18">+P97-R97</f>
        <v>6685</v>
      </c>
      <c r="U97" s="17" t="e">
        <f>+U96</f>
        <v>#REF!</v>
      </c>
      <c r="W97" s="17">
        <f>Rent!D$33-Rent!D$14</f>
        <v>47185</v>
      </c>
    </row>
    <row r="98" spans="1:26" ht="15" customHeight="1">
      <c r="A98" s="7">
        <v>50120</v>
      </c>
      <c r="B98" s="8" t="s">
        <v>275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175">
        <f t="shared" si="16"/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f t="shared" si="17"/>
        <v>0</v>
      </c>
      <c r="Q98" s="10" t="e">
        <f>P98/U98</f>
        <v>#REF!</v>
      </c>
      <c r="R98" s="240"/>
      <c r="S98" s="11">
        <v>0</v>
      </c>
      <c r="T98" s="11">
        <f t="shared" si="18"/>
        <v>0</v>
      </c>
      <c r="U98" s="17" t="e">
        <f>+U97</f>
        <v>#REF!</v>
      </c>
      <c r="W98" s="17">
        <f>Rent!D$33-Rent!D$14</f>
        <v>47185</v>
      </c>
    </row>
    <row r="99" spans="1:26" ht="15" customHeight="1">
      <c r="A99" s="7">
        <v>50130</v>
      </c>
      <c r="B99" s="8" t="s">
        <v>276</v>
      </c>
      <c r="C99" s="9">
        <v>236</v>
      </c>
      <c r="D99" s="9">
        <v>236</v>
      </c>
      <c r="E99" s="9">
        <v>236</v>
      </c>
      <c r="F99" s="9">
        <v>236</v>
      </c>
      <c r="G99" s="9">
        <v>236</v>
      </c>
      <c r="H99" s="9">
        <v>236</v>
      </c>
      <c r="I99" s="175">
        <f t="shared" si="16"/>
        <v>1416</v>
      </c>
      <c r="J99" s="9">
        <v>236</v>
      </c>
      <c r="K99" s="9">
        <v>247.8</v>
      </c>
      <c r="L99" s="9">
        <v>248</v>
      </c>
      <c r="M99" s="9">
        <v>248</v>
      </c>
      <c r="N99" s="9">
        <v>248</v>
      </c>
      <c r="O99" s="9">
        <v>248</v>
      </c>
      <c r="P99" s="9">
        <f t="shared" si="17"/>
        <v>4307.8</v>
      </c>
      <c r="Q99" s="10" t="e">
        <f>P99/U99</f>
        <v>#REF!</v>
      </c>
      <c r="R99" s="240">
        <v>2745</v>
      </c>
      <c r="S99" s="11">
        <v>2724</v>
      </c>
      <c r="T99" s="11">
        <f t="shared" si="18"/>
        <v>1562.8000000000002</v>
      </c>
      <c r="U99" s="17" t="e">
        <f>U98</f>
        <v>#REF!</v>
      </c>
      <c r="W99" s="17">
        <f>Rent!D$33-Rent!D$14</f>
        <v>47185</v>
      </c>
    </row>
    <row r="100" spans="1:26" ht="15" customHeight="1">
      <c r="A100" s="7">
        <v>50140</v>
      </c>
      <c r="B100" s="8" t="s">
        <v>277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175">
        <f t="shared" si="16"/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f t="shared" si="17"/>
        <v>0</v>
      </c>
      <c r="Q100" s="10" t="e">
        <f>P100/U100</f>
        <v>#REF!</v>
      </c>
      <c r="R100" s="240"/>
      <c r="S100" s="11">
        <v>0</v>
      </c>
      <c r="T100" s="11">
        <f t="shared" si="18"/>
        <v>0</v>
      </c>
      <c r="U100" s="17" t="e">
        <f>U99</f>
        <v>#REF!</v>
      </c>
      <c r="W100" s="17">
        <f>Rent!D$33-Rent!D$14</f>
        <v>47185</v>
      </c>
    </row>
    <row r="101" spans="1:26" ht="15" customHeight="1">
      <c r="A101" s="7">
        <v>50142</v>
      </c>
      <c r="B101" s="8" t="s">
        <v>278</v>
      </c>
      <c r="C101" s="9">
        <v>1388.83</v>
      </c>
      <c r="D101" s="9">
        <v>1388.83</v>
      </c>
      <c r="E101" s="9">
        <v>1388.83</v>
      </c>
      <c r="F101" s="9">
        <v>1388.83</v>
      </c>
      <c r="G101" s="9">
        <v>1388.83</v>
      </c>
      <c r="H101" s="9">
        <v>1388.83</v>
      </c>
      <c r="I101" s="175">
        <f t="shared" si="16"/>
        <v>8332.98</v>
      </c>
      <c r="J101" s="9">
        <v>1388.83</v>
      </c>
      <c r="K101" s="9">
        <v>1388.83</v>
      </c>
      <c r="L101" s="9">
        <v>1388.83</v>
      </c>
      <c r="M101" s="9">
        <v>1388.83</v>
      </c>
      <c r="N101" s="9">
        <v>1388.83</v>
      </c>
      <c r="O101" s="9">
        <v>1388.83</v>
      </c>
      <c r="P101" s="9">
        <f t="shared" si="17"/>
        <v>24998.94000000001</v>
      </c>
      <c r="Q101" s="10" t="e">
        <f>P101/U101</f>
        <v>#REF!</v>
      </c>
      <c r="R101" s="240">
        <v>16666</v>
      </c>
      <c r="S101" s="11">
        <v>16668</v>
      </c>
      <c r="T101" s="11">
        <f t="shared" si="18"/>
        <v>8332.9400000000096</v>
      </c>
      <c r="U101" s="17" t="e">
        <f>U99</f>
        <v>#REF!</v>
      </c>
      <c r="W101" s="17">
        <f>Rent!D$33-Rent!D$14</f>
        <v>47185</v>
      </c>
    </row>
    <row r="102" spans="1:26" ht="15" customHeight="1">
      <c r="A102" s="7"/>
      <c r="B102" s="8" t="s">
        <v>279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175">
        <f t="shared" si="16"/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f t="shared" si="17"/>
        <v>0</v>
      </c>
      <c r="Q102" s="10" t="e">
        <f>P102/U102</f>
        <v>#REF!</v>
      </c>
      <c r="R102" s="10"/>
      <c r="S102" s="11">
        <v>0</v>
      </c>
      <c r="T102" s="11">
        <f t="shared" si="18"/>
        <v>0</v>
      </c>
      <c r="U102" s="17" t="e">
        <f>U99</f>
        <v>#REF!</v>
      </c>
      <c r="W102" s="17">
        <f>Rent!D$33-Rent!D$14</f>
        <v>47185</v>
      </c>
    </row>
    <row r="103" spans="1:26" ht="15" customHeight="1">
      <c r="A103" s="7"/>
      <c r="B103" s="8"/>
      <c r="C103" s="16"/>
      <c r="D103" s="16"/>
      <c r="E103" s="16"/>
      <c r="F103" s="16"/>
      <c r="G103" s="16"/>
      <c r="H103" s="16"/>
      <c r="I103" s="247"/>
      <c r="J103" s="16"/>
      <c r="K103" s="16"/>
      <c r="L103" s="16"/>
      <c r="M103" s="16"/>
      <c r="N103" s="16"/>
      <c r="O103" s="16"/>
      <c r="P103" s="9"/>
      <c r="Q103" s="10"/>
      <c r="R103" s="10"/>
      <c r="S103" s="11"/>
      <c r="T103" s="11">
        <f t="shared" si="18"/>
        <v>0</v>
      </c>
    </row>
    <row r="104" spans="1:26" ht="15" customHeight="1">
      <c r="A104" s="7"/>
      <c r="B104" s="197" t="s">
        <v>280</v>
      </c>
      <c r="C104" s="198">
        <f t="shared" ref="C104:Q104" si="19">SUM(C96:C103)</f>
        <v>3200.43</v>
      </c>
      <c r="D104" s="198">
        <f t="shared" si="19"/>
        <v>3200.43</v>
      </c>
      <c r="E104" s="198">
        <f t="shared" si="19"/>
        <v>3200.43</v>
      </c>
      <c r="F104" s="198">
        <f t="shared" si="19"/>
        <v>3200.43</v>
      </c>
      <c r="G104" s="198">
        <f t="shared" si="19"/>
        <v>3200.43</v>
      </c>
      <c r="H104" s="198">
        <f t="shared" si="19"/>
        <v>3200.43</v>
      </c>
      <c r="I104" s="198">
        <f t="shared" si="19"/>
        <v>19202.580000000002</v>
      </c>
      <c r="J104" s="198">
        <f t="shared" si="19"/>
        <v>3200.43</v>
      </c>
      <c r="K104" s="198">
        <f t="shared" si="19"/>
        <v>3291.0099999999998</v>
      </c>
      <c r="L104" s="198">
        <f t="shared" si="19"/>
        <v>3290.83</v>
      </c>
      <c r="M104" s="198">
        <f t="shared" si="19"/>
        <v>3290.83</v>
      </c>
      <c r="N104" s="198">
        <f t="shared" si="19"/>
        <v>3290.83</v>
      </c>
      <c r="O104" s="198">
        <f t="shared" si="19"/>
        <v>3290.83</v>
      </c>
      <c r="P104" s="199">
        <f>SUM(P96:P103)</f>
        <v>58059.920000000013</v>
      </c>
      <c r="Q104" s="14" t="e">
        <f t="shared" si="19"/>
        <v>#REF!</v>
      </c>
      <c r="R104" s="241">
        <f>SUM(R96:R103)</f>
        <v>35517</v>
      </c>
      <c r="S104" s="241">
        <f>SUM(S96:S103)</f>
        <v>37296</v>
      </c>
      <c r="T104" s="233">
        <f>+P104-R104</f>
        <v>22542.920000000013</v>
      </c>
    </row>
    <row r="105" spans="1:26" ht="15" customHeight="1">
      <c r="A105" s="7"/>
      <c r="B105" s="8"/>
      <c r="C105" s="16"/>
      <c r="D105" s="16"/>
      <c r="E105" s="16"/>
      <c r="F105" s="16"/>
      <c r="G105" s="16"/>
      <c r="H105" s="16"/>
      <c r="I105" s="247"/>
      <c r="J105" s="16"/>
      <c r="K105" s="16"/>
      <c r="L105" s="16"/>
      <c r="M105" s="16"/>
      <c r="N105" s="16"/>
      <c r="O105" s="16"/>
      <c r="P105" s="16"/>
      <c r="Q105" s="23"/>
      <c r="R105" s="23"/>
      <c r="S105" s="11"/>
      <c r="T105" s="11"/>
    </row>
    <row r="106" spans="1:26" ht="15" customHeight="1">
      <c r="B106" s="4" t="s">
        <v>281</v>
      </c>
      <c r="C106" s="9"/>
      <c r="D106" s="9"/>
      <c r="E106" s="9"/>
      <c r="F106" s="9"/>
      <c r="G106" s="9"/>
      <c r="H106" s="9"/>
      <c r="I106" s="175"/>
      <c r="J106" s="9"/>
      <c r="K106" s="9"/>
      <c r="L106" s="9"/>
      <c r="M106" s="9"/>
      <c r="N106" s="9"/>
      <c r="O106" s="9"/>
      <c r="P106" s="9"/>
      <c r="Q106" s="10"/>
      <c r="R106" s="10"/>
      <c r="S106" s="11"/>
      <c r="T106" s="11"/>
    </row>
    <row r="107" spans="1:26" ht="15" customHeight="1">
      <c r="A107" s="7"/>
      <c r="B107" s="8"/>
      <c r="C107" s="9"/>
      <c r="D107" s="9"/>
      <c r="E107" s="9"/>
      <c r="F107" s="9"/>
      <c r="G107" s="9"/>
      <c r="H107" s="9"/>
      <c r="I107" s="175"/>
      <c r="J107" s="9"/>
      <c r="K107" s="9"/>
      <c r="L107" s="9"/>
      <c r="M107" s="9"/>
      <c r="N107" s="9"/>
      <c r="O107" s="9"/>
      <c r="P107" s="9"/>
      <c r="Q107" s="10"/>
      <c r="R107" s="10"/>
      <c r="S107" s="11"/>
      <c r="T107" s="11"/>
    </row>
    <row r="108" spans="1:26" ht="15" customHeight="1">
      <c r="A108" s="7">
        <v>54000</v>
      </c>
      <c r="B108" s="22" t="s">
        <v>282</v>
      </c>
      <c r="C108" s="9"/>
      <c r="D108" s="9"/>
      <c r="E108" s="9"/>
      <c r="F108" s="9">
        <v>122903.25</v>
      </c>
      <c r="G108" s="9"/>
      <c r="H108" s="18"/>
      <c r="I108" s="175">
        <f t="shared" ref="I108" si="20">SUM(C108:H108)</f>
        <v>122903.25</v>
      </c>
      <c r="J108" s="175">
        <v>18322.974000000002</v>
      </c>
      <c r="K108" s="9">
        <v>18322.974000000002</v>
      </c>
      <c r="L108" s="9">
        <v>18322.974000000002</v>
      </c>
      <c r="M108" s="9">
        <v>18322.974000000002</v>
      </c>
      <c r="N108" s="9">
        <v>18322.974000000002</v>
      </c>
      <c r="O108" s="9">
        <v>18322.974000000002</v>
      </c>
      <c r="P108" s="9">
        <f>SUM(C108:O108)</f>
        <v>355744.34399999992</v>
      </c>
      <c r="Q108" s="10" t="e">
        <f>P108/U108</f>
        <v>#REF!</v>
      </c>
      <c r="R108" s="9">
        <v>265187</v>
      </c>
      <c r="S108" s="11">
        <v>247890</v>
      </c>
      <c r="T108" s="11">
        <f>+P108-R108</f>
        <v>90557.343999999925</v>
      </c>
      <c r="U108" s="17" t="e">
        <f>+Rent!D33-Rent!#REF!-Rent!D14</f>
        <v>#REF!</v>
      </c>
      <c r="W108" s="17" t="e">
        <f>Rent!D33-Rent!D14-Rent!#REF!</f>
        <v>#REF!</v>
      </c>
    </row>
    <row r="109" spans="1:26" ht="15" customHeight="1">
      <c r="A109" s="7"/>
      <c r="C109" s="16"/>
      <c r="D109" s="16"/>
      <c r="E109" s="16"/>
      <c r="F109" s="16"/>
      <c r="G109" s="16"/>
      <c r="H109" s="16"/>
      <c r="I109" s="247"/>
      <c r="J109" s="16"/>
      <c r="K109" s="16"/>
      <c r="L109" s="16"/>
      <c r="M109" s="16"/>
      <c r="N109" s="16"/>
      <c r="O109" s="16"/>
      <c r="P109" s="16"/>
      <c r="Q109" s="23"/>
      <c r="R109" s="23"/>
      <c r="S109" s="11"/>
      <c r="T109" s="11"/>
    </row>
    <row r="110" spans="1:26" ht="15" customHeight="1">
      <c r="A110" s="7"/>
      <c r="B110" s="197" t="s">
        <v>284</v>
      </c>
      <c r="C110" s="198">
        <f t="shared" ref="C110:Q110" si="21">SUM(C108:C109)</f>
        <v>0</v>
      </c>
      <c r="D110" s="198">
        <f t="shared" si="21"/>
        <v>0</v>
      </c>
      <c r="E110" s="198">
        <f t="shared" si="21"/>
        <v>0</v>
      </c>
      <c r="F110" s="198">
        <f t="shared" si="21"/>
        <v>122903.25</v>
      </c>
      <c r="G110" s="198">
        <f t="shared" si="21"/>
        <v>0</v>
      </c>
      <c r="H110" s="198">
        <f t="shared" si="21"/>
        <v>0</v>
      </c>
      <c r="I110" s="198">
        <f t="shared" ref="I110" si="22">SUM(I108:I109)</f>
        <v>122903.25</v>
      </c>
      <c r="J110" s="198">
        <f t="shared" si="21"/>
        <v>18322.974000000002</v>
      </c>
      <c r="K110" s="198">
        <f t="shared" si="21"/>
        <v>18322.974000000002</v>
      </c>
      <c r="L110" s="198">
        <f t="shared" si="21"/>
        <v>18322.974000000002</v>
      </c>
      <c r="M110" s="198">
        <f t="shared" si="21"/>
        <v>18322.974000000002</v>
      </c>
      <c r="N110" s="198">
        <f t="shared" si="21"/>
        <v>18322.974000000002</v>
      </c>
      <c r="O110" s="198">
        <f t="shared" si="21"/>
        <v>18322.974000000002</v>
      </c>
      <c r="P110" s="199">
        <f t="shared" si="21"/>
        <v>355744.34399999992</v>
      </c>
      <c r="Q110" s="14" t="e">
        <f t="shared" si="21"/>
        <v>#REF!</v>
      </c>
      <c r="R110" s="12">
        <f>SUM(R108:R109)</f>
        <v>265187</v>
      </c>
      <c r="S110" s="12">
        <f>SUM(S108:S109)</f>
        <v>247890</v>
      </c>
      <c r="T110" s="233">
        <f>+P110-R110</f>
        <v>90557.343999999925</v>
      </c>
      <c r="Z110" s="1">
        <v>10708.03</v>
      </c>
    </row>
    <row r="111" spans="1:26" ht="15" customHeight="1">
      <c r="A111" s="7"/>
      <c r="B111" s="2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0"/>
      <c r="R111" s="10"/>
      <c r="S111" s="11"/>
      <c r="T111" s="11"/>
      <c r="Z111" s="1">
        <v>15769.75</v>
      </c>
    </row>
    <row r="112" spans="1:26" ht="15" customHeight="1">
      <c r="A112" s="7"/>
      <c r="B112" s="197" t="s">
        <v>285</v>
      </c>
      <c r="C112" s="198">
        <f>C77+C92+C104+C110</f>
        <v>37305.870000000003</v>
      </c>
      <c r="D112" s="198">
        <f t="shared" ref="D112:O112" si="23">D77+D92+D104+D110</f>
        <v>36469.870000000003</v>
      </c>
      <c r="E112" s="198">
        <f t="shared" si="23"/>
        <v>34844.870000000003</v>
      </c>
      <c r="F112" s="198">
        <f t="shared" si="23"/>
        <v>156625.12</v>
      </c>
      <c r="G112" s="198">
        <f t="shared" si="23"/>
        <v>36958.639999999999</v>
      </c>
      <c r="H112" s="198">
        <f t="shared" si="23"/>
        <v>33229.870000000003</v>
      </c>
      <c r="I112" s="198">
        <f t="shared" ref="I112" si="24">I77+I92+I104+I110</f>
        <v>335434.23999999999</v>
      </c>
      <c r="J112" s="198">
        <f t="shared" si="23"/>
        <v>50149.844000000005</v>
      </c>
      <c r="K112" s="198">
        <f t="shared" si="23"/>
        <v>47883.423999999999</v>
      </c>
      <c r="L112" s="198">
        <f t="shared" si="23"/>
        <v>57929.744000000006</v>
      </c>
      <c r="M112" s="198">
        <f t="shared" si="23"/>
        <v>59475.244000000006</v>
      </c>
      <c r="N112" s="198">
        <f t="shared" si="23"/>
        <v>50549.514000000003</v>
      </c>
      <c r="O112" s="198">
        <f t="shared" si="23"/>
        <v>67013.244000000006</v>
      </c>
      <c r="P112" s="199">
        <f>P77+P92+P104+P110</f>
        <v>1003869.4939999999</v>
      </c>
      <c r="Q112" s="13" t="e">
        <f>Q77+Q92+Q104+Q110</f>
        <v>#REF!</v>
      </c>
      <c r="R112" s="13">
        <f>+R110+R104+R92+R77</f>
        <v>717762</v>
      </c>
      <c r="S112" s="13">
        <f>+S110+S104+S92+S77</f>
        <v>725821</v>
      </c>
      <c r="T112" s="13">
        <f>+P112-R112</f>
        <v>286107.49399999995</v>
      </c>
      <c r="U112" s="13">
        <f>U77+U92+U104+U110</f>
        <v>0</v>
      </c>
      <c r="V112" s="12">
        <f>V77+V92+V104+V110</f>
        <v>0</v>
      </c>
      <c r="W112" s="16"/>
      <c r="Z112" s="1">
        <v>18497</v>
      </c>
    </row>
    <row r="113" spans="1:26" ht="15" customHeight="1">
      <c r="A113" s="7"/>
      <c r="B113" s="2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  <c r="R113" s="10"/>
      <c r="S113" s="11"/>
      <c r="T113" s="11"/>
      <c r="Z113" s="1">
        <v>20856.32</v>
      </c>
    </row>
    <row r="114" spans="1:26" ht="15" customHeight="1">
      <c r="A114" s="7"/>
      <c r="B114" s="197" t="s">
        <v>368</v>
      </c>
      <c r="C114" s="198">
        <f t="shared" ref="C114:Q114" si="25">C28-C112</f>
        <v>106332.05660517691</v>
      </c>
      <c r="D114" s="198">
        <f t="shared" si="25"/>
        <v>125768.25660517692</v>
      </c>
      <c r="E114" s="198">
        <f t="shared" si="25"/>
        <v>127712.58098449127</v>
      </c>
      <c r="F114" s="198">
        <f t="shared" si="25"/>
        <v>3548.120984491281</v>
      </c>
      <c r="G114" s="198">
        <f t="shared" si="25"/>
        <v>118403.16098449127</v>
      </c>
      <c r="H114" s="198">
        <f t="shared" si="25"/>
        <v>122276.74098449128</v>
      </c>
      <c r="I114" s="198">
        <f t="shared" ref="I114" si="26">I28-I112</f>
        <v>604040.91714831884</v>
      </c>
      <c r="J114" s="198">
        <f t="shared" si="25"/>
        <v>115358.83698449127</v>
      </c>
      <c r="K114" s="198">
        <f t="shared" si="25"/>
        <v>117913.25698449128</v>
      </c>
      <c r="L114" s="198">
        <f t="shared" si="25"/>
        <v>108259.78098449126</v>
      </c>
      <c r="M114" s="198">
        <f t="shared" si="25"/>
        <v>106796.16698449125</v>
      </c>
      <c r="N114" s="198">
        <f t="shared" si="25"/>
        <v>115721.89698449126</v>
      </c>
      <c r="O114" s="198">
        <f t="shared" si="25"/>
        <v>99258.166984491254</v>
      </c>
      <c r="P114" s="199">
        <f>P28-P112</f>
        <v>1871389.9402035857</v>
      </c>
      <c r="Q114" s="13" t="e">
        <f t="shared" si="25"/>
        <v>#REF!</v>
      </c>
      <c r="R114" s="13">
        <f>+R28-R112</f>
        <v>840230</v>
      </c>
      <c r="S114" s="13">
        <f>+S28-S112</f>
        <v>867831</v>
      </c>
      <c r="T114" s="13">
        <f>+P114-R114</f>
        <v>1031159.9402035857</v>
      </c>
      <c r="U114" s="13">
        <f>U28-U112</f>
        <v>0</v>
      </c>
      <c r="V114" s="12">
        <f>V28-V112</f>
        <v>0</v>
      </c>
      <c r="W114" s="16"/>
      <c r="Z114" s="1">
        <f>SUM(Z110:Z113)</f>
        <v>65831.100000000006</v>
      </c>
    </row>
    <row r="115" spans="1:26" ht="15" customHeight="1">
      <c r="A115" s="7"/>
      <c r="B115" s="22"/>
      <c r="C115" s="16"/>
      <c r="D115" s="16"/>
      <c r="E115" s="16"/>
      <c r="F115" s="16"/>
      <c r="G115" s="16"/>
      <c r="H115" s="16"/>
      <c r="I115" s="247"/>
      <c r="J115" s="16"/>
      <c r="K115" s="16"/>
      <c r="L115" s="16"/>
      <c r="M115" s="16"/>
      <c r="N115" s="16"/>
      <c r="O115" s="16"/>
      <c r="P115" s="16"/>
      <c r="Q115" s="23"/>
      <c r="R115" s="23"/>
      <c r="S115" s="11"/>
      <c r="T115" s="11"/>
      <c r="Z115" s="1">
        <f>+Z114/6</f>
        <v>10971.85</v>
      </c>
    </row>
    <row r="116" spans="1:26" ht="15" customHeight="1">
      <c r="A116" s="7"/>
      <c r="B116" s="22"/>
      <c r="C116" s="9"/>
      <c r="D116" s="9"/>
      <c r="E116" s="9"/>
      <c r="F116" s="9"/>
      <c r="G116" s="9"/>
      <c r="H116" s="9"/>
      <c r="I116" s="175"/>
      <c r="J116" s="9"/>
      <c r="K116" s="9"/>
      <c r="L116" s="9"/>
      <c r="M116" s="9"/>
      <c r="N116" s="9"/>
      <c r="O116" s="9"/>
      <c r="P116" s="9"/>
      <c r="Q116" s="10"/>
      <c r="R116" s="10"/>
      <c r="S116" s="11"/>
      <c r="T116" s="11"/>
    </row>
    <row r="117" spans="1:26" ht="15" customHeight="1">
      <c r="B117" s="4" t="s">
        <v>289</v>
      </c>
      <c r="C117" s="9"/>
      <c r="D117" s="9"/>
      <c r="E117" s="9"/>
      <c r="F117" s="9"/>
      <c r="G117" s="9"/>
      <c r="H117" s="9"/>
      <c r="I117" s="175"/>
      <c r="J117" s="9"/>
      <c r="K117" s="9"/>
      <c r="L117" s="9"/>
      <c r="M117" s="9"/>
      <c r="N117" s="9"/>
      <c r="O117" s="9"/>
      <c r="P117" s="9"/>
      <c r="Q117" s="10"/>
      <c r="R117" s="10"/>
      <c r="S117" s="11"/>
      <c r="T117" s="11"/>
    </row>
    <row r="118" spans="1:26" ht="15" customHeight="1">
      <c r="A118" s="7"/>
      <c r="B118" s="8"/>
      <c r="C118" s="9"/>
      <c r="D118" s="9"/>
      <c r="E118" s="9"/>
      <c r="F118" s="9"/>
      <c r="G118" s="9"/>
      <c r="H118" s="9"/>
      <c r="I118" s="175"/>
      <c r="J118" s="9"/>
      <c r="K118" s="9"/>
      <c r="L118" s="9"/>
      <c r="M118" s="9"/>
      <c r="N118" s="9"/>
      <c r="O118" s="9"/>
      <c r="P118" s="9"/>
      <c r="Q118" s="10"/>
      <c r="R118" s="10"/>
      <c r="S118" s="11"/>
      <c r="T118" s="11"/>
    </row>
    <row r="119" spans="1:26" ht="15" customHeight="1">
      <c r="A119" s="7">
        <v>70210</v>
      </c>
      <c r="B119" s="1" t="s">
        <v>290</v>
      </c>
      <c r="C119" s="9">
        <v>750</v>
      </c>
      <c r="D119" s="9">
        <v>750</v>
      </c>
      <c r="E119" s="9">
        <v>750</v>
      </c>
      <c r="F119" s="9">
        <v>750</v>
      </c>
      <c r="G119" s="9">
        <v>750</v>
      </c>
      <c r="H119" s="9">
        <v>750</v>
      </c>
      <c r="I119" s="175">
        <f t="shared" ref="I119:I130" si="27">SUM(C119:H119)</f>
        <v>4500</v>
      </c>
      <c r="J119" s="9">
        <v>750</v>
      </c>
      <c r="K119" s="9">
        <v>750</v>
      </c>
      <c r="L119" s="9">
        <v>750</v>
      </c>
      <c r="M119" s="9">
        <v>750</v>
      </c>
      <c r="N119" s="9">
        <v>750</v>
      </c>
      <c r="O119" s="9">
        <f>750</f>
        <v>750</v>
      </c>
      <c r="P119" s="9">
        <f t="shared" ref="P119:P130" si="28">SUM(C119:O119)</f>
        <v>13500</v>
      </c>
      <c r="Q119" s="10">
        <f>P119/'Occup,'!$C$33</f>
        <v>0.26440518625876452</v>
      </c>
      <c r="R119" s="9">
        <v>15490</v>
      </c>
      <c r="S119" s="11">
        <v>9000</v>
      </c>
      <c r="T119" s="11">
        <f>+P119-R119</f>
        <v>-1990</v>
      </c>
    </row>
    <row r="120" spans="1:26" ht="15" hidden="1" customHeight="1">
      <c r="A120" s="21">
        <v>0</v>
      </c>
      <c r="B120" s="1" t="s">
        <v>282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175">
        <f t="shared" si="27"/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f t="shared" si="28"/>
        <v>0</v>
      </c>
      <c r="Q120" s="10">
        <f>P120/'Occup,'!$C$33</f>
        <v>0</v>
      </c>
      <c r="R120" s="9"/>
      <c r="S120" s="11">
        <v>0</v>
      </c>
      <c r="T120" s="11"/>
    </row>
    <row r="121" spans="1:26" ht="15" customHeight="1">
      <c r="A121" s="7">
        <v>70280</v>
      </c>
      <c r="B121" s="1" t="s">
        <v>292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175">
        <f t="shared" si="27"/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f t="shared" si="28"/>
        <v>0</v>
      </c>
      <c r="Q121" s="10">
        <f>P121/'Occup,'!$C$33</f>
        <v>0</v>
      </c>
      <c r="R121" s="9"/>
      <c r="S121" s="11">
        <v>0</v>
      </c>
      <c r="T121" s="11">
        <f t="shared" ref="T121:T131" si="29">+P121-R121</f>
        <v>0</v>
      </c>
    </row>
    <row r="122" spans="1:26" ht="15" customHeight="1">
      <c r="A122" s="7">
        <v>70220</v>
      </c>
      <c r="B122" s="1" t="s">
        <v>294</v>
      </c>
      <c r="C122" s="9">
        <v>1000</v>
      </c>
      <c r="D122" s="9"/>
      <c r="E122" s="9"/>
      <c r="F122" s="9">
        <v>1000</v>
      </c>
      <c r="G122" s="9"/>
      <c r="H122" s="9"/>
      <c r="I122" s="175">
        <f t="shared" si="27"/>
        <v>2000</v>
      </c>
      <c r="J122" s="9">
        <v>1000</v>
      </c>
      <c r="K122" s="9"/>
      <c r="L122" s="9"/>
      <c r="M122" s="9">
        <v>1000</v>
      </c>
      <c r="N122" s="9"/>
      <c r="O122" s="9"/>
      <c r="P122" s="9">
        <f t="shared" si="28"/>
        <v>6000</v>
      </c>
      <c r="Q122" s="10">
        <f>P122/'Occup,'!$C$33</f>
        <v>0.11751341611500646</v>
      </c>
      <c r="R122" s="9">
        <v>34226</v>
      </c>
      <c r="S122" s="11">
        <v>19000</v>
      </c>
      <c r="T122" s="11">
        <f t="shared" si="29"/>
        <v>-28226</v>
      </c>
    </row>
    <row r="123" spans="1:26" ht="15" customHeight="1">
      <c r="A123" s="7">
        <v>70240</v>
      </c>
      <c r="B123" s="1" t="s">
        <v>369</v>
      </c>
      <c r="C123" s="9">
        <v>75</v>
      </c>
      <c r="D123" s="9">
        <v>75</v>
      </c>
      <c r="E123" s="9">
        <v>75</v>
      </c>
      <c r="F123" s="9">
        <v>75</v>
      </c>
      <c r="G123" s="9">
        <v>75</v>
      </c>
      <c r="H123" s="9">
        <v>75</v>
      </c>
      <c r="I123" s="175">
        <f t="shared" si="27"/>
        <v>450</v>
      </c>
      <c r="J123" s="9">
        <v>75</v>
      </c>
      <c r="K123" s="9">
        <v>75</v>
      </c>
      <c r="L123" s="9">
        <v>75</v>
      </c>
      <c r="M123" s="9">
        <v>75</v>
      </c>
      <c r="N123" s="9">
        <v>75</v>
      </c>
      <c r="O123" s="9">
        <v>75</v>
      </c>
      <c r="P123" s="9">
        <f t="shared" si="28"/>
        <v>1350</v>
      </c>
      <c r="Q123" s="10">
        <f>P123/'Occup,'!$C$33</f>
        <v>2.6440518625876454E-2</v>
      </c>
      <c r="R123" s="9">
        <v>150</v>
      </c>
      <c r="S123" s="11">
        <v>900</v>
      </c>
      <c r="T123" s="11">
        <f t="shared" si="29"/>
        <v>1200</v>
      </c>
    </row>
    <row r="124" spans="1:26" ht="17.25" customHeight="1">
      <c r="A124" s="7">
        <v>70390</v>
      </c>
      <c r="B124" s="1" t="s">
        <v>361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175">
        <f t="shared" si="27"/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f t="shared" si="28"/>
        <v>0</v>
      </c>
      <c r="Q124" s="10">
        <f>P124/'Occup,'!$C$33</f>
        <v>0</v>
      </c>
      <c r="R124" s="9">
        <v>638</v>
      </c>
      <c r="S124" s="11">
        <v>0</v>
      </c>
      <c r="T124" s="11">
        <f t="shared" si="29"/>
        <v>-638</v>
      </c>
    </row>
    <row r="125" spans="1:26" ht="15" customHeight="1">
      <c r="A125" s="7">
        <v>70340</v>
      </c>
      <c r="B125" s="1" t="s">
        <v>370</v>
      </c>
      <c r="C125" s="9">
        <v>30</v>
      </c>
      <c r="D125" s="9">
        <v>30</v>
      </c>
      <c r="E125" s="9">
        <v>30</v>
      </c>
      <c r="F125" s="9">
        <v>30</v>
      </c>
      <c r="G125" s="9">
        <v>30</v>
      </c>
      <c r="H125" s="9">
        <v>30</v>
      </c>
      <c r="I125" s="175">
        <f t="shared" si="27"/>
        <v>180</v>
      </c>
      <c r="J125" s="9">
        <v>30</v>
      </c>
      <c r="K125" s="9">
        <v>30</v>
      </c>
      <c r="L125" s="9">
        <v>30</v>
      </c>
      <c r="M125" s="9">
        <v>30</v>
      </c>
      <c r="N125" s="9">
        <v>30</v>
      </c>
      <c r="O125" s="9">
        <v>30</v>
      </c>
      <c r="P125" s="9">
        <f>SUM(C125:O125)</f>
        <v>540</v>
      </c>
      <c r="Q125" s="10">
        <f>P125/'Occup,'!$C$33</f>
        <v>1.0576207450350582E-2</v>
      </c>
      <c r="R125" s="9">
        <v>305</v>
      </c>
      <c r="S125" s="11">
        <v>360</v>
      </c>
      <c r="T125" s="11">
        <f t="shared" si="29"/>
        <v>235</v>
      </c>
    </row>
    <row r="126" spans="1:26" ht="15" customHeight="1">
      <c r="A126" s="25">
        <v>70352</v>
      </c>
      <c r="B126" s="1" t="s">
        <v>371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175">
        <f t="shared" si="27"/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f t="shared" si="28"/>
        <v>0</v>
      </c>
      <c r="Q126" s="10">
        <f>P126/'Occup,'!$C$33</f>
        <v>0</v>
      </c>
      <c r="R126" s="9"/>
      <c r="S126" s="11">
        <v>0</v>
      </c>
      <c r="T126" s="11">
        <f t="shared" si="29"/>
        <v>0</v>
      </c>
    </row>
    <row r="127" spans="1:26" ht="15" customHeight="1">
      <c r="A127" s="7">
        <v>70370</v>
      </c>
      <c r="B127" s="1" t="s">
        <v>372</v>
      </c>
      <c r="C127" s="9">
        <v>0</v>
      </c>
      <c r="D127" s="9">
        <v>0</v>
      </c>
      <c r="E127" s="9">
        <v>2000</v>
      </c>
      <c r="F127" s="9">
        <v>0</v>
      </c>
      <c r="G127" s="9">
        <v>0</v>
      </c>
      <c r="H127" s="9">
        <v>0</v>
      </c>
      <c r="I127" s="175">
        <f t="shared" si="27"/>
        <v>2000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f t="shared" si="28"/>
        <v>4000</v>
      </c>
      <c r="Q127" s="10"/>
      <c r="R127" s="9">
        <v>2482</v>
      </c>
      <c r="S127" s="11">
        <v>0</v>
      </c>
      <c r="T127" s="11">
        <f t="shared" si="29"/>
        <v>1518</v>
      </c>
    </row>
    <row r="128" spans="1:26" ht="15" customHeight="1">
      <c r="A128" s="7">
        <v>70230</v>
      </c>
      <c r="B128" s="1" t="s">
        <v>373</v>
      </c>
      <c r="C128" s="9"/>
      <c r="D128" s="9">
        <v>0</v>
      </c>
      <c r="E128" s="9">
        <v>2500</v>
      </c>
      <c r="F128" s="9">
        <v>0</v>
      </c>
      <c r="G128" s="9">
        <v>1000</v>
      </c>
      <c r="H128" s="9">
        <v>100</v>
      </c>
      <c r="I128" s="175">
        <f t="shared" si="27"/>
        <v>3600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f t="shared" si="28"/>
        <v>7200</v>
      </c>
      <c r="Q128" s="10">
        <f>P128/'Occup,'!$C$33</f>
        <v>0.14101609933800777</v>
      </c>
      <c r="R128" s="9">
        <v>2579</v>
      </c>
      <c r="S128" s="11">
        <v>2500</v>
      </c>
      <c r="T128" s="11">
        <f t="shared" si="29"/>
        <v>4621</v>
      </c>
    </row>
    <row r="129" spans="1:64" ht="15.75" customHeight="1">
      <c r="A129" s="7" t="s">
        <v>14</v>
      </c>
      <c r="B129" s="1" t="s">
        <v>374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175">
        <f t="shared" si="27"/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/>
      <c r="P129" s="9">
        <f t="shared" si="28"/>
        <v>0</v>
      </c>
      <c r="Q129" s="10">
        <f>P129/'Occup,'!$C$33</f>
        <v>0</v>
      </c>
      <c r="R129" s="9"/>
      <c r="S129" s="11">
        <v>0</v>
      </c>
      <c r="T129" s="11">
        <f t="shared" si="29"/>
        <v>0</v>
      </c>
    </row>
    <row r="130" spans="1:64" ht="15" customHeight="1">
      <c r="A130" s="7">
        <v>70400</v>
      </c>
      <c r="B130" s="1" t="s">
        <v>375</v>
      </c>
      <c r="C130" s="9">
        <v>0</v>
      </c>
      <c r="D130" s="9">
        <v>0</v>
      </c>
      <c r="E130" s="9">
        <v>0</v>
      </c>
      <c r="F130" s="9">
        <v>10300</v>
      </c>
      <c r="G130" s="9">
        <v>0</v>
      </c>
      <c r="H130" s="9">
        <v>0</v>
      </c>
      <c r="I130" s="175">
        <f t="shared" si="27"/>
        <v>10300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f t="shared" si="28"/>
        <v>20600</v>
      </c>
      <c r="Q130" s="10">
        <f>P130/'Occup,'!$C$33</f>
        <v>0.40346272866152216</v>
      </c>
      <c r="R130" s="9">
        <v>10300</v>
      </c>
      <c r="S130" s="11">
        <v>5800</v>
      </c>
      <c r="T130" s="11">
        <f t="shared" si="29"/>
        <v>10300</v>
      </c>
    </row>
    <row r="131" spans="1:64" ht="15" customHeight="1">
      <c r="B131" s="22"/>
      <c r="C131" s="9"/>
      <c r="D131" s="9"/>
      <c r="E131" s="9"/>
      <c r="F131" s="9"/>
      <c r="G131" s="9"/>
      <c r="H131" s="9"/>
      <c r="I131" s="175"/>
      <c r="J131" s="9"/>
      <c r="K131" s="9"/>
      <c r="L131" s="9"/>
      <c r="M131" s="9"/>
      <c r="N131" s="9"/>
      <c r="O131" s="9"/>
      <c r="P131" s="9"/>
      <c r="Q131" s="10"/>
      <c r="R131" s="10"/>
      <c r="S131" s="11"/>
      <c r="T131" s="11">
        <f t="shared" si="29"/>
        <v>0</v>
      </c>
    </row>
    <row r="132" spans="1:64" ht="15" customHeight="1">
      <c r="B132" s="197" t="s">
        <v>308</v>
      </c>
      <c r="C132" s="198">
        <f>SUM(C119:C131)</f>
        <v>1855</v>
      </c>
      <c r="D132" s="198">
        <f t="shared" ref="D132:Q132" si="30">SUM(D119:D131)</f>
        <v>855</v>
      </c>
      <c r="E132" s="198">
        <f t="shared" si="30"/>
        <v>5355</v>
      </c>
      <c r="F132" s="198">
        <f t="shared" si="30"/>
        <v>12155</v>
      </c>
      <c r="G132" s="198">
        <f t="shared" si="30"/>
        <v>1855</v>
      </c>
      <c r="H132" s="198">
        <f t="shared" si="30"/>
        <v>955</v>
      </c>
      <c r="I132" s="198">
        <f t="shared" ref="I132" si="31">SUM(I119:I131)</f>
        <v>23030</v>
      </c>
      <c r="J132" s="198">
        <f t="shared" si="30"/>
        <v>1855</v>
      </c>
      <c r="K132" s="198">
        <f t="shared" si="30"/>
        <v>855</v>
      </c>
      <c r="L132" s="198">
        <f t="shared" si="30"/>
        <v>855</v>
      </c>
      <c r="M132" s="198">
        <f t="shared" si="30"/>
        <v>1855</v>
      </c>
      <c r="N132" s="198">
        <f t="shared" si="30"/>
        <v>855</v>
      </c>
      <c r="O132" s="198">
        <f t="shared" si="30"/>
        <v>855</v>
      </c>
      <c r="P132" s="199">
        <f t="shared" si="30"/>
        <v>53190</v>
      </c>
      <c r="Q132" s="14">
        <f t="shared" si="30"/>
        <v>0.96341415644952799</v>
      </c>
      <c r="R132" s="242">
        <f>SUM(R119:R131)</f>
        <v>66170</v>
      </c>
      <c r="S132" s="242">
        <f>SUM(S119:S131)</f>
        <v>37560</v>
      </c>
      <c r="T132" s="233">
        <f>+P132-R132</f>
        <v>-12980</v>
      </c>
    </row>
    <row r="133" spans="1:64" ht="15" customHeight="1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0"/>
      <c r="R133" s="10"/>
      <c r="S133" s="11"/>
      <c r="T133" s="11"/>
    </row>
    <row r="134" spans="1:64" ht="15" customHeight="1">
      <c r="B134" s="197" t="s">
        <v>288</v>
      </c>
      <c r="C134" s="198">
        <f t="shared" ref="C134:Q134" si="32">C114-C132</f>
        <v>104477.05660517691</v>
      </c>
      <c r="D134" s="198">
        <f t="shared" si="32"/>
        <v>124913.25660517692</v>
      </c>
      <c r="E134" s="198">
        <f t="shared" si="32"/>
        <v>122357.58098449127</v>
      </c>
      <c r="F134" s="198">
        <f t="shared" si="32"/>
        <v>-8606.879015508719</v>
      </c>
      <c r="G134" s="198">
        <f t="shared" si="32"/>
        <v>116548.16098449127</v>
      </c>
      <c r="H134" s="198">
        <f t="shared" si="32"/>
        <v>121321.74098449128</v>
      </c>
      <c r="I134" s="198">
        <f t="shared" si="32"/>
        <v>581010.91714831884</v>
      </c>
      <c r="J134" s="198">
        <f t="shared" si="32"/>
        <v>113503.83698449127</v>
      </c>
      <c r="K134" s="198">
        <f t="shared" si="32"/>
        <v>117058.25698449128</v>
      </c>
      <c r="L134" s="198">
        <f t="shared" si="32"/>
        <v>107404.78098449126</v>
      </c>
      <c r="M134" s="198">
        <f t="shared" si="32"/>
        <v>104941.16698449125</v>
      </c>
      <c r="N134" s="198">
        <f t="shared" si="32"/>
        <v>114866.89698449126</v>
      </c>
      <c r="O134" s="198">
        <f t="shared" si="32"/>
        <v>98403.166984491254</v>
      </c>
      <c r="P134" s="199">
        <f t="shared" si="32"/>
        <v>1818199.9402035857</v>
      </c>
      <c r="Q134" s="14" t="e">
        <f t="shared" si="32"/>
        <v>#REF!</v>
      </c>
      <c r="R134" s="242">
        <f>+R114-R132</f>
        <v>774060</v>
      </c>
      <c r="S134" s="242">
        <f>+S114-S132</f>
        <v>830271</v>
      </c>
      <c r="T134" s="233">
        <f>+P134-R134</f>
        <v>1044139.9402035857</v>
      </c>
    </row>
    <row r="135" spans="1:64" ht="15" customHeight="1">
      <c r="B135" s="22"/>
      <c r="C135" s="9"/>
      <c r="D135" s="9"/>
      <c r="E135" s="9"/>
      <c r="F135" s="9"/>
      <c r="G135" s="9"/>
      <c r="H135" s="9"/>
      <c r="I135" s="175"/>
      <c r="J135" s="9"/>
      <c r="K135" s="9"/>
      <c r="L135" s="9"/>
      <c r="M135" s="9"/>
      <c r="N135" s="9"/>
      <c r="O135" s="9"/>
      <c r="P135" s="9"/>
      <c r="Q135" s="10"/>
      <c r="R135" s="10"/>
      <c r="S135" s="11"/>
      <c r="T135" s="11"/>
      <c r="BF135" s="4"/>
      <c r="BK135" s="1" t="s">
        <v>14</v>
      </c>
      <c r="BL135" s="1" t="s">
        <v>14</v>
      </c>
    </row>
    <row r="136" spans="1:64" ht="15" customHeight="1">
      <c r="A136" s="7">
        <v>25300</v>
      </c>
      <c r="B136" s="1" t="s">
        <v>376</v>
      </c>
      <c r="C136" s="9">
        <v>0</v>
      </c>
      <c r="D136" s="9">
        <v>18856.8</v>
      </c>
      <c r="E136" s="9">
        <v>27765.79</v>
      </c>
      <c r="F136" s="9">
        <v>25325.83</v>
      </c>
      <c r="G136" s="9">
        <v>26662.05</v>
      </c>
      <c r="H136" s="9">
        <v>25486.99</v>
      </c>
      <c r="I136" s="175">
        <f t="shared" ref="I136:I143" si="33">SUM(C136:H136)</f>
        <v>124097.46</v>
      </c>
      <c r="J136" s="9">
        <v>21951.58</v>
      </c>
      <c r="K136" s="9">
        <v>22027.19</v>
      </c>
      <c r="L136" s="9">
        <v>23102.18</v>
      </c>
      <c r="M136" s="9">
        <v>22182.63</v>
      </c>
      <c r="N136" s="9">
        <v>23253.13</v>
      </c>
      <c r="O136" s="9">
        <v>22339.13</v>
      </c>
      <c r="P136" s="9">
        <f>SUM(C136:O136)</f>
        <v>383050.76</v>
      </c>
      <c r="Q136" s="10">
        <v>0</v>
      </c>
      <c r="R136" s="9">
        <v>254190</v>
      </c>
      <c r="S136" s="11">
        <v>254746</v>
      </c>
      <c r="T136" s="11">
        <f>+P136-R136</f>
        <v>128860.76000000001</v>
      </c>
    </row>
    <row r="137" spans="1:64" ht="15" customHeight="1">
      <c r="A137" s="7">
        <v>10410</v>
      </c>
      <c r="B137" s="1" t="s">
        <v>377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175">
        <f t="shared" si="33"/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f t="shared" ref="P137:P143" si="34">SUM(C137:O137)</f>
        <v>0</v>
      </c>
      <c r="Q137" s="10"/>
      <c r="R137" s="10"/>
      <c r="S137" s="11">
        <v>0</v>
      </c>
      <c r="T137" s="11"/>
    </row>
    <row r="138" spans="1:64" ht="15" customHeight="1">
      <c r="A138" s="7">
        <v>10460</v>
      </c>
      <c r="B138" s="1" t="s">
        <v>378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175">
        <f t="shared" si="33"/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f t="shared" si="34"/>
        <v>0</v>
      </c>
      <c r="Q138" s="10"/>
      <c r="R138" s="10"/>
      <c r="S138" s="11">
        <v>0</v>
      </c>
      <c r="T138" s="11"/>
    </row>
    <row r="139" spans="1:64" ht="15" customHeight="1">
      <c r="A139" s="7">
        <v>40190</v>
      </c>
      <c r="B139" s="1" t="s">
        <v>355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75">
        <f t="shared" si="33"/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f t="shared" si="34"/>
        <v>0</v>
      </c>
      <c r="Q139" s="10"/>
      <c r="R139" s="10"/>
      <c r="S139" s="11">
        <v>0</v>
      </c>
      <c r="T139" s="11"/>
    </row>
    <row r="140" spans="1:64" ht="15" customHeight="1">
      <c r="A140" s="7">
        <v>16500</v>
      </c>
      <c r="B140" s="1" t="s">
        <v>379</v>
      </c>
      <c r="C140" s="9">
        <v>0</v>
      </c>
      <c r="D140" s="9">
        <f>9933.93+13373.1</f>
        <v>23307.03</v>
      </c>
      <c r="E140" s="253">
        <v>13373.1</v>
      </c>
      <c r="F140" s="9"/>
      <c r="G140" s="254">
        <f>13373.1+4457.7</f>
        <v>17830.8</v>
      </c>
      <c r="H140" s="9">
        <v>0</v>
      </c>
      <c r="I140" s="175">
        <f t="shared" si="33"/>
        <v>54510.929999999993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f t="shared" si="34"/>
        <v>109021.85999999999</v>
      </c>
      <c r="Q140" s="10">
        <v>0</v>
      </c>
      <c r="R140" s="10">
        <v>42741</v>
      </c>
      <c r="S140" s="11">
        <v>44796</v>
      </c>
      <c r="T140" s="11">
        <f>+P140-R140</f>
        <v>66280.859999999986</v>
      </c>
    </row>
    <row r="141" spans="1:64" ht="15" customHeight="1">
      <c r="A141" s="7">
        <v>70110</v>
      </c>
      <c r="B141" s="1" t="s">
        <v>316</v>
      </c>
      <c r="C141" s="9">
        <v>0</v>
      </c>
      <c r="D141" s="9">
        <v>45536.4</v>
      </c>
      <c r="E141" s="9">
        <v>36627.410000000003</v>
      </c>
      <c r="F141" s="9">
        <v>39067.370000000003</v>
      </c>
      <c r="G141" s="9">
        <v>37731.15</v>
      </c>
      <c r="H141" s="9">
        <v>38906.21</v>
      </c>
      <c r="I141" s="175">
        <f t="shared" si="33"/>
        <v>197868.53999999998</v>
      </c>
      <c r="J141" s="9">
        <v>31124.33</v>
      </c>
      <c r="K141" s="9">
        <v>31048.720000000001</v>
      </c>
      <c r="L141" s="9">
        <v>29973.73</v>
      </c>
      <c r="M141" s="9">
        <v>30893.279999999999</v>
      </c>
      <c r="N141" s="9">
        <v>29822.78</v>
      </c>
      <c r="O141" s="9">
        <v>30736.78</v>
      </c>
      <c r="P141" s="9">
        <f t="shared" si="34"/>
        <v>579336.70000000007</v>
      </c>
      <c r="Q141" s="10">
        <v>0</v>
      </c>
      <c r="R141" s="9">
        <v>371667</v>
      </c>
      <c r="S141" s="11">
        <v>372740</v>
      </c>
      <c r="T141" s="11">
        <f>+P141-R141</f>
        <v>207669.70000000007</v>
      </c>
    </row>
    <row r="142" spans="1:64" ht="15" customHeight="1">
      <c r="A142" s="7">
        <v>70130</v>
      </c>
      <c r="B142" s="1" t="s">
        <v>316</v>
      </c>
      <c r="C142" s="9">
        <v>0</v>
      </c>
      <c r="D142" s="9">
        <f>C142</f>
        <v>0</v>
      </c>
      <c r="E142" s="9">
        <f t="shared" ref="E142:O142" si="35">D142</f>
        <v>0</v>
      </c>
      <c r="F142" s="9">
        <f t="shared" si="35"/>
        <v>0</v>
      </c>
      <c r="G142" s="9">
        <f t="shared" si="35"/>
        <v>0</v>
      </c>
      <c r="H142" s="9">
        <f t="shared" si="35"/>
        <v>0</v>
      </c>
      <c r="I142" s="175">
        <f t="shared" si="33"/>
        <v>0</v>
      </c>
      <c r="J142" s="9">
        <f>H142</f>
        <v>0</v>
      </c>
      <c r="K142" s="9">
        <f t="shared" si="35"/>
        <v>0</v>
      </c>
      <c r="L142" s="9">
        <f t="shared" si="35"/>
        <v>0</v>
      </c>
      <c r="M142" s="9">
        <f t="shared" si="35"/>
        <v>0</v>
      </c>
      <c r="N142" s="9">
        <f t="shared" si="35"/>
        <v>0</v>
      </c>
      <c r="O142" s="9">
        <f t="shared" si="35"/>
        <v>0</v>
      </c>
      <c r="P142" s="9">
        <f t="shared" si="34"/>
        <v>0</v>
      </c>
      <c r="Q142" s="10"/>
      <c r="R142" s="10"/>
      <c r="S142" s="11">
        <v>0</v>
      </c>
      <c r="T142" s="11"/>
    </row>
    <row r="143" spans="1:64" ht="15" customHeight="1">
      <c r="A143" s="7">
        <v>15100</v>
      </c>
      <c r="B143" s="1" t="s">
        <v>380</v>
      </c>
      <c r="C143" s="9">
        <v>18000</v>
      </c>
      <c r="D143" s="9"/>
      <c r="F143" s="9"/>
      <c r="G143" s="9"/>
      <c r="H143" s="253">
        <v>36195</v>
      </c>
      <c r="I143" s="175">
        <f t="shared" si="33"/>
        <v>54195</v>
      </c>
      <c r="J143" s="9"/>
      <c r="K143" s="9"/>
      <c r="L143" s="9"/>
      <c r="M143" s="9"/>
      <c r="N143" s="9"/>
      <c r="O143" s="9"/>
      <c r="P143" s="9">
        <f t="shared" si="34"/>
        <v>108390</v>
      </c>
      <c r="Q143" s="10"/>
      <c r="R143" s="9">
        <v>33616</v>
      </c>
      <c r="S143" s="11">
        <v>0</v>
      </c>
      <c r="T143" s="243">
        <f>+P143-R143</f>
        <v>74774</v>
      </c>
    </row>
    <row r="144" spans="1:64" ht="15" customHeight="1">
      <c r="A144" s="7"/>
      <c r="C144" s="9"/>
      <c r="D144" s="9"/>
      <c r="E144" s="9"/>
      <c r="F144" s="9"/>
      <c r="G144" s="9"/>
      <c r="H144" s="9"/>
      <c r="I144" s="175"/>
      <c r="J144" s="9"/>
      <c r="K144" s="9"/>
      <c r="L144" s="9"/>
      <c r="M144" s="9"/>
      <c r="N144" s="9"/>
      <c r="O144" s="9"/>
      <c r="P144" s="9"/>
      <c r="Q144" s="10"/>
      <c r="R144" s="10"/>
      <c r="S144" s="11"/>
      <c r="T144" s="11"/>
    </row>
    <row r="145" spans="1:20" ht="15" customHeight="1">
      <c r="A145" s="7"/>
      <c r="B145" s="197" t="s">
        <v>381</v>
      </c>
      <c r="C145" s="198">
        <f t="shared" ref="C145:P145" si="36">SUM(C136:C144)</f>
        <v>18000</v>
      </c>
      <c r="D145" s="198">
        <f t="shared" si="36"/>
        <v>87700.23000000001</v>
      </c>
      <c r="E145" s="198">
        <f t="shared" si="36"/>
        <v>77766.3</v>
      </c>
      <c r="F145" s="198">
        <f t="shared" si="36"/>
        <v>64393.200000000004</v>
      </c>
      <c r="G145" s="198">
        <f t="shared" si="36"/>
        <v>82224</v>
      </c>
      <c r="H145" s="198">
        <f t="shared" si="36"/>
        <v>100588.2</v>
      </c>
      <c r="I145" s="198">
        <f t="shared" ref="I145" si="37">SUM(I136:I144)</f>
        <v>430671.93</v>
      </c>
      <c r="J145" s="198">
        <f t="shared" si="36"/>
        <v>53075.91</v>
      </c>
      <c r="K145" s="198">
        <f t="shared" si="36"/>
        <v>53075.91</v>
      </c>
      <c r="L145" s="198">
        <f t="shared" si="36"/>
        <v>53075.91</v>
      </c>
      <c r="M145" s="198">
        <f t="shared" si="36"/>
        <v>53075.91</v>
      </c>
      <c r="N145" s="198">
        <f t="shared" si="36"/>
        <v>53075.91</v>
      </c>
      <c r="O145" s="198">
        <f t="shared" si="36"/>
        <v>53075.91</v>
      </c>
      <c r="P145" s="199">
        <f t="shared" si="36"/>
        <v>1179799.32</v>
      </c>
      <c r="Q145" s="10"/>
      <c r="R145" s="242">
        <f>SUM(R136:R144)</f>
        <v>702214</v>
      </c>
      <c r="S145" s="242">
        <f>SUM(S136:S144)</f>
        <v>672282</v>
      </c>
      <c r="T145" s="233">
        <f>+P145-R145</f>
        <v>477585.32000000007</v>
      </c>
    </row>
    <row r="146" spans="1:20" ht="15" customHeight="1">
      <c r="A146" s="7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0"/>
      <c r="R146" s="10"/>
      <c r="S146" s="11"/>
      <c r="T146" s="11"/>
    </row>
    <row r="147" spans="1:20" ht="15" customHeight="1">
      <c r="B147" s="197" t="s">
        <v>332</v>
      </c>
      <c r="C147" s="198">
        <f t="shared" ref="C147:P147" si="38">C134-C145</f>
        <v>86477.056605176913</v>
      </c>
      <c r="D147" s="198">
        <f t="shared" si="38"/>
        <v>37213.026605176914</v>
      </c>
      <c r="E147" s="198">
        <f t="shared" si="38"/>
        <v>44591.28098449127</v>
      </c>
      <c r="F147" s="198">
        <f t="shared" si="38"/>
        <v>-73000.079015508731</v>
      </c>
      <c r="G147" s="198">
        <f t="shared" si="38"/>
        <v>34324.160984491275</v>
      </c>
      <c r="H147" s="198">
        <f t="shared" si="38"/>
        <v>20733.540984491279</v>
      </c>
      <c r="I147" s="198">
        <f t="shared" ref="I147" si="39">I134-I145</f>
        <v>150338.98714831885</v>
      </c>
      <c r="J147" s="198">
        <f t="shared" si="38"/>
        <v>60427.926984491263</v>
      </c>
      <c r="K147" s="198">
        <f t="shared" si="38"/>
        <v>63982.346984491276</v>
      </c>
      <c r="L147" s="198">
        <f t="shared" si="38"/>
        <v>54328.870984491252</v>
      </c>
      <c r="M147" s="198">
        <f t="shared" si="38"/>
        <v>51865.25698449125</v>
      </c>
      <c r="N147" s="198">
        <f t="shared" si="38"/>
        <v>61790.986984491261</v>
      </c>
      <c r="O147" s="198">
        <f t="shared" si="38"/>
        <v>45327.25698449125</v>
      </c>
      <c r="P147" s="199">
        <f t="shared" si="38"/>
        <v>638400.6202035856</v>
      </c>
      <c r="Q147" s="14" t="e">
        <f>Q134-SUM(Q136:Q146)</f>
        <v>#REF!</v>
      </c>
      <c r="R147" s="242">
        <f>+R134-R145</f>
        <v>71846</v>
      </c>
      <c r="S147" s="233">
        <f>+S134-S145</f>
        <v>157989</v>
      </c>
      <c r="T147" s="233">
        <f>+P147-R147</f>
        <v>566554.6202035856</v>
      </c>
    </row>
    <row r="148" spans="1:20" ht="15" customHeight="1">
      <c r="C148" s="11"/>
      <c r="D148" s="11"/>
      <c r="E148" s="11"/>
      <c r="F148" s="11"/>
      <c r="G148" s="11"/>
      <c r="H148" s="11"/>
      <c r="I148" s="248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5" customHeight="1">
      <c r="C149" s="11"/>
      <c r="D149" s="11"/>
      <c r="E149" s="11"/>
      <c r="F149" s="11"/>
      <c r="G149" s="11"/>
      <c r="H149" s="11"/>
      <c r="I149" s="248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5" customHeight="1">
      <c r="B150" s="22" t="s">
        <v>382</v>
      </c>
      <c r="C150" s="16">
        <v>8936</v>
      </c>
      <c r="D150" s="11"/>
      <c r="E150" s="11"/>
      <c r="F150" s="11"/>
      <c r="G150" s="11"/>
      <c r="H150" s="11"/>
      <c r="I150" s="248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5" customHeight="1">
      <c r="B151" s="22" t="s">
        <v>264</v>
      </c>
      <c r="C151" s="16">
        <v>8000</v>
      </c>
      <c r="D151" s="11"/>
      <c r="E151" s="11"/>
      <c r="F151" s="11"/>
      <c r="G151" s="11"/>
      <c r="H151" s="11"/>
      <c r="I151" s="248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5" customHeight="1">
      <c r="B152" s="22" t="s">
        <v>255</v>
      </c>
      <c r="C152" s="16">
        <v>4000</v>
      </c>
      <c r="D152" s="11"/>
      <c r="E152" s="11"/>
      <c r="F152" s="11"/>
      <c r="G152" s="11"/>
      <c r="H152" s="11"/>
      <c r="I152" s="248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5" customHeight="1">
      <c r="B153" s="22" t="s">
        <v>383</v>
      </c>
      <c r="C153" s="16">
        <f>191200.13</f>
        <v>191200.13</v>
      </c>
      <c r="D153" s="11"/>
      <c r="E153" s="11"/>
      <c r="F153" s="11"/>
      <c r="G153" s="11"/>
      <c r="H153" s="11"/>
      <c r="I153" s="248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5" customHeight="1">
      <c r="B154" s="22" t="s">
        <v>384</v>
      </c>
      <c r="C154" s="16">
        <v>-72658.36</v>
      </c>
      <c r="D154" s="11"/>
      <c r="E154" s="11"/>
      <c r="F154" s="11"/>
      <c r="G154" s="11"/>
      <c r="H154" s="11"/>
      <c r="I154" s="248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5" customHeight="1">
      <c r="B155" s="22" t="s">
        <v>385</v>
      </c>
      <c r="C155" s="16">
        <v>30000</v>
      </c>
      <c r="D155" s="11"/>
      <c r="E155" s="11"/>
      <c r="F155" s="11"/>
      <c r="G155" s="11"/>
      <c r="H155" s="11"/>
      <c r="I155" s="248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5" customHeight="1" thickBot="1">
      <c r="B156" s="22"/>
      <c r="C156" s="252">
        <f>SUM(C150:C155)</f>
        <v>169477.77000000002</v>
      </c>
      <c r="D156" s="11"/>
      <c r="E156" s="11"/>
      <c r="F156" s="11"/>
      <c r="G156" s="11"/>
      <c r="H156" s="11"/>
      <c r="I156" s="248">
        <f>+I147-C156</f>
        <v>-19138.782851681171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5" customHeight="1" thickTop="1">
      <c r="C157" s="11"/>
      <c r="D157" s="11"/>
      <c r="E157" s="11"/>
      <c r="F157" s="11"/>
      <c r="G157" s="11"/>
      <c r="H157" s="11"/>
      <c r="I157" s="248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5" customHeight="1">
      <c r="C158" s="11"/>
      <c r="D158" s="11"/>
      <c r="E158" s="11"/>
      <c r="F158" s="11"/>
      <c r="G158" s="11"/>
      <c r="H158" s="11"/>
      <c r="I158" s="248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5" customHeight="1">
      <c r="B159" s="22" t="s">
        <v>386</v>
      </c>
      <c r="C159" s="11"/>
      <c r="D159" s="11"/>
      <c r="E159" s="11"/>
      <c r="F159" s="11"/>
      <c r="G159" s="11"/>
      <c r="H159" s="11"/>
      <c r="I159" s="248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5" customHeight="1">
      <c r="B160" s="22"/>
      <c r="C160" s="11"/>
      <c r="D160" s="11"/>
      <c r="E160" s="11"/>
      <c r="F160" s="11"/>
      <c r="G160" s="11"/>
      <c r="H160" s="11"/>
      <c r="I160" s="248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5" customHeight="1">
      <c r="A161" s="7">
        <f t="shared" ref="A161:H171" si="40">A14</f>
        <v>40100</v>
      </c>
      <c r="B161" s="8" t="str">
        <f t="shared" si="40"/>
        <v>Base Rent</v>
      </c>
      <c r="C161" s="9">
        <f t="shared" si="40"/>
        <v>94123.76</v>
      </c>
      <c r="D161" s="9">
        <f t="shared" si="40"/>
        <v>108468.41</v>
      </c>
      <c r="E161" s="9">
        <f t="shared" si="40"/>
        <v>108787.74</v>
      </c>
      <c r="F161" s="9">
        <f t="shared" si="40"/>
        <v>108975.6</v>
      </c>
      <c r="G161" s="9">
        <f t="shared" si="40"/>
        <v>104164.16</v>
      </c>
      <c r="H161" s="9">
        <f t="shared" si="40"/>
        <v>104308.97</v>
      </c>
      <c r="I161" s="175"/>
      <c r="J161" s="9">
        <f t="shared" ref="J161:P173" si="41">J14</f>
        <v>111738.97</v>
      </c>
      <c r="K161" s="9">
        <f t="shared" si="41"/>
        <v>112026.97</v>
      </c>
      <c r="L161" s="9">
        <f t="shared" si="41"/>
        <v>112419.814</v>
      </c>
      <c r="M161" s="9">
        <f t="shared" si="41"/>
        <v>112501.7</v>
      </c>
      <c r="N161" s="9">
        <f t="shared" si="41"/>
        <v>112501.7</v>
      </c>
      <c r="O161" s="9">
        <f t="shared" si="41"/>
        <v>112501.7</v>
      </c>
      <c r="P161" s="9">
        <f t="shared" si="41"/>
        <v>1931348.1339999998</v>
      </c>
      <c r="Q161" s="9"/>
      <c r="R161" s="9"/>
      <c r="S161" s="11">
        <v>1153832.8299999998</v>
      </c>
      <c r="T161" s="11"/>
    </row>
    <row r="162" spans="1:20" ht="15" customHeight="1">
      <c r="A162" s="7">
        <f t="shared" si="40"/>
        <v>40110</v>
      </c>
      <c r="B162" s="8" t="str">
        <f t="shared" si="40"/>
        <v>Percentage Rent</v>
      </c>
      <c r="C162" s="9">
        <f t="shared" si="40"/>
        <v>0</v>
      </c>
      <c r="D162" s="9">
        <f t="shared" si="40"/>
        <v>0</v>
      </c>
      <c r="E162" s="9">
        <f t="shared" si="40"/>
        <v>0</v>
      </c>
      <c r="F162" s="9">
        <f t="shared" si="40"/>
        <v>0</v>
      </c>
      <c r="G162" s="9">
        <f t="shared" si="40"/>
        <v>0</v>
      </c>
      <c r="H162" s="9">
        <f t="shared" si="40"/>
        <v>0</v>
      </c>
      <c r="I162" s="175"/>
      <c r="J162" s="9">
        <f t="shared" si="41"/>
        <v>0</v>
      </c>
      <c r="K162" s="9">
        <f t="shared" si="41"/>
        <v>0</v>
      </c>
      <c r="L162" s="9">
        <f t="shared" si="41"/>
        <v>0</v>
      </c>
      <c r="M162" s="9">
        <f t="shared" si="41"/>
        <v>0</v>
      </c>
      <c r="N162" s="9">
        <f t="shared" si="41"/>
        <v>0</v>
      </c>
      <c r="O162" s="9">
        <f t="shared" si="41"/>
        <v>0</v>
      </c>
      <c r="P162" s="9">
        <f t="shared" si="41"/>
        <v>0</v>
      </c>
      <c r="Q162" s="9"/>
      <c r="R162" s="9"/>
      <c r="S162" s="11">
        <v>0</v>
      </c>
      <c r="T162" s="11"/>
    </row>
    <row r="163" spans="1:20" ht="15" customHeight="1">
      <c r="A163" s="7">
        <f t="shared" si="40"/>
        <v>40140</v>
      </c>
      <c r="B163" s="8" t="str">
        <f t="shared" si="40"/>
        <v>Common Area Collections (CAMS)</v>
      </c>
      <c r="C163" s="9">
        <f t="shared" si="40"/>
        <v>19554.044667881801</v>
      </c>
      <c r="D163" s="9">
        <f t="shared" si="40"/>
        <v>21312.564667881801</v>
      </c>
      <c r="E163" s="9">
        <f t="shared" si="40"/>
        <v>21312.564630259309</v>
      </c>
      <c r="F163" s="9">
        <f t="shared" si="40"/>
        <v>20810.244630259302</v>
      </c>
      <c r="G163" s="9">
        <f t="shared" si="40"/>
        <v>20810.244630259302</v>
      </c>
      <c r="H163" s="9">
        <f t="shared" si="40"/>
        <v>20810.244630259302</v>
      </c>
      <c r="I163" s="175"/>
      <c r="J163" s="9">
        <f t="shared" si="41"/>
        <v>21312.564630259309</v>
      </c>
      <c r="K163" s="9">
        <f t="shared" si="41"/>
        <v>21312.564630259309</v>
      </c>
      <c r="L163" s="9">
        <f t="shared" si="41"/>
        <v>21312.564630259309</v>
      </c>
      <c r="M163" s="9">
        <f t="shared" si="41"/>
        <v>21312.564630259309</v>
      </c>
      <c r="N163" s="9">
        <f t="shared" si="41"/>
        <v>21312.564630259309</v>
      </c>
      <c r="O163" s="9">
        <f t="shared" si="41"/>
        <v>21312.564630259309</v>
      </c>
      <c r="P163" s="9">
        <f t="shared" si="41"/>
        <v>377095.20349515742</v>
      </c>
      <c r="Q163" s="9"/>
      <c r="R163" s="9"/>
      <c r="S163" s="11">
        <v>201796.83631687763</v>
      </c>
      <c r="T163" s="11"/>
    </row>
    <row r="164" spans="1:20" ht="15" customHeight="1">
      <c r="A164" s="7">
        <f t="shared" si="40"/>
        <v>40150</v>
      </c>
      <c r="B164" s="8" t="str">
        <f t="shared" si="40"/>
        <v>Prior Year CAMS</v>
      </c>
      <c r="C164" s="9">
        <f t="shared" si="40"/>
        <v>0</v>
      </c>
      <c r="D164" s="9">
        <f t="shared" si="40"/>
        <v>0</v>
      </c>
      <c r="E164" s="9">
        <f t="shared" si="40"/>
        <v>0</v>
      </c>
      <c r="F164" s="9">
        <f t="shared" si="40"/>
        <v>0</v>
      </c>
      <c r="G164" s="9">
        <f t="shared" si="40"/>
        <v>0</v>
      </c>
      <c r="H164" s="9">
        <f t="shared" si="40"/>
        <v>0</v>
      </c>
      <c r="I164" s="175"/>
      <c r="J164" s="9">
        <f t="shared" si="41"/>
        <v>0</v>
      </c>
      <c r="K164" s="9">
        <f t="shared" si="41"/>
        <v>0</v>
      </c>
      <c r="L164" s="9">
        <f t="shared" si="41"/>
        <v>0</v>
      </c>
      <c r="M164" s="9">
        <f t="shared" si="41"/>
        <v>0</v>
      </c>
      <c r="N164" s="9">
        <f t="shared" si="41"/>
        <v>0</v>
      </c>
      <c r="O164" s="9">
        <f t="shared" si="41"/>
        <v>0</v>
      </c>
      <c r="P164" s="9">
        <f t="shared" si="41"/>
        <v>0</v>
      </c>
      <c r="Q164" s="9"/>
      <c r="R164" s="9"/>
      <c r="S164" s="11">
        <v>0</v>
      </c>
      <c r="T164" s="11"/>
    </row>
    <row r="165" spans="1:20" ht="15" customHeight="1">
      <c r="A165" s="7">
        <f t="shared" si="40"/>
        <v>40170</v>
      </c>
      <c r="B165" s="8" t="str">
        <f t="shared" si="40"/>
        <v>Other Recoveries</v>
      </c>
      <c r="C165" s="9">
        <f t="shared" si="40"/>
        <v>6839.1464806676904</v>
      </c>
      <c r="D165" s="9">
        <f t="shared" si="40"/>
        <v>6873.1864806676904</v>
      </c>
      <c r="E165" s="9">
        <f t="shared" si="40"/>
        <v>6873.1849118646796</v>
      </c>
      <c r="F165" s="9">
        <f t="shared" si="40"/>
        <v>6511.5449118646793</v>
      </c>
      <c r="G165" s="9">
        <f t="shared" si="40"/>
        <v>6511.5449118646793</v>
      </c>
      <c r="H165" s="9">
        <f t="shared" si="40"/>
        <v>6511.5449118646793</v>
      </c>
      <c r="I165" s="175"/>
      <c r="J165" s="9">
        <f t="shared" si="41"/>
        <v>6873.1849118646842</v>
      </c>
      <c r="K165" s="9">
        <f t="shared" si="41"/>
        <v>6873.1849118646842</v>
      </c>
      <c r="L165" s="9">
        <f t="shared" si="41"/>
        <v>6873.1849118646842</v>
      </c>
      <c r="M165" s="9">
        <f t="shared" si="41"/>
        <v>6873.1849118646842</v>
      </c>
      <c r="N165" s="9">
        <f t="shared" si="41"/>
        <v>6873.1849118646842</v>
      </c>
      <c r="O165" s="9">
        <f t="shared" si="41"/>
        <v>6873.1849118646842</v>
      </c>
      <c r="P165" s="9">
        <f t="shared" si="41"/>
        <v>121479.41468877628</v>
      </c>
      <c r="Q165" s="9"/>
      <c r="R165" s="9"/>
      <c r="S165" s="11">
        <v>63881.775764073958</v>
      </c>
      <c r="T165" s="11"/>
    </row>
    <row r="166" spans="1:20" ht="15" customHeight="1">
      <c r="A166" s="7">
        <f t="shared" si="40"/>
        <v>40190</v>
      </c>
      <c r="B166" s="8" t="str">
        <f t="shared" si="40"/>
        <v>Reserve</v>
      </c>
      <c r="C166" s="9">
        <f t="shared" si="40"/>
        <v>0</v>
      </c>
      <c r="D166" s="9">
        <f t="shared" si="40"/>
        <v>0</v>
      </c>
      <c r="E166" s="9">
        <f t="shared" si="40"/>
        <v>0</v>
      </c>
      <c r="F166" s="9">
        <f t="shared" si="40"/>
        <v>0</v>
      </c>
      <c r="G166" s="9">
        <f t="shared" si="40"/>
        <v>0</v>
      </c>
      <c r="H166" s="9">
        <f t="shared" si="40"/>
        <v>0</v>
      </c>
      <c r="I166" s="175"/>
      <c r="J166" s="9">
        <f t="shared" si="41"/>
        <v>0</v>
      </c>
      <c r="K166" s="9">
        <f t="shared" si="41"/>
        <v>0</v>
      </c>
      <c r="L166" s="9">
        <f t="shared" si="41"/>
        <v>0</v>
      </c>
      <c r="M166" s="9">
        <f t="shared" si="41"/>
        <v>0</v>
      </c>
      <c r="N166" s="9">
        <f t="shared" si="41"/>
        <v>0</v>
      </c>
      <c r="O166" s="9">
        <f t="shared" si="41"/>
        <v>0</v>
      </c>
      <c r="P166" s="9">
        <f t="shared" si="41"/>
        <v>0</v>
      </c>
      <c r="Q166" s="9"/>
      <c r="R166" s="9"/>
      <c r="S166" s="11">
        <v>0</v>
      </c>
      <c r="T166" s="11"/>
    </row>
    <row r="167" spans="1:20" ht="15" customHeight="1">
      <c r="A167" s="7">
        <f t="shared" si="40"/>
        <v>40230</v>
      </c>
      <c r="B167" s="8" t="str">
        <f t="shared" si="40"/>
        <v>Insurance Income</v>
      </c>
      <c r="C167" s="9">
        <f t="shared" si="40"/>
        <v>2892.5060883753199</v>
      </c>
      <c r="D167" s="9">
        <f t="shared" si="40"/>
        <v>3086.61608837532</v>
      </c>
      <c r="E167" s="9">
        <f t="shared" si="40"/>
        <v>3086.611133168718</v>
      </c>
      <c r="F167" s="9">
        <f t="shared" si="40"/>
        <v>2889.4011331687198</v>
      </c>
      <c r="G167" s="9">
        <f t="shared" si="40"/>
        <v>2889.4011331687198</v>
      </c>
      <c r="H167" s="9">
        <f t="shared" si="40"/>
        <v>2889.4011331687198</v>
      </c>
      <c r="I167" s="175"/>
      <c r="J167" s="9">
        <f t="shared" si="41"/>
        <v>3086.611133168718</v>
      </c>
      <c r="K167" s="9">
        <f t="shared" si="41"/>
        <v>3086.611133168718</v>
      </c>
      <c r="L167" s="9">
        <f t="shared" si="41"/>
        <v>3086.611133168718</v>
      </c>
      <c r="M167" s="9">
        <f t="shared" si="41"/>
        <v>3086.611133168718</v>
      </c>
      <c r="N167" s="9">
        <f t="shared" si="41"/>
        <v>3086.611133168718</v>
      </c>
      <c r="O167" s="9">
        <f t="shared" si="41"/>
        <v>3086.611133168718</v>
      </c>
      <c r="P167" s="9">
        <f t="shared" si="41"/>
        <v>53987.540217863352</v>
      </c>
      <c r="Q167" s="9"/>
      <c r="R167" s="9"/>
      <c r="S167" s="11">
        <v>28052.695793490064</v>
      </c>
      <c r="T167" s="11"/>
    </row>
    <row r="168" spans="1:20" ht="15" customHeight="1">
      <c r="A168" s="7">
        <f t="shared" si="40"/>
        <v>40240</v>
      </c>
      <c r="B168" s="8" t="str">
        <f t="shared" si="40"/>
        <v>Property Tax Income</v>
      </c>
      <c r="C168" s="9">
        <f t="shared" si="40"/>
        <v>18143.332717224999</v>
      </c>
      <c r="D168" s="9">
        <f t="shared" si="40"/>
        <v>18143.332717224999</v>
      </c>
      <c r="E168" s="9">
        <f t="shared" si="40"/>
        <v>18143.336999999996</v>
      </c>
      <c r="F168" s="9">
        <f t="shared" si="40"/>
        <v>16967.927</v>
      </c>
      <c r="G168" s="9">
        <f t="shared" si="40"/>
        <v>16967.927</v>
      </c>
      <c r="H168" s="9">
        <f t="shared" si="40"/>
        <v>16967.927</v>
      </c>
      <c r="I168" s="175"/>
      <c r="J168" s="9">
        <f t="shared" si="41"/>
        <v>18143.336999999996</v>
      </c>
      <c r="K168" s="9">
        <f t="shared" si="41"/>
        <v>18143.336999999996</v>
      </c>
      <c r="L168" s="9">
        <f t="shared" si="41"/>
        <v>18143.336999999996</v>
      </c>
      <c r="M168" s="9">
        <f t="shared" si="41"/>
        <v>18143.336999999996</v>
      </c>
      <c r="N168" s="9">
        <f t="shared" si="41"/>
        <v>18143.336999999996</v>
      </c>
      <c r="O168" s="9">
        <f t="shared" si="41"/>
        <v>18143.336999999996</v>
      </c>
      <c r="P168" s="9">
        <f t="shared" si="41"/>
        <v>319527.58886889997</v>
      </c>
      <c r="Q168" s="9"/>
      <c r="R168" s="9"/>
      <c r="S168" s="11">
        <v>196282.94780757054</v>
      </c>
      <c r="T168" s="11"/>
    </row>
    <row r="169" spans="1:20" ht="15" customHeight="1">
      <c r="A169" s="7">
        <f t="shared" si="40"/>
        <v>40250</v>
      </c>
      <c r="B169" s="8" t="str">
        <f t="shared" si="40"/>
        <v>Miscellaneous Income</v>
      </c>
      <c r="C169" s="9">
        <f t="shared" si="40"/>
        <v>0</v>
      </c>
      <c r="D169" s="9">
        <f t="shared" si="40"/>
        <v>0</v>
      </c>
      <c r="E169" s="9">
        <f t="shared" si="40"/>
        <v>0</v>
      </c>
      <c r="F169" s="9">
        <f t="shared" si="40"/>
        <v>0</v>
      </c>
      <c r="G169" s="9">
        <f t="shared" si="40"/>
        <v>0</v>
      </c>
      <c r="H169" s="9">
        <f t="shared" si="40"/>
        <v>0</v>
      </c>
      <c r="I169" s="175"/>
      <c r="J169" s="9">
        <f t="shared" si="41"/>
        <v>0</v>
      </c>
      <c r="K169" s="9">
        <f t="shared" si="41"/>
        <v>0</v>
      </c>
      <c r="L169" s="9">
        <f t="shared" si="41"/>
        <v>0</v>
      </c>
      <c r="M169" s="9">
        <f t="shared" si="41"/>
        <v>0</v>
      </c>
      <c r="N169" s="9">
        <f t="shared" si="41"/>
        <v>0</v>
      </c>
      <c r="O169" s="9">
        <f t="shared" si="41"/>
        <v>0</v>
      </c>
      <c r="P169" s="9">
        <f t="shared" si="41"/>
        <v>0</v>
      </c>
      <c r="Q169" s="9"/>
      <c r="R169" s="9"/>
      <c r="S169" s="11">
        <v>0</v>
      </c>
      <c r="T169" s="11"/>
    </row>
    <row r="170" spans="1:20" ht="15" customHeight="1">
      <c r="A170" s="7">
        <f t="shared" si="40"/>
        <v>40330</v>
      </c>
      <c r="B170" s="8" t="str">
        <f t="shared" si="40"/>
        <v>Assignment Fee</v>
      </c>
      <c r="C170" s="9">
        <f t="shared" si="40"/>
        <v>0</v>
      </c>
      <c r="D170" s="9">
        <f t="shared" si="40"/>
        <v>0</v>
      </c>
      <c r="E170" s="9">
        <f t="shared" si="40"/>
        <v>0</v>
      </c>
      <c r="F170" s="9">
        <f t="shared" si="40"/>
        <v>0</v>
      </c>
      <c r="G170" s="9">
        <f t="shared" si="40"/>
        <v>0</v>
      </c>
      <c r="H170" s="9">
        <f t="shared" si="40"/>
        <v>0</v>
      </c>
      <c r="I170" s="175"/>
      <c r="J170" s="9">
        <f t="shared" si="41"/>
        <v>0</v>
      </c>
      <c r="K170" s="9">
        <f t="shared" si="41"/>
        <v>0</v>
      </c>
      <c r="L170" s="9">
        <f t="shared" si="41"/>
        <v>0</v>
      </c>
      <c r="M170" s="9">
        <f t="shared" si="41"/>
        <v>0</v>
      </c>
      <c r="N170" s="9">
        <f t="shared" si="41"/>
        <v>0</v>
      </c>
      <c r="O170" s="9">
        <f t="shared" si="41"/>
        <v>0</v>
      </c>
      <c r="P170" s="9">
        <f t="shared" si="41"/>
        <v>0</v>
      </c>
      <c r="Q170" s="9"/>
      <c r="R170" s="9"/>
      <c r="S170" s="11">
        <v>0</v>
      </c>
      <c r="T170" s="11"/>
    </row>
    <row r="171" spans="1:20" ht="15" customHeight="1">
      <c r="A171" s="7">
        <f t="shared" si="40"/>
        <v>40600</v>
      </c>
      <c r="B171" s="8" t="str">
        <f t="shared" si="40"/>
        <v>Late Charge Income</v>
      </c>
      <c r="C171" s="9">
        <f t="shared" si="40"/>
        <v>0</v>
      </c>
      <c r="D171" s="9">
        <f t="shared" si="40"/>
        <v>0</v>
      </c>
      <c r="E171" s="9">
        <f t="shared" si="40"/>
        <v>0</v>
      </c>
      <c r="F171" s="9">
        <f t="shared" si="40"/>
        <v>0</v>
      </c>
      <c r="G171" s="9">
        <f t="shared" si="40"/>
        <v>0</v>
      </c>
      <c r="H171" s="9">
        <f t="shared" si="40"/>
        <v>0</v>
      </c>
      <c r="I171" s="175"/>
      <c r="J171" s="9">
        <f t="shared" si="41"/>
        <v>0</v>
      </c>
      <c r="K171" s="9">
        <f t="shared" si="41"/>
        <v>0</v>
      </c>
      <c r="L171" s="9">
        <f t="shared" si="41"/>
        <v>0</v>
      </c>
      <c r="M171" s="9">
        <f t="shared" si="41"/>
        <v>0</v>
      </c>
      <c r="N171" s="9">
        <f t="shared" si="41"/>
        <v>0</v>
      </c>
      <c r="O171" s="9">
        <f t="shared" si="41"/>
        <v>0</v>
      </c>
      <c r="P171" s="9">
        <f t="shared" si="41"/>
        <v>0</v>
      </c>
      <c r="Q171" s="9"/>
      <c r="R171" s="9"/>
      <c r="S171" s="11">
        <v>0</v>
      </c>
      <c r="T171" s="11"/>
    </row>
    <row r="172" spans="1:20" ht="15" customHeight="1">
      <c r="A172" s="7">
        <v>40300</v>
      </c>
      <c r="B172" s="8" t="str">
        <f t="shared" ref="B172:H173" si="42">B25</f>
        <v>Rent Concessions</v>
      </c>
      <c r="C172" s="9">
        <f t="shared" si="42"/>
        <v>-2000</v>
      </c>
      <c r="D172" s="9">
        <f t="shared" si="42"/>
        <v>0</v>
      </c>
      <c r="E172" s="9">
        <f t="shared" si="42"/>
        <v>0</v>
      </c>
      <c r="F172" s="9">
        <f t="shared" si="42"/>
        <v>0</v>
      </c>
      <c r="G172" s="9">
        <f t="shared" si="42"/>
        <v>0</v>
      </c>
      <c r="H172" s="9">
        <f t="shared" si="42"/>
        <v>0</v>
      </c>
      <c r="I172" s="175"/>
      <c r="J172" s="9">
        <f t="shared" si="41"/>
        <v>0</v>
      </c>
      <c r="K172" s="9">
        <f t="shared" si="41"/>
        <v>0</v>
      </c>
      <c r="L172" s="9">
        <f t="shared" si="41"/>
        <v>0</v>
      </c>
      <c r="M172" s="9">
        <f t="shared" si="41"/>
        <v>0</v>
      </c>
      <c r="N172" s="9">
        <f t="shared" si="41"/>
        <v>0</v>
      </c>
      <c r="O172" s="9">
        <f t="shared" si="41"/>
        <v>0</v>
      </c>
      <c r="P172" s="9">
        <f t="shared" si="41"/>
        <v>-4000</v>
      </c>
      <c r="Q172" s="9"/>
      <c r="R172" s="9"/>
      <c r="S172" s="11">
        <v>-2500</v>
      </c>
      <c r="T172" s="11"/>
    </row>
    <row r="173" spans="1:20" ht="15" customHeight="1">
      <c r="A173" s="7">
        <f>A26</f>
        <v>40400</v>
      </c>
      <c r="B173" s="8" t="str">
        <f t="shared" si="42"/>
        <v>Management Fee Income</v>
      </c>
      <c r="C173" s="9">
        <f t="shared" si="42"/>
        <v>4085.13665102711</v>
      </c>
      <c r="D173" s="9">
        <f t="shared" si="42"/>
        <v>4354.0166510271101</v>
      </c>
      <c r="E173" s="9">
        <f t="shared" si="42"/>
        <v>4354.0133091985463</v>
      </c>
      <c r="F173" s="9">
        <f t="shared" si="42"/>
        <v>4018.5233091985501</v>
      </c>
      <c r="G173" s="9">
        <f t="shared" si="42"/>
        <v>4018.5233091985501</v>
      </c>
      <c r="H173" s="9">
        <f t="shared" si="42"/>
        <v>4018.5233091985501</v>
      </c>
      <c r="I173" s="175"/>
      <c r="J173" s="9">
        <f t="shared" si="41"/>
        <v>4354.0133091985463</v>
      </c>
      <c r="K173" s="9">
        <f t="shared" si="41"/>
        <v>4354.0133091985463</v>
      </c>
      <c r="L173" s="9">
        <f t="shared" si="41"/>
        <v>4354.0133091985463</v>
      </c>
      <c r="M173" s="9">
        <f t="shared" si="41"/>
        <v>4354.0133091985463</v>
      </c>
      <c r="N173" s="9">
        <f t="shared" si="41"/>
        <v>4354.0133091985463</v>
      </c>
      <c r="O173" s="9">
        <f t="shared" si="41"/>
        <v>4354.0133091985463</v>
      </c>
      <c r="P173" s="9">
        <f t="shared" si="41"/>
        <v>75821.552932888124</v>
      </c>
      <c r="Q173" s="9"/>
      <c r="R173" s="9"/>
      <c r="S173" s="11">
        <v>46922.682920612046</v>
      </c>
      <c r="T173" s="11"/>
    </row>
    <row r="174" spans="1:20" ht="13.15" customHeight="1">
      <c r="A174" s="7"/>
      <c r="B174" s="8"/>
      <c r="C174" s="9"/>
      <c r="D174" s="9"/>
      <c r="E174" s="9"/>
      <c r="F174" s="9"/>
      <c r="G174" s="9"/>
      <c r="H174" s="9"/>
      <c r="I174" s="175"/>
      <c r="J174" s="9"/>
      <c r="K174" s="9"/>
      <c r="L174" s="9"/>
      <c r="M174" s="9"/>
      <c r="N174" s="9"/>
      <c r="O174" s="9"/>
      <c r="P174" s="9"/>
      <c r="Q174" s="9"/>
      <c r="R174" s="9"/>
      <c r="S174" s="11"/>
      <c r="T174" s="11"/>
    </row>
    <row r="175" spans="1:20" ht="13.15" customHeight="1">
      <c r="B175" s="26" t="str">
        <f>B28</f>
        <v>TOTAL INCOME</v>
      </c>
      <c r="C175" s="27">
        <f t="shared" ref="C175:O175" si="43">SUM(C161:C173)</f>
        <v>143637.92660517691</v>
      </c>
      <c r="D175" s="12">
        <f t="shared" si="43"/>
        <v>162238.12660517692</v>
      </c>
      <c r="E175" s="12">
        <f t="shared" si="43"/>
        <v>162557.45098449127</v>
      </c>
      <c r="F175" s="12">
        <f t="shared" si="43"/>
        <v>160173.24098449128</v>
      </c>
      <c r="G175" s="12">
        <f t="shared" si="43"/>
        <v>155361.80098449127</v>
      </c>
      <c r="H175" s="12">
        <f t="shared" si="43"/>
        <v>155506.61098449127</v>
      </c>
      <c r="I175" s="249"/>
      <c r="J175" s="12">
        <f t="shared" si="43"/>
        <v>165508.68098449128</v>
      </c>
      <c r="K175" s="12">
        <f t="shared" si="43"/>
        <v>165796.68098449128</v>
      </c>
      <c r="L175" s="12">
        <f t="shared" si="43"/>
        <v>166189.52498449126</v>
      </c>
      <c r="M175" s="12">
        <f t="shared" si="43"/>
        <v>166271.41098449126</v>
      </c>
      <c r="N175" s="12">
        <f t="shared" si="43"/>
        <v>166271.41098449126</v>
      </c>
      <c r="O175" s="12">
        <f t="shared" si="43"/>
        <v>166271.41098449126</v>
      </c>
      <c r="P175" s="13">
        <f>SUM(P161:P173)</f>
        <v>2875259.4342035856</v>
      </c>
      <c r="Q175" s="12"/>
      <c r="R175" s="12"/>
      <c r="S175" s="28">
        <v>1688269.7686026241</v>
      </c>
      <c r="T175" s="232"/>
    </row>
    <row r="176" spans="1:20">
      <c r="C176" s="11"/>
      <c r="D176" s="11"/>
      <c r="E176" s="11"/>
      <c r="F176" s="11"/>
      <c r="G176" s="11"/>
      <c r="H176" s="11"/>
      <c r="I176" s="248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64">
      <c r="C177" s="11"/>
      <c r="D177" s="11"/>
      <c r="E177" s="11"/>
      <c r="F177" s="11"/>
      <c r="G177" s="11"/>
      <c r="H177" s="11"/>
      <c r="I177" s="248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64" ht="13.15" customHeight="1">
      <c r="BI178" s="2" t="s">
        <v>14</v>
      </c>
      <c r="BJ178" s="2" t="s">
        <v>14</v>
      </c>
    </row>
    <row r="179" spans="1:64" ht="13.15" customHeight="1">
      <c r="A179" s="22" t="s">
        <v>387</v>
      </c>
      <c r="C179" s="143">
        <v>2013</v>
      </c>
      <c r="D179" s="144"/>
      <c r="E179" s="144"/>
      <c r="F179" s="144"/>
      <c r="G179" s="145"/>
      <c r="H179" s="144"/>
      <c r="I179" s="144"/>
      <c r="J179" s="146"/>
      <c r="K179" s="22"/>
      <c r="BI179" s="2" t="s">
        <v>14</v>
      </c>
      <c r="BJ179" s="2" t="s">
        <v>14</v>
      </c>
    </row>
    <row r="180" spans="1:64" ht="13.15" customHeight="1">
      <c r="A180" s="610" t="s">
        <v>388</v>
      </c>
      <c r="B180" s="611"/>
      <c r="C180" s="29" t="s">
        <v>389</v>
      </c>
      <c r="D180" s="30" t="s">
        <v>390</v>
      </c>
      <c r="E180" s="29" t="s">
        <v>391</v>
      </c>
      <c r="F180" s="31" t="s">
        <v>392</v>
      </c>
      <c r="G180" s="147" t="s">
        <v>393</v>
      </c>
      <c r="H180" s="31" t="s">
        <v>394</v>
      </c>
      <c r="I180" s="31"/>
      <c r="J180" s="31" t="s">
        <v>395</v>
      </c>
      <c r="K180" s="4"/>
      <c r="BK180" s="2" t="s">
        <v>14</v>
      </c>
      <c r="BL180" s="2" t="s">
        <v>14</v>
      </c>
    </row>
    <row r="181" spans="1:64" ht="13.15" customHeight="1">
      <c r="A181" s="32" t="s">
        <v>396</v>
      </c>
      <c r="B181" s="33"/>
      <c r="C181" s="34">
        <f>CAM!Q15/CAM!C15</f>
        <v>18.861900037801664</v>
      </c>
      <c r="D181" s="35">
        <f>'RE Tax'!Q15/'RE Tax'!C15</f>
        <v>3.7342238238865599</v>
      </c>
      <c r="E181" s="34">
        <f>Ins.!R15/Ins.!C15</f>
        <v>4.6872455698045075</v>
      </c>
      <c r="F181" s="36">
        <f>'Building Exp.'!Q15/'Building Exp.'!C15</f>
        <v>2.8832569492876345</v>
      </c>
      <c r="G181" s="148"/>
      <c r="H181" s="37" t="e">
        <f>#REF!/#REF!</f>
        <v>#REF!</v>
      </c>
      <c r="I181" s="250"/>
      <c r="J181" s="36" t="e">
        <f>SUM(C181:H181)</f>
        <v>#REF!</v>
      </c>
      <c r="K181" s="35"/>
      <c r="L181" s="1" t="s">
        <v>14</v>
      </c>
      <c r="BK181" s="2" t="s">
        <v>14</v>
      </c>
      <c r="BL181" s="2" t="s">
        <v>14</v>
      </c>
    </row>
    <row r="182" spans="1:64" ht="13.15" customHeight="1">
      <c r="A182" s="32" t="s">
        <v>397</v>
      </c>
      <c r="B182" s="33"/>
      <c r="C182" s="34">
        <f>+CAM!Q24/CAM!C24</f>
        <v>18.861900037801654</v>
      </c>
      <c r="D182" s="35">
        <f>+'RE Tax'!Q24/'RE Tax'!C24</f>
        <v>3.7342238238865608</v>
      </c>
      <c r="E182" s="34">
        <f>+Ins.!R24/Ins.!C24</f>
        <v>4.6872455698045083</v>
      </c>
      <c r="F182" s="34">
        <f>+'Building Exp.'!Q24/'Building Exp.'!C24</f>
        <v>2.8833067649696114</v>
      </c>
      <c r="G182" s="244"/>
      <c r="H182" s="37" t="e">
        <f>+#REF!/#REF!</f>
        <v>#REF!</v>
      </c>
      <c r="I182" s="250"/>
      <c r="J182" s="36" t="e">
        <f>SUM(C182:H182)</f>
        <v>#REF!</v>
      </c>
      <c r="K182" s="35"/>
      <c r="BK182" s="2"/>
      <c r="BL182" s="2"/>
    </row>
    <row r="183" spans="1:64" ht="13.15" customHeight="1">
      <c r="A183" s="38" t="s">
        <v>398</v>
      </c>
      <c r="B183" s="39"/>
      <c r="C183" s="40">
        <f>CAM!Q28/CAM!C28</f>
        <v>0</v>
      </c>
      <c r="D183" s="41" t="s">
        <v>399</v>
      </c>
      <c r="E183" s="40">
        <f>Ins.!R28/Ins.!C28</f>
        <v>0</v>
      </c>
      <c r="F183" s="42">
        <v>0</v>
      </c>
      <c r="G183" s="149"/>
      <c r="H183" s="43" t="e">
        <f>#REF!/#REF!</f>
        <v>#REF!</v>
      </c>
      <c r="I183" s="251"/>
      <c r="J183" s="40" t="e">
        <f>SUM(C183:H183)</f>
        <v>#REF!</v>
      </c>
      <c r="K183" s="35"/>
      <c r="BK183" s="2" t="s">
        <v>14</v>
      </c>
      <c r="BL183" s="2" t="s">
        <v>14</v>
      </c>
    </row>
    <row r="184" spans="1:64" ht="13.15" customHeight="1">
      <c r="BI184" s="2" t="s">
        <v>14</v>
      </c>
      <c r="BJ184" s="2" t="s">
        <v>14</v>
      </c>
    </row>
    <row r="194" spans="68:68" ht="13.15" customHeight="1">
      <c r="BP194" s="3" t="s">
        <v>14</v>
      </c>
    </row>
    <row r="195" spans="68:68" ht="13.15" customHeight="1">
      <c r="BP195" s="3" t="s">
        <v>14</v>
      </c>
    </row>
  </sheetData>
  <mergeCells count="7">
    <mergeCell ref="A180:B180"/>
    <mergeCell ref="A2:P2"/>
    <mergeCell ref="A3:P3"/>
    <mergeCell ref="A4:P4"/>
    <mergeCell ref="A5:P5"/>
    <mergeCell ref="A6:P6"/>
    <mergeCell ref="P8:P10"/>
  </mergeCells>
  <printOptions horizontalCentered="1"/>
  <pageMargins left="0.5" right="0.5" top="0.5" bottom="0.75" header="0.5" footer="0.5"/>
  <pageSetup scale="54" fitToHeight="3" orientation="landscape" useFirstPageNumber="1" horizontalDpi="4294967292" r:id="rId1"/>
  <headerFooter alignWithMargins="0">
    <oddFooter>Page &amp;P</oddFooter>
  </headerFooter>
  <rowBreaks count="2" manualBreakCount="2">
    <brk id="78" max="18" man="1"/>
    <brk id="134" max="18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891D-F6B6-4E57-9C16-356E83E27F4A}">
  <dimension ref="B3:K42"/>
  <sheetViews>
    <sheetView topLeftCell="A3" workbookViewId="0">
      <selection activeCell="E37" sqref="E37"/>
    </sheetView>
  </sheetViews>
  <sheetFormatPr defaultColWidth="8.7265625" defaultRowHeight="12.5"/>
  <cols>
    <col min="2" max="2" width="35.7265625" customWidth="1"/>
    <col min="3" max="3" width="17.26953125" customWidth="1"/>
    <col min="5" max="5" width="13.54296875" customWidth="1"/>
    <col min="6" max="6" width="22.7265625" customWidth="1"/>
    <col min="7" max="7" width="16.54296875" customWidth="1"/>
    <col min="11" max="11" width="44.7265625" customWidth="1"/>
  </cols>
  <sheetData>
    <row r="3" spans="2:11">
      <c r="B3" s="621" t="s">
        <v>400</v>
      </c>
      <c r="C3" s="622"/>
      <c r="D3" s="622"/>
      <c r="E3" s="622"/>
      <c r="F3" s="622"/>
      <c r="G3" s="622"/>
      <c r="H3" s="622"/>
      <c r="I3" s="622"/>
      <c r="J3" s="622"/>
      <c r="K3" s="623"/>
    </row>
    <row r="4" spans="2:11">
      <c r="B4" s="624"/>
      <c r="C4" s="625"/>
      <c r="D4" s="625"/>
      <c r="E4" s="625"/>
      <c r="F4" s="625"/>
      <c r="G4" s="625"/>
      <c r="H4" s="625"/>
      <c r="I4" s="625"/>
      <c r="J4" s="625"/>
      <c r="K4" s="626"/>
    </row>
    <row r="5" spans="2:11" ht="14.5">
      <c r="B5" s="412" t="s">
        <v>147</v>
      </c>
      <c r="C5" s="413" t="s">
        <v>401</v>
      </c>
      <c r="D5" s="627" t="s">
        <v>402</v>
      </c>
      <c r="E5" s="627"/>
      <c r="F5" s="414" t="s">
        <v>403</v>
      </c>
      <c r="G5" s="413" t="s">
        <v>404</v>
      </c>
      <c r="H5" s="413" t="s">
        <v>405</v>
      </c>
      <c r="I5" s="413"/>
      <c r="J5" s="413"/>
      <c r="K5" s="415" t="s">
        <v>149</v>
      </c>
    </row>
    <row r="6" spans="2:11" ht="14.5">
      <c r="B6" s="32" t="s">
        <v>406</v>
      </c>
      <c r="C6" s="7"/>
      <c r="D6" s="618">
        <v>85000</v>
      </c>
      <c r="E6" s="618"/>
      <c r="F6" s="416">
        <f>D6/3</f>
        <v>28333.333333333332</v>
      </c>
      <c r="G6" s="7">
        <v>0</v>
      </c>
      <c r="H6" s="7">
        <v>2025</v>
      </c>
      <c r="I6" s="7"/>
      <c r="J6" s="7"/>
      <c r="K6" s="33" t="s">
        <v>407</v>
      </c>
    </row>
    <row r="7" spans="2:11" ht="14.5">
      <c r="B7" s="32" t="s">
        <v>408</v>
      </c>
      <c r="C7" s="7"/>
      <c r="D7" s="618"/>
      <c r="E7" s="618"/>
      <c r="F7" s="416"/>
      <c r="G7" s="7"/>
      <c r="H7" s="7"/>
      <c r="I7" s="7"/>
      <c r="J7" s="7"/>
      <c r="K7" s="33"/>
    </row>
    <row r="8" spans="2:11" ht="14.5">
      <c r="B8" s="32" t="s">
        <v>409</v>
      </c>
      <c r="C8" s="7"/>
      <c r="D8" s="620"/>
      <c r="E8" s="620"/>
      <c r="F8" s="416"/>
      <c r="G8" s="7"/>
      <c r="H8" s="7"/>
      <c r="I8" s="7"/>
      <c r="J8" s="7"/>
      <c r="K8" s="33"/>
    </row>
    <row r="9" spans="2:11" ht="14.5">
      <c r="B9" s="32"/>
      <c r="C9" s="7"/>
      <c r="D9" s="620"/>
      <c r="E9" s="620"/>
      <c r="F9" s="416"/>
      <c r="G9" s="7"/>
      <c r="H9" s="7"/>
      <c r="I9" s="7"/>
      <c r="J9" s="7"/>
      <c r="K9" s="33"/>
    </row>
    <row r="10" spans="2:11" ht="14.5">
      <c r="B10" s="32"/>
      <c r="C10" s="7"/>
      <c r="D10" s="620"/>
      <c r="E10" s="620"/>
      <c r="F10" s="416"/>
      <c r="G10" s="7"/>
      <c r="H10" s="7"/>
      <c r="I10" s="7"/>
      <c r="J10" s="7"/>
      <c r="K10" s="33"/>
    </row>
    <row r="11" spans="2:11" ht="14.5">
      <c r="B11" s="38"/>
      <c r="C11" s="417"/>
      <c r="D11" s="628"/>
      <c r="E11" s="628"/>
      <c r="F11" s="418"/>
      <c r="G11" s="417"/>
      <c r="H11" s="417"/>
      <c r="I11" s="417"/>
      <c r="J11" s="417"/>
      <c r="K11" s="39"/>
    </row>
    <row r="12" spans="2:11" ht="14.5">
      <c r="B12" s="1"/>
      <c r="C12" s="7"/>
      <c r="D12" s="7"/>
      <c r="E12" s="411"/>
      <c r="F12" s="411"/>
      <c r="G12" s="7"/>
      <c r="H12" s="7"/>
      <c r="I12" s="7"/>
      <c r="J12" s="7"/>
      <c r="K12" s="1"/>
    </row>
    <row r="13" spans="2:11">
      <c r="B13" s="621" t="s">
        <v>410</v>
      </c>
      <c r="C13" s="622"/>
      <c r="D13" s="622"/>
      <c r="E13" s="622"/>
      <c r="F13" s="622"/>
      <c r="G13" s="622"/>
      <c r="H13" s="622"/>
      <c r="I13" s="622"/>
      <c r="J13" s="622"/>
      <c r="K13" s="623"/>
    </row>
    <row r="14" spans="2:11">
      <c r="B14" s="624"/>
      <c r="C14" s="625"/>
      <c r="D14" s="625"/>
      <c r="E14" s="625"/>
      <c r="F14" s="625"/>
      <c r="G14" s="625"/>
      <c r="H14" s="625"/>
      <c r="I14" s="625"/>
      <c r="J14" s="625"/>
      <c r="K14" s="626"/>
    </row>
    <row r="15" spans="2:11" ht="15.5">
      <c r="B15" s="419"/>
      <c r="C15" s="420" t="s">
        <v>411</v>
      </c>
      <c r="D15" s="420" t="s">
        <v>411</v>
      </c>
      <c r="E15" s="420" t="s">
        <v>412</v>
      </c>
      <c r="F15" s="420" t="s">
        <v>413</v>
      </c>
      <c r="G15" s="420" t="s">
        <v>414</v>
      </c>
      <c r="H15" s="420" t="s">
        <v>414</v>
      </c>
      <c r="I15" s="420" t="s">
        <v>414</v>
      </c>
      <c r="J15" s="420" t="s">
        <v>414</v>
      </c>
      <c r="K15" s="421"/>
    </row>
    <row r="16" spans="2:11" ht="14.5">
      <c r="B16" s="412" t="s">
        <v>147</v>
      </c>
      <c r="C16" s="413">
        <v>2023</v>
      </c>
      <c r="D16" s="413">
        <v>2024</v>
      </c>
      <c r="E16" s="413">
        <v>2025</v>
      </c>
      <c r="F16" s="413">
        <v>2026</v>
      </c>
      <c r="G16" s="413">
        <v>2027</v>
      </c>
      <c r="H16" s="413">
        <v>2028</v>
      </c>
      <c r="I16" s="413">
        <v>2029</v>
      </c>
      <c r="J16" s="413">
        <v>2030</v>
      </c>
      <c r="K16" s="415" t="s">
        <v>149</v>
      </c>
    </row>
    <row r="17" spans="2:11" ht="14.5">
      <c r="B17" s="32" t="s">
        <v>415</v>
      </c>
      <c r="C17" s="422"/>
      <c r="D17" s="411"/>
      <c r="E17" s="423">
        <v>0</v>
      </c>
      <c r="F17" s="423">
        <v>28000</v>
      </c>
      <c r="G17" s="422"/>
      <c r="H17" s="422"/>
      <c r="I17" s="422"/>
      <c r="J17" s="422"/>
      <c r="K17" s="424" t="s">
        <v>416</v>
      </c>
    </row>
    <row r="18" spans="2:11" ht="14.5">
      <c r="B18" s="32" t="s">
        <v>417</v>
      </c>
      <c r="C18" s="411"/>
      <c r="D18" s="411"/>
      <c r="E18" s="416"/>
      <c r="F18" s="416"/>
      <c r="G18" s="411"/>
      <c r="H18" s="411"/>
      <c r="I18" s="411"/>
      <c r="J18" s="411"/>
      <c r="K18" s="33"/>
    </row>
    <row r="19" spans="2:11" ht="14.5">
      <c r="B19" s="32" t="s">
        <v>418</v>
      </c>
      <c r="C19" s="422"/>
      <c r="D19" s="422"/>
      <c r="E19" s="423"/>
      <c r="F19" s="423"/>
      <c r="G19" s="422"/>
      <c r="H19" s="422"/>
      <c r="I19" s="422"/>
      <c r="J19" s="422"/>
      <c r="K19" s="424"/>
    </row>
    <row r="20" spans="2:11" ht="14.5">
      <c r="B20" s="32" t="s">
        <v>408</v>
      </c>
      <c r="C20" s="411"/>
      <c r="D20" s="411"/>
      <c r="E20" s="416"/>
      <c r="F20" s="416"/>
      <c r="G20" s="411"/>
      <c r="H20" s="411"/>
      <c r="I20" s="411"/>
      <c r="J20" s="411"/>
      <c r="K20" s="33"/>
    </row>
    <row r="21" spans="2:11" ht="14.5">
      <c r="B21" s="32" t="s">
        <v>419</v>
      </c>
      <c r="C21" s="411"/>
      <c r="D21" s="411"/>
      <c r="E21" s="416"/>
      <c r="F21" s="416"/>
      <c r="G21" s="411"/>
      <c r="H21" s="411"/>
      <c r="I21" s="411"/>
      <c r="J21" s="411"/>
      <c r="K21" s="33"/>
    </row>
    <row r="22" spans="2:11" ht="14.5">
      <c r="B22" s="32" t="s">
        <v>420</v>
      </c>
      <c r="C22" s="411"/>
      <c r="D22" s="411"/>
      <c r="E22" s="416"/>
      <c r="F22" s="416"/>
      <c r="G22" s="411"/>
      <c r="H22" s="411"/>
      <c r="I22" s="411"/>
      <c r="J22" s="411"/>
      <c r="K22" s="33"/>
    </row>
    <row r="23" spans="2:11" ht="14.5">
      <c r="B23" s="32" t="s">
        <v>421</v>
      </c>
      <c r="C23" s="411"/>
      <c r="D23" s="411"/>
      <c r="E23" s="416"/>
      <c r="F23" s="416"/>
      <c r="G23" s="411"/>
      <c r="H23" s="411"/>
      <c r="I23" s="411"/>
      <c r="J23" s="411"/>
      <c r="K23" s="33"/>
    </row>
    <row r="24" spans="2:11" ht="14.5">
      <c r="B24" s="32"/>
      <c r="C24" s="411"/>
      <c r="D24" s="411"/>
      <c r="E24" s="416"/>
      <c r="F24" s="416"/>
      <c r="G24" s="411"/>
      <c r="H24" s="411"/>
      <c r="I24" s="411"/>
      <c r="J24" s="411"/>
      <c r="K24" s="33"/>
    </row>
    <row r="25" spans="2:11" ht="14.5">
      <c r="B25" s="32"/>
      <c r="C25" s="411"/>
      <c r="D25" s="411"/>
      <c r="E25" s="416"/>
      <c r="F25" s="416"/>
      <c r="G25" s="411"/>
      <c r="H25" s="411"/>
      <c r="I25" s="411"/>
      <c r="J25" s="411"/>
      <c r="K25" s="33"/>
    </row>
    <row r="26" spans="2:11" ht="14.5">
      <c r="B26" s="38"/>
      <c r="C26" s="418"/>
      <c r="D26" s="418"/>
      <c r="E26" s="418"/>
      <c r="F26" s="418"/>
      <c r="G26" s="418"/>
      <c r="H26" s="418"/>
      <c r="I26" s="418"/>
      <c r="J26" s="418"/>
      <c r="K26" s="39"/>
    </row>
    <row r="27" spans="2:11" ht="14.5">
      <c r="B27" s="1"/>
      <c r="C27" s="7"/>
      <c r="D27" s="7"/>
      <c r="E27" s="411"/>
      <c r="F27" s="411"/>
      <c r="G27" s="7"/>
      <c r="H27" s="7"/>
      <c r="I27" s="7"/>
      <c r="J27" s="7"/>
      <c r="K27" s="1"/>
    </row>
    <row r="28" spans="2:11">
      <c r="B28" s="621" t="s">
        <v>422</v>
      </c>
      <c r="C28" s="622"/>
      <c r="D28" s="622"/>
      <c r="E28" s="622"/>
      <c r="F28" s="622"/>
      <c r="G28" s="622"/>
      <c r="H28" s="622"/>
      <c r="I28" s="622"/>
      <c r="J28" s="622"/>
      <c r="K28" s="623"/>
    </row>
    <row r="29" spans="2:11">
      <c r="B29" s="624"/>
      <c r="C29" s="625"/>
      <c r="D29" s="625"/>
      <c r="E29" s="625"/>
      <c r="F29" s="625"/>
      <c r="G29" s="625"/>
      <c r="H29" s="625"/>
      <c r="I29" s="625"/>
      <c r="J29" s="625"/>
      <c r="K29" s="626"/>
    </row>
    <row r="30" spans="2:11" ht="14.5">
      <c r="B30" s="412" t="s">
        <v>147</v>
      </c>
      <c r="C30" s="413"/>
      <c r="D30" s="414" t="s">
        <v>423</v>
      </c>
      <c r="E30" s="414" t="s">
        <v>424</v>
      </c>
      <c r="F30" s="414"/>
      <c r="G30" s="425" t="s">
        <v>425</v>
      </c>
      <c r="H30" s="425"/>
      <c r="I30" s="629" t="s">
        <v>149</v>
      </c>
      <c r="J30" s="629"/>
      <c r="K30" s="630"/>
    </row>
    <row r="31" spans="2:11" ht="14.5">
      <c r="B31" s="616" t="s">
        <v>426</v>
      </c>
      <c r="C31" s="617"/>
      <c r="D31" s="7"/>
      <c r="E31" s="7">
        <v>2025</v>
      </c>
      <c r="F31" s="620" t="s">
        <v>427</v>
      </c>
      <c r="G31" s="620"/>
      <c r="H31" s="620"/>
      <c r="I31" s="617"/>
      <c r="J31" s="617"/>
      <c r="K31" s="619"/>
    </row>
    <row r="32" spans="2:11" ht="14.5">
      <c r="B32" s="616" t="s">
        <v>428</v>
      </c>
      <c r="C32" s="617"/>
      <c r="D32" s="7"/>
      <c r="E32" s="7">
        <v>2025</v>
      </c>
      <c r="F32" s="620"/>
      <c r="G32" s="620"/>
      <c r="H32" s="620"/>
      <c r="I32" s="617" t="s">
        <v>429</v>
      </c>
      <c r="J32" s="617"/>
      <c r="K32" s="619"/>
    </row>
    <row r="33" spans="2:11" ht="14.5">
      <c r="B33" s="616" t="s">
        <v>418</v>
      </c>
      <c r="C33" s="617"/>
      <c r="D33" s="7"/>
      <c r="E33" s="7"/>
      <c r="F33" s="620"/>
      <c r="G33" s="620"/>
      <c r="H33" s="620"/>
      <c r="I33" s="617"/>
      <c r="J33" s="617"/>
      <c r="K33" s="619"/>
    </row>
    <row r="34" spans="2:11" ht="14.5">
      <c r="B34" s="616" t="s">
        <v>408</v>
      </c>
      <c r="C34" s="617"/>
      <c r="D34" s="7"/>
      <c r="E34" s="7"/>
      <c r="F34" s="620"/>
      <c r="G34" s="620"/>
      <c r="H34" s="620"/>
      <c r="I34" s="617"/>
      <c r="J34" s="617"/>
      <c r="K34" s="619"/>
    </row>
    <row r="35" spans="2:11" ht="14.5">
      <c r="B35" s="616" t="s">
        <v>430</v>
      </c>
      <c r="C35" s="617"/>
      <c r="D35" s="7"/>
      <c r="E35" s="7"/>
      <c r="F35" s="620"/>
      <c r="G35" s="620"/>
      <c r="H35" s="620"/>
      <c r="I35" s="617"/>
      <c r="J35" s="617"/>
      <c r="K35" s="619"/>
    </row>
    <row r="36" spans="2:11" ht="14.5">
      <c r="B36" s="616" t="s">
        <v>431</v>
      </c>
      <c r="C36" s="617"/>
      <c r="D36" s="8"/>
      <c r="E36" s="7">
        <v>2024</v>
      </c>
      <c r="F36" s="620" t="s">
        <v>432</v>
      </c>
      <c r="G36" s="620"/>
      <c r="H36" s="620"/>
      <c r="I36" s="617" t="s">
        <v>433</v>
      </c>
      <c r="J36" s="617"/>
      <c r="K36" s="619"/>
    </row>
    <row r="37" spans="2:11" ht="14.5">
      <c r="B37" s="616"/>
      <c r="C37" s="617"/>
      <c r="D37" s="8"/>
      <c r="E37" s="416"/>
      <c r="F37" s="620"/>
      <c r="G37" s="620"/>
      <c r="H37" s="620"/>
      <c r="I37" s="617"/>
      <c r="J37" s="617"/>
      <c r="K37" s="619"/>
    </row>
    <row r="38" spans="2:11" ht="14.5">
      <c r="B38" s="616"/>
      <c r="C38" s="617"/>
      <c r="D38" s="8"/>
      <c r="E38" s="416"/>
      <c r="F38" s="618"/>
      <c r="G38" s="618"/>
      <c r="H38" s="618"/>
      <c r="I38" s="617"/>
      <c r="J38" s="617"/>
      <c r="K38" s="619"/>
    </row>
    <row r="39" spans="2:11" ht="14.5">
      <c r="B39" s="616"/>
      <c r="C39" s="617"/>
      <c r="D39" s="8"/>
      <c r="E39" s="416"/>
      <c r="F39" s="618"/>
      <c r="G39" s="618"/>
      <c r="H39" s="618"/>
      <c r="I39" s="617"/>
      <c r="J39" s="617"/>
      <c r="K39" s="619"/>
    </row>
    <row r="40" spans="2:11" ht="14.5">
      <c r="B40" s="616"/>
      <c r="C40" s="617"/>
      <c r="D40" s="8"/>
      <c r="E40" s="416"/>
      <c r="F40" s="618"/>
      <c r="G40" s="618"/>
      <c r="H40" s="618"/>
      <c r="I40" s="617"/>
      <c r="J40" s="617"/>
      <c r="K40" s="619"/>
    </row>
    <row r="41" spans="2:11" ht="14.5">
      <c r="B41" s="616"/>
      <c r="C41" s="617"/>
      <c r="D41" s="8"/>
      <c r="E41" s="416"/>
      <c r="F41" s="618"/>
      <c r="G41" s="618"/>
      <c r="H41" s="618"/>
      <c r="I41" s="617"/>
      <c r="J41" s="617"/>
      <c r="K41" s="619"/>
    </row>
    <row r="42" spans="2:11" ht="14.5">
      <c r="B42" s="612"/>
      <c r="C42" s="613"/>
      <c r="D42" s="426"/>
      <c r="E42" s="418"/>
      <c r="F42" s="614"/>
      <c r="G42" s="614"/>
      <c r="H42" s="614"/>
      <c r="I42" s="613"/>
      <c r="J42" s="613"/>
      <c r="K42" s="615"/>
    </row>
  </sheetData>
  <mergeCells count="47">
    <mergeCell ref="B31:C31"/>
    <mergeCell ref="F31:H31"/>
    <mergeCell ref="I31:K31"/>
    <mergeCell ref="B3:K4"/>
    <mergeCell ref="D5:E5"/>
    <mergeCell ref="D6:E6"/>
    <mergeCell ref="D7:E7"/>
    <mergeCell ref="D8:E8"/>
    <mergeCell ref="D9:E9"/>
    <mergeCell ref="D10:E10"/>
    <mergeCell ref="D11:E11"/>
    <mergeCell ref="B13:K14"/>
    <mergeCell ref="B28:K29"/>
    <mergeCell ref="I30:K30"/>
    <mergeCell ref="B32:C32"/>
    <mergeCell ref="F32:H32"/>
    <mergeCell ref="I32:K32"/>
    <mergeCell ref="B33:C33"/>
    <mergeCell ref="F33:H33"/>
    <mergeCell ref="I33:K33"/>
    <mergeCell ref="B34:C34"/>
    <mergeCell ref="F34:H34"/>
    <mergeCell ref="I34:K34"/>
    <mergeCell ref="B35:C35"/>
    <mergeCell ref="F35:H35"/>
    <mergeCell ref="I35:K35"/>
    <mergeCell ref="B36:C36"/>
    <mergeCell ref="F36:H36"/>
    <mergeCell ref="I36:K36"/>
    <mergeCell ref="B37:C37"/>
    <mergeCell ref="F37:H37"/>
    <mergeCell ref="I37:K37"/>
    <mergeCell ref="B38:C38"/>
    <mergeCell ref="F38:H38"/>
    <mergeCell ref="I38:K38"/>
    <mergeCell ref="B39:C39"/>
    <mergeCell ref="F39:H39"/>
    <mergeCell ref="I39:K39"/>
    <mergeCell ref="B42:C42"/>
    <mergeCell ref="F42:H42"/>
    <mergeCell ref="I42:K42"/>
    <mergeCell ref="B40:C40"/>
    <mergeCell ref="F40:H40"/>
    <mergeCell ref="I40:K40"/>
    <mergeCell ref="B41:C41"/>
    <mergeCell ref="F41:H41"/>
    <mergeCell ref="I41:K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54"/>
  <sheetViews>
    <sheetView topLeftCell="A6" zoomScale="70" zoomScaleNormal="70" workbookViewId="0">
      <selection activeCell="M30" sqref="M30"/>
    </sheetView>
  </sheetViews>
  <sheetFormatPr defaultColWidth="8.7265625" defaultRowHeight="13"/>
  <cols>
    <col min="1" max="1" width="55" style="45" bestFit="1" customWidth="1"/>
    <col min="2" max="3" width="10.7265625" style="52" customWidth="1"/>
    <col min="4" max="4" width="10" style="45" bestFit="1" customWidth="1"/>
    <col min="5" max="5" width="8.7265625" style="45" customWidth="1"/>
    <col min="6" max="6" width="10.7265625" style="101" bestFit="1" customWidth="1"/>
    <col min="7" max="7" width="9.7265625" style="45" customWidth="1"/>
    <col min="8" max="8" width="10.54296875" style="45" bestFit="1" customWidth="1"/>
    <col min="9" max="13" width="9.7265625" style="45" customWidth="1"/>
    <col min="14" max="14" width="10.54296875" style="45" bestFit="1" customWidth="1"/>
    <col min="15" max="15" width="9.7265625" style="45" customWidth="1"/>
    <col min="16" max="16" width="11.26953125" style="45" bestFit="1" customWidth="1"/>
    <col min="17" max="17" width="9.7265625" style="45" customWidth="1"/>
    <col min="18" max="18" width="12.7265625" style="45" bestFit="1" customWidth="1"/>
    <col min="19" max="19" width="90.54296875" style="45" bestFit="1" customWidth="1"/>
    <col min="20" max="16384" width="8.7265625" style="45"/>
  </cols>
  <sheetData>
    <row r="1" spans="1:20" ht="14.5">
      <c r="Q1" s="2" t="str">
        <f>Summ.!R1</f>
        <v>Date Revised:</v>
      </c>
      <c r="R1" s="3" t="e">
        <f>Summ.!#REF!</f>
        <v>#REF!</v>
      </c>
      <c r="T1" s="45">
        <f>Summ.!T1</f>
        <v>0</v>
      </c>
    </row>
    <row r="2" spans="1:20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</row>
    <row r="3" spans="1:20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</row>
    <row r="4" spans="1:20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</row>
    <row r="5" spans="1:20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</row>
    <row r="6" spans="1:20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</row>
    <row r="7" spans="1:20">
      <c r="I7" s="46"/>
    </row>
    <row r="8" spans="1:20">
      <c r="A8" s="200"/>
      <c r="B8" s="165"/>
      <c r="C8" s="165"/>
      <c r="D8" s="201"/>
      <c r="E8" s="200"/>
      <c r="F8" s="487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</row>
    <row r="9" spans="1:20">
      <c r="A9" s="166" t="s">
        <v>120</v>
      </c>
      <c r="B9" s="166" t="s">
        <v>434</v>
      </c>
      <c r="C9" s="166" t="s">
        <v>435</v>
      </c>
      <c r="D9" s="166" t="s">
        <v>348</v>
      </c>
      <c r="E9" s="166" t="s">
        <v>436</v>
      </c>
      <c r="F9" s="488" t="s">
        <v>1</v>
      </c>
      <c r="G9" s="166" t="s">
        <v>2</v>
      </c>
      <c r="H9" s="166" t="s">
        <v>3</v>
      </c>
      <c r="I9" s="166" t="s">
        <v>4</v>
      </c>
      <c r="J9" s="166" t="s">
        <v>5</v>
      </c>
      <c r="K9" s="166" t="s">
        <v>6</v>
      </c>
      <c r="L9" s="166" t="s">
        <v>7</v>
      </c>
      <c r="M9" s="166" t="s">
        <v>8</v>
      </c>
      <c r="N9" s="166" t="s">
        <v>123</v>
      </c>
      <c r="O9" s="166" t="s">
        <v>124</v>
      </c>
      <c r="P9" s="166" t="s">
        <v>125</v>
      </c>
      <c r="Q9" s="166" t="s">
        <v>126</v>
      </c>
      <c r="R9" s="166" t="s">
        <v>437</v>
      </c>
      <c r="S9" s="166" t="s">
        <v>149</v>
      </c>
    </row>
    <row r="10" spans="1:20">
      <c r="A10" s="202"/>
      <c r="B10" s="168" t="s">
        <v>438</v>
      </c>
      <c r="C10" s="168"/>
      <c r="D10" s="168" t="s">
        <v>439</v>
      </c>
      <c r="E10" s="202"/>
      <c r="F10" s="489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</row>
    <row r="11" spans="1:20">
      <c r="A11" s="47"/>
      <c r="D11" s="48"/>
      <c r="E11" s="49"/>
      <c r="F11" s="49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20">
      <c r="A12" s="51" t="s">
        <v>127</v>
      </c>
      <c r="D12" s="48"/>
      <c r="E12" s="49"/>
      <c r="F12" s="490"/>
      <c r="G12" s="50"/>
      <c r="H12" s="50"/>
      <c r="I12" s="50"/>
      <c r="J12" s="50"/>
      <c r="K12" s="50"/>
      <c r="L12" s="50"/>
      <c r="M12" s="50"/>
      <c r="N12" s="50" t="s">
        <v>14</v>
      </c>
      <c r="O12" s="50" t="s">
        <v>14</v>
      </c>
      <c r="P12" s="50" t="s">
        <v>14</v>
      </c>
      <c r="Q12" s="50"/>
      <c r="R12" s="50"/>
    </row>
    <row r="13" spans="1:20">
      <c r="D13" s="50"/>
      <c r="E13" s="49"/>
      <c r="F13" s="49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spans="1:20">
      <c r="A14" t="s">
        <v>106</v>
      </c>
      <c r="B14" s="231" t="s">
        <v>440</v>
      </c>
      <c r="C14" s="382">
        <v>48365</v>
      </c>
      <c r="D14" s="153">
        <v>3873</v>
      </c>
      <c r="E14" s="154">
        <f>Q14/D14*12</f>
        <v>48.965267234701784</v>
      </c>
      <c r="F14" s="497">
        <v>15803.54</v>
      </c>
      <c r="G14" s="153">
        <f>F14</f>
        <v>15803.54</v>
      </c>
      <c r="H14" s="153">
        <f t="shared" ref="H14:Q14" si="0">G14</f>
        <v>15803.54</v>
      </c>
      <c r="I14" s="153">
        <f t="shared" si="0"/>
        <v>15803.54</v>
      </c>
      <c r="J14" s="153">
        <f t="shared" si="0"/>
        <v>15803.54</v>
      </c>
      <c r="K14" s="153">
        <f>J14</f>
        <v>15803.54</v>
      </c>
      <c r="L14" s="153">
        <f t="shared" si="0"/>
        <v>15803.54</v>
      </c>
      <c r="M14" s="153">
        <f t="shared" si="0"/>
        <v>15803.54</v>
      </c>
      <c r="N14" s="153">
        <f t="shared" si="0"/>
        <v>15803.54</v>
      </c>
      <c r="O14" s="153">
        <f t="shared" si="0"/>
        <v>15803.54</v>
      </c>
      <c r="P14" s="153">
        <f t="shared" si="0"/>
        <v>15803.54</v>
      </c>
      <c r="Q14" s="153">
        <f t="shared" si="0"/>
        <v>15803.54</v>
      </c>
      <c r="R14" s="153">
        <f>SUM(F14:Q14)</f>
        <v>189642.48000000007</v>
      </c>
      <c r="S14" s="405" t="s">
        <v>441</v>
      </c>
    </row>
    <row r="15" spans="1:20">
      <c r="A15" t="s">
        <v>114</v>
      </c>
      <c r="B15" s="231" t="s">
        <v>442</v>
      </c>
      <c r="C15" s="382">
        <v>46752</v>
      </c>
      <c r="D15" s="153">
        <v>1074</v>
      </c>
      <c r="E15" s="154">
        <f t="shared" ref="E15:E30" si="1">Q15/D15*12</f>
        <v>37.799999999999997</v>
      </c>
      <c r="F15" s="498">
        <v>3383.1</v>
      </c>
      <c r="G15" s="153">
        <f>F15</f>
        <v>3383.1</v>
      </c>
      <c r="H15" s="153">
        <f t="shared" ref="H15" si="2">G15</f>
        <v>3383.1</v>
      </c>
      <c r="I15" s="153">
        <f t="shared" ref="I15" si="3">H15</f>
        <v>3383.1</v>
      </c>
      <c r="J15" s="153">
        <f t="shared" ref="J15" si="4">I15</f>
        <v>3383.1</v>
      </c>
      <c r="K15" s="153">
        <f t="shared" ref="K15" si="5">J15</f>
        <v>3383.1</v>
      </c>
      <c r="L15" s="153">
        <f t="shared" ref="L15" si="6">K15</f>
        <v>3383.1</v>
      </c>
      <c r="M15" s="153">
        <f t="shared" ref="M15" si="7">L15</f>
        <v>3383.1</v>
      </c>
      <c r="N15" s="153">
        <f t="shared" ref="N15" si="8">M15</f>
        <v>3383.1</v>
      </c>
      <c r="O15" s="153">
        <f t="shared" ref="O15" si="9">N15</f>
        <v>3383.1</v>
      </c>
      <c r="P15" s="153">
        <f t="shared" ref="P15" si="10">O15</f>
        <v>3383.1</v>
      </c>
      <c r="Q15" s="153">
        <f t="shared" ref="Q15" si="11">P15</f>
        <v>3383.1</v>
      </c>
      <c r="R15" s="153">
        <f t="shared" ref="R15:R30" si="12">SUM(F15:Q15)</f>
        <v>40597.19999999999</v>
      </c>
      <c r="S15" s="405" t="s">
        <v>443</v>
      </c>
    </row>
    <row r="16" spans="1:20">
      <c r="A16" t="s">
        <v>108</v>
      </c>
      <c r="B16" s="231" t="s">
        <v>444</v>
      </c>
      <c r="C16" s="382">
        <v>47208</v>
      </c>
      <c r="D16" s="153">
        <v>200</v>
      </c>
      <c r="E16" s="154">
        <f t="shared" si="1"/>
        <v>127.30800000000002</v>
      </c>
      <c r="F16" s="497">
        <v>2060</v>
      </c>
      <c r="G16" s="153">
        <f>F16</f>
        <v>2060</v>
      </c>
      <c r="H16" s="153">
        <f t="shared" ref="H16:K16" si="13">G16</f>
        <v>2060</v>
      </c>
      <c r="I16" s="261">
        <v>2121.8000000000002</v>
      </c>
      <c r="J16" s="153">
        <f t="shared" si="13"/>
        <v>2121.8000000000002</v>
      </c>
      <c r="K16" s="153">
        <f t="shared" si="13"/>
        <v>2121.8000000000002</v>
      </c>
      <c r="L16" s="153">
        <f t="shared" ref="L16:Q18" si="14">K16</f>
        <v>2121.8000000000002</v>
      </c>
      <c r="M16" s="153">
        <f t="shared" ref="M16:N18" si="15">L16</f>
        <v>2121.8000000000002</v>
      </c>
      <c r="N16" s="153">
        <f t="shared" si="15"/>
        <v>2121.8000000000002</v>
      </c>
      <c r="O16" s="153">
        <f t="shared" si="14"/>
        <v>2121.8000000000002</v>
      </c>
      <c r="P16" s="153">
        <f t="shared" si="14"/>
        <v>2121.8000000000002</v>
      </c>
      <c r="Q16" s="153">
        <f t="shared" si="14"/>
        <v>2121.8000000000002</v>
      </c>
      <c r="R16" s="153">
        <f t="shared" si="12"/>
        <v>25276.199999999993</v>
      </c>
      <c r="S16" s="405" t="s">
        <v>445</v>
      </c>
    </row>
    <row r="17" spans="1:19">
      <c r="A17" t="s">
        <v>103</v>
      </c>
      <c r="B17" s="231" t="s">
        <v>446</v>
      </c>
      <c r="C17" s="382">
        <v>47652</v>
      </c>
      <c r="D17" s="153">
        <v>518</v>
      </c>
      <c r="E17" s="154">
        <f t="shared" si="1"/>
        <v>58.616525096525102</v>
      </c>
      <c r="F17" s="497">
        <v>2527.84</v>
      </c>
      <c r="G17" s="153">
        <f>F17</f>
        <v>2527.84</v>
      </c>
      <c r="H17" s="153">
        <f t="shared" ref="H17:J18" si="16">G17</f>
        <v>2527.84</v>
      </c>
      <c r="I17" s="153">
        <f t="shared" si="16"/>
        <v>2527.84</v>
      </c>
      <c r="J17" s="153">
        <f t="shared" si="16"/>
        <v>2527.84</v>
      </c>
      <c r="K17" s="261">
        <v>2603.6799999999998</v>
      </c>
      <c r="L17" s="153">
        <v>2530.2800000000002</v>
      </c>
      <c r="M17" s="153">
        <f t="shared" si="15"/>
        <v>2530.2800000000002</v>
      </c>
      <c r="N17" s="153">
        <f t="shared" si="15"/>
        <v>2530.2800000000002</v>
      </c>
      <c r="O17" s="153">
        <f t="shared" si="14"/>
        <v>2530.2800000000002</v>
      </c>
      <c r="P17" s="153">
        <f t="shared" si="14"/>
        <v>2530.2800000000002</v>
      </c>
      <c r="Q17" s="153">
        <f t="shared" si="14"/>
        <v>2530.2800000000002</v>
      </c>
      <c r="R17" s="153">
        <f t="shared" si="12"/>
        <v>30424.559999999994</v>
      </c>
      <c r="S17" s="405" t="s">
        <v>447</v>
      </c>
    </row>
    <row r="18" spans="1:19" s="405" customFormat="1">
      <c r="A18" s="356" t="s">
        <v>99</v>
      </c>
      <c r="B18" s="427" t="s">
        <v>448</v>
      </c>
      <c r="C18" s="428">
        <v>47422</v>
      </c>
      <c r="D18" s="429">
        <v>525</v>
      </c>
      <c r="E18" s="430">
        <f t="shared" si="1"/>
        <v>63.653942857142852</v>
      </c>
      <c r="F18" s="491">
        <v>2703.75</v>
      </c>
      <c r="G18" s="429">
        <f>F18</f>
        <v>2703.75</v>
      </c>
      <c r="H18" s="429">
        <f t="shared" si="16"/>
        <v>2703.75</v>
      </c>
      <c r="I18" s="429">
        <f t="shared" si="16"/>
        <v>2703.75</v>
      </c>
      <c r="J18" s="429">
        <f t="shared" si="16"/>
        <v>2703.75</v>
      </c>
      <c r="K18" s="429">
        <f t="shared" ref="K18:L18" si="17">J18</f>
        <v>2703.75</v>
      </c>
      <c r="L18" s="429">
        <f t="shared" si="17"/>
        <v>2703.75</v>
      </c>
      <c r="M18" s="429">
        <f t="shared" si="15"/>
        <v>2703.75</v>
      </c>
      <c r="N18" s="429">
        <f t="shared" si="15"/>
        <v>2703.75</v>
      </c>
      <c r="O18" s="429">
        <f t="shared" si="14"/>
        <v>2703.75</v>
      </c>
      <c r="P18" s="431">
        <v>2784.86</v>
      </c>
      <c r="Q18" s="429">
        <f>P18</f>
        <v>2784.86</v>
      </c>
      <c r="R18" s="429">
        <f t="shared" si="12"/>
        <v>32607.22</v>
      </c>
      <c r="S18" s="405" t="s">
        <v>449</v>
      </c>
    </row>
    <row r="19" spans="1:19">
      <c r="A19" s="465" t="s">
        <v>101</v>
      </c>
      <c r="B19" s="231" t="s">
        <v>450</v>
      </c>
      <c r="C19" s="382">
        <v>46265</v>
      </c>
      <c r="D19" s="153">
        <v>994</v>
      </c>
      <c r="E19" s="154">
        <f t="shared" si="1"/>
        <v>46.2</v>
      </c>
      <c r="F19" s="497">
        <v>3826.9</v>
      </c>
      <c r="G19" s="153">
        <f t="shared" ref="G19:G23" si="18">F19</f>
        <v>3826.9</v>
      </c>
      <c r="H19" s="153">
        <f t="shared" ref="H19:K20" si="19">G19</f>
        <v>3826.9</v>
      </c>
      <c r="I19" s="153">
        <f t="shared" si="19"/>
        <v>3826.9</v>
      </c>
      <c r="J19" s="153">
        <f t="shared" si="19"/>
        <v>3826.9</v>
      </c>
      <c r="K19" s="153">
        <f t="shared" si="19"/>
        <v>3826.9</v>
      </c>
      <c r="L19" s="153">
        <f t="shared" ref="L19:L20" si="20">K19</f>
        <v>3826.9</v>
      </c>
      <c r="M19" s="153">
        <f t="shared" ref="M19:M20" si="21">L19</f>
        <v>3826.9</v>
      </c>
      <c r="N19" s="153">
        <f>M19</f>
        <v>3826.9</v>
      </c>
      <c r="O19" s="153">
        <f t="shared" ref="O19:Q20" si="22">N19</f>
        <v>3826.9</v>
      </c>
      <c r="P19" s="153">
        <f t="shared" si="22"/>
        <v>3826.9</v>
      </c>
      <c r="Q19" s="153">
        <f t="shared" si="22"/>
        <v>3826.9</v>
      </c>
      <c r="R19" s="153">
        <f t="shared" si="12"/>
        <v>45922.80000000001</v>
      </c>
      <c r="S19" s="474" t="s">
        <v>451</v>
      </c>
    </row>
    <row r="20" spans="1:19">
      <c r="A20" t="s">
        <v>111</v>
      </c>
      <c r="B20" s="231" t="s">
        <v>452</v>
      </c>
      <c r="C20" s="382">
        <v>46812</v>
      </c>
      <c r="D20" s="153">
        <v>1043</v>
      </c>
      <c r="E20" s="154">
        <f t="shared" si="1"/>
        <v>90.84</v>
      </c>
      <c r="F20" s="497">
        <v>7593</v>
      </c>
      <c r="G20" s="153">
        <f t="shared" si="18"/>
        <v>7593</v>
      </c>
      <c r="H20" s="432">
        <v>7895.51</v>
      </c>
      <c r="I20" s="153">
        <f t="shared" si="19"/>
        <v>7895.51</v>
      </c>
      <c r="J20" s="153">
        <f t="shared" si="19"/>
        <v>7895.51</v>
      </c>
      <c r="K20" s="153">
        <f t="shared" si="19"/>
        <v>7895.51</v>
      </c>
      <c r="L20" s="153">
        <f t="shared" si="20"/>
        <v>7895.51</v>
      </c>
      <c r="M20" s="153">
        <f t="shared" si="21"/>
        <v>7895.51</v>
      </c>
      <c r="N20" s="153">
        <f t="shared" ref="N20" si="23">M20</f>
        <v>7895.51</v>
      </c>
      <c r="O20" s="153">
        <f t="shared" si="22"/>
        <v>7895.51</v>
      </c>
      <c r="P20" s="153">
        <f t="shared" si="22"/>
        <v>7895.51</v>
      </c>
      <c r="Q20" s="153">
        <f t="shared" si="22"/>
        <v>7895.51</v>
      </c>
      <c r="R20" s="153">
        <f t="shared" si="12"/>
        <v>94141.099999999991</v>
      </c>
      <c r="S20" s="405" t="s">
        <v>453</v>
      </c>
    </row>
    <row r="21" spans="1:19">
      <c r="A21" t="s">
        <v>102</v>
      </c>
      <c r="B21" s="231" t="s">
        <v>454</v>
      </c>
      <c r="C21" s="382">
        <v>48029</v>
      </c>
      <c r="D21" s="153">
        <v>3526</v>
      </c>
      <c r="E21" s="154">
        <f t="shared" si="1"/>
        <v>41.733862733976174</v>
      </c>
      <c r="F21" s="497">
        <v>11905.63</v>
      </c>
      <c r="G21" s="153">
        <f t="shared" si="18"/>
        <v>11905.63</v>
      </c>
      <c r="H21" s="153">
        <f t="shared" ref="H21:K21" si="24">G21</f>
        <v>11905.63</v>
      </c>
      <c r="I21" s="153">
        <f t="shared" si="24"/>
        <v>11905.63</v>
      </c>
      <c r="J21" s="153">
        <f t="shared" si="24"/>
        <v>11905.63</v>
      </c>
      <c r="K21" s="153">
        <f t="shared" si="24"/>
        <v>11905.63</v>
      </c>
      <c r="L21" s="261">
        <v>12262.8</v>
      </c>
      <c r="M21" s="153">
        <f t="shared" ref="M21:Q21" si="25">L21</f>
        <v>12262.8</v>
      </c>
      <c r="N21" s="153">
        <f t="shared" si="25"/>
        <v>12262.8</v>
      </c>
      <c r="O21" s="153">
        <f t="shared" si="25"/>
        <v>12262.8</v>
      </c>
      <c r="P21" s="153">
        <f t="shared" si="25"/>
        <v>12262.8</v>
      </c>
      <c r="Q21" s="153">
        <f t="shared" si="25"/>
        <v>12262.8</v>
      </c>
      <c r="R21" s="153">
        <f t="shared" si="12"/>
        <v>145010.57999999999</v>
      </c>
      <c r="S21" s="405" t="s">
        <v>455</v>
      </c>
    </row>
    <row r="22" spans="1:19">
      <c r="A22" s="435" t="s">
        <v>105</v>
      </c>
      <c r="B22" s="436" t="s">
        <v>456</v>
      </c>
      <c r="C22" s="437">
        <v>48457</v>
      </c>
      <c r="D22" s="439">
        <v>10736</v>
      </c>
      <c r="E22" s="438">
        <f t="shared" si="1"/>
        <v>23.099999999999998</v>
      </c>
      <c r="F22" s="492">
        <v>25000</v>
      </c>
      <c r="G22" s="439">
        <f t="shared" si="18"/>
        <v>25000</v>
      </c>
      <c r="H22" s="439">
        <f t="shared" ref="H22:M22" si="26">G22</f>
        <v>25000</v>
      </c>
      <c r="I22" s="439">
        <f t="shared" si="26"/>
        <v>25000</v>
      </c>
      <c r="J22" s="439">
        <f t="shared" si="26"/>
        <v>25000</v>
      </c>
      <c r="K22" s="439">
        <f t="shared" si="26"/>
        <v>25000</v>
      </c>
      <c r="L22" s="439">
        <f>K22</f>
        <v>25000</v>
      </c>
      <c r="M22" s="439">
        <f t="shared" si="26"/>
        <v>25000</v>
      </c>
      <c r="N22" s="439">
        <v>20666.8</v>
      </c>
      <c r="O22" s="439">
        <f t="shared" ref="O22:Q22" si="27">N22</f>
        <v>20666.8</v>
      </c>
      <c r="P22" s="439">
        <f t="shared" si="27"/>
        <v>20666.8</v>
      </c>
      <c r="Q22" s="439">
        <f t="shared" si="27"/>
        <v>20666.8</v>
      </c>
      <c r="R22" s="439">
        <f t="shared" si="12"/>
        <v>282667.19999999995</v>
      </c>
      <c r="S22" s="440" t="s">
        <v>457</v>
      </c>
    </row>
    <row r="23" spans="1:19">
      <c r="A23" s="435" t="s">
        <v>98</v>
      </c>
      <c r="B23" s="436" t="s">
        <v>458</v>
      </c>
      <c r="C23" s="437">
        <v>47848</v>
      </c>
      <c r="D23" s="439">
        <f>3000+1000</f>
        <v>4000</v>
      </c>
      <c r="E23" s="438">
        <f t="shared" si="1"/>
        <v>72</v>
      </c>
      <c r="F23" s="499">
        <v>24000</v>
      </c>
      <c r="G23" s="439">
        <f t="shared" si="18"/>
        <v>24000</v>
      </c>
      <c r="H23" s="439">
        <f t="shared" ref="H23:Q24" si="28">G23</f>
        <v>24000</v>
      </c>
      <c r="I23" s="439">
        <f t="shared" si="28"/>
        <v>24000</v>
      </c>
      <c r="J23" s="439">
        <f t="shared" si="28"/>
        <v>24000</v>
      </c>
      <c r="K23" s="439">
        <f t="shared" si="28"/>
        <v>24000</v>
      </c>
      <c r="L23" s="439">
        <f t="shared" si="28"/>
        <v>24000</v>
      </c>
      <c r="M23" s="439">
        <f t="shared" si="28"/>
        <v>24000</v>
      </c>
      <c r="N23" s="439">
        <f t="shared" si="28"/>
        <v>24000</v>
      </c>
      <c r="O23" s="439">
        <f t="shared" si="28"/>
        <v>24000</v>
      </c>
      <c r="P23" s="439">
        <f t="shared" si="28"/>
        <v>24000</v>
      </c>
      <c r="Q23" s="439">
        <f t="shared" si="28"/>
        <v>24000</v>
      </c>
      <c r="R23" s="439">
        <f t="shared" si="12"/>
        <v>288000</v>
      </c>
      <c r="S23" s="440" t="s">
        <v>459</v>
      </c>
    </row>
    <row r="24" spans="1:19">
      <c r="A24" t="s">
        <v>104</v>
      </c>
      <c r="B24" s="231" t="s">
        <v>460</v>
      </c>
      <c r="C24" s="382">
        <v>46538</v>
      </c>
      <c r="D24" s="153">
        <v>500</v>
      </c>
      <c r="E24" s="154">
        <f t="shared" si="1"/>
        <v>67.530479999999997</v>
      </c>
      <c r="F24" s="497">
        <v>2731.82</v>
      </c>
      <c r="G24" s="153">
        <f>F24</f>
        <v>2731.82</v>
      </c>
      <c r="H24" s="153">
        <f t="shared" si="28"/>
        <v>2731.82</v>
      </c>
      <c r="I24" s="153">
        <f t="shared" si="28"/>
        <v>2731.82</v>
      </c>
      <c r="J24" s="153">
        <f>I24</f>
        <v>2731.82</v>
      </c>
      <c r="K24" s="261">
        <v>2813.77</v>
      </c>
      <c r="L24" s="153">
        <f t="shared" si="28"/>
        <v>2813.77</v>
      </c>
      <c r="M24" s="153">
        <f t="shared" si="28"/>
        <v>2813.77</v>
      </c>
      <c r="N24" s="153">
        <f t="shared" si="28"/>
        <v>2813.77</v>
      </c>
      <c r="O24" s="153">
        <f t="shared" si="28"/>
        <v>2813.77</v>
      </c>
      <c r="P24" s="153">
        <f t="shared" si="28"/>
        <v>2813.77</v>
      </c>
      <c r="Q24" s="153">
        <f t="shared" si="28"/>
        <v>2813.77</v>
      </c>
      <c r="R24" s="153">
        <f t="shared" si="12"/>
        <v>33355.49</v>
      </c>
      <c r="S24" s="405" t="s">
        <v>461</v>
      </c>
    </row>
    <row r="25" spans="1:19">
      <c r="A25" t="s">
        <v>112</v>
      </c>
      <c r="B25" s="231" t="s">
        <v>462</v>
      </c>
      <c r="C25" s="382">
        <v>52655</v>
      </c>
      <c r="D25" s="153">
        <v>2896</v>
      </c>
      <c r="E25" s="154">
        <f t="shared" si="1"/>
        <v>41.64</v>
      </c>
      <c r="F25" s="497">
        <v>10049.120000000001</v>
      </c>
      <c r="G25" s="153">
        <f t="shared" ref="G25:G30" si="29">F25</f>
        <v>10049.120000000001</v>
      </c>
      <c r="H25" s="433">
        <f>G25</f>
        <v>10049.120000000001</v>
      </c>
      <c r="I25" s="153">
        <f>H25</f>
        <v>10049.120000000001</v>
      </c>
      <c r="J25" s="153">
        <f t="shared" ref="J25:Q25" si="30">I25</f>
        <v>10049.120000000001</v>
      </c>
      <c r="K25" s="153">
        <f t="shared" si="30"/>
        <v>10049.120000000001</v>
      </c>
      <c r="L25" s="153">
        <f t="shared" si="30"/>
        <v>10049.120000000001</v>
      </c>
      <c r="M25" s="153">
        <f t="shared" si="30"/>
        <v>10049.120000000001</v>
      </c>
      <c r="N25" s="153">
        <f t="shared" si="30"/>
        <v>10049.120000000001</v>
      </c>
      <c r="O25" s="153">
        <f t="shared" si="30"/>
        <v>10049.120000000001</v>
      </c>
      <c r="P25" s="153">
        <f t="shared" si="30"/>
        <v>10049.120000000001</v>
      </c>
      <c r="Q25" s="153">
        <f t="shared" si="30"/>
        <v>10049.120000000001</v>
      </c>
      <c r="R25" s="153">
        <f t="shared" si="12"/>
        <v>120589.43999999999</v>
      </c>
      <c r="S25" s="405" t="s">
        <v>463</v>
      </c>
    </row>
    <row r="26" spans="1:19">
      <c r="A26" s="260" t="s">
        <v>107</v>
      </c>
      <c r="B26" s="231" t="s">
        <v>464</v>
      </c>
      <c r="C26" s="382">
        <v>56157</v>
      </c>
      <c r="D26" s="153">
        <v>8014</v>
      </c>
      <c r="E26" s="154">
        <f t="shared" si="1"/>
        <v>36.332882455702524</v>
      </c>
      <c r="F26" s="497">
        <v>23387.29</v>
      </c>
      <c r="G26" s="153">
        <f t="shared" si="29"/>
        <v>23387.29</v>
      </c>
      <c r="H26" s="153">
        <f t="shared" ref="H26:O27" si="31">G26</f>
        <v>23387.29</v>
      </c>
      <c r="I26" s="153">
        <f t="shared" si="31"/>
        <v>23387.29</v>
      </c>
      <c r="J26" s="153">
        <f t="shared" si="31"/>
        <v>23387.29</v>
      </c>
      <c r="K26" s="153">
        <f t="shared" si="31"/>
        <v>23387.29</v>
      </c>
      <c r="L26" s="153">
        <f t="shared" si="31"/>
        <v>23387.29</v>
      </c>
      <c r="M26" s="153">
        <f t="shared" si="31"/>
        <v>23387.29</v>
      </c>
      <c r="N26" s="153">
        <f t="shared" si="31"/>
        <v>23387.29</v>
      </c>
      <c r="O26" s="153">
        <f t="shared" si="31"/>
        <v>23387.29</v>
      </c>
      <c r="P26" s="261">
        <v>24264.31</v>
      </c>
      <c r="Q26" s="153">
        <f>P26</f>
        <v>24264.31</v>
      </c>
      <c r="R26" s="153">
        <f t="shared" si="12"/>
        <v>282401.52000000008</v>
      </c>
      <c r="S26" s="405" t="s">
        <v>465</v>
      </c>
    </row>
    <row r="27" spans="1:19" s="440" customFormat="1">
      <c r="A27" s="435" t="s">
        <v>113</v>
      </c>
      <c r="B27" s="436" t="s">
        <v>466</v>
      </c>
      <c r="C27" s="437"/>
      <c r="D27" s="439">
        <v>6500</v>
      </c>
      <c r="E27" s="438">
        <f t="shared" si="1"/>
        <v>24</v>
      </c>
      <c r="F27" s="492">
        <v>0</v>
      </c>
      <c r="G27" s="439">
        <f t="shared" si="29"/>
        <v>0</v>
      </c>
      <c r="H27" s="439">
        <f t="shared" si="31"/>
        <v>0</v>
      </c>
      <c r="I27" s="439">
        <f t="shared" si="31"/>
        <v>0</v>
      </c>
      <c r="J27" s="439">
        <f t="shared" si="31"/>
        <v>0</v>
      </c>
      <c r="K27" s="439">
        <f t="shared" si="31"/>
        <v>0</v>
      </c>
      <c r="L27" s="439">
        <v>13000</v>
      </c>
      <c r="M27" s="439">
        <f t="shared" si="31"/>
        <v>13000</v>
      </c>
      <c r="N27" s="439">
        <f t="shared" si="31"/>
        <v>13000</v>
      </c>
      <c r="O27" s="439">
        <f t="shared" si="31"/>
        <v>13000</v>
      </c>
      <c r="P27" s="439">
        <f t="shared" ref="P27:Q27" si="32">O27</f>
        <v>13000</v>
      </c>
      <c r="Q27" s="439">
        <f t="shared" si="32"/>
        <v>13000</v>
      </c>
      <c r="R27" s="439">
        <f t="shared" si="12"/>
        <v>78000</v>
      </c>
      <c r="S27" s="440" t="s">
        <v>467</v>
      </c>
    </row>
    <row r="28" spans="1:19">
      <c r="A28" t="s">
        <v>100</v>
      </c>
      <c r="B28" s="231" t="s">
        <v>468</v>
      </c>
      <c r="C28" s="382"/>
      <c r="D28" s="153">
        <v>1993</v>
      </c>
      <c r="E28" s="154">
        <f t="shared" si="1"/>
        <v>117.41093828399397</v>
      </c>
      <c r="F28" s="497"/>
      <c r="G28" s="153">
        <f t="shared" si="29"/>
        <v>0</v>
      </c>
      <c r="H28" s="153">
        <f t="shared" ref="H28:Q29" si="33">G28</f>
        <v>0</v>
      </c>
      <c r="I28" s="153">
        <f t="shared" si="33"/>
        <v>0</v>
      </c>
      <c r="J28" s="153">
        <f t="shared" si="33"/>
        <v>0</v>
      </c>
      <c r="K28" s="153">
        <f t="shared" si="33"/>
        <v>0</v>
      </c>
      <c r="L28" s="153"/>
      <c r="M28" s="153">
        <f t="shared" si="33"/>
        <v>0</v>
      </c>
      <c r="N28" s="153">
        <f t="shared" si="33"/>
        <v>0</v>
      </c>
      <c r="O28" s="153">
        <f t="shared" si="33"/>
        <v>0</v>
      </c>
      <c r="P28" s="432">
        <f>O28</f>
        <v>0</v>
      </c>
      <c r="Q28" s="153">
        <f>3*D27</f>
        <v>19500</v>
      </c>
      <c r="R28" s="153">
        <f t="shared" si="12"/>
        <v>19500</v>
      </c>
      <c r="S28" s="405" t="s">
        <v>469</v>
      </c>
    </row>
    <row r="29" spans="1:19">
      <c r="A29" s="435" t="s">
        <v>109</v>
      </c>
      <c r="B29" s="436" t="s">
        <v>470</v>
      </c>
      <c r="C29" s="437">
        <v>47208</v>
      </c>
      <c r="D29" s="439">
        <v>962</v>
      </c>
      <c r="E29" s="438">
        <f t="shared" si="1"/>
        <v>80.395010395010388</v>
      </c>
      <c r="F29" s="492">
        <v>6440.59</v>
      </c>
      <c r="G29" s="439">
        <f t="shared" si="29"/>
        <v>6440.59</v>
      </c>
      <c r="H29" s="439">
        <f t="shared" ref="H29" si="34">G29</f>
        <v>6440.59</v>
      </c>
      <c r="I29" s="501">
        <v>6445</v>
      </c>
      <c r="J29" s="439">
        <f t="shared" si="33"/>
        <v>6445</v>
      </c>
      <c r="K29" s="439">
        <f t="shared" si="33"/>
        <v>6445</v>
      </c>
      <c r="L29" s="439">
        <f t="shared" si="33"/>
        <v>6445</v>
      </c>
      <c r="M29" s="439">
        <f t="shared" si="33"/>
        <v>6445</v>
      </c>
      <c r="N29" s="439">
        <f t="shared" si="33"/>
        <v>6445</v>
      </c>
      <c r="O29" s="439">
        <f t="shared" si="33"/>
        <v>6445</v>
      </c>
      <c r="P29" s="439">
        <f t="shared" ref="P29" si="35">O29</f>
        <v>6445</v>
      </c>
      <c r="Q29" s="439">
        <f t="shared" si="33"/>
        <v>6445</v>
      </c>
      <c r="R29" s="439">
        <f t="shared" si="12"/>
        <v>77326.77</v>
      </c>
      <c r="S29" s="440" t="s">
        <v>471</v>
      </c>
    </row>
    <row r="30" spans="1:19">
      <c r="A30" t="s">
        <v>110</v>
      </c>
      <c r="B30" s="231" t="s">
        <v>472</v>
      </c>
      <c r="C30" s="382">
        <v>48457</v>
      </c>
      <c r="D30" s="153">
        <v>3704</v>
      </c>
      <c r="E30" s="154">
        <f t="shared" si="1"/>
        <v>24</v>
      </c>
      <c r="F30" s="497">
        <v>7408</v>
      </c>
      <c r="G30" s="153">
        <f t="shared" si="29"/>
        <v>7408</v>
      </c>
      <c r="H30" s="153">
        <f t="shared" ref="H30:K30" si="36">G30</f>
        <v>7408</v>
      </c>
      <c r="I30" s="153">
        <f t="shared" si="36"/>
        <v>7408</v>
      </c>
      <c r="J30" s="153">
        <f t="shared" si="36"/>
        <v>7408</v>
      </c>
      <c r="K30" s="153">
        <f t="shared" si="36"/>
        <v>7408</v>
      </c>
      <c r="L30" s="153">
        <f>K30</f>
        <v>7408</v>
      </c>
      <c r="M30" s="153">
        <f>L30</f>
        <v>7408</v>
      </c>
      <c r="N30" s="153">
        <f t="shared" ref="N30:Q30" si="37">M30</f>
        <v>7408</v>
      </c>
      <c r="O30" s="153">
        <f t="shared" si="37"/>
        <v>7408</v>
      </c>
      <c r="P30" s="153">
        <f t="shared" si="37"/>
        <v>7408</v>
      </c>
      <c r="Q30" s="153">
        <f t="shared" si="37"/>
        <v>7408</v>
      </c>
      <c r="R30" s="153">
        <f t="shared" si="12"/>
        <v>88896</v>
      </c>
      <c r="S30" s="405" t="s">
        <v>473</v>
      </c>
    </row>
    <row r="31" spans="1:19">
      <c r="D31" s="56"/>
      <c r="E31" s="54"/>
      <c r="F31" s="273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</row>
    <row r="32" spans="1:19">
      <c r="A32" s="289"/>
      <c r="B32" s="290"/>
      <c r="C32" s="290"/>
      <c r="D32" s="291"/>
      <c r="E32" s="291"/>
      <c r="F32" s="493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3"/>
    </row>
    <row r="33" spans="1:19">
      <c r="A33" s="204" t="s">
        <v>437</v>
      </c>
      <c r="B33" s="294"/>
      <c r="C33" s="294"/>
      <c r="D33" s="295">
        <f>SUM(D14:D32)</f>
        <v>51058</v>
      </c>
      <c r="E33" s="295"/>
      <c r="F33" s="500">
        <f t="shared" ref="F33:Q33" si="38">SUM(F14:F32)</f>
        <v>148820.58000000002</v>
      </c>
      <c r="G33" s="296">
        <f t="shared" si="38"/>
        <v>148820.58000000002</v>
      </c>
      <c r="H33" s="296">
        <f t="shared" si="38"/>
        <v>149123.09</v>
      </c>
      <c r="I33" s="296">
        <f t="shared" si="38"/>
        <v>149189.30000000002</v>
      </c>
      <c r="J33" s="296">
        <f t="shared" si="38"/>
        <v>149189.30000000002</v>
      </c>
      <c r="K33" s="296">
        <f t="shared" si="38"/>
        <v>149347.09</v>
      </c>
      <c r="L33" s="296">
        <f t="shared" si="38"/>
        <v>162630.85999999999</v>
      </c>
      <c r="M33" s="296">
        <f t="shared" si="38"/>
        <v>162630.85999999999</v>
      </c>
      <c r="N33" s="296">
        <f t="shared" si="38"/>
        <v>158297.66</v>
      </c>
      <c r="O33" s="296">
        <f t="shared" si="38"/>
        <v>158297.66</v>
      </c>
      <c r="P33" s="296">
        <f t="shared" si="38"/>
        <v>159255.79</v>
      </c>
      <c r="Q33" s="296">
        <f t="shared" si="38"/>
        <v>178755.79</v>
      </c>
      <c r="R33" s="297">
        <f>SUM(R14:R30)</f>
        <v>1874358.5599999998</v>
      </c>
    </row>
    <row r="34" spans="1:19">
      <c r="A34" s="298"/>
      <c r="B34" s="299"/>
      <c r="C34" s="299"/>
      <c r="D34" s="300"/>
      <c r="E34" s="301"/>
      <c r="F34" s="494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3"/>
    </row>
    <row r="35" spans="1:19">
      <c r="D35" s="155"/>
      <c r="E35" s="49"/>
      <c r="F35" s="49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9">
      <c r="D36" s="48"/>
      <c r="E36" s="49"/>
      <c r="F36" s="490"/>
      <c r="G36" s="64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9">
      <c r="A37" s="464" t="s">
        <v>474</v>
      </c>
      <c r="B37" s="52" t="s">
        <v>475</v>
      </c>
      <c r="D37" s="45">
        <v>2500</v>
      </c>
      <c r="E37" s="45">
        <v>2500</v>
      </c>
      <c r="F37" s="101">
        <v>2500</v>
      </c>
      <c r="G37" s="45">
        <v>2500</v>
      </c>
      <c r="H37" s="45">
        <v>2500</v>
      </c>
      <c r="I37" s="45">
        <v>2500</v>
      </c>
      <c r="J37" s="45">
        <v>2500</v>
      </c>
      <c r="K37" s="45">
        <v>2500</v>
      </c>
      <c r="L37" s="45">
        <v>2500</v>
      </c>
      <c r="M37" s="45">
        <v>2500</v>
      </c>
      <c r="N37" s="45">
        <v>2500</v>
      </c>
      <c r="O37" s="45">
        <v>2500</v>
      </c>
      <c r="P37" s="45">
        <v>2500</v>
      </c>
      <c r="Q37" s="45">
        <v>2500</v>
      </c>
      <c r="R37" s="45">
        <f>SUM(D37:Q37)</f>
        <v>35000</v>
      </c>
      <c r="S37" s="45" t="s">
        <v>476</v>
      </c>
    </row>
    <row r="38" spans="1:19">
      <c r="A38" s="464" t="s">
        <v>477</v>
      </c>
      <c r="F38" s="490"/>
      <c r="G38" s="64"/>
      <c r="H38" s="50"/>
    </row>
    <row r="39" spans="1:19">
      <c r="D39" s="47"/>
      <c r="E39" s="47"/>
      <c r="F39" s="495"/>
      <c r="G39" s="395"/>
    </row>
    <row r="40" spans="1:19">
      <c r="D40" s="47"/>
      <c r="E40" s="47"/>
      <c r="F40" s="495"/>
      <c r="G40" s="395"/>
    </row>
    <row r="41" spans="1:19">
      <c r="A41" s="45" t="s">
        <v>478</v>
      </c>
      <c r="B41" s="50">
        <f>D33</f>
        <v>51058</v>
      </c>
      <c r="D41" s="47"/>
      <c r="E41" s="47"/>
      <c r="F41" s="495"/>
      <c r="G41" s="395"/>
    </row>
    <row r="42" spans="1:19">
      <c r="A42" s="45" t="s">
        <v>479</v>
      </c>
      <c r="B42" s="50">
        <f>D33-D25-D26</f>
        <v>40148</v>
      </c>
      <c r="D42" s="47"/>
      <c r="E42" s="47"/>
      <c r="F42" s="495"/>
      <c r="G42" s="395"/>
    </row>
    <row r="43" spans="1:19">
      <c r="A43" s="45" t="s">
        <v>480</v>
      </c>
      <c r="B43" s="50">
        <f>'Food Court'!C33</f>
        <v>28021</v>
      </c>
      <c r="D43" s="47"/>
      <c r="E43" s="47"/>
      <c r="F43" s="495"/>
      <c r="G43" s="395"/>
    </row>
    <row r="44" spans="1:19">
      <c r="A44" s="45" t="s">
        <v>481</v>
      </c>
      <c r="B44" s="50">
        <f>D33-D27-D28</f>
        <v>42565</v>
      </c>
      <c r="D44" s="47"/>
      <c r="E44" s="47"/>
      <c r="F44" s="495"/>
      <c r="G44" s="395"/>
    </row>
    <row r="51" spans="4:7">
      <c r="D51" s="47" t="s">
        <v>482</v>
      </c>
      <c r="G51" s="65"/>
    </row>
    <row r="52" spans="4:7">
      <c r="F52" s="490"/>
      <c r="G52" s="64"/>
    </row>
    <row r="53" spans="4:7">
      <c r="D53" s="45">
        <f>21727.19/30</f>
        <v>724.23966666666661</v>
      </c>
      <c r="E53" s="45">
        <f>22541.96/30</f>
        <v>751.3986666666666</v>
      </c>
      <c r="G53" s="65"/>
    </row>
    <row r="54" spans="4:7">
      <c r="E54" s="394">
        <f>D53*5</f>
        <v>3621.1983333333328</v>
      </c>
      <c r="F54" s="496">
        <f>E53*25</f>
        <v>18784.966666666664</v>
      </c>
      <c r="G54" s="394">
        <f>E54+F54</f>
        <v>22406.164999999997</v>
      </c>
    </row>
  </sheetData>
  <mergeCells count="5">
    <mergeCell ref="A6:R6"/>
    <mergeCell ref="A2:R2"/>
    <mergeCell ref="A3:R3"/>
    <mergeCell ref="A4:R4"/>
    <mergeCell ref="A5:R5"/>
  </mergeCells>
  <phoneticPr fontId="0" type="noConversion"/>
  <printOptions horizontalCentered="1"/>
  <pageMargins left="0.38" right="0.25" top="0.5" bottom="0.75" header="0.5" footer="0.45"/>
  <pageSetup paperSize="3" scale="65" firstPageNumber="4" orientation="landscape" cellComments="asDisplayed" useFirstPageNumber="1" r:id="rId1"/>
  <headerFooter scaleWithDoc="0" alignWithMargins="0">
    <oddFooter>Page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4CBD-8953-4ACB-800D-495BDC43797B}">
  <sheetPr>
    <tabColor theme="7" tint="0.39997558519241921"/>
    <pageSetUpPr fitToPage="1"/>
  </sheetPr>
  <dimension ref="A1:P21"/>
  <sheetViews>
    <sheetView zoomScale="80" zoomScaleNormal="80" workbookViewId="0">
      <selection activeCell="P20" sqref="P20"/>
    </sheetView>
  </sheetViews>
  <sheetFormatPr defaultColWidth="8.7265625" defaultRowHeight="12.5"/>
  <cols>
    <col min="1" max="1" width="9.7265625" customWidth="1"/>
    <col min="2" max="2" width="30.26953125" customWidth="1"/>
    <col min="3" max="3" width="15.54296875" style="256" customWidth="1"/>
    <col min="4" max="15" width="14.7265625" style="256" customWidth="1"/>
  </cols>
  <sheetData>
    <row r="1" spans="1:16" s="374" customFormat="1" ht="15.5">
      <c r="A1" s="372" t="s">
        <v>483</v>
      </c>
      <c r="B1" s="372" t="s">
        <v>484</v>
      </c>
      <c r="C1" s="373" t="s">
        <v>150</v>
      </c>
      <c r="D1" s="373" t="s">
        <v>485</v>
      </c>
      <c r="E1" s="373" t="s">
        <v>486</v>
      </c>
      <c r="F1" s="373" t="s">
        <v>487</v>
      </c>
      <c r="G1" s="373" t="s">
        <v>488</v>
      </c>
      <c r="H1" s="373" t="s">
        <v>489</v>
      </c>
      <c r="I1" s="373" t="s">
        <v>490</v>
      </c>
      <c r="J1" s="373" t="s">
        <v>491</v>
      </c>
      <c r="K1" s="373" t="s">
        <v>492</v>
      </c>
      <c r="L1" s="373" t="s">
        <v>493</v>
      </c>
      <c r="M1" s="373" t="s">
        <v>494</v>
      </c>
      <c r="N1" s="373" t="s">
        <v>495</v>
      </c>
      <c r="O1" s="373" t="s">
        <v>496</v>
      </c>
    </row>
    <row r="2" spans="1:16" ht="15.5">
      <c r="A2" s="632" t="s">
        <v>497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</row>
    <row r="3" spans="1:16" s="375" customFormat="1" ht="15.5">
      <c r="B3" s="375" t="s">
        <v>498</v>
      </c>
      <c r="C3" s="376">
        <f>SUM(C4:C5)</f>
        <v>10800</v>
      </c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</row>
    <row r="4" spans="1:16">
      <c r="B4" t="s">
        <v>499</v>
      </c>
      <c r="C4" s="378">
        <f>SUM(D4:O4)</f>
        <v>0</v>
      </c>
    </row>
    <row r="5" spans="1:16">
      <c r="B5" t="s">
        <v>500</v>
      </c>
      <c r="C5" s="378">
        <f>SUM(D5:O5)</f>
        <v>10800</v>
      </c>
      <c r="D5" s="256">
        <v>900</v>
      </c>
      <c r="E5" s="256">
        <v>900</v>
      </c>
      <c r="F5" s="256">
        <v>900</v>
      </c>
      <c r="G5" s="256">
        <v>900</v>
      </c>
      <c r="H5" s="256">
        <v>900</v>
      </c>
      <c r="I5" s="256">
        <v>900</v>
      </c>
      <c r="J5" s="256">
        <v>900</v>
      </c>
      <c r="K5" s="256">
        <v>900</v>
      </c>
      <c r="L5" s="256">
        <v>900</v>
      </c>
      <c r="M5" s="256">
        <v>900</v>
      </c>
      <c r="N5" s="256">
        <v>900</v>
      </c>
      <c r="O5" s="256">
        <v>900</v>
      </c>
    </row>
    <row r="6" spans="1:16">
      <c r="C6" s="378"/>
    </row>
    <row r="7" spans="1:16" s="375" customFormat="1" ht="15.5">
      <c r="B7" s="375" t="s">
        <v>501</v>
      </c>
      <c r="C7" s="376">
        <f>SUM(C9:C10)</f>
        <v>30150</v>
      </c>
      <c r="D7" s="377"/>
      <c r="E7" s="377"/>
      <c r="F7" s="377"/>
      <c r="G7" s="377"/>
      <c r="H7" s="377"/>
      <c r="I7" s="377"/>
      <c r="J7" s="377"/>
      <c r="K7" s="377"/>
      <c r="L7" s="377"/>
      <c r="M7" s="377"/>
      <c r="N7" s="377"/>
      <c r="O7" s="377"/>
    </row>
    <row r="8" spans="1:16">
      <c r="B8" t="s">
        <v>502</v>
      </c>
      <c r="C8" s="378">
        <f>SUM(D8:O8)</f>
        <v>3200</v>
      </c>
      <c r="E8" s="256">
        <v>800</v>
      </c>
      <c r="H8" s="256">
        <v>800</v>
      </c>
      <c r="K8" s="256">
        <v>800</v>
      </c>
      <c r="N8" s="256">
        <v>800</v>
      </c>
      <c r="P8" t="s">
        <v>503</v>
      </c>
    </row>
    <row r="9" spans="1:16">
      <c r="B9" t="s">
        <v>500</v>
      </c>
      <c r="C9" s="378">
        <f>SUM(D9:O9)</f>
        <v>22500</v>
      </c>
      <c r="D9" s="256">
        <v>1875</v>
      </c>
      <c r="E9" s="256">
        <v>1875</v>
      </c>
      <c r="F9" s="256">
        <v>1875</v>
      </c>
      <c r="G9" s="256">
        <v>1875</v>
      </c>
      <c r="H9" s="256">
        <v>1875</v>
      </c>
      <c r="I9" s="256">
        <v>1875</v>
      </c>
      <c r="J9" s="256">
        <v>1875</v>
      </c>
      <c r="K9" s="256">
        <v>1875</v>
      </c>
      <c r="L9" s="256">
        <v>1875</v>
      </c>
      <c r="M9" s="256">
        <v>1875</v>
      </c>
      <c r="N9" s="256">
        <v>1875</v>
      </c>
      <c r="O9" s="256">
        <v>1875</v>
      </c>
    </row>
    <row r="10" spans="1:16">
      <c r="B10" t="s">
        <v>504</v>
      </c>
      <c r="C10" s="378">
        <f>SUM(D10:O10)</f>
        <v>7650</v>
      </c>
      <c r="D10" s="256">
        <v>350</v>
      </c>
      <c r="E10" s="256">
        <v>350</v>
      </c>
      <c r="F10" s="256">
        <v>350</v>
      </c>
      <c r="G10" s="256">
        <v>350</v>
      </c>
      <c r="H10" s="256">
        <v>350</v>
      </c>
      <c r="I10" s="256">
        <v>1500</v>
      </c>
      <c r="J10" s="256">
        <v>1500</v>
      </c>
      <c r="K10" s="256">
        <v>1500</v>
      </c>
      <c r="L10" s="256">
        <v>350</v>
      </c>
      <c r="M10" s="256">
        <v>350</v>
      </c>
      <c r="N10" s="256">
        <v>350</v>
      </c>
      <c r="O10" s="256">
        <v>350</v>
      </c>
    </row>
    <row r="11" spans="1:16">
      <c r="C11" s="378"/>
    </row>
    <row r="12" spans="1:16" s="375" customFormat="1" ht="15.5">
      <c r="B12" s="375" t="s">
        <v>505</v>
      </c>
      <c r="C12" s="376">
        <f>C13</f>
        <v>0</v>
      </c>
      <c r="D12" s="377"/>
      <c r="E12" s="377"/>
      <c r="F12" s="377"/>
      <c r="G12" s="377"/>
      <c r="H12" s="377"/>
      <c r="I12" s="377"/>
      <c r="J12" s="377"/>
      <c r="K12" s="377"/>
      <c r="L12" s="377"/>
      <c r="M12" s="377"/>
      <c r="N12" s="377"/>
      <c r="O12" s="377"/>
    </row>
    <row r="13" spans="1:16">
      <c r="B13" t="s">
        <v>506</v>
      </c>
      <c r="C13" s="378">
        <f>SUM(D13:O13)</f>
        <v>0</v>
      </c>
      <c r="G13" s="256">
        <v>0</v>
      </c>
      <c r="M13" s="256">
        <v>0</v>
      </c>
    </row>
    <row r="14" spans="1:16">
      <c r="C14" s="378"/>
    </row>
    <row r="15" spans="1:16" ht="13">
      <c r="B15" s="409" t="s">
        <v>507</v>
      </c>
      <c r="C15" s="410">
        <f>C16</f>
        <v>600</v>
      </c>
    </row>
    <row r="16" spans="1:16">
      <c r="B16" t="s">
        <v>508</v>
      </c>
      <c r="C16" s="378">
        <f>SUM(D16:O16)</f>
        <v>600</v>
      </c>
      <c r="I16" s="256">
        <v>200</v>
      </c>
      <c r="J16" s="256">
        <v>200</v>
      </c>
      <c r="K16" s="256">
        <v>200</v>
      </c>
      <c r="P16" t="s">
        <v>509</v>
      </c>
    </row>
    <row r="18" spans="2:16" ht="13">
      <c r="B18" s="409" t="s">
        <v>510</v>
      </c>
      <c r="C18" s="410">
        <f>C19</f>
        <v>5250</v>
      </c>
    </row>
    <row r="19" spans="2:16">
      <c r="B19" t="s">
        <v>511</v>
      </c>
      <c r="C19" s="378">
        <f>SUM(D19:O19)</f>
        <v>5250</v>
      </c>
      <c r="I19" s="256">
        <v>5250</v>
      </c>
      <c r="O19" s="256">
        <v>0</v>
      </c>
      <c r="P19" t="s">
        <v>512</v>
      </c>
    </row>
    <row r="20" spans="2:16">
      <c r="C20" s="378"/>
    </row>
    <row r="21" spans="2:16" s="375" customFormat="1" ht="16" thickBot="1">
      <c r="B21" s="379" t="s">
        <v>437</v>
      </c>
      <c r="C21" s="380">
        <f>C3+C7+C12+C15+C18</f>
        <v>46800</v>
      </c>
      <c r="D21" s="381">
        <f t="shared" ref="D21:O21" si="0">SUM(D4:D20)</f>
        <v>3125</v>
      </c>
      <c r="E21" s="381">
        <f t="shared" si="0"/>
        <v>3925</v>
      </c>
      <c r="F21" s="381">
        <f t="shared" si="0"/>
        <v>3125</v>
      </c>
      <c r="G21" s="381">
        <f t="shared" si="0"/>
        <v>3125</v>
      </c>
      <c r="H21" s="381">
        <f t="shared" si="0"/>
        <v>3925</v>
      </c>
      <c r="I21" s="381">
        <f t="shared" si="0"/>
        <v>9725</v>
      </c>
      <c r="J21" s="381">
        <f t="shared" si="0"/>
        <v>4475</v>
      </c>
      <c r="K21" s="381">
        <f t="shared" si="0"/>
        <v>5275</v>
      </c>
      <c r="L21" s="381">
        <f t="shared" si="0"/>
        <v>3125</v>
      </c>
      <c r="M21" s="381">
        <f t="shared" si="0"/>
        <v>3125</v>
      </c>
      <c r="N21" s="381">
        <f t="shared" si="0"/>
        <v>3925</v>
      </c>
      <c r="O21" s="381">
        <f t="shared" si="0"/>
        <v>3125</v>
      </c>
    </row>
  </sheetData>
  <mergeCells count="1">
    <mergeCell ref="A2:O2"/>
  </mergeCells>
  <pageMargins left="0.7" right="0.7" top="0.75" bottom="0.75" header="0.3" footer="0.3"/>
  <pageSetup paperSize="3"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AB63-05AC-4B1D-84BE-C4751B722F27}">
  <sheetPr>
    <pageSetUpPr fitToPage="1"/>
  </sheetPr>
  <dimension ref="A1:S45"/>
  <sheetViews>
    <sheetView topLeftCell="A15" workbookViewId="0">
      <selection activeCell="E14" sqref="E14"/>
    </sheetView>
  </sheetViews>
  <sheetFormatPr defaultColWidth="8.7265625" defaultRowHeight="13"/>
  <cols>
    <col min="1" max="1" width="55" style="45" bestFit="1" customWidth="1"/>
    <col min="2" max="2" width="10.7265625" style="52" customWidth="1"/>
    <col min="3" max="3" width="10" style="45" bestFit="1" customWidth="1"/>
    <col min="4" max="4" width="8.7265625" style="45" customWidth="1"/>
    <col min="5" max="5" width="10.7265625" style="45" bestFit="1" customWidth="1"/>
    <col min="6" max="6" width="9.7265625" style="45" customWidth="1"/>
    <col min="7" max="7" width="13.54296875" style="45" bestFit="1" customWidth="1"/>
    <col min="8" max="12" width="9.7265625" style="45" customWidth="1"/>
    <col min="13" max="13" width="10.54296875" style="45" bestFit="1" customWidth="1"/>
    <col min="14" max="14" width="9.7265625" style="45" customWidth="1"/>
    <col min="15" max="15" width="11.26953125" style="45" bestFit="1" customWidth="1"/>
    <col min="16" max="16" width="9.7265625" style="45" customWidth="1"/>
    <col min="17" max="17" width="12.7265625" style="45" bestFit="1" customWidth="1"/>
    <col min="18" max="18" width="90.54296875" style="45" bestFit="1" customWidth="1"/>
    <col min="19" max="16384" width="8.7265625" style="45"/>
  </cols>
  <sheetData>
    <row r="1" spans="1:19" ht="14.5">
      <c r="P1" s="2" t="str">
        <f>Summ.!R1</f>
        <v>Date Revised:</v>
      </c>
      <c r="Q1" s="3" t="e">
        <f>Summ.!#REF!</f>
        <v>#REF!</v>
      </c>
      <c r="S1" s="45">
        <f>Summ.!T1</f>
        <v>0</v>
      </c>
    </row>
    <row r="2" spans="1:19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9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9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9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9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9">
      <c r="H7" s="46"/>
    </row>
    <row r="8" spans="1:19">
      <c r="A8" s="200"/>
      <c r="B8" s="165"/>
      <c r="C8" s="201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</row>
    <row r="9" spans="1:19">
      <c r="A9" s="166" t="s">
        <v>120</v>
      </c>
      <c r="B9" s="166" t="s">
        <v>434</v>
      </c>
      <c r="C9" s="166" t="s">
        <v>348</v>
      </c>
      <c r="D9" s="166" t="s">
        <v>436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  <c r="R9" s="166" t="s">
        <v>149</v>
      </c>
    </row>
    <row r="10" spans="1:19">
      <c r="A10" s="202"/>
      <c r="B10" s="168" t="s">
        <v>438</v>
      </c>
      <c r="C10" s="168" t="s">
        <v>439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</row>
    <row r="11" spans="1:19">
      <c r="A11" s="47"/>
      <c r="C11" s="48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9">
      <c r="A12" s="51" t="s">
        <v>127</v>
      </c>
      <c r="C12" s="48"/>
      <c r="D12" s="49"/>
      <c r="E12" s="50"/>
      <c r="F12" s="50"/>
      <c r="G12" s="50"/>
      <c r="H12" s="50"/>
      <c r="I12" s="50"/>
      <c r="J12" s="50"/>
      <c r="K12" s="50"/>
      <c r="L12" s="50"/>
      <c r="M12" s="50" t="s">
        <v>14</v>
      </c>
      <c r="N12" s="50" t="s">
        <v>14</v>
      </c>
      <c r="O12" s="50" t="s">
        <v>14</v>
      </c>
      <c r="P12" s="50"/>
      <c r="Q12" s="50"/>
    </row>
    <row r="13" spans="1:19">
      <c r="C13" s="50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9">
      <c r="A14" t="s">
        <v>513</v>
      </c>
      <c r="B14" s="231" t="s">
        <v>440</v>
      </c>
      <c r="C14" s="153">
        <v>3873</v>
      </c>
      <c r="D14" s="154">
        <f>P14/C14*12</f>
        <v>0</v>
      </c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>
        <f>SUM(E14:P14)</f>
        <v>0</v>
      </c>
      <c r="R14" s="286"/>
    </row>
    <row r="15" spans="1:19">
      <c r="A15" t="s">
        <v>114</v>
      </c>
      <c r="B15" s="231" t="s">
        <v>442</v>
      </c>
      <c r="C15" s="153">
        <v>1074</v>
      </c>
      <c r="D15" s="154">
        <f t="shared" ref="D15:D31" si="0">P15/C15*12</f>
        <v>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261"/>
      <c r="Q15" s="153">
        <f t="shared" ref="Q15:Q31" si="1">SUM(E15:P15)</f>
        <v>0</v>
      </c>
      <c r="R15" s="286"/>
    </row>
    <row r="16" spans="1:19">
      <c r="A16" t="s">
        <v>514</v>
      </c>
      <c r="B16" s="231" t="s">
        <v>444</v>
      </c>
      <c r="C16" s="153">
        <v>200</v>
      </c>
      <c r="D16" s="154">
        <f t="shared" si="0"/>
        <v>0</v>
      </c>
      <c r="E16" s="153"/>
      <c r="F16" s="153"/>
      <c r="G16" s="153"/>
      <c r="H16" s="261"/>
      <c r="I16" s="153"/>
      <c r="J16" s="153"/>
      <c r="K16" s="153"/>
      <c r="L16" s="153"/>
      <c r="M16" s="153"/>
      <c r="N16" s="153"/>
      <c r="O16" s="153"/>
      <c r="P16" s="153"/>
      <c r="Q16" s="153">
        <f t="shared" si="1"/>
        <v>0</v>
      </c>
      <c r="R16" s="286"/>
    </row>
    <row r="17" spans="1:18">
      <c r="A17" t="s">
        <v>103</v>
      </c>
      <c r="B17" s="231" t="s">
        <v>446</v>
      </c>
      <c r="C17" s="153">
        <v>518</v>
      </c>
      <c r="D17" s="154">
        <f t="shared" si="0"/>
        <v>0</v>
      </c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>
        <f t="shared" si="1"/>
        <v>0</v>
      </c>
      <c r="R17" s="286"/>
    </row>
    <row r="18" spans="1:18">
      <c r="A18" t="s">
        <v>99</v>
      </c>
      <c r="B18" s="231" t="s">
        <v>448</v>
      </c>
      <c r="C18" s="153">
        <v>525</v>
      </c>
      <c r="D18" s="154">
        <f t="shared" si="0"/>
        <v>0</v>
      </c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>
        <f t="shared" si="1"/>
        <v>0</v>
      </c>
      <c r="R18" s="286"/>
    </row>
    <row r="19" spans="1:18">
      <c r="A19" t="s">
        <v>515</v>
      </c>
      <c r="B19" s="231" t="s">
        <v>516</v>
      </c>
      <c r="C19" s="153">
        <v>525</v>
      </c>
      <c r="D19" s="154">
        <f t="shared" si="0"/>
        <v>0</v>
      </c>
      <c r="E19" s="153"/>
      <c r="F19" s="153"/>
      <c r="G19" s="153"/>
      <c r="H19" s="153"/>
      <c r="I19" s="153"/>
      <c r="J19" s="153"/>
      <c r="K19" s="261"/>
      <c r="L19" s="153"/>
      <c r="M19" s="153"/>
      <c r="N19" s="153"/>
      <c r="O19" s="153"/>
      <c r="P19" s="153"/>
      <c r="Q19" s="153">
        <f t="shared" si="1"/>
        <v>0</v>
      </c>
      <c r="R19" s="287"/>
    </row>
    <row r="20" spans="1:18">
      <c r="A20" s="356" t="s">
        <v>101</v>
      </c>
      <c r="B20" s="231" t="s">
        <v>450</v>
      </c>
      <c r="C20" s="153">
        <v>994</v>
      </c>
      <c r="D20" s="154">
        <f t="shared" si="0"/>
        <v>0</v>
      </c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>
        <f t="shared" si="1"/>
        <v>0</v>
      </c>
      <c r="R20" s="288"/>
    </row>
    <row r="21" spans="1:18">
      <c r="A21" s="356" t="s">
        <v>517</v>
      </c>
      <c r="B21" s="231" t="s">
        <v>518</v>
      </c>
      <c r="C21" s="153">
        <v>518</v>
      </c>
      <c r="D21" s="154">
        <f t="shared" si="0"/>
        <v>0</v>
      </c>
      <c r="E21" s="153"/>
      <c r="F21" s="153"/>
      <c r="G21" s="261"/>
      <c r="H21" s="153"/>
      <c r="I21" s="153"/>
      <c r="J21" s="153"/>
      <c r="K21" s="153"/>
      <c r="L21" s="153"/>
      <c r="M21" s="153"/>
      <c r="N21" s="153"/>
      <c r="O21" s="153"/>
      <c r="P21" s="153"/>
      <c r="Q21" s="153">
        <f t="shared" si="1"/>
        <v>0</v>
      </c>
      <c r="R21" s="286"/>
    </row>
    <row r="22" spans="1:18">
      <c r="A22" t="s">
        <v>519</v>
      </c>
      <c r="B22" s="231" t="s">
        <v>454</v>
      </c>
      <c r="C22" s="153">
        <v>3526</v>
      </c>
      <c r="D22" s="154">
        <f t="shared" si="0"/>
        <v>0</v>
      </c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>
        <f t="shared" si="1"/>
        <v>0</v>
      </c>
      <c r="R22" s="286"/>
    </row>
    <row r="23" spans="1:18">
      <c r="A23" t="s">
        <v>520</v>
      </c>
      <c r="B23" s="231" t="s">
        <v>456</v>
      </c>
      <c r="C23" s="153">
        <v>10736</v>
      </c>
      <c r="D23" s="154">
        <f t="shared" si="0"/>
        <v>0</v>
      </c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>
        <f t="shared" si="1"/>
        <v>0</v>
      </c>
      <c r="R23" s="286"/>
    </row>
    <row r="24" spans="1:18">
      <c r="A24" t="s">
        <v>521</v>
      </c>
      <c r="B24" s="231" t="s">
        <v>458</v>
      </c>
      <c r="C24" s="153">
        <v>3000</v>
      </c>
      <c r="D24" s="154">
        <f t="shared" si="0"/>
        <v>0</v>
      </c>
      <c r="E24" s="261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>
        <f t="shared" si="1"/>
        <v>0</v>
      </c>
      <c r="R24" s="286"/>
    </row>
    <row r="25" spans="1:18">
      <c r="A25" t="s">
        <v>104</v>
      </c>
      <c r="B25" s="231" t="s">
        <v>460</v>
      </c>
      <c r="C25" s="153">
        <v>500</v>
      </c>
      <c r="D25" s="154">
        <f t="shared" si="0"/>
        <v>0</v>
      </c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>
        <f t="shared" si="1"/>
        <v>0</v>
      </c>
      <c r="R25" s="286"/>
    </row>
    <row r="26" spans="1:18">
      <c r="A26" t="s">
        <v>522</v>
      </c>
      <c r="B26" s="231" t="s">
        <v>462</v>
      </c>
      <c r="C26" s="153">
        <v>2896</v>
      </c>
      <c r="D26" s="154">
        <f t="shared" si="0"/>
        <v>0</v>
      </c>
      <c r="E26" s="153"/>
      <c r="F26" s="153"/>
      <c r="G26" s="261"/>
      <c r="H26" s="153"/>
      <c r="I26" s="153"/>
      <c r="J26" s="153"/>
      <c r="K26" s="153"/>
      <c r="L26" s="153"/>
      <c r="M26" s="153"/>
      <c r="N26" s="153"/>
      <c r="O26" s="153"/>
      <c r="P26" s="153"/>
      <c r="Q26" s="153">
        <f t="shared" si="1"/>
        <v>0</v>
      </c>
      <c r="R26" s="286"/>
    </row>
    <row r="27" spans="1:18">
      <c r="A27" s="260" t="s">
        <v>523</v>
      </c>
      <c r="B27" s="231" t="s">
        <v>464</v>
      </c>
      <c r="C27" s="153">
        <v>8014</v>
      </c>
      <c r="D27" s="154">
        <f t="shared" si="0"/>
        <v>0</v>
      </c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261"/>
      <c r="P27" s="153"/>
      <c r="Q27" s="153">
        <f t="shared" si="1"/>
        <v>0</v>
      </c>
      <c r="R27" s="286"/>
    </row>
    <row r="28" spans="1:18">
      <c r="A28" t="s">
        <v>524</v>
      </c>
      <c r="B28" s="231" t="s">
        <v>466</v>
      </c>
      <c r="C28" s="153">
        <v>6500</v>
      </c>
      <c r="D28" s="154">
        <f t="shared" si="0"/>
        <v>0</v>
      </c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>
        <f t="shared" si="1"/>
        <v>0</v>
      </c>
      <c r="R28" s="286"/>
    </row>
    <row r="29" spans="1:18">
      <c r="A29" t="s">
        <v>525</v>
      </c>
      <c r="B29" s="231" t="s">
        <v>468</v>
      </c>
      <c r="C29" s="153">
        <v>1798</v>
      </c>
      <c r="D29" s="154">
        <f t="shared" si="0"/>
        <v>0</v>
      </c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>
        <f t="shared" si="1"/>
        <v>0</v>
      </c>
      <c r="R29" s="286"/>
    </row>
    <row r="30" spans="1:18">
      <c r="A30" t="s">
        <v>526</v>
      </c>
      <c r="B30" s="231" t="s">
        <v>470</v>
      </c>
      <c r="C30" s="153">
        <v>962</v>
      </c>
      <c r="D30" s="154">
        <f t="shared" si="0"/>
        <v>0</v>
      </c>
      <c r="E30" s="153"/>
      <c r="F30" s="153"/>
      <c r="G30" s="153"/>
      <c r="H30" s="261"/>
      <c r="I30" s="153"/>
      <c r="J30" s="153"/>
      <c r="K30" s="153"/>
      <c r="L30" s="153"/>
      <c r="M30" s="153"/>
      <c r="N30" s="153"/>
      <c r="O30" s="153"/>
      <c r="P30" s="153"/>
      <c r="Q30" s="153">
        <f t="shared" si="1"/>
        <v>0</v>
      </c>
      <c r="R30" s="286"/>
    </row>
    <row r="31" spans="1:18">
      <c r="A31" t="s">
        <v>527</v>
      </c>
      <c r="B31" s="231" t="s">
        <v>472</v>
      </c>
      <c r="C31" s="153">
        <v>3704</v>
      </c>
      <c r="D31" s="154">
        <f t="shared" si="0"/>
        <v>0</v>
      </c>
      <c r="E31" s="153"/>
      <c r="F31" s="153"/>
      <c r="G31" s="153"/>
      <c r="H31" s="153"/>
      <c r="I31" s="153"/>
      <c r="J31" s="153"/>
      <c r="K31" s="261"/>
      <c r="L31" s="153"/>
      <c r="M31" s="153"/>
      <c r="N31" s="153"/>
      <c r="O31" s="153"/>
      <c r="P31" s="153"/>
      <c r="Q31" s="153">
        <f t="shared" si="1"/>
        <v>0</v>
      </c>
      <c r="R31" s="286"/>
    </row>
    <row r="32" spans="1:18">
      <c r="A32"/>
      <c r="B32" s="152"/>
      <c r="C32" s="153"/>
      <c r="D32" s="154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</row>
    <row r="33" spans="1:17" ht="4.5" customHeight="1">
      <c r="C33" s="56"/>
      <c r="D33" s="56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 ht="4.5" customHeight="1">
      <c r="C34" s="56"/>
      <c r="D34" s="56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6" spans="1:17">
      <c r="C36" s="56"/>
      <c r="D36" s="54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289"/>
      <c r="B37" s="290"/>
      <c r="C37" s="291"/>
      <c r="D37" s="291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3"/>
    </row>
    <row r="38" spans="1:17">
      <c r="A38" s="204" t="s">
        <v>437</v>
      </c>
      <c r="B38" s="294"/>
      <c r="C38" s="295">
        <f>SUM(C14:C37)</f>
        <v>49863</v>
      </c>
      <c r="D38" s="295"/>
      <c r="E38" s="296">
        <f>SUM(E14:E37)</f>
        <v>0</v>
      </c>
      <c r="F38" s="296">
        <f t="shared" ref="F38:P38" si="2">SUM(F14:F37)</f>
        <v>0</v>
      </c>
      <c r="G38" s="296">
        <f t="shared" si="2"/>
        <v>0</v>
      </c>
      <c r="H38" s="296">
        <f t="shared" si="2"/>
        <v>0</v>
      </c>
      <c r="I38" s="296">
        <f t="shared" si="2"/>
        <v>0</v>
      </c>
      <c r="J38" s="296">
        <f t="shared" si="2"/>
        <v>0</v>
      </c>
      <c r="K38" s="296">
        <f t="shared" si="2"/>
        <v>0</v>
      </c>
      <c r="L38" s="296">
        <f t="shared" si="2"/>
        <v>0</v>
      </c>
      <c r="M38" s="296">
        <f t="shared" si="2"/>
        <v>0</v>
      </c>
      <c r="N38" s="296">
        <f t="shared" si="2"/>
        <v>0</v>
      </c>
      <c r="O38" s="296">
        <f t="shared" si="2"/>
        <v>0</v>
      </c>
      <c r="P38" s="296">
        <f t="shared" si="2"/>
        <v>0</v>
      </c>
      <c r="Q38" s="297">
        <f>SUM(Q14:Q31)</f>
        <v>0</v>
      </c>
    </row>
    <row r="39" spans="1:17">
      <c r="A39" s="298"/>
      <c r="B39" s="299"/>
      <c r="C39" s="300"/>
      <c r="D39" s="301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3"/>
    </row>
    <row r="40" spans="1:17">
      <c r="C40" s="155"/>
      <c r="D40" s="49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1:17">
      <c r="C41" s="48"/>
      <c r="D41" s="49"/>
      <c r="E41" s="64"/>
      <c r="F41" s="64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r="42" spans="1:17">
      <c r="E42" s="65"/>
      <c r="F42" s="65"/>
    </row>
    <row r="43" spans="1:17">
      <c r="E43" s="64"/>
      <c r="F43" s="64"/>
      <c r="G43" s="50"/>
    </row>
    <row r="44" spans="1:17">
      <c r="E44" s="65"/>
      <c r="F44" s="65"/>
    </row>
    <row r="45" spans="1:17" s="257" customFormat="1">
      <c r="A45" s="257" t="s">
        <v>528</v>
      </c>
      <c r="B45" s="365">
        <v>4.7120000000000002E-2</v>
      </c>
      <c r="C45" s="364"/>
      <c r="E45" s="366">
        <f>SUM(E14:E31)*B45</f>
        <v>0</v>
      </c>
      <c r="F45" s="366">
        <f>SUM(F14:F31)*B45</f>
        <v>0</v>
      </c>
      <c r="G45" s="366">
        <f>SUM(G14:G31)*B45</f>
        <v>0</v>
      </c>
      <c r="H45" s="366">
        <f>SUM(H14:H31)*B45</f>
        <v>0</v>
      </c>
      <c r="I45" s="366">
        <f>SUM(I14:I31)*B45</f>
        <v>0</v>
      </c>
      <c r="J45" s="366">
        <f>SUM(J14:J31)*B45</f>
        <v>0</v>
      </c>
      <c r="K45" s="366">
        <f>SUM(K14:K31)*B45</f>
        <v>0</v>
      </c>
      <c r="L45" s="366">
        <f>SUM(L14:L31)*B45</f>
        <v>0</v>
      </c>
      <c r="M45" s="366">
        <f>SUM(M14:M31)*B45</f>
        <v>0</v>
      </c>
      <c r="N45" s="366">
        <f>SUM(N14:N31)*B45</f>
        <v>0</v>
      </c>
      <c r="O45" s="366">
        <f>SUM(O14:O31)*B45</f>
        <v>0</v>
      </c>
      <c r="P45" s="366">
        <f>SUM(P14:P31)*B45</f>
        <v>0</v>
      </c>
      <c r="Q45" s="367">
        <f>SUM(E45:P45)</f>
        <v>0</v>
      </c>
    </row>
  </sheetData>
  <mergeCells count="5">
    <mergeCell ref="A2:Q2"/>
    <mergeCell ref="A3:Q3"/>
    <mergeCell ref="A4:Q4"/>
    <mergeCell ref="A5:Q5"/>
    <mergeCell ref="A6:Q6"/>
  </mergeCells>
  <printOptions horizontalCentered="1"/>
  <pageMargins left="0.38" right="0.25" top="0.5" bottom="0.75" header="0.5" footer="0.45"/>
  <pageSetup paperSize="3" scale="67" firstPageNumber="4" orientation="landscape" cellComments="asDisplayed" useFirstPageNumber="1" r:id="rId1"/>
  <headerFooter scaleWithDoc="0" alignWithMargins="0">
    <oddFooter>Page 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5989-75CB-4FFE-8CB2-66E7155C7BCD}">
  <sheetPr>
    <pageSetUpPr fitToPage="1"/>
  </sheetPr>
  <dimension ref="A1:S45"/>
  <sheetViews>
    <sheetView topLeftCell="A12" workbookViewId="0">
      <selection activeCell="A21" sqref="A21"/>
    </sheetView>
  </sheetViews>
  <sheetFormatPr defaultColWidth="8.7265625" defaultRowHeight="13"/>
  <cols>
    <col min="1" max="1" width="55" style="45" bestFit="1" customWidth="1"/>
    <col min="2" max="2" width="10.7265625" style="52" customWidth="1"/>
    <col min="3" max="3" width="10" style="45" bestFit="1" customWidth="1"/>
    <col min="4" max="4" width="8.7265625" style="45" customWidth="1"/>
    <col min="5" max="5" width="10.7265625" style="45" bestFit="1" customWidth="1"/>
    <col min="6" max="6" width="9.7265625" style="45" customWidth="1"/>
    <col min="7" max="7" width="13.54296875" style="45" bestFit="1" customWidth="1"/>
    <col min="8" max="12" width="9.7265625" style="45" customWidth="1"/>
    <col min="13" max="13" width="10.54296875" style="45" bestFit="1" customWidth="1"/>
    <col min="14" max="14" width="9.7265625" style="45" customWidth="1"/>
    <col min="15" max="15" width="11.26953125" style="45" bestFit="1" customWidth="1"/>
    <col min="16" max="16" width="9.7265625" style="45" customWidth="1"/>
    <col min="17" max="17" width="12.7265625" style="45" bestFit="1" customWidth="1"/>
    <col min="18" max="18" width="90.54296875" style="45" bestFit="1" customWidth="1"/>
    <col min="19" max="16384" width="8.7265625" style="45"/>
  </cols>
  <sheetData>
    <row r="1" spans="1:19" ht="14.5">
      <c r="P1" s="2" t="str">
        <f>Summ.!R1</f>
        <v>Date Revised:</v>
      </c>
      <c r="Q1" s="3" t="e">
        <f>Summ.!#REF!</f>
        <v>#REF!</v>
      </c>
      <c r="S1" s="45">
        <f>Summ.!T1</f>
        <v>0</v>
      </c>
    </row>
    <row r="2" spans="1:19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9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9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9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9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9">
      <c r="H7" s="46"/>
    </row>
    <row r="8" spans="1:19">
      <c r="A8" s="200"/>
      <c r="B8" s="165"/>
      <c r="C8" s="201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</row>
    <row r="9" spans="1:19">
      <c r="A9" s="166" t="s">
        <v>120</v>
      </c>
      <c r="B9" s="166" t="s">
        <v>434</v>
      </c>
      <c r="C9" s="166" t="s">
        <v>348</v>
      </c>
      <c r="D9" s="166" t="s">
        <v>436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  <c r="R9" s="166" t="s">
        <v>149</v>
      </c>
    </row>
    <row r="10" spans="1:19">
      <c r="A10" s="202"/>
      <c r="B10" s="168" t="s">
        <v>438</v>
      </c>
      <c r="C10" s="168" t="s">
        <v>439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</row>
    <row r="11" spans="1:19">
      <c r="A11" s="47"/>
      <c r="C11" s="48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9">
      <c r="A12" s="51" t="s">
        <v>127</v>
      </c>
      <c r="C12" s="48"/>
      <c r="D12" s="49"/>
      <c r="E12" s="50"/>
      <c r="F12" s="50"/>
      <c r="G12" s="50"/>
      <c r="H12" s="50"/>
      <c r="I12" s="50"/>
      <c r="J12" s="50"/>
      <c r="K12" s="50"/>
      <c r="L12" s="50"/>
      <c r="M12" s="50" t="s">
        <v>14</v>
      </c>
      <c r="N12" s="50" t="s">
        <v>14</v>
      </c>
      <c r="O12" s="50" t="s">
        <v>14</v>
      </c>
      <c r="P12" s="50"/>
      <c r="Q12" s="50"/>
    </row>
    <row r="13" spans="1:19">
      <c r="C13" s="50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9">
      <c r="A14" t="s">
        <v>513</v>
      </c>
      <c r="B14" s="231" t="s">
        <v>440</v>
      </c>
      <c r="C14" s="153">
        <v>3873</v>
      </c>
      <c r="D14" s="154">
        <f>P14/C14*12</f>
        <v>0</v>
      </c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>
        <f>SUM(E14:P14)</f>
        <v>0</v>
      </c>
      <c r="R14" s="286"/>
    </row>
    <row r="15" spans="1:19">
      <c r="A15" t="s">
        <v>114</v>
      </c>
      <c r="B15" s="231" t="s">
        <v>442</v>
      </c>
      <c r="C15" s="153">
        <v>1074</v>
      </c>
      <c r="D15" s="154">
        <f t="shared" ref="D15:D31" si="0">P15/C15*12</f>
        <v>4.7272625698324022</v>
      </c>
      <c r="E15" s="153">
        <v>423.09</v>
      </c>
      <c r="F15" s="153">
        <v>423.09</v>
      </c>
      <c r="G15" s="153">
        <v>423.09</v>
      </c>
      <c r="H15" s="153">
        <v>423.09</v>
      </c>
      <c r="I15" s="153">
        <v>423.09</v>
      </c>
      <c r="J15" s="153">
        <v>423.09</v>
      </c>
      <c r="K15" s="153">
        <v>423.09</v>
      </c>
      <c r="L15" s="153">
        <v>423.09</v>
      </c>
      <c r="M15" s="153">
        <v>423.09</v>
      </c>
      <c r="N15" s="153">
        <v>423.09</v>
      </c>
      <c r="O15" s="153">
        <v>423.09</v>
      </c>
      <c r="P15" s="153">
        <v>423.09</v>
      </c>
      <c r="Q15" s="153">
        <f t="shared" ref="Q15:Q31" si="1">SUM(E15:P15)</f>
        <v>5077.0800000000008</v>
      </c>
      <c r="R15" s="286" t="s">
        <v>529</v>
      </c>
    </row>
    <row r="16" spans="1:19">
      <c r="A16" t="s">
        <v>514</v>
      </c>
      <c r="B16" s="231" t="s">
        <v>444</v>
      </c>
      <c r="C16" s="153">
        <v>200</v>
      </c>
      <c r="D16" s="154">
        <f t="shared" si="0"/>
        <v>0</v>
      </c>
      <c r="E16" s="153"/>
      <c r="F16" s="153"/>
      <c r="G16" s="153"/>
      <c r="H16" s="261"/>
      <c r="I16" s="153"/>
      <c r="J16" s="153"/>
      <c r="K16" s="153"/>
      <c r="L16" s="153"/>
      <c r="M16" s="153"/>
      <c r="N16" s="153"/>
      <c r="O16" s="153"/>
      <c r="P16" s="153"/>
      <c r="Q16" s="153">
        <f t="shared" si="1"/>
        <v>0</v>
      </c>
      <c r="R16" s="286"/>
    </row>
    <row r="17" spans="1:18">
      <c r="A17" t="s">
        <v>103</v>
      </c>
      <c r="B17" s="231" t="s">
        <v>446</v>
      </c>
      <c r="C17" s="153">
        <v>518</v>
      </c>
      <c r="D17" s="154">
        <f t="shared" si="0"/>
        <v>0</v>
      </c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>
        <f t="shared" si="1"/>
        <v>0</v>
      </c>
      <c r="R17" s="286"/>
    </row>
    <row r="18" spans="1:18">
      <c r="A18" t="s">
        <v>99</v>
      </c>
      <c r="B18" s="231" t="s">
        <v>448</v>
      </c>
      <c r="C18" s="153">
        <v>525</v>
      </c>
      <c r="D18" s="154">
        <f t="shared" si="0"/>
        <v>0</v>
      </c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>
        <f t="shared" si="1"/>
        <v>0</v>
      </c>
      <c r="R18" s="286"/>
    </row>
    <row r="19" spans="1:18">
      <c r="A19" t="s">
        <v>515</v>
      </c>
      <c r="B19" s="231" t="s">
        <v>516</v>
      </c>
      <c r="C19" s="153">
        <v>525</v>
      </c>
      <c r="D19" s="154">
        <f t="shared" si="0"/>
        <v>0</v>
      </c>
      <c r="E19" s="153"/>
      <c r="F19" s="153"/>
      <c r="G19" s="153"/>
      <c r="H19" s="153"/>
      <c r="I19" s="153"/>
      <c r="J19" s="153"/>
      <c r="K19" s="261"/>
      <c r="L19" s="153"/>
      <c r="M19" s="153"/>
      <c r="N19" s="153"/>
      <c r="O19" s="153"/>
      <c r="P19" s="153"/>
      <c r="Q19" s="153">
        <f t="shared" si="1"/>
        <v>0</v>
      </c>
      <c r="R19" s="287"/>
    </row>
    <row r="20" spans="1:18">
      <c r="A20" s="356" t="s">
        <v>101</v>
      </c>
      <c r="B20" s="231" t="s">
        <v>450</v>
      </c>
      <c r="C20" s="153">
        <v>994</v>
      </c>
      <c r="D20" s="154">
        <f t="shared" si="0"/>
        <v>0</v>
      </c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>
        <f t="shared" si="1"/>
        <v>0</v>
      </c>
      <c r="R20" s="288"/>
    </row>
    <row r="21" spans="1:18">
      <c r="A21" s="356" t="s">
        <v>517</v>
      </c>
      <c r="B21" s="231" t="s">
        <v>518</v>
      </c>
      <c r="C21" s="153">
        <v>518</v>
      </c>
      <c r="D21" s="154">
        <f t="shared" si="0"/>
        <v>0</v>
      </c>
      <c r="E21" s="153"/>
      <c r="F21" s="153"/>
      <c r="G21" s="261"/>
      <c r="H21" s="153"/>
      <c r="I21" s="153"/>
      <c r="J21" s="153"/>
      <c r="K21" s="153"/>
      <c r="L21" s="153"/>
      <c r="M21" s="153"/>
      <c r="N21" s="153"/>
      <c r="O21" s="153"/>
      <c r="P21" s="153"/>
      <c r="Q21" s="153">
        <f t="shared" si="1"/>
        <v>0</v>
      </c>
      <c r="R21" s="286"/>
    </row>
    <row r="22" spans="1:18">
      <c r="A22" t="s">
        <v>519</v>
      </c>
      <c r="B22" s="231" t="s">
        <v>454</v>
      </c>
      <c r="C22" s="153">
        <v>3526</v>
      </c>
      <c r="D22" s="154">
        <f t="shared" si="0"/>
        <v>0</v>
      </c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>
        <f t="shared" si="1"/>
        <v>0</v>
      </c>
      <c r="R22" s="286"/>
    </row>
    <row r="23" spans="1:18">
      <c r="A23" t="s">
        <v>520</v>
      </c>
      <c r="B23" s="231" t="s">
        <v>456</v>
      </c>
      <c r="C23" s="153">
        <v>10736</v>
      </c>
      <c r="D23" s="154">
        <f t="shared" si="0"/>
        <v>0</v>
      </c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>
        <f t="shared" si="1"/>
        <v>0</v>
      </c>
      <c r="R23" s="286"/>
    </row>
    <row r="24" spans="1:18">
      <c r="A24" t="s">
        <v>521</v>
      </c>
      <c r="B24" s="231" t="s">
        <v>458</v>
      </c>
      <c r="C24" s="153">
        <v>3000</v>
      </c>
      <c r="D24" s="154">
        <f t="shared" si="0"/>
        <v>0</v>
      </c>
      <c r="E24" s="261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>
        <f t="shared" si="1"/>
        <v>0</v>
      </c>
      <c r="R24" s="286"/>
    </row>
    <row r="25" spans="1:18">
      <c r="A25" t="s">
        <v>104</v>
      </c>
      <c r="B25" s="231" t="s">
        <v>460</v>
      </c>
      <c r="C25" s="153">
        <v>500</v>
      </c>
      <c r="D25" s="154">
        <f t="shared" si="0"/>
        <v>0</v>
      </c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>
        <f t="shared" si="1"/>
        <v>0</v>
      </c>
      <c r="R25" s="286"/>
    </row>
    <row r="26" spans="1:18">
      <c r="A26" t="s">
        <v>522</v>
      </c>
      <c r="B26" s="231" t="s">
        <v>462</v>
      </c>
      <c r="C26" s="153">
        <v>2896</v>
      </c>
      <c r="D26" s="154">
        <f t="shared" si="0"/>
        <v>0</v>
      </c>
      <c r="E26" s="153"/>
      <c r="F26" s="153"/>
      <c r="G26" s="261"/>
      <c r="H26" s="153"/>
      <c r="I26" s="153"/>
      <c r="J26" s="153"/>
      <c r="K26" s="153"/>
      <c r="L26" s="153"/>
      <c r="M26" s="153"/>
      <c r="N26" s="153"/>
      <c r="O26" s="153"/>
      <c r="P26" s="153"/>
      <c r="Q26" s="153">
        <f t="shared" si="1"/>
        <v>0</v>
      </c>
      <c r="R26" s="286"/>
    </row>
    <row r="27" spans="1:18">
      <c r="A27" s="260" t="s">
        <v>523</v>
      </c>
      <c r="B27" s="231" t="s">
        <v>464</v>
      </c>
      <c r="C27" s="153">
        <v>8014</v>
      </c>
      <c r="D27" s="154">
        <f t="shared" si="0"/>
        <v>0</v>
      </c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261"/>
      <c r="P27" s="153"/>
      <c r="Q27" s="153">
        <f t="shared" si="1"/>
        <v>0</v>
      </c>
      <c r="R27" s="286"/>
    </row>
    <row r="28" spans="1:18">
      <c r="A28" t="s">
        <v>524</v>
      </c>
      <c r="B28" s="231" t="s">
        <v>466</v>
      </c>
      <c r="C28" s="153">
        <v>6500</v>
      </c>
      <c r="D28" s="154">
        <f t="shared" si="0"/>
        <v>0</v>
      </c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>
        <f t="shared" si="1"/>
        <v>0</v>
      </c>
      <c r="R28" s="286"/>
    </row>
    <row r="29" spans="1:18">
      <c r="A29" t="s">
        <v>525</v>
      </c>
      <c r="B29" s="231" t="s">
        <v>468</v>
      </c>
      <c r="C29" s="153">
        <v>1798</v>
      </c>
      <c r="D29" s="154">
        <f t="shared" si="0"/>
        <v>0</v>
      </c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>
        <f t="shared" si="1"/>
        <v>0</v>
      </c>
      <c r="R29" s="286"/>
    </row>
    <row r="30" spans="1:18">
      <c r="A30" t="s">
        <v>526</v>
      </c>
      <c r="B30" s="231" t="s">
        <v>470</v>
      </c>
      <c r="C30" s="153">
        <v>962</v>
      </c>
      <c r="D30" s="154">
        <f t="shared" si="0"/>
        <v>0</v>
      </c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>
        <f t="shared" si="1"/>
        <v>0</v>
      </c>
      <c r="R30" s="286"/>
    </row>
    <row r="31" spans="1:18">
      <c r="A31" t="s">
        <v>527</v>
      </c>
      <c r="B31" s="231" t="s">
        <v>472</v>
      </c>
      <c r="C31" s="153">
        <v>3704</v>
      </c>
      <c r="D31" s="154">
        <f t="shared" si="0"/>
        <v>0</v>
      </c>
      <c r="E31" s="153"/>
      <c r="F31" s="153"/>
      <c r="G31" s="153"/>
      <c r="H31" s="153"/>
      <c r="I31" s="153"/>
      <c r="J31" s="153"/>
      <c r="K31" s="261"/>
      <c r="L31" s="153"/>
      <c r="M31" s="153"/>
      <c r="N31" s="153"/>
      <c r="O31" s="153"/>
      <c r="P31" s="153"/>
      <c r="Q31" s="153">
        <f t="shared" si="1"/>
        <v>0</v>
      </c>
      <c r="R31" s="286"/>
    </row>
    <row r="32" spans="1:18">
      <c r="A32"/>
      <c r="B32" s="152"/>
      <c r="C32" s="153"/>
      <c r="D32" s="154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</row>
    <row r="33" spans="1:17" ht="4.5" customHeight="1">
      <c r="C33" s="56"/>
      <c r="D33" s="56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 ht="4.5" customHeight="1">
      <c r="C34" s="56"/>
      <c r="D34" s="56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6" spans="1:17">
      <c r="C36" s="56"/>
      <c r="D36" s="54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289"/>
      <c r="B37" s="290"/>
      <c r="C37" s="291"/>
      <c r="D37" s="291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3"/>
    </row>
    <row r="38" spans="1:17">
      <c r="A38" s="204" t="s">
        <v>437</v>
      </c>
      <c r="B38" s="294"/>
      <c r="C38" s="295">
        <f>SUM(C14:C37)</f>
        <v>49863</v>
      </c>
      <c r="D38" s="295"/>
      <c r="E38" s="296">
        <f>SUM(E14:E37)</f>
        <v>423.09</v>
      </c>
      <c r="F38" s="296">
        <f t="shared" ref="F38:P38" si="2">SUM(F14:F37)</f>
        <v>423.09</v>
      </c>
      <c r="G38" s="296">
        <f t="shared" si="2"/>
        <v>423.09</v>
      </c>
      <c r="H38" s="296">
        <f t="shared" si="2"/>
        <v>423.09</v>
      </c>
      <c r="I38" s="296">
        <f t="shared" si="2"/>
        <v>423.09</v>
      </c>
      <c r="J38" s="296">
        <f t="shared" si="2"/>
        <v>423.09</v>
      </c>
      <c r="K38" s="296">
        <f t="shared" si="2"/>
        <v>423.09</v>
      </c>
      <c r="L38" s="296">
        <f t="shared" si="2"/>
        <v>423.09</v>
      </c>
      <c r="M38" s="296">
        <f t="shared" si="2"/>
        <v>423.09</v>
      </c>
      <c r="N38" s="296">
        <f t="shared" si="2"/>
        <v>423.09</v>
      </c>
      <c r="O38" s="296">
        <f t="shared" si="2"/>
        <v>423.09</v>
      </c>
      <c r="P38" s="296">
        <f t="shared" si="2"/>
        <v>423.09</v>
      </c>
      <c r="Q38" s="297">
        <f>SUM(Q14:Q31)</f>
        <v>5077.0800000000008</v>
      </c>
    </row>
    <row r="39" spans="1:17">
      <c r="A39" s="298"/>
      <c r="B39" s="299"/>
      <c r="C39" s="300"/>
      <c r="D39" s="301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3"/>
    </row>
    <row r="40" spans="1:17">
      <c r="C40" s="155"/>
      <c r="D40" s="49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1:17">
      <c r="C41" s="48"/>
      <c r="D41" s="49"/>
      <c r="E41" s="64"/>
      <c r="F41" s="64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r="42" spans="1:17">
      <c r="E42" s="65"/>
      <c r="F42" s="65"/>
    </row>
    <row r="43" spans="1:17">
      <c r="E43" s="64"/>
      <c r="F43" s="64"/>
      <c r="G43" s="50"/>
    </row>
    <row r="44" spans="1:17">
      <c r="E44" s="65"/>
      <c r="F44" s="65"/>
    </row>
    <row r="45" spans="1:17" s="257" customFormat="1">
      <c r="A45" s="257" t="s">
        <v>528</v>
      </c>
      <c r="B45" s="365">
        <v>4.7120000000000002E-2</v>
      </c>
      <c r="C45" s="364"/>
      <c r="E45" s="366">
        <f>SUM(E14:E31)*B45</f>
        <v>19.936000799999999</v>
      </c>
      <c r="F45" s="366">
        <f>SUM(F14:F31)*B45</f>
        <v>19.936000799999999</v>
      </c>
      <c r="G45" s="366">
        <f>SUM(G14:G31)*B45</f>
        <v>19.936000799999999</v>
      </c>
      <c r="H45" s="366">
        <f>SUM(H14:H31)*B45</f>
        <v>19.936000799999999</v>
      </c>
      <c r="I45" s="366">
        <f>SUM(I14:I31)*B45</f>
        <v>19.936000799999999</v>
      </c>
      <c r="J45" s="366">
        <f>SUM(J14:J31)*B45</f>
        <v>19.936000799999999</v>
      </c>
      <c r="K45" s="366">
        <f>SUM(K14:K31)*B45</f>
        <v>19.936000799999999</v>
      </c>
      <c r="L45" s="366">
        <f>SUM(L14:L31)*B45</f>
        <v>19.936000799999999</v>
      </c>
      <c r="M45" s="366">
        <f>SUM(M14:M31)*B45</f>
        <v>19.936000799999999</v>
      </c>
      <c r="N45" s="366">
        <f>SUM(N14:N31)*B45</f>
        <v>19.936000799999999</v>
      </c>
      <c r="O45" s="366">
        <f>SUM(O14:O31)*B45</f>
        <v>19.936000799999999</v>
      </c>
      <c r="P45" s="366">
        <f>SUM(P14:P31)*B45</f>
        <v>19.936000799999999</v>
      </c>
      <c r="Q45" s="367">
        <f>SUM(E45:P45)</f>
        <v>239.23200959999994</v>
      </c>
    </row>
  </sheetData>
  <mergeCells count="5">
    <mergeCell ref="A2:Q2"/>
    <mergeCell ref="A3:Q3"/>
    <mergeCell ref="A4:Q4"/>
    <mergeCell ref="A5:Q5"/>
    <mergeCell ref="A6:Q6"/>
  </mergeCells>
  <printOptions horizontalCentered="1"/>
  <pageMargins left="0.38" right="0.25" top="0.5" bottom="0.75" header="0.5" footer="0.45"/>
  <pageSetup paperSize="3" scale="67" firstPageNumber="4" orientation="landscape" cellComments="asDisplayed" useFirstPageNumber="1" r:id="rId1"/>
  <headerFooter scaleWithDoc="0" alignWithMargins="0">
    <oddFooter>Page 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T36"/>
  <sheetViews>
    <sheetView topLeftCell="A6" workbookViewId="0">
      <selection activeCell="C33" sqref="C33"/>
    </sheetView>
  </sheetViews>
  <sheetFormatPr defaultColWidth="9.26953125" defaultRowHeight="13"/>
  <cols>
    <col min="1" max="1" width="38.26953125" style="45" customWidth="1"/>
    <col min="2" max="2" width="9.26953125" style="45"/>
    <col min="3" max="3" width="11" style="45" customWidth="1"/>
    <col min="4" max="16" width="9.7265625" style="45" customWidth="1"/>
    <col min="17" max="17" width="11.54296875" style="45" bestFit="1" customWidth="1"/>
    <col min="18" max="18" width="9.26953125" style="101"/>
    <col min="19" max="19" width="3.7265625" style="45" customWidth="1"/>
    <col min="20" max="20" width="55.54296875" style="45" customWidth="1"/>
    <col min="21" max="16384" width="9.26953125" style="45"/>
  </cols>
  <sheetData>
    <row r="1" spans="1:20" ht="14.5">
      <c r="P1" s="2" t="str">
        <f>Summ.!R1</f>
        <v>Date Revised:</v>
      </c>
      <c r="Q1" s="3" t="e">
        <f>Summ.!#REF!</f>
        <v>#REF!</v>
      </c>
      <c r="R1" s="101">
        <f>Summ.!T1</f>
        <v>0</v>
      </c>
    </row>
    <row r="2" spans="1:20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20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20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20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20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20">
      <c r="H7" s="46"/>
    </row>
    <row r="8" spans="1:20">
      <c r="A8" s="200"/>
      <c r="B8" s="200"/>
      <c r="C8" s="203"/>
      <c r="D8" s="165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T8" s="45" t="s">
        <v>530</v>
      </c>
    </row>
    <row r="9" spans="1:20">
      <c r="A9" s="166" t="s">
        <v>120</v>
      </c>
      <c r="B9" s="166" t="s">
        <v>434</v>
      </c>
      <c r="C9" s="204" t="s">
        <v>348</v>
      </c>
      <c r="D9" s="204" t="s">
        <v>531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20">
      <c r="A10" s="202"/>
      <c r="B10" s="168" t="s">
        <v>438</v>
      </c>
      <c r="C10" s="205" t="s">
        <v>439</v>
      </c>
      <c r="D10" s="168" t="s">
        <v>532</v>
      </c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2" spans="1:20">
      <c r="A12" s="51" t="s">
        <v>129</v>
      </c>
    </row>
    <row r="13" spans="1:20">
      <c r="A13" s="47"/>
      <c r="C13" s="71"/>
      <c r="D13" s="71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1:20" ht="14.5">
      <c r="A14" s="45" t="str">
        <f>Rent!A14</f>
        <v xml:space="preserve">ISLAND LAVA JAVA </v>
      </c>
      <c r="B14" s="52" t="str">
        <f>Rent!B14</f>
        <v>A 1-4</v>
      </c>
      <c r="C14" s="71">
        <f>Rent!D14</f>
        <v>3873</v>
      </c>
      <c r="D14" s="72">
        <f t="shared" ref="D14:D30" si="0">C14/$C$33</f>
        <v>7.5854910102236675E-2</v>
      </c>
      <c r="E14" s="9">
        <f>IF(Rent!F14=0,0,('TENANT CHARGES'!$G10))</f>
        <v>6087.6782372004827</v>
      </c>
      <c r="F14" s="9">
        <f>IF(Rent!G14=0,0,('TENANT CHARGES'!$G10))</f>
        <v>6087.6782372004827</v>
      </c>
      <c r="G14" s="9">
        <f>IF(Rent!H14=0,0,('TENANT CHARGES'!$G10))</f>
        <v>6087.6782372004827</v>
      </c>
      <c r="H14" s="9">
        <f>IF(Rent!I14=0,0,('TENANT CHARGES'!$G10))</f>
        <v>6087.6782372004827</v>
      </c>
      <c r="I14" s="9">
        <f>IF(Rent!J14=0,0,('TENANT CHARGES'!$G10))</f>
        <v>6087.6782372004827</v>
      </c>
      <c r="J14" s="9">
        <f>IF(Rent!K14=0,0,('TENANT CHARGES'!$G10))</f>
        <v>6087.6782372004827</v>
      </c>
      <c r="K14" s="9">
        <f>IF(Rent!L14=0,0,('TENANT CHARGES'!$G10))</f>
        <v>6087.6782372004827</v>
      </c>
      <c r="L14" s="9">
        <f>IF(Rent!M14=0,0,('TENANT CHARGES'!$G10))</f>
        <v>6087.6782372004827</v>
      </c>
      <c r="M14" s="9">
        <f>IF(Rent!N14=0,0,('TENANT CHARGES'!$G10))</f>
        <v>6087.6782372004827</v>
      </c>
      <c r="N14" s="9">
        <f>IF(Rent!O14=0,0,('TENANT CHARGES'!$G10))</f>
        <v>6087.6782372004827</v>
      </c>
      <c r="O14" s="9">
        <f>IF(Rent!P14=0,0,('TENANT CHARGES'!$G10))</f>
        <v>6087.6782372004827</v>
      </c>
      <c r="P14" s="9">
        <f>IF(Rent!Q14=0,0,('TENANT CHARGES'!$G10))</f>
        <v>6087.6782372004827</v>
      </c>
      <c r="Q14" s="70">
        <f>SUM(E14:P14)</f>
        <v>73052.138846405796</v>
      </c>
      <c r="R14" s="106">
        <f>+P14/C14</f>
        <v>1.5718250031501375</v>
      </c>
    </row>
    <row r="15" spans="1:20" ht="14.5">
      <c r="A15" s="45" t="str">
        <f>Rent!A15</f>
        <v>TAKA SUSHI</v>
      </c>
      <c r="B15" s="52" t="str">
        <f>Rent!B15</f>
        <v>B-5</v>
      </c>
      <c r="C15" s="71">
        <f>Rent!D15</f>
        <v>1074</v>
      </c>
      <c r="D15" s="72">
        <f t="shared" si="0"/>
        <v>2.1034901484586158E-2</v>
      </c>
      <c r="E15" s="9">
        <f>IF(Rent!F15=0,0,('TENANT CHARGES'!$G11))</f>
        <v>1688.1400533832484</v>
      </c>
      <c r="F15" s="9">
        <f>IF(Rent!G15=0,0,('TENANT CHARGES'!$G11))</f>
        <v>1688.1400533832484</v>
      </c>
      <c r="G15" s="9">
        <f>IF(Rent!H15=0,0,('TENANT CHARGES'!$G11))</f>
        <v>1688.1400533832484</v>
      </c>
      <c r="H15" s="9">
        <f>IF(Rent!I15=0,0,('TENANT CHARGES'!$G11))</f>
        <v>1688.1400533832484</v>
      </c>
      <c r="I15" s="9">
        <f>IF(Rent!J15=0,0,('TENANT CHARGES'!$G11))</f>
        <v>1688.1400533832484</v>
      </c>
      <c r="J15" s="9">
        <f>IF(Rent!K15=0,0,('TENANT CHARGES'!$G11))</f>
        <v>1688.1400533832484</v>
      </c>
      <c r="K15" s="9">
        <f>IF(Rent!L15=0,0,('TENANT CHARGES'!$G11))</f>
        <v>1688.1400533832484</v>
      </c>
      <c r="L15" s="9">
        <f>IF(Rent!M15=0,0,('TENANT CHARGES'!$G11))</f>
        <v>1688.1400533832484</v>
      </c>
      <c r="M15" s="9">
        <f>IF(Rent!N15=0,0,('TENANT CHARGES'!$G11))</f>
        <v>1688.1400533832484</v>
      </c>
      <c r="N15" s="9">
        <f>IF(Rent!O15=0,0,('TENANT CHARGES'!$G11))</f>
        <v>1688.1400533832484</v>
      </c>
      <c r="O15" s="9">
        <f>IF(Rent!P15=0,0,('TENANT CHARGES'!$G11))</f>
        <v>1688.1400533832484</v>
      </c>
      <c r="P15" s="9">
        <f>IF(Rent!Q15=0,0,('TENANT CHARGES'!$G11))</f>
        <v>1688.1400533832484</v>
      </c>
      <c r="Q15" s="70">
        <f t="shared" ref="Q15:Q30" si="1">SUM(E15:P15)</f>
        <v>20257.680640598988</v>
      </c>
      <c r="R15" s="106">
        <f t="shared" ref="R15:R30" si="2">+P15/C15</f>
        <v>1.5718250031501382</v>
      </c>
    </row>
    <row r="16" spans="1:20" ht="14.5">
      <c r="A16" s="45" t="str">
        <f>Rent!A16</f>
        <v>KANAKA KAVA</v>
      </c>
      <c r="B16" s="52" t="str">
        <f>Rent!B16</f>
        <v>B-6</v>
      </c>
      <c r="C16" s="71">
        <f>Rent!D16</f>
        <v>200</v>
      </c>
      <c r="D16" s="72">
        <f t="shared" si="0"/>
        <v>3.9171138705002152E-3</v>
      </c>
      <c r="E16" s="9">
        <f>IF(Rent!F16=0,0,('TENANT CHARGES'!$G12))</f>
        <v>314.36500063002751</v>
      </c>
      <c r="F16" s="9">
        <f>IF(Rent!G16=0,0,('TENANT CHARGES'!$G12))</f>
        <v>314.36500063002751</v>
      </c>
      <c r="G16" s="9">
        <f>IF(Rent!H16=0,0,('TENANT CHARGES'!$G12))</f>
        <v>314.36500063002751</v>
      </c>
      <c r="H16" s="9">
        <f>IF(Rent!I16=0,0,('TENANT CHARGES'!$G12))</f>
        <v>314.36500063002751</v>
      </c>
      <c r="I16" s="9">
        <f>IF(Rent!J16=0,0,('TENANT CHARGES'!$G12))</f>
        <v>314.36500063002751</v>
      </c>
      <c r="J16" s="9">
        <f>IF(Rent!K16=0,0,('TENANT CHARGES'!$G12))</f>
        <v>314.36500063002751</v>
      </c>
      <c r="K16" s="9">
        <f>IF(Rent!L16=0,0,('TENANT CHARGES'!$G12))</f>
        <v>314.36500063002751</v>
      </c>
      <c r="L16" s="9">
        <f>IF(Rent!M16=0,0,('TENANT CHARGES'!$G12))</f>
        <v>314.36500063002751</v>
      </c>
      <c r="M16" s="9">
        <f>IF(Rent!N16=0,0,('TENANT CHARGES'!$G12))</f>
        <v>314.36500063002751</v>
      </c>
      <c r="N16" s="9">
        <f>IF(Rent!O16=0,0,('TENANT CHARGES'!$G12))</f>
        <v>314.36500063002751</v>
      </c>
      <c r="O16" s="9">
        <f>IF(Rent!P16=0,0,('TENANT CHARGES'!$G12))</f>
        <v>314.36500063002751</v>
      </c>
      <c r="P16" s="9">
        <f>IF(Rent!Q16=0,0,('TENANT CHARGES'!$G12))</f>
        <v>314.36500063002751</v>
      </c>
      <c r="Q16" s="70">
        <f t="shared" si="1"/>
        <v>3772.3800075603308</v>
      </c>
      <c r="R16" s="106">
        <f t="shared" si="2"/>
        <v>1.5718250031501375</v>
      </c>
    </row>
    <row r="17" spans="1:20" ht="14.5">
      <c r="A17" s="45" t="str">
        <f>Rent!A17</f>
        <v>GECKO GIRLZ SHAVE ICE SHACK</v>
      </c>
      <c r="B17" s="52" t="str">
        <f>Rent!B17</f>
        <v>C-7</v>
      </c>
      <c r="C17" s="71">
        <f>Rent!D17</f>
        <v>518</v>
      </c>
      <c r="D17" s="72">
        <f t="shared" si="0"/>
        <v>1.0145324924595559E-2</v>
      </c>
      <c r="E17" s="9">
        <f>IF(Rent!F17=0,0,('TENANT CHARGES'!$G13))</f>
        <v>814.20535163177146</v>
      </c>
      <c r="F17" s="9">
        <f>IF(Rent!G17=0,0,('TENANT CHARGES'!$G13))</f>
        <v>814.20535163177146</v>
      </c>
      <c r="G17" s="9">
        <f>IF(Rent!H17=0,0,('TENANT CHARGES'!$G13))</f>
        <v>814.20535163177146</v>
      </c>
      <c r="H17" s="9">
        <f>IF(Rent!I17=0,0,('TENANT CHARGES'!$G13))</f>
        <v>814.20535163177146</v>
      </c>
      <c r="I17" s="9">
        <f>IF(Rent!J17=0,0,('TENANT CHARGES'!$G13))</f>
        <v>814.20535163177146</v>
      </c>
      <c r="J17" s="9">
        <f>IF(Rent!K17=0,0,('TENANT CHARGES'!$G13))</f>
        <v>814.20535163177146</v>
      </c>
      <c r="K17" s="9">
        <f>IF(Rent!L17=0,0,('TENANT CHARGES'!$G13))</f>
        <v>814.20535163177146</v>
      </c>
      <c r="L17" s="9">
        <f>IF(Rent!M17=0,0,('TENANT CHARGES'!$G13))</f>
        <v>814.20535163177146</v>
      </c>
      <c r="M17" s="9">
        <f>IF(Rent!N17=0,0,('TENANT CHARGES'!$G13))</f>
        <v>814.20535163177146</v>
      </c>
      <c r="N17" s="9">
        <f>IF(Rent!O17=0,0,('TENANT CHARGES'!$G13))</f>
        <v>814.20535163177146</v>
      </c>
      <c r="O17" s="9">
        <f>IF(Rent!P17=0,0,('TENANT CHARGES'!$G13))</f>
        <v>814.20535163177146</v>
      </c>
      <c r="P17" s="9">
        <f>IF(Rent!Q17=0,0,('TENANT CHARGES'!$G13))</f>
        <v>814.20535163177146</v>
      </c>
      <c r="Q17" s="70">
        <f t="shared" si="1"/>
        <v>9770.4642195812594</v>
      </c>
      <c r="R17" s="106">
        <f t="shared" si="2"/>
        <v>1.571825003150138</v>
      </c>
    </row>
    <row r="18" spans="1:20" ht="14.5">
      <c r="A18" s="45" t="str">
        <f>Rent!A18</f>
        <v>BIG ISLAND RUNNING CO.</v>
      </c>
      <c r="B18" s="52" t="str">
        <f>Rent!B18</f>
        <v>C-8</v>
      </c>
      <c r="C18" s="71">
        <f>Rent!D18</f>
        <v>525</v>
      </c>
      <c r="D18" s="72">
        <f t="shared" si="0"/>
        <v>1.0282423910063065E-2</v>
      </c>
      <c r="E18" s="9">
        <f>IF(Rent!F18=0,0,('TENANT CHARGES'!$G14))</f>
        <v>825.20812665382209</v>
      </c>
      <c r="F18" s="9">
        <f>IF(Rent!G18=0,0,('TENANT CHARGES'!$G14))</f>
        <v>825.20812665382209</v>
      </c>
      <c r="G18" s="9">
        <f>IF(Rent!H18=0,0,('TENANT CHARGES'!$G14))</f>
        <v>825.20812665382209</v>
      </c>
      <c r="H18" s="9">
        <f>IF(Rent!I18=0,0,('TENANT CHARGES'!$G14))</f>
        <v>825.20812665382209</v>
      </c>
      <c r="I18" s="9">
        <f>IF(Rent!J18=0,0,('TENANT CHARGES'!$G14))</f>
        <v>825.20812665382209</v>
      </c>
      <c r="J18" s="9">
        <f>IF(Rent!K18=0,0,('TENANT CHARGES'!$G14))</f>
        <v>825.20812665382209</v>
      </c>
      <c r="K18" s="9">
        <f>IF(Rent!L18=0,0,('TENANT CHARGES'!$G14))</f>
        <v>825.20812665382209</v>
      </c>
      <c r="L18" s="9">
        <f>IF(Rent!M18=0,0,('TENANT CHARGES'!$G14))</f>
        <v>825.20812665382209</v>
      </c>
      <c r="M18" s="9">
        <f>IF(Rent!N18=0,0,('TENANT CHARGES'!$G14))</f>
        <v>825.20812665382209</v>
      </c>
      <c r="N18" s="9">
        <f>IF(Rent!O18=0,0,('TENANT CHARGES'!$G14))</f>
        <v>825.20812665382209</v>
      </c>
      <c r="O18" s="9">
        <f>IF(Rent!P18=0,0,('TENANT CHARGES'!$G14))</f>
        <v>825.20812665382209</v>
      </c>
      <c r="P18" s="9">
        <f>IF(Rent!Q18=0,0,('TENANT CHARGES'!$G14))</f>
        <v>825.20812665382209</v>
      </c>
      <c r="Q18" s="70">
        <f t="shared" si="1"/>
        <v>9902.4975198458687</v>
      </c>
      <c r="R18" s="106">
        <f t="shared" si="2"/>
        <v>1.5718250031501373</v>
      </c>
    </row>
    <row r="19" spans="1:20" ht="14.5">
      <c r="A19" s="45" t="str">
        <f>Rent!A19</f>
        <v>CAFE KONA</v>
      </c>
      <c r="B19" s="52" t="str">
        <f>Rent!B19</f>
        <v>D11-12</v>
      </c>
      <c r="C19" s="71">
        <f>Rent!D19</f>
        <v>994</v>
      </c>
      <c r="D19" s="72">
        <f t="shared" si="0"/>
        <v>1.9468055936386071E-2</v>
      </c>
      <c r="E19" s="9">
        <f>IF(Rent!F19=0,0,('TENANT CHARGES'!$G15))</f>
        <v>1562.3940531312371</v>
      </c>
      <c r="F19" s="9">
        <f>IF(Rent!G19=0,0,('TENANT CHARGES'!$G15))</f>
        <v>1562.3940531312371</v>
      </c>
      <c r="G19" s="9">
        <f>IF(Rent!H19=0,0,('TENANT CHARGES'!$G15))</f>
        <v>1562.3940531312371</v>
      </c>
      <c r="H19" s="9">
        <f>IF(Rent!I19=0,0,('TENANT CHARGES'!$G15))</f>
        <v>1562.3940531312371</v>
      </c>
      <c r="I19" s="9">
        <f>IF(Rent!J19=0,0,('TENANT CHARGES'!$G15))</f>
        <v>1562.3940531312371</v>
      </c>
      <c r="J19" s="9">
        <f>IF(Rent!K19=0,0,('TENANT CHARGES'!$G15))</f>
        <v>1562.3940531312371</v>
      </c>
      <c r="K19" s="9">
        <f>IF(Rent!L19=0,0,('TENANT CHARGES'!$G15))</f>
        <v>1562.3940531312371</v>
      </c>
      <c r="L19" s="9">
        <f>IF(Rent!M19=0,0,('TENANT CHARGES'!$G15))</f>
        <v>1562.3940531312371</v>
      </c>
      <c r="M19" s="9">
        <f>IF(Rent!N19=0,0,('TENANT CHARGES'!$G15))</f>
        <v>1562.3940531312371</v>
      </c>
      <c r="N19" s="9">
        <f>IF(Rent!O19=0,0,('TENANT CHARGES'!$G15))</f>
        <v>1562.3940531312371</v>
      </c>
      <c r="O19" s="9">
        <f>IF(Rent!P19=0,0,('TENANT CHARGES'!$G15))</f>
        <v>1562.3940531312371</v>
      </c>
      <c r="P19" s="9">
        <f>IF(Rent!Q19=0,0,('TENANT CHARGES'!$G15))</f>
        <v>1562.3940531312371</v>
      </c>
      <c r="Q19" s="70">
        <f t="shared" si="1"/>
        <v>18748.728637574841</v>
      </c>
      <c r="R19" s="106">
        <f t="shared" si="2"/>
        <v>1.571825003150138</v>
      </c>
    </row>
    <row r="20" spans="1:20" ht="14.5">
      <c r="A20" s="45" t="str">
        <f>Rent!A20</f>
        <v>LUCASIE LTD</v>
      </c>
      <c r="B20" s="52" t="str">
        <f>Rent!B20</f>
        <v>D9-D10</v>
      </c>
      <c r="C20" s="71">
        <f>Rent!D20</f>
        <v>1043</v>
      </c>
      <c r="D20" s="72">
        <f t="shared" si="0"/>
        <v>2.0427748834658623E-2</v>
      </c>
      <c r="E20" s="9">
        <f>IF(Rent!F20=0,0,('TENANT CHARGES'!$G17))</f>
        <v>1639.4134782855933</v>
      </c>
      <c r="F20" s="9">
        <f>IF(Rent!G20=0,0,('TENANT CHARGES'!$G17))</f>
        <v>1639.4134782855933</v>
      </c>
      <c r="G20" s="9">
        <f>IF(Rent!H20=0,0,('TENANT CHARGES'!$G17))</f>
        <v>1639.4134782855933</v>
      </c>
      <c r="H20" s="9">
        <f>IF(Rent!I20=0,0,('TENANT CHARGES'!$G17))</f>
        <v>1639.4134782855933</v>
      </c>
      <c r="I20" s="9">
        <f>IF(Rent!J20=0,0,('TENANT CHARGES'!$G17))</f>
        <v>1639.4134782855933</v>
      </c>
      <c r="J20" s="9">
        <f>IF(Rent!K20=0,0,('TENANT CHARGES'!$G17))</f>
        <v>1639.4134782855933</v>
      </c>
      <c r="K20" s="9">
        <f>IF(Rent!L20=0,0,('TENANT CHARGES'!$G17))</f>
        <v>1639.4134782855933</v>
      </c>
      <c r="L20" s="9">
        <f>IF(Rent!M20=0,0,('TENANT CHARGES'!$G17))</f>
        <v>1639.4134782855933</v>
      </c>
      <c r="M20" s="9">
        <f>IF(Rent!N20=0,0,('TENANT CHARGES'!$G17))</f>
        <v>1639.4134782855933</v>
      </c>
      <c r="N20" s="9">
        <f>IF(Rent!O20=0,0,('TENANT CHARGES'!$G17))</f>
        <v>1639.4134782855933</v>
      </c>
      <c r="O20" s="9">
        <f>IF(Rent!P20=0,0,('TENANT CHARGES'!$G17))</f>
        <v>1639.4134782855933</v>
      </c>
      <c r="P20" s="9">
        <f>IF(Rent!Q20=0,0,('TENANT CHARGES'!$G17))</f>
        <v>1639.4134782855933</v>
      </c>
      <c r="Q20" s="70">
        <f t="shared" si="1"/>
        <v>19672.961739427119</v>
      </c>
      <c r="R20" s="106">
        <f t="shared" si="2"/>
        <v>1.5718250031501375</v>
      </c>
    </row>
    <row r="21" spans="1:20" ht="14.5">
      <c r="A21" s="45" t="str">
        <f>Rent!A21</f>
        <v>FOSTERS KITCHEN</v>
      </c>
      <c r="B21" s="52" t="str">
        <f>Rent!B21</f>
        <v>DU-1</v>
      </c>
      <c r="C21" s="71">
        <f>Rent!D21</f>
        <v>3526</v>
      </c>
      <c r="D21" s="72">
        <f t="shared" si="0"/>
        <v>6.9058717536918793E-2</v>
      </c>
      <c r="E21" s="9">
        <f>IF(Rent!F21=0,0,('TENANT CHARGES'!$G18))</f>
        <v>5542.2549611073855</v>
      </c>
      <c r="F21" s="9">
        <f>IF(Rent!G21=0,0,('TENANT CHARGES'!$G18))</f>
        <v>5542.2549611073855</v>
      </c>
      <c r="G21" s="9">
        <f>IF(Rent!H21=0,0,('TENANT CHARGES'!$G18))</f>
        <v>5542.2549611073855</v>
      </c>
      <c r="H21" s="9">
        <f>IF(Rent!I21=0,0,('TENANT CHARGES'!$G18))</f>
        <v>5542.2549611073855</v>
      </c>
      <c r="I21" s="9">
        <f>IF(Rent!J21=0,0,('TENANT CHARGES'!$G18))</f>
        <v>5542.2549611073855</v>
      </c>
      <c r="J21" s="9">
        <f>IF(Rent!K21=0,0,('TENANT CHARGES'!$G18))</f>
        <v>5542.2549611073855</v>
      </c>
      <c r="K21" s="9">
        <f>IF(Rent!L21=0,0,('TENANT CHARGES'!$G18))</f>
        <v>5542.2549611073855</v>
      </c>
      <c r="L21" s="9">
        <f>IF(Rent!M21=0,0,('TENANT CHARGES'!$G18))</f>
        <v>5542.2549611073855</v>
      </c>
      <c r="M21" s="9">
        <f>IF(Rent!N21=0,0,('TENANT CHARGES'!$G18))</f>
        <v>5542.2549611073855</v>
      </c>
      <c r="N21" s="9">
        <f>IF(Rent!O21=0,0,('TENANT CHARGES'!$G18))</f>
        <v>5542.2549611073855</v>
      </c>
      <c r="O21" s="9">
        <f>IF(Rent!P21=0,0,('TENANT CHARGES'!$G18))</f>
        <v>5542.2549611073855</v>
      </c>
      <c r="P21" s="9">
        <f>IF(Rent!Q21=0,0,('TENANT CHARGES'!$G18))</f>
        <v>5542.2549611073855</v>
      </c>
      <c r="Q21" s="70">
        <f t="shared" si="1"/>
        <v>66507.05953328863</v>
      </c>
      <c r="R21" s="106">
        <f t="shared" si="2"/>
        <v>1.5718250031501377</v>
      </c>
    </row>
    <row r="22" spans="1:20" ht="14.5">
      <c r="A22" s="440" t="str">
        <f>Rent!A22</f>
        <v>HUMPYS BIG ISLAND ALEHOUSE</v>
      </c>
      <c r="B22" s="443" t="str">
        <f>Rent!B22</f>
        <v>E</v>
      </c>
      <c r="C22" s="444">
        <f>Rent!D22</f>
        <v>10736</v>
      </c>
      <c r="D22" s="445">
        <f t="shared" si="0"/>
        <v>0.21027067256845156</v>
      </c>
      <c r="E22" s="253">
        <v>0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f>IF(Rent!N22=0,0,('TENANT CHARGES'!$G19))</f>
        <v>16875.113233819873</v>
      </c>
      <c r="N22" s="253">
        <f>IF(Rent!O22=0,0,('TENANT CHARGES'!$G19))</f>
        <v>16875.113233819873</v>
      </c>
      <c r="O22" s="253">
        <f>IF(Rent!P22=0,0,('TENANT CHARGES'!$G19))</f>
        <v>16875.113233819873</v>
      </c>
      <c r="P22" s="253">
        <f>IF(Rent!Q22=0,0,('TENANT CHARGES'!$G19))</f>
        <v>16875.113233819873</v>
      </c>
      <c r="Q22" s="446">
        <f t="shared" si="1"/>
        <v>67500.452935279493</v>
      </c>
      <c r="R22" s="447">
        <f t="shared" si="2"/>
        <v>1.5718250031501373</v>
      </c>
      <c r="S22" s="440"/>
      <c r="T22" s="440" t="s">
        <v>533</v>
      </c>
    </row>
    <row r="23" spans="1:20" ht="14.5">
      <c r="A23" s="45" t="str">
        <f>Rent!A23</f>
        <v>ABC STORE #75</v>
      </c>
      <c r="B23" s="52" t="str">
        <f>Rent!B23</f>
        <v>F15,17&amp;A8</v>
      </c>
      <c r="C23" s="71">
        <f>Rent!D23</f>
        <v>4000</v>
      </c>
      <c r="D23" s="72">
        <f t="shared" si="0"/>
        <v>7.834227741000431E-2</v>
      </c>
      <c r="E23" s="9">
        <f>IF(Rent!F23=0,0,('TENANT CHARGES'!$G20))</f>
        <v>4715.4750094504134</v>
      </c>
      <c r="F23" s="9">
        <f>IF(Rent!G23=0,0,('TENANT CHARGES'!$G20))</f>
        <v>4715.4750094504134</v>
      </c>
      <c r="G23" s="9">
        <f>IF(Rent!H23=0,0,('TENANT CHARGES'!$G20))</f>
        <v>4715.4750094504134</v>
      </c>
      <c r="H23" s="9">
        <f>IF(Rent!I23=0,0,('TENANT CHARGES'!$G20))</f>
        <v>4715.4750094504134</v>
      </c>
      <c r="I23" s="9">
        <f>IF(Rent!J23=0,0,('TENANT CHARGES'!$G20))</f>
        <v>4715.4750094504134</v>
      </c>
      <c r="J23" s="9">
        <f>IF(Rent!K23=0,0,('TENANT CHARGES'!$G20))</f>
        <v>4715.4750094504134</v>
      </c>
      <c r="K23" s="9">
        <f>IF(Rent!L23=0,0,('TENANT CHARGES'!$G20))</f>
        <v>4715.4750094504134</v>
      </c>
      <c r="L23" s="9">
        <f>IF(Rent!M23=0,0,('TENANT CHARGES'!$G20))</f>
        <v>4715.4750094504134</v>
      </c>
      <c r="M23" s="9">
        <f>IF(Rent!N23=0,0,('TENANT CHARGES'!$G20))</f>
        <v>4715.4750094504134</v>
      </c>
      <c r="N23" s="9">
        <f>IF(Rent!O23=0,0,('TENANT CHARGES'!$G20))</f>
        <v>4715.4750094504134</v>
      </c>
      <c r="O23" s="9">
        <f>IF(Rent!P23=0,0,('TENANT CHARGES'!$G20))</f>
        <v>4715.4750094504134</v>
      </c>
      <c r="P23" s="9">
        <f>IF(Rent!Q23=0,0,('TENANT CHARGES'!$G20))</f>
        <v>4715.4750094504134</v>
      </c>
      <c r="Q23" s="70">
        <f t="shared" si="1"/>
        <v>56585.700113404957</v>
      </c>
      <c r="R23" s="106">
        <f t="shared" si="2"/>
        <v>1.1788687523626034</v>
      </c>
    </row>
    <row r="24" spans="1:20" ht="14.5">
      <c r="A24" s="45" t="str">
        <f>Rent!A24</f>
        <v>GYPSEA GALATO</v>
      </c>
      <c r="B24" s="52" t="str">
        <f>Rent!B24</f>
        <v>F-16</v>
      </c>
      <c r="C24" s="71">
        <f>Rent!D24</f>
        <v>500</v>
      </c>
      <c r="D24" s="72">
        <f t="shared" si="0"/>
        <v>9.7927846762505388E-3</v>
      </c>
      <c r="E24" s="9">
        <f>IF(Rent!F24=0,0,('TENANT CHARGES'!$G21))</f>
        <v>785.91250157506886</v>
      </c>
      <c r="F24" s="9">
        <f>IF(Rent!G24=0,0,('TENANT CHARGES'!$G21))</f>
        <v>785.91250157506886</v>
      </c>
      <c r="G24" s="9">
        <f>IF(Rent!H24=0,0,('TENANT CHARGES'!$G21))</f>
        <v>785.91250157506886</v>
      </c>
      <c r="H24" s="9">
        <f>IF(Rent!I24=0,0,('TENANT CHARGES'!$G21))</f>
        <v>785.91250157506886</v>
      </c>
      <c r="I24" s="9">
        <f>IF(Rent!J24=0,0,('TENANT CHARGES'!$G21))</f>
        <v>785.91250157506886</v>
      </c>
      <c r="J24" s="9">
        <f>IF(Rent!K24=0,0,('TENANT CHARGES'!$G21))</f>
        <v>785.91250157506886</v>
      </c>
      <c r="K24" s="9">
        <f>IF(Rent!L24=0,0,('TENANT CHARGES'!$G21))</f>
        <v>785.91250157506886</v>
      </c>
      <c r="L24" s="9">
        <f>IF(Rent!M24=0,0,('TENANT CHARGES'!$G21))</f>
        <v>785.91250157506886</v>
      </c>
      <c r="M24" s="9">
        <f>IF(Rent!N24=0,0,('TENANT CHARGES'!$G21))</f>
        <v>785.91250157506886</v>
      </c>
      <c r="N24" s="9">
        <f>IF(Rent!O24=0,0,('TENANT CHARGES'!$G21))</f>
        <v>785.91250157506886</v>
      </c>
      <c r="O24" s="9">
        <f>IF(Rent!P24=0,0,('TENANT CHARGES'!$G21))</f>
        <v>785.91250157506886</v>
      </c>
      <c r="P24" s="9">
        <f>IF(Rent!Q24=0,0,('TENANT CHARGES'!$G21))</f>
        <v>785.91250157506886</v>
      </c>
      <c r="Q24" s="70">
        <f t="shared" si="1"/>
        <v>9430.9500189008268</v>
      </c>
      <c r="R24" s="106">
        <f t="shared" si="2"/>
        <v>1.5718250031501377</v>
      </c>
    </row>
    <row r="25" spans="1:20" ht="14.5">
      <c r="A25" s="45" t="str">
        <f>Rent!A25</f>
        <v>OCEANS SPORTS BAR AND GRILL</v>
      </c>
      <c r="B25" s="52" t="str">
        <f>Rent!B25</f>
        <v>G</v>
      </c>
      <c r="C25" s="71">
        <f>Rent!D25</f>
        <v>2896</v>
      </c>
      <c r="D25" s="72">
        <f t="shared" si="0"/>
        <v>5.6719808844843123E-2</v>
      </c>
      <c r="E25" s="9">
        <f>IF(Rent!F25=0,0,('TENANT CHARGES'!$G22))</f>
        <v>2859.5262519576431</v>
      </c>
      <c r="F25" s="9">
        <f>IF(Rent!G25=0,0,('TENANT CHARGES'!$G22))</f>
        <v>2859.5262519576431</v>
      </c>
      <c r="G25" s="9">
        <f>IF(Rent!H25=0,0,('TENANT CHARGES'!$G22))</f>
        <v>2859.5262519576431</v>
      </c>
      <c r="H25" s="9">
        <f>IF(Rent!I25=0,0,('TENANT CHARGES'!$G22))</f>
        <v>2859.5262519576431</v>
      </c>
      <c r="I25" s="9">
        <f>IF(Rent!J25=0,0,('TENANT CHARGES'!$G22))</f>
        <v>2859.5262519576431</v>
      </c>
      <c r="J25" s="9">
        <f>IF(Rent!K25=0,0,('TENANT CHARGES'!$G22))</f>
        <v>2859.5262519576431</v>
      </c>
      <c r="K25" s="9">
        <f>IF(Rent!L25=0,0,('TENANT CHARGES'!$G22))</f>
        <v>2859.5262519576431</v>
      </c>
      <c r="L25" s="9">
        <f>IF(Rent!M25=0,0,('TENANT CHARGES'!$G22))</f>
        <v>2859.5262519576431</v>
      </c>
      <c r="M25" s="9">
        <f>IF(Rent!N25=0,0,('TENANT CHARGES'!$G22))</f>
        <v>2859.5262519576431</v>
      </c>
      <c r="N25" s="9">
        <f>IF(Rent!O25=0,0,('TENANT CHARGES'!$G22))</f>
        <v>2859.5262519576431</v>
      </c>
      <c r="O25" s="9">
        <f>IF(Rent!P25=0,0,('TENANT CHARGES'!$G22))</f>
        <v>2859.5262519576431</v>
      </c>
      <c r="P25" s="9">
        <f>IF(Rent!Q25=0,0,('TENANT CHARGES'!$G22))</f>
        <v>2859.5262519576431</v>
      </c>
      <c r="Q25" s="70">
        <f t="shared" si="1"/>
        <v>34314.315023491719</v>
      </c>
      <c r="R25" s="106">
        <f t="shared" si="2"/>
        <v>0.98740547374228005</v>
      </c>
    </row>
    <row r="26" spans="1:20" ht="14.5">
      <c r="A26" s="45" t="str">
        <f>Rent!A26</f>
        <v>JACKS DIVE LOCKER</v>
      </c>
      <c r="B26" s="52" t="str">
        <f>Rent!B26</f>
        <v>H</v>
      </c>
      <c r="C26" s="71">
        <f>Rent!D26</f>
        <v>8014</v>
      </c>
      <c r="D26" s="72">
        <f t="shared" si="0"/>
        <v>0.15695875279094362</v>
      </c>
      <c r="E26" s="9">
        <f>IF(Rent!F26=0,0,('TENANT CHARGES'!$G23))</f>
        <v>7913.067466570632</v>
      </c>
      <c r="F26" s="9">
        <f>IF(Rent!G26=0,0,('TENANT CHARGES'!$G23))</f>
        <v>7913.067466570632</v>
      </c>
      <c r="G26" s="9">
        <f>IF(Rent!H26=0,0,('TENANT CHARGES'!$G23))</f>
        <v>7913.067466570632</v>
      </c>
      <c r="H26" s="9">
        <f>IF(Rent!I26=0,0,('TENANT CHARGES'!$G23))</f>
        <v>7913.067466570632</v>
      </c>
      <c r="I26" s="9">
        <f>IF(Rent!J26=0,0,('TENANT CHARGES'!$G23))</f>
        <v>7913.067466570632</v>
      </c>
      <c r="J26" s="9">
        <f>IF(Rent!K26=0,0,('TENANT CHARGES'!$G23))</f>
        <v>7913.067466570632</v>
      </c>
      <c r="K26" s="9">
        <f>IF(Rent!L26=0,0,('TENANT CHARGES'!$G23))</f>
        <v>7913.067466570632</v>
      </c>
      <c r="L26" s="9">
        <f>IF(Rent!M26=0,0,('TENANT CHARGES'!$G23))</f>
        <v>7913.067466570632</v>
      </c>
      <c r="M26" s="9">
        <f>IF(Rent!N26=0,0,('TENANT CHARGES'!$G23))</f>
        <v>7913.067466570632</v>
      </c>
      <c r="N26" s="9">
        <f>IF(Rent!O26=0,0,('TENANT CHARGES'!$G23))</f>
        <v>7913.067466570632</v>
      </c>
      <c r="O26" s="9">
        <f>IF(Rent!P26=0,0,('TENANT CHARGES'!$G23))</f>
        <v>7913.067466570632</v>
      </c>
      <c r="P26" s="9">
        <f>IF(Rent!Q26=0,0,('TENANT CHARGES'!$G23))</f>
        <v>7913.067466570632</v>
      </c>
      <c r="Q26" s="70">
        <f t="shared" si="1"/>
        <v>94956.809598847583</v>
      </c>
      <c r="R26" s="106">
        <f t="shared" si="2"/>
        <v>0.98740547374228005</v>
      </c>
    </row>
    <row r="27" spans="1:20" ht="14.5">
      <c r="A27" s="45" t="str">
        <f>Rent!A27</f>
        <v>QPOT</v>
      </c>
      <c r="B27" s="52" t="str">
        <f>Rent!B27</f>
        <v>I</v>
      </c>
      <c r="C27" s="71">
        <f>Rent!D27</f>
        <v>6500</v>
      </c>
      <c r="D27" s="72">
        <f t="shared" si="0"/>
        <v>0.12730620079125701</v>
      </c>
      <c r="E27" s="9">
        <f>IF(Rent!F27=0,0,('TENANT CHARGES'!$G24))</f>
        <v>0</v>
      </c>
      <c r="F27" s="9">
        <f>IF(Rent!G27=0,0,('TENANT CHARGES'!$G24))</f>
        <v>0</v>
      </c>
      <c r="G27" s="9">
        <f>IF(Rent!H27=0,0,('TENANT CHARGES'!$G24))</f>
        <v>0</v>
      </c>
      <c r="H27" s="9">
        <f>IF(Rent!I27=0,0,('TENANT CHARGES'!$G24))</f>
        <v>0</v>
      </c>
      <c r="I27" s="9">
        <f>IF(Rent!J27=0,0,('TENANT CHARGES'!$G24))</f>
        <v>0</v>
      </c>
      <c r="J27" s="9">
        <f>IF(Rent!K27=0,0,('TENANT CHARGES'!$G24))</f>
        <v>0</v>
      </c>
      <c r="K27" s="9">
        <f>IF(Rent!L27=0,0,('TENANT CHARGES'!$G24))</f>
        <v>6499.086062536936</v>
      </c>
      <c r="L27" s="9">
        <f>IF(Rent!M27=0,0,('TENANT CHARGES'!$G24))</f>
        <v>6499.086062536936</v>
      </c>
      <c r="M27" s="9">
        <f>IF(Rent!N27=0,0,('TENANT CHARGES'!$G24))</f>
        <v>6499.086062536936</v>
      </c>
      <c r="N27" s="9">
        <f>IF(Rent!O27=0,0,('TENANT CHARGES'!$G24))</f>
        <v>6499.086062536936</v>
      </c>
      <c r="O27" s="9">
        <f>IF(Rent!P27=0,0,('TENANT CHARGES'!$G24))</f>
        <v>6499.086062536936</v>
      </c>
      <c r="P27" s="9">
        <f>IF(Rent!Q27=0,0,('TENANT CHARGES'!$G24))</f>
        <v>6499.086062536936</v>
      </c>
      <c r="Q27" s="70">
        <f t="shared" si="1"/>
        <v>38994.516375221618</v>
      </c>
      <c r="R27" s="106">
        <f t="shared" si="2"/>
        <v>0.99985939423645165</v>
      </c>
    </row>
    <row r="28" spans="1:20" ht="14.5">
      <c r="A28" s="45" t="str">
        <f>Rent!A28</f>
        <v>BOWLS SUPERFOODS &amp; ORALE TACOS</v>
      </c>
      <c r="B28" s="52" t="str">
        <f>Rent!B28</f>
        <v>PC-1&amp;2</v>
      </c>
      <c r="C28" s="71">
        <f>Rent!D28</f>
        <v>1993</v>
      </c>
      <c r="D28" s="72">
        <f t="shared" si="0"/>
        <v>3.9034039719534647E-2</v>
      </c>
      <c r="E28" s="9">
        <f>IF(Rent!F28=0,0,('TENANT CHARGES'!$G25))</f>
        <v>0</v>
      </c>
      <c r="F28" s="9">
        <f>IF(Rent!G28=0,0,('TENANT CHARGES'!$G25))</f>
        <v>0</v>
      </c>
      <c r="G28" s="9">
        <f>IF(Rent!H28=0,0,('TENANT CHARGES'!$G25))</f>
        <v>0</v>
      </c>
      <c r="H28" s="9">
        <f>IF(Rent!I28=0,0,('TENANT CHARGES'!$G25))</f>
        <v>0</v>
      </c>
      <c r="I28" s="9">
        <f>IF(Rent!J28=0,0,('TENANT CHARGES'!$G25))</f>
        <v>0</v>
      </c>
      <c r="J28" s="9">
        <f>IF(Rent!K28=0,0,('TENANT CHARGES'!$G25))</f>
        <v>0</v>
      </c>
      <c r="K28" s="9">
        <f>IF(Rent!L28=0,0,('TENANT CHARGES'!$G25))</f>
        <v>0</v>
      </c>
      <c r="L28" s="9">
        <f>IF(Rent!M28=0,0,('TENANT CHARGES'!$G25))</f>
        <v>0</v>
      </c>
      <c r="M28" s="9">
        <f>IF(Rent!N28=0,0,('TENANT CHARGES'!$G25))</f>
        <v>0</v>
      </c>
      <c r="N28" s="9">
        <f>IF(Rent!O28=0,0,('TENANT CHARGES'!$G25))</f>
        <v>0</v>
      </c>
      <c r="O28" s="9">
        <f>IF(Rent!P28=0,0,('TENANT CHARGES'!$G25))</f>
        <v>0</v>
      </c>
      <c r="P28" s="9">
        <f>IF(Rent!Q28=0,0,('TENANT CHARGES'!$G25))</f>
        <v>0</v>
      </c>
      <c r="Q28" s="70">
        <f t="shared" si="1"/>
        <v>0</v>
      </c>
      <c r="R28" s="106">
        <f t="shared" si="2"/>
        <v>0</v>
      </c>
    </row>
    <row r="29" spans="1:20" ht="14.5">
      <c r="A29" s="45" t="str">
        <f>Rent!A29</f>
        <v>KONA GEAR INC.</v>
      </c>
      <c r="B29" s="52" t="str">
        <f>Rent!B29</f>
        <v>PC 3&amp;4</v>
      </c>
      <c r="C29" s="71">
        <f>Rent!D29</f>
        <v>962</v>
      </c>
      <c r="D29" s="72">
        <f t="shared" si="0"/>
        <v>1.8841317717106038E-2</v>
      </c>
      <c r="E29" s="9">
        <f>IF(Rent!F29=0,0,('TENANT CHARGES'!$G26))</f>
        <v>1512.0956530304327</v>
      </c>
      <c r="F29" s="9">
        <f>IF(Rent!G29=0,0,('TENANT CHARGES'!$G26))</f>
        <v>1512.0956530304327</v>
      </c>
      <c r="G29" s="9">
        <f>IF(Rent!H29=0,0,('TENANT CHARGES'!$G26))</f>
        <v>1512.0956530304327</v>
      </c>
      <c r="H29" s="9">
        <f>IF(Rent!I29=0,0,('TENANT CHARGES'!$G26))</f>
        <v>1512.0956530304327</v>
      </c>
      <c r="I29" s="9">
        <f>IF(Rent!J29=0,0,('TENANT CHARGES'!$G26))</f>
        <v>1512.0956530304327</v>
      </c>
      <c r="J29" s="9">
        <f>IF(Rent!K29=0,0,('TENANT CHARGES'!$G26))</f>
        <v>1512.0956530304327</v>
      </c>
      <c r="K29" s="9">
        <f>IF(Rent!L29=0,0,('TENANT CHARGES'!$G26))</f>
        <v>1512.0956530304327</v>
      </c>
      <c r="L29" s="9">
        <f>IF(Rent!M29=0,0,('TENANT CHARGES'!$G26))</f>
        <v>1512.0956530304327</v>
      </c>
      <c r="M29" s="9">
        <f>IF(Rent!N29=0,0,('TENANT CHARGES'!$G26))</f>
        <v>1512.0956530304327</v>
      </c>
      <c r="N29" s="9">
        <f>IF(Rent!O29=0,0,('TENANT CHARGES'!$G26))</f>
        <v>1512.0956530304327</v>
      </c>
      <c r="O29" s="9">
        <f>IF(Rent!P29=0,0,('TENANT CHARGES'!$G26))</f>
        <v>1512.0956530304327</v>
      </c>
      <c r="P29" s="9">
        <f>IF(Rent!Q29=0,0,('TENANT CHARGES'!$G26))</f>
        <v>1512.0956530304327</v>
      </c>
      <c r="Q29" s="70">
        <f t="shared" si="1"/>
        <v>18145.147836365188</v>
      </c>
      <c r="R29" s="106">
        <f t="shared" si="2"/>
        <v>1.571825003150138</v>
      </c>
    </row>
    <row r="30" spans="1:20" ht="14.5">
      <c r="A30" s="45" t="str">
        <f>Rent!A30</f>
        <v>LAVERNES</v>
      </c>
      <c r="B30" s="52" t="str">
        <f>Rent!B30</f>
        <v>PC/U1</v>
      </c>
      <c r="C30" s="71">
        <f>Rent!D30</f>
        <v>3704</v>
      </c>
      <c r="D30" s="72">
        <f t="shared" si="0"/>
        <v>7.254494888166399E-2</v>
      </c>
      <c r="E30" s="9">
        <f>IF(Rent!F30=0,0,('TENANT CHARGES'!$G27))</f>
        <v>5822.039811668109</v>
      </c>
      <c r="F30" s="9">
        <f>IF(Rent!G30=0,0,('TENANT CHARGES'!$G27))</f>
        <v>5822.039811668109</v>
      </c>
      <c r="G30" s="9">
        <f>IF(Rent!H30=0,0,('TENANT CHARGES'!$G27))</f>
        <v>5822.039811668109</v>
      </c>
      <c r="H30" s="9">
        <f>IF(Rent!I30=0,0,('TENANT CHARGES'!$G27))</f>
        <v>5822.039811668109</v>
      </c>
      <c r="I30" s="9">
        <f>IF(Rent!J30=0,0,('TENANT CHARGES'!$G27))</f>
        <v>5822.039811668109</v>
      </c>
      <c r="J30" s="9">
        <f>IF(Rent!K30=0,0,('TENANT CHARGES'!$G27))</f>
        <v>5822.039811668109</v>
      </c>
      <c r="K30" s="9">
        <f>IF(Rent!L30=0,0,('TENANT CHARGES'!$G27))</f>
        <v>5822.039811668109</v>
      </c>
      <c r="L30" s="9">
        <f>IF(Rent!M30=0,0,('TENANT CHARGES'!$G27))</f>
        <v>5822.039811668109</v>
      </c>
      <c r="M30" s="9">
        <f>IF(Rent!N30=0,0,('TENANT CHARGES'!$G27))</f>
        <v>5822.039811668109</v>
      </c>
      <c r="N30" s="9">
        <f>IF(Rent!O30=0,0,('TENANT CHARGES'!$G27))</f>
        <v>5822.039811668109</v>
      </c>
      <c r="O30" s="9">
        <f>IF(Rent!P30=0,0,('TENANT CHARGES'!$G27))</f>
        <v>5822.039811668109</v>
      </c>
      <c r="P30" s="9">
        <f>IF(Rent!Q30=0,0,('TENANT CHARGES'!$G27))</f>
        <v>5822.039811668109</v>
      </c>
      <c r="Q30" s="70">
        <f t="shared" si="1"/>
        <v>69864.477740017304</v>
      </c>
      <c r="R30" s="106">
        <f t="shared" si="2"/>
        <v>1.5718250031501375</v>
      </c>
    </row>
    <row r="31" spans="1:20">
      <c r="C31" s="56"/>
      <c r="D31" s="72" t="s">
        <v>14</v>
      </c>
      <c r="E31" s="57" t="s">
        <v>14</v>
      </c>
      <c r="F31" s="57" t="s">
        <v>14</v>
      </c>
      <c r="G31" s="57" t="s">
        <v>14</v>
      </c>
      <c r="H31" s="57" t="s">
        <v>14</v>
      </c>
      <c r="I31" s="57" t="s">
        <v>14</v>
      </c>
      <c r="J31" s="57" t="s">
        <v>14</v>
      </c>
      <c r="K31" s="57" t="s">
        <v>14</v>
      </c>
      <c r="L31" s="57" t="s">
        <v>14</v>
      </c>
      <c r="M31" s="57" t="s">
        <v>14</v>
      </c>
      <c r="N31" s="57" t="s">
        <v>14</v>
      </c>
      <c r="O31" s="57" t="s">
        <v>14</v>
      </c>
      <c r="P31" s="57" t="s">
        <v>14</v>
      </c>
      <c r="Q31" s="57" t="s">
        <v>14</v>
      </c>
    </row>
    <row r="33" spans="1:17">
      <c r="A33" s="204" t="s">
        <v>437</v>
      </c>
      <c r="B33" s="311"/>
      <c r="C33" s="295">
        <f>SUM(C14:C32)</f>
        <v>51058</v>
      </c>
      <c r="D33" s="319">
        <f>SUM(D14:D32)</f>
        <v>1</v>
      </c>
      <c r="E33" s="296">
        <f>SUM(E14:E32)</f>
        <v>42081.775956275866</v>
      </c>
      <c r="F33" s="296">
        <f t="shared" ref="F33:P33" si="3">SUM(F14:F32)</f>
        <v>42081.775956275866</v>
      </c>
      <c r="G33" s="296">
        <f t="shared" si="3"/>
        <v>42081.775956275866</v>
      </c>
      <c r="H33" s="296">
        <f t="shared" si="3"/>
        <v>42081.775956275866</v>
      </c>
      <c r="I33" s="296">
        <f t="shared" si="3"/>
        <v>42081.775956275866</v>
      </c>
      <c r="J33" s="296">
        <f t="shared" si="3"/>
        <v>42081.775956275866</v>
      </c>
      <c r="K33" s="296">
        <f t="shared" si="3"/>
        <v>48580.862018812804</v>
      </c>
      <c r="L33" s="296">
        <f t="shared" si="3"/>
        <v>48580.862018812804</v>
      </c>
      <c r="M33" s="296">
        <f t="shared" si="3"/>
        <v>65455.975252632677</v>
      </c>
      <c r="N33" s="296">
        <f t="shared" si="3"/>
        <v>65455.975252632677</v>
      </c>
      <c r="O33" s="296">
        <f t="shared" si="3"/>
        <v>65455.975252632677</v>
      </c>
      <c r="P33" s="296">
        <f t="shared" si="3"/>
        <v>65455.975252632677</v>
      </c>
      <c r="Q33" s="297">
        <f>SUM(Q14:Q32)</f>
        <v>611476.2807858116</v>
      </c>
    </row>
    <row r="34" spans="1:17">
      <c r="A34" s="298"/>
      <c r="B34" s="300"/>
      <c r="C34" s="301"/>
      <c r="D34" s="301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1"/>
    </row>
    <row r="35" spans="1:17">
      <c r="C35" s="67"/>
      <c r="D35" s="6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3" t="s">
        <v>534</v>
      </c>
      <c r="P35" s="74"/>
      <c r="Q35" s="61">
        <f>Summ.!O81</f>
        <v>1091508.302428707</v>
      </c>
    </row>
    <row r="36" spans="1:17"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75" t="s">
        <v>535</v>
      </c>
      <c r="P36" s="63"/>
      <c r="Q36" s="76">
        <f>Q33/Q35</f>
        <v>0.56021221224357187</v>
      </c>
    </row>
  </sheetData>
  <mergeCells count="5">
    <mergeCell ref="A6:Q6"/>
    <mergeCell ref="A2:Q2"/>
    <mergeCell ref="A3:Q3"/>
    <mergeCell ref="A4:Q4"/>
    <mergeCell ref="A5:Q5"/>
  </mergeCells>
  <phoneticPr fontId="0" type="noConversion"/>
  <printOptions horizontalCentered="1"/>
  <pageMargins left="0.38" right="0.27" top="0.5" bottom="0.75" header="0.5" footer="0.5"/>
  <pageSetup paperSize="3" firstPageNumber="6" orientation="landscape" useFirstPageNumber="1" r:id="rId1"/>
  <headerFooter scaleWithDoc="0" alignWithMargins="0">
    <oddFooter>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S36"/>
  <sheetViews>
    <sheetView topLeftCell="A9" zoomScaleNormal="100" workbookViewId="0">
      <selection activeCell="A14" sqref="A14"/>
    </sheetView>
  </sheetViews>
  <sheetFormatPr defaultColWidth="9.26953125" defaultRowHeight="13"/>
  <cols>
    <col min="1" max="1" width="35.26953125" style="45" customWidth="1"/>
    <col min="2" max="2" width="7.54296875" style="45" bestFit="1" customWidth="1"/>
    <col min="3" max="3" width="12.26953125" style="45" bestFit="1" customWidth="1"/>
    <col min="4" max="4" width="9.26953125" style="45" bestFit="1" customWidth="1"/>
    <col min="5" max="16" width="9.7265625" style="45" bestFit="1" customWidth="1"/>
    <col min="17" max="17" width="11.26953125" style="45" bestFit="1" customWidth="1"/>
    <col min="18" max="18" width="9.26953125" style="45"/>
    <col min="19" max="19" width="19.7265625" style="45" customWidth="1"/>
    <col min="20" max="16384" width="9.26953125" style="45"/>
  </cols>
  <sheetData>
    <row r="1" spans="1:18" ht="14.5">
      <c r="P1" s="2" t="str">
        <f>Summ.!R1</f>
        <v>Date Revised:</v>
      </c>
      <c r="Q1" s="3" t="e">
        <f>Summ.!#REF!</f>
        <v>#REF!</v>
      </c>
      <c r="R1" s="45">
        <f>Summ.!T1</f>
        <v>0</v>
      </c>
    </row>
    <row r="2" spans="1:18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8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8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8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8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8">
      <c r="H7" s="46"/>
    </row>
    <row r="8" spans="1:18">
      <c r="A8" s="200"/>
      <c r="B8" s="200"/>
      <c r="C8" s="203"/>
      <c r="D8" s="165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8">
      <c r="A9" s="166" t="s">
        <v>120</v>
      </c>
      <c r="B9" s="166" t="s">
        <v>434</v>
      </c>
      <c r="C9" s="204" t="s">
        <v>348</v>
      </c>
      <c r="D9" s="204" t="s">
        <v>531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18">
      <c r="A10" s="202"/>
      <c r="B10" s="168" t="s">
        <v>438</v>
      </c>
      <c r="C10" s="205" t="s">
        <v>439</v>
      </c>
      <c r="D10" s="168" t="s">
        <v>532</v>
      </c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2" spans="1:18">
      <c r="A12" s="51" t="s">
        <v>130</v>
      </c>
    </row>
    <row r="13" spans="1:18">
      <c r="A13" s="47"/>
    </row>
    <row r="14" spans="1:18" ht="14.5">
      <c r="A14" s="45" t="str">
        <f>Rent!A14</f>
        <v xml:space="preserve">ISLAND LAVA JAVA </v>
      </c>
      <c r="B14" s="52" t="str">
        <f>Rent!B14</f>
        <v>A 1-4</v>
      </c>
      <c r="C14" s="55">
        <f>Rent!D14</f>
        <v>3873</v>
      </c>
      <c r="D14" s="77">
        <f t="shared" ref="D14:D30" si="0">C14/$C$33</f>
        <v>7.5854910102236675E-2</v>
      </c>
      <c r="E14" s="9">
        <f>IF(Rent!F14=0,0,('TENANT CHARGES'!$H10))</f>
        <v>930.57118038258443</v>
      </c>
      <c r="F14" s="9">
        <f>IF(Rent!G14=0,0,('TENANT CHARGES'!$H10))</f>
        <v>930.57118038258443</v>
      </c>
      <c r="G14" s="9">
        <f>IF(Rent!H14=0,0,('TENANT CHARGES'!$H10))</f>
        <v>930.57118038258443</v>
      </c>
      <c r="H14" s="9">
        <f>IF(Rent!I14=0,0,('TENANT CHARGES'!$H10))</f>
        <v>930.57118038258443</v>
      </c>
      <c r="I14" s="9">
        <f>IF(Rent!J14=0,0,('TENANT CHARGES'!$H10))</f>
        <v>930.57118038258443</v>
      </c>
      <c r="J14" s="9">
        <f>IF(Rent!K14=0,0,('TENANT CHARGES'!$H10))</f>
        <v>930.57118038258443</v>
      </c>
      <c r="K14" s="9">
        <f>IF(Rent!L14=0,0,('TENANT CHARGES'!$H10))</f>
        <v>930.57118038258443</v>
      </c>
      <c r="L14" s="9">
        <f>IF(Rent!M14=0,0,('TENANT CHARGES'!$H10))</f>
        <v>930.57118038258443</v>
      </c>
      <c r="M14" s="9">
        <f>IF(Rent!N14=0,0,('TENANT CHARGES'!$H10))</f>
        <v>930.57118038258443</v>
      </c>
      <c r="N14" s="9">
        <f>IF(Rent!O14=0,0,('TENANT CHARGES'!$H10))</f>
        <v>930.57118038258443</v>
      </c>
      <c r="O14" s="9">
        <f>IF(Rent!P14=0,0,('TENANT CHARGES'!$H10))</f>
        <v>930.57118038258443</v>
      </c>
      <c r="P14" s="9">
        <f>IF(Rent!Q14=0,0,('TENANT CHARGES'!$H10))</f>
        <v>930.57118038258443</v>
      </c>
      <c r="Q14" s="70">
        <f>SUM(E14:P14)</f>
        <v>11166.854164591015</v>
      </c>
      <c r="R14" s="272">
        <f>P14/C14</f>
        <v>0.24027141244063632</v>
      </c>
    </row>
    <row r="15" spans="1:18" ht="14.5">
      <c r="A15" s="45" t="str">
        <f>Rent!A15</f>
        <v>TAKA SUSHI</v>
      </c>
      <c r="B15" s="52" t="str">
        <f>Rent!B15</f>
        <v>B-5</v>
      </c>
      <c r="C15" s="55">
        <f>Rent!D15</f>
        <v>1074</v>
      </c>
      <c r="D15" s="77">
        <f t="shared" si="0"/>
        <v>2.1034901484586158E-2</v>
      </c>
      <c r="E15" s="9">
        <f>IF(Rent!F15=0,0,('TENANT CHARGES'!$H11))</f>
        <v>258.05149696124334</v>
      </c>
      <c r="F15" s="9">
        <f>IF(Rent!G15=0,0,('TENANT CHARGES'!$H11))</f>
        <v>258.05149696124334</v>
      </c>
      <c r="G15" s="9">
        <f>IF(Rent!H15=0,0,('TENANT CHARGES'!$H11))</f>
        <v>258.05149696124334</v>
      </c>
      <c r="H15" s="9">
        <f>IF(Rent!I15=0,0,('TENANT CHARGES'!$H11))</f>
        <v>258.05149696124334</v>
      </c>
      <c r="I15" s="9">
        <f>IF(Rent!J15=0,0,('TENANT CHARGES'!$H11))</f>
        <v>258.05149696124334</v>
      </c>
      <c r="J15" s="9">
        <f>IF(Rent!K15=0,0,('TENANT CHARGES'!$H11))</f>
        <v>258.05149696124334</v>
      </c>
      <c r="K15" s="9">
        <f>IF(Rent!L15=0,0,('TENANT CHARGES'!$H11))</f>
        <v>258.05149696124334</v>
      </c>
      <c r="L15" s="9">
        <f>IF(Rent!M15=0,0,('TENANT CHARGES'!$H11))</f>
        <v>258.05149696124334</v>
      </c>
      <c r="M15" s="9">
        <f>IF(Rent!N15=0,0,('TENANT CHARGES'!$H11))</f>
        <v>258.05149696124334</v>
      </c>
      <c r="N15" s="9">
        <f>IF(Rent!O15=0,0,('TENANT CHARGES'!$H11))</f>
        <v>258.05149696124334</v>
      </c>
      <c r="O15" s="9">
        <f>IF(Rent!P15=0,0,('TENANT CHARGES'!$H11))</f>
        <v>258.05149696124334</v>
      </c>
      <c r="P15" s="9">
        <f>IF(Rent!Q15=0,0,('TENANT CHARGES'!$H11))</f>
        <v>258.05149696124334</v>
      </c>
      <c r="Q15" s="70">
        <f t="shared" ref="Q15:Q30" si="1">SUM(E15:P15)</f>
        <v>3096.6179635349195</v>
      </c>
      <c r="R15" s="272">
        <f t="shared" ref="R15:R30" si="2">P15/C15</f>
        <v>0.24027141244063627</v>
      </c>
    </row>
    <row r="16" spans="1:18" ht="14.5">
      <c r="A16" s="45" t="str">
        <f>Rent!A16</f>
        <v>KANAKA KAVA</v>
      </c>
      <c r="B16" s="52" t="str">
        <f>Rent!B16</f>
        <v>B-6</v>
      </c>
      <c r="C16" s="55">
        <f>Rent!D16</f>
        <v>200</v>
      </c>
      <c r="D16" s="77">
        <f t="shared" si="0"/>
        <v>3.9171138705002152E-3</v>
      </c>
      <c r="E16" s="9">
        <f>IF(Rent!F16=0,0,('TENANT CHARGES'!$H12))</f>
        <v>48.054282488127264</v>
      </c>
      <c r="F16" s="9">
        <f>IF(Rent!G16=0,0,('TENANT CHARGES'!$H12))</f>
        <v>48.054282488127264</v>
      </c>
      <c r="G16" s="9">
        <f>IF(Rent!H16=0,0,('TENANT CHARGES'!$H12))</f>
        <v>48.054282488127264</v>
      </c>
      <c r="H16" s="9">
        <f>IF(Rent!I16=0,0,('TENANT CHARGES'!$H12))</f>
        <v>48.054282488127264</v>
      </c>
      <c r="I16" s="9">
        <f>IF(Rent!J16=0,0,('TENANT CHARGES'!$H12))</f>
        <v>48.054282488127264</v>
      </c>
      <c r="J16" s="9">
        <f>IF(Rent!K16=0,0,('TENANT CHARGES'!$H12))</f>
        <v>48.054282488127264</v>
      </c>
      <c r="K16" s="9">
        <f>IF(Rent!L16=0,0,('TENANT CHARGES'!$H12))</f>
        <v>48.054282488127264</v>
      </c>
      <c r="L16" s="9">
        <f>IF(Rent!M16=0,0,('TENANT CHARGES'!$H12))</f>
        <v>48.054282488127264</v>
      </c>
      <c r="M16" s="9">
        <f>IF(Rent!N16=0,0,('TENANT CHARGES'!$H12))</f>
        <v>48.054282488127264</v>
      </c>
      <c r="N16" s="9">
        <f>IF(Rent!O16=0,0,('TENANT CHARGES'!$H12))</f>
        <v>48.054282488127264</v>
      </c>
      <c r="O16" s="9">
        <f>IF(Rent!P16=0,0,('TENANT CHARGES'!$H12))</f>
        <v>48.054282488127264</v>
      </c>
      <c r="P16" s="9">
        <f>IF(Rent!Q16=0,0,('TENANT CHARGES'!$H12))</f>
        <v>48.054282488127264</v>
      </c>
      <c r="Q16" s="70">
        <f t="shared" si="1"/>
        <v>576.65138985752719</v>
      </c>
      <c r="R16" s="272">
        <f t="shared" si="2"/>
        <v>0.24027141244063632</v>
      </c>
    </row>
    <row r="17" spans="1:19" ht="14.5">
      <c r="A17" s="45" t="str">
        <f>Rent!A17</f>
        <v>GECKO GIRLZ SHAVE ICE SHACK</v>
      </c>
      <c r="B17" s="52" t="str">
        <f>Rent!B17</f>
        <v>C-7</v>
      </c>
      <c r="C17" s="55">
        <f>Rent!D17</f>
        <v>518</v>
      </c>
      <c r="D17" s="77">
        <f t="shared" si="0"/>
        <v>1.0145324924595559E-2</v>
      </c>
      <c r="E17" s="9">
        <f>IF(Rent!F17=0,0,('TENANT CHARGES'!$H13))</f>
        <v>124.46059164424962</v>
      </c>
      <c r="F17" s="9">
        <f>IF(Rent!G17=0,0,('TENANT CHARGES'!$H13))</f>
        <v>124.46059164424962</v>
      </c>
      <c r="G17" s="9">
        <f>IF(Rent!H17=0,0,('TENANT CHARGES'!$H13))</f>
        <v>124.46059164424962</v>
      </c>
      <c r="H17" s="9">
        <f>IF(Rent!I17=0,0,('TENANT CHARGES'!$H13))</f>
        <v>124.46059164424962</v>
      </c>
      <c r="I17" s="9">
        <f>IF(Rent!J17=0,0,('TENANT CHARGES'!$H13))</f>
        <v>124.46059164424962</v>
      </c>
      <c r="J17" s="9">
        <f>IF(Rent!K17=0,0,('TENANT CHARGES'!$H13))</f>
        <v>124.46059164424962</v>
      </c>
      <c r="K17" s="9">
        <f>IF(Rent!L17=0,0,('TENANT CHARGES'!$H13))</f>
        <v>124.46059164424962</v>
      </c>
      <c r="L17" s="9">
        <f>IF(Rent!M17=0,0,('TENANT CHARGES'!$H13))</f>
        <v>124.46059164424962</v>
      </c>
      <c r="M17" s="9">
        <f>IF(Rent!N17=0,0,('TENANT CHARGES'!$H13))</f>
        <v>124.46059164424962</v>
      </c>
      <c r="N17" s="9">
        <f>IF(Rent!O17=0,0,('TENANT CHARGES'!$H13))</f>
        <v>124.46059164424962</v>
      </c>
      <c r="O17" s="9">
        <f>IF(Rent!P17=0,0,('TENANT CHARGES'!$H13))</f>
        <v>124.46059164424962</v>
      </c>
      <c r="P17" s="9">
        <f>IF(Rent!Q17=0,0,('TENANT CHARGES'!$H13))</f>
        <v>124.46059164424962</v>
      </c>
      <c r="Q17" s="70">
        <f t="shared" si="1"/>
        <v>1493.5270997309956</v>
      </c>
      <c r="R17" s="272">
        <f t="shared" si="2"/>
        <v>0.24027141244063632</v>
      </c>
    </row>
    <row r="18" spans="1:19" ht="14.5">
      <c r="A18" s="45" t="str">
        <f>Rent!A18</f>
        <v>BIG ISLAND RUNNING CO.</v>
      </c>
      <c r="B18" s="52" t="str">
        <f>Rent!B18</f>
        <v>C-8</v>
      </c>
      <c r="C18" s="55">
        <f>Rent!D18</f>
        <v>525</v>
      </c>
      <c r="D18" s="77">
        <f t="shared" si="0"/>
        <v>1.0282423910063065E-2</v>
      </c>
      <c r="E18" s="9">
        <f>IF(Rent!F18=0,0,('TENANT CHARGES'!$H14))</f>
        <v>126.14249153133407</v>
      </c>
      <c r="F18" s="9">
        <f>IF(Rent!G18=0,0,('TENANT CHARGES'!$H14))</f>
        <v>126.14249153133407</v>
      </c>
      <c r="G18" s="9">
        <f>IF(Rent!H18=0,0,('TENANT CHARGES'!$H14))</f>
        <v>126.14249153133407</v>
      </c>
      <c r="H18" s="9">
        <f>IF(Rent!I18=0,0,('TENANT CHARGES'!$H14))</f>
        <v>126.14249153133407</v>
      </c>
      <c r="I18" s="9">
        <f>IF(Rent!J18=0,0,('TENANT CHARGES'!$H14))</f>
        <v>126.14249153133407</v>
      </c>
      <c r="J18" s="9">
        <f>IF(Rent!K18=0,0,('TENANT CHARGES'!$H14))</f>
        <v>126.14249153133407</v>
      </c>
      <c r="K18" s="9">
        <f>IF(Rent!L18=0,0,('TENANT CHARGES'!$H14))</f>
        <v>126.14249153133407</v>
      </c>
      <c r="L18" s="9">
        <f>IF(Rent!M18=0,0,('TENANT CHARGES'!$H14))</f>
        <v>126.14249153133407</v>
      </c>
      <c r="M18" s="9">
        <f>IF(Rent!N18=0,0,('TENANT CHARGES'!$H14))</f>
        <v>126.14249153133407</v>
      </c>
      <c r="N18" s="9">
        <f>IF(Rent!O18=0,0,('TENANT CHARGES'!$H14))</f>
        <v>126.14249153133407</v>
      </c>
      <c r="O18" s="9">
        <f>IF(Rent!P18=0,0,('TENANT CHARGES'!$H14))</f>
        <v>126.14249153133407</v>
      </c>
      <c r="P18" s="9">
        <f>IF(Rent!Q18=0,0,('TENANT CHARGES'!$H14))</f>
        <v>126.14249153133407</v>
      </c>
      <c r="Q18" s="70">
        <f t="shared" si="1"/>
        <v>1513.7098983760091</v>
      </c>
      <c r="R18" s="272">
        <f t="shared" si="2"/>
        <v>0.24027141244063632</v>
      </c>
    </row>
    <row r="19" spans="1:19" ht="14.5">
      <c r="A19" s="45" t="str">
        <f>Rent!A19</f>
        <v>CAFE KONA</v>
      </c>
      <c r="B19" s="52" t="str">
        <f>Rent!B19</f>
        <v>D11-12</v>
      </c>
      <c r="C19" s="55">
        <f>Rent!D19</f>
        <v>994</v>
      </c>
      <c r="D19" s="77">
        <f t="shared" si="0"/>
        <v>1.9468055936386071E-2</v>
      </c>
      <c r="E19" s="9">
        <f>IF(Rent!F19=0,0,('TENANT CHARGES'!$H15))</f>
        <v>238.8297839659925</v>
      </c>
      <c r="F19" s="9">
        <f>IF(Rent!G19=0,0,('TENANT CHARGES'!$H15))</f>
        <v>238.8297839659925</v>
      </c>
      <c r="G19" s="9">
        <f>IF(Rent!H19=0,0,('TENANT CHARGES'!$H15))</f>
        <v>238.8297839659925</v>
      </c>
      <c r="H19" s="9">
        <f>IF(Rent!I19=0,0,('TENANT CHARGES'!$H15))</f>
        <v>238.8297839659925</v>
      </c>
      <c r="I19" s="9">
        <f>IF(Rent!J19=0,0,('TENANT CHARGES'!$H15))</f>
        <v>238.8297839659925</v>
      </c>
      <c r="J19" s="9">
        <f>IF(Rent!K19=0,0,('TENANT CHARGES'!$H15))</f>
        <v>238.8297839659925</v>
      </c>
      <c r="K19" s="9">
        <f>IF(Rent!L19=0,0,('TENANT CHARGES'!$H15))</f>
        <v>238.8297839659925</v>
      </c>
      <c r="L19" s="9">
        <f>IF(Rent!M19=0,0,('TENANT CHARGES'!$H15))</f>
        <v>238.8297839659925</v>
      </c>
      <c r="M19" s="9">
        <f>IF(Rent!N19=0,0,('TENANT CHARGES'!$H15))</f>
        <v>238.8297839659925</v>
      </c>
      <c r="N19" s="9">
        <f>IF(Rent!O19=0,0,('TENANT CHARGES'!$H15))</f>
        <v>238.8297839659925</v>
      </c>
      <c r="O19" s="9">
        <f>IF(Rent!P19=0,0,('TENANT CHARGES'!$H15))</f>
        <v>238.8297839659925</v>
      </c>
      <c r="P19" s="9">
        <f>IF(Rent!Q19=0,0,('TENANT CHARGES'!$H15))</f>
        <v>238.8297839659925</v>
      </c>
      <c r="Q19" s="70">
        <f t="shared" si="1"/>
        <v>2865.9574075919104</v>
      </c>
      <c r="R19" s="272">
        <f t="shared" si="2"/>
        <v>0.24027141244063632</v>
      </c>
    </row>
    <row r="20" spans="1:19" ht="14.5">
      <c r="A20" s="45" t="str">
        <f>Rent!A20</f>
        <v>LUCASIE LTD</v>
      </c>
      <c r="B20" s="52" t="str">
        <f>Rent!B20</f>
        <v>D9-D10</v>
      </c>
      <c r="C20" s="55">
        <f>Rent!D20</f>
        <v>1043</v>
      </c>
      <c r="D20" s="77">
        <f t="shared" si="0"/>
        <v>2.0427748834658623E-2</v>
      </c>
      <c r="E20" s="9">
        <f>IF(Rent!F20=0,0,('TENANT CHARGES'!$H17))</f>
        <v>250.60308317558369</v>
      </c>
      <c r="F20" s="9">
        <f>IF(Rent!G20=0,0,('TENANT CHARGES'!$H17))</f>
        <v>250.60308317558369</v>
      </c>
      <c r="G20" s="9">
        <f>IF(Rent!H20=0,0,('TENANT CHARGES'!$H17))</f>
        <v>250.60308317558369</v>
      </c>
      <c r="H20" s="9">
        <f>IF(Rent!I20=0,0,('TENANT CHARGES'!$H17))</f>
        <v>250.60308317558369</v>
      </c>
      <c r="I20" s="9">
        <f>IF(Rent!J20=0,0,('TENANT CHARGES'!$H17))</f>
        <v>250.60308317558369</v>
      </c>
      <c r="J20" s="9">
        <f>IF(Rent!K20=0,0,('TENANT CHARGES'!$H17))</f>
        <v>250.60308317558369</v>
      </c>
      <c r="K20" s="9">
        <f>IF(Rent!L20=0,0,('TENANT CHARGES'!$H17))</f>
        <v>250.60308317558369</v>
      </c>
      <c r="L20" s="9">
        <f>IF(Rent!M20=0,0,('TENANT CHARGES'!$H17))</f>
        <v>250.60308317558369</v>
      </c>
      <c r="M20" s="9">
        <f>IF(Rent!N20=0,0,('TENANT CHARGES'!$H17))</f>
        <v>250.60308317558369</v>
      </c>
      <c r="N20" s="9">
        <f>IF(Rent!O20=0,0,('TENANT CHARGES'!$H17))</f>
        <v>250.60308317558369</v>
      </c>
      <c r="O20" s="9">
        <f>IF(Rent!P20=0,0,('TENANT CHARGES'!$H17))</f>
        <v>250.60308317558369</v>
      </c>
      <c r="P20" s="9">
        <f>IF(Rent!Q20=0,0,('TENANT CHARGES'!$H17))</f>
        <v>250.60308317558369</v>
      </c>
      <c r="Q20" s="70">
        <f t="shared" si="1"/>
        <v>3007.2369981070046</v>
      </c>
      <c r="R20" s="272">
        <f t="shared" si="2"/>
        <v>0.24027141244063632</v>
      </c>
    </row>
    <row r="21" spans="1:19" ht="14.5">
      <c r="A21" s="45" t="str">
        <f>Rent!A21</f>
        <v>FOSTERS KITCHEN</v>
      </c>
      <c r="B21" s="52" t="str">
        <f>Rent!B21</f>
        <v>DU-1</v>
      </c>
      <c r="C21" s="55">
        <f>Rent!D21</f>
        <v>3526</v>
      </c>
      <c r="D21" s="77">
        <f t="shared" si="0"/>
        <v>6.9058717536918793E-2</v>
      </c>
      <c r="E21" s="9">
        <f>IF(Rent!F21=0,0,('TENANT CHARGES'!$H18))</f>
        <v>847.21163777357106</v>
      </c>
      <c r="F21" s="9">
        <f>IF(Rent!G21=0,0,('TENANT CHARGES'!$H18))</f>
        <v>847.21163777357106</v>
      </c>
      <c r="G21" s="9">
        <f>IF(Rent!H21=0,0,('TENANT CHARGES'!$H18))</f>
        <v>847.21163777357106</v>
      </c>
      <c r="H21" s="9">
        <f>IF(Rent!I21=0,0,('TENANT CHARGES'!$H18))</f>
        <v>847.21163777357106</v>
      </c>
      <c r="I21" s="9">
        <f>IF(Rent!J21=0,0,('TENANT CHARGES'!$H18))</f>
        <v>847.21163777357106</v>
      </c>
      <c r="J21" s="9">
        <f>IF(Rent!K21=0,0,('TENANT CHARGES'!$H18))</f>
        <v>847.21163777357106</v>
      </c>
      <c r="K21" s="9">
        <f>IF(Rent!L21=0,0,('TENANT CHARGES'!$H18))</f>
        <v>847.21163777357106</v>
      </c>
      <c r="L21" s="9">
        <f>IF(Rent!M21=0,0,('TENANT CHARGES'!$H18))</f>
        <v>847.21163777357106</v>
      </c>
      <c r="M21" s="9">
        <f>IF(Rent!N21=0,0,('TENANT CHARGES'!$H18))</f>
        <v>847.21163777357106</v>
      </c>
      <c r="N21" s="9">
        <f>IF(Rent!O21=0,0,('TENANT CHARGES'!$H18))</f>
        <v>847.21163777357106</v>
      </c>
      <c r="O21" s="9">
        <f>IF(Rent!P21=0,0,('TENANT CHARGES'!$H18))</f>
        <v>847.21163777357106</v>
      </c>
      <c r="P21" s="9">
        <f>IF(Rent!Q21=0,0,('TENANT CHARGES'!$H18))</f>
        <v>847.21163777357106</v>
      </c>
      <c r="Q21" s="70">
        <f t="shared" si="1"/>
        <v>10166.539653282853</v>
      </c>
      <c r="R21" s="272">
        <f t="shared" si="2"/>
        <v>0.2402755637474677</v>
      </c>
    </row>
    <row r="22" spans="1:19" ht="14.5">
      <c r="A22" s="440" t="str">
        <f>Rent!A22</f>
        <v>HUMPYS BIG ISLAND ALEHOUSE</v>
      </c>
      <c r="B22" s="443" t="str">
        <f>Rent!B22</f>
        <v>E</v>
      </c>
      <c r="C22" s="448">
        <f>Rent!D22</f>
        <v>10736</v>
      </c>
      <c r="D22" s="449">
        <f t="shared" si="0"/>
        <v>0.21027067256845156</v>
      </c>
      <c r="E22" s="253">
        <v>0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f>IF(Rent!N22=0,0,('TENANT CHARGES'!$H19))</f>
        <v>2579.5984523928132</v>
      </c>
      <c r="N22" s="253">
        <f>IF(Rent!O22=0,0,('TENANT CHARGES'!$H19))</f>
        <v>2579.5984523928132</v>
      </c>
      <c r="O22" s="253">
        <f>IF(Rent!P22=0,0,('TENANT CHARGES'!$H19))</f>
        <v>2579.5984523928132</v>
      </c>
      <c r="P22" s="253">
        <f>IF(Rent!Q22=0,0,('TENANT CHARGES'!$H19))</f>
        <v>2579.5984523928132</v>
      </c>
      <c r="Q22" s="446">
        <f t="shared" si="1"/>
        <v>10318.393809571253</v>
      </c>
      <c r="R22" s="450">
        <f t="shared" si="2"/>
        <v>0.2402755637474677</v>
      </c>
      <c r="S22" s="440" t="s">
        <v>533</v>
      </c>
    </row>
    <row r="23" spans="1:19" ht="14.5">
      <c r="A23" s="45" t="str">
        <f>Rent!A23</f>
        <v>ABC STORE #75</v>
      </c>
      <c r="B23" s="52" t="str">
        <f>Rent!B23</f>
        <v>F15,17&amp;A8</v>
      </c>
      <c r="C23" s="55">
        <f>Rent!D23</f>
        <v>4000</v>
      </c>
      <c r="D23" s="77">
        <f t="shared" si="0"/>
        <v>7.834227741000431E-2</v>
      </c>
      <c r="E23" s="9">
        <f>IF(Rent!F23=0,0,('TENANT CHARGES'!$H20))</f>
        <v>720.82669124240317</v>
      </c>
      <c r="F23" s="9">
        <f>IF(Rent!G23=0,0,('TENANT CHARGES'!$H20))</f>
        <v>720.82669124240317</v>
      </c>
      <c r="G23" s="9">
        <f>IF(Rent!H23=0,0,('TENANT CHARGES'!$H20))</f>
        <v>720.82669124240317</v>
      </c>
      <c r="H23" s="9">
        <f>IF(Rent!I23=0,0,('TENANT CHARGES'!$H20))</f>
        <v>720.82669124240317</v>
      </c>
      <c r="I23" s="9">
        <f>IF(Rent!J23=0,0,('TENANT CHARGES'!$H20))</f>
        <v>720.82669124240317</v>
      </c>
      <c r="J23" s="9">
        <f>IF(Rent!K23=0,0,('TENANT CHARGES'!$H20))</f>
        <v>720.82669124240317</v>
      </c>
      <c r="K23" s="9">
        <f>IF(Rent!L23=0,0,('TENANT CHARGES'!$H20))</f>
        <v>720.82669124240317</v>
      </c>
      <c r="L23" s="9">
        <f>IF(Rent!M23=0,0,('TENANT CHARGES'!$H20))</f>
        <v>720.82669124240317</v>
      </c>
      <c r="M23" s="9">
        <f>IF(Rent!N23=0,0,('TENANT CHARGES'!$H20))</f>
        <v>720.82669124240317</v>
      </c>
      <c r="N23" s="9">
        <f>IF(Rent!O23=0,0,('TENANT CHARGES'!$H20))</f>
        <v>720.82669124240317</v>
      </c>
      <c r="O23" s="9">
        <f>IF(Rent!P23=0,0,('TENANT CHARGES'!$H20))</f>
        <v>720.82669124240317</v>
      </c>
      <c r="P23" s="9">
        <f>IF(Rent!Q23=0,0,('TENANT CHARGES'!$H20))</f>
        <v>720.82669124240317</v>
      </c>
      <c r="Q23" s="70">
        <f t="shared" si="1"/>
        <v>8649.9202949088376</v>
      </c>
      <c r="R23" s="272">
        <f t="shared" si="2"/>
        <v>0.18020667281060079</v>
      </c>
    </row>
    <row r="24" spans="1:19" ht="14.5">
      <c r="A24" s="45" t="str">
        <f>Rent!A24</f>
        <v>GYPSEA GALATO</v>
      </c>
      <c r="B24" s="52" t="str">
        <f>Rent!B24</f>
        <v>F-16</v>
      </c>
      <c r="C24" s="55">
        <f>Rent!D24</f>
        <v>500</v>
      </c>
      <c r="D24" s="77">
        <f t="shared" si="0"/>
        <v>9.7927846762505388E-3</v>
      </c>
      <c r="E24" s="9">
        <f>IF(Rent!F24=0,0,('TENANT CHARGES'!$H21))</f>
        <v>120.13778187373384</v>
      </c>
      <c r="F24" s="9">
        <f>IF(Rent!G24=0,0,('TENANT CHARGES'!$H21))</f>
        <v>120.13778187373384</v>
      </c>
      <c r="G24" s="9">
        <f>IF(Rent!H24=0,0,('TENANT CHARGES'!$H21))</f>
        <v>120.13778187373384</v>
      </c>
      <c r="H24" s="9">
        <f>IF(Rent!I24=0,0,('TENANT CHARGES'!$H21))</f>
        <v>120.13778187373384</v>
      </c>
      <c r="I24" s="9">
        <f>IF(Rent!J24=0,0,('TENANT CHARGES'!$H21))</f>
        <v>120.13778187373384</v>
      </c>
      <c r="J24" s="9">
        <f>IF(Rent!K24=0,0,('TENANT CHARGES'!$H21))</f>
        <v>120.13778187373384</v>
      </c>
      <c r="K24" s="9">
        <f>IF(Rent!L24=0,0,('TENANT CHARGES'!$H21))</f>
        <v>120.13778187373384</v>
      </c>
      <c r="L24" s="9">
        <f>IF(Rent!M24=0,0,('TENANT CHARGES'!$H21))</f>
        <v>120.13778187373384</v>
      </c>
      <c r="M24" s="9">
        <f>IF(Rent!N24=0,0,('TENANT CHARGES'!$H21))</f>
        <v>120.13778187373384</v>
      </c>
      <c r="N24" s="9">
        <f>IF(Rent!O24=0,0,('TENANT CHARGES'!$H21))</f>
        <v>120.13778187373384</v>
      </c>
      <c r="O24" s="9">
        <f>IF(Rent!P24=0,0,('TENANT CHARGES'!$H21))</f>
        <v>120.13778187373384</v>
      </c>
      <c r="P24" s="9">
        <f>IF(Rent!Q24=0,0,('TENANT CHARGES'!$H21))</f>
        <v>120.13778187373384</v>
      </c>
      <c r="Q24" s="70">
        <f t="shared" si="1"/>
        <v>1441.6533824848057</v>
      </c>
      <c r="R24" s="272">
        <f t="shared" si="2"/>
        <v>0.2402755637474677</v>
      </c>
    </row>
    <row r="25" spans="1:19" ht="14.5">
      <c r="A25" s="45" t="str">
        <f>Rent!A25</f>
        <v>OCEANS SPORTS BAR AND GRILL</v>
      </c>
      <c r="B25" s="52" t="str">
        <f>Rent!B25</f>
        <v>G</v>
      </c>
      <c r="C25" s="55">
        <f>Rent!D25</f>
        <v>2896</v>
      </c>
      <c r="D25" s="77">
        <f t="shared" si="0"/>
        <v>5.6719808844843123E-2</v>
      </c>
      <c r="E25" s="9">
        <f>IF(Rent!F25=0,0,('TENANT CHARGES'!$H22))</f>
        <v>0</v>
      </c>
      <c r="F25" s="9">
        <f>IF(Rent!G25=0,0,('TENANT CHARGES'!$H22))</f>
        <v>0</v>
      </c>
      <c r="G25" s="9">
        <f>IF(Rent!H25=0,0,('TENANT CHARGES'!$H22))</f>
        <v>0</v>
      </c>
      <c r="H25" s="9">
        <f>IF(Rent!I25=0,0,('TENANT CHARGES'!$H22))</f>
        <v>0</v>
      </c>
      <c r="I25" s="9">
        <f>IF(Rent!J25=0,0,('TENANT CHARGES'!$H22))</f>
        <v>0</v>
      </c>
      <c r="J25" s="9">
        <f>IF(Rent!K25=0,0,('TENANT CHARGES'!$H22))</f>
        <v>0</v>
      </c>
      <c r="K25" s="9">
        <f>IF(Rent!L25=0,0,('TENANT CHARGES'!$H22))</f>
        <v>0</v>
      </c>
      <c r="L25" s="9">
        <f>IF(Rent!M25=0,0,('TENANT CHARGES'!$H22))</f>
        <v>0</v>
      </c>
      <c r="M25" s="9">
        <f>IF(Rent!N25=0,0,('TENANT CHARGES'!$H22))</f>
        <v>0</v>
      </c>
      <c r="N25" s="9">
        <f>IF(Rent!O25=0,0,('TENANT CHARGES'!$H22))</f>
        <v>0</v>
      </c>
      <c r="O25" s="9">
        <f>IF(Rent!P25=0,0,('TENANT CHARGES'!$H22))</f>
        <v>0</v>
      </c>
      <c r="P25" s="9">
        <f>IF(Rent!Q25=0,0,('TENANT CHARGES'!$H22))</f>
        <v>0</v>
      </c>
      <c r="Q25" s="70">
        <f t="shared" si="1"/>
        <v>0</v>
      </c>
      <c r="R25" s="272">
        <f t="shared" si="2"/>
        <v>0</v>
      </c>
    </row>
    <row r="26" spans="1:19" ht="14.5">
      <c r="A26" s="45" t="str">
        <f>Rent!A26</f>
        <v>JACKS DIVE LOCKER</v>
      </c>
      <c r="B26" s="52" t="str">
        <f>Rent!B26</f>
        <v>H</v>
      </c>
      <c r="C26" s="55">
        <f>Rent!D26</f>
        <v>8014</v>
      </c>
      <c r="D26" s="77">
        <f t="shared" si="0"/>
        <v>0.15695875279094362</v>
      </c>
      <c r="E26" s="9">
        <f>IF(Rent!F26=0,0,('TENANT CHARGES'!$H23))</f>
        <v>0</v>
      </c>
      <c r="F26" s="9">
        <f>IF(Rent!G26=0,0,('TENANT CHARGES'!$H23))</f>
        <v>0</v>
      </c>
      <c r="G26" s="9">
        <f>IF(Rent!H26=0,0,('TENANT CHARGES'!$H23))</f>
        <v>0</v>
      </c>
      <c r="H26" s="9">
        <f>IF(Rent!I26=0,0,('TENANT CHARGES'!$H23))</f>
        <v>0</v>
      </c>
      <c r="I26" s="9">
        <f>IF(Rent!J26=0,0,('TENANT CHARGES'!$H23))</f>
        <v>0</v>
      </c>
      <c r="J26" s="9">
        <f>IF(Rent!K26=0,0,('TENANT CHARGES'!$H23))</f>
        <v>0</v>
      </c>
      <c r="K26" s="9">
        <f>IF(Rent!L26=0,0,('TENANT CHARGES'!$H23))</f>
        <v>0</v>
      </c>
      <c r="L26" s="9">
        <f>IF(Rent!M26=0,0,('TENANT CHARGES'!$H23))</f>
        <v>0</v>
      </c>
      <c r="M26" s="9">
        <f>IF(Rent!N26=0,0,('TENANT CHARGES'!$H23))</f>
        <v>0</v>
      </c>
      <c r="N26" s="9">
        <f>IF(Rent!O26=0,0,('TENANT CHARGES'!$H23))</f>
        <v>0</v>
      </c>
      <c r="O26" s="9">
        <f>IF(Rent!P26=0,0,('TENANT CHARGES'!$H23))</f>
        <v>0</v>
      </c>
      <c r="P26" s="9">
        <f>IF(Rent!Q26=0,0,('TENANT CHARGES'!$H23))</f>
        <v>0</v>
      </c>
      <c r="Q26" s="70">
        <f t="shared" si="1"/>
        <v>0</v>
      </c>
      <c r="R26" s="272">
        <f t="shared" si="2"/>
        <v>0</v>
      </c>
    </row>
    <row r="27" spans="1:19" ht="14.5">
      <c r="A27" s="45" t="str">
        <f>Rent!A27</f>
        <v>QPOT</v>
      </c>
      <c r="B27" s="52" t="str">
        <f>Rent!B27</f>
        <v>I</v>
      </c>
      <c r="C27" s="55">
        <f>Rent!D27</f>
        <v>6500</v>
      </c>
      <c r="D27" s="77">
        <f t="shared" si="0"/>
        <v>0.12730620079125701</v>
      </c>
      <c r="E27" s="9">
        <f>IF(Rent!F27=0,0,('TENANT CHARGES'!$H24))</f>
        <v>0</v>
      </c>
      <c r="F27" s="9">
        <f>IF(Rent!G27=0,0,('TENANT CHARGES'!$H24))</f>
        <v>0</v>
      </c>
      <c r="G27" s="9">
        <f>IF(Rent!H27=0,0,('TENANT CHARGES'!$H24))</f>
        <v>0</v>
      </c>
      <c r="H27" s="9">
        <f>IF(Rent!I27=0,0,('TENANT CHARGES'!$H24))</f>
        <v>0</v>
      </c>
      <c r="I27" s="9">
        <f>IF(Rent!J27=0,0,('TENANT CHARGES'!$H24))</f>
        <v>0</v>
      </c>
      <c r="J27" s="9">
        <f>IF(Rent!K27=0,0,('TENANT CHARGES'!$H24))</f>
        <v>0</v>
      </c>
      <c r="K27" s="9">
        <f>IF(Rent!L27=0,0,('TENANT CHARGES'!$H24))</f>
        <v>0</v>
      </c>
      <c r="L27" s="9">
        <f>IF(Rent!M27=0,0,('TENANT CHARGES'!$H24))</f>
        <v>0</v>
      </c>
      <c r="M27" s="9">
        <f>IF(Rent!N27=0,0,('TENANT CHARGES'!$H24))</f>
        <v>0</v>
      </c>
      <c r="N27" s="9">
        <f>IF(Rent!O27=0,0,('TENANT CHARGES'!$H24))</f>
        <v>0</v>
      </c>
      <c r="O27" s="9">
        <f>IF(Rent!P27=0,0,('TENANT CHARGES'!$H24))</f>
        <v>0</v>
      </c>
      <c r="P27" s="9">
        <f>IF(Rent!Q27=0,0,('TENANT CHARGES'!$H24))</f>
        <v>0</v>
      </c>
      <c r="Q27" s="70">
        <f t="shared" si="1"/>
        <v>0</v>
      </c>
      <c r="R27" s="272">
        <f t="shared" si="2"/>
        <v>0</v>
      </c>
    </row>
    <row r="28" spans="1:19" ht="14.5">
      <c r="A28" s="45" t="str">
        <f>Rent!A28</f>
        <v>BOWLS SUPERFOODS &amp; ORALE TACOS</v>
      </c>
      <c r="B28" s="52" t="str">
        <f>Rent!B28</f>
        <v>PC-1&amp;2</v>
      </c>
      <c r="C28" s="55">
        <f>Rent!D28</f>
        <v>1993</v>
      </c>
      <c r="D28" s="77">
        <f t="shared" si="0"/>
        <v>3.9034039719534647E-2</v>
      </c>
      <c r="E28" s="9">
        <f>IF(Rent!F28=0,0,('TENANT CHARGES'!$H25))</f>
        <v>0</v>
      </c>
      <c r="F28" s="9">
        <f>IF(Rent!G28=0,0,('TENANT CHARGES'!$H25))</f>
        <v>0</v>
      </c>
      <c r="G28" s="9">
        <f>IF(Rent!H28=0,0,('TENANT CHARGES'!$H25))</f>
        <v>0</v>
      </c>
      <c r="H28" s="9">
        <f>IF(Rent!I28=0,0,('TENANT CHARGES'!$H25))</f>
        <v>0</v>
      </c>
      <c r="I28" s="9">
        <f>IF(Rent!J28=0,0,('TENANT CHARGES'!$H25))</f>
        <v>0</v>
      </c>
      <c r="J28" s="9">
        <f>IF(Rent!K28=0,0,('TENANT CHARGES'!$H25))</f>
        <v>0</v>
      </c>
      <c r="K28" s="9">
        <f>IF(Rent!L28=0,0,('TENANT CHARGES'!$H25))</f>
        <v>0</v>
      </c>
      <c r="L28" s="9">
        <f>IF(Rent!M28=0,0,('TENANT CHARGES'!$H25))</f>
        <v>0</v>
      </c>
      <c r="M28" s="9">
        <f>IF(Rent!N28=0,0,('TENANT CHARGES'!$H25))</f>
        <v>0</v>
      </c>
      <c r="N28" s="9">
        <f>IF(Rent!O28=0,0,('TENANT CHARGES'!$H25))</f>
        <v>0</v>
      </c>
      <c r="O28" s="9">
        <f>IF(Rent!P28=0,0,('TENANT CHARGES'!$H25))</f>
        <v>0</v>
      </c>
      <c r="P28" s="9">
        <f>IF(Rent!Q28=0,0,('TENANT CHARGES'!$H25))</f>
        <v>0</v>
      </c>
      <c r="Q28" s="70">
        <f t="shared" si="1"/>
        <v>0</v>
      </c>
      <c r="R28" s="272">
        <f t="shared" si="2"/>
        <v>0</v>
      </c>
    </row>
    <row r="29" spans="1:19" ht="14.5">
      <c r="A29" s="45" t="str">
        <f>Rent!A29</f>
        <v>KONA GEAR INC.</v>
      </c>
      <c r="B29" s="52" t="str">
        <f>Rent!B29</f>
        <v>PC 3&amp;4</v>
      </c>
      <c r="C29" s="55">
        <f>Rent!D29</f>
        <v>962</v>
      </c>
      <c r="D29" s="77">
        <f t="shared" si="0"/>
        <v>1.8841317717106038E-2</v>
      </c>
      <c r="E29" s="9">
        <f>IF(Rent!F29=0,0,('TENANT CHARGES'!$H26))</f>
        <v>72.401194746106071</v>
      </c>
      <c r="F29" s="9">
        <f>IF(Rent!G29=0,0,('TENANT CHARGES'!$H26))</f>
        <v>72.401194746106071</v>
      </c>
      <c r="G29" s="9">
        <f>IF(Rent!H29=0,0,('TENANT CHARGES'!$H26))</f>
        <v>72.401194746106071</v>
      </c>
      <c r="H29" s="9">
        <f>IF(Rent!I29=0,0,('TENANT CHARGES'!$H26))</f>
        <v>72.401194746106071</v>
      </c>
      <c r="I29" s="9">
        <f>IF(Rent!J29=0,0,('TENANT CHARGES'!$H26))</f>
        <v>72.401194746106071</v>
      </c>
      <c r="J29" s="9">
        <f>IF(Rent!K29=0,0,('TENANT CHARGES'!$H26))</f>
        <v>72.401194746106071</v>
      </c>
      <c r="K29" s="9">
        <f>IF(Rent!L29=0,0,('TENANT CHARGES'!$H26))</f>
        <v>72.401194746106071</v>
      </c>
      <c r="L29" s="9">
        <f>IF(Rent!M29=0,0,('TENANT CHARGES'!$H26))</f>
        <v>72.401194746106071</v>
      </c>
      <c r="M29" s="9">
        <f>IF(Rent!N29=0,0,('TENANT CHARGES'!$H26))</f>
        <v>72.401194746106071</v>
      </c>
      <c r="N29" s="9">
        <f>IF(Rent!O29=0,0,('TENANT CHARGES'!$H26))</f>
        <v>72.401194746106071</v>
      </c>
      <c r="O29" s="9">
        <f>IF(Rent!P29=0,0,('TENANT CHARGES'!$H26))</f>
        <v>72.401194746106071</v>
      </c>
      <c r="P29" s="9">
        <f>IF(Rent!Q29=0,0,('TENANT CHARGES'!$H26))</f>
        <v>72.401194746106071</v>
      </c>
      <c r="Q29" s="70">
        <f t="shared" si="1"/>
        <v>868.8143369532728</v>
      </c>
      <c r="R29" s="272">
        <f t="shared" si="2"/>
        <v>7.5261117199694458E-2</v>
      </c>
    </row>
    <row r="30" spans="1:19" ht="14.5">
      <c r="A30" s="45" t="str">
        <f>Rent!A30</f>
        <v>LAVERNES</v>
      </c>
      <c r="B30" s="52" t="str">
        <f>Rent!B30</f>
        <v>PC/U1</v>
      </c>
      <c r="C30" s="55">
        <f>Rent!D30</f>
        <v>3704</v>
      </c>
      <c r="D30" s="77">
        <f t="shared" si="0"/>
        <v>7.254494888166399E-2</v>
      </c>
      <c r="E30" s="9">
        <f>IF(Rent!F30=0,0,('TENANT CHARGES'!$H27))</f>
        <v>278.76717810766831</v>
      </c>
      <c r="F30" s="9">
        <f>IF(Rent!G30=0,0,('TENANT CHARGES'!$H27))</f>
        <v>278.76717810766831</v>
      </c>
      <c r="G30" s="9">
        <f>IF(Rent!H30=0,0,('TENANT CHARGES'!$H27))</f>
        <v>278.76717810766831</v>
      </c>
      <c r="H30" s="9">
        <f>IF(Rent!I30=0,0,('TENANT CHARGES'!$H27))</f>
        <v>278.76717810766831</v>
      </c>
      <c r="I30" s="9">
        <f>IF(Rent!J30=0,0,('TENANT CHARGES'!$H27))</f>
        <v>278.76717810766831</v>
      </c>
      <c r="J30" s="9">
        <f>IF(Rent!K30=0,0,('TENANT CHARGES'!$H27))</f>
        <v>278.76717810766831</v>
      </c>
      <c r="K30" s="9">
        <f>IF(Rent!L30=0,0,('TENANT CHARGES'!$H27))</f>
        <v>278.76717810766831</v>
      </c>
      <c r="L30" s="9">
        <f>IF(Rent!M30=0,0,('TENANT CHARGES'!$H27))</f>
        <v>278.76717810766831</v>
      </c>
      <c r="M30" s="9">
        <f>IF(Rent!N30=0,0,('TENANT CHARGES'!$H27))</f>
        <v>278.76717810766831</v>
      </c>
      <c r="N30" s="9">
        <f>IF(Rent!O30=0,0,('TENANT CHARGES'!$H27))</f>
        <v>278.76717810766831</v>
      </c>
      <c r="O30" s="9">
        <f>IF(Rent!P30=0,0,('TENANT CHARGES'!$H27))</f>
        <v>278.76717810766831</v>
      </c>
      <c r="P30" s="9">
        <f>IF(Rent!Q30=0,0,('TENANT CHARGES'!$H27))</f>
        <v>278.76717810766831</v>
      </c>
      <c r="Q30" s="70">
        <f t="shared" si="1"/>
        <v>3345.2061372920198</v>
      </c>
      <c r="R30" s="272">
        <f t="shared" si="2"/>
        <v>7.5261117199694472E-2</v>
      </c>
    </row>
    <row r="33" spans="1:17">
      <c r="A33" s="204" t="s">
        <v>437</v>
      </c>
      <c r="B33" s="311"/>
      <c r="C33" s="322">
        <f>SUM(C14:C32)</f>
        <v>51058</v>
      </c>
      <c r="D33" s="323">
        <f>SUM(D14:D32)</f>
        <v>1</v>
      </c>
      <c r="E33" s="324">
        <f>SUM(E14:E32)</f>
        <v>4016.0573938925972</v>
      </c>
      <c r="F33" s="324">
        <f t="shared" ref="F33:P33" si="3">SUM(F14:F32)</f>
        <v>4016.0573938925972</v>
      </c>
      <c r="G33" s="324">
        <f t="shared" si="3"/>
        <v>4016.0573938925972</v>
      </c>
      <c r="H33" s="324">
        <f t="shared" si="3"/>
        <v>4016.0573938925972</v>
      </c>
      <c r="I33" s="324">
        <f>SUM(I14:I32)</f>
        <v>4016.0573938925972</v>
      </c>
      <c r="J33" s="324">
        <f t="shared" si="3"/>
        <v>4016.0573938925972</v>
      </c>
      <c r="K33" s="324">
        <f t="shared" si="3"/>
        <v>4016.0573938925972</v>
      </c>
      <c r="L33" s="324">
        <f t="shared" si="3"/>
        <v>4016.0573938925972</v>
      </c>
      <c r="M33" s="324">
        <f t="shared" si="3"/>
        <v>6595.65584628541</v>
      </c>
      <c r="N33" s="324">
        <f t="shared" si="3"/>
        <v>6595.65584628541</v>
      </c>
      <c r="O33" s="324">
        <f t="shared" si="3"/>
        <v>6595.65584628541</v>
      </c>
      <c r="P33" s="324">
        <f t="shared" si="3"/>
        <v>6595.65584628541</v>
      </c>
      <c r="Q33" s="325">
        <f>SUM(Q14:Q32)</f>
        <v>58511.082536282418</v>
      </c>
    </row>
    <row r="34" spans="1:17">
      <c r="A34" s="298"/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13"/>
    </row>
    <row r="35" spans="1:17">
      <c r="N35" s="67"/>
      <c r="O35" s="79" t="s">
        <v>536</v>
      </c>
      <c r="P35" s="60"/>
      <c r="Q35" s="80">
        <f>Summ.!O106</f>
        <v>115757</v>
      </c>
    </row>
    <row r="36" spans="1:17">
      <c r="N36" s="67"/>
      <c r="O36" s="75" t="s">
        <v>535</v>
      </c>
      <c r="P36" s="63"/>
      <c r="Q36" s="76">
        <f>Q33/Q35</f>
        <v>0.50546474542604269</v>
      </c>
    </row>
  </sheetData>
  <mergeCells count="5">
    <mergeCell ref="A6:Q6"/>
    <mergeCell ref="A2:Q2"/>
    <mergeCell ref="A3:Q3"/>
    <mergeCell ref="A4:Q4"/>
    <mergeCell ref="A5:Q5"/>
  </mergeCells>
  <phoneticPr fontId="0" type="noConversion"/>
  <printOptions horizontalCentered="1"/>
  <pageMargins left="0.4" right="0.27" top="0.5" bottom="0.75" header="0.5" footer="0.5"/>
  <pageSetup paperSize="3" scale="78" firstPageNumber="7" orientation="landscape" useFirstPageNumber="1" r:id="rId1"/>
  <headerFooter scaleWithDoc="0" alignWithMargins="0">
    <oddFooter>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40"/>
  <sheetViews>
    <sheetView topLeftCell="D5" zoomScale="85" zoomScaleNormal="85" workbookViewId="0">
      <selection activeCell="X21" sqref="X21"/>
    </sheetView>
  </sheetViews>
  <sheetFormatPr defaultColWidth="8.7265625" defaultRowHeight="13"/>
  <cols>
    <col min="1" max="1" width="35.7265625" style="45" customWidth="1"/>
    <col min="2" max="2" width="9.453125" style="52" customWidth="1"/>
    <col min="3" max="3" width="11.7265625" style="45" customWidth="1"/>
    <col min="4" max="16" width="8.26953125" style="45" customWidth="1"/>
    <col min="17" max="17" width="10.26953125" style="45" bestFit="1" customWidth="1"/>
    <col min="18" max="20" width="13.7265625" style="45" bestFit="1" customWidth="1"/>
    <col min="21" max="16384" width="8.7265625" style="45"/>
  </cols>
  <sheetData>
    <row r="1" spans="1:22">
      <c r="P1" s="67" t="str">
        <f>Summ.!R1</f>
        <v>Date Revised:</v>
      </c>
      <c r="Q1" s="68" t="e">
        <f>Summ.!#REF!</f>
        <v>#REF!</v>
      </c>
      <c r="R1" s="45">
        <f>Summ.!T1</f>
        <v>0</v>
      </c>
    </row>
    <row r="2" spans="1:22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22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22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22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22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22">
      <c r="H7" s="46"/>
    </row>
    <row r="8" spans="1:22">
      <c r="A8" s="200"/>
      <c r="B8" s="165"/>
      <c r="C8" s="201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22">
      <c r="A9" s="166" t="s">
        <v>120</v>
      </c>
      <c r="B9" s="166" t="s">
        <v>434</v>
      </c>
      <c r="C9" s="166" t="s">
        <v>348</v>
      </c>
      <c r="D9" s="166" t="s">
        <v>436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22">
      <c r="A10" s="202"/>
      <c r="B10" s="168" t="s">
        <v>438</v>
      </c>
      <c r="C10" s="168" t="s">
        <v>439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22">
      <c r="A11" s="47"/>
      <c r="C11" s="48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22">
      <c r="A12" s="51" t="s">
        <v>136</v>
      </c>
      <c r="C12" s="48"/>
      <c r="D12" s="49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22">
      <c r="C13" s="50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V13" s="45" t="s">
        <v>686</v>
      </c>
    </row>
    <row r="14" spans="1:22">
      <c r="A14" s="405" t="str">
        <f>Rent!A14</f>
        <v xml:space="preserve">ISLAND LAVA JAVA </v>
      </c>
      <c r="B14" s="52" t="str">
        <f>Rent!B14</f>
        <v>A 1-4</v>
      </c>
      <c r="C14" s="53">
        <f>Rent!D14</f>
        <v>3873</v>
      </c>
      <c r="D14" s="142">
        <v>0</v>
      </c>
      <c r="E14" s="53">
        <v>20000</v>
      </c>
      <c r="F14" s="53">
        <f t="shared" ref="F14:F19" si="0">E14</f>
        <v>20000</v>
      </c>
      <c r="G14" s="53">
        <f t="shared" ref="G14:P14" si="1">F14</f>
        <v>20000</v>
      </c>
      <c r="H14" s="53">
        <f t="shared" si="1"/>
        <v>20000</v>
      </c>
      <c r="I14" s="53">
        <f t="shared" si="1"/>
        <v>20000</v>
      </c>
      <c r="J14" s="53">
        <f t="shared" si="1"/>
        <v>20000</v>
      </c>
      <c r="K14" s="53">
        <f t="shared" si="1"/>
        <v>20000</v>
      </c>
      <c r="L14" s="53">
        <f t="shared" si="1"/>
        <v>20000</v>
      </c>
      <c r="M14" s="53">
        <f t="shared" si="1"/>
        <v>20000</v>
      </c>
      <c r="N14" s="53">
        <f t="shared" si="1"/>
        <v>20000</v>
      </c>
      <c r="O14" s="53">
        <f t="shared" si="1"/>
        <v>20000</v>
      </c>
      <c r="P14" s="53">
        <f t="shared" si="1"/>
        <v>20000</v>
      </c>
      <c r="Q14" s="53">
        <f>SUM(E14:P14)</f>
        <v>240000</v>
      </c>
      <c r="R14" s="45" t="s">
        <v>537</v>
      </c>
      <c r="U14" s="115">
        <f>E14*4.71%</f>
        <v>942.00000000000011</v>
      </c>
      <c r="V14" s="115">
        <f t="shared" ref="V14:V20" si="2">L14*4.71%</f>
        <v>942.00000000000011</v>
      </c>
    </row>
    <row r="15" spans="1:22">
      <c r="A15" s="405" t="str">
        <f>Rent!A15</f>
        <v>TAKA SUSHI</v>
      </c>
      <c r="B15" s="52" t="str">
        <f>Rent!B15</f>
        <v>B-5</v>
      </c>
      <c r="C15" s="53">
        <f>Rent!D15</f>
        <v>1074</v>
      </c>
      <c r="D15" s="142">
        <v>0</v>
      </c>
      <c r="E15" s="53">
        <v>25</v>
      </c>
      <c r="F15" s="53">
        <f t="shared" si="0"/>
        <v>25</v>
      </c>
      <c r="G15" s="53">
        <f t="shared" ref="G15:P15" si="3">F15</f>
        <v>25</v>
      </c>
      <c r="H15" s="53">
        <f t="shared" si="3"/>
        <v>25</v>
      </c>
      <c r="I15" s="53">
        <f t="shared" si="3"/>
        <v>25</v>
      </c>
      <c r="J15" s="53">
        <f t="shared" si="3"/>
        <v>25</v>
      </c>
      <c r="K15" s="53">
        <f t="shared" si="3"/>
        <v>25</v>
      </c>
      <c r="L15" s="53">
        <f t="shared" si="3"/>
        <v>25</v>
      </c>
      <c r="M15" s="53">
        <f t="shared" si="3"/>
        <v>25</v>
      </c>
      <c r="N15" s="53">
        <f t="shared" si="3"/>
        <v>25</v>
      </c>
      <c r="O15" s="53">
        <f t="shared" si="3"/>
        <v>25</v>
      </c>
      <c r="P15" s="53">
        <f t="shared" si="3"/>
        <v>25</v>
      </c>
      <c r="Q15" s="53">
        <f t="shared" ref="Q15:Q30" si="4">SUM(E15:P15)</f>
        <v>300</v>
      </c>
      <c r="R15" s="45" t="s">
        <v>537</v>
      </c>
      <c r="U15" s="115">
        <f t="shared" ref="U15:U29" si="5">E15*4.71%</f>
        <v>1.1775</v>
      </c>
      <c r="V15" s="115">
        <f t="shared" si="2"/>
        <v>1.1775</v>
      </c>
    </row>
    <row r="16" spans="1:22">
      <c r="A16" s="405" t="str">
        <f>Rent!A16</f>
        <v>KANAKA KAVA</v>
      </c>
      <c r="B16" s="52" t="str">
        <f>Rent!B16</f>
        <v>B-6</v>
      </c>
      <c r="C16" s="53">
        <f>Rent!D16</f>
        <v>200</v>
      </c>
      <c r="D16" s="142">
        <v>0</v>
      </c>
      <c r="E16" s="53">
        <v>200</v>
      </c>
      <c r="F16" s="53">
        <f t="shared" si="0"/>
        <v>200</v>
      </c>
      <c r="G16" s="53">
        <f t="shared" ref="G16:P16" si="6">F16</f>
        <v>200</v>
      </c>
      <c r="H16" s="53">
        <f t="shared" si="6"/>
        <v>200</v>
      </c>
      <c r="I16" s="53">
        <f t="shared" si="6"/>
        <v>200</v>
      </c>
      <c r="J16" s="53">
        <f t="shared" si="6"/>
        <v>200</v>
      </c>
      <c r="K16" s="53">
        <f t="shared" si="6"/>
        <v>200</v>
      </c>
      <c r="L16" s="53">
        <f t="shared" si="6"/>
        <v>200</v>
      </c>
      <c r="M16" s="53">
        <f t="shared" si="6"/>
        <v>200</v>
      </c>
      <c r="N16" s="53">
        <f t="shared" si="6"/>
        <v>200</v>
      </c>
      <c r="O16" s="53">
        <f t="shared" si="6"/>
        <v>200</v>
      </c>
      <c r="P16" s="53">
        <f t="shared" si="6"/>
        <v>200</v>
      </c>
      <c r="Q16" s="53">
        <f t="shared" si="4"/>
        <v>2400</v>
      </c>
      <c r="R16" s="45" t="s">
        <v>537</v>
      </c>
      <c r="U16" s="115">
        <f t="shared" si="5"/>
        <v>9.42</v>
      </c>
      <c r="V16" s="115">
        <f t="shared" si="2"/>
        <v>9.42</v>
      </c>
    </row>
    <row r="17" spans="1:22">
      <c r="A17" s="405" t="str">
        <f>Rent!A17</f>
        <v>GECKO GIRLZ SHAVE ICE SHACK</v>
      </c>
      <c r="B17" s="52" t="str">
        <f>Rent!B17</f>
        <v>C-7</v>
      </c>
      <c r="C17" s="53">
        <f>Rent!D17</f>
        <v>518</v>
      </c>
      <c r="D17" s="142">
        <v>0</v>
      </c>
      <c r="E17" s="472">
        <v>900</v>
      </c>
      <c r="F17" s="53">
        <f t="shared" si="0"/>
        <v>900</v>
      </c>
      <c r="G17" s="53">
        <f t="shared" ref="G17:P18" si="7">F17</f>
        <v>900</v>
      </c>
      <c r="H17" s="53">
        <f t="shared" si="7"/>
        <v>900</v>
      </c>
      <c r="I17" s="53">
        <f t="shared" si="7"/>
        <v>900</v>
      </c>
      <c r="J17" s="53">
        <f t="shared" si="7"/>
        <v>900</v>
      </c>
      <c r="K17" s="53">
        <f t="shared" si="7"/>
        <v>900</v>
      </c>
      <c r="L17" s="53">
        <f t="shared" si="7"/>
        <v>900</v>
      </c>
      <c r="M17" s="53">
        <f t="shared" si="7"/>
        <v>900</v>
      </c>
      <c r="N17" s="53">
        <f t="shared" si="7"/>
        <v>900</v>
      </c>
      <c r="O17" s="53">
        <f t="shared" si="7"/>
        <v>900</v>
      </c>
      <c r="P17" s="53">
        <f t="shared" si="7"/>
        <v>900</v>
      </c>
      <c r="Q17" s="53">
        <f t="shared" si="4"/>
        <v>10800</v>
      </c>
      <c r="R17" s="45" t="s">
        <v>537</v>
      </c>
      <c r="U17" s="115">
        <f t="shared" si="5"/>
        <v>42.39</v>
      </c>
      <c r="V17" s="115">
        <f t="shared" si="2"/>
        <v>42.39</v>
      </c>
    </row>
    <row r="18" spans="1:22">
      <c r="A18" s="405" t="str">
        <f>Rent!A18</f>
        <v>BIG ISLAND RUNNING CO.</v>
      </c>
      <c r="B18" s="52" t="str">
        <f>Rent!B18</f>
        <v>C-8</v>
      </c>
      <c r="C18" s="53">
        <f>Rent!D18</f>
        <v>525</v>
      </c>
      <c r="D18" s="142">
        <v>0</v>
      </c>
      <c r="E18" s="53">
        <v>950</v>
      </c>
      <c r="F18" s="53">
        <f t="shared" si="0"/>
        <v>950</v>
      </c>
      <c r="G18" s="53">
        <f t="shared" si="7"/>
        <v>950</v>
      </c>
      <c r="H18" s="53">
        <f t="shared" si="7"/>
        <v>950</v>
      </c>
      <c r="I18" s="53">
        <f t="shared" si="7"/>
        <v>950</v>
      </c>
      <c r="J18" s="53">
        <f t="shared" si="7"/>
        <v>950</v>
      </c>
      <c r="K18" s="53">
        <f t="shared" si="7"/>
        <v>950</v>
      </c>
      <c r="L18" s="53">
        <f t="shared" si="7"/>
        <v>950</v>
      </c>
      <c r="M18" s="53">
        <f t="shared" si="7"/>
        <v>950</v>
      </c>
      <c r="N18" s="53">
        <f t="shared" si="7"/>
        <v>950</v>
      </c>
      <c r="O18" s="53">
        <f t="shared" si="7"/>
        <v>950</v>
      </c>
      <c r="P18" s="53">
        <f t="shared" si="7"/>
        <v>950</v>
      </c>
      <c r="Q18" s="53">
        <f t="shared" si="4"/>
        <v>11400</v>
      </c>
      <c r="R18" s="45" t="s">
        <v>537</v>
      </c>
      <c r="U18" s="115">
        <f t="shared" si="5"/>
        <v>44.745000000000005</v>
      </c>
      <c r="V18" s="115">
        <f t="shared" si="2"/>
        <v>44.745000000000005</v>
      </c>
    </row>
    <row r="19" spans="1:22">
      <c r="A19" s="405" t="str">
        <f>Rent!A19</f>
        <v>CAFE KONA</v>
      </c>
      <c r="B19" s="52" t="str">
        <f>Rent!B19</f>
        <v>D11-12</v>
      </c>
      <c r="C19" s="53">
        <f>Rent!D19</f>
        <v>994</v>
      </c>
      <c r="D19" s="142">
        <v>0</v>
      </c>
      <c r="E19" s="53">
        <v>0</v>
      </c>
      <c r="F19" s="53">
        <f t="shared" si="0"/>
        <v>0</v>
      </c>
      <c r="G19" s="53">
        <f t="shared" ref="G19:P19" si="8">F19</f>
        <v>0</v>
      </c>
      <c r="H19" s="53">
        <f t="shared" si="8"/>
        <v>0</v>
      </c>
      <c r="I19" s="53">
        <f t="shared" si="8"/>
        <v>0</v>
      </c>
      <c r="J19" s="53">
        <f t="shared" si="8"/>
        <v>0</v>
      </c>
      <c r="K19" s="53">
        <f t="shared" si="8"/>
        <v>0</v>
      </c>
      <c r="L19" s="53">
        <f t="shared" si="8"/>
        <v>0</v>
      </c>
      <c r="M19" s="53">
        <f t="shared" si="8"/>
        <v>0</v>
      </c>
      <c r="N19" s="53">
        <f t="shared" si="8"/>
        <v>0</v>
      </c>
      <c r="O19" s="53">
        <f t="shared" si="8"/>
        <v>0</v>
      </c>
      <c r="P19" s="53">
        <f t="shared" si="8"/>
        <v>0</v>
      </c>
      <c r="Q19" s="53">
        <f t="shared" si="4"/>
        <v>0</v>
      </c>
      <c r="R19" s="45" t="s">
        <v>538</v>
      </c>
      <c r="U19" s="115">
        <f t="shared" si="5"/>
        <v>0</v>
      </c>
      <c r="V19" s="115">
        <f t="shared" si="2"/>
        <v>0</v>
      </c>
    </row>
    <row r="20" spans="1:22">
      <c r="A20" s="405" t="str">
        <f>Rent!A20</f>
        <v>LUCASIE LTD</v>
      </c>
      <c r="B20" s="52" t="str">
        <f>Rent!B20</f>
        <v>D9-D10</v>
      </c>
      <c r="C20" s="53">
        <f>Rent!D20</f>
        <v>1043</v>
      </c>
      <c r="D20" s="142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f t="shared" si="4"/>
        <v>0</v>
      </c>
      <c r="R20" s="45" t="s">
        <v>538</v>
      </c>
      <c r="U20" s="115">
        <f t="shared" si="5"/>
        <v>0</v>
      </c>
      <c r="V20" s="115">
        <f t="shared" si="2"/>
        <v>0</v>
      </c>
    </row>
    <row r="21" spans="1:22">
      <c r="A21" s="405" t="str">
        <f>Rent!A21</f>
        <v>FOSTERS KITCHEN</v>
      </c>
      <c r="B21" s="52" t="str">
        <f>Rent!B21</f>
        <v>DU-1</v>
      </c>
      <c r="C21" s="53">
        <f>Rent!D21</f>
        <v>3526</v>
      </c>
      <c r="D21" s="142">
        <v>0</v>
      </c>
      <c r="E21" s="53"/>
      <c r="F21" s="53">
        <f>E21</f>
        <v>0</v>
      </c>
      <c r="G21" s="53">
        <f t="shared" ref="G21:P21" si="9">F21</f>
        <v>0</v>
      </c>
      <c r="H21" s="53">
        <f t="shared" si="9"/>
        <v>0</v>
      </c>
      <c r="I21" s="53">
        <f t="shared" si="9"/>
        <v>0</v>
      </c>
      <c r="J21" s="53">
        <f t="shared" si="9"/>
        <v>0</v>
      </c>
      <c r="K21" s="53"/>
      <c r="L21" s="53">
        <v>4500</v>
      </c>
      <c r="M21" s="53">
        <f t="shared" si="9"/>
        <v>4500</v>
      </c>
      <c r="N21" s="53">
        <f t="shared" si="9"/>
        <v>4500</v>
      </c>
      <c r="O21" s="53">
        <f t="shared" si="9"/>
        <v>4500</v>
      </c>
      <c r="P21" s="53">
        <f t="shared" si="9"/>
        <v>4500</v>
      </c>
      <c r="Q21" s="53">
        <f t="shared" si="4"/>
        <v>22500</v>
      </c>
      <c r="R21" s="45" t="s">
        <v>539</v>
      </c>
      <c r="U21" s="115">
        <f t="shared" si="5"/>
        <v>0</v>
      </c>
      <c r="V21" s="115">
        <f>L21*4.71%</f>
        <v>211.95000000000002</v>
      </c>
    </row>
    <row r="22" spans="1:22">
      <c r="A22" s="405" t="str">
        <f>Rent!A22</f>
        <v>HUMPYS BIG ISLAND ALEHOUSE</v>
      </c>
      <c r="B22" s="52" t="str">
        <f>Rent!B22</f>
        <v>E</v>
      </c>
      <c r="C22" s="53">
        <f>Rent!D22</f>
        <v>10736</v>
      </c>
      <c r="D22" s="142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/>
      <c r="M22" s="53">
        <v>3000</v>
      </c>
      <c r="N22" s="53">
        <v>3000</v>
      </c>
      <c r="O22" s="53">
        <v>3000</v>
      </c>
      <c r="P22" s="53">
        <v>3000</v>
      </c>
      <c r="Q22" s="53">
        <f t="shared" si="4"/>
        <v>12000</v>
      </c>
      <c r="R22" s="45" t="s">
        <v>540</v>
      </c>
      <c r="U22" s="115">
        <f t="shared" si="5"/>
        <v>0</v>
      </c>
      <c r="V22" s="115">
        <f t="shared" ref="V22:V29" si="10">L22*4.71%</f>
        <v>0</v>
      </c>
    </row>
    <row r="23" spans="1:22">
      <c r="A23" s="405" t="str">
        <f>Rent!A23</f>
        <v>ABC STORE #75</v>
      </c>
      <c r="B23" s="52" t="str">
        <f>Rent!B23</f>
        <v>F15,17&amp;A8</v>
      </c>
      <c r="C23" s="53">
        <f>Rent!D23</f>
        <v>4000</v>
      </c>
      <c r="D23" s="142">
        <v>0.1</v>
      </c>
      <c r="E23" s="53">
        <v>18000</v>
      </c>
      <c r="F23" s="53">
        <f>E23</f>
        <v>18000</v>
      </c>
      <c r="G23" s="53">
        <f t="shared" ref="G23:P24" si="11">F23</f>
        <v>18000</v>
      </c>
      <c r="H23" s="53">
        <f t="shared" si="11"/>
        <v>18000</v>
      </c>
      <c r="I23" s="53">
        <f t="shared" si="11"/>
        <v>18000</v>
      </c>
      <c r="J23" s="53">
        <f t="shared" si="11"/>
        <v>18000</v>
      </c>
      <c r="K23" s="53">
        <f t="shared" si="11"/>
        <v>18000</v>
      </c>
      <c r="L23" s="53">
        <f t="shared" si="11"/>
        <v>18000</v>
      </c>
      <c r="M23" s="53">
        <f t="shared" si="11"/>
        <v>18000</v>
      </c>
      <c r="N23" s="53">
        <f t="shared" si="11"/>
        <v>18000</v>
      </c>
      <c r="O23" s="53">
        <f t="shared" si="11"/>
        <v>18000</v>
      </c>
      <c r="P23" s="53">
        <f t="shared" si="11"/>
        <v>18000</v>
      </c>
      <c r="Q23" s="53">
        <f t="shared" si="4"/>
        <v>216000</v>
      </c>
      <c r="R23" s="45" t="s">
        <v>537</v>
      </c>
      <c r="U23" s="115">
        <f t="shared" si="5"/>
        <v>847.80000000000007</v>
      </c>
      <c r="V23" s="115">
        <f t="shared" si="10"/>
        <v>847.80000000000007</v>
      </c>
    </row>
    <row r="24" spans="1:22">
      <c r="A24" s="405" t="str">
        <f>Rent!A24</f>
        <v>GYPSEA GALATO</v>
      </c>
      <c r="B24" s="52" t="str">
        <f>Rent!B24</f>
        <v>F-16</v>
      </c>
      <c r="C24" s="53">
        <f>Rent!D24</f>
        <v>500</v>
      </c>
      <c r="D24" s="142">
        <v>0</v>
      </c>
      <c r="E24" s="53">
        <v>820</v>
      </c>
      <c r="F24" s="53">
        <f>E24</f>
        <v>820</v>
      </c>
      <c r="G24" s="53">
        <f t="shared" si="11"/>
        <v>820</v>
      </c>
      <c r="H24" s="53">
        <f t="shared" si="11"/>
        <v>820</v>
      </c>
      <c r="I24" s="53">
        <f t="shared" si="11"/>
        <v>820</v>
      </c>
      <c r="J24" s="53">
        <f t="shared" si="11"/>
        <v>820</v>
      </c>
      <c r="K24" s="53">
        <f t="shared" si="11"/>
        <v>820</v>
      </c>
      <c r="L24" s="53">
        <f t="shared" si="11"/>
        <v>820</v>
      </c>
      <c r="M24" s="53">
        <f t="shared" si="11"/>
        <v>820</v>
      </c>
      <c r="N24" s="53">
        <f t="shared" si="11"/>
        <v>820</v>
      </c>
      <c r="O24" s="53">
        <f t="shared" si="11"/>
        <v>820</v>
      </c>
      <c r="P24" s="53">
        <f t="shared" si="11"/>
        <v>820</v>
      </c>
      <c r="Q24" s="53">
        <f t="shared" si="4"/>
        <v>9840</v>
      </c>
      <c r="R24" s="45" t="s">
        <v>537</v>
      </c>
      <c r="U24" s="115">
        <f t="shared" si="5"/>
        <v>38.622</v>
      </c>
      <c r="V24" s="115">
        <f t="shared" si="10"/>
        <v>38.622</v>
      </c>
    </row>
    <row r="25" spans="1:22">
      <c r="A25" s="405" t="str">
        <f>Rent!A25</f>
        <v>OCEANS SPORTS BAR AND GRILL</v>
      </c>
      <c r="B25" s="52" t="str">
        <f>Rent!B25</f>
        <v>G</v>
      </c>
      <c r="C25" s="53">
        <f>Rent!D25</f>
        <v>2896</v>
      </c>
      <c r="D25" s="142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f t="shared" si="4"/>
        <v>0</v>
      </c>
      <c r="R25" s="45" t="s">
        <v>538</v>
      </c>
      <c r="U25" s="115">
        <f t="shared" si="5"/>
        <v>0</v>
      </c>
      <c r="V25" s="115">
        <f t="shared" si="10"/>
        <v>0</v>
      </c>
    </row>
    <row r="26" spans="1:22">
      <c r="A26" s="405" t="str">
        <f>Rent!A26</f>
        <v>JACKS DIVE LOCKER</v>
      </c>
      <c r="B26" s="52" t="str">
        <f>Rent!B26</f>
        <v>H</v>
      </c>
      <c r="C26" s="53">
        <f>Rent!D26</f>
        <v>8014</v>
      </c>
      <c r="D26" s="142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f t="shared" si="4"/>
        <v>0</v>
      </c>
      <c r="R26" s="45" t="s">
        <v>538</v>
      </c>
      <c r="U26" s="115">
        <f t="shared" si="5"/>
        <v>0</v>
      </c>
      <c r="V26" s="115">
        <f t="shared" si="10"/>
        <v>0</v>
      </c>
    </row>
    <row r="27" spans="1:22">
      <c r="A27" s="405" t="str">
        <f>Rent!A27</f>
        <v>QPOT</v>
      </c>
      <c r="B27" s="52" t="str">
        <f>Rent!B27</f>
        <v>I</v>
      </c>
      <c r="C27" s="53">
        <f>Rent!D27</f>
        <v>6500</v>
      </c>
      <c r="D27" s="142">
        <v>0</v>
      </c>
      <c r="E27" s="53"/>
      <c r="F27" s="53"/>
      <c r="G27" s="53">
        <v>0</v>
      </c>
      <c r="H27" s="53"/>
      <c r="I27" s="53"/>
      <c r="J27" s="53">
        <v>0</v>
      </c>
      <c r="K27" s="53"/>
      <c r="L27" s="53"/>
      <c r="M27" s="53">
        <v>0</v>
      </c>
      <c r="N27" s="53"/>
      <c r="O27" s="53"/>
      <c r="P27" s="53">
        <v>0</v>
      </c>
      <c r="Q27" s="53">
        <f t="shared" si="4"/>
        <v>0</v>
      </c>
      <c r="R27" s="45" t="s">
        <v>541</v>
      </c>
      <c r="U27" s="115">
        <f t="shared" si="5"/>
        <v>0</v>
      </c>
      <c r="V27" s="115">
        <f t="shared" si="10"/>
        <v>0</v>
      </c>
    </row>
    <row r="28" spans="1:22">
      <c r="A28" s="405" t="str">
        <f>Rent!A28</f>
        <v>BOWLS SUPERFOODS &amp; ORALE TACOS</v>
      </c>
      <c r="B28" s="52" t="str">
        <f>Rent!B28</f>
        <v>PC-1&amp;2</v>
      </c>
      <c r="C28" s="53">
        <f>Rent!D28</f>
        <v>1993</v>
      </c>
      <c r="D28" s="142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f t="shared" si="4"/>
        <v>0</v>
      </c>
      <c r="R28" s="45" t="s">
        <v>542</v>
      </c>
      <c r="U28" s="115">
        <f t="shared" si="5"/>
        <v>0</v>
      </c>
      <c r="V28" s="115">
        <f t="shared" si="10"/>
        <v>0</v>
      </c>
    </row>
    <row r="29" spans="1:22">
      <c r="A29" s="405" t="str">
        <f>Rent!A29</f>
        <v>KONA GEAR INC.</v>
      </c>
      <c r="B29" s="52" t="str">
        <f>Rent!B29</f>
        <v>PC 3&amp;4</v>
      </c>
      <c r="C29" s="53">
        <f>Rent!D29</f>
        <v>962</v>
      </c>
      <c r="D29" s="142">
        <v>0</v>
      </c>
      <c r="E29" s="53">
        <v>3000</v>
      </c>
      <c r="F29" s="53">
        <f>E29</f>
        <v>3000</v>
      </c>
      <c r="G29" s="53">
        <f t="shared" ref="G29:P29" si="12">F29</f>
        <v>3000</v>
      </c>
      <c r="H29" s="53">
        <f t="shared" si="12"/>
        <v>3000</v>
      </c>
      <c r="I29" s="53">
        <f t="shared" si="12"/>
        <v>3000</v>
      </c>
      <c r="J29" s="53">
        <f t="shared" si="12"/>
        <v>3000</v>
      </c>
      <c r="K29" s="53">
        <f t="shared" si="12"/>
        <v>3000</v>
      </c>
      <c r="L29" s="53">
        <f t="shared" si="12"/>
        <v>3000</v>
      </c>
      <c r="M29" s="53">
        <f t="shared" si="12"/>
        <v>3000</v>
      </c>
      <c r="N29" s="53">
        <f t="shared" si="12"/>
        <v>3000</v>
      </c>
      <c r="O29" s="53">
        <f t="shared" si="12"/>
        <v>3000</v>
      </c>
      <c r="P29" s="53">
        <f t="shared" si="12"/>
        <v>3000</v>
      </c>
      <c r="Q29" s="53">
        <f t="shared" si="4"/>
        <v>36000</v>
      </c>
      <c r="R29" s="45" t="s">
        <v>537</v>
      </c>
      <c r="U29" s="115">
        <f t="shared" si="5"/>
        <v>141.30000000000001</v>
      </c>
      <c r="V29" s="115">
        <f t="shared" si="10"/>
        <v>141.30000000000001</v>
      </c>
    </row>
    <row r="30" spans="1:22">
      <c r="A30" s="405" t="str">
        <f>Rent!A30</f>
        <v>LAVERNES</v>
      </c>
      <c r="B30" s="52" t="str">
        <f>Rent!B30</f>
        <v>PC/U1</v>
      </c>
      <c r="C30" s="53">
        <f>Rent!D30</f>
        <v>3704</v>
      </c>
      <c r="D30" s="142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f t="shared" si="4"/>
        <v>0</v>
      </c>
      <c r="R30" s="45" t="s">
        <v>538</v>
      </c>
    </row>
    <row r="31" spans="1:22">
      <c r="C31" s="53"/>
      <c r="D31" s="406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 spans="1:22">
      <c r="C32" s="53"/>
      <c r="D32" s="406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6" spans="1:21">
      <c r="A36" s="204" t="s">
        <v>437</v>
      </c>
      <c r="B36" s="294"/>
      <c r="C36" s="295">
        <f>SUM(C14:C35)</f>
        <v>51058</v>
      </c>
      <c r="D36" s="295"/>
      <c r="E36" s="296">
        <f>SUM(E14:E35)</f>
        <v>43895</v>
      </c>
      <c r="F36" s="296">
        <f t="shared" ref="F36:Q36" si="13">SUM(F14:F35)</f>
        <v>43895</v>
      </c>
      <c r="G36" s="296">
        <f t="shared" si="13"/>
        <v>43895</v>
      </c>
      <c r="H36" s="296">
        <f t="shared" si="13"/>
        <v>43895</v>
      </c>
      <c r="I36" s="296">
        <f t="shared" si="13"/>
        <v>43895</v>
      </c>
      <c r="J36" s="296">
        <f t="shared" si="13"/>
        <v>43895</v>
      </c>
      <c r="K36" s="296">
        <f t="shared" si="13"/>
        <v>43895</v>
      </c>
      <c r="L36" s="296">
        <f t="shared" si="13"/>
        <v>48395</v>
      </c>
      <c r="M36" s="296">
        <f t="shared" si="13"/>
        <v>51395</v>
      </c>
      <c r="N36" s="296">
        <f t="shared" si="13"/>
        <v>51395</v>
      </c>
      <c r="O36" s="296">
        <f t="shared" si="13"/>
        <v>51395</v>
      </c>
      <c r="P36" s="296">
        <f t="shared" si="13"/>
        <v>51395</v>
      </c>
      <c r="Q36" s="297">
        <f t="shared" si="13"/>
        <v>561240</v>
      </c>
      <c r="U36" s="66">
        <f>SUM(U14:U35)</f>
        <v>2067.4545000000003</v>
      </c>
    </row>
    <row r="40" spans="1:21">
      <c r="E40" s="115"/>
    </row>
  </sheetData>
  <mergeCells count="5">
    <mergeCell ref="A6:Q6"/>
    <mergeCell ref="A2:Q2"/>
    <mergeCell ref="A3:Q3"/>
    <mergeCell ref="A4:Q4"/>
    <mergeCell ref="A5:Q5"/>
  </mergeCells>
  <phoneticPr fontId="0" type="noConversion"/>
  <printOptions horizontalCentered="1"/>
  <pageMargins left="0.25" right="0.25" top="0.75" bottom="0.75" header="0.3" footer="0.3"/>
  <pageSetup paperSize="3" firstPageNumber="5" orientation="landscape" useFirstPageNumber="1" r:id="rId1"/>
  <headerFooter alignWithMargins="0">
    <oddFooter>Page 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T36"/>
  <sheetViews>
    <sheetView topLeftCell="A9" zoomScale="85" zoomScaleNormal="85" workbookViewId="0">
      <selection activeCell="F9" sqref="F9"/>
    </sheetView>
  </sheetViews>
  <sheetFormatPr defaultColWidth="9.26953125" defaultRowHeight="13"/>
  <cols>
    <col min="1" max="1" width="40.26953125" style="45" customWidth="1"/>
    <col min="2" max="2" width="9.26953125" style="45"/>
    <col min="3" max="3" width="11" style="45" customWidth="1"/>
    <col min="4" max="5" width="12" style="45" customWidth="1"/>
    <col min="6" max="15" width="9.26953125" style="45" bestFit="1" customWidth="1"/>
    <col min="16" max="17" width="9.54296875" style="45" bestFit="1" customWidth="1"/>
    <col min="18" max="18" width="11.26953125" style="45" customWidth="1"/>
    <col min="19" max="19" width="9.26953125" style="45"/>
    <col min="20" max="20" width="43" style="45" customWidth="1"/>
    <col min="21" max="16384" width="9.26953125" style="45"/>
  </cols>
  <sheetData>
    <row r="1" spans="1:19" ht="14.5">
      <c r="Q1" s="2" t="str">
        <f>Summ.!R1</f>
        <v>Date Revised:</v>
      </c>
      <c r="R1" s="3" t="e">
        <f>Summ.!#REF!</f>
        <v>#REF!</v>
      </c>
      <c r="S1" s="45">
        <f>Summ.!T1</f>
        <v>0</v>
      </c>
    </row>
    <row r="2" spans="1:19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</row>
    <row r="3" spans="1:19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</row>
    <row r="4" spans="1:19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</row>
    <row r="5" spans="1:19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</row>
    <row r="6" spans="1:19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</row>
    <row r="7" spans="1:19">
      <c r="I7" s="46"/>
    </row>
    <row r="8" spans="1:19">
      <c r="A8" s="200"/>
      <c r="B8" s="200"/>
      <c r="C8" s="201"/>
      <c r="D8" s="165" t="s">
        <v>543</v>
      </c>
      <c r="E8" s="165" t="s">
        <v>544</v>
      </c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</row>
    <row r="9" spans="1:19">
      <c r="A9" s="166" t="s">
        <v>120</v>
      </c>
      <c r="B9" s="166" t="s">
        <v>434</v>
      </c>
      <c r="C9" s="166" t="s">
        <v>348</v>
      </c>
      <c r="D9" s="166" t="s">
        <v>545</v>
      </c>
      <c r="E9" s="166" t="s">
        <v>545</v>
      </c>
      <c r="F9" s="166" t="s">
        <v>1</v>
      </c>
      <c r="G9" s="166" t="s">
        <v>2</v>
      </c>
      <c r="H9" s="166" t="s">
        <v>3</v>
      </c>
      <c r="I9" s="166" t="s">
        <v>4</v>
      </c>
      <c r="J9" s="166" t="s">
        <v>5</v>
      </c>
      <c r="K9" s="166" t="s">
        <v>6</v>
      </c>
      <c r="L9" s="166" t="s">
        <v>7</v>
      </c>
      <c r="M9" s="166" t="s">
        <v>8</v>
      </c>
      <c r="N9" s="166" t="s">
        <v>123</v>
      </c>
      <c r="O9" s="166" t="s">
        <v>124</v>
      </c>
      <c r="P9" s="166" t="s">
        <v>125</v>
      </c>
      <c r="Q9" s="166" t="s">
        <v>126</v>
      </c>
      <c r="R9" s="166" t="s">
        <v>437</v>
      </c>
    </row>
    <row r="10" spans="1:19">
      <c r="A10" s="202"/>
      <c r="B10" s="168" t="s">
        <v>438</v>
      </c>
      <c r="C10" s="168" t="s">
        <v>439</v>
      </c>
      <c r="D10" s="168" t="s">
        <v>546</v>
      </c>
      <c r="E10" s="168" t="s">
        <v>546</v>
      </c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</row>
    <row r="12" spans="1:19">
      <c r="A12" s="51" t="s">
        <v>271</v>
      </c>
      <c r="C12" s="48"/>
      <c r="D12" s="81"/>
      <c r="E12" s="81"/>
      <c r="F12" s="50"/>
      <c r="G12" s="50"/>
      <c r="H12" s="50"/>
      <c r="I12" s="50"/>
      <c r="J12" s="50"/>
      <c r="K12" s="71"/>
      <c r="L12" s="50"/>
      <c r="M12" s="50"/>
      <c r="N12" s="50"/>
      <c r="O12" s="50"/>
      <c r="P12" s="50"/>
      <c r="Q12" s="50"/>
      <c r="R12" s="50"/>
    </row>
    <row r="13" spans="1:19">
      <c r="A13" s="47"/>
      <c r="C13" s="50"/>
      <c r="D13" s="49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spans="1:19" ht="14.5">
      <c r="A14" s="45" t="str">
        <f>Rent!A14</f>
        <v xml:space="preserve">ISLAND LAVA JAVA </v>
      </c>
      <c r="B14" s="52" t="str">
        <f>Rent!B14</f>
        <v>A 1-4</v>
      </c>
      <c r="C14" s="262">
        <f>Rent!D14</f>
        <v>3873</v>
      </c>
      <c r="D14" s="72">
        <v>0</v>
      </c>
      <c r="E14" s="72">
        <v>0</v>
      </c>
      <c r="F14" s="9">
        <f>IF(Rent!F14=0,0,('TENANT CHARGES'!$J10))</f>
        <v>1512.808507654405</v>
      </c>
      <c r="G14" s="9">
        <f>IF(Rent!G14=0,0,('TENANT CHARGES'!$J10))</f>
        <v>1512.808507654405</v>
      </c>
      <c r="H14" s="9">
        <f>IF(Rent!H14=0,0,('TENANT CHARGES'!$J10))</f>
        <v>1512.808507654405</v>
      </c>
      <c r="I14" s="9">
        <f>IF(Rent!I14=0,0,('TENANT CHARGES'!$J10))</f>
        <v>1512.808507654405</v>
      </c>
      <c r="J14" s="9">
        <f>IF(Rent!J14=0,0,('TENANT CHARGES'!$J10))</f>
        <v>1512.808507654405</v>
      </c>
      <c r="K14" s="9">
        <f>IF(Rent!K14=0,0,('TENANT CHARGES'!$J10))</f>
        <v>1512.808507654405</v>
      </c>
      <c r="L14" s="9">
        <f>IF(Rent!L14=0,0,('TENANT CHARGES'!$J10))</f>
        <v>1512.808507654405</v>
      </c>
      <c r="M14" s="9">
        <f>IF(Rent!M14=0,0,('TENANT CHARGES'!$J10))</f>
        <v>1512.808507654405</v>
      </c>
      <c r="N14" s="9">
        <f>IF(Rent!N14=0,0,('TENANT CHARGES'!$J10))</f>
        <v>1512.808507654405</v>
      </c>
      <c r="O14" s="9">
        <f>IF(Rent!O14=0,0,('TENANT CHARGES'!$J10))</f>
        <v>1512.808507654405</v>
      </c>
      <c r="P14" s="9">
        <f>IF(Rent!P14=0,0,('TENANT CHARGES'!$J10))</f>
        <v>1512.808507654405</v>
      </c>
      <c r="Q14" s="9">
        <f>IF(Rent!Q14=0,0,('TENANT CHARGES'!$J10))</f>
        <v>1512.808507654405</v>
      </c>
      <c r="R14" s="70">
        <f>SUM(F14:Q14)</f>
        <v>18153.702091852861</v>
      </c>
      <c r="S14" s="125">
        <f>Q14/C14</f>
        <v>0.39060379748370905</v>
      </c>
    </row>
    <row r="15" spans="1:19" ht="14.5">
      <c r="A15" s="45" t="str">
        <f>Rent!A15</f>
        <v>TAKA SUSHI</v>
      </c>
      <c r="B15" s="52" t="str">
        <f>Rent!B15</f>
        <v>B-5</v>
      </c>
      <c r="C15" s="262">
        <f>Rent!D15</f>
        <v>1074</v>
      </c>
      <c r="D15" s="72">
        <f t="shared" ref="D15:D30" si="0">C15/$C$33</f>
        <v>2.1034901484586158E-2</v>
      </c>
      <c r="E15" s="72" t="e">
        <f t="shared" ref="E15:E30" si="1">C15/$C$34</f>
        <v>#REF!</v>
      </c>
      <c r="F15" s="9">
        <f>IF(Rent!F15=0,0,('TENANT CHARGES'!$J11))</f>
        <v>419.50847849750352</v>
      </c>
      <c r="G15" s="9">
        <f>IF(Rent!G15=0,0,('TENANT CHARGES'!$J11))</f>
        <v>419.50847849750352</v>
      </c>
      <c r="H15" s="9">
        <f>IF(Rent!H15=0,0,('TENANT CHARGES'!$J11))</f>
        <v>419.50847849750352</v>
      </c>
      <c r="I15" s="9">
        <f>IF(Rent!I15=0,0,('TENANT CHARGES'!$J11))</f>
        <v>419.50847849750352</v>
      </c>
      <c r="J15" s="9">
        <f>IF(Rent!J15=0,0,('TENANT CHARGES'!$J11))</f>
        <v>419.50847849750352</v>
      </c>
      <c r="K15" s="9">
        <f>IF(Rent!K15=0,0,('TENANT CHARGES'!$J11))</f>
        <v>419.50847849750352</v>
      </c>
      <c r="L15" s="9">
        <f>IF(Rent!L15=0,0,('TENANT CHARGES'!$J11))</f>
        <v>419.50847849750352</v>
      </c>
      <c r="M15" s="9">
        <f>IF(Rent!M15=0,0,('TENANT CHARGES'!$J11))</f>
        <v>419.50847849750352</v>
      </c>
      <c r="N15" s="9">
        <f>IF(Rent!N15=0,0,('TENANT CHARGES'!$J11))</f>
        <v>419.50847849750352</v>
      </c>
      <c r="O15" s="9">
        <f>IF(Rent!O15=0,0,('TENANT CHARGES'!$J11))</f>
        <v>419.50847849750352</v>
      </c>
      <c r="P15" s="9">
        <f>IF(Rent!P15=0,0,('TENANT CHARGES'!$J11))</f>
        <v>419.50847849750352</v>
      </c>
      <c r="Q15" s="9">
        <f>IF(Rent!Q15=0,0,('TENANT CHARGES'!$J11))</f>
        <v>419.50847849750352</v>
      </c>
      <c r="R15" s="70">
        <f t="shared" ref="R15:R30" si="2">SUM(F15:Q15)</f>
        <v>5034.1017419700411</v>
      </c>
      <c r="S15" s="125">
        <f t="shared" ref="S15:S30" si="3">Q15/C15</f>
        <v>0.39060379748370905</v>
      </c>
    </row>
    <row r="16" spans="1:19" ht="14.5">
      <c r="A16" s="45" t="str">
        <f>Rent!A16</f>
        <v>KANAKA KAVA</v>
      </c>
      <c r="B16" s="52" t="str">
        <f>Rent!B16</f>
        <v>B-6</v>
      </c>
      <c r="C16" s="262">
        <f>Rent!D16</f>
        <v>200</v>
      </c>
      <c r="D16" s="72">
        <f t="shared" si="0"/>
        <v>3.9171138705002152E-3</v>
      </c>
      <c r="E16" s="72" t="e">
        <f t="shared" si="1"/>
        <v>#REF!</v>
      </c>
      <c r="F16" s="9">
        <f>IF(Rent!F16=0,0,('TENANT CHARGES'!$J12))</f>
        <v>78.120759496741798</v>
      </c>
      <c r="G16" s="9">
        <f>IF(Rent!G16=0,0,('TENANT CHARGES'!$J12))</f>
        <v>78.120759496741798</v>
      </c>
      <c r="H16" s="9">
        <f>IF(Rent!H16=0,0,('TENANT CHARGES'!$J12))</f>
        <v>78.120759496741798</v>
      </c>
      <c r="I16" s="9">
        <f>IF(Rent!I16=0,0,('TENANT CHARGES'!$J12))</f>
        <v>78.120759496741798</v>
      </c>
      <c r="J16" s="9">
        <f>IF(Rent!J16=0,0,('TENANT CHARGES'!$J12))</f>
        <v>78.120759496741798</v>
      </c>
      <c r="K16" s="9">
        <f>IF(Rent!K16=0,0,('TENANT CHARGES'!$J12))</f>
        <v>78.120759496741798</v>
      </c>
      <c r="L16" s="9">
        <f>IF(Rent!L16=0,0,('TENANT CHARGES'!$J12))</f>
        <v>78.120759496741798</v>
      </c>
      <c r="M16" s="9">
        <f>IF(Rent!M16=0,0,('TENANT CHARGES'!$J12))</f>
        <v>78.120759496741798</v>
      </c>
      <c r="N16" s="9">
        <f>IF(Rent!N16=0,0,('TENANT CHARGES'!$J12))</f>
        <v>78.120759496741798</v>
      </c>
      <c r="O16" s="9">
        <f>IF(Rent!O16=0,0,('TENANT CHARGES'!$J12))</f>
        <v>78.120759496741798</v>
      </c>
      <c r="P16" s="9">
        <f>IF(Rent!P16=0,0,('TENANT CHARGES'!$J12))</f>
        <v>78.120759496741798</v>
      </c>
      <c r="Q16" s="9">
        <f>IF(Rent!Q16=0,0,('TENANT CHARGES'!$J12))</f>
        <v>78.120759496741798</v>
      </c>
      <c r="R16" s="70">
        <f t="shared" si="2"/>
        <v>937.44911396090163</v>
      </c>
      <c r="S16" s="125">
        <f t="shared" si="3"/>
        <v>0.39060379748370899</v>
      </c>
    </row>
    <row r="17" spans="1:20" ht="14.5">
      <c r="A17" s="45" t="str">
        <f>Rent!A17</f>
        <v>GECKO GIRLZ SHAVE ICE SHACK</v>
      </c>
      <c r="B17" s="52" t="str">
        <f>Rent!B17</f>
        <v>C-7</v>
      </c>
      <c r="C17" s="262">
        <f>Rent!D17</f>
        <v>518</v>
      </c>
      <c r="D17" s="72">
        <f t="shared" si="0"/>
        <v>1.0145324924595559E-2</v>
      </c>
      <c r="E17" s="72" t="e">
        <f t="shared" si="1"/>
        <v>#REF!</v>
      </c>
      <c r="F17" s="9">
        <f>IF(Rent!F17=0,0,('TENANT CHARGES'!$J13))</f>
        <v>202.3327670965613</v>
      </c>
      <c r="G17" s="9">
        <f>IF(Rent!G17=0,0,('TENANT CHARGES'!$J13))</f>
        <v>202.3327670965613</v>
      </c>
      <c r="H17" s="9">
        <f>IF(Rent!H17=0,0,('TENANT CHARGES'!$J13))</f>
        <v>202.3327670965613</v>
      </c>
      <c r="I17" s="9">
        <f>IF(Rent!I17=0,0,('TENANT CHARGES'!$J13))</f>
        <v>202.3327670965613</v>
      </c>
      <c r="J17" s="9">
        <f>IF(Rent!J17=0,0,('TENANT CHARGES'!$J13))</f>
        <v>202.3327670965613</v>
      </c>
      <c r="K17" s="9">
        <f>IF(Rent!K17=0,0,('TENANT CHARGES'!$J13))</f>
        <v>202.3327670965613</v>
      </c>
      <c r="L17" s="9">
        <f>IF(Rent!L17=0,0,('TENANT CHARGES'!$J13))</f>
        <v>202.3327670965613</v>
      </c>
      <c r="M17" s="9">
        <f>IF(Rent!M17=0,0,('TENANT CHARGES'!$J13))</f>
        <v>202.3327670965613</v>
      </c>
      <c r="N17" s="9">
        <f>IF(Rent!N17=0,0,('TENANT CHARGES'!$J13))</f>
        <v>202.3327670965613</v>
      </c>
      <c r="O17" s="9">
        <f>IF(Rent!O17=0,0,('TENANT CHARGES'!$J13))</f>
        <v>202.3327670965613</v>
      </c>
      <c r="P17" s="9">
        <f>IF(Rent!P17=0,0,('TENANT CHARGES'!$J13))</f>
        <v>202.3327670965613</v>
      </c>
      <c r="Q17" s="9">
        <f>IF(Rent!Q17=0,0,('TENANT CHARGES'!$J13))</f>
        <v>202.3327670965613</v>
      </c>
      <c r="R17" s="70">
        <f t="shared" si="2"/>
        <v>2427.9932051587361</v>
      </c>
      <c r="S17" s="125">
        <f t="shared" si="3"/>
        <v>0.39060379748370905</v>
      </c>
    </row>
    <row r="18" spans="1:20" ht="14.5">
      <c r="A18" s="45" t="str">
        <f>Rent!A18</f>
        <v>BIG ISLAND RUNNING CO.</v>
      </c>
      <c r="B18" s="52" t="str">
        <f>Rent!B18</f>
        <v>C-8</v>
      </c>
      <c r="C18" s="262">
        <f>Rent!D18</f>
        <v>525</v>
      </c>
      <c r="D18" s="72">
        <f t="shared" si="0"/>
        <v>1.0282423910063065E-2</v>
      </c>
      <c r="E18" s="72" t="e">
        <f t="shared" si="1"/>
        <v>#REF!</v>
      </c>
      <c r="F18" s="9">
        <f>IF(Rent!F18=0,0,('TENANT CHARGES'!$J14))</f>
        <v>205.06699367894723</v>
      </c>
      <c r="G18" s="9">
        <f>IF(Rent!G18=0,0,('TENANT CHARGES'!$J14))</f>
        <v>205.06699367894723</v>
      </c>
      <c r="H18" s="9">
        <f>IF(Rent!H18=0,0,('TENANT CHARGES'!$J14))</f>
        <v>205.06699367894723</v>
      </c>
      <c r="I18" s="9">
        <f>IF(Rent!I18=0,0,('TENANT CHARGES'!$J14))</f>
        <v>205.06699367894723</v>
      </c>
      <c r="J18" s="9">
        <f>IF(Rent!J18=0,0,('TENANT CHARGES'!$J14))</f>
        <v>205.06699367894723</v>
      </c>
      <c r="K18" s="9">
        <f>IF(Rent!K18=0,0,('TENANT CHARGES'!$J14))</f>
        <v>205.06699367894723</v>
      </c>
      <c r="L18" s="9">
        <f>IF(Rent!L18=0,0,('TENANT CHARGES'!$J14))</f>
        <v>205.06699367894723</v>
      </c>
      <c r="M18" s="9">
        <f>IF(Rent!M18=0,0,('TENANT CHARGES'!$J14))</f>
        <v>205.06699367894723</v>
      </c>
      <c r="N18" s="9">
        <f>IF(Rent!N18=0,0,('TENANT CHARGES'!$J14))</f>
        <v>205.06699367894723</v>
      </c>
      <c r="O18" s="9">
        <f>IF(Rent!O18=0,0,('TENANT CHARGES'!$J14))</f>
        <v>205.06699367894723</v>
      </c>
      <c r="P18" s="9">
        <f>IF(Rent!P18=0,0,('TENANT CHARGES'!$J14))</f>
        <v>205.06699367894723</v>
      </c>
      <c r="Q18" s="9">
        <f>IF(Rent!Q18=0,0,('TENANT CHARGES'!$J14))</f>
        <v>205.06699367894723</v>
      </c>
      <c r="R18" s="70">
        <f t="shared" si="2"/>
        <v>2460.8039241473666</v>
      </c>
      <c r="S18" s="125">
        <f t="shared" si="3"/>
        <v>0.39060379748370899</v>
      </c>
    </row>
    <row r="19" spans="1:20" ht="14.5">
      <c r="A19" s="45" t="str">
        <f>Rent!A19</f>
        <v>CAFE KONA</v>
      </c>
      <c r="B19" s="52" t="str">
        <f>Rent!B19</f>
        <v>D11-12</v>
      </c>
      <c r="C19" s="262">
        <f>Rent!D19</f>
        <v>994</v>
      </c>
      <c r="D19" s="72">
        <f t="shared" si="0"/>
        <v>1.9468055936386071E-2</v>
      </c>
      <c r="E19" s="72" t="e">
        <f t="shared" si="1"/>
        <v>#REF!</v>
      </c>
      <c r="F19" s="9">
        <f>IF(Rent!F19=0,0,('TENANT CHARGES'!$J15))</f>
        <v>388.26017469880679</v>
      </c>
      <c r="G19" s="9">
        <f>IF(Rent!G19=0,0,('TENANT CHARGES'!$J15))</f>
        <v>388.26017469880679</v>
      </c>
      <c r="H19" s="9">
        <f>IF(Rent!H19=0,0,('TENANT CHARGES'!$J15))</f>
        <v>388.26017469880679</v>
      </c>
      <c r="I19" s="9">
        <f>IF(Rent!I19=0,0,('TENANT CHARGES'!$J15))</f>
        <v>388.26017469880679</v>
      </c>
      <c r="J19" s="9">
        <f>IF(Rent!J19=0,0,('TENANT CHARGES'!$J15))</f>
        <v>388.26017469880679</v>
      </c>
      <c r="K19" s="9">
        <f>IF(Rent!K19=0,0,('TENANT CHARGES'!$J15))</f>
        <v>388.26017469880679</v>
      </c>
      <c r="L19" s="9">
        <f>IF(Rent!L19=0,0,('TENANT CHARGES'!$J15))</f>
        <v>388.26017469880679</v>
      </c>
      <c r="M19" s="9">
        <f>IF(Rent!M19=0,0,('TENANT CHARGES'!$J15))</f>
        <v>388.26017469880679</v>
      </c>
      <c r="N19" s="9">
        <f>IF(Rent!N19=0,0,('TENANT CHARGES'!$J15))</f>
        <v>388.26017469880679</v>
      </c>
      <c r="O19" s="9">
        <f>IF(Rent!O19=0,0,('TENANT CHARGES'!$J15))</f>
        <v>388.26017469880679</v>
      </c>
      <c r="P19" s="9">
        <f>IF(Rent!P19=0,0,('TENANT CHARGES'!$J15))</f>
        <v>388.26017469880679</v>
      </c>
      <c r="Q19" s="9">
        <f>IF(Rent!Q19=0,0,('TENANT CHARGES'!$J15))</f>
        <v>388.26017469880679</v>
      </c>
      <c r="R19" s="70">
        <f t="shared" si="2"/>
        <v>4659.1220963856804</v>
      </c>
      <c r="S19" s="125">
        <f t="shared" si="3"/>
        <v>0.39060379748370905</v>
      </c>
    </row>
    <row r="20" spans="1:20" ht="14.5">
      <c r="A20" s="45" t="str">
        <f>Rent!A20</f>
        <v>LUCASIE LTD</v>
      </c>
      <c r="B20" s="52" t="str">
        <f>Rent!B20</f>
        <v>D9-D10</v>
      </c>
      <c r="C20" s="262">
        <f>Rent!D20</f>
        <v>1043</v>
      </c>
      <c r="D20" s="72">
        <f t="shared" si="0"/>
        <v>2.0427748834658623E-2</v>
      </c>
      <c r="E20" s="72" t="e">
        <f t="shared" si="1"/>
        <v>#REF!</v>
      </c>
      <c r="F20" s="9">
        <f>IF(Rent!F20=0,0,('TENANT CHARGES'!$J17))</f>
        <v>407.39976077550847</v>
      </c>
      <c r="G20" s="9">
        <f>IF(Rent!G20=0,0,('TENANT CHARGES'!$J17))</f>
        <v>407.39976077550847</v>
      </c>
      <c r="H20" s="9">
        <f>IF(Rent!H20=0,0,('TENANT CHARGES'!$J17))</f>
        <v>407.39976077550847</v>
      </c>
      <c r="I20" s="9">
        <f>IF(Rent!I20=0,0,('TENANT CHARGES'!$J17))</f>
        <v>407.39976077550847</v>
      </c>
      <c r="J20" s="9">
        <f>IF(Rent!J20=0,0,('TENANT CHARGES'!$J17))</f>
        <v>407.39976077550847</v>
      </c>
      <c r="K20" s="9">
        <f>IF(Rent!K20=0,0,('TENANT CHARGES'!$J17))</f>
        <v>407.39976077550847</v>
      </c>
      <c r="L20" s="9">
        <f>IF(Rent!L20=0,0,('TENANT CHARGES'!$J17))</f>
        <v>407.39976077550847</v>
      </c>
      <c r="M20" s="9">
        <f>IF(Rent!M20=0,0,('TENANT CHARGES'!$J17))</f>
        <v>407.39976077550847</v>
      </c>
      <c r="N20" s="9">
        <f>IF(Rent!N20=0,0,('TENANT CHARGES'!$J17))</f>
        <v>407.39976077550847</v>
      </c>
      <c r="O20" s="9">
        <f>IF(Rent!O20=0,0,('TENANT CHARGES'!$J17))</f>
        <v>407.39976077550847</v>
      </c>
      <c r="P20" s="9">
        <f>IF(Rent!P20=0,0,('TENANT CHARGES'!$J17))</f>
        <v>407.39976077550847</v>
      </c>
      <c r="Q20" s="9">
        <f>IF(Rent!Q20=0,0,('TENANT CHARGES'!$J17))</f>
        <v>407.39976077550847</v>
      </c>
      <c r="R20" s="70">
        <f t="shared" si="2"/>
        <v>4888.7971293061019</v>
      </c>
      <c r="S20" s="125">
        <f t="shared" si="3"/>
        <v>0.39060379748370899</v>
      </c>
    </row>
    <row r="21" spans="1:20" ht="14.5">
      <c r="A21" s="45" t="str">
        <f>Rent!A21</f>
        <v>FOSTERS KITCHEN</v>
      </c>
      <c r="B21" s="52" t="str">
        <f>Rent!B21</f>
        <v>DU-1</v>
      </c>
      <c r="C21" s="262">
        <f>Rent!D21</f>
        <v>3526</v>
      </c>
      <c r="D21" s="72">
        <f t="shared" si="0"/>
        <v>6.9058717536918793E-2</v>
      </c>
      <c r="E21" s="72" t="e">
        <f t="shared" si="1"/>
        <v>#REF!</v>
      </c>
      <c r="F21" s="9">
        <f>IF(Rent!F21=0,0,('TENANT CHARGES'!$J18))</f>
        <v>1377.2689899275576</v>
      </c>
      <c r="G21" s="9">
        <f>IF(Rent!G21=0,0,('TENANT CHARGES'!$J18))</f>
        <v>1377.2689899275576</v>
      </c>
      <c r="H21" s="9">
        <f>IF(Rent!H21=0,0,('TENANT CHARGES'!$J18))</f>
        <v>1377.2689899275576</v>
      </c>
      <c r="I21" s="9">
        <f>IF(Rent!I21=0,0,('TENANT CHARGES'!$J18))</f>
        <v>1377.2689899275576</v>
      </c>
      <c r="J21" s="9">
        <f>IF(Rent!J21=0,0,('TENANT CHARGES'!$J18))</f>
        <v>1377.2689899275576</v>
      </c>
      <c r="K21" s="9">
        <f>IF(Rent!K21=0,0,('TENANT CHARGES'!$J18))</f>
        <v>1377.2689899275576</v>
      </c>
      <c r="L21" s="9">
        <f>IF(Rent!L21=0,0,('TENANT CHARGES'!$J18))</f>
        <v>1377.2689899275576</v>
      </c>
      <c r="M21" s="9">
        <f>IF(Rent!M21=0,0,('TENANT CHARGES'!$J18))</f>
        <v>1377.2689899275576</v>
      </c>
      <c r="N21" s="9">
        <f>IF(Rent!N21=0,0,('TENANT CHARGES'!$J18))</f>
        <v>1377.2689899275576</v>
      </c>
      <c r="O21" s="9">
        <f>IF(Rent!O21=0,0,('TENANT CHARGES'!$J18))</f>
        <v>1377.2689899275576</v>
      </c>
      <c r="P21" s="9">
        <f>IF(Rent!P21=0,0,('TENANT CHARGES'!$J18))</f>
        <v>1377.2689899275576</v>
      </c>
      <c r="Q21" s="9">
        <f>IF(Rent!Q21=0,0,('TENANT CHARGES'!$J18))</f>
        <v>1377.2689899275576</v>
      </c>
      <c r="R21" s="70">
        <f t="shared" si="2"/>
        <v>16527.227879130693</v>
      </c>
      <c r="S21" s="125">
        <f t="shared" si="3"/>
        <v>0.39060379748370894</v>
      </c>
    </row>
    <row r="22" spans="1:20" ht="14.5">
      <c r="A22" s="440" t="str">
        <f>Rent!A22</f>
        <v>HUMPYS BIG ISLAND ALEHOUSE</v>
      </c>
      <c r="B22" s="443" t="str">
        <f>Rent!B22</f>
        <v>E</v>
      </c>
      <c r="C22" s="451">
        <f>Rent!D22</f>
        <v>10736</v>
      </c>
      <c r="D22" s="445">
        <f t="shared" si="0"/>
        <v>0.21027067256845156</v>
      </c>
      <c r="E22" s="445" t="e">
        <f t="shared" si="1"/>
        <v>#REF!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v>0</v>
      </c>
      <c r="N22" s="253">
        <f>IF(Rent!N22=0,0,('TENANT CHARGES'!$J19))</f>
        <v>4193.5223697850997</v>
      </c>
      <c r="O22" s="253">
        <f>IF(Rent!O22=0,0,('TENANT CHARGES'!$J19))</f>
        <v>4193.5223697850997</v>
      </c>
      <c r="P22" s="253">
        <f>IF(Rent!P22=0,0,('TENANT CHARGES'!$J19))</f>
        <v>4193.5223697850997</v>
      </c>
      <c r="Q22" s="253">
        <f>IF(Rent!Q22=0,0,('TENANT CHARGES'!$J19))</f>
        <v>4193.5223697850997</v>
      </c>
      <c r="R22" s="446">
        <f t="shared" si="2"/>
        <v>16774.089479140399</v>
      </c>
      <c r="S22" s="452">
        <f t="shared" si="3"/>
        <v>0.39060379748370899</v>
      </c>
      <c r="T22" s="440" t="s">
        <v>533</v>
      </c>
    </row>
    <row r="23" spans="1:20" ht="14.5">
      <c r="A23" s="45" t="str">
        <f>Rent!A23</f>
        <v>ABC STORE #75</v>
      </c>
      <c r="B23" s="52" t="str">
        <f>Rent!B23</f>
        <v>F15,17&amp;A8</v>
      </c>
      <c r="C23" s="262">
        <f>Rent!D23</f>
        <v>4000</v>
      </c>
      <c r="D23" s="72">
        <f t="shared" si="0"/>
        <v>7.834227741000431E-2</v>
      </c>
      <c r="E23" s="72" t="e">
        <f t="shared" si="1"/>
        <v>#REF!</v>
      </c>
      <c r="F23" s="9">
        <f>IF(Rent!F23=0,0,('TENANT CHARGES'!$J20))</f>
        <v>1171.8113924511272</v>
      </c>
      <c r="G23" s="9">
        <f>IF(Rent!G23=0,0,('TENANT CHARGES'!$J20))</f>
        <v>1171.8113924511272</v>
      </c>
      <c r="H23" s="9">
        <f>IF(Rent!H23=0,0,('TENANT CHARGES'!$J20))</f>
        <v>1171.8113924511272</v>
      </c>
      <c r="I23" s="9">
        <f>IF(Rent!I23=0,0,('TENANT CHARGES'!$J20))</f>
        <v>1171.8113924511272</v>
      </c>
      <c r="J23" s="9">
        <f>IF(Rent!J23=0,0,('TENANT CHARGES'!$J20))</f>
        <v>1171.8113924511272</v>
      </c>
      <c r="K23" s="9">
        <f>IF(Rent!K23=0,0,('TENANT CHARGES'!$J20))</f>
        <v>1171.8113924511272</v>
      </c>
      <c r="L23" s="9">
        <f>IF(Rent!L23=0,0,('TENANT CHARGES'!$J20))</f>
        <v>1171.8113924511272</v>
      </c>
      <c r="M23" s="9">
        <f>IF(Rent!M23=0,0,('TENANT CHARGES'!$J20))</f>
        <v>1171.8113924511272</v>
      </c>
      <c r="N23" s="9">
        <f>IF(Rent!N23=0,0,('TENANT CHARGES'!$J20))</f>
        <v>1171.8113924511272</v>
      </c>
      <c r="O23" s="9">
        <f>IF(Rent!O23=0,0,('TENANT CHARGES'!$J20))</f>
        <v>1171.8113924511272</v>
      </c>
      <c r="P23" s="9">
        <f>IF(Rent!P23=0,0,('TENANT CHARGES'!$J20))</f>
        <v>1171.8113924511272</v>
      </c>
      <c r="Q23" s="9">
        <f>IF(Rent!Q23=0,0,('TENANT CHARGES'!$J20))</f>
        <v>1171.8113924511272</v>
      </c>
      <c r="R23" s="70">
        <f t="shared" si="2"/>
        <v>14061.736709413526</v>
      </c>
      <c r="S23" s="125">
        <f t="shared" si="3"/>
        <v>0.29295284811278177</v>
      </c>
    </row>
    <row r="24" spans="1:20" ht="14.5">
      <c r="A24" s="45" t="str">
        <f>Rent!A24</f>
        <v>GYPSEA GALATO</v>
      </c>
      <c r="B24" s="52" t="str">
        <f>Rent!B24</f>
        <v>F-16</v>
      </c>
      <c r="C24" s="262">
        <f>Rent!D24</f>
        <v>500</v>
      </c>
      <c r="D24" s="72">
        <f t="shared" si="0"/>
        <v>9.7927846762505388E-3</v>
      </c>
      <c r="E24" s="72" t="e">
        <f t="shared" si="1"/>
        <v>#REF!</v>
      </c>
      <c r="F24" s="9">
        <f>IF(Rent!F24=0,0,('TENANT CHARGES'!$J21))</f>
        <v>195.30189874185453</v>
      </c>
      <c r="G24" s="9">
        <f>IF(Rent!G24=0,0,('TENANT CHARGES'!$J21))</f>
        <v>195.30189874185453</v>
      </c>
      <c r="H24" s="9">
        <f>IF(Rent!H24=0,0,('TENANT CHARGES'!$J21))</f>
        <v>195.30189874185453</v>
      </c>
      <c r="I24" s="9">
        <f>IF(Rent!I24=0,0,('TENANT CHARGES'!$J21))</f>
        <v>195.30189874185453</v>
      </c>
      <c r="J24" s="9">
        <f>IF(Rent!J24=0,0,('TENANT CHARGES'!$J21))</f>
        <v>195.30189874185453</v>
      </c>
      <c r="K24" s="9">
        <f>IF(Rent!K24=0,0,('TENANT CHARGES'!$J21))</f>
        <v>195.30189874185453</v>
      </c>
      <c r="L24" s="9">
        <f>IF(Rent!L24=0,0,('TENANT CHARGES'!$J21))</f>
        <v>195.30189874185453</v>
      </c>
      <c r="M24" s="9">
        <f>IF(Rent!M24=0,0,('TENANT CHARGES'!$J21))</f>
        <v>195.30189874185453</v>
      </c>
      <c r="N24" s="9">
        <f>IF(Rent!N24=0,0,('TENANT CHARGES'!$J21))</f>
        <v>195.30189874185453</v>
      </c>
      <c r="O24" s="9">
        <f>IF(Rent!O24=0,0,('TENANT CHARGES'!$J21))</f>
        <v>195.30189874185453</v>
      </c>
      <c r="P24" s="9">
        <f>IF(Rent!P24=0,0,('TENANT CHARGES'!$J21))</f>
        <v>195.30189874185453</v>
      </c>
      <c r="Q24" s="9">
        <f>IF(Rent!Q24=0,0,('TENANT CHARGES'!$J21))</f>
        <v>195.30189874185453</v>
      </c>
      <c r="R24" s="70">
        <f t="shared" si="2"/>
        <v>2343.6227849022544</v>
      </c>
      <c r="S24" s="125">
        <f t="shared" si="3"/>
        <v>0.39060379748370905</v>
      </c>
    </row>
    <row r="25" spans="1:20" ht="14.5">
      <c r="A25" s="45" t="str">
        <f>Rent!A25</f>
        <v>OCEANS SPORTS BAR AND GRILL</v>
      </c>
      <c r="B25" s="52" t="str">
        <f>Rent!B25</f>
        <v>G</v>
      </c>
      <c r="C25" s="262">
        <f>Rent!D25</f>
        <v>2896</v>
      </c>
      <c r="D25" s="72">
        <f t="shared" si="0"/>
        <v>5.6719808844843123E-2</v>
      </c>
      <c r="E25" s="72" t="e">
        <f t="shared" si="1"/>
        <v>#REF!</v>
      </c>
      <c r="F25" s="9">
        <f>IF(Rent!F25=0,0,('TENANT CHARGES'!$J22))</f>
        <v>95.194273179521318</v>
      </c>
      <c r="G25" s="9">
        <f>IF(Rent!G25=0,0,('TENANT CHARGES'!$J22))</f>
        <v>95.194273179521318</v>
      </c>
      <c r="H25" s="9">
        <f>IF(Rent!H25=0,0,('TENANT CHARGES'!$J22))</f>
        <v>95.194273179521318</v>
      </c>
      <c r="I25" s="9">
        <f>IF(Rent!I25=0,0,('TENANT CHARGES'!$J22))</f>
        <v>95.194273179521318</v>
      </c>
      <c r="J25" s="9">
        <f>IF(Rent!J25=0,0,('TENANT CHARGES'!$J22))</f>
        <v>95.194273179521318</v>
      </c>
      <c r="K25" s="9">
        <f>IF(Rent!K25=0,0,('TENANT CHARGES'!$J22))</f>
        <v>95.194273179521318</v>
      </c>
      <c r="L25" s="9">
        <f>IF(Rent!L25=0,0,('TENANT CHARGES'!$J22))</f>
        <v>95.194273179521318</v>
      </c>
      <c r="M25" s="9">
        <f>IF(Rent!M25=0,0,('TENANT CHARGES'!$J22))</f>
        <v>95.194273179521318</v>
      </c>
      <c r="N25" s="9">
        <f>IF(Rent!N25=0,0,('TENANT CHARGES'!$J22))</f>
        <v>95.194273179521318</v>
      </c>
      <c r="O25" s="9">
        <f>IF(Rent!O25=0,0,('TENANT CHARGES'!$J22))</f>
        <v>95.194273179521318</v>
      </c>
      <c r="P25" s="9">
        <f>IF(Rent!P25=0,0,('TENANT CHARGES'!$J22))</f>
        <v>95.194273179521318</v>
      </c>
      <c r="Q25" s="9">
        <f>IF(Rent!Q25=0,0,('TENANT CHARGES'!$J22))</f>
        <v>95.194273179521318</v>
      </c>
      <c r="R25" s="70">
        <f t="shared" si="2"/>
        <v>1142.3312781542561</v>
      </c>
      <c r="S25" s="125">
        <f t="shared" si="3"/>
        <v>3.2870950683536369E-2</v>
      </c>
    </row>
    <row r="26" spans="1:20" ht="14.5">
      <c r="A26" s="45" t="str">
        <f>Rent!A26</f>
        <v>JACKS DIVE LOCKER</v>
      </c>
      <c r="B26" s="52" t="str">
        <f>Rent!B26</f>
        <v>H</v>
      </c>
      <c r="C26" s="262">
        <f>Rent!D26</f>
        <v>8014</v>
      </c>
      <c r="D26" s="72">
        <f t="shared" si="0"/>
        <v>0.15695875279094362</v>
      </c>
      <c r="E26" s="72" t="e">
        <f t="shared" si="1"/>
        <v>#REF!</v>
      </c>
      <c r="F26" s="9">
        <f>IF(Rent!F26=0,0,('TENANT CHARGES'!$J23))</f>
        <v>263.42779877786046</v>
      </c>
      <c r="G26" s="9">
        <f>IF(Rent!G26=0,0,('TENANT CHARGES'!$J23))</f>
        <v>263.42779877786046</v>
      </c>
      <c r="H26" s="9">
        <f>IF(Rent!H26=0,0,('TENANT CHARGES'!$J23))</f>
        <v>263.42779877786046</v>
      </c>
      <c r="I26" s="9">
        <f>IF(Rent!I26=0,0,('TENANT CHARGES'!$J23))</f>
        <v>263.42779877786046</v>
      </c>
      <c r="J26" s="9">
        <f>IF(Rent!J26=0,0,('TENANT CHARGES'!$J23))</f>
        <v>263.42779877786046</v>
      </c>
      <c r="K26" s="9">
        <f>IF(Rent!K26=0,0,('TENANT CHARGES'!$J23))</f>
        <v>263.42779877786046</v>
      </c>
      <c r="L26" s="9">
        <f>IF(Rent!L26=0,0,('TENANT CHARGES'!$J23))</f>
        <v>263.42779877786046</v>
      </c>
      <c r="M26" s="9">
        <f>IF(Rent!M26=0,0,('TENANT CHARGES'!$J23))</f>
        <v>263.42779877786046</v>
      </c>
      <c r="N26" s="9">
        <f>IF(Rent!N26=0,0,('TENANT CHARGES'!$J23))</f>
        <v>263.42779877786046</v>
      </c>
      <c r="O26" s="9">
        <f>IF(Rent!O26=0,0,('TENANT CHARGES'!$J23))</f>
        <v>263.42779877786046</v>
      </c>
      <c r="P26" s="9">
        <f>IF(Rent!P26=0,0,('TENANT CHARGES'!$J23))</f>
        <v>263.42779877786046</v>
      </c>
      <c r="Q26" s="9">
        <f>IF(Rent!Q26=0,0,('TENANT CHARGES'!$J23))</f>
        <v>263.42779877786046</v>
      </c>
      <c r="R26" s="70">
        <f t="shared" si="2"/>
        <v>3161.1335853343257</v>
      </c>
      <c r="S26" s="125">
        <f t="shared" si="3"/>
        <v>3.2870950683536369E-2</v>
      </c>
    </row>
    <row r="27" spans="1:20" ht="14.5">
      <c r="A27" s="45" t="str">
        <f>Rent!A27</f>
        <v>QPOT</v>
      </c>
      <c r="B27" s="52" t="str">
        <f>Rent!B27</f>
        <v>I</v>
      </c>
      <c r="C27" s="262">
        <f>Rent!D27</f>
        <v>6500</v>
      </c>
      <c r="D27" s="72">
        <f t="shared" si="0"/>
        <v>0.12730620079125701</v>
      </c>
      <c r="E27" s="72" t="e">
        <f t="shared" si="1"/>
        <v>#REF!</v>
      </c>
      <c r="F27" s="9">
        <f>IF(Rent!F27=0,0,('TENANT CHARGES'!$J24))</f>
        <v>0</v>
      </c>
      <c r="G27" s="9">
        <f>IF(Rent!G27=0,0,('TENANT CHARGES'!$J24))</f>
        <v>0</v>
      </c>
      <c r="H27" s="9">
        <f>IF(Rent!H27=0,0,('TENANT CHARGES'!$J24))</f>
        <v>0</v>
      </c>
      <c r="I27" s="9">
        <f>IF(Rent!I27=0,0,('TENANT CHARGES'!$J24))</f>
        <v>0</v>
      </c>
      <c r="J27" s="9">
        <f>IF(Rent!J27=0,0,('TENANT CHARGES'!$J24))</f>
        <v>0</v>
      </c>
      <c r="K27" s="9">
        <f>IF(Rent!K27=0,0,('TENANT CHARGES'!$J24))</f>
        <v>0</v>
      </c>
      <c r="L27" s="9">
        <f>IF(Rent!L27=0,0,('TENANT CHARGES'!$J24))</f>
        <v>2538.9246836441084</v>
      </c>
      <c r="M27" s="9">
        <f>IF(Rent!M27=0,0,('TENANT CHARGES'!$J24))</f>
        <v>2538.9246836441084</v>
      </c>
      <c r="N27" s="9">
        <f>IF(Rent!N27=0,0,('TENANT CHARGES'!$J24))</f>
        <v>2538.9246836441084</v>
      </c>
      <c r="O27" s="9">
        <f>IF(Rent!O27=0,0,('TENANT CHARGES'!$J24))</f>
        <v>2538.9246836441084</v>
      </c>
      <c r="P27" s="9">
        <f>IF(Rent!P27=0,0,('TENANT CHARGES'!$J24))</f>
        <v>2538.9246836441084</v>
      </c>
      <c r="Q27" s="9">
        <f>IF(Rent!Q27=0,0,('TENANT CHARGES'!$J24))</f>
        <v>2538.9246836441084</v>
      </c>
      <c r="R27" s="70">
        <f t="shared" si="2"/>
        <v>15233.548101864651</v>
      </c>
      <c r="S27" s="125">
        <f t="shared" si="3"/>
        <v>0.39060379748370899</v>
      </c>
    </row>
    <row r="28" spans="1:20" ht="14.5">
      <c r="A28" s="45" t="str">
        <f>Rent!A28</f>
        <v>BOWLS SUPERFOODS &amp; ORALE TACOS</v>
      </c>
      <c r="B28" s="52" t="str">
        <f>Rent!B28</f>
        <v>PC-1&amp;2</v>
      </c>
      <c r="C28" s="262">
        <f>Rent!D28</f>
        <v>1993</v>
      </c>
      <c r="D28" s="72">
        <f t="shared" si="0"/>
        <v>3.9034039719534647E-2</v>
      </c>
      <c r="E28" s="72" t="e">
        <f t="shared" si="1"/>
        <v>#REF!</v>
      </c>
      <c r="F28" s="9">
        <f>IF(Rent!F28=0,0,('TENANT CHARGES'!$J25))</f>
        <v>0</v>
      </c>
      <c r="G28" s="9">
        <f>IF(Rent!G28=0,0,('TENANT CHARGES'!$J25))</f>
        <v>0</v>
      </c>
      <c r="H28" s="9">
        <f>IF(Rent!H28=0,0,('TENANT CHARGES'!$J25))</f>
        <v>0</v>
      </c>
      <c r="I28" s="9">
        <f>IF(Rent!I28=0,0,('TENANT CHARGES'!$J25))</f>
        <v>0</v>
      </c>
      <c r="J28" s="9">
        <f>IF(Rent!J28=0,0,('TENANT CHARGES'!$J25))</f>
        <v>0</v>
      </c>
      <c r="K28" s="9">
        <f>IF(Rent!K28=0,0,('TENANT CHARGES'!$J25))</f>
        <v>0</v>
      </c>
      <c r="L28" s="9">
        <f>IF(Rent!L28=0,0,('TENANT CHARGES'!$J25))</f>
        <v>0</v>
      </c>
      <c r="M28" s="9">
        <f>IF(Rent!M28=0,0,('TENANT CHARGES'!$J25))</f>
        <v>0</v>
      </c>
      <c r="N28" s="9">
        <f>IF(Rent!N28=0,0,('TENANT CHARGES'!$J25))</f>
        <v>0</v>
      </c>
      <c r="O28" s="9">
        <f>IF(Rent!O28=0,0,('TENANT CHARGES'!$J25))</f>
        <v>0</v>
      </c>
      <c r="P28" s="9">
        <f>IF(Rent!P28=0,0,('TENANT CHARGES'!$J25))</f>
        <v>0</v>
      </c>
      <c r="Q28" s="9">
        <f>IF(Rent!Q28=0,0,('TENANT CHARGES'!$J25))</f>
        <v>0</v>
      </c>
      <c r="R28" s="70">
        <f t="shared" si="2"/>
        <v>0</v>
      </c>
      <c r="S28" s="125">
        <f t="shared" si="3"/>
        <v>0</v>
      </c>
    </row>
    <row r="29" spans="1:20" ht="14.5">
      <c r="A29" s="45" t="str">
        <f>Rent!A29</f>
        <v>KONA GEAR INC.</v>
      </c>
      <c r="B29" s="52" t="str">
        <f>Rent!B29</f>
        <v>PC 3&amp;4</v>
      </c>
      <c r="C29" s="262">
        <f>Rent!D29</f>
        <v>962</v>
      </c>
      <c r="D29" s="72">
        <f t="shared" si="0"/>
        <v>1.8841317717106038E-2</v>
      </c>
      <c r="E29" s="72" t="e">
        <f t="shared" si="1"/>
        <v>#REF!</v>
      </c>
      <c r="F29" s="9">
        <f>IF(Rent!F29=0,0,('TENANT CHARGES'!$J26))</f>
        <v>375.76085317932808</v>
      </c>
      <c r="G29" s="9">
        <f>IF(Rent!G29=0,0,('TENANT CHARGES'!$J26))</f>
        <v>375.76085317932808</v>
      </c>
      <c r="H29" s="9">
        <f>IF(Rent!H29=0,0,('TENANT CHARGES'!$J26))</f>
        <v>375.76085317932808</v>
      </c>
      <c r="I29" s="9">
        <f>IF(Rent!I29=0,0,('TENANT CHARGES'!$J26))</f>
        <v>375.76085317932808</v>
      </c>
      <c r="J29" s="9">
        <f>IF(Rent!J29=0,0,('TENANT CHARGES'!$J26))</f>
        <v>375.76085317932808</v>
      </c>
      <c r="K29" s="9">
        <f>IF(Rent!K29=0,0,('TENANT CHARGES'!$J26))</f>
        <v>375.76085317932808</v>
      </c>
      <c r="L29" s="9">
        <f>IF(Rent!L29=0,0,('TENANT CHARGES'!$J26))</f>
        <v>375.76085317932808</v>
      </c>
      <c r="M29" s="9">
        <f>IF(Rent!M29=0,0,('TENANT CHARGES'!$J26))</f>
        <v>375.76085317932808</v>
      </c>
      <c r="N29" s="9">
        <f>IF(Rent!N29=0,0,('TENANT CHARGES'!$J26))</f>
        <v>375.76085317932808</v>
      </c>
      <c r="O29" s="9">
        <f>IF(Rent!O29=0,0,('TENANT CHARGES'!$J26))</f>
        <v>375.76085317932808</v>
      </c>
      <c r="P29" s="9">
        <f>IF(Rent!P29=0,0,('TENANT CHARGES'!$J26))</f>
        <v>375.76085317932808</v>
      </c>
      <c r="Q29" s="9">
        <f>IF(Rent!Q29=0,0,('TENANT CHARGES'!$J26))</f>
        <v>375.76085317932808</v>
      </c>
      <c r="R29" s="70">
        <f t="shared" si="2"/>
        <v>4509.1302381519372</v>
      </c>
      <c r="S29" s="125">
        <f t="shared" si="3"/>
        <v>0.39060379748370905</v>
      </c>
    </row>
    <row r="30" spans="1:20" ht="14.5">
      <c r="A30" s="45" t="str">
        <f>Rent!A30</f>
        <v>LAVERNES</v>
      </c>
      <c r="B30" s="52" t="str">
        <f>Rent!B30</f>
        <v>PC/U1</v>
      </c>
      <c r="C30" s="262">
        <f>Rent!D30</f>
        <v>3704</v>
      </c>
      <c r="D30" s="72">
        <f t="shared" si="0"/>
        <v>7.254494888166399E-2</v>
      </c>
      <c r="E30" s="72" t="e">
        <f t="shared" si="1"/>
        <v>#REF!</v>
      </c>
      <c r="F30" s="9">
        <f>IF(Rent!F30=0,0,('TENANT CHARGES'!$J27))</f>
        <v>1446.7964658796582</v>
      </c>
      <c r="G30" s="9">
        <f>IF(Rent!G30=0,0,('TENANT CHARGES'!$J27))</f>
        <v>1446.7964658796582</v>
      </c>
      <c r="H30" s="9">
        <f>IF(Rent!H30=0,0,('TENANT CHARGES'!$J27))</f>
        <v>1446.7964658796582</v>
      </c>
      <c r="I30" s="9">
        <f>IF(Rent!I30=0,0,('TENANT CHARGES'!$J27))</f>
        <v>1446.7964658796582</v>
      </c>
      <c r="J30" s="9">
        <f>IF(Rent!J30=0,0,('TENANT CHARGES'!$J27))</f>
        <v>1446.7964658796582</v>
      </c>
      <c r="K30" s="9">
        <f>IF(Rent!K30=0,0,('TENANT CHARGES'!$J27))</f>
        <v>1446.7964658796582</v>
      </c>
      <c r="L30" s="9">
        <f>IF(Rent!L30=0,0,('TENANT CHARGES'!$J27))</f>
        <v>1446.7964658796582</v>
      </c>
      <c r="M30" s="9">
        <f>IF(Rent!M30=0,0,('TENANT CHARGES'!$J27))</f>
        <v>1446.7964658796582</v>
      </c>
      <c r="N30" s="9">
        <f>IF(Rent!N30=0,0,('TENANT CHARGES'!$J27))</f>
        <v>1446.7964658796582</v>
      </c>
      <c r="O30" s="9">
        <f>IF(Rent!O30=0,0,('TENANT CHARGES'!$J27))</f>
        <v>1446.7964658796582</v>
      </c>
      <c r="P30" s="9">
        <f>IF(Rent!P30=0,0,('TENANT CHARGES'!$J27))</f>
        <v>1446.7964658796582</v>
      </c>
      <c r="Q30" s="9">
        <f>IF(Rent!Q30=0,0,('TENANT CHARGES'!$J27))</f>
        <v>1446.7964658796582</v>
      </c>
      <c r="R30" s="70">
        <f t="shared" si="2"/>
        <v>17361.557590555902</v>
      </c>
      <c r="S30" s="125">
        <f t="shared" si="3"/>
        <v>0.39060379748370899</v>
      </c>
    </row>
    <row r="33" spans="1:18">
      <c r="A33" s="204" t="s">
        <v>437</v>
      </c>
      <c r="B33" s="311"/>
      <c r="C33" s="295">
        <f>SUM(C14:C32)</f>
        <v>51058</v>
      </c>
      <c r="D33" s="326">
        <f>SUM(D14:D32)</f>
        <v>0.92414508989776334</v>
      </c>
      <c r="E33" s="326" t="e">
        <f>SUM(E14:E30)</f>
        <v>#REF!</v>
      </c>
      <c r="F33" s="296">
        <f t="shared" ref="F33:Q33" si="4">SUM(F14:F31)</f>
        <v>8139.0591140353827</v>
      </c>
      <c r="G33" s="296">
        <f t="shared" si="4"/>
        <v>8139.0591140353827</v>
      </c>
      <c r="H33" s="296">
        <f t="shared" si="4"/>
        <v>8139.0591140353827</v>
      </c>
      <c r="I33" s="296">
        <f t="shared" si="4"/>
        <v>8139.0591140353827</v>
      </c>
      <c r="J33" s="296">
        <f t="shared" si="4"/>
        <v>8139.0591140353827</v>
      </c>
      <c r="K33" s="296">
        <f t="shared" si="4"/>
        <v>8139.0591140353827</v>
      </c>
      <c r="L33" s="296">
        <f t="shared" si="4"/>
        <v>10677.983797679492</v>
      </c>
      <c r="M33" s="296">
        <f t="shared" si="4"/>
        <v>10677.983797679492</v>
      </c>
      <c r="N33" s="296">
        <f t="shared" si="4"/>
        <v>14871.506167464591</v>
      </c>
      <c r="O33" s="296">
        <f t="shared" si="4"/>
        <v>14871.506167464591</v>
      </c>
      <c r="P33" s="296">
        <f t="shared" si="4"/>
        <v>14871.506167464591</v>
      </c>
      <c r="Q33" s="296">
        <f t="shared" si="4"/>
        <v>14871.506167464591</v>
      </c>
      <c r="R33" s="297">
        <f>SUM(F33:Q33)</f>
        <v>129676.34694942966</v>
      </c>
    </row>
    <row r="34" spans="1:18">
      <c r="A34" s="298" t="s">
        <v>547</v>
      </c>
      <c r="B34" s="300"/>
      <c r="C34" s="327" t="e">
        <f>C33-(#REF!+C14)</f>
        <v>#REF!</v>
      </c>
      <c r="D34" s="301"/>
      <c r="E34" s="301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0"/>
      <c r="R34" s="321"/>
    </row>
    <row r="35" spans="1:18">
      <c r="C35" s="67"/>
      <c r="D35" s="67"/>
      <c r="E35" s="6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82" t="s">
        <v>548</v>
      </c>
      <c r="Q35" s="74"/>
      <c r="R35" s="78">
        <f>Summ.!O117</f>
        <v>192486.99999999997</v>
      </c>
    </row>
    <row r="36" spans="1:18">
      <c r="P36" s="62" t="s">
        <v>535</v>
      </c>
      <c r="Q36" s="63"/>
      <c r="R36" s="83">
        <f>R33/R35</f>
        <v>0.67368885664709655</v>
      </c>
    </row>
  </sheetData>
  <mergeCells count="5">
    <mergeCell ref="A6:R6"/>
    <mergeCell ref="A2:R2"/>
    <mergeCell ref="A3:R3"/>
    <mergeCell ref="A4:R4"/>
    <mergeCell ref="A5:R5"/>
  </mergeCells>
  <phoneticPr fontId="0" type="noConversion"/>
  <printOptions horizontalCentered="1"/>
  <pageMargins left="0.38" right="0.27" top="0.5" bottom="0.75" header="0.5" footer="0.5"/>
  <pageSetup paperSize="3" scale="75" firstPageNumber="8" orientation="landscape" useFirstPageNumber="1" r:id="rId1"/>
  <headerFooter scaleWithDoc="0" alignWithMargins="0">
    <oddFooter>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S36"/>
  <sheetViews>
    <sheetView topLeftCell="A10" zoomScale="85" zoomScaleNormal="85" workbookViewId="0">
      <selection activeCell="D14" sqref="D14"/>
    </sheetView>
  </sheetViews>
  <sheetFormatPr defaultColWidth="9.26953125" defaultRowHeight="13"/>
  <cols>
    <col min="1" max="1" width="37.7265625" style="45" customWidth="1"/>
    <col min="2" max="2" width="9.26953125" style="45"/>
    <col min="3" max="4" width="11.7265625" style="45" customWidth="1"/>
    <col min="5" max="16" width="9.7265625" style="45" customWidth="1"/>
    <col min="17" max="17" width="11.26953125" style="45" bestFit="1" customWidth="1"/>
    <col min="18" max="18" width="9.26953125" style="45"/>
    <col min="19" max="19" width="35.7265625" style="45" customWidth="1"/>
    <col min="20" max="16384" width="9.26953125" style="45"/>
  </cols>
  <sheetData>
    <row r="1" spans="1:18" ht="14.5">
      <c r="P1" s="2" t="str">
        <f>Summ.!R1</f>
        <v>Date Revised:</v>
      </c>
      <c r="Q1" s="3" t="e">
        <f>Summ.!#REF!</f>
        <v>#REF!</v>
      </c>
      <c r="R1" s="45">
        <f>Summ.!T1</f>
        <v>0</v>
      </c>
    </row>
    <row r="2" spans="1:18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8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8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8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8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8">
      <c r="H7" s="46"/>
    </row>
    <row r="8" spans="1:18">
      <c r="A8" s="200"/>
      <c r="B8" s="200"/>
      <c r="C8" s="201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8">
      <c r="A9" s="166" t="s">
        <v>120</v>
      </c>
      <c r="B9" s="166" t="s">
        <v>434</v>
      </c>
      <c r="C9" s="166" t="s">
        <v>348</v>
      </c>
      <c r="D9" s="166" t="s">
        <v>545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18">
      <c r="A10" s="202"/>
      <c r="B10" s="168" t="s">
        <v>438</v>
      </c>
      <c r="C10" s="168" t="s">
        <v>439</v>
      </c>
      <c r="D10" s="168" t="s">
        <v>546</v>
      </c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2" spans="1:18">
      <c r="A12" s="51" t="s">
        <v>132</v>
      </c>
      <c r="D12" s="49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8">
      <c r="C13" s="50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8" ht="14.5">
      <c r="A14" s="45" t="str">
        <f>Rent!A14</f>
        <v xml:space="preserve">ISLAND LAVA JAVA </v>
      </c>
      <c r="B14" s="52" t="str">
        <f>Rent!B14</f>
        <v>A 1-4</v>
      </c>
      <c r="C14" s="71">
        <f>Rent!D14</f>
        <v>3873</v>
      </c>
      <c r="D14" s="72">
        <f t="shared" ref="D14:D30" si="0">C14/C$33</f>
        <v>7.5854910102236675E-2</v>
      </c>
      <c r="E14" s="9">
        <f>IF(Rent!F14=0,0,('TENANT CHARGES'!$K10))</f>
        <v>1205.2207391593874</v>
      </c>
      <c r="F14" s="9">
        <f>IF(Rent!G14=0,0,('TENANT CHARGES'!$K10))</f>
        <v>1205.2207391593874</v>
      </c>
      <c r="G14" s="9">
        <f>IF(Rent!H14=0,0,('TENANT CHARGES'!$K10))</f>
        <v>1205.2207391593874</v>
      </c>
      <c r="H14" s="9">
        <f>IF(Rent!I14=0,0,('TENANT CHARGES'!$K10))</f>
        <v>1205.2207391593874</v>
      </c>
      <c r="I14" s="9">
        <f>IF(Rent!J14=0,0,('TENANT CHARGES'!$K10))</f>
        <v>1205.2207391593874</v>
      </c>
      <c r="J14" s="9">
        <f>IF(Rent!K14=0,0,('TENANT CHARGES'!$K10))</f>
        <v>1205.2207391593874</v>
      </c>
      <c r="K14" s="9">
        <f>IF(Rent!L14=0,0,('TENANT CHARGES'!$K10))</f>
        <v>1205.2207391593874</v>
      </c>
      <c r="L14" s="9">
        <f>IF(Rent!M14=0,0,('TENANT CHARGES'!$K10))</f>
        <v>1205.2207391593874</v>
      </c>
      <c r="M14" s="9">
        <f>IF(Rent!N14=0,0,('TENANT CHARGES'!$K10))</f>
        <v>1205.2207391593874</v>
      </c>
      <c r="N14" s="9">
        <f>IF(Rent!O14=0,0,('TENANT CHARGES'!$K10))</f>
        <v>1205.2207391593874</v>
      </c>
      <c r="O14" s="9">
        <f>IF(Rent!P14=0,0,('TENANT CHARGES'!$K10))</f>
        <v>1205.2207391593874</v>
      </c>
      <c r="P14" s="9">
        <f>IF(Rent!Q14=0,0,('TENANT CHARGES'!$K10))</f>
        <v>1205.2207391593874</v>
      </c>
      <c r="Q14" s="84">
        <f>SUM(E14:P14)</f>
        <v>14462.648869912649</v>
      </c>
      <c r="R14" s="115">
        <f>P14/C14</f>
        <v>0.31118531865721338</v>
      </c>
    </row>
    <row r="15" spans="1:18" ht="14.5">
      <c r="A15" s="45" t="str">
        <f>Rent!A15</f>
        <v>TAKA SUSHI</v>
      </c>
      <c r="B15" s="52" t="str">
        <f>Rent!B15</f>
        <v>B-5</v>
      </c>
      <c r="C15" s="71">
        <f>Rent!D15</f>
        <v>1074</v>
      </c>
      <c r="D15" s="72">
        <f t="shared" si="0"/>
        <v>2.1034901484586158E-2</v>
      </c>
      <c r="E15" s="9">
        <f>IF(Rent!F15=0,0,('TENANT CHARGES'!$K11))</f>
        <v>334.21303223784713</v>
      </c>
      <c r="F15" s="9">
        <f>IF(Rent!G15=0,0,('TENANT CHARGES'!$K11))</f>
        <v>334.21303223784713</v>
      </c>
      <c r="G15" s="9">
        <f>IF(Rent!H15=0,0,('TENANT CHARGES'!$K11))</f>
        <v>334.21303223784713</v>
      </c>
      <c r="H15" s="9">
        <f>IF(Rent!I15=0,0,('TENANT CHARGES'!$K11))</f>
        <v>334.21303223784713</v>
      </c>
      <c r="I15" s="9">
        <f>IF(Rent!J15=0,0,('TENANT CHARGES'!$K11))</f>
        <v>334.21303223784713</v>
      </c>
      <c r="J15" s="9">
        <f>IF(Rent!K15=0,0,('TENANT CHARGES'!$K11))</f>
        <v>334.21303223784713</v>
      </c>
      <c r="K15" s="9">
        <f>IF(Rent!L15=0,0,('TENANT CHARGES'!$K11))</f>
        <v>334.21303223784713</v>
      </c>
      <c r="L15" s="9">
        <f>IF(Rent!M15=0,0,('TENANT CHARGES'!$K11))</f>
        <v>334.21303223784713</v>
      </c>
      <c r="M15" s="9">
        <f>IF(Rent!N15=0,0,('TENANT CHARGES'!$K11))</f>
        <v>334.21303223784713</v>
      </c>
      <c r="N15" s="9">
        <f>IF(Rent!O15=0,0,('TENANT CHARGES'!$K11))</f>
        <v>334.21303223784713</v>
      </c>
      <c r="O15" s="9">
        <f>IF(Rent!P15=0,0,('TENANT CHARGES'!$K11))</f>
        <v>334.21303223784713</v>
      </c>
      <c r="P15" s="9">
        <f>IF(Rent!Q15=0,0,('TENANT CHARGES'!$K11))</f>
        <v>334.21303223784713</v>
      </c>
      <c r="Q15" s="84">
        <f t="shared" ref="Q15:Q30" si="1">SUM(E15:P15)</f>
        <v>4010.5563868541653</v>
      </c>
      <c r="R15" s="115">
        <f t="shared" ref="R15:R30" si="2">P15/C15</f>
        <v>0.31118531865721333</v>
      </c>
    </row>
    <row r="16" spans="1:18" ht="14.5">
      <c r="A16" s="45" t="str">
        <f>Rent!A16</f>
        <v>KANAKA KAVA</v>
      </c>
      <c r="B16" s="52" t="str">
        <f>Rent!B16</f>
        <v>B-6</v>
      </c>
      <c r="C16" s="71">
        <f>Rent!D16</f>
        <v>200</v>
      </c>
      <c r="D16" s="72">
        <f t="shared" si="0"/>
        <v>3.9171138705002152E-3</v>
      </c>
      <c r="E16" s="9">
        <f>IF(Rent!F16=0,0,('TENANT CHARGES'!$K12))</f>
        <v>62.237063731442667</v>
      </c>
      <c r="F16" s="9">
        <f>IF(Rent!G16=0,0,('TENANT CHARGES'!$K12))</f>
        <v>62.237063731442667</v>
      </c>
      <c r="G16" s="9">
        <f>IF(Rent!H16=0,0,('TENANT CHARGES'!$K12))</f>
        <v>62.237063731442667</v>
      </c>
      <c r="H16" s="9">
        <f>IF(Rent!I16=0,0,('TENANT CHARGES'!$K12))</f>
        <v>62.237063731442667</v>
      </c>
      <c r="I16" s="9">
        <f>IF(Rent!J16=0,0,('TENANT CHARGES'!$K12))</f>
        <v>62.237063731442667</v>
      </c>
      <c r="J16" s="9">
        <f>IF(Rent!K16=0,0,('TENANT CHARGES'!$K12))</f>
        <v>62.237063731442667</v>
      </c>
      <c r="K16" s="9">
        <f>IF(Rent!L16=0,0,('TENANT CHARGES'!$K12))</f>
        <v>62.237063731442667</v>
      </c>
      <c r="L16" s="9">
        <f>IF(Rent!M16=0,0,('TENANT CHARGES'!$K12))</f>
        <v>62.237063731442667</v>
      </c>
      <c r="M16" s="9">
        <f>IF(Rent!N16=0,0,('TENANT CHARGES'!$K12))</f>
        <v>62.237063731442667</v>
      </c>
      <c r="N16" s="9">
        <f>IF(Rent!O16=0,0,('TENANT CHARGES'!$K12))</f>
        <v>62.237063731442667</v>
      </c>
      <c r="O16" s="9">
        <f>IF(Rent!P16=0,0,('TENANT CHARGES'!$K12))</f>
        <v>62.237063731442667</v>
      </c>
      <c r="P16" s="9">
        <f>IF(Rent!Q16=0,0,('TENANT CHARGES'!$K12))</f>
        <v>62.237063731442667</v>
      </c>
      <c r="Q16" s="84">
        <f t="shared" si="1"/>
        <v>746.84476477731187</v>
      </c>
      <c r="R16" s="115">
        <f t="shared" si="2"/>
        <v>0.31118531865721333</v>
      </c>
    </row>
    <row r="17" spans="1:19" ht="14.5">
      <c r="A17" s="45" t="str">
        <f>Rent!A17</f>
        <v>GECKO GIRLZ SHAVE ICE SHACK</v>
      </c>
      <c r="B17" s="52" t="str">
        <f>Rent!B17</f>
        <v>C-7</v>
      </c>
      <c r="C17" s="71">
        <f>Rent!D17</f>
        <v>518</v>
      </c>
      <c r="D17" s="72">
        <f t="shared" si="0"/>
        <v>1.0145324924595559E-2</v>
      </c>
      <c r="E17" s="9">
        <f>IF(Rent!F17=0,0,('TENANT CHARGES'!$K13))</f>
        <v>161.19399506443654</v>
      </c>
      <c r="F17" s="9">
        <f>IF(Rent!G17=0,0,('TENANT CHARGES'!$K13))</f>
        <v>161.19399506443654</v>
      </c>
      <c r="G17" s="9">
        <f>IF(Rent!H17=0,0,('TENANT CHARGES'!$K13))</f>
        <v>161.19399506443654</v>
      </c>
      <c r="H17" s="9">
        <f>IF(Rent!I17=0,0,('TENANT CHARGES'!$K13))</f>
        <v>161.19399506443654</v>
      </c>
      <c r="I17" s="9">
        <f>IF(Rent!J17=0,0,('TENANT CHARGES'!$K13))</f>
        <v>161.19399506443654</v>
      </c>
      <c r="J17" s="9">
        <f>IF(Rent!K17=0,0,('TENANT CHARGES'!$K13))</f>
        <v>161.19399506443654</v>
      </c>
      <c r="K17" s="9">
        <f>IF(Rent!L17=0,0,('TENANT CHARGES'!$K13))</f>
        <v>161.19399506443654</v>
      </c>
      <c r="L17" s="9">
        <f>IF(Rent!M17=0,0,('TENANT CHARGES'!$K13))</f>
        <v>161.19399506443654</v>
      </c>
      <c r="M17" s="9">
        <f>IF(Rent!N17=0,0,('TENANT CHARGES'!$K13))</f>
        <v>161.19399506443654</v>
      </c>
      <c r="N17" s="9">
        <f>IF(Rent!O17=0,0,('TENANT CHARGES'!$K13))</f>
        <v>161.19399506443654</v>
      </c>
      <c r="O17" s="9">
        <f>IF(Rent!P17=0,0,('TENANT CHARGES'!$K13))</f>
        <v>161.19399506443654</v>
      </c>
      <c r="P17" s="9">
        <f>IF(Rent!Q17=0,0,('TENANT CHARGES'!$K13))</f>
        <v>161.19399506443654</v>
      </c>
      <c r="Q17" s="84">
        <f t="shared" si="1"/>
        <v>1934.327940773238</v>
      </c>
      <c r="R17" s="115">
        <f t="shared" si="2"/>
        <v>0.31118531865721338</v>
      </c>
    </row>
    <row r="18" spans="1:19" ht="14.5">
      <c r="A18" s="45" t="str">
        <f>Rent!A18</f>
        <v>BIG ISLAND RUNNING CO.</v>
      </c>
      <c r="B18" s="52" t="str">
        <f>Rent!B18</f>
        <v>C-8</v>
      </c>
      <c r="C18" s="71">
        <f>Rent!D18</f>
        <v>525</v>
      </c>
      <c r="D18" s="72">
        <f t="shared" si="0"/>
        <v>1.0282423910063065E-2</v>
      </c>
      <c r="E18" s="9">
        <f>IF(Rent!F18=0,0,('TENANT CHARGES'!$K14))</f>
        <v>163.372292295037</v>
      </c>
      <c r="F18" s="9">
        <f>IF(Rent!G18=0,0,('TENANT CHARGES'!$K14))</f>
        <v>163.372292295037</v>
      </c>
      <c r="G18" s="9">
        <f>IF(Rent!H18=0,0,('TENANT CHARGES'!$K14))</f>
        <v>163.372292295037</v>
      </c>
      <c r="H18" s="9">
        <f>IF(Rent!I18=0,0,('TENANT CHARGES'!$K14))</f>
        <v>163.372292295037</v>
      </c>
      <c r="I18" s="9">
        <f>IF(Rent!J18=0,0,('TENANT CHARGES'!$K14))</f>
        <v>163.372292295037</v>
      </c>
      <c r="J18" s="9">
        <f>IF(Rent!K18=0,0,('TENANT CHARGES'!$K14))</f>
        <v>163.372292295037</v>
      </c>
      <c r="K18" s="9">
        <f>IF(Rent!L18=0,0,('TENANT CHARGES'!$K14))</f>
        <v>163.372292295037</v>
      </c>
      <c r="L18" s="9">
        <f>IF(Rent!M18=0,0,('TENANT CHARGES'!$K14))</f>
        <v>163.372292295037</v>
      </c>
      <c r="M18" s="9">
        <f>IF(Rent!N18=0,0,('TENANT CHARGES'!$K14))</f>
        <v>163.372292295037</v>
      </c>
      <c r="N18" s="9">
        <f>IF(Rent!O18=0,0,('TENANT CHARGES'!$K14))</f>
        <v>163.372292295037</v>
      </c>
      <c r="O18" s="9">
        <f>IF(Rent!P18=0,0,('TENANT CHARGES'!$K14))</f>
        <v>163.372292295037</v>
      </c>
      <c r="P18" s="9">
        <f>IF(Rent!Q18=0,0,('TENANT CHARGES'!$K14))</f>
        <v>163.372292295037</v>
      </c>
      <c r="Q18" s="84">
        <f t="shared" si="1"/>
        <v>1960.4675075404436</v>
      </c>
      <c r="R18" s="115">
        <f t="shared" si="2"/>
        <v>0.31118531865721333</v>
      </c>
    </row>
    <row r="19" spans="1:19" ht="14.5">
      <c r="A19" s="45" t="str">
        <f>Rent!A19</f>
        <v>CAFE KONA</v>
      </c>
      <c r="B19" s="52" t="str">
        <f>Rent!B19</f>
        <v>D11-12</v>
      </c>
      <c r="C19" s="71">
        <f>Rent!D19</f>
        <v>994</v>
      </c>
      <c r="D19" s="72">
        <f t="shared" si="0"/>
        <v>1.9468055936386071E-2</v>
      </c>
      <c r="E19" s="9">
        <f>IF(Rent!F19=0,0,('TENANT CHARGES'!$K15))</f>
        <v>309.31820674527006</v>
      </c>
      <c r="F19" s="9">
        <f>IF(Rent!G19=0,0,('TENANT CHARGES'!$K15))</f>
        <v>309.31820674527006</v>
      </c>
      <c r="G19" s="9">
        <f>IF(Rent!H19=0,0,('TENANT CHARGES'!$K15))</f>
        <v>309.31820674527006</v>
      </c>
      <c r="H19" s="9">
        <f>IF(Rent!I19=0,0,('TENANT CHARGES'!$K15))</f>
        <v>309.31820674527006</v>
      </c>
      <c r="I19" s="9">
        <f>IF(Rent!J19=0,0,('TENANT CHARGES'!$K15))</f>
        <v>309.31820674527006</v>
      </c>
      <c r="J19" s="9">
        <f>IF(Rent!K19=0,0,('TENANT CHARGES'!$K15))</f>
        <v>309.31820674527006</v>
      </c>
      <c r="K19" s="9">
        <f>IF(Rent!L19=0,0,('TENANT CHARGES'!$K15))</f>
        <v>309.31820674527006</v>
      </c>
      <c r="L19" s="9">
        <f>IF(Rent!M19=0,0,('TENANT CHARGES'!$K15))</f>
        <v>309.31820674527006</v>
      </c>
      <c r="M19" s="9">
        <f>IF(Rent!N19=0,0,('TENANT CHARGES'!$K15))</f>
        <v>309.31820674527006</v>
      </c>
      <c r="N19" s="9">
        <f>IF(Rent!O19=0,0,('TENANT CHARGES'!$K15))</f>
        <v>309.31820674527006</v>
      </c>
      <c r="O19" s="9">
        <f>IF(Rent!P19=0,0,('TENANT CHARGES'!$K15))</f>
        <v>309.31820674527006</v>
      </c>
      <c r="P19" s="9">
        <f>IF(Rent!Q19=0,0,('TENANT CHARGES'!$K15))</f>
        <v>309.31820674527006</v>
      </c>
      <c r="Q19" s="84">
        <f t="shared" si="1"/>
        <v>3711.81848094324</v>
      </c>
      <c r="R19" s="115">
        <f t="shared" si="2"/>
        <v>0.31118531865721333</v>
      </c>
    </row>
    <row r="20" spans="1:19" ht="14.5">
      <c r="A20" s="45" t="str">
        <f>Rent!A20</f>
        <v>LUCASIE LTD</v>
      </c>
      <c r="B20" s="52" t="str">
        <f>Rent!B20</f>
        <v>D9-D10</v>
      </c>
      <c r="C20" s="71">
        <f>Rent!D20</f>
        <v>1043</v>
      </c>
      <c r="D20" s="72">
        <f t="shared" si="0"/>
        <v>2.0427748834658623E-2</v>
      </c>
      <c r="E20" s="9">
        <f>IF(Rent!F20=0,0,('TENANT CHARGES'!$K17))</f>
        <v>324.56628735947351</v>
      </c>
      <c r="F20" s="9">
        <f>IF(Rent!G20=0,0,('TENANT CHARGES'!$K17))</f>
        <v>324.56628735947351</v>
      </c>
      <c r="G20" s="9">
        <f>IF(Rent!H20=0,0,('TENANT CHARGES'!$K17))</f>
        <v>324.56628735947351</v>
      </c>
      <c r="H20" s="9">
        <f>IF(Rent!I20=0,0,('TENANT CHARGES'!$K17))</f>
        <v>324.56628735947351</v>
      </c>
      <c r="I20" s="9">
        <f>IF(Rent!J20=0,0,('TENANT CHARGES'!$K17))</f>
        <v>324.56628735947351</v>
      </c>
      <c r="J20" s="9">
        <f>IF(Rent!K20=0,0,('TENANT CHARGES'!$K17))</f>
        <v>324.56628735947351</v>
      </c>
      <c r="K20" s="9">
        <f>IF(Rent!L20=0,0,('TENANT CHARGES'!$K17))</f>
        <v>324.56628735947351</v>
      </c>
      <c r="L20" s="9">
        <f>IF(Rent!M20=0,0,('TENANT CHARGES'!$K17))</f>
        <v>324.56628735947351</v>
      </c>
      <c r="M20" s="9">
        <f>IF(Rent!N20=0,0,('TENANT CHARGES'!$K17))</f>
        <v>324.56628735947351</v>
      </c>
      <c r="N20" s="9">
        <f>IF(Rent!O20=0,0,('TENANT CHARGES'!$K17))</f>
        <v>324.56628735947351</v>
      </c>
      <c r="O20" s="9">
        <f>IF(Rent!P20=0,0,('TENANT CHARGES'!$K17))</f>
        <v>324.56628735947351</v>
      </c>
      <c r="P20" s="9">
        <f>IF(Rent!Q20=0,0,('TENANT CHARGES'!$K17))</f>
        <v>324.56628735947351</v>
      </c>
      <c r="Q20" s="84">
        <f t="shared" si="1"/>
        <v>3894.7954483136814</v>
      </c>
      <c r="R20" s="115">
        <f t="shared" si="2"/>
        <v>0.31118531865721333</v>
      </c>
    </row>
    <row r="21" spans="1:19" ht="14.5">
      <c r="A21" s="45" t="str">
        <f>Rent!A21</f>
        <v>FOSTERS KITCHEN</v>
      </c>
      <c r="B21" s="52" t="str">
        <f>Rent!B21</f>
        <v>DU-1</v>
      </c>
      <c r="C21" s="71">
        <f>Rent!D21</f>
        <v>3526</v>
      </c>
      <c r="D21" s="72">
        <f t="shared" si="0"/>
        <v>6.9058717536918793E-2</v>
      </c>
      <c r="E21" s="9">
        <f>IF(Rent!F21=0,0,('TENANT CHARGES'!$K18))</f>
        <v>1097.2394335853344</v>
      </c>
      <c r="F21" s="9">
        <f>IF(Rent!G21=0,0,('TENANT CHARGES'!$K18))</f>
        <v>1097.2394335853344</v>
      </c>
      <c r="G21" s="9">
        <f>IF(Rent!H21=0,0,('TENANT CHARGES'!$K18))</f>
        <v>1097.2394335853344</v>
      </c>
      <c r="H21" s="9">
        <f>IF(Rent!I21=0,0,('TENANT CHARGES'!$K18))</f>
        <v>1097.2394335853344</v>
      </c>
      <c r="I21" s="9">
        <f>IF(Rent!J21=0,0,('TENANT CHARGES'!$K18))</f>
        <v>1097.2394335853344</v>
      </c>
      <c r="J21" s="9">
        <f>IF(Rent!K21=0,0,('TENANT CHARGES'!$K18))</f>
        <v>1097.2394335853344</v>
      </c>
      <c r="K21" s="9">
        <f>IF(Rent!L21=0,0,('TENANT CHARGES'!$K18))</f>
        <v>1097.2394335853344</v>
      </c>
      <c r="L21" s="9">
        <f>IF(Rent!M21=0,0,('TENANT CHARGES'!$K18))</f>
        <v>1097.2394335853344</v>
      </c>
      <c r="M21" s="9">
        <f>IF(Rent!N21=0,0,('TENANT CHARGES'!$K18))</f>
        <v>1097.2394335853344</v>
      </c>
      <c r="N21" s="9">
        <f>IF(Rent!O21=0,0,('TENANT CHARGES'!$K18))</f>
        <v>1097.2394335853344</v>
      </c>
      <c r="O21" s="9">
        <f>IF(Rent!P21=0,0,('TENANT CHARGES'!$K18))</f>
        <v>1097.2394335853344</v>
      </c>
      <c r="P21" s="9">
        <f>IF(Rent!Q21=0,0,('TENANT CHARGES'!$K18))</f>
        <v>1097.2394335853344</v>
      </c>
      <c r="Q21" s="84">
        <f t="shared" si="1"/>
        <v>13166.873203024015</v>
      </c>
      <c r="R21" s="115">
        <f t="shared" si="2"/>
        <v>0.31118531865721338</v>
      </c>
    </row>
    <row r="22" spans="1:19" ht="14.5">
      <c r="A22" s="440" t="str">
        <f>Rent!A22</f>
        <v>HUMPYS BIG ISLAND ALEHOUSE</v>
      </c>
      <c r="B22" s="443" t="str">
        <f>Rent!B22</f>
        <v>E</v>
      </c>
      <c r="C22" s="444">
        <f>Rent!D22</f>
        <v>10736</v>
      </c>
      <c r="D22" s="445">
        <f t="shared" si="0"/>
        <v>0.21027067256845156</v>
      </c>
      <c r="E22" s="253">
        <v>0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f>IF(Rent!N22=0,0,('TENANT CHARGES'!$K19))</f>
        <v>3340.8855811038425</v>
      </c>
      <c r="N22" s="253">
        <f>IF(Rent!O22=0,0,('TENANT CHARGES'!$K19))</f>
        <v>3340.8855811038425</v>
      </c>
      <c r="O22" s="253">
        <f>IF(Rent!P22=0,0,('TENANT CHARGES'!$K19))</f>
        <v>3340.8855811038425</v>
      </c>
      <c r="P22" s="253">
        <f>IF(Rent!Q22=0,0,('TENANT CHARGES'!$K19))</f>
        <v>3340.8855811038425</v>
      </c>
      <c r="Q22" s="453">
        <f t="shared" si="1"/>
        <v>13363.54232441537</v>
      </c>
      <c r="R22" s="454">
        <f t="shared" si="2"/>
        <v>0.31118531865721333</v>
      </c>
      <c r="S22" s="440" t="s">
        <v>533</v>
      </c>
    </row>
    <row r="23" spans="1:19" ht="14.5">
      <c r="A23" s="45" t="str">
        <f>Rent!A23</f>
        <v>ABC STORE #75</v>
      </c>
      <c r="B23" s="52" t="str">
        <f>Rent!B23</f>
        <v>F15,17&amp;A8</v>
      </c>
      <c r="C23" s="71">
        <f>Rent!D23</f>
        <v>4000</v>
      </c>
      <c r="D23" s="72">
        <f t="shared" si="0"/>
        <v>7.834227741000431E-2</v>
      </c>
      <c r="E23" s="9">
        <f>IF(Rent!F23=0,0,('TENANT CHARGES'!$K20))</f>
        <v>933.55595597163995</v>
      </c>
      <c r="F23" s="9">
        <f>IF(Rent!G23=0,0,('TENANT CHARGES'!$K20))</f>
        <v>933.55595597163995</v>
      </c>
      <c r="G23" s="9">
        <f>IF(Rent!H23=0,0,('TENANT CHARGES'!$K20))</f>
        <v>933.55595597163995</v>
      </c>
      <c r="H23" s="9">
        <f>IF(Rent!I23=0,0,('TENANT CHARGES'!$K20))</f>
        <v>933.55595597163995</v>
      </c>
      <c r="I23" s="9">
        <f>IF(Rent!J23=0,0,('TENANT CHARGES'!$K20))</f>
        <v>933.55595597163995</v>
      </c>
      <c r="J23" s="9">
        <f>IF(Rent!K23=0,0,('TENANT CHARGES'!$K20))</f>
        <v>933.55595597163995</v>
      </c>
      <c r="K23" s="9">
        <f>IF(Rent!L23=0,0,('TENANT CHARGES'!$K20))</f>
        <v>933.55595597163995</v>
      </c>
      <c r="L23" s="9">
        <f>IF(Rent!M23=0,0,('TENANT CHARGES'!$K20))</f>
        <v>933.55595597163995</v>
      </c>
      <c r="M23" s="9">
        <f>IF(Rent!N23=0,0,('TENANT CHARGES'!$K20))</f>
        <v>933.55595597163995</v>
      </c>
      <c r="N23" s="9">
        <f>IF(Rent!O23=0,0,('TENANT CHARGES'!$K20))</f>
        <v>933.55595597163995</v>
      </c>
      <c r="O23" s="9">
        <f>IF(Rent!P23=0,0,('TENANT CHARGES'!$K20))</f>
        <v>933.55595597163995</v>
      </c>
      <c r="P23" s="9">
        <f>IF(Rent!Q23=0,0,('TENANT CHARGES'!$K20))</f>
        <v>933.55595597163995</v>
      </c>
      <c r="Q23" s="84">
        <f t="shared" si="1"/>
        <v>11202.671471659682</v>
      </c>
      <c r="R23" s="115">
        <f t="shared" si="2"/>
        <v>0.23338898899291</v>
      </c>
    </row>
    <row r="24" spans="1:19" ht="14.5">
      <c r="A24" s="45" t="str">
        <f>Rent!A24</f>
        <v>GYPSEA GALATO</v>
      </c>
      <c r="B24" s="52" t="str">
        <f>Rent!B24</f>
        <v>F-16</v>
      </c>
      <c r="C24" s="71">
        <f>Rent!D24</f>
        <v>500</v>
      </c>
      <c r="D24" s="72">
        <f t="shared" si="0"/>
        <v>9.7927846762505388E-3</v>
      </c>
      <c r="E24" s="9">
        <f>IF(Rent!F24=0,0,('TENANT CHARGES'!$K21))</f>
        <v>155.59265932860669</v>
      </c>
      <c r="F24" s="9">
        <f>IF(Rent!G24=0,0,('TENANT CHARGES'!$K21))</f>
        <v>155.59265932860669</v>
      </c>
      <c r="G24" s="9">
        <f>IF(Rent!H24=0,0,('TENANT CHARGES'!$K21))</f>
        <v>155.59265932860669</v>
      </c>
      <c r="H24" s="9">
        <f>IF(Rent!I24=0,0,('TENANT CHARGES'!$K21))</f>
        <v>155.59265932860669</v>
      </c>
      <c r="I24" s="9">
        <f>IF(Rent!J24=0,0,('TENANT CHARGES'!$K21))</f>
        <v>155.59265932860669</v>
      </c>
      <c r="J24" s="9">
        <f>IF(Rent!K24=0,0,('TENANT CHARGES'!$K21))</f>
        <v>155.59265932860669</v>
      </c>
      <c r="K24" s="9">
        <f>IF(Rent!L24=0,0,('TENANT CHARGES'!$K21))</f>
        <v>155.59265932860669</v>
      </c>
      <c r="L24" s="9">
        <f>IF(Rent!M24=0,0,('TENANT CHARGES'!$K21))</f>
        <v>155.59265932860669</v>
      </c>
      <c r="M24" s="9">
        <f>IF(Rent!N24=0,0,('TENANT CHARGES'!$K21))</f>
        <v>155.59265932860669</v>
      </c>
      <c r="N24" s="9">
        <f>IF(Rent!O24=0,0,('TENANT CHARGES'!$K21))</f>
        <v>155.59265932860669</v>
      </c>
      <c r="O24" s="9">
        <f>IF(Rent!P24=0,0,('TENANT CHARGES'!$K21))</f>
        <v>155.59265932860669</v>
      </c>
      <c r="P24" s="9">
        <f>IF(Rent!Q24=0,0,('TENANT CHARGES'!$K21))</f>
        <v>155.59265932860669</v>
      </c>
      <c r="Q24" s="84">
        <f t="shared" si="1"/>
        <v>1867.1119119432803</v>
      </c>
      <c r="R24" s="115">
        <f t="shared" si="2"/>
        <v>0.31118531865721338</v>
      </c>
    </row>
    <row r="25" spans="1:19" ht="14.5">
      <c r="A25" s="45" t="str">
        <f>Rent!A25</f>
        <v>OCEANS SPORTS BAR AND GRILL</v>
      </c>
      <c r="B25" s="52" t="str">
        <f>Rent!B25</f>
        <v>G</v>
      </c>
      <c r="C25" s="71">
        <f>Rent!D25</f>
        <v>2896</v>
      </c>
      <c r="D25" s="72">
        <f t="shared" si="0"/>
        <v>5.6719808844843123E-2</v>
      </c>
      <c r="E25" s="9">
        <f>IF(Rent!F25=0,0,('TENANT CHARGES'!$K22))</f>
        <v>901.19268283128997</v>
      </c>
      <c r="F25" s="9">
        <f>IF(Rent!G25=0,0,('TENANT CHARGES'!$K22))</f>
        <v>901.19268283128997</v>
      </c>
      <c r="G25" s="9">
        <f>IF(Rent!H25=0,0,('TENANT CHARGES'!$K22))</f>
        <v>901.19268283128997</v>
      </c>
      <c r="H25" s="9">
        <f>IF(Rent!I25=0,0,('TENANT CHARGES'!$K22))</f>
        <v>901.19268283128997</v>
      </c>
      <c r="I25" s="9">
        <f>IF(Rent!J25=0,0,('TENANT CHARGES'!$K22))</f>
        <v>901.19268283128997</v>
      </c>
      <c r="J25" s="9">
        <f>IF(Rent!K25=0,0,('TENANT CHARGES'!$K22))</f>
        <v>901.19268283128997</v>
      </c>
      <c r="K25" s="9">
        <f>IF(Rent!L25=0,0,('TENANT CHARGES'!$K22))</f>
        <v>901.19268283128997</v>
      </c>
      <c r="L25" s="9">
        <f>IF(Rent!M25=0,0,('TENANT CHARGES'!$K22))</f>
        <v>901.19268283128997</v>
      </c>
      <c r="M25" s="9">
        <f>IF(Rent!N25=0,0,('TENANT CHARGES'!$K22))</f>
        <v>901.19268283128997</v>
      </c>
      <c r="N25" s="9">
        <f>IF(Rent!O25=0,0,('TENANT CHARGES'!$K22))</f>
        <v>901.19268283128997</v>
      </c>
      <c r="O25" s="9">
        <f>IF(Rent!P25=0,0,('TENANT CHARGES'!$K22))</f>
        <v>901.19268283128997</v>
      </c>
      <c r="P25" s="9">
        <f>IF(Rent!Q25=0,0,('TENANT CHARGES'!$K22))</f>
        <v>901.19268283128997</v>
      </c>
      <c r="Q25" s="84">
        <f t="shared" si="1"/>
        <v>10814.31219397548</v>
      </c>
      <c r="R25" s="115">
        <f t="shared" si="2"/>
        <v>0.31118531865721338</v>
      </c>
    </row>
    <row r="26" spans="1:19" ht="14.5">
      <c r="A26" s="45" t="str">
        <f>Rent!A26</f>
        <v>JACKS DIVE LOCKER</v>
      </c>
      <c r="B26" s="52" t="str">
        <f>Rent!B26</f>
        <v>H</v>
      </c>
      <c r="C26" s="71">
        <f>Rent!D26</f>
        <v>8014</v>
      </c>
      <c r="D26" s="72">
        <f t="shared" si="0"/>
        <v>0.15695875279094362</v>
      </c>
      <c r="E26" s="9">
        <f>IF(Rent!F26=0,0,('TENANT CHARGES'!$K23))</f>
        <v>2493.839143718908</v>
      </c>
      <c r="F26" s="9">
        <f>IF(Rent!G26=0,0,('TENANT CHARGES'!$K23))</f>
        <v>2493.839143718908</v>
      </c>
      <c r="G26" s="9">
        <f>IF(Rent!H26=0,0,('TENANT CHARGES'!$K23))</f>
        <v>2493.839143718908</v>
      </c>
      <c r="H26" s="9">
        <f>IF(Rent!I26=0,0,('TENANT CHARGES'!$K23))</f>
        <v>2493.839143718908</v>
      </c>
      <c r="I26" s="9">
        <f>IF(Rent!J26=0,0,('TENANT CHARGES'!$K23))</f>
        <v>2493.839143718908</v>
      </c>
      <c r="J26" s="9">
        <f>IF(Rent!K26=0,0,('TENANT CHARGES'!$K23))</f>
        <v>2493.839143718908</v>
      </c>
      <c r="K26" s="9">
        <f>IF(Rent!L26=0,0,('TENANT CHARGES'!$K23))</f>
        <v>2493.839143718908</v>
      </c>
      <c r="L26" s="9">
        <f>IF(Rent!M26=0,0,('TENANT CHARGES'!$K23))</f>
        <v>2493.839143718908</v>
      </c>
      <c r="M26" s="9">
        <f>IF(Rent!N26=0,0,('TENANT CHARGES'!$K23))</f>
        <v>2493.839143718908</v>
      </c>
      <c r="N26" s="9">
        <f>IF(Rent!O26=0,0,('TENANT CHARGES'!$K23))</f>
        <v>2493.839143718908</v>
      </c>
      <c r="O26" s="9">
        <f>IF(Rent!P26=0,0,('TENANT CHARGES'!$K23))</f>
        <v>2493.839143718908</v>
      </c>
      <c r="P26" s="9">
        <f>IF(Rent!Q26=0,0,('TENANT CHARGES'!$K23))</f>
        <v>2493.839143718908</v>
      </c>
      <c r="Q26" s="84">
        <f t="shared" si="1"/>
        <v>29926.069724626901</v>
      </c>
      <c r="R26" s="115">
        <f t="shared" si="2"/>
        <v>0.31118531865721338</v>
      </c>
    </row>
    <row r="27" spans="1:19" ht="14.5">
      <c r="A27" s="45" t="str">
        <f>Rent!A27</f>
        <v>QPOT</v>
      </c>
      <c r="B27" s="52" t="str">
        <f>Rent!B27</f>
        <v>I</v>
      </c>
      <c r="C27" s="71">
        <f>Rent!D27</f>
        <v>6500</v>
      </c>
      <c r="D27" s="72">
        <f t="shared" si="0"/>
        <v>0.12730620079125701</v>
      </c>
      <c r="E27" s="9">
        <f>IF(Rent!F27=0,0,('TENANT CHARGES'!$K24))</f>
        <v>0</v>
      </c>
      <c r="F27" s="9">
        <f>IF(Rent!G27=0,0,('TENANT CHARGES'!$K24))</f>
        <v>0</v>
      </c>
      <c r="G27" s="9">
        <f>IF(Rent!H27=0,0,('TENANT CHARGES'!$K24))</f>
        <v>0</v>
      </c>
      <c r="H27" s="9">
        <f>IF(Rent!I27=0,0,('TENANT CHARGES'!$K24))</f>
        <v>0</v>
      </c>
      <c r="I27" s="9">
        <f>IF(Rent!J27=0,0,('TENANT CHARGES'!$K24))</f>
        <v>0</v>
      </c>
      <c r="J27" s="9">
        <f>IF(Rent!K27=0,0,('TENANT CHARGES'!$K24))</f>
        <v>0</v>
      </c>
      <c r="K27" s="9">
        <f>IF(Rent!L27=0,0,('TENANT CHARGES'!$K24))</f>
        <v>2022.7045712718871</v>
      </c>
      <c r="L27" s="9">
        <f>IF(Rent!M27=0,0,('TENANT CHARGES'!$K24))</f>
        <v>2022.7045712718871</v>
      </c>
      <c r="M27" s="9">
        <f>IF(Rent!N27=0,0,('TENANT CHARGES'!$K24))</f>
        <v>2022.7045712718871</v>
      </c>
      <c r="N27" s="9">
        <f>IF(Rent!O27=0,0,('TENANT CHARGES'!$K24))</f>
        <v>2022.7045712718871</v>
      </c>
      <c r="O27" s="9">
        <f>IF(Rent!P27=0,0,('TENANT CHARGES'!$K24))</f>
        <v>2022.7045712718871</v>
      </c>
      <c r="P27" s="9">
        <f>IF(Rent!Q27=0,0,('TENANT CHARGES'!$K24))</f>
        <v>2022.7045712718871</v>
      </c>
      <c r="Q27" s="84">
        <f t="shared" si="1"/>
        <v>12136.227427631322</v>
      </c>
      <c r="R27" s="115">
        <f t="shared" si="2"/>
        <v>0.31118531865721338</v>
      </c>
    </row>
    <row r="28" spans="1:19" ht="14.5">
      <c r="A28" s="45" t="str">
        <f>Rent!A28</f>
        <v>BOWLS SUPERFOODS &amp; ORALE TACOS</v>
      </c>
      <c r="B28" s="52" t="str">
        <f>Rent!B28</f>
        <v>PC-1&amp;2</v>
      </c>
      <c r="C28" s="71">
        <f>Rent!D28</f>
        <v>1993</v>
      </c>
      <c r="D28" s="72">
        <f t="shared" si="0"/>
        <v>3.9034039719534647E-2</v>
      </c>
      <c r="E28" s="9">
        <f>IF(Rent!F28=0,0,('TENANT CHARGES'!$K25))</f>
        <v>0</v>
      </c>
      <c r="F28" s="9">
        <f>IF(Rent!G28=0,0,('TENANT CHARGES'!$K25))</f>
        <v>0</v>
      </c>
      <c r="G28" s="9">
        <f>IF(Rent!H28=0,0,('TENANT CHARGES'!$K25))</f>
        <v>0</v>
      </c>
      <c r="H28" s="9">
        <f>IF(Rent!I28=0,0,('TENANT CHARGES'!$K25))</f>
        <v>0</v>
      </c>
      <c r="I28" s="9">
        <f>IF(Rent!J28=0,0,('TENANT CHARGES'!$K25))</f>
        <v>0</v>
      </c>
      <c r="J28" s="9">
        <f>IF(Rent!K28=0,0,('TENANT CHARGES'!$K25))</f>
        <v>0</v>
      </c>
      <c r="K28" s="9">
        <f>IF(Rent!L28=0,0,('TENANT CHARGES'!$K25))</f>
        <v>0</v>
      </c>
      <c r="L28" s="9">
        <f>IF(Rent!M28=0,0,('TENANT CHARGES'!$K25))</f>
        <v>0</v>
      </c>
      <c r="M28" s="9">
        <f>IF(Rent!N28=0,0,('TENANT CHARGES'!$K25))</f>
        <v>0</v>
      </c>
      <c r="N28" s="9">
        <f>IF(Rent!O28=0,0,('TENANT CHARGES'!$K25))</f>
        <v>0</v>
      </c>
      <c r="O28" s="9">
        <f>IF(Rent!P28=0,0,('TENANT CHARGES'!$K25))</f>
        <v>0</v>
      </c>
      <c r="P28" s="9">
        <f>IF(Rent!Q28=0,0,('TENANT CHARGES'!$K25))</f>
        <v>0</v>
      </c>
      <c r="Q28" s="84">
        <f t="shared" si="1"/>
        <v>0</v>
      </c>
      <c r="R28" s="115">
        <f t="shared" si="2"/>
        <v>0</v>
      </c>
      <c r="S28" s="45" t="s">
        <v>14</v>
      </c>
    </row>
    <row r="29" spans="1:19" ht="14.5">
      <c r="A29" s="45" t="str">
        <f>Rent!A29</f>
        <v>KONA GEAR INC.</v>
      </c>
      <c r="B29" s="52" t="str">
        <f>Rent!B29</f>
        <v>PC 3&amp;4</v>
      </c>
      <c r="C29" s="71">
        <f>Rent!D29</f>
        <v>962</v>
      </c>
      <c r="D29" s="72">
        <f t="shared" si="0"/>
        <v>1.8841317717106038E-2</v>
      </c>
      <c r="E29" s="9">
        <f>IF(Rent!F29=0,0,('TENANT CHARGES'!$K26))</f>
        <v>299.36027654823926</v>
      </c>
      <c r="F29" s="9">
        <f>IF(Rent!G29=0,0,('TENANT CHARGES'!$K26))</f>
        <v>299.36027654823926</v>
      </c>
      <c r="G29" s="9">
        <f>IF(Rent!H29=0,0,('TENANT CHARGES'!$K26))</f>
        <v>299.36027654823926</v>
      </c>
      <c r="H29" s="9">
        <f>IF(Rent!I29=0,0,('TENANT CHARGES'!$K26))</f>
        <v>299.36027654823926</v>
      </c>
      <c r="I29" s="9">
        <f>IF(Rent!J29=0,0,('TENANT CHARGES'!$K26))</f>
        <v>299.36027654823926</v>
      </c>
      <c r="J29" s="9">
        <f>IF(Rent!K29=0,0,('TENANT CHARGES'!$K26))</f>
        <v>299.36027654823926</v>
      </c>
      <c r="K29" s="9">
        <f>IF(Rent!L29=0,0,('TENANT CHARGES'!$K26))</f>
        <v>299.36027654823926</v>
      </c>
      <c r="L29" s="9">
        <f>IF(Rent!M29=0,0,('TENANT CHARGES'!$K26))</f>
        <v>299.36027654823926</v>
      </c>
      <c r="M29" s="9">
        <f>IF(Rent!N29=0,0,('TENANT CHARGES'!$K26))</f>
        <v>299.36027654823926</v>
      </c>
      <c r="N29" s="9">
        <f>IF(Rent!O29=0,0,('TENANT CHARGES'!$K26))</f>
        <v>299.36027654823926</v>
      </c>
      <c r="O29" s="9">
        <f>IF(Rent!P29=0,0,('TENANT CHARGES'!$K26))</f>
        <v>299.36027654823926</v>
      </c>
      <c r="P29" s="9">
        <f>IF(Rent!Q29=0,0,('TENANT CHARGES'!$K26))</f>
        <v>299.36027654823926</v>
      </c>
      <c r="Q29" s="84">
        <f t="shared" si="1"/>
        <v>3592.3233185788708</v>
      </c>
      <c r="R29" s="115">
        <f t="shared" si="2"/>
        <v>0.31118531865721338</v>
      </c>
    </row>
    <row r="30" spans="1:19" ht="14.5">
      <c r="A30" s="45" t="str">
        <f>Rent!A30</f>
        <v>LAVERNES</v>
      </c>
      <c r="B30" s="52" t="str">
        <f>Rent!B30</f>
        <v>PC/U1</v>
      </c>
      <c r="C30" s="71">
        <f>Rent!D30</f>
        <v>3704</v>
      </c>
      <c r="D30" s="72">
        <f t="shared" si="0"/>
        <v>7.254494888166399E-2</v>
      </c>
      <c r="E30" s="9">
        <f>IF(Rent!F30=0,0,('TENANT CHARGES'!$K27))</f>
        <v>1152.6304203063182</v>
      </c>
      <c r="F30" s="9">
        <f>IF(Rent!G30=0,0,('TENANT CHARGES'!$K27))</f>
        <v>1152.6304203063182</v>
      </c>
      <c r="G30" s="9">
        <f>IF(Rent!H30=0,0,('TENANT CHARGES'!$K27))</f>
        <v>1152.6304203063182</v>
      </c>
      <c r="H30" s="9">
        <f>IF(Rent!I30=0,0,('TENANT CHARGES'!$K27))</f>
        <v>1152.6304203063182</v>
      </c>
      <c r="I30" s="9">
        <f>IF(Rent!J30=0,0,('TENANT CHARGES'!$K27))</f>
        <v>1152.6304203063182</v>
      </c>
      <c r="J30" s="9">
        <f>IF(Rent!K30=0,0,('TENANT CHARGES'!$K27))</f>
        <v>1152.6304203063182</v>
      </c>
      <c r="K30" s="9">
        <f>IF(Rent!L30=0,0,('TENANT CHARGES'!$K27))</f>
        <v>1152.6304203063182</v>
      </c>
      <c r="L30" s="9">
        <f>IF(Rent!M30=0,0,('TENANT CHARGES'!$K27))</f>
        <v>1152.6304203063182</v>
      </c>
      <c r="M30" s="9">
        <f>IF(Rent!N30=0,0,('TENANT CHARGES'!$K27))</f>
        <v>1152.6304203063182</v>
      </c>
      <c r="N30" s="9">
        <f>IF(Rent!O30=0,0,('TENANT CHARGES'!$K27))</f>
        <v>1152.6304203063182</v>
      </c>
      <c r="O30" s="9">
        <f>IF(Rent!P30=0,0,('TENANT CHARGES'!$K27))</f>
        <v>1152.6304203063182</v>
      </c>
      <c r="P30" s="9">
        <f>IF(Rent!Q30=0,0,('TENANT CHARGES'!$K27))</f>
        <v>1152.6304203063182</v>
      </c>
      <c r="Q30" s="84">
        <f t="shared" si="1"/>
        <v>13831.565043675822</v>
      </c>
      <c r="R30" s="115">
        <f t="shared" si="2"/>
        <v>0.31118531865721333</v>
      </c>
    </row>
    <row r="31" spans="1:19"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9">
      <c r="A32" s="289"/>
      <c r="B32" s="318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3"/>
    </row>
    <row r="33" spans="1:17">
      <c r="A33" s="204" t="s">
        <v>437</v>
      </c>
      <c r="B33" s="311"/>
      <c r="C33" s="296">
        <f>SUM(C14:C32)</f>
        <v>51058</v>
      </c>
      <c r="D33" s="326">
        <f>SUM(D14:D32)</f>
        <v>1</v>
      </c>
      <c r="E33" s="296">
        <f t="shared" ref="E33:P33" si="3">SUM(E14:E31)</f>
        <v>9593.5321888832295</v>
      </c>
      <c r="F33" s="296">
        <f t="shared" si="3"/>
        <v>9593.5321888832295</v>
      </c>
      <c r="G33" s="296">
        <f t="shared" si="3"/>
        <v>9593.5321888832295</v>
      </c>
      <c r="H33" s="296">
        <f t="shared" si="3"/>
        <v>9593.5321888832295</v>
      </c>
      <c r="I33" s="296">
        <f t="shared" si="3"/>
        <v>9593.5321888832295</v>
      </c>
      <c r="J33" s="296">
        <f t="shared" si="3"/>
        <v>9593.5321888832295</v>
      </c>
      <c r="K33" s="296">
        <f t="shared" si="3"/>
        <v>11616.236760155116</v>
      </c>
      <c r="L33" s="296">
        <f t="shared" si="3"/>
        <v>11616.236760155116</v>
      </c>
      <c r="M33" s="296">
        <f t="shared" si="3"/>
        <v>14957.122341258961</v>
      </c>
      <c r="N33" s="296">
        <f t="shared" si="3"/>
        <v>14957.122341258961</v>
      </c>
      <c r="O33" s="296">
        <f t="shared" si="3"/>
        <v>14957.122341258961</v>
      </c>
      <c r="P33" s="296">
        <f t="shared" si="3"/>
        <v>14957.122341258961</v>
      </c>
      <c r="Q33" s="297">
        <f>SUM(E33:P33)</f>
        <v>140622.15601864544</v>
      </c>
    </row>
    <row r="34" spans="1:17">
      <c r="A34" s="298"/>
      <c r="B34" s="300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28"/>
    </row>
    <row r="35" spans="1:17">
      <c r="O35" s="59" t="s">
        <v>549</v>
      </c>
      <c r="P35" s="60"/>
      <c r="Q35" s="86">
        <f>Summ.!O122</f>
        <v>190662</v>
      </c>
    </row>
    <row r="36" spans="1:17">
      <c r="O36" s="62" t="s">
        <v>535</v>
      </c>
      <c r="P36" s="63"/>
      <c r="Q36" s="83">
        <f>Q33/Q35</f>
        <v>0.73754684215336797</v>
      </c>
    </row>
  </sheetData>
  <mergeCells count="5">
    <mergeCell ref="A6:Q6"/>
    <mergeCell ref="A2:Q2"/>
    <mergeCell ref="A3:Q3"/>
    <mergeCell ref="A4:Q4"/>
    <mergeCell ref="A5:Q5"/>
  </mergeCells>
  <phoneticPr fontId="0" type="noConversion"/>
  <printOptions horizontalCentered="1"/>
  <pageMargins left="0.44" right="0.22" top="0.5" bottom="0.75" header="0.5" footer="0.5"/>
  <pageSetup paperSize="3" firstPageNumber="9" orientation="landscape" useFirstPageNumber="1" r:id="rId1"/>
  <headerFooter scaleWithDoc="0" alignWithMargins="0"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46"/>
  <sheetViews>
    <sheetView topLeftCell="C19" zoomScale="85" zoomScaleNormal="85" workbookViewId="0">
      <selection activeCell="L32" sqref="L32"/>
    </sheetView>
  </sheetViews>
  <sheetFormatPr defaultColWidth="8.7265625" defaultRowHeight="14.5"/>
  <cols>
    <col min="1" max="1" width="41" style="1" customWidth="1"/>
    <col min="2" max="2" width="8.453125" style="1" bestFit="1" customWidth="1"/>
    <col min="3" max="3" width="11.54296875" style="1" bestFit="1" customWidth="1"/>
    <col min="4" max="4" width="11" style="1" customWidth="1"/>
    <col min="5" max="16" width="9.7265625" style="1" customWidth="1"/>
    <col min="17" max="17" width="11" style="1" customWidth="1"/>
    <col min="18" max="18" width="65.54296875" style="1" customWidth="1"/>
    <col min="19" max="16384" width="8.7265625" style="1"/>
  </cols>
  <sheetData>
    <row r="1" spans="1:18">
      <c r="P1" s="2" t="str">
        <f>Summ.!R1</f>
        <v>Date Revised:</v>
      </c>
      <c r="Q1" s="3" t="e">
        <f>Summ.!#REF!</f>
        <v>#REF!</v>
      </c>
      <c r="R1" s="1">
        <f>Summ.!T1</f>
        <v>0</v>
      </c>
    </row>
    <row r="2" spans="1:18">
      <c r="A2" s="607" t="str">
        <f>Summ.!$A2</f>
        <v>ATHENA PROPERTY MANAGEMENT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8">
      <c r="A3" s="607" t="str">
        <f>Summ.!$A3</f>
        <v>Coconut Grove -  Kona Hawaii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</row>
    <row r="4" spans="1:18">
      <c r="A4" s="607" t="str">
        <f>Summ.!$A4</f>
        <v>PROJECT NO. 165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607"/>
    </row>
    <row r="5" spans="1:18">
      <c r="A5" s="607" t="str">
        <f>Summ.!$A5</f>
        <v>01/01/26- 12/31/26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07"/>
      <c r="Q5" s="607"/>
    </row>
    <row r="6" spans="1:18">
      <c r="A6" s="607" t="str">
        <f>Summ.!$A6</f>
        <v>2026 OPERATING BUDGET</v>
      </c>
      <c r="B6" s="607"/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  <c r="Q6" s="607"/>
    </row>
    <row r="7" spans="1:18">
      <c r="H7" s="5"/>
    </row>
    <row r="8" spans="1:18">
      <c r="A8" s="206"/>
      <c r="B8" s="206"/>
      <c r="C8" s="207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</row>
    <row r="9" spans="1:18">
      <c r="A9" s="189" t="s">
        <v>120</v>
      </c>
      <c r="B9" s="189" t="s">
        <v>434</v>
      </c>
      <c r="C9" s="189" t="s">
        <v>348</v>
      </c>
      <c r="D9" s="189" t="s">
        <v>436</v>
      </c>
      <c r="E9" s="189" t="s">
        <v>1</v>
      </c>
      <c r="F9" s="189" t="s">
        <v>2</v>
      </c>
      <c r="G9" s="189" t="s">
        <v>3</v>
      </c>
      <c r="H9" s="189" t="s">
        <v>4</v>
      </c>
      <c r="I9" s="189" t="s">
        <v>5</v>
      </c>
      <c r="J9" s="189" t="s">
        <v>6</v>
      </c>
      <c r="K9" s="189" t="s">
        <v>7</v>
      </c>
      <c r="L9" s="189" t="s">
        <v>8</v>
      </c>
      <c r="M9" s="189" t="s">
        <v>123</v>
      </c>
      <c r="N9" s="189" t="s">
        <v>124</v>
      </c>
      <c r="O9" s="189" t="s">
        <v>125</v>
      </c>
      <c r="P9" s="189" t="s">
        <v>126</v>
      </c>
      <c r="Q9" s="189" t="s">
        <v>437</v>
      </c>
    </row>
    <row r="10" spans="1:18">
      <c r="A10" s="208"/>
      <c r="B10" s="196" t="s">
        <v>438</v>
      </c>
      <c r="C10" s="196" t="s">
        <v>439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</row>
    <row r="11" spans="1:18">
      <c r="A11" s="22"/>
      <c r="C11" s="87"/>
      <c r="D11" s="88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</row>
    <row r="12" spans="1:18">
      <c r="A12" s="26" t="s">
        <v>133</v>
      </c>
      <c r="C12" s="87"/>
      <c r="D12" s="88"/>
      <c r="E12" s="89"/>
      <c r="F12" s="89"/>
      <c r="G12" s="90"/>
      <c r="H12" s="89"/>
      <c r="I12" s="89"/>
      <c r="J12" s="89"/>
      <c r="K12" s="89"/>
      <c r="L12" s="89"/>
      <c r="M12" s="89"/>
      <c r="N12" s="91"/>
      <c r="O12" s="89"/>
      <c r="P12" s="89"/>
      <c r="Q12" s="89"/>
    </row>
    <row r="13" spans="1:18">
      <c r="A13" s="26"/>
      <c r="C13" s="92"/>
      <c r="D13" s="88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</row>
    <row r="14" spans="1:18">
      <c r="A14" s="1" t="str">
        <f>Rent!A14</f>
        <v xml:space="preserve">ISLAND LAVA JAVA </v>
      </c>
      <c r="B14" s="7" t="str">
        <f>Rent!B14</f>
        <v>A 1-4</v>
      </c>
      <c r="C14" s="24">
        <f>Rent!D14</f>
        <v>3873</v>
      </c>
      <c r="D14" s="93">
        <v>4.7120000000000002E-2</v>
      </c>
      <c r="E14" s="9">
        <f>IF(Rent!F14=0,0,('TENANT CHARGES'!$S10))</f>
        <v>1301.4421859213387</v>
      </c>
      <c r="F14" s="9">
        <f>IF(Rent!G14=0,0,('TENANT CHARGES'!$S10))</f>
        <v>1301.4421859213387</v>
      </c>
      <c r="G14" s="9">
        <f>IF(Rent!H14=0,0,('TENANT CHARGES'!$S10))</f>
        <v>1301.4421859213387</v>
      </c>
      <c r="H14" s="9">
        <f>IF(Rent!I14=0,0,('TENANT CHARGES'!$S10))</f>
        <v>1301.4421859213387</v>
      </c>
      <c r="I14" s="9">
        <f>IF(Rent!J14=0,0,('TENANT CHARGES'!$S10))</f>
        <v>1301.4421859213387</v>
      </c>
      <c r="J14" s="9">
        <f>IF(Rent!K14=0,0,('TENANT CHARGES'!$S10))</f>
        <v>1301.4421859213387</v>
      </c>
      <c r="K14" s="9">
        <f>IF(Rent!L14=0,0,('TENANT CHARGES'!$S10))</f>
        <v>1301.4421859213387</v>
      </c>
      <c r="L14" s="9">
        <f>IF(Rent!M14=0,0,('TENANT CHARGES'!$S10))</f>
        <v>1301.4421859213387</v>
      </c>
      <c r="M14" s="9">
        <f>IF(Rent!N14=0,0,('TENANT CHARGES'!$S10))</f>
        <v>1301.4421859213387</v>
      </c>
      <c r="N14" s="9">
        <f>IF(Rent!O14=0,0,('TENANT CHARGES'!$S10))</f>
        <v>1301.4421859213387</v>
      </c>
      <c r="O14" s="9">
        <f>IF(Rent!P14=0,0,('TENANT CHARGES'!$S10))</f>
        <v>1301.4421859213387</v>
      </c>
      <c r="P14" s="9">
        <f>IF(Rent!Q14=0,0,('TENANT CHARGES'!$S10))</f>
        <v>1301.4421859213387</v>
      </c>
      <c r="Q14" s="70">
        <f>SUM(E14:P14)</f>
        <v>15617.306231056062</v>
      </c>
    </row>
    <row r="15" spans="1:18">
      <c r="A15" s="1" t="str">
        <f>Rent!A15</f>
        <v>TAKA SUSHI</v>
      </c>
      <c r="B15" s="7" t="str">
        <f>Rent!B15</f>
        <v>B-5</v>
      </c>
      <c r="C15" s="24">
        <f>Rent!D15</f>
        <v>1074</v>
      </c>
      <c r="D15" s="93">
        <v>4.7120000000000002E-2</v>
      </c>
      <c r="E15" s="9">
        <f>IF(Rent!F15=0,0,('TENANT CHARGES'!$S11))</f>
        <v>307.27576064557655</v>
      </c>
      <c r="F15" s="9">
        <f>IF(Rent!G15=0,0,('TENANT CHARGES'!$S11))</f>
        <v>307.27576064557655</v>
      </c>
      <c r="G15" s="9">
        <f>IF(Rent!H15=0,0,('TENANT CHARGES'!$S11))</f>
        <v>307.27576064557655</v>
      </c>
      <c r="H15" s="9">
        <f>IF(Rent!I15=0,0,('TENANT CHARGES'!$S11))</f>
        <v>307.27576064557655</v>
      </c>
      <c r="I15" s="9">
        <f>IF(Rent!J15=0,0,('TENANT CHARGES'!$S11))</f>
        <v>307.27576064557655</v>
      </c>
      <c r="J15" s="9">
        <f>IF(Rent!K15=0,0,('TENANT CHARGES'!$S11))</f>
        <v>307.27576064557655</v>
      </c>
      <c r="K15" s="9">
        <f>IF(Rent!L15=0,0,('TENANT CHARGES'!$S11))</f>
        <v>307.27576064557655</v>
      </c>
      <c r="L15" s="9">
        <f>IF(Rent!M15=0,0,('TENANT CHARGES'!$S11))</f>
        <v>307.27576064557655</v>
      </c>
      <c r="M15" s="9">
        <f>IF(Rent!N15=0,0,('TENANT CHARGES'!$S11))</f>
        <v>307.27576064557655</v>
      </c>
      <c r="N15" s="9">
        <f>IF(Rent!O15=0,0,('TENANT CHARGES'!$S11))</f>
        <v>307.27576064557655</v>
      </c>
      <c r="O15" s="9">
        <f>IF(Rent!P15=0,0,('TENANT CHARGES'!$S11))</f>
        <v>307.27576064557655</v>
      </c>
      <c r="P15" s="9">
        <f>IF(Rent!Q15=0,0,('TENANT CHARGES'!$S11))</f>
        <v>307.27576064557655</v>
      </c>
      <c r="Q15" s="70">
        <f t="shared" ref="Q15:Q30" si="0">SUM(E15:P15)</f>
        <v>3687.3091277469189</v>
      </c>
    </row>
    <row r="16" spans="1:18">
      <c r="A16" s="1" t="str">
        <f>Rent!A16</f>
        <v>KANAKA KAVA</v>
      </c>
      <c r="B16" s="7" t="str">
        <f>Rent!B16</f>
        <v>B-6</v>
      </c>
      <c r="C16" s="24">
        <f>Rent!D16</f>
        <v>200</v>
      </c>
      <c r="D16" s="93">
        <v>4.7120000000000002E-2</v>
      </c>
      <c r="E16" s="9">
        <f>IF(Rent!F16=0,0,('TENANT CHARGES'!$S12))</f>
        <v>134.96881203828241</v>
      </c>
      <c r="F16" s="9">
        <f>IF(Rent!G16=0,0,('TENANT CHARGES'!$S12))</f>
        <v>134.96881203828241</v>
      </c>
      <c r="G16" s="9">
        <f>IF(Rent!H16=0,0,('TENANT CHARGES'!$S12))</f>
        <v>134.96881203828241</v>
      </c>
      <c r="H16" s="9">
        <f>IF(Rent!I16=0,0,('TENANT CHARGES'!$S12))</f>
        <v>134.96881203828241</v>
      </c>
      <c r="I16" s="9">
        <f>IF(Rent!J16=0,0,('TENANT CHARGES'!$S12))</f>
        <v>134.96881203828241</v>
      </c>
      <c r="J16" s="9">
        <f>IF(Rent!K16=0,0,('TENANT CHARGES'!$S12))</f>
        <v>134.96881203828241</v>
      </c>
      <c r="K16" s="9">
        <f>IF(Rent!L16=0,0,('TENANT CHARGES'!$S12))</f>
        <v>134.96881203828241</v>
      </c>
      <c r="L16" s="9">
        <f>IF(Rent!M16=0,0,('TENANT CHARGES'!$S12))</f>
        <v>134.96881203828241</v>
      </c>
      <c r="M16" s="9">
        <f>IF(Rent!N16=0,0,('TENANT CHARGES'!$S12))</f>
        <v>134.96881203828241</v>
      </c>
      <c r="N16" s="9">
        <f>IF(Rent!O16=0,0,('TENANT CHARGES'!$S12))</f>
        <v>134.96881203828241</v>
      </c>
      <c r="O16" s="9">
        <f>IF(Rent!P16=0,0,('TENANT CHARGES'!$S12))</f>
        <v>134.96881203828241</v>
      </c>
      <c r="P16" s="9">
        <f>IF(Rent!Q16=0,0,('TENANT CHARGES'!$S12))</f>
        <v>134.96881203828241</v>
      </c>
      <c r="Q16" s="70">
        <f t="shared" si="0"/>
        <v>1619.6257444593894</v>
      </c>
    </row>
    <row r="17" spans="1:18">
      <c r="A17" s="1" t="str">
        <f>Rent!A17</f>
        <v>GECKO GIRLZ SHAVE ICE SHACK</v>
      </c>
      <c r="B17" s="7" t="str">
        <f>Rent!B17</f>
        <v>C-7</v>
      </c>
      <c r="C17" s="24">
        <f>Rent!D17</f>
        <v>518</v>
      </c>
      <c r="D17" s="93">
        <v>4.7120000000000002E-2</v>
      </c>
      <c r="E17" s="9">
        <f>IF(Rent!F17=0,0,('TENANT CHARGES'!$S13))</f>
        <v>190.42801997915146</v>
      </c>
      <c r="F17" s="9">
        <f>IF(Rent!G17=0,0,('TENANT CHARGES'!$S13))</f>
        <v>190.42801997915146</v>
      </c>
      <c r="G17" s="9">
        <f>IF(Rent!H17=0,0,('TENANT CHARGES'!$S13))</f>
        <v>190.42801997915146</v>
      </c>
      <c r="H17" s="9">
        <f>IF(Rent!I17=0,0,('TENANT CHARGES'!$S13))</f>
        <v>190.42801997915146</v>
      </c>
      <c r="I17" s="9">
        <f>IF(Rent!J17=0,0,('TENANT CHARGES'!$S13))</f>
        <v>190.42801997915146</v>
      </c>
      <c r="J17" s="9">
        <f>IF(Rent!K17=0,0,('TENANT CHARGES'!$S13))</f>
        <v>190.42801997915146</v>
      </c>
      <c r="K17" s="9">
        <f>IF(Rent!L17=0,0,('TENANT CHARGES'!$S13))</f>
        <v>190.42801997915146</v>
      </c>
      <c r="L17" s="9">
        <f>IF(Rent!M17=0,0,('TENANT CHARGES'!$S13))</f>
        <v>190.42801997915146</v>
      </c>
      <c r="M17" s="9">
        <f>IF(Rent!N17=0,0,('TENANT CHARGES'!$S13))</f>
        <v>190.42801997915146</v>
      </c>
      <c r="N17" s="9">
        <f>IF(Rent!O17=0,0,('TENANT CHARGES'!$S13))</f>
        <v>190.42801997915146</v>
      </c>
      <c r="O17" s="9">
        <f>IF(Rent!P17=0,0,('TENANT CHARGES'!$S13))</f>
        <v>190.42801997915146</v>
      </c>
      <c r="P17" s="9">
        <f>IF(Rent!Q17=0,0,('TENANT CHARGES'!$S13))</f>
        <v>190.42801997915146</v>
      </c>
      <c r="Q17" s="70">
        <f t="shared" si="0"/>
        <v>2285.1362397498174</v>
      </c>
    </row>
    <row r="18" spans="1:18">
      <c r="A18" s="1" t="str">
        <f>Rent!A18</f>
        <v>BIG ISLAND RUNNING CO.</v>
      </c>
      <c r="B18" s="7" t="str">
        <f>Rent!B18</f>
        <v>C-8</v>
      </c>
      <c r="C18" s="24">
        <f>Rent!D18</f>
        <v>525</v>
      </c>
      <c r="D18" s="93">
        <v>4.7120000000000002E-2</v>
      </c>
      <c r="E18" s="9">
        <f>IF(Rent!F18=0,0,('TENANT CHARGES'!$S14))</f>
        <v>197.4426906839787</v>
      </c>
      <c r="F18" s="9">
        <f>IF(Rent!G18=0,0,('TENANT CHARGES'!$S14))</f>
        <v>197.4426906839787</v>
      </c>
      <c r="G18" s="9">
        <f>IF(Rent!H18=0,0,('TENANT CHARGES'!$S14))</f>
        <v>197.4426906839787</v>
      </c>
      <c r="H18" s="9">
        <f>IF(Rent!I18=0,0,('TENANT CHARGES'!$S14))</f>
        <v>197.4426906839787</v>
      </c>
      <c r="I18" s="9">
        <f>IF(Rent!J18=0,0,('TENANT CHARGES'!$S14))</f>
        <v>197.4426906839787</v>
      </c>
      <c r="J18" s="9">
        <f>IF(Rent!K18=0,0,('TENANT CHARGES'!$S14))</f>
        <v>197.4426906839787</v>
      </c>
      <c r="K18" s="9">
        <f>IF(Rent!L18=0,0,('TENANT CHARGES'!$S14))</f>
        <v>197.4426906839787</v>
      </c>
      <c r="L18" s="9">
        <f>IF(Rent!M18=0,0,('TENANT CHARGES'!$S14))</f>
        <v>197.4426906839787</v>
      </c>
      <c r="M18" s="9">
        <f>IF(Rent!N18=0,0,('TENANT CHARGES'!$S14))</f>
        <v>197.4426906839787</v>
      </c>
      <c r="N18" s="9">
        <f>IF(Rent!O18=0,0,('TENANT CHARGES'!$S14))</f>
        <v>197.4426906839787</v>
      </c>
      <c r="O18" s="9">
        <f>IF(Rent!P18=0,0,('TENANT CHARGES'!$S14))</f>
        <v>197.4426906839787</v>
      </c>
      <c r="P18" s="9">
        <f>IF(Rent!Q18=0,0,('TENANT CHARGES'!$S14))</f>
        <v>197.4426906839787</v>
      </c>
      <c r="Q18" s="70">
        <f t="shared" si="0"/>
        <v>2369.3122882077446</v>
      </c>
    </row>
    <row r="19" spans="1:18">
      <c r="A19" s="1" t="str">
        <f>Rent!A19</f>
        <v>CAFE KONA</v>
      </c>
      <c r="B19" s="7" t="str">
        <f>Rent!B19</f>
        <v>D11-12</v>
      </c>
      <c r="C19" s="24">
        <f>Rent!D19</f>
        <v>994</v>
      </c>
      <c r="D19" s="93">
        <v>4.7120000000000002E-2</v>
      </c>
      <c r="E19" s="9">
        <f>IF(Rent!F19=0,0,('TENANT CHARGES'!$S15))</f>
        <v>317.17353183026358</v>
      </c>
      <c r="F19" s="9">
        <f>IF(Rent!G19=0,0,('TENANT CHARGES'!$S15))</f>
        <v>317.17353183026358</v>
      </c>
      <c r="G19" s="9">
        <f>IF(Rent!H19=0,0,('TENANT CHARGES'!$S15))</f>
        <v>317.17353183026358</v>
      </c>
      <c r="H19" s="9">
        <f>IF(Rent!I19=0,0,('TENANT CHARGES'!$S15))</f>
        <v>317.17353183026358</v>
      </c>
      <c r="I19" s="9">
        <f>IF(Rent!J19=0,0,('TENANT CHARGES'!$S15))</f>
        <v>317.17353183026358</v>
      </c>
      <c r="J19" s="9">
        <f>IF(Rent!K19=0,0,('TENANT CHARGES'!$S15))</f>
        <v>317.17353183026358</v>
      </c>
      <c r="K19" s="9">
        <f>IF(Rent!L19=0,0,('TENANT CHARGES'!$S15))</f>
        <v>317.17353183026358</v>
      </c>
      <c r="L19" s="9">
        <f>IF(Rent!M19=0,0,('TENANT CHARGES'!$S15))</f>
        <v>317.17353183026358</v>
      </c>
      <c r="M19" s="9">
        <f>IF(Rent!N19=0,0,('TENANT CHARGES'!$S15))</f>
        <v>317.17353183026358</v>
      </c>
      <c r="N19" s="9">
        <f>IF(Rent!O19=0,0,('TENANT CHARGES'!$S15))</f>
        <v>317.17353183026358</v>
      </c>
      <c r="O19" s="9">
        <f>IF(Rent!P19=0,0,('TENANT CHARGES'!$S15))</f>
        <v>317.17353183026358</v>
      </c>
      <c r="P19" s="9">
        <f>IF(Rent!Q19=0,0,('TENANT CHARGES'!$S15))</f>
        <v>317.17353183026358</v>
      </c>
      <c r="Q19" s="70">
        <f t="shared" si="0"/>
        <v>3806.0823819631628</v>
      </c>
    </row>
    <row r="20" spans="1:18">
      <c r="A20" s="1" t="str">
        <f>Rent!A20</f>
        <v>LUCASIE LTD</v>
      </c>
      <c r="B20" s="7" t="str">
        <f>Rent!B20</f>
        <v>D9-D10</v>
      </c>
      <c r="C20" s="24">
        <f>Rent!D20</f>
        <v>1043</v>
      </c>
      <c r="D20" s="93">
        <v>4.7120000000000002E-2</v>
      </c>
      <c r="E20" s="9">
        <f>IF(Rent!F20=0,0,('TENANT CHARGES'!$S17))</f>
        <v>481.33186536417105</v>
      </c>
      <c r="F20" s="9">
        <f>IF(Rent!G20=0,0,('TENANT CHARGES'!$S17))</f>
        <v>481.33186536417105</v>
      </c>
      <c r="G20" s="9">
        <f>IF(Rent!H20=0,0,('TENANT CHARGES'!$S17))</f>
        <v>481.33186536417105</v>
      </c>
      <c r="H20" s="9">
        <f>IF(Rent!I20=0,0,('TENANT CHARGES'!$S17))</f>
        <v>481.33186536417105</v>
      </c>
      <c r="I20" s="9">
        <f>IF(Rent!J20=0,0,('TENANT CHARGES'!$S17))</f>
        <v>481.33186536417105</v>
      </c>
      <c r="J20" s="9">
        <f>IF(Rent!K20=0,0,('TENANT CHARGES'!$S17))</f>
        <v>481.33186536417105</v>
      </c>
      <c r="K20" s="9">
        <f>IF(Rent!L20=0,0,('TENANT CHARGES'!$S17))</f>
        <v>481.33186536417105</v>
      </c>
      <c r="L20" s="9">
        <f>IF(Rent!M20=0,0,('TENANT CHARGES'!$S17))</f>
        <v>481.33186536417105</v>
      </c>
      <c r="M20" s="9">
        <f>IF(Rent!N20=0,0,('TENANT CHARGES'!$S17))</f>
        <v>481.33186536417105</v>
      </c>
      <c r="N20" s="9">
        <f>IF(Rent!O20=0,0,('TENANT CHARGES'!$S17))</f>
        <v>481.33186536417105</v>
      </c>
      <c r="O20" s="9">
        <f>IF(Rent!P20=0,0,('TENANT CHARGES'!$S17))</f>
        <v>481.33186536417105</v>
      </c>
      <c r="P20" s="9">
        <f>IF(Rent!Q20=0,0,('TENANT CHARGES'!$S17))</f>
        <v>481.33186536417105</v>
      </c>
      <c r="Q20" s="70">
        <f t="shared" si="0"/>
        <v>5775.9823843700515</v>
      </c>
    </row>
    <row r="21" spans="1:18" s="94" customFormat="1">
      <c r="A21" s="1" t="str">
        <f>Rent!A21</f>
        <v>FOSTERS KITCHEN</v>
      </c>
      <c r="B21" s="7" t="str">
        <f>Rent!B21</f>
        <v>DU-1</v>
      </c>
      <c r="C21" s="24">
        <f>Rent!D21</f>
        <v>3526</v>
      </c>
      <c r="D21" s="93">
        <v>4.7120000000000002E-2</v>
      </c>
      <c r="E21" s="9">
        <f>IF(Rent!F21=0,0,('TENANT CHARGES'!$S18))</f>
        <v>1069.9997635542904</v>
      </c>
      <c r="F21" s="9">
        <f>IF(Rent!G21=0,0,('TENANT CHARGES'!$S18))</f>
        <v>1069.9997635542904</v>
      </c>
      <c r="G21" s="9">
        <f>IF(Rent!H21=0,0,('TENANT CHARGES'!$S18))</f>
        <v>1069.9997635542904</v>
      </c>
      <c r="H21" s="9">
        <f>IF(Rent!I21=0,0,('TENANT CHARGES'!$S18))</f>
        <v>1069.9997635542904</v>
      </c>
      <c r="I21" s="9">
        <f>IF(Rent!J21=0,0,('TENANT CHARGES'!$S18))</f>
        <v>1069.9997635542904</v>
      </c>
      <c r="J21" s="9">
        <f>IF(Rent!K21=0,0,('TENANT CHARGES'!$S18))</f>
        <v>1069.9997635542904</v>
      </c>
      <c r="K21" s="9">
        <f>IF(Rent!L21=0,0,('TENANT CHARGES'!$S18))</f>
        <v>1069.9997635542904</v>
      </c>
      <c r="L21" s="9">
        <f>IF(Rent!M21=0,0,('TENANT CHARGES'!$S18))</f>
        <v>1069.9997635542904</v>
      </c>
      <c r="M21" s="9">
        <f>IF(Rent!N21=0,0,('TENANT CHARGES'!$S18))</f>
        <v>1069.9997635542904</v>
      </c>
      <c r="N21" s="9">
        <f>IF(Rent!O21=0,0,('TENANT CHARGES'!$S18))</f>
        <v>1069.9997635542904</v>
      </c>
      <c r="O21" s="9">
        <f>IF(Rent!P21=0,0,('TENANT CHARGES'!$S18))</f>
        <v>1069.9997635542904</v>
      </c>
      <c r="P21" s="9">
        <f>IF(Rent!Q21=0,0,('TENANT CHARGES'!$S18))</f>
        <v>1069.9997635542904</v>
      </c>
      <c r="Q21" s="70">
        <f t="shared" si="0"/>
        <v>12839.997162651482</v>
      </c>
      <c r="R21" s="1"/>
    </row>
    <row r="22" spans="1:18">
      <c r="A22" s="455" t="str">
        <f>Rent!A22</f>
        <v>HUMPYS BIG ISLAND ALEHOUSE</v>
      </c>
      <c r="B22" s="456" t="str">
        <f>Rent!B22</f>
        <v>E</v>
      </c>
      <c r="C22" s="457">
        <f>Rent!D22</f>
        <v>10736</v>
      </c>
      <c r="D22" s="458">
        <v>4.7120000000000002E-2</v>
      </c>
      <c r="E22" s="253">
        <f>IF(Rent!F22=0,0,('TENANT CHARGES'!$S19))</f>
        <v>2656.0922822794278</v>
      </c>
      <c r="F22" s="253">
        <f>IF(Rent!G22=0,0,('TENANT CHARGES'!$S19))</f>
        <v>2656.0922822794278</v>
      </c>
      <c r="G22" s="253">
        <f>IF(Rent!H22=0,0,('TENANT CHARGES'!$S19))</f>
        <v>2656.0922822794278</v>
      </c>
      <c r="H22" s="253">
        <f>IF(Rent!I22=0,0,('TENANT CHARGES'!$S19))</f>
        <v>2656.0922822794278</v>
      </c>
      <c r="I22" s="253">
        <f>IF(Rent!J22=0,0,('TENANT CHARGES'!$S19))</f>
        <v>2656.0922822794278</v>
      </c>
      <c r="J22" s="253">
        <f>IF(Rent!K22=0,0,('TENANT CHARGES'!$S19))</f>
        <v>2656.0922822794278</v>
      </c>
      <c r="K22" s="253">
        <f>IF(Rent!L22=0,0,('TENANT CHARGES'!$S19))</f>
        <v>2656.0922822794278</v>
      </c>
      <c r="L22" s="253">
        <f>IF(Rent!M22=0,0,('TENANT CHARGES'!$S19))</f>
        <v>2656.0922822794278</v>
      </c>
      <c r="M22" s="253">
        <f>IF(Rent!N22=0,0,('TENANT CHARGES'!$S19))</f>
        <v>2656.0922822794278</v>
      </c>
      <c r="N22" s="253">
        <f>IF(Rent!O22=0,0,('TENANT CHARGES'!$S19))</f>
        <v>2656.0922822794278</v>
      </c>
      <c r="O22" s="253">
        <f>IF(Rent!P22=0,0,('TENANT CHARGES'!$S19))</f>
        <v>2656.0922822794278</v>
      </c>
      <c r="P22" s="253">
        <f>IF(Rent!Q22=0,0,('TENANT CHARGES'!$S19))</f>
        <v>2656.0922822794278</v>
      </c>
      <c r="Q22" s="446">
        <f t="shared" si="0"/>
        <v>31873.107387353131</v>
      </c>
      <c r="R22" s="440" t="s">
        <v>457</v>
      </c>
    </row>
    <row r="23" spans="1:18">
      <c r="A23" s="1" t="str">
        <f>Rent!A23</f>
        <v>ABC STORE #75</v>
      </c>
      <c r="B23" s="7" t="str">
        <f>Rent!B23</f>
        <v>F15,17&amp;A8</v>
      </c>
      <c r="C23" s="24">
        <f>Rent!D23</f>
        <v>4000</v>
      </c>
      <c r="D23" s="93">
        <v>4.7120000000000002E-2</v>
      </c>
      <c r="E23" s="9">
        <f>IF(Rent!F23=0,0,('TENANT CHARGES'!$S20))</f>
        <v>1509.8034455943264</v>
      </c>
      <c r="F23" s="9">
        <f>IF(Rent!G23=0,0,('TENANT CHARGES'!$S20))</f>
        <v>1509.8034455943264</v>
      </c>
      <c r="G23" s="9">
        <f>IF(Rent!H23=0,0,('TENANT CHARGES'!$S20))</f>
        <v>1509.8034455943264</v>
      </c>
      <c r="H23" s="9">
        <f>IF(Rent!I23=0,0,('TENANT CHARGES'!$S20))</f>
        <v>1509.8034455943264</v>
      </c>
      <c r="I23" s="9">
        <f>IF(Rent!J23=0,0,('TENANT CHARGES'!$S20))</f>
        <v>1509.8034455943264</v>
      </c>
      <c r="J23" s="9">
        <f>IF(Rent!K23=0,0,('TENANT CHARGES'!$S20))</f>
        <v>1509.8034455943264</v>
      </c>
      <c r="K23" s="9">
        <f>IF(Rent!L23=0,0,('TENANT CHARGES'!$S20))</f>
        <v>1509.8034455943264</v>
      </c>
      <c r="L23" s="9">
        <f>IF(Rent!M23=0,0,('TENANT CHARGES'!$S20))</f>
        <v>1509.8034455943264</v>
      </c>
      <c r="M23" s="9">
        <f>IF(Rent!N23=0,0,('TENANT CHARGES'!$S20))</f>
        <v>1509.8034455943264</v>
      </c>
      <c r="N23" s="9">
        <f>IF(Rent!O23=0,0,('TENANT CHARGES'!$S20))</f>
        <v>1509.8034455943264</v>
      </c>
      <c r="O23" s="9">
        <f>IF(Rent!P23=0,0,('TENANT CHARGES'!$S20))</f>
        <v>1509.8034455943264</v>
      </c>
      <c r="P23" s="9">
        <f>IF(Rent!Q23=0,0,('TENANT CHARGES'!$S20))</f>
        <v>1509.8034455943264</v>
      </c>
      <c r="Q23" s="70">
        <f t="shared" si="0"/>
        <v>18117.641347131921</v>
      </c>
    </row>
    <row r="24" spans="1:18">
      <c r="A24" s="1" t="str">
        <f>Rent!A24</f>
        <v>GYPSEA GALATO</v>
      </c>
      <c r="B24" s="7" t="str">
        <f>Rent!B24</f>
        <v>F-16</v>
      </c>
      <c r="C24" s="24">
        <f>Rent!D24</f>
        <v>500</v>
      </c>
      <c r="D24" s="93">
        <v>4.7120000000000002E-2</v>
      </c>
      <c r="E24" s="9">
        <f>IF(Rent!F24=0,0,('TENANT CHARGES'!$S21))</f>
        <v>197.56148630049498</v>
      </c>
      <c r="F24" s="9">
        <f>IF(Rent!G24=0,0,('TENANT CHARGES'!$S21))</f>
        <v>197.56148630049498</v>
      </c>
      <c r="G24" s="9">
        <f>IF(Rent!H24=0,0,('TENANT CHARGES'!$S21))</f>
        <v>197.56148630049498</v>
      </c>
      <c r="H24" s="9">
        <f>IF(Rent!I24=0,0,('TENANT CHARGES'!$S21))</f>
        <v>197.56148630049498</v>
      </c>
      <c r="I24" s="9">
        <f>IF(Rent!J24=0,0,('TENANT CHARGES'!$S21))</f>
        <v>197.56148630049498</v>
      </c>
      <c r="J24" s="9">
        <f>IF(Rent!K24=0,0,('TENANT CHARGES'!$S21))</f>
        <v>197.56148630049498</v>
      </c>
      <c r="K24" s="9">
        <f>IF(Rent!L24=0,0,('TENANT CHARGES'!$S21))</f>
        <v>197.56148630049498</v>
      </c>
      <c r="L24" s="9">
        <f>IF(Rent!M24=0,0,('TENANT CHARGES'!$S21))</f>
        <v>197.56148630049498</v>
      </c>
      <c r="M24" s="9">
        <f>IF(Rent!N24=0,0,('TENANT CHARGES'!$S21))</f>
        <v>197.56148630049498</v>
      </c>
      <c r="N24" s="9">
        <f>IF(Rent!O24=0,0,('TENANT CHARGES'!$S21))</f>
        <v>197.56148630049498</v>
      </c>
      <c r="O24" s="9">
        <f>IF(Rent!P24=0,0,('TENANT CHARGES'!$S21))</f>
        <v>197.56148630049498</v>
      </c>
      <c r="P24" s="9">
        <f>IF(Rent!Q24=0,0,('TENANT CHARGES'!$S21))</f>
        <v>197.56148630049498</v>
      </c>
      <c r="Q24" s="70">
        <f t="shared" si="0"/>
        <v>2370.7378356059398</v>
      </c>
    </row>
    <row r="25" spans="1:18">
      <c r="A25" s="1" t="str">
        <f>Rent!A25</f>
        <v>OCEANS SPORTS BAR AND GRILL</v>
      </c>
      <c r="B25" s="7" t="str">
        <f>Rent!B25</f>
        <v>G</v>
      </c>
      <c r="C25" s="24">
        <f>Rent!D25</f>
        <v>2896</v>
      </c>
      <c r="D25" s="93">
        <v>4.7120000000000002E-2</v>
      </c>
      <c r="E25" s="9">
        <f>IF(Rent!F25=0,0,('TENANT CHARGES'!$S22))</f>
        <v>751.81870207875079</v>
      </c>
      <c r="F25" s="9">
        <f>IF(Rent!G25=0,0,('TENANT CHARGES'!$S22))</f>
        <v>751.81870207875079</v>
      </c>
      <c r="G25" s="9">
        <f>IF(Rent!H25=0,0,('TENANT CHARGES'!$S22))</f>
        <v>751.81870207875079</v>
      </c>
      <c r="H25" s="9">
        <f>IF(Rent!I25=0,0,('TENANT CHARGES'!$S22))</f>
        <v>751.81870207875079</v>
      </c>
      <c r="I25" s="9">
        <f>IF(Rent!J25=0,0,('TENANT CHARGES'!$S22))</f>
        <v>751.81870207875079</v>
      </c>
      <c r="J25" s="9">
        <f>IF(Rent!K25=0,0,('TENANT CHARGES'!$S22))</f>
        <v>751.81870207875079</v>
      </c>
      <c r="K25" s="9">
        <f>IF(Rent!L25=0,0,('TENANT CHARGES'!$S22))</f>
        <v>751.81870207875079</v>
      </c>
      <c r="L25" s="9">
        <f>IF(Rent!M25=0,0,('TENANT CHARGES'!$S22))</f>
        <v>751.81870207875079</v>
      </c>
      <c r="M25" s="9">
        <f>IF(Rent!N25=0,0,('TENANT CHARGES'!$S22))</f>
        <v>751.81870207875079</v>
      </c>
      <c r="N25" s="9">
        <f>IF(Rent!O25=0,0,('TENANT CHARGES'!$S22))</f>
        <v>751.81870207875079</v>
      </c>
      <c r="O25" s="9">
        <f>IF(Rent!P25=0,0,('TENANT CHARGES'!$S22))</f>
        <v>751.81870207875079</v>
      </c>
      <c r="P25" s="9">
        <f>IF(Rent!Q25=0,0,('TENANT CHARGES'!$S22))</f>
        <v>751.81870207875079</v>
      </c>
      <c r="Q25" s="70">
        <f t="shared" si="0"/>
        <v>9021.824424945009</v>
      </c>
    </row>
    <row r="26" spans="1:18">
      <c r="A26" s="1" t="str">
        <f>Rent!A26</f>
        <v>JACKS DIVE LOCKER</v>
      </c>
      <c r="B26" s="7" t="str">
        <f>Rent!B26</f>
        <v>H</v>
      </c>
      <c r="C26" s="24">
        <f>Rent!D26</f>
        <v>8014</v>
      </c>
      <c r="D26" s="93">
        <v>4.7120000000000002E-2</v>
      </c>
      <c r="E26" s="9">
        <f>IF(Rent!F26=0,0,('TENANT CHARGES'!$S23))</f>
        <v>1604.7952621552561</v>
      </c>
      <c r="F26" s="9">
        <f>IF(Rent!G26=0,0,('TENANT CHARGES'!$S23))</f>
        <v>1604.7952621552561</v>
      </c>
      <c r="G26" s="9">
        <f>IF(Rent!H26=0,0,('TENANT CHARGES'!$S23))</f>
        <v>1604.7952621552561</v>
      </c>
      <c r="H26" s="9">
        <f>IF(Rent!I26=0,0,('TENANT CHARGES'!$S23))</f>
        <v>1604.7952621552561</v>
      </c>
      <c r="I26" s="9">
        <f>IF(Rent!J26=0,0,('TENANT CHARGES'!$S23))</f>
        <v>1604.7952621552561</v>
      </c>
      <c r="J26" s="9">
        <f>IF(Rent!K26=0,0,('TENANT CHARGES'!$S23))</f>
        <v>1604.7952621552561</v>
      </c>
      <c r="K26" s="9">
        <f>IF(Rent!L26=0,0,('TENANT CHARGES'!$S23))</f>
        <v>1604.7952621552561</v>
      </c>
      <c r="L26" s="9">
        <f>IF(Rent!M26=0,0,('TENANT CHARGES'!$S23))</f>
        <v>1604.7952621552561</v>
      </c>
      <c r="M26" s="9">
        <f>IF(Rent!N26=0,0,('TENANT CHARGES'!$S23))</f>
        <v>1604.7952621552561</v>
      </c>
      <c r="N26" s="9">
        <f>IF(Rent!O26=0,0,('TENANT CHARGES'!$S23))</f>
        <v>1604.7952621552561</v>
      </c>
      <c r="O26" s="9">
        <f>IF(Rent!P26=0,0,('TENANT CHARGES'!$S23))</f>
        <v>1604.7952621552561</v>
      </c>
      <c r="P26" s="9">
        <f>IF(Rent!Q26=0,0,('TENANT CHARGES'!$S23))</f>
        <v>1604.7952621552561</v>
      </c>
      <c r="Q26" s="70">
        <f t="shared" si="0"/>
        <v>19257.543145863074</v>
      </c>
    </row>
    <row r="27" spans="1:18">
      <c r="A27" s="1" t="str">
        <f>Rent!A27</f>
        <v>QPOT</v>
      </c>
      <c r="B27" s="7" t="str">
        <f>Rent!B27</f>
        <v>I</v>
      </c>
      <c r="C27" s="24">
        <f>Rent!D27</f>
        <v>6500</v>
      </c>
      <c r="D27" s="93">
        <v>4.7120000000000002E-2</v>
      </c>
      <c r="E27" s="9">
        <f>IF(Rent!F27=0,0,('TENANT CHARGES'!$S24))</f>
        <v>0</v>
      </c>
      <c r="F27" s="9">
        <f>IF(Rent!G27=0,0,('TENANT CHARGES'!$S24))</f>
        <v>0</v>
      </c>
      <c r="G27" s="9">
        <f>IF(Rent!H27=0,0,('TENANT CHARGES'!$S24))</f>
        <v>0</v>
      </c>
      <c r="H27" s="9">
        <f>IF(Rent!I27=0,0,('TENANT CHARGES'!$S24))</f>
        <v>0</v>
      </c>
      <c r="I27" s="9">
        <f>IF(Rent!J27=0,0,('TENANT CHARGES'!$S24))</f>
        <v>0</v>
      </c>
      <c r="J27" s="9">
        <f>IF(Rent!K27=0,0,('TENANT CHARGES'!$S24))</f>
        <v>0</v>
      </c>
      <c r="K27" s="9">
        <f>IF(Rent!L27=0,0,('TENANT CHARGES'!$S24))</f>
        <v>660.25843634377645</v>
      </c>
      <c r="L27" s="9">
        <f>IF(Rent!M27=0,0,('TENANT CHARGES'!$S24))</f>
        <v>660.25843634377645</v>
      </c>
      <c r="M27" s="9">
        <f>IF(Rent!N27=0,0,('TENANT CHARGES'!$S24))</f>
        <v>660.25843634377645</v>
      </c>
      <c r="N27" s="9">
        <f>IF(Rent!O27=0,0,('TENANT CHARGES'!$S24))</f>
        <v>660.25843634377645</v>
      </c>
      <c r="O27" s="9">
        <f>IF(Rent!P27=0,0,('TENANT CHARGES'!$S24))</f>
        <v>660.25843634377645</v>
      </c>
      <c r="P27" s="9">
        <f>IF(Rent!Q27=0,0,('TENANT CHARGES'!$S24))</f>
        <v>660.25843634377645</v>
      </c>
      <c r="Q27" s="70">
        <f t="shared" si="0"/>
        <v>3961.5506180626585</v>
      </c>
    </row>
    <row r="28" spans="1:18">
      <c r="A28" s="1" t="str">
        <f>Rent!A28</f>
        <v>BOWLS SUPERFOODS &amp; ORALE TACOS</v>
      </c>
      <c r="B28" s="7" t="str">
        <f>Rent!B28</f>
        <v>PC-1&amp;2</v>
      </c>
      <c r="C28" s="24">
        <f>Rent!D28</f>
        <v>1993</v>
      </c>
      <c r="D28" s="93">
        <v>4.7120000000000002E-2</v>
      </c>
      <c r="E28" s="9">
        <f>IF(Rent!F28=0,0,('TENANT CHARGES'!$S25))</f>
        <v>0</v>
      </c>
      <c r="F28" s="9">
        <f>IF(Rent!G28=0,0,('TENANT CHARGES'!$S25))</f>
        <v>0</v>
      </c>
      <c r="G28" s="9">
        <f>IF(Rent!H28=0,0,('TENANT CHARGES'!$S25))</f>
        <v>0</v>
      </c>
      <c r="H28" s="9">
        <f>IF(Rent!I28=0,0,('TENANT CHARGES'!$S25))</f>
        <v>0</v>
      </c>
      <c r="I28" s="9">
        <f>IF(Rent!J28=0,0,('TENANT CHARGES'!$S25))</f>
        <v>0</v>
      </c>
      <c r="J28" s="9">
        <f>IF(Rent!K28=0,0,('TENANT CHARGES'!$S25))</f>
        <v>0</v>
      </c>
      <c r="K28" s="9">
        <f>IF(Rent!L28=0,0,('TENANT CHARGES'!$S25))</f>
        <v>0</v>
      </c>
      <c r="L28" s="9">
        <f>IF(Rent!M28=0,0,('TENANT CHARGES'!$S25))</f>
        <v>0</v>
      </c>
      <c r="M28" s="9">
        <f>IF(Rent!N28=0,0,('TENANT CHARGES'!$S25))</f>
        <v>0</v>
      </c>
      <c r="N28" s="9">
        <f>IF(Rent!O28=0,0,('TENANT CHARGES'!$S25))</f>
        <v>0</v>
      </c>
      <c r="O28" s="9">
        <f>IF(Rent!P28=0,0,('TENANT CHARGES'!$S25))</f>
        <v>0</v>
      </c>
      <c r="P28" s="9">
        <f>IF(Rent!Q28=0,0,('TENANT CHARGES'!$S25))</f>
        <v>0</v>
      </c>
      <c r="Q28" s="70">
        <f t="shared" si="0"/>
        <v>0</v>
      </c>
    </row>
    <row r="29" spans="1:18">
      <c r="A29" s="1" t="str">
        <f>Rent!A29</f>
        <v>KONA GEAR INC.</v>
      </c>
      <c r="B29" s="7" t="str">
        <f>Rent!B29</f>
        <v>PC 3&amp;4</v>
      </c>
      <c r="C29" s="24">
        <f>Rent!D29</f>
        <v>962</v>
      </c>
      <c r="D29" s="93">
        <v>4.7120000000000002E-2</v>
      </c>
      <c r="E29" s="9">
        <f>IF(Rent!F29=0,0,('TENANT CHARGES'!$S26))</f>
        <v>409.9537998999935</v>
      </c>
      <c r="F29" s="9">
        <f>IF(Rent!G29=0,0,('TENANT CHARGES'!$S26))</f>
        <v>409.9537998999935</v>
      </c>
      <c r="G29" s="9">
        <f>IF(Rent!H29=0,0,('TENANT CHARGES'!$S26))</f>
        <v>409.9537998999935</v>
      </c>
      <c r="H29" s="9">
        <f>IF(Rent!I29=0,0,('TENANT CHARGES'!$S26))</f>
        <v>409.9537998999935</v>
      </c>
      <c r="I29" s="9">
        <f>IF(Rent!J29=0,0,('TENANT CHARGES'!$S26))</f>
        <v>409.9537998999935</v>
      </c>
      <c r="J29" s="9">
        <f>IF(Rent!K29=0,0,('TENANT CHARGES'!$S26))</f>
        <v>409.9537998999935</v>
      </c>
      <c r="K29" s="9">
        <f>IF(Rent!L29=0,0,('TENANT CHARGES'!$S26))</f>
        <v>409.9537998999935</v>
      </c>
      <c r="L29" s="9">
        <f>IF(Rent!M29=0,0,('TENANT CHARGES'!$S26))</f>
        <v>409.9537998999935</v>
      </c>
      <c r="M29" s="9">
        <f>IF(Rent!N29=0,0,('TENANT CHARGES'!$S26))</f>
        <v>409.9537998999935</v>
      </c>
      <c r="N29" s="9">
        <f>IF(Rent!O29=0,0,('TENANT CHARGES'!$S26))</f>
        <v>409.9537998999935</v>
      </c>
      <c r="O29" s="9">
        <f>IF(Rent!P29=0,0,('TENANT CHARGES'!$S26))</f>
        <v>409.9537998999935</v>
      </c>
      <c r="P29" s="9">
        <f>IF(Rent!Q29=0,0,('TENANT CHARGES'!$S26))</f>
        <v>409.9537998999935</v>
      </c>
      <c r="Q29" s="70">
        <f t="shared" si="0"/>
        <v>4919.4455987999208</v>
      </c>
    </row>
    <row r="30" spans="1:18">
      <c r="A30" s="1" t="str">
        <f>Rent!A30</f>
        <v>LAVERNES</v>
      </c>
      <c r="B30" s="7" t="str">
        <f>Rent!B30</f>
        <v>PC/U1</v>
      </c>
      <c r="C30" s="24">
        <f>Rent!D30</f>
        <v>3704</v>
      </c>
      <c r="D30" s="93">
        <v>4.7120000000000002E-2</v>
      </c>
      <c r="E30" s="9">
        <f>IF(Rent!F30=0,0,('TENANT CHARGES'!$S27))</f>
        <v>830.21743089505651</v>
      </c>
      <c r="F30" s="9">
        <f>IF(Rent!G30=0,0,('TENANT CHARGES'!$S27))</f>
        <v>830.21743089505651</v>
      </c>
      <c r="G30" s="9">
        <f>IF(Rent!H30=0,0,('TENANT CHARGES'!$S27))</f>
        <v>830.21743089505651</v>
      </c>
      <c r="H30" s="9">
        <f>IF(Rent!I30=0,0,('TENANT CHARGES'!$S27))</f>
        <v>830.21743089505651</v>
      </c>
      <c r="I30" s="9">
        <f>IF(Rent!J30=0,0,('TENANT CHARGES'!$S27))</f>
        <v>830.21743089505651</v>
      </c>
      <c r="J30" s="9">
        <f>IF(Rent!K30=0,0,('TENANT CHARGES'!$S27))</f>
        <v>830.21743089505651</v>
      </c>
      <c r="K30" s="9">
        <f>IF(Rent!L30=0,0,('TENANT CHARGES'!$S27))</f>
        <v>830.21743089505651</v>
      </c>
      <c r="L30" s="9">
        <f>IF(Rent!M30=0,0,('TENANT CHARGES'!$S27))</f>
        <v>830.21743089505651</v>
      </c>
      <c r="M30" s="9">
        <f>IF(Rent!N30=0,0,('TENANT CHARGES'!$S27))</f>
        <v>830.21743089505651</v>
      </c>
      <c r="N30" s="9">
        <f>IF(Rent!O30=0,0,('TENANT CHARGES'!$S27))</f>
        <v>830.21743089505651</v>
      </c>
      <c r="O30" s="9">
        <f>IF(Rent!P30=0,0,('TENANT CHARGES'!$S27))</f>
        <v>830.21743089505651</v>
      </c>
      <c r="P30" s="9">
        <f>IF(Rent!Q30=0,0,('TENANT CHARGES'!$S27))</f>
        <v>830.21743089505651</v>
      </c>
      <c r="Q30" s="70">
        <f t="shared" si="0"/>
        <v>9962.6091707406758</v>
      </c>
    </row>
    <row r="31" spans="1:18">
      <c r="B31" s="7"/>
      <c r="C31" s="24"/>
      <c r="D31" s="95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70"/>
    </row>
    <row r="32" spans="1:18">
      <c r="A32" s="1" t="s">
        <v>550</v>
      </c>
      <c r="B32" s="7"/>
      <c r="C32" s="24"/>
      <c r="D32" s="95">
        <f>D30</f>
        <v>4.7120000000000002E-2</v>
      </c>
      <c r="E32" s="9">
        <f>'% Rent'!E$36*0.0471</f>
        <v>2067.4545000000003</v>
      </c>
      <c r="F32" s="9">
        <f>'% Rent'!F$36*0.0471</f>
        <v>2067.4545000000003</v>
      </c>
      <c r="G32" s="9">
        <f>'% Rent'!G$36*0.0471</f>
        <v>2067.4545000000003</v>
      </c>
      <c r="H32" s="9">
        <f>'% Rent'!H$36*0.0471</f>
        <v>2067.4545000000003</v>
      </c>
      <c r="I32" s="9">
        <f>'% Rent'!I$36*0.0471</f>
        <v>2067.4545000000003</v>
      </c>
      <c r="J32" s="9">
        <f>'% Rent'!J$36*0.0471</f>
        <v>2067.4545000000003</v>
      </c>
      <c r="K32" s="9">
        <f>'% Rent'!K$36*0.0471</f>
        <v>2067.4545000000003</v>
      </c>
      <c r="L32" s="9">
        <f>'% Rent'!L$36*0.0471</f>
        <v>2279.4045000000001</v>
      </c>
      <c r="M32" s="9">
        <f>'% Rent'!M$36*0.0471</f>
        <v>2420.7045000000003</v>
      </c>
      <c r="N32" s="9">
        <f>'% Rent'!N$36*0.0471</f>
        <v>2420.7045000000003</v>
      </c>
      <c r="O32" s="9">
        <f>'% Rent'!O$36*0.0471</f>
        <v>2420.7045000000003</v>
      </c>
      <c r="P32" s="9">
        <f>'% Rent'!P$36*0.0471</f>
        <v>2420.7045000000003</v>
      </c>
      <c r="Q32" s="70">
        <f>SUM(E32:P32)</f>
        <v>26434.403999999999</v>
      </c>
    </row>
    <row r="35" spans="1:17">
      <c r="A35" s="329" t="s">
        <v>437</v>
      </c>
      <c r="B35" s="188"/>
      <c r="C35" s="330">
        <f>SUM(C13:C33)</f>
        <v>51058</v>
      </c>
      <c r="D35" s="331"/>
      <c r="E35" s="332">
        <f t="shared" ref="E35:Q35" si="1">SUM(E13:E33)</f>
        <v>14027.759539220357</v>
      </c>
      <c r="F35" s="332">
        <f t="shared" si="1"/>
        <v>14027.759539220357</v>
      </c>
      <c r="G35" s="332">
        <f t="shared" si="1"/>
        <v>14027.759539220357</v>
      </c>
      <c r="H35" s="332">
        <f t="shared" si="1"/>
        <v>14027.759539220357</v>
      </c>
      <c r="I35" s="332">
        <f t="shared" si="1"/>
        <v>14027.759539220357</v>
      </c>
      <c r="J35" s="332">
        <f t="shared" si="1"/>
        <v>14027.759539220357</v>
      </c>
      <c r="K35" s="332">
        <f t="shared" si="1"/>
        <v>14688.017975564133</v>
      </c>
      <c r="L35" s="332">
        <f t="shared" si="1"/>
        <v>14899.967975564134</v>
      </c>
      <c r="M35" s="332">
        <f t="shared" si="1"/>
        <v>15041.267975564133</v>
      </c>
      <c r="N35" s="332">
        <f t="shared" si="1"/>
        <v>15041.267975564133</v>
      </c>
      <c r="O35" s="332">
        <f t="shared" si="1"/>
        <v>15041.267975564133</v>
      </c>
      <c r="P35" s="332">
        <f t="shared" si="1"/>
        <v>15041.267975564133</v>
      </c>
      <c r="Q35" s="333">
        <f t="shared" si="1"/>
        <v>173919.61508870695</v>
      </c>
    </row>
    <row r="36" spans="1:17">
      <c r="A36" s="334"/>
      <c r="B36" s="195"/>
      <c r="C36" s="335"/>
      <c r="D36" s="336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8"/>
    </row>
    <row r="37" spans="1:17">
      <c r="D37" s="95"/>
      <c r="E37" s="90"/>
      <c r="F37" s="90"/>
      <c r="G37" s="90"/>
      <c r="H37" s="90"/>
      <c r="I37" s="90"/>
      <c r="J37" s="90"/>
      <c r="K37" s="90"/>
      <c r="L37" s="90"/>
      <c r="M37" s="90"/>
      <c r="N37" s="274"/>
      <c r="O37" s="275"/>
      <c r="P37" s="274"/>
      <c r="Q37" s="274"/>
    </row>
    <row r="38" spans="1:17">
      <c r="D38" s="95"/>
      <c r="O38" s="119"/>
      <c r="Q38" s="276"/>
    </row>
    <row r="39" spans="1:17">
      <c r="D39" s="95"/>
    </row>
    <row r="40" spans="1:17">
      <c r="D40" s="95"/>
    </row>
    <row r="41" spans="1:17">
      <c r="D41" s="95"/>
    </row>
    <row r="42" spans="1:17">
      <c r="D42" s="95"/>
    </row>
    <row r="43" spans="1:17">
      <c r="D43" s="95"/>
    </row>
    <row r="44" spans="1:17">
      <c r="D44" s="95"/>
    </row>
    <row r="45" spans="1:17">
      <c r="D45" s="95"/>
      <c r="N45" s="96" t="s">
        <v>551</v>
      </c>
      <c r="O45" s="97">
        <f>SUM(Q14:Q16)</f>
        <v>20924.241103262371</v>
      </c>
    </row>
    <row r="46" spans="1:17">
      <c r="D46" s="95"/>
      <c r="N46" s="96" t="s">
        <v>552</v>
      </c>
      <c r="O46" s="97">
        <f>SUM(Q17:Q21)</f>
        <v>27076.510456942258</v>
      </c>
    </row>
  </sheetData>
  <mergeCells count="5">
    <mergeCell ref="A2:Q2"/>
    <mergeCell ref="A3:Q3"/>
    <mergeCell ref="A4:Q4"/>
    <mergeCell ref="A5:Q5"/>
    <mergeCell ref="A6:Q6"/>
  </mergeCells>
  <pageMargins left="0.7" right="0.7" top="0.75" bottom="0.75" header="0.3" footer="0.3"/>
  <pageSetup paperSize="3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9"/>
  <sheetViews>
    <sheetView topLeftCell="A12" zoomScaleNormal="100" workbookViewId="0">
      <selection activeCell="B14" sqref="B14"/>
    </sheetView>
  </sheetViews>
  <sheetFormatPr defaultColWidth="9.26953125" defaultRowHeight="13"/>
  <cols>
    <col min="1" max="1" width="38.26953125" style="45" customWidth="1"/>
    <col min="2" max="2" width="9.26953125" style="45"/>
    <col min="3" max="3" width="11" style="45" customWidth="1"/>
    <col min="4" max="16" width="9.7265625" style="45" customWidth="1"/>
    <col min="17" max="17" width="11.54296875" style="45" bestFit="1" customWidth="1"/>
    <col min="18" max="18" width="29" style="45" customWidth="1"/>
    <col min="19" max="16384" width="9.26953125" style="45"/>
  </cols>
  <sheetData>
    <row r="1" spans="1:18" ht="14.5">
      <c r="P1" s="2" t="str">
        <f>Summ.!R1</f>
        <v>Date Revised:</v>
      </c>
      <c r="Q1" s="3" t="e">
        <f>Summ.!#REF!</f>
        <v>#REF!</v>
      </c>
      <c r="R1" s="45">
        <f>Summ.!T1</f>
        <v>0</v>
      </c>
    </row>
    <row r="2" spans="1:18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8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8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8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8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8">
      <c r="H7" s="46"/>
    </row>
    <row r="8" spans="1:18">
      <c r="A8" s="200"/>
      <c r="B8" s="200"/>
      <c r="C8" s="203"/>
      <c r="D8" s="165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8">
      <c r="A9" s="166" t="s">
        <v>120</v>
      </c>
      <c r="B9" s="166" t="s">
        <v>434</v>
      </c>
      <c r="C9" s="204" t="s">
        <v>348</v>
      </c>
      <c r="D9" s="204" t="s">
        <v>531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18">
      <c r="A10" s="202"/>
      <c r="B10" s="168" t="s">
        <v>438</v>
      </c>
      <c r="C10" s="205" t="s">
        <v>439</v>
      </c>
      <c r="D10" s="168" t="s">
        <v>532</v>
      </c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2" spans="1:18">
      <c r="A12" s="51" t="s">
        <v>134</v>
      </c>
    </row>
    <row r="13" spans="1:18">
      <c r="A13" s="47"/>
      <c r="C13" s="71"/>
      <c r="D13" s="71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1:18" ht="14.5">
      <c r="A14" s="47" t="str">
        <f>Rent!A14</f>
        <v xml:space="preserve">ISLAND LAVA JAVA </v>
      </c>
      <c r="B14" s="52" t="str">
        <f>Rent!B14</f>
        <v>A 1-4</v>
      </c>
      <c r="C14" s="71">
        <f>Rent!D14</f>
        <v>3873</v>
      </c>
      <c r="D14" s="72">
        <f t="shared" ref="D14:D30" si="0">C14/$C$33</f>
        <v>0.13821776524749296</v>
      </c>
      <c r="E14" s="9">
        <f>IF(Rent!F14=0,0,('TENANT CHARGES'!$I10))</f>
        <v>1579.9221234074446</v>
      </c>
      <c r="F14" s="9">
        <f>IF(Rent!G14=0,0,('TENANT CHARGES'!$I10))</f>
        <v>1579.9221234074446</v>
      </c>
      <c r="G14" s="9">
        <f>IF(Rent!H14=0,0,('TENANT CHARGES'!$I10))</f>
        <v>1579.9221234074446</v>
      </c>
      <c r="H14" s="9">
        <f>IF(Rent!I14=0,0,('TENANT CHARGES'!$I10))</f>
        <v>1579.9221234074446</v>
      </c>
      <c r="I14" s="9">
        <f>IF(Rent!J14=0,0,('TENANT CHARGES'!$I10))</f>
        <v>1579.9221234074446</v>
      </c>
      <c r="J14" s="9">
        <f>IF(Rent!K14=0,0,('TENANT CHARGES'!$I10))</f>
        <v>1579.9221234074446</v>
      </c>
      <c r="K14" s="9">
        <f>IF(Rent!L14=0,0,('TENANT CHARGES'!$I10))</f>
        <v>1579.9221234074446</v>
      </c>
      <c r="L14" s="9">
        <f>IF(Rent!M14=0,0,('TENANT CHARGES'!$I10))</f>
        <v>1579.9221234074446</v>
      </c>
      <c r="M14" s="9">
        <f>IF(Rent!N14=0,0,('TENANT CHARGES'!$I10))</f>
        <v>1579.9221234074446</v>
      </c>
      <c r="N14" s="9">
        <f>IF(Rent!O14=0,0,('TENANT CHARGES'!$I10))</f>
        <v>1579.9221234074446</v>
      </c>
      <c r="O14" s="9">
        <f>IF(Rent!P14=0,0,('TENANT CHARGES'!$I10))</f>
        <v>1579.9221234074446</v>
      </c>
      <c r="P14" s="9">
        <f>IF(Rent!Q14=0,0,('TENANT CHARGES'!$I10))</f>
        <v>1579.9221234074446</v>
      </c>
      <c r="Q14" s="70">
        <f>SUM(E14:P14)</f>
        <v>18959.065480889334</v>
      </c>
    </row>
    <row r="15" spans="1:18" ht="14.5">
      <c r="A15" s="47" t="str">
        <f>Rent!A15</f>
        <v>TAKA SUSHI</v>
      </c>
      <c r="B15" s="52" t="str">
        <f>Rent!B15</f>
        <v>B-5</v>
      </c>
      <c r="C15" s="71">
        <f>Rent!D15</f>
        <v>1074</v>
      </c>
      <c r="D15" s="72">
        <f t="shared" si="0"/>
        <v>3.8328396559723067E-2</v>
      </c>
      <c r="E15" s="9">
        <f>IF(Rent!F15=0,0,('TENANT CHARGES'!$I11))</f>
        <v>438.11938046465156</v>
      </c>
      <c r="F15" s="9">
        <f>IF(Rent!G15=0,0,('TENANT CHARGES'!$I11))</f>
        <v>438.11938046465156</v>
      </c>
      <c r="G15" s="9">
        <f>IF(Rent!H15=0,0,('TENANT CHARGES'!$I11))</f>
        <v>438.11938046465156</v>
      </c>
      <c r="H15" s="9">
        <f>IF(Rent!I15=0,0,('TENANT CHARGES'!$I11))</f>
        <v>438.11938046465156</v>
      </c>
      <c r="I15" s="9">
        <f>IF(Rent!J15=0,0,('TENANT CHARGES'!$I11))</f>
        <v>438.11938046465156</v>
      </c>
      <c r="J15" s="9">
        <f>IF(Rent!K15=0,0,('TENANT CHARGES'!$I11))</f>
        <v>438.11938046465156</v>
      </c>
      <c r="K15" s="9">
        <f>IF(Rent!L15=0,0,('TENANT CHARGES'!$I11))</f>
        <v>438.11938046465156</v>
      </c>
      <c r="L15" s="9">
        <f>IF(Rent!M15=0,0,('TENANT CHARGES'!$I11))</f>
        <v>438.11938046465156</v>
      </c>
      <c r="M15" s="9">
        <f>IF(Rent!N15=0,0,('TENANT CHARGES'!$I11))</f>
        <v>438.11938046465156</v>
      </c>
      <c r="N15" s="9">
        <f>IF(Rent!O15=0,0,('TENANT CHARGES'!$I11))</f>
        <v>438.11938046465156</v>
      </c>
      <c r="O15" s="9">
        <f>IF(Rent!P15=0,0,('TENANT CHARGES'!$I11))</f>
        <v>438.11938046465156</v>
      </c>
      <c r="P15" s="9">
        <f>IF(Rent!Q15=0,0,('TENANT CHARGES'!$I11))</f>
        <v>438.11938046465156</v>
      </c>
      <c r="Q15" s="70">
        <f t="shared" ref="Q15:Q30" si="1">SUM(E15:P15)</f>
        <v>5257.4325655758184</v>
      </c>
    </row>
    <row r="16" spans="1:18" ht="14.5">
      <c r="A16" s="47" t="str">
        <f>Rent!A16</f>
        <v>KANAKA KAVA</v>
      </c>
      <c r="B16" s="52" t="str">
        <f>Rent!B16</f>
        <v>B-6</v>
      </c>
      <c r="C16" s="71">
        <f>Rent!D16</f>
        <v>200</v>
      </c>
      <c r="D16" s="72">
        <f t="shared" si="0"/>
        <v>7.1375040148460083E-3</v>
      </c>
      <c r="E16" s="9">
        <f>IF(Rent!F16=0,0,('TENANT CHARGES'!$I12))</f>
        <v>81.586476809059874</v>
      </c>
      <c r="F16" s="9">
        <f>IF(Rent!G16=0,0,('TENANT CHARGES'!$I12))</f>
        <v>81.586476809059874</v>
      </c>
      <c r="G16" s="9">
        <f>IF(Rent!H16=0,0,('TENANT CHARGES'!$I12))</f>
        <v>81.586476809059874</v>
      </c>
      <c r="H16" s="9">
        <f>IF(Rent!I16=0,0,('TENANT CHARGES'!$I12))</f>
        <v>81.586476809059874</v>
      </c>
      <c r="I16" s="9">
        <f>IF(Rent!J16=0,0,('TENANT CHARGES'!$I12))</f>
        <v>81.586476809059874</v>
      </c>
      <c r="J16" s="9">
        <f>IF(Rent!K16=0,0,('TENANT CHARGES'!$I12))</f>
        <v>81.586476809059874</v>
      </c>
      <c r="K16" s="9">
        <f>IF(Rent!L16=0,0,('TENANT CHARGES'!$I12))</f>
        <v>81.586476809059874</v>
      </c>
      <c r="L16" s="9">
        <f>IF(Rent!M16=0,0,('TENANT CHARGES'!$I12))</f>
        <v>81.586476809059874</v>
      </c>
      <c r="M16" s="9">
        <f>IF(Rent!N16=0,0,('TENANT CHARGES'!$I12))</f>
        <v>81.586476809059874</v>
      </c>
      <c r="N16" s="9">
        <f>IF(Rent!O16=0,0,('TENANT CHARGES'!$I12))</f>
        <v>81.586476809059874</v>
      </c>
      <c r="O16" s="9">
        <f>IF(Rent!P16=0,0,('TENANT CHARGES'!$I12))</f>
        <v>81.586476809059874</v>
      </c>
      <c r="P16" s="9">
        <f>IF(Rent!Q16=0,0,('TENANT CHARGES'!$I12))</f>
        <v>81.586476809059874</v>
      </c>
      <c r="Q16" s="70">
        <f t="shared" si="1"/>
        <v>979.03772170871832</v>
      </c>
    </row>
    <row r="17" spans="1:18" ht="14.5">
      <c r="A17" s="47" t="str">
        <f>Rent!A17</f>
        <v>GECKO GIRLZ SHAVE ICE SHACK</v>
      </c>
      <c r="B17" s="52" t="str">
        <f>Rent!B17</f>
        <v>C-7</v>
      </c>
      <c r="C17" s="71">
        <f>Rent!D17</f>
        <v>518</v>
      </c>
      <c r="D17" s="72">
        <f t="shared" si="0"/>
        <v>1.8486135398451162E-2</v>
      </c>
      <c r="E17" s="9">
        <f>IF(Rent!F17=0,0,('TENANT CHARGES'!$I13))</f>
        <v>211.30897493546505</v>
      </c>
      <c r="F17" s="9">
        <f>IF(Rent!G17=0,0,('TENANT CHARGES'!$I13))</f>
        <v>211.30897493546505</v>
      </c>
      <c r="G17" s="9">
        <f>IF(Rent!H17=0,0,('TENANT CHARGES'!$I13))</f>
        <v>211.30897493546505</v>
      </c>
      <c r="H17" s="9">
        <f>IF(Rent!I17=0,0,('TENANT CHARGES'!$I13))</f>
        <v>211.30897493546505</v>
      </c>
      <c r="I17" s="9">
        <f>IF(Rent!J17=0,0,('TENANT CHARGES'!$I13))</f>
        <v>211.30897493546505</v>
      </c>
      <c r="J17" s="9">
        <f>IF(Rent!K17=0,0,('TENANT CHARGES'!$I13))</f>
        <v>211.30897493546505</v>
      </c>
      <c r="K17" s="9">
        <f>IF(Rent!L17=0,0,('TENANT CHARGES'!$I13))</f>
        <v>211.30897493546505</v>
      </c>
      <c r="L17" s="9">
        <f>IF(Rent!M17=0,0,('TENANT CHARGES'!$I13))</f>
        <v>211.30897493546505</v>
      </c>
      <c r="M17" s="9">
        <f>IF(Rent!N17=0,0,('TENANT CHARGES'!$I13))</f>
        <v>211.30897493546505</v>
      </c>
      <c r="N17" s="9">
        <f>IF(Rent!O17=0,0,('TENANT CHARGES'!$I13))</f>
        <v>211.30897493546505</v>
      </c>
      <c r="O17" s="9">
        <f>IF(Rent!P17=0,0,('TENANT CHARGES'!$I13))</f>
        <v>211.30897493546505</v>
      </c>
      <c r="P17" s="9">
        <f>IF(Rent!Q17=0,0,('TENANT CHARGES'!$I13))</f>
        <v>211.30897493546505</v>
      </c>
      <c r="Q17" s="70">
        <f t="shared" si="1"/>
        <v>2535.7076992255807</v>
      </c>
    </row>
    <row r="18" spans="1:18" ht="14.5">
      <c r="A18" s="45" t="str">
        <f>Rent!A18</f>
        <v>BIG ISLAND RUNNING CO.</v>
      </c>
      <c r="B18" s="52" t="str">
        <f>Rent!B18</f>
        <v>C-8</v>
      </c>
      <c r="C18" s="71">
        <v>0</v>
      </c>
      <c r="D18" s="72">
        <f t="shared" si="0"/>
        <v>0</v>
      </c>
      <c r="E18" s="9">
        <f>IF(Rent!F18=0,0,('TENANT CHARGES'!$I14))</f>
        <v>0</v>
      </c>
      <c r="F18" s="9">
        <f>IF(Rent!G18=0,0,('TENANT CHARGES'!$I14))</f>
        <v>0</v>
      </c>
      <c r="G18" s="9">
        <f>IF(Rent!H18=0,0,('TENANT CHARGES'!$I14))</f>
        <v>0</v>
      </c>
      <c r="H18" s="9">
        <f>IF(Rent!I18=0,0,('TENANT CHARGES'!$I14))</f>
        <v>0</v>
      </c>
      <c r="I18" s="9">
        <f>IF(Rent!J18=0,0,('TENANT CHARGES'!$I14))</f>
        <v>0</v>
      </c>
      <c r="J18" s="9">
        <f>IF(Rent!K18=0,0,('TENANT CHARGES'!$I14))</f>
        <v>0</v>
      </c>
      <c r="K18" s="9">
        <f>IF(Rent!L18=0,0,('TENANT CHARGES'!$I14))</f>
        <v>0</v>
      </c>
      <c r="L18" s="9">
        <f>IF(Rent!M18=0,0,('TENANT CHARGES'!$I14))</f>
        <v>0</v>
      </c>
      <c r="M18" s="9">
        <f>IF(Rent!N18=0,0,('TENANT CHARGES'!$I14))</f>
        <v>0</v>
      </c>
      <c r="N18" s="9">
        <f>IF(Rent!O18=0,0,('TENANT CHARGES'!$I14))</f>
        <v>0</v>
      </c>
      <c r="O18" s="9">
        <f>IF(Rent!P18=0,0,('TENANT CHARGES'!$I14))</f>
        <v>0</v>
      </c>
      <c r="P18" s="9">
        <f>IF(Rent!Q18=0,0,('TENANT CHARGES'!$I14))</f>
        <v>0</v>
      </c>
      <c r="Q18" s="70">
        <f t="shared" si="1"/>
        <v>0</v>
      </c>
    </row>
    <row r="19" spans="1:18" ht="14.5">
      <c r="A19" s="47" t="str">
        <f>Rent!A19</f>
        <v>CAFE KONA</v>
      </c>
      <c r="B19" s="52" t="str">
        <f>Rent!B19</f>
        <v>D11-12</v>
      </c>
      <c r="C19" s="71">
        <f>Rent!D19</f>
        <v>994</v>
      </c>
      <c r="D19" s="72">
        <f t="shared" si="0"/>
        <v>3.5473394953784661E-2</v>
      </c>
      <c r="E19" s="9">
        <f>IF(Rent!F19=0,0,('TENANT CHARGES'!$I15))</f>
        <v>405.48478974102756</v>
      </c>
      <c r="F19" s="9">
        <f>IF(Rent!G19=0,0,('TENANT CHARGES'!$I15))</f>
        <v>405.48478974102756</v>
      </c>
      <c r="G19" s="9">
        <f>IF(Rent!H19=0,0,('TENANT CHARGES'!$I15))</f>
        <v>405.48478974102756</v>
      </c>
      <c r="H19" s="9">
        <f>IF(Rent!I19=0,0,('TENANT CHARGES'!$I15))</f>
        <v>405.48478974102756</v>
      </c>
      <c r="I19" s="9">
        <f>IF(Rent!J19=0,0,('TENANT CHARGES'!$I15))</f>
        <v>405.48478974102756</v>
      </c>
      <c r="J19" s="9">
        <f>IF(Rent!K19=0,0,('TENANT CHARGES'!$I15))</f>
        <v>405.48478974102756</v>
      </c>
      <c r="K19" s="9">
        <f>IF(Rent!L19=0,0,('TENANT CHARGES'!$I15))</f>
        <v>405.48478974102756</v>
      </c>
      <c r="L19" s="9">
        <f>IF(Rent!M19=0,0,('TENANT CHARGES'!$I15))</f>
        <v>405.48478974102756</v>
      </c>
      <c r="M19" s="9">
        <f>IF(Rent!N19=0,0,('TENANT CHARGES'!$I15))</f>
        <v>405.48478974102756</v>
      </c>
      <c r="N19" s="9">
        <f>IF(Rent!O19=0,0,('TENANT CHARGES'!$I15))</f>
        <v>405.48478974102756</v>
      </c>
      <c r="O19" s="9">
        <f>IF(Rent!P19=0,0,('TENANT CHARGES'!$I15))</f>
        <v>405.48478974102756</v>
      </c>
      <c r="P19" s="9">
        <f>IF(Rent!Q19=0,0,('TENANT CHARGES'!$I15))</f>
        <v>405.48478974102756</v>
      </c>
      <c r="Q19" s="70">
        <f t="shared" si="1"/>
        <v>4865.8174768923309</v>
      </c>
    </row>
    <row r="20" spans="1:18" ht="14.5">
      <c r="A20" s="45" t="str">
        <f>Rent!A20</f>
        <v>LUCASIE LTD</v>
      </c>
      <c r="B20" s="52" t="str">
        <f>Rent!B20</f>
        <v>D9-D10</v>
      </c>
      <c r="C20" s="71">
        <v>0</v>
      </c>
      <c r="D20" s="72">
        <f t="shared" si="0"/>
        <v>0</v>
      </c>
      <c r="E20" s="9">
        <f>IF(Rent!F20=0,0,('TENANT CHARGES'!$I17))</f>
        <v>0</v>
      </c>
      <c r="F20" s="9">
        <f>IF(Rent!G20=0,0,('TENANT CHARGES'!$I17))</f>
        <v>0</v>
      </c>
      <c r="G20" s="9">
        <f>IF(Rent!H20=0,0,('TENANT CHARGES'!$I17))</f>
        <v>0</v>
      </c>
      <c r="H20" s="9">
        <f>IF(Rent!I20=0,0,('TENANT CHARGES'!$I17))</f>
        <v>0</v>
      </c>
      <c r="I20" s="9">
        <f>IF(Rent!J20=0,0,('TENANT CHARGES'!$I17))</f>
        <v>0</v>
      </c>
      <c r="J20" s="9">
        <f>IF(Rent!K20=0,0,('TENANT CHARGES'!$I17))</f>
        <v>0</v>
      </c>
      <c r="K20" s="9">
        <f>IF(Rent!L20=0,0,('TENANT CHARGES'!$I17))</f>
        <v>0</v>
      </c>
      <c r="L20" s="9">
        <f>IF(Rent!M20=0,0,('TENANT CHARGES'!$I17))</f>
        <v>0</v>
      </c>
      <c r="M20" s="9">
        <f>IF(Rent!N20=0,0,('TENANT CHARGES'!$I17))</f>
        <v>0</v>
      </c>
      <c r="N20" s="9">
        <f>IF(Rent!O20=0,0,('TENANT CHARGES'!$I17))</f>
        <v>0</v>
      </c>
      <c r="O20" s="9">
        <f>IF(Rent!P20=0,0,('TENANT CHARGES'!$I17))</f>
        <v>0</v>
      </c>
      <c r="P20" s="9">
        <f>IF(Rent!Q20=0,0,('TENANT CHARGES'!$I17))</f>
        <v>0</v>
      </c>
      <c r="Q20" s="70">
        <f t="shared" si="1"/>
        <v>0</v>
      </c>
    </row>
    <row r="21" spans="1:18" ht="14.5">
      <c r="A21" s="47" t="str">
        <f>Rent!A21</f>
        <v>FOSTERS KITCHEN</v>
      </c>
      <c r="B21" s="52" t="str">
        <f>Rent!B21</f>
        <v>DU-1</v>
      </c>
      <c r="C21" s="71">
        <f>Rent!D21</f>
        <v>3526</v>
      </c>
      <c r="D21" s="72">
        <f t="shared" si="0"/>
        <v>0.12583419578173513</v>
      </c>
      <c r="E21" s="9">
        <f>IF(Rent!F21=0,0,('TENANT CHARGES'!$I18))</f>
        <v>1438.3695861437254</v>
      </c>
      <c r="F21" s="9">
        <f>IF(Rent!G21=0,0,('TENANT CHARGES'!$I18))</f>
        <v>1438.3695861437254</v>
      </c>
      <c r="G21" s="9">
        <f>IF(Rent!H21=0,0,('TENANT CHARGES'!$I18))</f>
        <v>1438.3695861437254</v>
      </c>
      <c r="H21" s="9">
        <f>IF(Rent!I21=0,0,('TENANT CHARGES'!$I18))</f>
        <v>1438.3695861437254</v>
      </c>
      <c r="I21" s="9">
        <f>IF(Rent!J21=0,0,('TENANT CHARGES'!$I18))</f>
        <v>1438.3695861437254</v>
      </c>
      <c r="J21" s="9">
        <f>IF(Rent!K21=0,0,('TENANT CHARGES'!$I18))</f>
        <v>1438.3695861437254</v>
      </c>
      <c r="K21" s="9">
        <f>IF(Rent!L21=0,0,('TENANT CHARGES'!$I18))</f>
        <v>1438.3695861437254</v>
      </c>
      <c r="L21" s="9">
        <f>IF(Rent!M21=0,0,('TENANT CHARGES'!$I18))</f>
        <v>1438.3695861437254</v>
      </c>
      <c r="M21" s="9">
        <f>IF(Rent!N21=0,0,('TENANT CHARGES'!$I18))</f>
        <v>1438.3695861437254</v>
      </c>
      <c r="N21" s="9">
        <f>IF(Rent!O21=0,0,('TENANT CHARGES'!$I18))</f>
        <v>1438.3695861437254</v>
      </c>
      <c r="O21" s="9">
        <f>IF(Rent!P21=0,0,('TENANT CHARGES'!$I18))</f>
        <v>1438.3695861437254</v>
      </c>
      <c r="P21" s="9">
        <f>IF(Rent!Q21=0,0,('TENANT CHARGES'!$I18))</f>
        <v>1438.3695861437254</v>
      </c>
      <c r="Q21" s="70">
        <f t="shared" si="1"/>
        <v>17260.435033724709</v>
      </c>
    </row>
    <row r="22" spans="1:18" ht="14.5">
      <c r="A22" s="483" t="str">
        <f>Rent!A22</f>
        <v>HUMPYS BIG ISLAND ALEHOUSE</v>
      </c>
      <c r="B22" s="443" t="str">
        <f>Rent!B22</f>
        <v>E</v>
      </c>
      <c r="C22" s="444">
        <f>Rent!D22</f>
        <v>10736</v>
      </c>
      <c r="D22" s="445">
        <f t="shared" si="0"/>
        <v>0.38314121551693375</v>
      </c>
      <c r="E22" s="253">
        <v>0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f>IF(Rent!N22=0,0,('TENANT CHARGES'!$I19))</f>
        <v>4379.5620751103343</v>
      </c>
      <c r="N22" s="253">
        <f>IF(Rent!O22=0,0,('TENANT CHARGES'!$I19))</f>
        <v>4379.5620751103343</v>
      </c>
      <c r="O22" s="253">
        <f>IF(Rent!P22=0,0,('TENANT CHARGES'!$I19))</f>
        <v>4379.5620751103343</v>
      </c>
      <c r="P22" s="253">
        <f>IF(Rent!Q22=0,0,('TENANT CHARGES'!$I19))</f>
        <v>4379.5620751103343</v>
      </c>
      <c r="Q22" s="446">
        <f t="shared" si="1"/>
        <v>17518.248300441337</v>
      </c>
      <c r="R22" s="440" t="s">
        <v>533</v>
      </c>
    </row>
    <row r="23" spans="1:18" ht="14.5">
      <c r="A23" s="45" t="str">
        <f>Rent!A23</f>
        <v>ABC STORE #75</v>
      </c>
      <c r="B23" s="52" t="str">
        <f>Rent!B23</f>
        <v>F15,17&amp;A8</v>
      </c>
      <c r="C23" s="71">
        <v>0</v>
      </c>
      <c r="D23" s="72">
        <f t="shared" si="0"/>
        <v>0</v>
      </c>
      <c r="E23" s="9">
        <f>IF(Rent!F23=0,0,('TENANT CHARGES'!$I20))</f>
        <v>0</v>
      </c>
      <c r="F23" s="9">
        <f>IF(Rent!G23=0,0,('TENANT CHARGES'!$I20))</f>
        <v>0</v>
      </c>
      <c r="G23" s="9">
        <f>IF(Rent!H23=0,0,('TENANT CHARGES'!$I20))</f>
        <v>0</v>
      </c>
      <c r="H23" s="9">
        <f>IF(Rent!I23=0,0,('TENANT CHARGES'!$I20))</f>
        <v>0</v>
      </c>
      <c r="I23" s="9">
        <f>IF(Rent!J23=0,0,('TENANT CHARGES'!$I20))</f>
        <v>0</v>
      </c>
      <c r="J23" s="9">
        <f>IF(Rent!K23=0,0,('TENANT CHARGES'!$I20))</f>
        <v>0</v>
      </c>
      <c r="K23" s="9">
        <f>IF(Rent!L23=0,0,('TENANT CHARGES'!$I20))</f>
        <v>0</v>
      </c>
      <c r="L23" s="9">
        <f>IF(Rent!M23=0,0,('TENANT CHARGES'!$I20))</f>
        <v>0</v>
      </c>
      <c r="M23" s="9">
        <f>IF(Rent!N23=0,0,('TENANT CHARGES'!$I20))</f>
        <v>0</v>
      </c>
      <c r="N23" s="9">
        <f>IF(Rent!O23=0,0,('TENANT CHARGES'!$I20))</f>
        <v>0</v>
      </c>
      <c r="O23" s="9">
        <f>IF(Rent!P23=0,0,('TENANT CHARGES'!$I20))</f>
        <v>0</v>
      </c>
      <c r="P23" s="9">
        <f>IF(Rent!Q23=0,0,('TENANT CHARGES'!$I20))</f>
        <v>0</v>
      </c>
      <c r="Q23" s="70">
        <f t="shared" si="1"/>
        <v>0</v>
      </c>
    </row>
    <row r="24" spans="1:18" ht="14.5">
      <c r="A24" s="47" t="str">
        <f>Rent!A24</f>
        <v>GYPSEA GALATO</v>
      </c>
      <c r="B24" s="52" t="str">
        <f>Rent!B24</f>
        <v>F-16</v>
      </c>
      <c r="C24" s="71">
        <f>Rent!D24</f>
        <v>500</v>
      </c>
      <c r="D24" s="72">
        <f t="shared" si="0"/>
        <v>1.784376003711502E-2</v>
      </c>
      <c r="E24" s="9">
        <f>IF(Rent!F24=0,0,('TENANT CHARGES'!$I21))</f>
        <v>203.96619202264969</v>
      </c>
      <c r="F24" s="9">
        <f>IF(Rent!G24=0,0,('TENANT CHARGES'!$I21))</f>
        <v>203.96619202264969</v>
      </c>
      <c r="G24" s="9">
        <f>IF(Rent!H24=0,0,('TENANT CHARGES'!$I21))</f>
        <v>203.96619202264969</v>
      </c>
      <c r="H24" s="9">
        <f>IF(Rent!I24=0,0,('TENANT CHARGES'!$I21))</f>
        <v>203.96619202264969</v>
      </c>
      <c r="I24" s="9">
        <f>IF(Rent!J24=0,0,('TENANT CHARGES'!$I21))</f>
        <v>203.96619202264969</v>
      </c>
      <c r="J24" s="9">
        <f>IF(Rent!K24=0,0,('TENANT CHARGES'!$I21))</f>
        <v>203.96619202264969</v>
      </c>
      <c r="K24" s="9">
        <f>IF(Rent!L24=0,0,('TENANT CHARGES'!$I21))</f>
        <v>203.96619202264969</v>
      </c>
      <c r="L24" s="9">
        <f>IF(Rent!M24=0,0,('TENANT CHARGES'!$I21))</f>
        <v>203.96619202264969</v>
      </c>
      <c r="M24" s="9">
        <f>IF(Rent!N24=0,0,('TENANT CHARGES'!$I21))</f>
        <v>203.96619202264969</v>
      </c>
      <c r="N24" s="9">
        <f>IF(Rent!O24=0,0,('TENANT CHARGES'!$I21))</f>
        <v>203.96619202264969</v>
      </c>
      <c r="O24" s="9">
        <f>IF(Rent!P24=0,0,('TENANT CHARGES'!$I21))</f>
        <v>203.96619202264969</v>
      </c>
      <c r="P24" s="9">
        <f>IF(Rent!Q24=0,0,('TENANT CHARGES'!$I21))</f>
        <v>203.96619202264969</v>
      </c>
      <c r="Q24" s="70">
        <f t="shared" si="1"/>
        <v>2447.5943042717963</v>
      </c>
    </row>
    <row r="25" spans="1:18" ht="14.5">
      <c r="A25" s="47" t="str">
        <f>Rent!A25</f>
        <v>OCEANS SPORTS BAR AND GRILL</v>
      </c>
      <c r="B25" s="52" t="str">
        <f>Rent!B25</f>
        <v>G</v>
      </c>
      <c r="C25" s="71">
        <f>Rent!D25</f>
        <v>2896</v>
      </c>
      <c r="D25" s="72">
        <f t="shared" si="0"/>
        <v>0.1033510581349702</v>
      </c>
      <c r="E25" s="9">
        <f>IF(Rent!F25=0,0,('TENANT CHARGES'!$I22))</f>
        <v>1181.3721841951869</v>
      </c>
      <c r="F25" s="9">
        <f>IF(Rent!G25=0,0,('TENANT CHARGES'!$I22))</f>
        <v>1181.3721841951869</v>
      </c>
      <c r="G25" s="9">
        <f>IF(Rent!H25=0,0,('TENANT CHARGES'!$I22))</f>
        <v>1181.3721841951869</v>
      </c>
      <c r="H25" s="9">
        <f>IF(Rent!I25=0,0,('TENANT CHARGES'!$I22))</f>
        <v>1181.3721841951869</v>
      </c>
      <c r="I25" s="9">
        <f>IF(Rent!J25=0,0,('TENANT CHARGES'!$I22))</f>
        <v>1181.3721841951869</v>
      </c>
      <c r="J25" s="9">
        <f>IF(Rent!K25=0,0,('TENANT CHARGES'!$I22))</f>
        <v>1181.3721841951869</v>
      </c>
      <c r="K25" s="9">
        <f>IF(Rent!L25=0,0,('TENANT CHARGES'!$I22))</f>
        <v>1181.3721841951869</v>
      </c>
      <c r="L25" s="9">
        <f>IF(Rent!M25=0,0,('TENANT CHARGES'!$I22))</f>
        <v>1181.3721841951869</v>
      </c>
      <c r="M25" s="9">
        <f>IF(Rent!N25=0,0,('TENANT CHARGES'!$I22))</f>
        <v>1181.3721841951869</v>
      </c>
      <c r="N25" s="9">
        <f>IF(Rent!O25=0,0,('TENANT CHARGES'!$I22))</f>
        <v>1181.3721841951869</v>
      </c>
      <c r="O25" s="9">
        <f>IF(Rent!P25=0,0,('TENANT CHARGES'!$I22))</f>
        <v>1181.3721841951869</v>
      </c>
      <c r="P25" s="9">
        <f>IF(Rent!Q25=0,0,('TENANT CHARGES'!$I22))</f>
        <v>1181.3721841951869</v>
      </c>
      <c r="Q25" s="70">
        <f t="shared" si="1"/>
        <v>14176.46621034224</v>
      </c>
    </row>
    <row r="26" spans="1:18" ht="14.5">
      <c r="A26" s="45" t="str">
        <f>Rent!A26</f>
        <v>JACKS DIVE LOCKER</v>
      </c>
      <c r="B26" s="52" t="str">
        <f>Rent!B26</f>
        <v>H</v>
      </c>
      <c r="C26" s="71">
        <v>0</v>
      </c>
      <c r="D26" s="72">
        <f t="shared" si="0"/>
        <v>0</v>
      </c>
      <c r="E26" s="9">
        <f>IF(Rent!F26=0,0,('TENANT CHARGES'!$I23))</f>
        <v>0</v>
      </c>
      <c r="F26" s="9">
        <f>IF(Rent!G26=0,0,('TENANT CHARGES'!$I23))</f>
        <v>0</v>
      </c>
      <c r="G26" s="9">
        <f>IF(Rent!H26=0,0,('TENANT CHARGES'!$I23))</f>
        <v>0</v>
      </c>
      <c r="H26" s="9">
        <f>IF(Rent!I26=0,0,('TENANT CHARGES'!$I23))</f>
        <v>0</v>
      </c>
      <c r="I26" s="9">
        <f>IF(Rent!J26=0,0,('TENANT CHARGES'!$I23))</f>
        <v>0</v>
      </c>
      <c r="J26" s="9">
        <f>IF(Rent!K26=0,0,('TENANT CHARGES'!$I23))</f>
        <v>0</v>
      </c>
      <c r="K26" s="9">
        <f>IF(Rent!L26=0,0,('TENANT CHARGES'!$I23))</f>
        <v>0</v>
      </c>
      <c r="L26" s="9">
        <f>IF(Rent!M26=0,0,('TENANT CHARGES'!$I23))</f>
        <v>0</v>
      </c>
      <c r="M26" s="9">
        <f>IF(Rent!N26=0,0,('TENANT CHARGES'!$I23))</f>
        <v>0</v>
      </c>
      <c r="N26" s="9">
        <f>IF(Rent!O26=0,0,('TENANT CHARGES'!$I23))</f>
        <v>0</v>
      </c>
      <c r="O26" s="9">
        <f>IF(Rent!P26=0,0,('TENANT CHARGES'!$I23))</f>
        <v>0</v>
      </c>
      <c r="P26" s="9">
        <f>IF(Rent!Q26=0,0,('TENANT CHARGES'!$I23))</f>
        <v>0</v>
      </c>
      <c r="Q26" s="70">
        <f t="shared" si="1"/>
        <v>0</v>
      </c>
    </row>
    <row r="27" spans="1:18" ht="14.5">
      <c r="A27" s="47" t="str">
        <f>Rent!A27</f>
        <v>QPOT</v>
      </c>
      <c r="B27" s="52" t="str">
        <f>Rent!B27</f>
        <v>I</v>
      </c>
      <c r="C27" s="444"/>
      <c r="D27" s="72">
        <f t="shared" si="0"/>
        <v>0</v>
      </c>
      <c r="E27" s="9">
        <f>IF(Rent!F27=0,0,('TENANT CHARGES'!$I24))</f>
        <v>0</v>
      </c>
      <c r="F27" s="9">
        <f>IF(Rent!G27=0,0,('TENANT CHARGES'!$I24))</f>
        <v>0</v>
      </c>
      <c r="G27" s="9">
        <f>IF(Rent!H27=0,0,('TENANT CHARGES'!$I24))</f>
        <v>0</v>
      </c>
      <c r="H27" s="9">
        <f>IF(Rent!I27=0,0,('TENANT CHARGES'!$I24))</f>
        <v>0</v>
      </c>
      <c r="I27" s="9">
        <f>IF(Rent!J27=0,0,('TENANT CHARGES'!$I24))</f>
        <v>0</v>
      </c>
      <c r="J27" s="9">
        <f>IF(Rent!K27=0,0,('TENANT CHARGES'!$I24))</f>
        <v>0</v>
      </c>
      <c r="K27" s="9">
        <f>IF(Rent!L27=0,0,('TENANT CHARGES'!$I24))</f>
        <v>2651.5604962944458</v>
      </c>
      <c r="L27" s="9">
        <f>IF(Rent!M27=0,0,('TENANT CHARGES'!$I24))</f>
        <v>2651.5604962944458</v>
      </c>
      <c r="M27" s="9">
        <f>IF(Rent!N27=0,0,('TENANT CHARGES'!$I24))</f>
        <v>2651.5604962944458</v>
      </c>
      <c r="N27" s="9">
        <f>IF(Rent!O27=0,0,('TENANT CHARGES'!$I24))</f>
        <v>2651.5604962944458</v>
      </c>
      <c r="O27" s="9">
        <f>IF(Rent!P27=0,0,('TENANT CHARGES'!$I24))</f>
        <v>2651.5604962944458</v>
      </c>
      <c r="P27" s="9">
        <f>IF(Rent!Q27=0,0,('TENANT CHARGES'!$I24))</f>
        <v>2651.5604962944458</v>
      </c>
      <c r="Q27" s="70">
        <f t="shared" si="1"/>
        <v>15909.362977766674</v>
      </c>
    </row>
    <row r="28" spans="1:18" ht="14.5">
      <c r="A28" s="47" t="str">
        <f>Rent!A28</f>
        <v>BOWLS SUPERFOODS &amp; ORALE TACOS</v>
      </c>
      <c r="B28" s="52" t="str">
        <f>Rent!B28</f>
        <v>PC-1&amp;2</v>
      </c>
      <c r="C28" s="444"/>
      <c r="D28" s="72">
        <f t="shared" si="0"/>
        <v>0</v>
      </c>
      <c r="E28" s="9">
        <f>IF(Rent!F28=0,0,('TENANT CHARGES'!$I25))</f>
        <v>0</v>
      </c>
      <c r="F28" s="9">
        <f>IF(Rent!G28=0,0,('TENANT CHARGES'!$I25))</f>
        <v>0</v>
      </c>
      <c r="G28" s="9">
        <f>IF(Rent!H28=0,0,('TENANT CHARGES'!$I25))</f>
        <v>0</v>
      </c>
      <c r="H28" s="9">
        <f>IF(Rent!I28=0,0,('TENANT CHARGES'!$I25))</f>
        <v>0</v>
      </c>
      <c r="I28" s="9">
        <f>IF(Rent!J28=0,0,('TENANT CHARGES'!$I25))</f>
        <v>0</v>
      </c>
      <c r="J28" s="9">
        <f>IF(Rent!K28=0,0,('TENANT CHARGES'!$I25))</f>
        <v>0</v>
      </c>
      <c r="K28" s="9">
        <f>IF(Rent!L28=0,0,('TENANT CHARGES'!$I25))</f>
        <v>0</v>
      </c>
      <c r="L28" s="9">
        <f>IF(Rent!M28=0,0,('TENANT CHARGES'!$I25))</f>
        <v>0</v>
      </c>
      <c r="M28" s="9">
        <f>IF(Rent!N28=0,0,('TENANT CHARGES'!$I25))</f>
        <v>0</v>
      </c>
      <c r="N28" s="9">
        <f>IF(Rent!O28=0,0,('TENANT CHARGES'!$I25))</f>
        <v>0</v>
      </c>
      <c r="O28" s="9">
        <f>IF(Rent!P28=0,0,('TENANT CHARGES'!$I25))</f>
        <v>0</v>
      </c>
      <c r="P28" s="9">
        <f>IF(Rent!Q28=0,0,('TENANT CHARGES'!$I25))</f>
        <v>0</v>
      </c>
      <c r="Q28" s="70">
        <f t="shared" si="1"/>
        <v>0</v>
      </c>
    </row>
    <row r="29" spans="1:18" ht="14.5">
      <c r="A29" s="45" t="str">
        <f>Rent!A29</f>
        <v>KONA GEAR INC.</v>
      </c>
      <c r="B29" s="52" t="str">
        <f>Rent!B29</f>
        <v>PC 3&amp;4</v>
      </c>
      <c r="C29" s="71">
        <v>0</v>
      </c>
      <c r="D29" s="72">
        <f t="shared" si="0"/>
        <v>0</v>
      </c>
      <c r="E29" s="9">
        <f>IF(Rent!F29=0,0,('TENANT CHARGES'!$I26))</f>
        <v>0</v>
      </c>
      <c r="F29" s="9">
        <f>IF(Rent!G29=0,0,('TENANT CHARGES'!$I26))</f>
        <v>0</v>
      </c>
      <c r="G29" s="9">
        <f>IF(Rent!H29=0,0,('TENANT CHARGES'!$I26))</f>
        <v>0</v>
      </c>
      <c r="H29" s="9">
        <f>IF(Rent!I29=0,0,('TENANT CHARGES'!$I26))</f>
        <v>0</v>
      </c>
      <c r="I29" s="9">
        <f>IF(Rent!J29=0,0,('TENANT CHARGES'!$I26))</f>
        <v>0</v>
      </c>
      <c r="J29" s="9">
        <f>IF(Rent!K29=0,0,('TENANT CHARGES'!$I26))</f>
        <v>0</v>
      </c>
      <c r="K29" s="9">
        <f>IF(Rent!L29=0,0,('TENANT CHARGES'!$I26))</f>
        <v>0</v>
      </c>
      <c r="L29" s="9">
        <f>IF(Rent!M29=0,0,('TENANT CHARGES'!$I26))</f>
        <v>0</v>
      </c>
      <c r="M29" s="9">
        <f>IF(Rent!N29=0,0,('TENANT CHARGES'!$I26))</f>
        <v>0</v>
      </c>
      <c r="N29" s="9">
        <f>IF(Rent!O29=0,0,('TENANT CHARGES'!$I26))</f>
        <v>0</v>
      </c>
      <c r="O29" s="9">
        <f>IF(Rent!P29=0,0,('TENANT CHARGES'!$I26))</f>
        <v>0</v>
      </c>
      <c r="P29" s="9">
        <f>IF(Rent!Q29=0,0,('TENANT CHARGES'!$I26))</f>
        <v>0</v>
      </c>
      <c r="Q29" s="70">
        <f t="shared" si="1"/>
        <v>0</v>
      </c>
    </row>
    <row r="30" spans="1:18" ht="14.5">
      <c r="A30" s="47" t="str">
        <f>Rent!A30</f>
        <v>LAVERNES</v>
      </c>
      <c r="B30" s="52" t="str">
        <f>Rent!B30</f>
        <v>PC/U1</v>
      </c>
      <c r="C30" s="71">
        <f>Rent!D30</f>
        <v>3704</v>
      </c>
      <c r="D30" s="72">
        <f t="shared" si="0"/>
        <v>0.13218657435494807</v>
      </c>
      <c r="E30" s="9">
        <f>IF(Rent!F30=0,0,('TENANT CHARGES'!$I27))</f>
        <v>1510.9815505037889</v>
      </c>
      <c r="F30" s="9">
        <f>IF(Rent!G30=0,0,('TENANT CHARGES'!$I27))</f>
        <v>1510.9815505037889</v>
      </c>
      <c r="G30" s="9">
        <f>IF(Rent!H30=0,0,('TENANT CHARGES'!$I27))</f>
        <v>1510.9815505037889</v>
      </c>
      <c r="H30" s="9">
        <f>IF(Rent!I30=0,0,('TENANT CHARGES'!$I27))</f>
        <v>1510.9815505037889</v>
      </c>
      <c r="I30" s="9">
        <f>IF(Rent!J30=0,0,('TENANT CHARGES'!$I27))</f>
        <v>1510.9815505037889</v>
      </c>
      <c r="J30" s="9">
        <f>IF(Rent!K30=0,0,('TENANT CHARGES'!$I27))</f>
        <v>1510.9815505037889</v>
      </c>
      <c r="K30" s="9">
        <f>IF(Rent!L30=0,0,('TENANT CHARGES'!$I27))</f>
        <v>1510.9815505037889</v>
      </c>
      <c r="L30" s="9">
        <f>IF(Rent!M30=0,0,('TENANT CHARGES'!$I27))</f>
        <v>1510.9815505037889</v>
      </c>
      <c r="M30" s="9">
        <f>IF(Rent!N30=0,0,('TENANT CHARGES'!$I27))</f>
        <v>1510.9815505037889</v>
      </c>
      <c r="N30" s="9">
        <f>IF(Rent!O30=0,0,('TENANT CHARGES'!$I27))</f>
        <v>1510.9815505037889</v>
      </c>
      <c r="O30" s="9">
        <f>IF(Rent!P30=0,0,('TENANT CHARGES'!$I27))</f>
        <v>1510.9815505037889</v>
      </c>
      <c r="P30" s="9">
        <f>IF(Rent!Q30=0,0,('TENANT CHARGES'!$I27))</f>
        <v>1510.9815505037889</v>
      </c>
      <c r="Q30" s="70">
        <f t="shared" si="1"/>
        <v>18131.778606045467</v>
      </c>
    </row>
    <row r="31" spans="1:18">
      <c r="C31" s="56"/>
      <c r="D31" s="72" t="s">
        <v>14</v>
      </c>
      <c r="E31" s="57" t="s">
        <v>14</v>
      </c>
      <c r="F31" s="57" t="s">
        <v>14</v>
      </c>
      <c r="G31" s="57" t="s">
        <v>14</v>
      </c>
      <c r="H31" s="57" t="s">
        <v>14</v>
      </c>
      <c r="I31" s="57" t="s">
        <v>14</v>
      </c>
      <c r="J31" s="57" t="s">
        <v>14</v>
      </c>
      <c r="K31" s="57" t="s">
        <v>14</v>
      </c>
      <c r="L31" s="57" t="s">
        <v>14</v>
      </c>
      <c r="M31" s="57" t="s">
        <v>14</v>
      </c>
      <c r="N31" s="57" t="s">
        <v>14</v>
      </c>
      <c r="O31" s="57" t="s">
        <v>14</v>
      </c>
      <c r="P31" s="57" t="s">
        <v>14</v>
      </c>
      <c r="Q31" s="57" t="s">
        <v>14</v>
      </c>
    </row>
    <row r="33" spans="1:17">
      <c r="A33" s="204" t="s">
        <v>437</v>
      </c>
      <c r="B33" s="311"/>
      <c r="C33" s="295">
        <f>SUM(C14:C32)</f>
        <v>28021</v>
      </c>
      <c r="D33" s="319">
        <f>SUM(D14:D32)</f>
        <v>1</v>
      </c>
      <c r="E33" s="296">
        <f>SUM(E14:E32)</f>
        <v>7051.1112582229989</v>
      </c>
      <c r="F33" s="296">
        <f t="shared" ref="F33:P33" si="2">SUM(F14:F32)</f>
        <v>7051.1112582229989</v>
      </c>
      <c r="G33" s="296">
        <f t="shared" si="2"/>
        <v>7051.1112582229989</v>
      </c>
      <c r="H33" s="296">
        <f t="shared" si="2"/>
        <v>7051.1112582229989</v>
      </c>
      <c r="I33" s="296">
        <f t="shared" si="2"/>
        <v>7051.1112582229989</v>
      </c>
      <c r="J33" s="296">
        <f t="shared" si="2"/>
        <v>7051.1112582229989</v>
      </c>
      <c r="K33" s="296">
        <f t="shared" si="2"/>
        <v>9702.6717545174452</v>
      </c>
      <c r="L33" s="296">
        <f t="shared" si="2"/>
        <v>9702.6717545174452</v>
      </c>
      <c r="M33" s="296">
        <f t="shared" si="2"/>
        <v>14082.233829627779</v>
      </c>
      <c r="N33" s="296">
        <f t="shared" si="2"/>
        <v>14082.233829627779</v>
      </c>
      <c r="O33" s="296">
        <f t="shared" si="2"/>
        <v>14082.233829627779</v>
      </c>
      <c r="P33" s="296">
        <f t="shared" si="2"/>
        <v>14082.233829627779</v>
      </c>
      <c r="Q33" s="297">
        <f>SUM(Q14:Q32)</f>
        <v>118040.94637688402</v>
      </c>
    </row>
    <row r="34" spans="1:17">
      <c r="A34" s="298"/>
      <c r="B34" s="300"/>
      <c r="C34" s="301"/>
      <c r="D34" s="301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1"/>
    </row>
    <row r="35" spans="1:17">
      <c r="C35" s="67"/>
      <c r="D35" s="6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3" t="s">
        <v>553</v>
      </c>
      <c r="P35" s="74"/>
      <c r="Q35" s="61">
        <f>Summ.!O89</f>
        <v>137168.08000000002</v>
      </c>
    </row>
    <row r="36" spans="1:17"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75" t="s">
        <v>535</v>
      </c>
      <c r="P36" s="63"/>
      <c r="Q36" s="76">
        <f>Q33/Q35</f>
        <v>0.86055696322995856</v>
      </c>
    </row>
    <row r="37" spans="1:17">
      <c r="P37" s="56"/>
      <c r="Q37" s="56"/>
    </row>
    <row r="38" spans="1:17">
      <c r="P38" s="56"/>
      <c r="Q38" s="56"/>
    </row>
    <row r="39" spans="1:17">
      <c r="A39" s="394" t="s">
        <v>554</v>
      </c>
      <c r="Q39" s="66"/>
    </row>
  </sheetData>
  <mergeCells count="5">
    <mergeCell ref="A2:Q2"/>
    <mergeCell ref="A3:Q3"/>
    <mergeCell ref="A4:Q4"/>
    <mergeCell ref="A5:Q5"/>
    <mergeCell ref="A6:Q6"/>
  </mergeCells>
  <pageMargins left="0.7" right="0.7" top="0.75" bottom="0.75" header="0.3" footer="0.3"/>
  <pageSetup paperSize="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6"/>
  <sheetViews>
    <sheetView topLeftCell="A9" zoomScale="85" zoomScaleNormal="85" workbookViewId="0">
      <selection activeCell="E9" sqref="E9"/>
    </sheetView>
  </sheetViews>
  <sheetFormatPr defaultColWidth="9.26953125" defaultRowHeight="13"/>
  <cols>
    <col min="1" max="1" width="38.26953125" style="45" customWidth="1"/>
    <col min="2" max="2" width="9.26953125" style="45"/>
    <col min="3" max="3" width="11" style="45" customWidth="1"/>
    <col min="4" max="16" width="9.7265625" style="45" customWidth="1"/>
    <col min="17" max="17" width="11.54296875" style="45" bestFit="1" customWidth="1"/>
    <col min="18" max="16384" width="9.26953125" style="45"/>
  </cols>
  <sheetData>
    <row r="1" spans="1:18" ht="14.5">
      <c r="P1" s="2" t="str">
        <f>Summ.!R1</f>
        <v>Date Revised:</v>
      </c>
      <c r="Q1" s="3" t="e">
        <f>Summ.!#REF!</f>
        <v>#REF!</v>
      </c>
      <c r="R1" s="45">
        <f>Summ.!T1</f>
        <v>0</v>
      </c>
    </row>
    <row r="2" spans="1:18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8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8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8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</row>
    <row r="6" spans="1:18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</row>
    <row r="7" spans="1:18">
      <c r="H7" s="46"/>
    </row>
    <row r="8" spans="1:18">
      <c r="A8" s="200"/>
      <c r="B8" s="200"/>
      <c r="C8" s="203"/>
      <c r="D8" s="165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8">
      <c r="A9" s="166" t="s">
        <v>120</v>
      </c>
      <c r="B9" s="166" t="s">
        <v>434</v>
      </c>
      <c r="C9" s="204" t="s">
        <v>348</v>
      </c>
      <c r="D9" s="204" t="s">
        <v>531</v>
      </c>
      <c r="E9" s="166" t="s">
        <v>1</v>
      </c>
      <c r="F9" s="166" t="s">
        <v>2</v>
      </c>
      <c r="G9" s="166" t="s">
        <v>3</v>
      </c>
      <c r="H9" s="166" t="s">
        <v>4</v>
      </c>
      <c r="I9" s="166" t="s">
        <v>5</v>
      </c>
      <c r="J9" s="166" t="s">
        <v>6</v>
      </c>
      <c r="K9" s="166" t="s">
        <v>7</v>
      </c>
      <c r="L9" s="166" t="s">
        <v>8</v>
      </c>
      <c r="M9" s="166" t="s">
        <v>123</v>
      </c>
      <c r="N9" s="166" t="s">
        <v>124</v>
      </c>
      <c r="O9" s="166" t="s">
        <v>125</v>
      </c>
      <c r="P9" s="166" t="s">
        <v>126</v>
      </c>
      <c r="Q9" s="166" t="s">
        <v>437</v>
      </c>
    </row>
    <row r="10" spans="1:18">
      <c r="A10" s="202"/>
      <c r="B10" s="168" t="s">
        <v>438</v>
      </c>
      <c r="C10" s="205" t="s">
        <v>439</v>
      </c>
      <c r="D10" s="168" t="s">
        <v>532</v>
      </c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2" spans="1:18">
      <c r="A12" s="51" t="s">
        <v>135</v>
      </c>
    </row>
    <row r="13" spans="1:18">
      <c r="A13" s="47"/>
      <c r="C13" s="71"/>
      <c r="D13" s="71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1:18" ht="14.5">
      <c r="A14" s="45" t="str">
        <f>Rent!A14</f>
        <v xml:space="preserve">ISLAND LAVA JAVA </v>
      </c>
      <c r="B14" s="52" t="str">
        <f>Rent!B14</f>
        <v>A 1-4</v>
      </c>
      <c r="C14" s="71">
        <f>Rent!D14</f>
        <v>3873</v>
      </c>
      <c r="D14" s="72">
        <f>C14/$C$33</f>
        <v>7.5854910102236675E-2</v>
      </c>
      <c r="E14" s="9">
        <f>IF(Rent!F14=0,0,('TENANT CHARGES'!$L10))</f>
        <v>500</v>
      </c>
      <c r="F14" s="9">
        <f>IF(Rent!G14=0,0,('TENANT CHARGES'!$L10))</f>
        <v>500</v>
      </c>
      <c r="G14" s="9">
        <f>IF(Rent!H14=0,0,('TENANT CHARGES'!$L10))</f>
        <v>500</v>
      </c>
      <c r="H14" s="9">
        <f>IF(Rent!I14=0,0,('TENANT CHARGES'!$L10))</f>
        <v>500</v>
      </c>
      <c r="I14" s="9">
        <f>IF(Rent!J14=0,0,('TENANT CHARGES'!$L10))</f>
        <v>500</v>
      </c>
      <c r="J14" s="9">
        <f>IF(Rent!K14=0,0,('TENANT CHARGES'!$L10))</f>
        <v>500</v>
      </c>
      <c r="K14" s="9">
        <f>IF(Rent!L14=0,0,('TENANT CHARGES'!$L10))</f>
        <v>500</v>
      </c>
      <c r="L14" s="9">
        <f>IF(Rent!M14=0,0,('TENANT CHARGES'!$L10))</f>
        <v>500</v>
      </c>
      <c r="M14" s="9">
        <f>IF(Rent!N14=0,0,('TENANT CHARGES'!$L10))</f>
        <v>500</v>
      </c>
      <c r="N14" s="9">
        <f>IF(Rent!O14=0,0,('TENANT CHARGES'!$L10))</f>
        <v>500</v>
      </c>
      <c r="O14" s="9">
        <f>IF(Rent!P14=0,0,('TENANT CHARGES'!$L10))</f>
        <v>500</v>
      </c>
      <c r="P14" s="9">
        <f>IF(Rent!Q14=0,0,('TENANT CHARGES'!$L10))</f>
        <v>500</v>
      </c>
      <c r="Q14" s="70">
        <f>SUM(E14:P14)</f>
        <v>6000</v>
      </c>
      <c r="R14" s="69">
        <f>+P14/C14</f>
        <v>0.12909888974954814</v>
      </c>
    </row>
    <row r="15" spans="1:18" ht="14.5">
      <c r="A15" s="45" t="str">
        <f>Rent!A15</f>
        <v>TAKA SUSHI</v>
      </c>
      <c r="B15" s="52" t="str">
        <f>Rent!B15</f>
        <v>B-5</v>
      </c>
      <c r="C15" s="71">
        <f>Rent!D15</f>
        <v>1074</v>
      </c>
      <c r="D15" s="72">
        <f>C15/$C$33</f>
        <v>2.1034901484586158E-2</v>
      </c>
      <c r="E15" s="9">
        <f>IF(Rent!F15=0,0,('TENANT CHARGES'!$L11))</f>
        <v>0</v>
      </c>
      <c r="F15" s="9">
        <f>IF(Rent!G15=0,0,('TENANT CHARGES'!$L11))</f>
        <v>0</v>
      </c>
      <c r="G15" s="9">
        <f>IF(Rent!H15=0,0,('TENANT CHARGES'!$L11))</f>
        <v>0</v>
      </c>
      <c r="H15" s="9">
        <f>IF(Rent!I15=0,0,('TENANT CHARGES'!$L11))</f>
        <v>0</v>
      </c>
      <c r="I15" s="9">
        <f>IF(Rent!J15=0,0,('TENANT CHARGES'!$L11))</f>
        <v>0</v>
      </c>
      <c r="J15" s="9">
        <f>IF(Rent!K15=0,0,('TENANT CHARGES'!$L11))</f>
        <v>0</v>
      </c>
      <c r="K15" s="9">
        <f>IF(Rent!L15=0,0,('TENANT CHARGES'!$L11))</f>
        <v>0</v>
      </c>
      <c r="L15" s="9">
        <f>IF(Rent!M15=0,0,('TENANT CHARGES'!$L11))</f>
        <v>0</v>
      </c>
      <c r="M15" s="9">
        <f>IF(Rent!N15=0,0,('TENANT CHARGES'!$L11))</f>
        <v>0</v>
      </c>
      <c r="N15" s="9">
        <f>IF(Rent!O15=0,0,('TENANT CHARGES'!$L11))</f>
        <v>0</v>
      </c>
      <c r="O15" s="9">
        <f>IF(Rent!P15=0,0,('TENANT CHARGES'!$L11))</f>
        <v>0</v>
      </c>
      <c r="P15" s="9">
        <f>IF(Rent!Q15=0,0,('TENANT CHARGES'!$L11))</f>
        <v>0</v>
      </c>
      <c r="Q15" s="70">
        <f t="shared" ref="Q15:Q30" si="0">SUM(E15:P15)</f>
        <v>0</v>
      </c>
      <c r="R15" s="69">
        <f t="shared" ref="R15:R30" si="1">+P15/C15</f>
        <v>0</v>
      </c>
    </row>
    <row r="16" spans="1:18" ht="14.5">
      <c r="A16" s="45" t="str">
        <f>Rent!A16</f>
        <v>KANAKA KAVA</v>
      </c>
      <c r="B16" s="52" t="str">
        <f>Rent!B16</f>
        <v>B-6</v>
      </c>
      <c r="C16" s="71">
        <f>Rent!D16</f>
        <v>200</v>
      </c>
      <c r="D16" s="72">
        <f>C16/$C$33</f>
        <v>3.9171138705002152E-3</v>
      </c>
      <c r="E16" s="9">
        <f>IF(Rent!F16=0,0,('TENANT CHARGES'!$L12))</f>
        <v>220</v>
      </c>
      <c r="F16" s="9">
        <f>IF(Rent!G16=0,0,('TENANT CHARGES'!$L12))</f>
        <v>220</v>
      </c>
      <c r="G16" s="9">
        <f>IF(Rent!H16=0,0,('TENANT CHARGES'!$L12))</f>
        <v>220</v>
      </c>
      <c r="H16" s="9">
        <f>IF(Rent!I16=0,0,('TENANT CHARGES'!$L12))</f>
        <v>220</v>
      </c>
      <c r="I16" s="9">
        <f>IF(Rent!J16=0,0,('TENANT CHARGES'!$L12))</f>
        <v>220</v>
      </c>
      <c r="J16" s="9">
        <f>IF(Rent!K16=0,0,('TENANT CHARGES'!$L12))</f>
        <v>220</v>
      </c>
      <c r="K16" s="9">
        <f>IF(Rent!L16=0,0,('TENANT CHARGES'!$L12))</f>
        <v>220</v>
      </c>
      <c r="L16" s="9">
        <f>IF(Rent!M16=0,0,('TENANT CHARGES'!$L12))</f>
        <v>220</v>
      </c>
      <c r="M16" s="9">
        <f>IF(Rent!N16=0,0,('TENANT CHARGES'!$L12))</f>
        <v>220</v>
      </c>
      <c r="N16" s="9">
        <f>IF(Rent!O16=0,0,('TENANT CHARGES'!$L12))</f>
        <v>220</v>
      </c>
      <c r="O16" s="9">
        <f>IF(Rent!P16=0,0,('TENANT CHARGES'!$L12))</f>
        <v>220</v>
      </c>
      <c r="P16" s="9">
        <f>IF(Rent!Q16=0,0,('TENANT CHARGES'!$L12))</f>
        <v>220</v>
      </c>
      <c r="Q16" s="70">
        <f t="shared" si="0"/>
        <v>2640</v>
      </c>
      <c r="R16" s="69">
        <f t="shared" si="1"/>
        <v>1.1000000000000001</v>
      </c>
    </row>
    <row r="17" spans="1:18" ht="14.5">
      <c r="A17" s="45" t="str">
        <f>Rent!A17</f>
        <v>GECKO GIRLZ SHAVE ICE SHACK</v>
      </c>
      <c r="B17" s="52" t="str">
        <f>Rent!B17</f>
        <v>C-7</v>
      </c>
      <c r="C17" s="71">
        <f>Rent!D17</f>
        <v>518</v>
      </c>
      <c r="D17" s="72">
        <f>C17/$C$33</f>
        <v>1.0145324924595559E-2</v>
      </c>
      <c r="E17" s="9">
        <f>IF(Rent!F17=0,0,('TENANT CHARGES'!$L13))</f>
        <v>0</v>
      </c>
      <c r="F17" s="9">
        <f>IF(Rent!G17=0,0,('TENANT CHARGES'!$L13))</f>
        <v>0</v>
      </c>
      <c r="G17" s="9">
        <f>IF(Rent!H17=0,0,('TENANT CHARGES'!$L13))</f>
        <v>0</v>
      </c>
      <c r="H17" s="9">
        <f>IF(Rent!I17=0,0,('TENANT CHARGES'!$L13))</f>
        <v>0</v>
      </c>
      <c r="I17" s="9">
        <f>IF(Rent!J17=0,0,('TENANT CHARGES'!$L13))</f>
        <v>0</v>
      </c>
      <c r="J17" s="9">
        <f>IF(Rent!K17=0,0,('TENANT CHARGES'!$L13))</f>
        <v>0</v>
      </c>
      <c r="K17" s="9">
        <f>IF(Rent!L17=0,0,('TENANT CHARGES'!$L13))</f>
        <v>0</v>
      </c>
      <c r="L17" s="9">
        <f>IF(Rent!M17=0,0,('TENANT CHARGES'!$L13))</f>
        <v>0</v>
      </c>
      <c r="M17" s="9">
        <f>IF(Rent!N17=0,0,('TENANT CHARGES'!$L13))</f>
        <v>0</v>
      </c>
      <c r="N17" s="9">
        <f>IF(Rent!O17=0,0,('TENANT CHARGES'!$L13))</f>
        <v>0</v>
      </c>
      <c r="O17" s="9">
        <f>IF(Rent!P17=0,0,('TENANT CHARGES'!$L13))</f>
        <v>0</v>
      </c>
      <c r="P17" s="9">
        <f>IF(Rent!Q17=0,0,('TENANT CHARGES'!$L13))</f>
        <v>0</v>
      </c>
      <c r="Q17" s="70">
        <f t="shared" si="0"/>
        <v>0</v>
      </c>
      <c r="R17" s="69">
        <f t="shared" si="1"/>
        <v>0</v>
      </c>
    </row>
    <row r="18" spans="1:18" ht="14.5">
      <c r="A18" s="45" t="str">
        <f>Rent!A18</f>
        <v>BIG ISLAND RUNNING CO.</v>
      </c>
      <c r="B18" s="52" t="str">
        <f>Rent!B18</f>
        <v>C-8</v>
      </c>
      <c r="C18" s="71">
        <f>Rent!D18</f>
        <v>525</v>
      </c>
      <c r="D18" s="72">
        <v>0.01</v>
      </c>
      <c r="E18" s="9">
        <f>IF(Rent!F18=0,0,('TENANT CHARGES'!$L14))</f>
        <v>166.67</v>
      </c>
      <c r="F18" s="9">
        <f>IF(Rent!G18=0,0,('TENANT CHARGES'!$L14))</f>
        <v>166.67</v>
      </c>
      <c r="G18" s="9">
        <f>IF(Rent!H18=0,0,('TENANT CHARGES'!$L14))</f>
        <v>166.67</v>
      </c>
      <c r="H18" s="9">
        <f>IF(Rent!I18=0,0,('TENANT CHARGES'!$L14))</f>
        <v>166.67</v>
      </c>
      <c r="I18" s="9">
        <f>IF(Rent!J18=0,0,('TENANT CHARGES'!$L14))</f>
        <v>166.67</v>
      </c>
      <c r="J18" s="9">
        <f>IF(Rent!K18=0,0,('TENANT CHARGES'!$L14))</f>
        <v>166.67</v>
      </c>
      <c r="K18" s="9">
        <f>IF(Rent!L18=0,0,('TENANT CHARGES'!$L14))</f>
        <v>166.67</v>
      </c>
      <c r="L18" s="9">
        <f>IF(Rent!M18=0,0,('TENANT CHARGES'!$L14))</f>
        <v>166.67</v>
      </c>
      <c r="M18" s="9">
        <f>IF(Rent!N18=0,0,('TENANT CHARGES'!$L14))</f>
        <v>166.67</v>
      </c>
      <c r="N18" s="9">
        <f>IF(Rent!O18=0,0,('TENANT CHARGES'!$L14))</f>
        <v>166.67</v>
      </c>
      <c r="O18" s="9">
        <f>IF(Rent!P18=0,0,('TENANT CHARGES'!$L14))</f>
        <v>166.67</v>
      </c>
      <c r="P18" s="9">
        <f>IF(Rent!Q18=0,0,('TENANT CHARGES'!$L14))</f>
        <v>166.67</v>
      </c>
      <c r="Q18" s="70">
        <f t="shared" si="0"/>
        <v>2000.0400000000002</v>
      </c>
      <c r="R18" s="69">
        <f t="shared" si="1"/>
        <v>0.31746666666666662</v>
      </c>
    </row>
    <row r="19" spans="1:18" ht="14.5">
      <c r="A19" s="45" t="str">
        <f>Rent!A19</f>
        <v>CAFE KONA</v>
      </c>
      <c r="B19" s="52" t="str">
        <f>Rent!B19</f>
        <v>D11-12</v>
      </c>
      <c r="C19" s="71">
        <f>Rent!D19</f>
        <v>994</v>
      </c>
      <c r="D19" s="72">
        <f t="shared" ref="D19:D28" si="2">C19/$C$33</f>
        <v>1.9468055936386071E-2</v>
      </c>
      <c r="E19" s="9">
        <f>IF(Rent!F19=0,0,('TENANT CHARGES'!$L15))</f>
        <v>0</v>
      </c>
      <c r="F19" s="9">
        <f>IF(Rent!G19=0,0,('TENANT CHARGES'!$L15))</f>
        <v>0</v>
      </c>
      <c r="G19" s="9">
        <f>IF(Rent!H19=0,0,('TENANT CHARGES'!$L15))</f>
        <v>0</v>
      </c>
      <c r="H19" s="9">
        <f>IF(Rent!I19=0,0,('TENANT CHARGES'!$L15))</f>
        <v>0</v>
      </c>
      <c r="I19" s="9">
        <f>IF(Rent!J19=0,0,('TENANT CHARGES'!$L15))</f>
        <v>0</v>
      </c>
      <c r="J19" s="9">
        <f>IF(Rent!K19=0,0,('TENANT CHARGES'!$L15))</f>
        <v>0</v>
      </c>
      <c r="K19" s="9">
        <f>IF(Rent!L19=0,0,('TENANT CHARGES'!$L15))</f>
        <v>0</v>
      </c>
      <c r="L19" s="9">
        <f>IF(Rent!M19=0,0,('TENANT CHARGES'!$L15))</f>
        <v>0</v>
      </c>
      <c r="M19" s="9">
        <f>IF(Rent!N19=0,0,('TENANT CHARGES'!$L15))</f>
        <v>0</v>
      </c>
      <c r="N19" s="9">
        <f>IF(Rent!O19=0,0,('TENANT CHARGES'!$L15))</f>
        <v>0</v>
      </c>
      <c r="O19" s="9">
        <f>IF(Rent!P19=0,0,('TENANT CHARGES'!$L15))</f>
        <v>0</v>
      </c>
      <c r="P19" s="9">
        <f>IF(Rent!Q19=0,0,('TENANT CHARGES'!$L15))</f>
        <v>0</v>
      </c>
      <c r="Q19" s="70">
        <f t="shared" si="0"/>
        <v>0</v>
      </c>
      <c r="R19" s="69">
        <f t="shared" si="1"/>
        <v>0</v>
      </c>
    </row>
    <row r="20" spans="1:18" ht="14.5">
      <c r="A20" s="45" t="str">
        <f>Rent!A20</f>
        <v>LUCASIE LTD</v>
      </c>
      <c r="B20" s="52" t="str">
        <f>Rent!B20</f>
        <v>D9-D10</v>
      </c>
      <c r="C20" s="71">
        <f>Rent!D20</f>
        <v>1043</v>
      </c>
      <c r="D20" s="72">
        <f t="shared" si="2"/>
        <v>2.0427748834658623E-2</v>
      </c>
      <c r="E20" s="9">
        <f>IF(Rent!F20=0,0,('TENANT CHARGES'!$L17))</f>
        <v>0</v>
      </c>
      <c r="F20" s="9">
        <f>IF(Rent!G20=0,0,('TENANT CHARGES'!$L17))</f>
        <v>0</v>
      </c>
      <c r="G20" s="9">
        <f>IF(Rent!H20=0,0,('TENANT CHARGES'!$L17))</f>
        <v>0</v>
      </c>
      <c r="H20" s="9">
        <f>IF(Rent!I20=0,0,('TENANT CHARGES'!$L17))</f>
        <v>0</v>
      </c>
      <c r="I20" s="9">
        <f>IF(Rent!J20=0,0,('TENANT CHARGES'!$L17))</f>
        <v>0</v>
      </c>
      <c r="J20" s="9">
        <f>IF(Rent!K20=0,0,('TENANT CHARGES'!$L17))</f>
        <v>0</v>
      </c>
      <c r="K20" s="9">
        <f>IF(Rent!L20=0,0,('TENANT CHARGES'!$L17))</f>
        <v>0</v>
      </c>
      <c r="L20" s="9">
        <f>IF(Rent!M20=0,0,('TENANT CHARGES'!$L17))</f>
        <v>0</v>
      </c>
      <c r="M20" s="9">
        <f>IF(Rent!N20=0,0,('TENANT CHARGES'!$L17))</f>
        <v>0</v>
      </c>
      <c r="N20" s="9">
        <f>IF(Rent!O20=0,0,('TENANT CHARGES'!$L17))</f>
        <v>0</v>
      </c>
      <c r="O20" s="9">
        <f>IF(Rent!P20=0,0,('TENANT CHARGES'!$L17))</f>
        <v>0</v>
      </c>
      <c r="P20" s="9">
        <f>IF(Rent!Q20=0,0,('TENANT CHARGES'!$L17))</f>
        <v>0</v>
      </c>
      <c r="Q20" s="70">
        <f t="shared" si="0"/>
        <v>0</v>
      </c>
      <c r="R20" s="69">
        <f t="shared" si="1"/>
        <v>0</v>
      </c>
    </row>
    <row r="21" spans="1:18" ht="14.5">
      <c r="A21" s="45" t="str">
        <f>Rent!A21</f>
        <v>FOSTERS KITCHEN</v>
      </c>
      <c r="B21" s="52" t="str">
        <f>Rent!B21</f>
        <v>DU-1</v>
      </c>
      <c r="C21" s="71">
        <f>Rent!D21</f>
        <v>3526</v>
      </c>
      <c r="D21" s="72">
        <f t="shared" si="2"/>
        <v>6.9058717536918793E-2</v>
      </c>
      <c r="E21" s="9">
        <f>IF(Rent!F21=0,0,('TENANT CHARGES'!$L18))</f>
        <v>500</v>
      </c>
      <c r="F21" s="9">
        <f>IF(Rent!G21=0,0,('TENANT CHARGES'!$L18))</f>
        <v>500</v>
      </c>
      <c r="G21" s="9">
        <f>IF(Rent!H21=0,0,('TENANT CHARGES'!$L18))</f>
        <v>500</v>
      </c>
      <c r="H21" s="9">
        <f>IF(Rent!I21=0,0,('TENANT CHARGES'!$L18))</f>
        <v>500</v>
      </c>
      <c r="I21" s="9">
        <f>IF(Rent!J21=0,0,('TENANT CHARGES'!$L18))</f>
        <v>500</v>
      </c>
      <c r="J21" s="9">
        <f>IF(Rent!K21=0,0,('TENANT CHARGES'!$L18))</f>
        <v>500</v>
      </c>
      <c r="K21" s="9">
        <f>IF(Rent!L21=0,0,('TENANT CHARGES'!$L18))</f>
        <v>500</v>
      </c>
      <c r="L21" s="9">
        <f>IF(Rent!M21=0,0,('TENANT CHARGES'!$L18))</f>
        <v>500</v>
      </c>
      <c r="M21" s="9">
        <f>IF(Rent!N21=0,0,('TENANT CHARGES'!$L18))</f>
        <v>500</v>
      </c>
      <c r="N21" s="9">
        <f>IF(Rent!O21=0,0,('TENANT CHARGES'!$L18))</f>
        <v>500</v>
      </c>
      <c r="O21" s="9">
        <f>IF(Rent!P21=0,0,('TENANT CHARGES'!$L18))</f>
        <v>500</v>
      </c>
      <c r="P21" s="9">
        <f>IF(Rent!Q21=0,0,('TENANT CHARGES'!$L18))</f>
        <v>500</v>
      </c>
      <c r="Q21" s="70">
        <f t="shared" si="0"/>
        <v>6000</v>
      </c>
      <c r="R21" s="69">
        <f t="shared" si="1"/>
        <v>0.14180374361883152</v>
      </c>
    </row>
    <row r="22" spans="1:18" ht="14.5">
      <c r="A22" s="45" t="str">
        <f>Rent!A22</f>
        <v>HUMPYS BIG ISLAND ALEHOUSE</v>
      </c>
      <c r="B22" s="52" t="str">
        <f>Rent!B22</f>
        <v>E</v>
      </c>
      <c r="C22" s="71">
        <f>Rent!D22</f>
        <v>10736</v>
      </c>
      <c r="D22" s="72">
        <f t="shared" si="2"/>
        <v>0.21027067256845156</v>
      </c>
      <c r="E22" s="9">
        <f>IF(Rent!F22=0,0,('TENANT CHARGES'!$L19))</f>
        <v>0</v>
      </c>
      <c r="F22" s="9">
        <f>IF(Rent!G22=0,0,('TENANT CHARGES'!$L19))</f>
        <v>0</v>
      </c>
      <c r="G22" s="9">
        <f>IF(Rent!H22=0,0,('TENANT CHARGES'!$L19))</f>
        <v>0</v>
      </c>
      <c r="H22" s="9">
        <f>IF(Rent!I22=0,0,('TENANT CHARGES'!$L19))</f>
        <v>0</v>
      </c>
      <c r="I22" s="9">
        <f>IF(Rent!J22=0,0,('TENANT CHARGES'!$L19))</f>
        <v>0</v>
      </c>
      <c r="J22" s="9">
        <f>IF(Rent!K22=0,0,('TENANT CHARGES'!$L19))</f>
        <v>0</v>
      </c>
      <c r="K22" s="9">
        <f>IF(Rent!L22=0,0,('TENANT CHARGES'!$L19))</f>
        <v>0</v>
      </c>
      <c r="L22" s="9">
        <f>IF(Rent!M22=0,0,('TENANT CHARGES'!$L19))</f>
        <v>0</v>
      </c>
      <c r="M22" s="9">
        <f>IF(Rent!N22=0,0,('TENANT CHARGES'!$L19))</f>
        <v>0</v>
      </c>
      <c r="N22" s="9">
        <f>IF(Rent!O22=0,0,('TENANT CHARGES'!$L19))</f>
        <v>0</v>
      </c>
      <c r="O22" s="9">
        <f>IF(Rent!P22=0,0,('TENANT CHARGES'!$L19))</f>
        <v>0</v>
      </c>
      <c r="P22" s="9">
        <f>IF(Rent!Q22=0,0,('TENANT CHARGES'!$L19))</f>
        <v>0</v>
      </c>
      <c r="Q22" s="70">
        <f t="shared" si="0"/>
        <v>0</v>
      </c>
      <c r="R22" s="69">
        <f t="shared" si="1"/>
        <v>0</v>
      </c>
    </row>
    <row r="23" spans="1:18" ht="14.5">
      <c r="A23" s="45" t="str">
        <f>Rent!A23</f>
        <v>ABC STORE #75</v>
      </c>
      <c r="B23" s="52" t="str">
        <f>Rent!B23</f>
        <v>F15,17&amp;A8</v>
      </c>
      <c r="C23" s="71">
        <f>Rent!D23</f>
        <v>4000</v>
      </c>
      <c r="D23" s="72">
        <f t="shared" si="2"/>
        <v>7.834227741000431E-2</v>
      </c>
      <c r="E23" s="9">
        <f>IF(Rent!F23=0,0,('TENANT CHARGES'!$L20))</f>
        <v>500</v>
      </c>
      <c r="F23" s="9">
        <f>IF(Rent!G23=0,0,('TENANT CHARGES'!$L20))</f>
        <v>500</v>
      </c>
      <c r="G23" s="9">
        <f>IF(Rent!H23=0,0,('TENANT CHARGES'!$L20))</f>
        <v>500</v>
      </c>
      <c r="H23" s="9">
        <f>IF(Rent!I23=0,0,('TENANT CHARGES'!$L20))</f>
        <v>500</v>
      </c>
      <c r="I23" s="9">
        <f>IF(Rent!J23=0,0,('TENANT CHARGES'!$L20))</f>
        <v>500</v>
      </c>
      <c r="J23" s="9">
        <f>IF(Rent!K23=0,0,('TENANT CHARGES'!$L20))</f>
        <v>500</v>
      </c>
      <c r="K23" s="9">
        <f>IF(Rent!L23=0,0,('TENANT CHARGES'!$L20))</f>
        <v>500</v>
      </c>
      <c r="L23" s="9">
        <f>IF(Rent!M23=0,0,('TENANT CHARGES'!$L20))</f>
        <v>500</v>
      </c>
      <c r="M23" s="9">
        <f>IF(Rent!N23=0,0,('TENANT CHARGES'!$L20))</f>
        <v>500</v>
      </c>
      <c r="N23" s="9">
        <f>IF(Rent!O23=0,0,('TENANT CHARGES'!$L20))</f>
        <v>500</v>
      </c>
      <c r="O23" s="9">
        <f>IF(Rent!P23=0,0,('TENANT CHARGES'!$L20))</f>
        <v>500</v>
      </c>
      <c r="P23" s="9">
        <f>IF(Rent!Q23=0,0,('TENANT CHARGES'!$L20))</f>
        <v>500</v>
      </c>
      <c r="Q23" s="70">
        <f t="shared" si="0"/>
        <v>6000</v>
      </c>
      <c r="R23" s="69">
        <f t="shared" si="1"/>
        <v>0.125</v>
      </c>
    </row>
    <row r="24" spans="1:18" ht="14.5">
      <c r="A24" s="45" t="str">
        <f>Rent!A24</f>
        <v>GYPSEA GALATO</v>
      </c>
      <c r="B24" s="52" t="str">
        <f>Rent!B24</f>
        <v>F-16</v>
      </c>
      <c r="C24" s="71">
        <f>Rent!D24</f>
        <v>500</v>
      </c>
      <c r="D24" s="72">
        <f t="shared" si="2"/>
        <v>9.7927846762505388E-3</v>
      </c>
      <c r="E24" s="9">
        <f>IF(Rent!F24=0,0,('TENANT CHARGES'!$L21))</f>
        <v>0</v>
      </c>
      <c r="F24" s="9">
        <f>IF(Rent!G24=0,0,('TENANT CHARGES'!$L21))</f>
        <v>0</v>
      </c>
      <c r="G24" s="9">
        <f>IF(Rent!H24=0,0,('TENANT CHARGES'!$L21))</f>
        <v>0</v>
      </c>
      <c r="H24" s="9">
        <f>IF(Rent!I24=0,0,('TENANT CHARGES'!$L21))</f>
        <v>0</v>
      </c>
      <c r="I24" s="9">
        <f>IF(Rent!J24=0,0,('TENANT CHARGES'!$L21))</f>
        <v>0</v>
      </c>
      <c r="J24" s="9">
        <f>IF(Rent!K24=0,0,('TENANT CHARGES'!$L21))</f>
        <v>0</v>
      </c>
      <c r="K24" s="9">
        <f>IF(Rent!L24=0,0,('TENANT CHARGES'!$L21))</f>
        <v>0</v>
      </c>
      <c r="L24" s="9">
        <f>IF(Rent!M24=0,0,('TENANT CHARGES'!$L21))</f>
        <v>0</v>
      </c>
      <c r="M24" s="9">
        <f>IF(Rent!N24=0,0,('TENANT CHARGES'!$L21))</f>
        <v>0</v>
      </c>
      <c r="N24" s="9">
        <f>IF(Rent!O24=0,0,('TENANT CHARGES'!$L21))</f>
        <v>0</v>
      </c>
      <c r="O24" s="9">
        <f>IF(Rent!P24=0,0,('TENANT CHARGES'!$L21))</f>
        <v>0</v>
      </c>
      <c r="P24" s="9">
        <f>IF(Rent!Q24=0,0,('TENANT CHARGES'!$L21))</f>
        <v>0</v>
      </c>
      <c r="Q24" s="70">
        <f t="shared" si="0"/>
        <v>0</v>
      </c>
      <c r="R24" s="69">
        <f t="shared" si="1"/>
        <v>0</v>
      </c>
    </row>
    <row r="25" spans="1:18" ht="14.5">
      <c r="A25" s="45" t="str">
        <f>Rent!A25</f>
        <v>OCEANS SPORTS BAR AND GRILL</v>
      </c>
      <c r="B25" s="52" t="str">
        <f>Rent!B25</f>
        <v>G</v>
      </c>
      <c r="C25" s="71">
        <f>Rent!D25</f>
        <v>2896</v>
      </c>
      <c r="D25" s="72">
        <f t="shared" si="2"/>
        <v>5.6719808844843123E-2</v>
      </c>
      <c r="E25" s="9">
        <f>IF(Rent!F25=0,0,('TENANT CHARGES'!$L22))</f>
        <v>869</v>
      </c>
      <c r="F25" s="9">
        <f>IF(Rent!G25=0,0,('TENANT CHARGES'!$L22))</f>
        <v>869</v>
      </c>
      <c r="G25" s="9">
        <f>IF(Rent!H25=0,0,('TENANT CHARGES'!$L22))</f>
        <v>869</v>
      </c>
      <c r="H25" s="9">
        <f>IF(Rent!I25=0,0,('TENANT CHARGES'!$L22))</f>
        <v>869</v>
      </c>
      <c r="I25" s="9">
        <f>IF(Rent!J25=0,0,('TENANT CHARGES'!$L22))</f>
        <v>869</v>
      </c>
      <c r="J25" s="9">
        <f>IF(Rent!K25=0,0,('TENANT CHARGES'!$L22))</f>
        <v>869</v>
      </c>
      <c r="K25" s="9">
        <f>IF(Rent!L25=0,0,('TENANT CHARGES'!$L22))</f>
        <v>869</v>
      </c>
      <c r="L25" s="9">
        <f>IF(Rent!M25=0,0,('TENANT CHARGES'!$L22))</f>
        <v>869</v>
      </c>
      <c r="M25" s="9">
        <f>IF(Rent!N25=0,0,('TENANT CHARGES'!$L22))</f>
        <v>869</v>
      </c>
      <c r="N25" s="9">
        <f>IF(Rent!O25=0,0,('TENANT CHARGES'!$L22))</f>
        <v>869</v>
      </c>
      <c r="O25" s="9">
        <f>IF(Rent!P25=0,0,('TENANT CHARGES'!$L22))</f>
        <v>869</v>
      </c>
      <c r="P25" s="9">
        <f>IF(Rent!Q25=0,0,('TENANT CHARGES'!$L22))</f>
        <v>869</v>
      </c>
      <c r="Q25" s="70">
        <f t="shared" si="0"/>
        <v>10428</v>
      </c>
      <c r="R25" s="69">
        <f t="shared" si="1"/>
        <v>0.30006906077348067</v>
      </c>
    </row>
    <row r="26" spans="1:18" ht="14.5">
      <c r="A26" s="45" t="str">
        <f>Rent!A26</f>
        <v>JACKS DIVE LOCKER</v>
      </c>
      <c r="B26" s="52" t="str">
        <f>Rent!B26</f>
        <v>H</v>
      </c>
      <c r="C26" s="71">
        <f>Rent!D26</f>
        <v>8014</v>
      </c>
      <c r="D26" s="72">
        <f t="shared" si="2"/>
        <v>0.15695875279094362</v>
      </c>
      <c r="E26" s="9">
        <f>IF(Rent!F26=0,0,('TENANT CHARGES'!$L23))</f>
        <v>0</v>
      </c>
      <c r="F26" s="9">
        <f>IF(Rent!G26=0,0,('TENANT CHARGES'!$L23))</f>
        <v>0</v>
      </c>
      <c r="G26" s="9">
        <f>IF(Rent!H26=0,0,('TENANT CHARGES'!$L23))</f>
        <v>0</v>
      </c>
      <c r="H26" s="9">
        <f>IF(Rent!I26=0,0,('TENANT CHARGES'!$L23))</f>
        <v>0</v>
      </c>
      <c r="I26" s="9">
        <f>IF(Rent!J26=0,0,('TENANT CHARGES'!$L23))</f>
        <v>0</v>
      </c>
      <c r="J26" s="9">
        <f>IF(Rent!K26=0,0,('TENANT CHARGES'!$L23))</f>
        <v>0</v>
      </c>
      <c r="K26" s="9">
        <f>IF(Rent!L26=0,0,('TENANT CHARGES'!$L23))</f>
        <v>0</v>
      </c>
      <c r="L26" s="9">
        <f>IF(Rent!M26=0,0,('TENANT CHARGES'!$L23))</f>
        <v>0</v>
      </c>
      <c r="M26" s="9">
        <f>IF(Rent!N26=0,0,('TENANT CHARGES'!$L23))</f>
        <v>0</v>
      </c>
      <c r="N26" s="9">
        <f>IF(Rent!O26=0,0,('TENANT CHARGES'!$L23))</f>
        <v>0</v>
      </c>
      <c r="O26" s="9">
        <f>IF(Rent!P26=0,0,('TENANT CHARGES'!$L23))</f>
        <v>0</v>
      </c>
      <c r="P26" s="9">
        <f>IF(Rent!Q26=0,0,('TENANT CHARGES'!$L23))</f>
        <v>0</v>
      </c>
      <c r="Q26" s="70">
        <f t="shared" si="0"/>
        <v>0</v>
      </c>
      <c r="R26" s="69">
        <f t="shared" si="1"/>
        <v>0</v>
      </c>
    </row>
    <row r="27" spans="1:18" ht="14.5">
      <c r="A27" s="45" t="str">
        <f>Rent!A27</f>
        <v>QPOT</v>
      </c>
      <c r="B27" s="52" t="str">
        <f>Rent!B27</f>
        <v>I</v>
      </c>
      <c r="C27" s="71">
        <f>Rent!D27</f>
        <v>6500</v>
      </c>
      <c r="D27" s="72">
        <f t="shared" si="2"/>
        <v>0.12730620079125701</v>
      </c>
      <c r="E27" s="9">
        <f>IF(Rent!F27=0,0,('TENANT CHARGES'!$L24))</f>
        <v>0</v>
      </c>
      <c r="F27" s="9">
        <f>IF(Rent!G27=0,0,('TENANT CHARGES'!$L24))</f>
        <v>0</v>
      </c>
      <c r="G27" s="9">
        <f>IF(Rent!H27=0,0,('TENANT CHARGES'!$L24))</f>
        <v>0</v>
      </c>
      <c r="H27" s="9">
        <f>IF(Rent!I27=0,0,('TENANT CHARGES'!$L24))</f>
        <v>0</v>
      </c>
      <c r="I27" s="9">
        <f>IF(Rent!J27=0,0,('TENANT CHARGES'!$L24))</f>
        <v>0</v>
      </c>
      <c r="J27" s="9">
        <f>IF(Rent!K27=0,0,('TENANT CHARGES'!$L24))</f>
        <v>0</v>
      </c>
      <c r="K27" s="9">
        <f>IF(Rent!L27=0,0,('TENANT CHARGES'!$L24))</f>
        <v>300</v>
      </c>
      <c r="L27" s="9">
        <f>IF(Rent!M27=0,0,('TENANT CHARGES'!$L24))</f>
        <v>300</v>
      </c>
      <c r="M27" s="9">
        <f>IF(Rent!N27=0,0,('TENANT CHARGES'!$L24))</f>
        <v>300</v>
      </c>
      <c r="N27" s="9">
        <f>IF(Rent!O27=0,0,('TENANT CHARGES'!$L24))</f>
        <v>300</v>
      </c>
      <c r="O27" s="9">
        <f>IF(Rent!P27=0,0,('TENANT CHARGES'!$L24))</f>
        <v>300</v>
      </c>
      <c r="P27" s="9">
        <f>IF(Rent!Q27=0,0,('TENANT CHARGES'!$L24))</f>
        <v>300</v>
      </c>
      <c r="Q27" s="70">
        <f t="shared" si="0"/>
        <v>1800</v>
      </c>
      <c r="R27" s="69">
        <f t="shared" si="1"/>
        <v>4.6153846153846156E-2</v>
      </c>
    </row>
    <row r="28" spans="1:18" ht="14.5">
      <c r="A28" s="45" t="str">
        <f>Rent!A28</f>
        <v>BOWLS SUPERFOODS &amp; ORALE TACOS</v>
      </c>
      <c r="B28" s="52" t="str">
        <f>Rent!B28</f>
        <v>PC-1&amp;2</v>
      </c>
      <c r="C28" s="71">
        <f>Rent!D28</f>
        <v>1993</v>
      </c>
      <c r="D28" s="72">
        <f t="shared" si="2"/>
        <v>3.9034039719534647E-2</v>
      </c>
      <c r="E28" s="9">
        <f>IF(Rent!F28=0,0,('TENANT CHARGES'!$L25))</f>
        <v>0</v>
      </c>
      <c r="F28" s="9">
        <f>IF(Rent!G28=0,0,('TENANT CHARGES'!$L25))</f>
        <v>0</v>
      </c>
      <c r="G28" s="9">
        <f>IF(Rent!H28=0,0,('TENANT CHARGES'!$L25))</f>
        <v>0</v>
      </c>
      <c r="H28" s="9">
        <f>IF(Rent!I28=0,0,('TENANT CHARGES'!$L25))</f>
        <v>0</v>
      </c>
      <c r="I28" s="9">
        <f>IF(Rent!J28=0,0,('TENANT CHARGES'!$L25))</f>
        <v>0</v>
      </c>
      <c r="J28" s="9">
        <f>IF(Rent!K28=0,0,('TENANT CHARGES'!$L25))</f>
        <v>0</v>
      </c>
      <c r="K28" s="9">
        <f>IF(Rent!L28=0,0,('TENANT CHARGES'!$L25))</f>
        <v>0</v>
      </c>
      <c r="L28" s="9">
        <f>IF(Rent!M28=0,0,('TENANT CHARGES'!$L25))</f>
        <v>0</v>
      </c>
      <c r="M28" s="9">
        <f>IF(Rent!N28=0,0,('TENANT CHARGES'!$L25))</f>
        <v>0</v>
      </c>
      <c r="N28" s="9">
        <f>IF(Rent!O28=0,0,('TENANT CHARGES'!$L25))</f>
        <v>0</v>
      </c>
      <c r="O28" s="9">
        <f>IF(Rent!P28=0,0,('TENANT CHARGES'!$L25))</f>
        <v>0</v>
      </c>
      <c r="P28" s="9">
        <f>IF(Rent!Q28=0,0,('TENANT CHARGES'!$L25))</f>
        <v>0</v>
      </c>
      <c r="Q28" s="70">
        <f t="shared" si="0"/>
        <v>0</v>
      </c>
      <c r="R28" s="69">
        <f t="shared" si="1"/>
        <v>0</v>
      </c>
    </row>
    <row r="29" spans="1:18" ht="14.5">
      <c r="A29" s="45" t="str">
        <f>Rent!A29</f>
        <v>KONA GEAR INC.</v>
      </c>
      <c r="B29" s="52" t="str">
        <f>Rent!B29</f>
        <v>PC 3&amp;4</v>
      </c>
      <c r="C29" s="71">
        <f>Rent!D29</f>
        <v>962</v>
      </c>
      <c r="D29" s="72">
        <v>0.01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70">
        <f t="shared" si="0"/>
        <v>0</v>
      </c>
      <c r="R29" s="69">
        <f t="shared" si="1"/>
        <v>0</v>
      </c>
    </row>
    <row r="30" spans="1:18" ht="14.5">
      <c r="A30" s="45" t="str">
        <f>Rent!A30</f>
        <v>LAVERNES</v>
      </c>
      <c r="B30" s="52" t="str">
        <f>Rent!B30</f>
        <v>PC/U1</v>
      </c>
      <c r="C30" s="71">
        <f>Rent!D30</f>
        <v>3704</v>
      </c>
      <c r="D30" s="72">
        <f>C30/$C$33</f>
        <v>7.254494888166399E-2</v>
      </c>
      <c r="E30" s="9">
        <f>IF(Rent!F30=0,0,('TENANT CHARGES'!$L27))</f>
        <v>0</v>
      </c>
      <c r="F30" s="9">
        <f>IF(Rent!G30=0,0,('TENANT CHARGES'!$L27))</f>
        <v>0</v>
      </c>
      <c r="G30" s="9">
        <f>IF(Rent!H30=0,0,('TENANT CHARGES'!$L27))</f>
        <v>0</v>
      </c>
      <c r="H30" s="9">
        <f>IF(Rent!I30=0,0,('TENANT CHARGES'!$L27))</f>
        <v>0</v>
      </c>
      <c r="I30" s="9">
        <f>IF(Rent!J30=0,0,('TENANT CHARGES'!$L27))</f>
        <v>0</v>
      </c>
      <c r="J30" s="9">
        <f>IF(Rent!K30=0,0,('TENANT CHARGES'!$L27))</f>
        <v>0</v>
      </c>
      <c r="K30" s="9">
        <f>IF(Rent!L30=0,0,('TENANT CHARGES'!$L27))</f>
        <v>0</v>
      </c>
      <c r="L30" s="9">
        <f>IF(Rent!M30=0,0,('TENANT CHARGES'!$L27))</f>
        <v>0</v>
      </c>
      <c r="M30" s="9">
        <f>IF(Rent!N30=0,0,('TENANT CHARGES'!$L27))</f>
        <v>0</v>
      </c>
      <c r="N30" s="9">
        <f>IF(Rent!O30=0,0,('TENANT CHARGES'!$L27))</f>
        <v>0</v>
      </c>
      <c r="O30" s="9">
        <f>IF(Rent!P30=0,0,('TENANT CHARGES'!$L27))</f>
        <v>0</v>
      </c>
      <c r="P30" s="9">
        <f>IF(Rent!Q30=0,0,('TENANT CHARGES'!$L27))</f>
        <v>0</v>
      </c>
      <c r="Q30" s="70">
        <f t="shared" si="0"/>
        <v>0</v>
      </c>
      <c r="R30" s="69">
        <f t="shared" si="1"/>
        <v>0</v>
      </c>
    </row>
    <row r="31" spans="1:18">
      <c r="C31" s="56"/>
      <c r="D31" s="72" t="s">
        <v>14</v>
      </c>
      <c r="E31" s="57" t="s">
        <v>14</v>
      </c>
      <c r="F31" s="57" t="s">
        <v>14</v>
      </c>
      <c r="G31" s="57" t="s">
        <v>14</v>
      </c>
      <c r="H31" s="57" t="s">
        <v>14</v>
      </c>
      <c r="I31" s="57" t="s">
        <v>14</v>
      </c>
      <c r="J31" s="57" t="s">
        <v>14</v>
      </c>
      <c r="K31" s="57" t="s">
        <v>14</v>
      </c>
      <c r="L31" s="57" t="s">
        <v>14</v>
      </c>
      <c r="M31" s="57" t="s">
        <v>14</v>
      </c>
      <c r="N31" s="57" t="s">
        <v>14</v>
      </c>
      <c r="O31" s="57" t="s">
        <v>14</v>
      </c>
      <c r="P31" s="57" t="s">
        <v>14</v>
      </c>
      <c r="Q31" s="57" t="s">
        <v>14</v>
      </c>
    </row>
    <row r="33" spans="1:17">
      <c r="A33" s="204" t="s">
        <v>437</v>
      </c>
      <c r="B33" s="311"/>
      <c r="C33" s="295">
        <f>SUM(C14:C32)</f>
        <v>51058</v>
      </c>
      <c r="D33" s="319">
        <f>SUM(D14:D32)</f>
        <v>0.99087625837283078</v>
      </c>
      <c r="E33" s="296">
        <f>SUM(E14:E32)</f>
        <v>2755.67</v>
      </c>
      <c r="F33" s="296">
        <f t="shared" ref="F33:P33" si="3">SUM(F14:F32)</f>
        <v>2755.67</v>
      </c>
      <c r="G33" s="296">
        <f t="shared" si="3"/>
        <v>2755.67</v>
      </c>
      <c r="H33" s="296">
        <f t="shared" si="3"/>
        <v>2755.67</v>
      </c>
      <c r="I33" s="296">
        <f t="shared" si="3"/>
        <v>2755.67</v>
      </c>
      <c r="J33" s="296">
        <f t="shared" si="3"/>
        <v>2755.67</v>
      </c>
      <c r="K33" s="296">
        <f t="shared" si="3"/>
        <v>3055.67</v>
      </c>
      <c r="L33" s="296">
        <f t="shared" si="3"/>
        <v>3055.67</v>
      </c>
      <c r="M33" s="296">
        <f t="shared" si="3"/>
        <v>3055.67</v>
      </c>
      <c r="N33" s="296">
        <f t="shared" si="3"/>
        <v>3055.67</v>
      </c>
      <c r="O33" s="296">
        <f t="shared" si="3"/>
        <v>3055.67</v>
      </c>
      <c r="P33" s="296">
        <f t="shared" si="3"/>
        <v>3055.67</v>
      </c>
      <c r="Q33" s="297">
        <f>SUM(Q14:Q32)</f>
        <v>34868.04</v>
      </c>
    </row>
    <row r="34" spans="1:17">
      <c r="A34" s="298"/>
      <c r="B34" s="300"/>
      <c r="C34" s="301"/>
      <c r="D34" s="301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1"/>
    </row>
    <row r="35" spans="1:17">
      <c r="C35" s="67"/>
      <c r="D35" s="6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3" t="s">
        <v>555</v>
      </c>
      <c r="P35" s="74"/>
      <c r="Q35" s="61">
        <f>Summ.!O137</f>
        <v>50000</v>
      </c>
    </row>
    <row r="36" spans="1:17"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75" t="s">
        <v>535</v>
      </c>
      <c r="P36" s="63"/>
      <c r="Q36" s="76">
        <f>Q33/Q35</f>
        <v>0.6973608</v>
      </c>
    </row>
  </sheetData>
  <mergeCells count="5">
    <mergeCell ref="A2:Q2"/>
    <mergeCell ref="A3:Q3"/>
    <mergeCell ref="A4:Q4"/>
    <mergeCell ref="A5:Q5"/>
    <mergeCell ref="A6:Q6"/>
  </mergeCells>
  <pageMargins left="0.7" right="0.7" top="0.75" bottom="0.75" header="0.3" footer="0.3"/>
  <pageSetup scale="56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pageSetUpPr fitToPage="1"/>
  </sheetPr>
  <dimension ref="A1:Q34"/>
  <sheetViews>
    <sheetView topLeftCell="A6" workbookViewId="0">
      <selection activeCell="C33" sqref="C33"/>
    </sheetView>
  </sheetViews>
  <sheetFormatPr defaultColWidth="9.26953125" defaultRowHeight="13"/>
  <cols>
    <col min="1" max="1" width="41.54296875" style="45" customWidth="1"/>
    <col min="2" max="2" width="9.26953125" style="45"/>
    <col min="3" max="3" width="11.453125" style="45" customWidth="1"/>
    <col min="4" max="15" width="9.7265625" style="45" customWidth="1"/>
    <col min="16" max="16" width="11" style="45" customWidth="1"/>
    <col min="17" max="16384" width="9.26953125" style="45"/>
  </cols>
  <sheetData>
    <row r="1" spans="1:17" ht="14.5">
      <c r="O1" s="2" t="str">
        <f>Summ.!R1</f>
        <v>Date Revised:</v>
      </c>
      <c r="P1" s="3" t="e">
        <f>Summ.!#REF!</f>
        <v>#REF!</v>
      </c>
      <c r="Q1" s="45">
        <f>Summ.!T1</f>
        <v>0</v>
      </c>
    </row>
    <row r="2" spans="1:17">
      <c r="A2" s="631" t="str">
        <f>Summ.!$A2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</row>
    <row r="3" spans="1:17">
      <c r="A3" s="631" t="str">
        <f>Summ.!$A3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</row>
    <row r="4" spans="1:17">
      <c r="A4" s="631" t="str">
        <f>Summ.!$A4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</row>
    <row r="5" spans="1:17">
      <c r="A5" s="631" t="str">
        <f>Summ.!$A5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</row>
    <row r="6" spans="1:17">
      <c r="A6" s="631" t="str">
        <f>Summ.!$A6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</row>
    <row r="7" spans="1:17">
      <c r="H7" s="98"/>
    </row>
    <row r="8" spans="1:17">
      <c r="A8" s="200"/>
      <c r="B8" s="200"/>
      <c r="C8" s="201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7">
      <c r="A9" s="166" t="s">
        <v>120</v>
      </c>
      <c r="B9" s="166" t="s">
        <v>434</v>
      </c>
      <c r="C9" s="166" t="s">
        <v>348</v>
      </c>
      <c r="D9" s="166" t="s">
        <v>1</v>
      </c>
      <c r="E9" s="166" t="s">
        <v>2</v>
      </c>
      <c r="F9" s="166" t="s">
        <v>3</v>
      </c>
      <c r="G9" s="166" t="s">
        <v>4</v>
      </c>
      <c r="H9" s="166" t="s">
        <v>5</v>
      </c>
      <c r="I9" s="166" t="s">
        <v>6</v>
      </c>
      <c r="J9" s="166" t="s">
        <v>7</v>
      </c>
      <c r="K9" s="166" t="s">
        <v>8</v>
      </c>
      <c r="L9" s="166" t="s">
        <v>123</v>
      </c>
      <c r="M9" s="166" t="s">
        <v>124</v>
      </c>
      <c r="N9" s="166" t="s">
        <v>125</v>
      </c>
      <c r="O9" s="166" t="s">
        <v>126</v>
      </c>
      <c r="P9" s="166" t="s">
        <v>437</v>
      </c>
    </row>
    <row r="10" spans="1:17">
      <c r="A10" s="202"/>
      <c r="B10" s="168" t="s">
        <v>438</v>
      </c>
      <c r="C10" s="168" t="s">
        <v>439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</row>
    <row r="11" spans="1:17">
      <c r="A11" s="47"/>
      <c r="C11" s="4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</row>
    <row r="12" spans="1:17">
      <c r="A12" s="51" t="s">
        <v>556</v>
      </c>
      <c r="C12" s="48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</row>
    <row r="13" spans="1:17"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1:17">
      <c r="A14" s="45" t="str">
        <f>Rent!A14</f>
        <v xml:space="preserve">ISLAND LAVA JAVA </v>
      </c>
      <c r="B14" s="52" t="str">
        <f>Rent!B14</f>
        <v>A 1-4</v>
      </c>
      <c r="C14" s="71">
        <f>Rent!D14</f>
        <v>3873</v>
      </c>
      <c r="D14" s="56">
        <f>IF(Rent!F14=0,0,($C14))</f>
        <v>3873</v>
      </c>
      <c r="E14" s="56">
        <f>IF(Rent!G14=0,0,($C14))</f>
        <v>3873</v>
      </c>
      <c r="F14" s="56">
        <f>IF(Rent!H14=0,0,($C14))</f>
        <v>3873</v>
      </c>
      <c r="G14" s="56">
        <f>IF(Rent!I14=0,0,($C14))</f>
        <v>3873</v>
      </c>
      <c r="H14" s="56">
        <f>IF(Rent!J14=0,0,($C14))</f>
        <v>3873</v>
      </c>
      <c r="I14" s="56">
        <f>IF(Rent!K14=0,0,($C14))</f>
        <v>3873</v>
      </c>
      <c r="J14" s="56">
        <f>IF(Rent!L14=0,0,($C14))</f>
        <v>3873</v>
      </c>
      <c r="K14" s="56">
        <f>IF(Rent!M14=0,0,($C14))</f>
        <v>3873</v>
      </c>
      <c r="L14" s="56">
        <f>IF(Rent!N14=0,0,($C14))</f>
        <v>3873</v>
      </c>
      <c r="M14" s="56">
        <f>IF(Rent!O14=0,0,($C14))</f>
        <v>3873</v>
      </c>
      <c r="N14" s="56">
        <f>IF(Rent!P14=0,0,($C14))</f>
        <v>3873</v>
      </c>
      <c r="O14" s="56">
        <f>IF(Rent!Q14=0,0,($C14))</f>
        <v>3873</v>
      </c>
      <c r="P14" s="56">
        <f>SUM(D14:O14)/12</f>
        <v>3873</v>
      </c>
    </row>
    <row r="15" spans="1:17">
      <c r="A15" s="45" t="str">
        <f>Rent!A15</f>
        <v>TAKA SUSHI</v>
      </c>
      <c r="B15" s="52" t="str">
        <f>Rent!B15</f>
        <v>B-5</v>
      </c>
      <c r="C15" s="71">
        <f>Rent!D15</f>
        <v>1074</v>
      </c>
      <c r="D15" s="56">
        <f>IF(Rent!F15=0,0,($C15))</f>
        <v>1074</v>
      </c>
      <c r="E15" s="56">
        <f>IF(Rent!G15=0,0,($C15))</f>
        <v>1074</v>
      </c>
      <c r="F15" s="56">
        <f>IF(Rent!H15=0,0,($C15))</f>
        <v>1074</v>
      </c>
      <c r="G15" s="56">
        <f>IF(Rent!I15=0,0,($C15))</f>
        <v>1074</v>
      </c>
      <c r="H15" s="56">
        <f>IF(Rent!J15=0,0,($C15))</f>
        <v>1074</v>
      </c>
      <c r="I15" s="56">
        <f>IF(Rent!K15=0,0,($C15))</f>
        <v>1074</v>
      </c>
      <c r="J15" s="56">
        <f>IF(Rent!L15=0,0,($C15))</f>
        <v>1074</v>
      </c>
      <c r="K15" s="56">
        <f>IF(Rent!M15=0,0,($C15))</f>
        <v>1074</v>
      </c>
      <c r="L15" s="56">
        <f>IF(Rent!N15=0,0,($C15))</f>
        <v>1074</v>
      </c>
      <c r="M15" s="56">
        <f>IF(Rent!O15=0,0,($C15))</f>
        <v>1074</v>
      </c>
      <c r="N15" s="56">
        <f>IF(Rent!P15=0,0,($C15))</f>
        <v>1074</v>
      </c>
      <c r="O15" s="56">
        <f>IF(Rent!Q15=0,0,($C15))</f>
        <v>1074</v>
      </c>
      <c r="P15" s="56">
        <f t="shared" ref="P15:P30" si="0">SUM(D15:O15)/12</f>
        <v>1074</v>
      </c>
    </row>
    <row r="16" spans="1:17">
      <c r="A16" s="45" t="str">
        <f>Rent!A16</f>
        <v>KANAKA KAVA</v>
      </c>
      <c r="B16" s="52" t="str">
        <f>Rent!B16</f>
        <v>B-6</v>
      </c>
      <c r="C16" s="71">
        <f>Rent!D16</f>
        <v>200</v>
      </c>
      <c r="D16" s="56">
        <f>IF(Rent!F16=0,0,($C16))</f>
        <v>200</v>
      </c>
      <c r="E16" s="56">
        <f>IF(Rent!G16=0,0,($C16))</f>
        <v>200</v>
      </c>
      <c r="F16" s="56">
        <f>IF(Rent!H16=0,0,($C16))</f>
        <v>200</v>
      </c>
      <c r="G16" s="56">
        <f>IF(Rent!I16=0,0,($C16))</f>
        <v>200</v>
      </c>
      <c r="H16" s="56">
        <f>IF(Rent!J16=0,0,($C16))</f>
        <v>200</v>
      </c>
      <c r="I16" s="56">
        <f>IF(Rent!K16=0,0,($C16))</f>
        <v>200</v>
      </c>
      <c r="J16" s="56">
        <f>IF(Rent!L16=0,0,($C16))</f>
        <v>200</v>
      </c>
      <c r="K16" s="56">
        <f>IF(Rent!M16=0,0,($C16))</f>
        <v>200</v>
      </c>
      <c r="L16" s="56">
        <f>IF(Rent!N16=0,0,($C16))</f>
        <v>200</v>
      </c>
      <c r="M16" s="56">
        <f>IF(Rent!O16=0,0,($C16))</f>
        <v>200</v>
      </c>
      <c r="N16" s="56">
        <f>IF(Rent!P16=0,0,($C16))</f>
        <v>200</v>
      </c>
      <c r="O16" s="56">
        <f>IF(Rent!Q16=0,0,($C16))</f>
        <v>200</v>
      </c>
      <c r="P16" s="56">
        <f t="shared" si="0"/>
        <v>200</v>
      </c>
    </row>
    <row r="17" spans="1:16">
      <c r="A17" s="45" t="str">
        <f>Rent!A17</f>
        <v>GECKO GIRLZ SHAVE ICE SHACK</v>
      </c>
      <c r="B17" s="52" t="str">
        <f>Rent!B17</f>
        <v>C-7</v>
      </c>
      <c r="C17" s="71">
        <f>Rent!D17</f>
        <v>518</v>
      </c>
      <c r="D17" s="56">
        <f>IF(Rent!F17=0,0,($C17))</f>
        <v>518</v>
      </c>
      <c r="E17" s="56">
        <f>IF(Rent!G17=0,0,($C17))</f>
        <v>518</v>
      </c>
      <c r="F17" s="56">
        <f>IF(Rent!H17=0,0,($C17))</f>
        <v>518</v>
      </c>
      <c r="G17" s="56">
        <f>IF(Rent!I17=0,0,($C17))</f>
        <v>518</v>
      </c>
      <c r="H17" s="56">
        <f>IF(Rent!J17=0,0,($C17))</f>
        <v>518</v>
      </c>
      <c r="I17" s="56">
        <f>IF(Rent!K17=0,0,($C17))</f>
        <v>518</v>
      </c>
      <c r="J17" s="56">
        <f>IF(Rent!L17=0,0,($C17))</f>
        <v>518</v>
      </c>
      <c r="K17" s="56">
        <f>IF(Rent!M17=0,0,($C17))</f>
        <v>518</v>
      </c>
      <c r="L17" s="56">
        <f>IF(Rent!N17=0,0,($C17))</f>
        <v>518</v>
      </c>
      <c r="M17" s="56">
        <f>IF(Rent!O17=0,0,($C17))</f>
        <v>518</v>
      </c>
      <c r="N17" s="56">
        <f>IF(Rent!P17=0,0,($C17))</f>
        <v>518</v>
      </c>
      <c r="O17" s="56">
        <f>IF(Rent!Q17=0,0,($C17))</f>
        <v>518</v>
      </c>
      <c r="P17" s="56">
        <f t="shared" si="0"/>
        <v>518</v>
      </c>
    </row>
    <row r="18" spans="1:16">
      <c r="A18" s="45" t="str">
        <f>Rent!A18</f>
        <v>BIG ISLAND RUNNING CO.</v>
      </c>
      <c r="B18" s="52" t="str">
        <f>Rent!B18</f>
        <v>C-8</v>
      </c>
      <c r="C18" s="71">
        <f>Rent!D18</f>
        <v>525</v>
      </c>
      <c r="D18" s="56">
        <f>IF(Rent!F18=0,0,($C18))</f>
        <v>525</v>
      </c>
      <c r="E18" s="56">
        <f>IF(Rent!G18=0,0,($C18))</f>
        <v>525</v>
      </c>
      <c r="F18" s="56">
        <f>IF(Rent!H18=0,0,($C18))</f>
        <v>525</v>
      </c>
      <c r="G18" s="56">
        <f>IF(Rent!I18=0,0,($C18))</f>
        <v>525</v>
      </c>
      <c r="H18" s="56">
        <f>IF(Rent!J18=0,0,($C18))</f>
        <v>525</v>
      </c>
      <c r="I18" s="56">
        <f>IF(Rent!K18=0,0,($C18))</f>
        <v>525</v>
      </c>
      <c r="J18" s="56">
        <f>IF(Rent!L18=0,0,($C18))</f>
        <v>525</v>
      </c>
      <c r="K18" s="56">
        <f>IF(Rent!M18=0,0,($C18))</f>
        <v>525</v>
      </c>
      <c r="L18" s="56">
        <f>IF(Rent!N18=0,0,($C18))</f>
        <v>525</v>
      </c>
      <c r="M18" s="56">
        <f>IF(Rent!O18=0,0,($C18))</f>
        <v>525</v>
      </c>
      <c r="N18" s="56">
        <f>IF(Rent!P18=0,0,($C18))</f>
        <v>525</v>
      </c>
      <c r="O18" s="56">
        <f>IF(Rent!Q18=0,0,($C18))</f>
        <v>525</v>
      </c>
      <c r="P18" s="56">
        <f t="shared" si="0"/>
        <v>525</v>
      </c>
    </row>
    <row r="19" spans="1:16">
      <c r="A19" s="45" t="str">
        <f>Rent!A19</f>
        <v>CAFE KONA</v>
      </c>
      <c r="B19" s="52" t="str">
        <f>Rent!B19</f>
        <v>D11-12</v>
      </c>
      <c r="C19" s="71">
        <f>Rent!D19</f>
        <v>994</v>
      </c>
      <c r="D19" s="56">
        <f>IF(Rent!F19=0,0,($C19))</f>
        <v>994</v>
      </c>
      <c r="E19" s="56">
        <f>IF(Rent!G19=0,0,($C19))</f>
        <v>994</v>
      </c>
      <c r="F19" s="56">
        <f>IF(Rent!H19=0,0,($C19))</f>
        <v>994</v>
      </c>
      <c r="G19" s="56">
        <f>IF(Rent!I19=0,0,($C19))</f>
        <v>994</v>
      </c>
      <c r="H19" s="56">
        <f>IF(Rent!J19=0,0,($C19))</f>
        <v>994</v>
      </c>
      <c r="I19" s="56">
        <f>IF(Rent!K19=0,0,($C19))</f>
        <v>994</v>
      </c>
      <c r="J19" s="56">
        <f>IF(Rent!L19=0,0,($C19))</f>
        <v>994</v>
      </c>
      <c r="K19" s="56">
        <f>IF(Rent!M19=0,0,($C19))</f>
        <v>994</v>
      </c>
      <c r="L19" s="56">
        <f>IF(Rent!N19=0,0,($C19))</f>
        <v>994</v>
      </c>
      <c r="M19" s="56">
        <f>IF(Rent!O19=0,0,($C19))</f>
        <v>994</v>
      </c>
      <c r="N19" s="56">
        <f>IF(Rent!P19=0,0,($C19))</f>
        <v>994</v>
      </c>
      <c r="O19" s="56">
        <f>IF(Rent!Q19=0,0,($C19))</f>
        <v>994</v>
      </c>
      <c r="P19" s="56">
        <f t="shared" si="0"/>
        <v>994</v>
      </c>
    </row>
    <row r="20" spans="1:16">
      <c r="A20" s="45" t="str">
        <f>Rent!A20</f>
        <v>LUCASIE LTD</v>
      </c>
      <c r="B20" s="52" t="str">
        <f>Rent!B20</f>
        <v>D9-D10</v>
      </c>
      <c r="C20" s="71">
        <f>Rent!D20</f>
        <v>1043</v>
      </c>
      <c r="D20" s="56">
        <f>IF(Rent!F20=0,0,($C20))</f>
        <v>1043</v>
      </c>
      <c r="E20" s="56">
        <f>IF(Rent!G20=0,0,($C20))</f>
        <v>1043</v>
      </c>
      <c r="F20" s="56">
        <f>IF(Rent!H20=0,0,($C20))</f>
        <v>1043</v>
      </c>
      <c r="G20" s="56">
        <f>IF(Rent!I20=0,0,($C20))</f>
        <v>1043</v>
      </c>
      <c r="H20" s="56">
        <f>IF(Rent!J20=0,0,($C20))</f>
        <v>1043</v>
      </c>
      <c r="I20" s="56">
        <f>IF(Rent!K20=0,0,($C20))</f>
        <v>1043</v>
      </c>
      <c r="J20" s="56">
        <f>IF(Rent!L20=0,0,($C20))</f>
        <v>1043</v>
      </c>
      <c r="K20" s="56">
        <f>IF(Rent!M20=0,0,($C20))</f>
        <v>1043</v>
      </c>
      <c r="L20" s="56">
        <f>IF(Rent!N20=0,0,($C20))</f>
        <v>1043</v>
      </c>
      <c r="M20" s="56">
        <f>IF(Rent!O20=0,0,($C20))</f>
        <v>1043</v>
      </c>
      <c r="N20" s="56">
        <f>IF(Rent!P20=0,0,($C20))</f>
        <v>1043</v>
      </c>
      <c r="O20" s="56">
        <f>IF(Rent!Q20=0,0,($C20))</f>
        <v>1043</v>
      </c>
      <c r="P20" s="56">
        <f t="shared" si="0"/>
        <v>1043</v>
      </c>
    </row>
    <row r="21" spans="1:16">
      <c r="A21" s="45" t="str">
        <f>Rent!A21</f>
        <v>FOSTERS KITCHEN</v>
      </c>
      <c r="B21" s="52" t="str">
        <f>Rent!B21</f>
        <v>DU-1</v>
      </c>
      <c r="C21" s="71">
        <f>Rent!D21</f>
        <v>3526</v>
      </c>
      <c r="D21" s="56">
        <f>IF(Rent!F21=0,0,($C21))</f>
        <v>3526</v>
      </c>
      <c r="E21" s="56">
        <f>IF(Rent!G21=0,0,($C21))</f>
        <v>3526</v>
      </c>
      <c r="F21" s="56">
        <f>IF(Rent!H21=0,0,($C21))</f>
        <v>3526</v>
      </c>
      <c r="G21" s="56">
        <f>IF(Rent!I21=0,0,($C21))</f>
        <v>3526</v>
      </c>
      <c r="H21" s="56">
        <f>IF(Rent!J21=0,0,($C21))</f>
        <v>3526</v>
      </c>
      <c r="I21" s="56">
        <f>IF(Rent!K21=0,0,($C21))</f>
        <v>3526</v>
      </c>
      <c r="J21" s="56">
        <f>IF(Rent!L21=0,0,($C21))</f>
        <v>3526</v>
      </c>
      <c r="K21" s="56">
        <f>IF(Rent!M21=0,0,($C21))</f>
        <v>3526</v>
      </c>
      <c r="L21" s="56">
        <f>IF(Rent!N21=0,0,($C21))</f>
        <v>3526</v>
      </c>
      <c r="M21" s="56">
        <f>IF(Rent!O21=0,0,($C21))</f>
        <v>3526</v>
      </c>
      <c r="N21" s="56">
        <f>IF(Rent!P21=0,0,($C21))</f>
        <v>3526</v>
      </c>
      <c r="O21" s="56">
        <f>IF(Rent!Q21=0,0,($C21))</f>
        <v>3526</v>
      </c>
      <c r="P21" s="56">
        <f t="shared" si="0"/>
        <v>3526</v>
      </c>
    </row>
    <row r="22" spans="1:16">
      <c r="A22" s="45" t="str">
        <f>Rent!A22</f>
        <v>HUMPYS BIG ISLAND ALEHOUSE</v>
      </c>
      <c r="B22" s="52" t="str">
        <f>Rent!B22</f>
        <v>E</v>
      </c>
      <c r="C22" s="71">
        <f>Rent!D22</f>
        <v>10736</v>
      </c>
      <c r="D22" s="56">
        <f>IF(Rent!F22=0,0,($C22))</f>
        <v>10736</v>
      </c>
      <c r="E22" s="56">
        <f>IF(Rent!G22=0,0,($C22))</f>
        <v>10736</v>
      </c>
      <c r="F22" s="56">
        <f>IF(Rent!H22=0,0,($C22))</f>
        <v>10736</v>
      </c>
      <c r="G22" s="56">
        <f>IF(Rent!I22=0,0,($C22))</f>
        <v>10736</v>
      </c>
      <c r="H22" s="56">
        <f>IF(Rent!J22=0,0,($C22))</f>
        <v>10736</v>
      </c>
      <c r="I22" s="56">
        <f>IF(Rent!K22=0,0,($C22))</f>
        <v>10736</v>
      </c>
      <c r="J22" s="56">
        <f>IF(Rent!L22=0,0,($C22))</f>
        <v>10736</v>
      </c>
      <c r="K22" s="56">
        <f>IF(Rent!M22=0,0,($C22))</f>
        <v>10736</v>
      </c>
      <c r="L22" s="56">
        <f>IF(Rent!N22=0,0,($C22))</f>
        <v>10736</v>
      </c>
      <c r="M22" s="56">
        <f>IF(Rent!O22=0,0,($C22))</f>
        <v>10736</v>
      </c>
      <c r="N22" s="56">
        <f>IF(Rent!P22=0,0,($C22))</f>
        <v>10736</v>
      </c>
      <c r="O22" s="56">
        <f>IF(Rent!Q22=0,0,($C22))</f>
        <v>10736</v>
      </c>
      <c r="P22" s="56">
        <f t="shared" si="0"/>
        <v>10736</v>
      </c>
    </row>
    <row r="23" spans="1:16">
      <c r="A23" s="45" t="str">
        <f>Rent!A23</f>
        <v>ABC STORE #75</v>
      </c>
      <c r="B23" s="52" t="str">
        <f>Rent!B23</f>
        <v>F15,17&amp;A8</v>
      </c>
      <c r="C23" s="71">
        <f>Rent!D23</f>
        <v>4000</v>
      </c>
      <c r="D23" s="56">
        <f>IF(Rent!F23=0,0,($C23))</f>
        <v>4000</v>
      </c>
      <c r="E23" s="56">
        <f>IF(Rent!G23=0,0,($C23))</f>
        <v>4000</v>
      </c>
      <c r="F23" s="56">
        <f>IF(Rent!H23=0,0,($C23))</f>
        <v>4000</v>
      </c>
      <c r="G23" s="56">
        <f>IF(Rent!I23=0,0,($C23))</f>
        <v>4000</v>
      </c>
      <c r="H23" s="56">
        <f>IF(Rent!J23=0,0,($C23))</f>
        <v>4000</v>
      </c>
      <c r="I23" s="56">
        <f>IF(Rent!K23=0,0,($C23))</f>
        <v>4000</v>
      </c>
      <c r="J23" s="56">
        <f>IF(Rent!L23=0,0,($C23))</f>
        <v>4000</v>
      </c>
      <c r="K23" s="56">
        <f>IF(Rent!M23=0,0,($C23))</f>
        <v>4000</v>
      </c>
      <c r="L23" s="56">
        <f>IF(Rent!N23=0,0,($C23))</f>
        <v>4000</v>
      </c>
      <c r="M23" s="56">
        <f>IF(Rent!O23=0,0,($C23))</f>
        <v>4000</v>
      </c>
      <c r="N23" s="56">
        <f>IF(Rent!P23=0,0,($C23))</f>
        <v>4000</v>
      </c>
      <c r="O23" s="56">
        <f>IF(Rent!Q23=0,0,($C23))</f>
        <v>4000</v>
      </c>
      <c r="P23" s="56">
        <f t="shared" si="0"/>
        <v>4000</v>
      </c>
    </row>
    <row r="24" spans="1:16">
      <c r="A24" s="45" t="str">
        <f>Rent!A24</f>
        <v>GYPSEA GALATO</v>
      </c>
      <c r="B24" s="52" t="str">
        <f>Rent!B24</f>
        <v>F-16</v>
      </c>
      <c r="C24" s="71">
        <f>Rent!D24</f>
        <v>500</v>
      </c>
      <c r="D24" s="56">
        <f>IF(Rent!F24=0,0,($C24))</f>
        <v>500</v>
      </c>
      <c r="E24" s="56">
        <f>IF(Rent!G24=0,0,($C24))</f>
        <v>500</v>
      </c>
      <c r="F24" s="56">
        <f>IF(Rent!H24=0,0,($C24))</f>
        <v>500</v>
      </c>
      <c r="G24" s="56">
        <f>IF(Rent!I24=0,0,($C24))</f>
        <v>500</v>
      </c>
      <c r="H24" s="56">
        <f>IF(Rent!J24=0,0,($C24))</f>
        <v>500</v>
      </c>
      <c r="I24" s="56">
        <f>IF(Rent!K24=0,0,($C24))</f>
        <v>500</v>
      </c>
      <c r="J24" s="56">
        <f>IF(Rent!L24=0,0,($C24))</f>
        <v>500</v>
      </c>
      <c r="K24" s="56">
        <f>IF(Rent!M24=0,0,($C24))</f>
        <v>500</v>
      </c>
      <c r="L24" s="56">
        <f>IF(Rent!N24=0,0,($C24))</f>
        <v>500</v>
      </c>
      <c r="M24" s="56">
        <f>IF(Rent!O24=0,0,($C24))</f>
        <v>500</v>
      </c>
      <c r="N24" s="56">
        <f>IF(Rent!P24=0,0,($C24))</f>
        <v>500</v>
      </c>
      <c r="O24" s="56">
        <f>IF(Rent!Q24=0,0,($C24))</f>
        <v>500</v>
      </c>
      <c r="P24" s="56">
        <f t="shared" si="0"/>
        <v>500</v>
      </c>
    </row>
    <row r="25" spans="1:16">
      <c r="A25" s="45" t="str">
        <f>Rent!A25</f>
        <v>OCEANS SPORTS BAR AND GRILL</v>
      </c>
      <c r="B25" s="52" t="str">
        <f>Rent!B25</f>
        <v>G</v>
      </c>
      <c r="C25" s="71">
        <f>Rent!D25</f>
        <v>2896</v>
      </c>
      <c r="D25" s="56">
        <f>IF(Rent!F25=0,0,($C25))</f>
        <v>2896</v>
      </c>
      <c r="E25" s="56">
        <f>IF(Rent!G25=0,0,($C25))</f>
        <v>2896</v>
      </c>
      <c r="F25" s="56">
        <f>IF(Rent!H25=0,0,($C25))</f>
        <v>2896</v>
      </c>
      <c r="G25" s="56">
        <f>IF(Rent!I25=0,0,($C25))</f>
        <v>2896</v>
      </c>
      <c r="H25" s="56">
        <f>IF(Rent!J25=0,0,($C25))</f>
        <v>2896</v>
      </c>
      <c r="I25" s="56">
        <f>IF(Rent!K25=0,0,($C25))</f>
        <v>2896</v>
      </c>
      <c r="J25" s="56">
        <f>IF(Rent!L25=0,0,($C25))</f>
        <v>2896</v>
      </c>
      <c r="K25" s="56">
        <f>IF(Rent!M25=0,0,($C25))</f>
        <v>2896</v>
      </c>
      <c r="L25" s="56">
        <f>IF(Rent!N25=0,0,($C25))</f>
        <v>2896</v>
      </c>
      <c r="M25" s="56">
        <f>IF(Rent!O25=0,0,($C25))</f>
        <v>2896</v>
      </c>
      <c r="N25" s="56">
        <f>IF(Rent!P25=0,0,($C25))</f>
        <v>2896</v>
      </c>
      <c r="O25" s="56">
        <f>IF(Rent!Q25=0,0,($C25))</f>
        <v>2896</v>
      </c>
      <c r="P25" s="56">
        <f t="shared" si="0"/>
        <v>2896</v>
      </c>
    </row>
    <row r="26" spans="1:16">
      <c r="A26" s="45" t="str">
        <f>Rent!A26</f>
        <v>JACKS DIVE LOCKER</v>
      </c>
      <c r="B26" s="52" t="str">
        <f>Rent!B26</f>
        <v>H</v>
      </c>
      <c r="C26" s="71">
        <f>Rent!D26</f>
        <v>8014</v>
      </c>
      <c r="D26" s="56">
        <f>IF(Rent!F26=0,0,($C26))</f>
        <v>8014</v>
      </c>
      <c r="E26" s="56">
        <f>IF(Rent!G26=0,0,($C26))</f>
        <v>8014</v>
      </c>
      <c r="F26" s="56">
        <f>IF(Rent!H26=0,0,($C26))</f>
        <v>8014</v>
      </c>
      <c r="G26" s="56">
        <f>IF(Rent!I26=0,0,($C26))</f>
        <v>8014</v>
      </c>
      <c r="H26" s="56">
        <f>IF(Rent!J26=0,0,($C26))</f>
        <v>8014</v>
      </c>
      <c r="I26" s="56">
        <f>IF(Rent!K26=0,0,($C26))</f>
        <v>8014</v>
      </c>
      <c r="J26" s="56">
        <f>IF(Rent!L26=0,0,($C26))</f>
        <v>8014</v>
      </c>
      <c r="K26" s="56">
        <f>IF(Rent!M26=0,0,($C26))</f>
        <v>8014</v>
      </c>
      <c r="L26" s="56">
        <f>IF(Rent!N26=0,0,($C26))</f>
        <v>8014</v>
      </c>
      <c r="M26" s="56">
        <f>IF(Rent!O26=0,0,($C26))</f>
        <v>8014</v>
      </c>
      <c r="N26" s="56">
        <f>IF(Rent!P26=0,0,($C26))</f>
        <v>8014</v>
      </c>
      <c r="O26" s="56">
        <f>IF(Rent!Q26=0,0,($C26))</f>
        <v>8014</v>
      </c>
      <c r="P26" s="56">
        <f t="shared" si="0"/>
        <v>8014</v>
      </c>
    </row>
    <row r="27" spans="1:16">
      <c r="A27" s="45" t="str">
        <f>Rent!A27</f>
        <v>QPOT</v>
      </c>
      <c r="B27" s="52" t="str">
        <f>Rent!B27</f>
        <v>I</v>
      </c>
      <c r="C27" s="71">
        <f>Rent!D27</f>
        <v>6500</v>
      </c>
      <c r="D27" s="56">
        <f>IF(Rent!F27=0,0,($C27))</f>
        <v>0</v>
      </c>
      <c r="E27" s="56">
        <f>IF(Rent!G27=0,0,($C27))</f>
        <v>0</v>
      </c>
      <c r="F27" s="56">
        <f>IF(Rent!H27=0,0,($C27))</f>
        <v>0</v>
      </c>
      <c r="G27" s="56">
        <f>IF(Rent!I27=0,0,($C27))</f>
        <v>0</v>
      </c>
      <c r="H27" s="56">
        <f>IF(Rent!J27=0,0,($C27))</f>
        <v>0</v>
      </c>
      <c r="I27" s="56">
        <f>IF(Rent!K27=0,0,($C27))</f>
        <v>0</v>
      </c>
      <c r="J27" s="56">
        <f>IF(Rent!L27=0,0,($C27))</f>
        <v>6500</v>
      </c>
      <c r="K27" s="56">
        <f>IF(Rent!M27=0,0,($C27))</f>
        <v>6500</v>
      </c>
      <c r="L27" s="56">
        <f>IF(Rent!N27=0,0,($C27))</f>
        <v>6500</v>
      </c>
      <c r="M27" s="56">
        <f>IF(Rent!O27=0,0,($C27))</f>
        <v>6500</v>
      </c>
      <c r="N27" s="56">
        <f>IF(Rent!P27=0,0,($C27))</f>
        <v>6500</v>
      </c>
      <c r="O27" s="56">
        <f>IF(Rent!Q27=0,0,($C27))</f>
        <v>6500</v>
      </c>
      <c r="P27" s="56">
        <f t="shared" si="0"/>
        <v>3250</v>
      </c>
    </row>
    <row r="28" spans="1:16">
      <c r="A28" s="45" t="str">
        <f>Rent!A28</f>
        <v>BOWLS SUPERFOODS &amp; ORALE TACOS</v>
      </c>
      <c r="B28" s="52" t="str">
        <f>Rent!B28</f>
        <v>PC-1&amp;2</v>
      </c>
      <c r="C28" s="71">
        <f>Rent!D28</f>
        <v>1993</v>
      </c>
      <c r="D28" s="56">
        <f>IF(Rent!F28=0,0,($C28))</f>
        <v>0</v>
      </c>
      <c r="E28" s="56">
        <f>IF(Rent!G28=0,0,($C28))</f>
        <v>0</v>
      </c>
      <c r="F28" s="56">
        <f>IF(Rent!H28=0,0,($C28))</f>
        <v>0</v>
      </c>
      <c r="G28" s="56">
        <f>IF(Rent!I28=0,0,($C28))</f>
        <v>0</v>
      </c>
      <c r="H28" s="56">
        <f>IF(Rent!J28=0,0,($C28))</f>
        <v>0</v>
      </c>
      <c r="I28" s="56">
        <f>IF(Rent!K28=0,0,($C28))</f>
        <v>0</v>
      </c>
      <c r="J28" s="56">
        <f>IF(Rent!L28=0,0,($C28))</f>
        <v>0</v>
      </c>
      <c r="K28" s="56">
        <f>IF(Rent!M28=0,0,($C28))</f>
        <v>0</v>
      </c>
      <c r="L28" s="56">
        <f>IF(Rent!N28=0,0,($C28))</f>
        <v>0</v>
      </c>
      <c r="M28" s="56">
        <f>IF(Rent!O28=0,0,($C28))</f>
        <v>0</v>
      </c>
      <c r="N28" s="56">
        <f>IF(Rent!P28=0,0,($C28))</f>
        <v>0</v>
      </c>
      <c r="O28" s="56">
        <f>IF(Rent!Q28=0,0,($C28))</f>
        <v>1993</v>
      </c>
      <c r="P28" s="56">
        <f t="shared" si="0"/>
        <v>166.08333333333334</v>
      </c>
    </row>
    <row r="29" spans="1:16">
      <c r="A29" s="45" t="str">
        <f>Rent!A29</f>
        <v>KONA GEAR INC.</v>
      </c>
      <c r="B29" s="52" t="str">
        <f>Rent!B29</f>
        <v>PC 3&amp;4</v>
      </c>
      <c r="C29" s="71">
        <f>Rent!D29</f>
        <v>962</v>
      </c>
      <c r="D29" s="56">
        <f>IF(Rent!F29=0,0,($C29))</f>
        <v>962</v>
      </c>
      <c r="E29" s="56">
        <f>IF(Rent!G29=0,0,($C29))</f>
        <v>962</v>
      </c>
      <c r="F29" s="56">
        <f>IF(Rent!H29=0,0,($C29))</f>
        <v>962</v>
      </c>
      <c r="G29" s="56">
        <f>IF(Rent!I29=0,0,($C29))</f>
        <v>962</v>
      </c>
      <c r="H29" s="56">
        <f>IF(Rent!J29=0,0,($C29))</f>
        <v>962</v>
      </c>
      <c r="I29" s="56">
        <f>IF(Rent!K29=0,0,($C29))</f>
        <v>962</v>
      </c>
      <c r="J29" s="56">
        <f>IF(Rent!L29=0,0,($C29))</f>
        <v>962</v>
      </c>
      <c r="K29" s="56">
        <f>IF(Rent!M29=0,0,($C29))</f>
        <v>962</v>
      </c>
      <c r="L29" s="56">
        <f>IF(Rent!N29=0,0,($C29))</f>
        <v>962</v>
      </c>
      <c r="M29" s="56">
        <f>IF(Rent!O29=0,0,($C29))</f>
        <v>962</v>
      </c>
      <c r="N29" s="56">
        <f>IF(Rent!P29=0,0,($C29))</f>
        <v>962</v>
      </c>
      <c r="O29" s="56">
        <f>IF(Rent!Q29=0,0,($C29))</f>
        <v>962</v>
      </c>
      <c r="P29" s="56">
        <f t="shared" si="0"/>
        <v>962</v>
      </c>
    </row>
    <row r="30" spans="1:16">
      <c r="A30" s="45" t="str">
        <f>Rent!A30</f>
        <v>LAVERNES</v>
      </c>
      <c r="B30" s="52" t="str">
        <f>Rent!B30</f>
        <v>PC/U1</v>
      </c>
      <c r="C30" s="71">
        <f>Rent!D30</f>
        <v>3704</v>
      </c>
      <c r="D30" s="56">
        <f>IF(Rent!F30=0,0,($C30))</f>
        <v>3704</v>
      </c>
      <c r="E30" s="56">
        <f>IF(Rent!G30=0,0,($C30))</f>
        <v>3704</v>
      </c>
      <c r="F30" s="56">
        <f>IF(Rent!H30=0,0,($C30))</f>
        <v>3704</v>
      </c>
      <c r="G30" s="56">
        <f>IF(Rent!I30=0,0,($C30))</f>
        <v>3704</v>
      </c>
      <c r="H30" s="56">
        <f>IF(Rent!J30=0,0,($C30))</f>
        <v>3704</v>
      </c>
      <c r="I30" s="56">
        <f>IF(Rent!K30=0,0,($C30))</f>
        <v>3704</v>
      </c>
      <c r="J30" s="56">
        <f>IF(Rent!L30=0,0,($C30))</f>
        <v>3704</v>
      </c>
      <c r="K30" s="56">
        <f>IF(Rent!M30=0,0,($C30))</f>
        <v>3704</v>
      </c>
      <c r="L30" s="56">
        <f>IF(Rent!N30=0,0,($C30))</f>
        <v>3704</v>
      </c>
      <c r="M30" s="56">
        <f>IF(Rent!O30=0,0,($C30))</f>
        <v>3704</v>
      </c>
      <c r="N30" s="56">
        <f>IF(Rent!P30=0,0,($C30))</f>
        <v>3704</v>
      </c>
      <c r="O30" s="56">
        <f>IF(Rent!Q30=0,0,($C30))</f>
        <v>3704</v>
      </c>
      <c r="P30" s="56">
        <f t="shared" si="0"/>
        <v>3704</v>
      </c>
    </row>
    <row r="31" spans="1:16"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 spans="1:16">
      <c r="A32" s="289"/>
      <c r="B32" s="318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339"/>
    </row>
    <row r="33" spans="1:16">
      <c r="A33" s="204" t="s">
        <v>437</v>
      </c>
      <c r="B33" s="311"/>
      <c r="C33" s="295">
        <f t="shared" ref="C33:P33" si="1">SUM(C14:C32)</f>
        <v>51058</v>
      </c>
      <c r="D33" s="295">
        <f t="shared" si="1"/>
        <v>42565</v>
      </c>
      <c r="E33" s="295">
        <f t="shared" si="1"/>
        <v>42565</v>
      </c>
      <c r="F33" s="295">
        <f t="shared" si="1"/>
        <v>42565</v>
      </c>
      <c r="G33" s="295">
        <f t="shared" si="1"/>
        <v>42565</v>
      </c>
      <c r="H33" s="295">
        <f t="shared" si="1"/>
        <v>42565</v>
      </c>
      <c r="I33" s="295">
        <f t="shared" si="1"/>
        <v>42565</v>
      </c>
      <c r="J33" s="295">
        <f t="shared" si="1"/>
        <v>49065</v>
      </c>
      <c r="K33" s="295">
        <f t="shared" si="1"/>
        <v>49065</v>
      </c>
      <c r="L33" s="295">
        <f t="shared" si="1"/>
        <v>49065</v>
      </c>
      <c r="M33" s="295">
        <f t="shared" si="1"/>
        <v>49065</v>
      </c>
      <c r="N33" s="295">
        <f t="shared" si="1"/>
        <v>49065</v>
      </c>
      <c r="O33" s="295">
        <f t="shared" si="1"/>
        <v>51058</v>
      </c>
      <c r="P33" s="340">
        <f t="shared" si="1"/>
        <v>45981.083333333336</v>
      </c>
    </row>
    <row r="34" spans="1:16">
      <c r="A34" s="298"/>
      <c r="B34" s="300"/>
      <c r="C34" s="300"/>
      <c r="D34" s="341">
        <f t="shared" ref="D34:P34" si="2">D33/$C33</f>
        <v>0.83365975948920834</v>
      </c>
      <c r="E34" s="341">
        <f t="shared" si="2"/>
        <v>0.83365975948920834</v>
      </c>
      <c r="F34" s="341">
        <f t="shared" si="2"/>
        <v>0.83365975948920834</v>
      </c>
      <c r="G34" s="341">
        <f t="shared" si="2"/>
        <v>0.83365975948920834</v>
      </c>
      <c r="H34" s="341">
        <f t="shared" si="2"/>
        <v>0.83365975948920834</v>
      </c>
      <c r="I34" s="341">
        <f t="shared" si="2"/>
        <v>0.83365975948920834</v>
      </c>
      <c r="J34" s="341">
        <f t="shared" si="2"/>
        <v>0.96096596028046533</v>
      </c>
      <c r="K34" s="341">
        <f t="shared" si="2"/>
        <v>0.96096596028046533</v>
      </c>
      <c r="L34" s="341">
        <f t="shared" si="2"/>
        <v>0.96096596028046533</v>
      </c>
      <c r="M34" s="341">
        <f t="shared" si="2"/>
        <v>0.96096596028046533</v>
      </c>
      <c r="N34" s="341">
        <f t="shared" si="2"/>
        <v>0.96096596028046533</v>
      </c>
      <c r="O34" s="341">
        <f t="shared" si="2"/>
        <v>1</v>
      </c>
      <c r="P34" s="342">
        <f t="shared" si="2"/>
        <v>0.90056569652813145</v>
      </c>
    </row>
  </sheetData>
  <mergeCells count="5">
    <mergeCell ref="A6:P6"/>
    <mergeCell ref="A2:P2"/>
    <mergeCell ref="A3:P3"/>
    <mergeCell ref="A4:P4"/>
    <mergeCell ref="A5:P5"/>
  </mergeCells>
  <phoneticPr fontId="0" type="noConversion"/>
  <printOptions horizontalCentered="1"/>
  <pageMargins left="0.21" right="0.16" top="0.5" bottom="0.75" header="0.5" footer="0.5"/>
  <pageSetup paperSize="3" firstPageNumber="11" orientation="landscape" useFirstPageNumber="1" r:id="rId1"/>
  <headerFooter scaleWithDoc="0" alignWithMargins="0">
    <oddFooter>Page 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FM241"/>
  <sheetViews>
    <sheetView topLeftCell="BU1" zoomScale="110" zoomScaleNormal="110" workbookViewId="0">
      <selection activeCell="CB1" sqref="CB1:CJ110"/>
    </sheetView>
  </sheetViews>
  <sheetFormatPr defaultColWidth="9.26953125" defaultRowHeight="13"/>
  <cols>
    <col min="1" max="1" width="12.453125" style="108" customWidth="1"/>
    <col min="2" max="2" width="26.453125" style="108" customWidth="1"/>
    <col min="3" max="3" width="13.54296875" style="108" customWidth="1"/>
    <col min="4" max="4" width="15.453125" style="108" customWidth="1"/>
    <col min="5" max="5" width="15.26953125" style="108" customWidth="1"/>
    <col min="6" max="6" width="17" style="108" customWidth="1"/>
    <col min="7" max="7" width="17" style="45" customWidth="1"/>
    <col min="8" max="8" width="12.7265625" style="52" customWidth="1"/>
    <col min="9" max="9" width="30.7265625" style="45" customWidth="1"/>
    <col min="10" max="16" width="12.7265625" style="45" customWidth="1"/>
    <col min="17" max="17" width="12.7265625" style="52" customWidth="1"/>
    <col min="18" max="18" width="30.7265625" style="45" customWidth="1"/>
    <col min="19" max="19" width="21" style="45" bestFit="1" customWidth="1"/>
    <col min="20" max="20" width="14.26953125" style="45" bestFit="1" customWidth="1"/>
    <col min="21" max="21" width="14.54296875" style="45" bestFit="1" customWidth="1"/>
    <col min="22" max="22" width="12.26953125" style="45" bestFit="1" customWidth="1"/>
    <col min="23" max="23" width="14.54296875" style="45" bestFit="1" customWidth="1"/>
    <col min="24" max="25" width="12.7265625" style="45" customWidth="1"/>
    <col min="26" max="26" width="12.7265625" style="52" customWidth="1"/>
    <col min="27" max="27" width="30.7265625" style="45" customWidth="1"/>
    <col min="28" max="34" width="12.7265625" style="45" customWidth="1"/>
    <col min="35" max="35" width="12.7265625" style="52" customWidth="1"/>
    <col min="36" max="36" width="30.7265625" style="45" customWidth="1"/>
    <col min="37" max="43" width="12.7265625" style="45" customWidth="1"/>
    <col min="44" max="44" width="12.7265625" style="52" customWidth="1"/>
    <col min="45" max="45" width="30.7265625" style="45" customWidth="1"/>
    <col min="46" max="52" width="12.7265625" style="45" customWidth="1"/>
    <col min="53" max="53" width="12.7265625" style="52" hidden="1" customWidth="1"/>
    <col min="54" max="54" width="30.7265625" style="45" hidden="1" customWidth="1"/>
    <col min="55" max="61" width="12.7265625" style="45" hidden="1" customWidth="1"/>
    <col min="62" max="62" width="12.7265625" style="52" customWidth="1"/>
    <col min="63" max="63" width="30.7265625" style="45" customWidth="1"/>
    <col min="64" max="70" width="12.7265625" style="45" customWidth="1"/>
    <col min="71" max="71" width="12.7265625" style="52" customWidth="1"/>
    <col min="72" max="72" width="30.7265625" style="45" customWidth="1"/>
    <col min="73" max="79" width="12.7265625" style="45" customWidth="1"/>
    <col min="80" max="80" width="12.7265625" style="52" customWidth="1"/>
    <col min="81" max="81" width="30.7265625" style="45" customWidth="1"/>
    <col min="82" max="88" width="12.7265625" style="45" customWidth="1"/>
    <col min="89" max="89" width="12.7265625" style="52" customWidth="1"/>
    <col min="90" max="90" width="30.7265625" style="45" customWidth="1"/>
    <col min="91" max="97" width="12.7265625" style="45" customWidth="1"/>
    <col min="98" max="98" width="12.7265625" style="52" customWidth="1"/>
    <col min="99" max="99" width="30.7265625" style="45" customWidth="1"/>
    <col min="100" max="101" width="12.7265625" style="45" customWidth="1"/>
    <col min="102" max="102" width="14.54296875" style="45" bestFit="1" customWidth="1"/>
    <col min="103" max="106" width="12.7265625" style="45" customWidth="1"/>
    <col min="107" max="107" width="12.7265625" style="52" customWidth="1"/>
    <col min="108" max="108" width="30.7265625" style="45" customWidth="1"/>
    <col min="109" max="115" width="12.7265625" style="45" customWidth="1"/>
    <col min="116" max="116" width="12.7265625" style="52" customWidth="1"/>
    <col min="117" max="117" width="30.7265625" style="45" customWidth="1"/>
    <col min="118" max="124" width="12.7265625" style="45" customWidth="1"/>
    <col min="125" max="125" width="12.7265625" style="52" customWidth="1"/>
    <col min="126" max="126" width="30.7265625" style="45" customWidth="1"/>
    <col min="127" max="133" width="12.7265625" style="45" customWidth="1"/>
    <col min="134" max="134" width="12.7265625" style="52" customWidth="1"/>
    <col min="135" max="135" width="30.7265625" style="45" customWidth="1"/>
    <col min="136" max="142" width="12.7265625" style="45" customWidth="1"/>
    <col min="143" max="143" width="12.7265625" style="52" customWidth="1"/>
    <col min="144" max="144" width="30.7265625" style="45" customWidth="1"/>
    <col min="145" max="151" width="12.7265625" style="45" customWidth="1"/>
    <col min="152" max="152" width="12.7265625" style="52" customWidth="1"/>
    <col min="153" max="153" width="30.7265625" style="45" customWidth="1"/>
    <col min="154" max="160" width="12.7265625" style="45" customWidth="1"/>
    <col min="161" max="161" width="12.7265625" style="52" customWidth="1"/>
    <col min="162" max="162" width="30.7265625" style="45" customWidth="1"/>
    <col min="163" max="169" width="12.7265625" style="45" customWidth="1"/>
    <col min="170" max="16384" width="9.26953125" style="45"/>
  </cols>
  <sheetData>
    <row r="1" spans="1:169">
      <c r="B1" s="109"/>
      <c r="C1" s="109"/>
      <c r="D1" s="109"/>
      <c r="E1" s="109"/>
      <c r="F1" s="258"/>
      <c r="H1" s="138"/>
      <c r="I1" s="130"/>
      <c r="J1" s="130"/>
      <c r="K1" s="130"/>
      <c r="L1" s="130"/>
      <c r="M1" s="130"/>
      <c r="N1" s="130"/>
      <c r="O1" s="130"/>
      <c r="P1" s="131"/>
      <c r="Q1" s="138"/>
      <c r="R1" s="130"/>
      <c r="S1" s="130"/>
      <c r="T1" s="130"/>
      <c r="U1" s="130"/>
      <c r="V1" s="130"/>
      <c r="W1" s="130"/>
      <c r="X1" s="130"/>
      <c r="Y1" s="131"/>
      <c r="Z1" s="138"/>
      <c r="AA1" s="130"/>
      <c r="AB1" s="130"/>
      <c r="AC1" s="130"/>
      <c r="AD1" s="130"/>
      <c r="AE1" s="130"/>
      <c r="AF1" s="130"/>
      <c r="AG1" s="130"/>
      <c r="AH1" s="131"/>
      <c r="AI1" s="138"/>
      <c r="AJ1" s="130"/>
      <c r="AK1" s="130"/>
      <c r="AL1" s="130"/>
      <c r="AM1" s="130"/>
      <c r="AN1" s="130"/>
      <c r="AO1" s="130"/>
      <c r="AP1" s="130"/>
      <c r="AQ1" s="131"/>
      <c r="AR1" s="138"/>
      <c r="AS1" s="130"/>
      <c r="AT1" s="130"/>
      <c r="AU1" s="130"/>
      <c r="AV1" s="130"/>
      <c r="AW1" s="130"/>
      <c r="AX1" s="130"/>
      <c r="AY1" s="130"/>
      <c r="AZ1" s="131"/>
      <c r="BA1" s="138"/>
      <c r="BB1" s="130"/>
      <c r="BC1" s="130"/>
      <c r="BD1" s="130"/>
      <c r="BE1" s="130"/>
      <c r="BF1" s="130"/>
      <c r="BG1" s="130"/>
      <c r="BH1" s="130"/>
      <c r="BI1" s="131"/>
      <c r="BJ1" s="138"/>
      <c r="BK1" s="130"/>
      <c r="BL1" s="130"/>
      <c r="BM1" s="130"/>
      <c r="BN1" s="130"/>
      <c r="BO1" s="130"/>
      <c r="BP1" s="130"/>
      <c r="BQ1" s="130"/>
      <c r="BR1" s="131"/>
      <c r="BS1" s="138"/>
      <c r="BT1" s="130"/>
      <c r="BU1" s="130"/>
      <c r="BV1" s="130"/>
      <c r="BW1" s="130"/>
      <c r="BX1" s="130"/>
      <c r="BY1" s="130"/>
      <c r="BZ1" s="130"/>
      <c r="CA1" s="131"/>
      <c r="CB1" s="138"/>
      <c r="CC1" s="130"/>
      <c r="CD1" s="130"/>
      <c r="CE1" s="130"/>
      <c r="CF1" s="130"/>
      <c r="CG1" s="130"/>
      <c r="CH1" s="130"/>
      <c r="CI1" s="130"/>
      <c r="CJ1" s="131"/>
      <c r="CK1" s="138"/>
      <c r="CL1" s="130"/>
      <c r="CM1" s="130"/>
      <c r="CN1" s="130"/>
      <c r="CO1" s="130"/>
      <c r="CP1" s="130"/>
      <c r="CQ1" s="130"/>
      <c r="CR1" s="130"/>
      <c r="CS1" s="131"/>
      <c r="CT1" s="138"/>
      <c r="CU1" s="130"/>
      <c r="CV1" s="130"/>
      <c r="CW1" s="130"/>
      <c r="CX1" s="130"/>
      <c r="CY1" s="130"/>
      <c r="CZ1" s="130"/>
      <c r="DA1" s="130"/>
      <c r="DB1" s="131"/>
      <c r="DC1" s="138"/>
      <c r="DD1" s="130"/>
      <c r="DE1" s="130"/>
      <c r="DF1" s="130"/>
      <c r="DG1" s="130"/>
      <c r="DH1" s="130"/>
      <c r="DI1" s="130"/>
      <c r="DJ1" s="130"/>
      <c r="DK1" s="131"/>
      <c r="DL1" s="138"/>
      <c r="DM1" s="130"/>
      <c r="DN1" s="130"/>
      <c r="DO1" s="130"/>
      <c r="DP1" s="130"/>
      <c r="DQ1" s="130"/>
      <c r="DR1" s="130"/>
      <c r="DS1" s="130"/>
      <c r="DT1" s="131"/>
      <c r="DU1" s="138"/>
      <c r="DV1" s="130"/>
      <c r="DW1" s="130"/>
      <c r="DX1" s="130"/>
      <c r="DY1" s="130"/>
      <c r="DZ1" s="130"/>
      <c r="EA1" s="130"/>
      <c r="EB1" s="130"/>
      <c r="EC1" s="131"/>
      <c r="ED1" s="138"/>
      <c r="EE1" s="130"/>
      <c r="EF1" s="130"/>
      <c r="EG1" s="130"/>
      <c r="EH1" s="130"/>
      <c r="EI1" s="130"/>
      <c r="EJ1" s="130"/>
      <c r="EK1" s="130"/>
      <c r="EL1" s="131"/>
      <c r="EM1" s="138"/>
      <c r="EN1" s="130"/>
      <c r="EO1" s="130"/>
      <c r="EP1" s="130"/>
      <c r="EQ1" s="130"/>
      <c r="ER1" s="130"/>
      <c r="ES1" s="130"/>
      <c r="ET1" s="130"/>
      <c r="EU1" s="131"/>
      <c r="EV1" s="138"/>
      <c r="EW1" s="130"/>
      <c r="EX1" s="130"/>
      <c r="EY1" s="130"/>
      <c r="EZ1" s="130"/>
      <c r="FA1" s="130"/>
      <c r="FB1" s="130"/>
      <c r="FC1" s="130"/>
      <c r="FD1" s="131"/>
      <c r="FE1" s="138"/>
      <c r="FF1" s="130"/>
      <c r="FG1" s="130"/>
      <c r="FH1" s="130"/>
      <c r="FI1" s="130"/>
      <c r="FJ1" s="130"/>
      <c r="FK1" s="130"/>
      <c r="FL1" s="130"/>
      <c r="FM1" s="131"/>
    </row>
    <row r="2" spans="1:169">
      <c r="A2" s="634" t="str">
        <f>Summ.!A6</f>
        <v>2026 OPERATING BUDGET</v>
      </c>
      <c r="B2" s="634"/>
      <c r="C2" s="634"/>
      <c r="D2" s="634"/>
      <c r="E2" s="634"/>
      <c r="F2" s="634"/>
      <c r="H2" s="633" t="str">
        <f>Summ.!A2</f>
        <v>ATHENA PROPERTY MANAGEMENT</v>
      </c>
      <c r="I2" s="634"/>
      <c r="J2" s="634"/>
      <c r="K2" s="634"/>
      <c r="L2" s="634"/>
      <c r="M2" s="634"/>
      <c r="N2" s="634"/>
      <c r="O2" s="634"/>
      <c r="P2" s="635"/>
      <c r="Q2" s="633" t="str">
        <f>+H2</f>
        <v>ATHENA PROPERTY MANAGEMENT</v>
      </c>
      <c r="R2" s="634"/>
      <c r="S2" s="634"/>
      <c r="T2" s="634"/>
      <c r="U2" s="634"/>
      <c r="V2" s="634"/>
      <c r="W2" s="634"/>
      <c r="X2" s="634"/>
      <c r="Y2" s="635"/>
      <c r="Z2" s="633" t="str">
        <f>Q2</f>
        <v>ATHENA PROPERTY MANAGEMENT</v>
      </c>
      <c r="AA2" s="634"/>
      <c r="AB2" s="634"/>
      <c r="AC2" s="634"/>
      <c r="AD2" s="634"/>
      <c r="AE2" s="634"/>
      <c r="AF2" s="634"/>
      <c r="AG2" s="634"/>
      <c r="AH2" s="635"/>
      <c r="AI2" s="633" t="str">
        <f>+Z2</f>
        <v>ATHENA PROPERTY MANAGEMENT</v>
      </c>
      <c r="AJ2" s="634"/>
      <c r="AK2" s="634"/>
      <c r="AL2" s="634"/>
      <c r="AM2" s="634"/>
      <c r="AN2" s="634"/>
      <c r="AO2" s="634"/>
      <c r="AP2" s="634"/>
      <c r="AQ2" s="635"/>
      <c r="AR2" s="633" t="str">
        <f>+AI2</f>
        <v>ATHENA PROPERTY MANAGEMENT</v>
      </c>
      <c r="AS2" s="634"/>
      <c r="AT2" s="634"/>
      <c r="AU2" s="634"/>
      <c r="AV2" s="634"/>
      <c r="AW2" s="634"/>
      <c r="AX2" s="634"/>
      <c r="AY2" s="634"/>
      <c r="AZ2" s="635"/>
      <c r="BA2" s="633" t="str">
        <f>+AR2</f>
        <v>ATHENA PROPERTY MANAGEMENT</v>
      </c>
      <c r="BB2" s="634"/>
      <c r="BC2" s="634"/>
      <c r="BD2" s="634"/>
      <c r="BE2" s="634"/>
      <c r="BF2" s="634"/>
      <c r="BG2" s="634"/>
      <c r="BH2" s="634"/>
      <c r="BI2" s="635"/>
      <c r="BJ2" s="633" t="str">
        <f>+AR2</f>
        <v>ATHENA PROPERTY MANAGEMENT</v>
      </c>
      <c r="BK2" s="634"/>
      <c r="BL2" s="634"/>
      <c r="BM2" s="634"/>
      <c r="BN2" s="634"/>
      <c r="BO2" s="634"/>
      <c r="BP2" s="634"/>
      <c r="BQ2" s="634"/>
      <c r="BR2" s="635"/>
      <c r="BS2" s="633" t="str">
        <f>+BJ2</f>
        <v>ATHENA PROPERTY MANAGEMENT</v>
      </c>
      <c r="BT2" s="634"/>
      <c r="BU2" s="634"/>
      <c r="BV2" s="634"/>
      <c r="BW2" s="634"/>
      <c r="BX2" s="634"/>
      <c r="BY2" s="634"/>
      <c r="BZ2" s="634"/>
      <c r="CA2" s="635"/>
      <c r="CB2" s="633" t="str">
        <f>BS2</f>
        <v>ATHENA PROPERTY MANAGEMENT</v>
      </c>
      <c r="CC2" s="634"/>
      <c r="CD2" s="634"/>
      <c r="CE2" s="634"/>
      <c r="CF2" s="634"/>
      <c r="CG2" s="634"/>
      <c r="CH2" s="634"/>
      <c r="CI2" s="634"/>
      <c r="CJ2" s="635"/>
      <c r="CK2" s="633" t="str">
        <f>+CB2</f>
        <v>ATHENA PROPERTY MANAGEMENT</v>
      </c>
      <c r="CL2" s="634"/>
      <c r="CM2" s="634"/>
      <c r="CN2" s="634"/>
      <c r="CO2" s="634"/>
      <c r="CP2" s="634"/>
      <c r="CQ2" s="634"/>
      <c r="CR2" s="634"/>
      <c r="CS2" s="635"/>
      <c r="CT2" s="633" t="str">
        <f>CK2</f>
        <v>ATHENA PROPERTY MANAGEMENT</v>
      </c>
      <c r="CU2" s="634"/>
      <c r="CV2" s="634"/>
      <c r="CW2" s="634"/>
      <c r="CX2" s="634"/>
      <c r="CY2" s="634"/>
      <c r="CZ2" s="634"/>
      <c r="DA2" s="634"/>
      <c r="DB2" s="635"/>
      <c r="DC2" s="633" t="str">
        <f>+CT2</f>
        <v>ATHENA PROPERTY MANAGEMENT</v>
      </c>
      <c r="DD2" s="634"/>
      <c r="DE2" s="634"/>
      <c r="DF2" s="634"/>
      <c r="DG2" s="634"/>
      <c r="DH2" s="634"/>
      <c r="DI2" s="634"/>
      <c r="DJ2" s="634"/>
      <c r="DK2" s="635"/>
      <c r="DL2" s="633" t="str">
        <f>DC2</f>
        <v>ATHENA PROPERTY MANAGEMENT</v>
      </c>
      <c r="DM2" s="634"/>
      <c r="DN2" s="634"/>
      <c r="DO2" s="634"/>
      <c r="DP2" s="634"/>
      <c r="DQ2" s="634"/>
      <c r="DR2" s="634"/>
      <c r="DS2" s="634"/>
      <c r="DT2" s="635"/>
      <c r="DU2" s="633" t="str">
        <f>+DL2</f>
        <v>ATHENA PROPERTY MANAGEMENT</v>
      </c>
      <c r="DV2" s="634"/>
      <c r="DW2" s="634"/>
      <c r="DX2" s="634"/>
      <c r="DY2" s="634"/>
      <c r="DZ2" s="634"/>
      <c r="EA2" s="634"/>
      <c r="EB2" s="634"/>
      <c r="EC2" s="635"/>
      <c r="ED2" s="633" t="str">
        <f>+DU2</f>
        <v>ATHENA PROPERTY MANAGEMENT</v>
      </c>
      <c r="EE2" s="634"/>
      <c r="EF2" s="634"/>
      <c r="EG2" s="634"/>
      <c r="EH2" s="634"/>
      <c r="EI2" s="634"/>
      <c r="EJ2" s="634"/>
      <c r="EK2" s="634"/>
      <c r="EL2" s="635"/>
      <c r="EM2" s="633" t="str">
        <f>+ED2</f>
        <v>ATHENA PROPERTY MANAGEMENT</v>
      </c>
      <c r="EN2" s="634"/>
      <c r="EO2" s="634"/>
      <c r="EP2" s="634"/>
      <c r="EQ2" s="634"/>
      <c r="ER2" s="634"/>
      <c r="ES2" s="634"/>
      <c r="ET2" s="634"/>
      <c r="EU2" s="635"/>
      <c r="EV2" s="633" t="str">
        <f>+EM2</f>
        <v>ATHENA PROPERTY MANAGEMENT</v>
      </c>
      <c r="EW2" s="634"/>
      <c r="EX2" s="634"/>
      <c r="EY2" s="634"/>
      <c r="EZ2" s="634"/>
      <c r="FA2" s="634"/>
      <c r="FB2" s="634"/>
      <c r="FC2" s="634"/>
      <c r="FD2" s="635"/>
      <c r="FE2" s="633" t="str">
        <f>+EV2</f>
        <v>ATHENA PROPERTY MANAGEMENT</v>
      </c>
      <c r="FF2" s="634"/>
      <c r="FG2" s="634"/>
      <c r="FH2" s="634"/>
      <c r="FI2" s="634"/>
      <c r="FJ2" s="634"/>
      <c r="FK2" s="634"/>
      <c r="FL2" s="634"/>
      <c r="FM2" s="635"/>
    </row>
    <row r="3" spans="1:169">
      <c r="A3" s="634" t="str">
        <f>Summ.!A5</f>
        <v>01/01/26- 12/31/26</v>
      </c>
      <c r="B3" s="634"/>
      <c r="C3" s="634"/>
      <c r="D3" s="634"/>
      <c r="E3" s="634"/>
      <c r="F3" s="634"/>
      <c r="H3" s="633" t="str">
        <f>Summ.!A5</f>
        <v>01/01/26- 12/31/26</v>
      </c>
      <c r="I3" s="634"/>
      <c r="J3" s="634"/>
      <c r="K3" s="634"/>
      <c r="L3" s="634"/>
      <c r="M3" s="634"/>
      <c r="N3" s="634"/>
      <c r="O3" s="634"/>
      <c r="P3" s="635"/>
      <c r="Q3" s="633" t="str">
        <f>+H3</f>
        <v>01/01/26- 12/31/26</v>
      </c>
      <c r="R3" s="634"/>
      <c r="S3" s="634"/>
      <c r="T3" s="634"/>
      <c r="U3" s="634"/>
      <c r="V3" s="634"/>
      <c r="W3" s="634"/>
      <c r="X3" s="634"/>
      <c r="Y3" s="635"/>
      <c r="Z3" s="633" t="str">
        <f t="shared" ref="Z3:Z4" si="0">Q3</f>
        <v>01/01/26- 12/31/26</v>
      </c>
      <c r="AA3" s="634"/>
      <c r="AB3" s="634"/>
      <c r="AC3" s="634"/>
      <c r="AD3" s="634"/>
      <c r="AE3" s="634"/>
      <c r="AF3" s="634"/>
      <c r="AG3" s="634"/>
      <c r="AH3" s="635"/>
      <c r="AI3" s="633" t="str">
        <f>+Z3</f>
        <v>01/01/26- 12/31/26</v>
      </c>
      <c r="AJ3" s="634"/>
      <c r="AK3" s="634"/>
      <c r="AL3" s="634"/>
      <c r="AM3" s="634"/>
      <c r="AN3" s="634"/>
      <c r="AO3" s="634"/>
      <c r="AP3" s="634"/>
      <c r="AQ3" s="635"/>
      <c r="AR3" s="633" t="str">
        <f>+AI3</f>
        <v>01/01/26- 12/31/26</v>
      </c>
      <c r="AS3" s="634"/>
      <c r="AT3" s="634"/>
      <c r="AU3" s="634"/>
      <c r="AV3" s="634"/>
      <c r="AW3" s="634"/>
      <c r="AX3" s="634"/>
      <c r="AY3" s="634"/>
      <c r="AZ3" s="635"/>
      <c r="BA3" s="633" t="str">
        <f>+AR3</f>
        <v>01/01/26- 12/31/26</v>
      </c>
      <c r="BB3" s="634"/>
      <c r="BC3" s="634"/>
      <c r="BD3" s="634"/>
      <c r="BE3" s="634"/>
      <c r="BF3" s="634"/>
      <c r="BG3" s="634"/>
      <c r="BH3" s="634"/>
      <c r="BI3" s="635"/>
      <c r="BJ3" s="633" t="str">
        <f>+AR3</f>
        <v>01/01/26- 12/31/26</v>
      </c>
      <c r="BK3" s="634"/>
      <c r="BL3" s="634"/>
      <c r="BM3" s="634"/>
      <c r="BN3" s="634"/>
      <c r="BO3" s="634"/>
      <c r="BP3" s="634"/>
      <c r="BQ3" s="634"/>
      <c r="BR3" s="635"/>
      <c r="BS3" s="633" t="str">
        <f>+BJ3</f>
        <v>01/01/26- 12/31/26</v>
      </c>
      <c r="BT3" s="634"/>
      <c r="BU3" s="634"/>
      <c r="BV3" s="634"/>
      <c r="BW3" s="634"/>
      <c r="BX3" s="634"/>
      <c r="BY3" s="634"/>
      <c r="BZ3" s="634"/>
      <c r="CA3" s="635"/>
      <c r="CB3" s="633" t="str">
        <f t="shared" ref="CB3:CB4" si="1">BS3</f>
        <v>01/01/26- 12/31/26</v>
      </c>
      <c r="CC3" s="634"/>
      <c r="CD3" s="634"/>
      <c r="CE3" s="634"/>
      <c r="CF3" s="634"/>
      <c r="CG3" s="634"/>
      <c r="CH3" s="634"/>
      <c r="CI3" s="634"/>
      <c r="CJ3" s="635"/>
      <c r="CK3" s="633" t="str">
        <f>+CB3</f>
        <v>01/01/26- 12/31/26</v>
      </c>
      <c r="CL3" s="634"/>
      <c r="CM3" s="634"/>
      <c r="CN3" s="634"/>
      <c r="CO3" s="634"/>
      <c r="CP3" s="634"/>
      <c r="CQ3" s="634"/>
      <c r="CR3" s="634"/>
      <c r="CS3" s="635"/>
      <c r="CT3" s="633" t="str">
        <f t="shared" ref="CT3:CT4" si="2">CK3</f>
        <v>01/01/26- 12/31/26</v>
      </c>
      <c r="CU3" s="634"/>
      <c r="CV3" s="634"/>
      <c r="CW3" s="634"/>
      <c r="CX3" s="634"/>
      <c r="CY3" s="634"/>
      <c r="CZ3" s="634"/>
      <c r="DA3" s="634"/>
      <c r="DB3" s="635"/>
      <c r="DC3" s="633" t="str">
        <f>+CT3</f>
        <v>01/01/26- 12/31/26</v>
      </c>
      <c r="DD3" s="634"/>
      <c r="DE3" s="634"/>
      <c r="DF3" s="634"/>
      <c r="DG3" s="634"/>
      <c r="DH3" s="634"/>
      <c r="DI3" s="634"/>
      <c r="DJ3" s="634"/>
      <c r="DK3" s="635"/>
      <c r="DL3" s="633" t="str">
        <f t="shared" ref="DL3:DL4" si="3">DC3</f>
        <v>01/01/26- 12/31/26</v>
      </c>
      <c r="DM3" s="634"/>
      <c r="DN3" s="634"/>
      <c r="DO3" s="634"/>
      <c r="DP3" s="634"/>
      <c r="DQ3" s="634"/>
      <c r="DR3" s="634"/>
      <c r="DS3" s="634"/>
      <c r="DT3" s="635"/>
      <c r="DU3" s="633" t="str">
        <f>+DL3</f>
        <v>01/01/26- 12/31/26</v>
      </c>
      <c r="DV3" s="634"/>
      <c r="DW3" s="634"/>
      <c r="DX3" s="634"/>
      <c r="DY3" s="634"/>
      <c r="DZ3" s="634"/>
      <c r="EA3" s="634"/>
      <c r="EB3" s="634"/>
      <c r="EC3" s="635"/>
      <c r="ED3" s="633" t="str">
        <f>+DU3</f>
        <v>01/01/26- 12/31/26</v>
      </c>
      <c r="EE3" s="634"/>
      <c r="EF3" s="634"/>
      <c r="EG3" s="634"/>
      <c r="EH3" s="634"/>
      <c r="EI3" s="634"/>
      <c r="EJ3" s="634"/>
      <c r="EK3" s="634"/>
      <c r="EL3" s="635"/>
      <c r="EM3" s="633" t="str">
        <f>+ED3</f>
        <v>01/01/26- 12/31/26</v>
      </c>
      <c r="EN3" s="634"/>
      <c r="EO3" s="634"/>
      <c r="EP3" s="634"/>
      <c r="EQ3" s="634"/>
      <c r="ER3" s="634"/>
      <c r="ES3" s="634"/>
      <c r="ET3" s="634"/>
      <c r="EU3" s="635"/>
      <c r="EV3" s="633" t="str">
        <f>+EM3</f>
        <v>01/01/26- 12/31/26</v>
      </c>
      <c r="EW3" s="634"/>
      <c r="EX3" s="634"/>
      <c r="EY3" s="634"/>
      <c r="EZ3" s="634"/>
      <c r="FA3" s="634"/>
      <c r="FB3" s="634"/>
      <c r="FC3" s="634"/>
      <c r="FD3" s="635"/>
      <c r="FE3" s="633" t="str">
        <f>+EV3</f>
        <v>01/01/26- 12/31/26</v>
      </c>
      <c r="FF3" s="634"/>
      <c r="FG3" s="634"/>
      <c r="FH3" s="634"/>
      <c r="FI3" s="634"/>
      <c r="FJ3" s="634"/>
      <c r="FK3" s="634"/>
      <c r="FL3" s="634"/>
      <c r="FM3" s="635"/>
    </row>
    <row r="4" spans="1:169">
      <c r="A4" s="634" t="str">
        <f>Summ.!A3</f>
        <v>Coconut Grove -  Kona Hawaii</v>
      </c>
      <c r="B4" s="634"/>
      <c r="C4" s="634"/>
      <c r="D4" s="634"/>
      <c r="E4" s="634"/>
      <c r="F4" s="634"/>
      <c r="H4" s="633" t="str">
        <f>Summ.!A3</f>
        <v>Coconut Grove -  Kona Hawaii</v>
      </c>
      <c r="I4" s="634"/>
      <c r="J4" s="634"/>
      <c r="K4" s="634"/>
      <c r="L4" s="634"/>
      <c r="M4" s="634"/>
      <c r="N4" s="634"/>
      <c r="O4" s="634"/>
      <c r="P4" s="635"/>
      <c r="Q4" s="633" t="str">
        <f>+H4</f>
        <v>Coconut Grove -  Kona Hawaii</v>
      </c>
      <c r="R4" s="634"/>
      <c r="S4" s="634"/>
      <c r="T4" s="634"/>
      <c r="U4" s="634"/>
      <c r="V4" s="634"/>
      <c r="W4" s="634"/>
      <c r="X4" s="634"/>
      <c r="Y4" s="635"/>
      <c r="Z4" s="633" t="str">
        <f t="shared" si="0"/>
        <v>Coconut Grove -  Kona Hawaii</v>
      </c>
      <c r="AA4" s="634"/>
      <c r="AB4" s="634"/>
      <c r="AC4" s="634"/>
      <c r="AD4" s="634"/>
      <c r="AE4" s="634"/>
      <c r="AF4" s="634"/>
      <c r="AG4" s="634"/>
      <c r="AH4" s="635"/>
      <c r="AI4" s="633" t="str">
        <f>+Z4</f>
        <v>Coconut Grove -  Kona Hawaii</v>
      </c>
      <c r="AJ4" s="634"/>
      <c r="AK4" s="634"/>
      <c r="AL4" s="634"/>
      <c r="AM4" s="634"/>
      <c r="AN4" s="634"/>
      <c r="AO4" s="634"/>
      <c r="AP4" s="634"/>
      <c r="AQ4" s="635"/>
      <c r="AR4" s="633" t="str">
        <f>+AI4</f>
        <v>Coconut Grove -  Kona Hawaii</v>
      </c>
      <c r="AS4" s="634"/>
      <c r="AT4" s="634"/>
      <c r="AU4" s="634"/>
      <c r="AV4" s="634"/>
      <c r="AW4" s="634"/>
      <c r="AX4" s="634"/>
      <c r="AY4" s="634"/>
      <c r="AZ4" s="635"/>
      <c r="BA4" s="633" t="str">
        <f>+AR4</f>
        <v>Coconut Grove -  Kona Hawaii</v>
      </c>
      <c r="BB4" s="634"/>
      <c r="BC4" s="634"/>
      <c r="BD4" s="634"/>
      <c r="BE4" s="634"/>
      <c r="BF4" s="634"/>
      <c r="BG4" s="634"/>
      <c r="BH4" s="634"/>
      <c r="BI4" s="635"/>
      <c r="BJ4" s="633" t="str">
        <f>+AR4</f>
        <v>Coconut Grove -  Kona Hawaii</v>
      </c>
      <c r="BK4" s="634"/>
      <c r="BL4" s="634"/>
      <c r="BM4" s="634"/>
      <c r="BN4" s="634"/>
      <c r="BO4" s="634"/>
      <c r="BP4" s="634"/>
      <c r="BQ4" s="634"/>
      <c r="BR4" s="635"/>
      <c r="BS4" s="633" t="str">
        <f>+BJ4</f>
        <v>Coconut Grove -  Kona Hawaii</v>
      </c>
      <c r="BT4" s="634"/>
      <c r="BU4" s="634"/>
      <c r="BV4" s="634"/>
      <c r="BW4" s="634"/>
      <c r="BX4" s="634"/>
      <c r="BY4" s="634"/>
      <c r="BZ4" s="634"/>
      <c r="CA4" s="635"/>
      <c r="CB4" s="633" t="str">
        <f t="shared" si="1"/>
        <v>Coconut Grove -  Kona Hawaii</v>
      </c>
      <c r="CC4" s="634"/>
      <c r="CD4" s="634"/>
      <c r="CE4" s="634"/>
      <c r="CF4" s="634"/>
      <c r="CG4" s="634"/>
      <c r="CH4" s="634"/>
      <c r="CI4" s="634"/>
      <c r="CJ4" s="635"/>
      <c r="CK4" s="633" t="str">
        <f>+CB4</f>
        <v>Coconut Grove -  Kona Hawaii</v>
      </c>
      <c r="CL4" s="634"/>
      <c r="CM4" s="634"/>
      <c r="CN4" s="634"/>
      <c r="CO4" s="634"/>
      <c r="CP4" s="634"/>
      <c r="CQ4" s="634"/>
      <c r="CR4" s="634"/>
      <c r="CS4" s="635"/>
      <c r="CT4" s="633" t="str">
        <f t="shared" si="2"/>
        <v>Coconut Grove -  Kona Hawaii</v>
      </c>
      <c r="CU4" s="634"/>
      <c r="CV4" s="634"/>
      <c r="CW4" s="634"/>
      <c r="CX4" s="634"/>
      <c r="CY4" s="634"/>
      <c r="CZ4" s="634"/>
      <c r="DA4" s="634"/>
      <c r="DB4" s="635"/>
      <c r="DC4" s="633" t="str">
        <f>+CT4</f>
        <v>Coconut Grove -  Kona Hawaii</v>
      </c>
      <c r="DD4" s="634"/>
      <c r="DE4" s="634"/>
      <c r="DF4" s="634"/>
      <c r="DG4" s="634"/>
      <c r="DH4" s="634"/>
      <c r="DI4" s="634"/>
      <c r="DJ4" s="634"/>
      <c r="DK4" s="635"/>
      <c r="DL4" s="633" t="str">
        <f t="shared" si="3"/>
        <v>Coconut Grove -  Kona Hawaii</v>
      </c>
      <c r="DM4" s="634"/>
      <c r="DN4" s="634"/>
      <c r="DO4" s="634"/>
      <c r="DP4" s="634"/>
      <c r="DQ4" s="634"/>
      <c r="DR4" s="634"/>
      <c r="DS4" s="634"/>
      <c r="DT4" s="635"/>
      <c r="DU4" s="633" t="str">
        <f>+DL4</f>
        <v>Coconut Grove -  Kona Hawaii</v>
      </c>
      <c r="DV4" s="634"/>
      <c r="DW4" s="634"/>
      <c r="DX4" s="634"/>
      <c r="DY4" s="634"/>
      <c r="DZ4" s="634"/>
      <c r="EA4" s="634"/>
      <c r="EB4" s="634"/>
      <c r="EC4" s="635"/>
      <c r="ED4" s="633" t="str">
        <f>+DU4</f>
        <v>Coconut Grove -  Kona Hawaii</v>
      </c>
      <c r="EE4" s="634"/>
      <c r="EF4" s="634"/>
      <c r="EG4" s="634"/>
      <c r="EH4" s="634"/>
      <c r="EI4" s="634"/>
      <c r="EJ4" s="634"/>
      <c r="EK4" s="634"/>
      <c r="EL4" s="635"/>
      <c r="EM4" s="633" t="str">
        <f>+ED4</f>
        <v>Coconut Grove -  Kona Hawaii</v>
      </c>
      <c r="EN4" s="634"/>
      <c r="EO4" s="634"/>
      <c r="EP4" s="634"/>
      <c r="EQ4" s="634"/>
      <c r="ER4" s="634"/>
      <c r="ES4" s="634"/>
      <c r="ET4" s="634"/>
      <c r="EU4" s="635"/>
      <c r="EV4" s="633" t="str">
        <f>+EM4</f>
        <v>Coconut Grove -  Kona Hawaii</v>
      </c>
      <c r="EW4" s="634"/>
      <c r="EX4" s="634"/>
      <c r="EY4" s="634"/>
      <c r="EZ4" s="634"/>
      <c r="FA4" s="634"/>
      <c r="FB4" s="634"/>
      <c r="FC4" s="634"/>
      <c r="FD4" s="635"/>
      <c r="FE4" s="633" t="str">
        <f>+EV4</f>
        <v>Coconut Grove -  Kona Hawaii</v>
      </c>
      <c r="FF4" s="634"/>
      <c r="FG4" s="634"/>
      <c r="FH4" s="634"/>
      <c r="FI4" s="634"/>
      <c r="FJ4" s="634"/>
      <c r="FK4" s="634"/>
      <c r="FL4" s="634"/>
      <c r="FM4" s="635"/>
    </row>
    <row r="5" spans="1:169">
      <c r="A5" s="281"/>
      <c r="B5" s="281"/>
      <c r="C5" s="281"/>
      <c r="D5" s="281"/>
      <c r="E5" s="281"/>
      <c r="F5" s="281"/>
      <c r="H5" s="139"/>
      <c r="I5" s="137"/>
      <c r="J5" s="132"/>
      <c r="K5" s="132"/>
      <c r="L5" s="132"/>
      <c r="M5" s="132"/>
      <c r="N5" s="132"/>
      <c r="O5" s="132"/>
      <c r="P5" s="133"/>
      <c r="Q5" s="139"/>
      <c r="R5" s="137"/>
      <c r="S5" s="132"/>
      <c r="T5" s="132"/>
      <c r="U5" s="132"/>
      <c r="V5" s="132"/>
      <c r="W5" s="132"/>
      <c r="X5" s="132"/>
      <c r="Y5" s="133"/>
      <c r="Z5" s="139"/>
      <c r="AA5" s="137"/>
      <c r="AB5" s="132"/>
      <c r="AC5" s="132"/>
      <c r="AD5" s="132"/>
      <c r="AE5" s="132"/>
      <c r="AF5" s="132"/>
      <c r="AG5" s="132"/>
      <c r="AH5" s="133"/>
      <c r="AI5" s="139"/>
      <c r="AJ5" s="137"/>
      <c r="AK5" s="132"/>
      <c r="AL5" s="132"/>
      <c r="AM5" s="132"/>
      <c r="AN5" s="132"/>
      <c r="AO5" s="132"/>
      <c r="AP5" s="132"/>
      <c r="AQ5" s="133"/>
      <c r="AR5" s="139"/>
      <c r="AS5" s="137"/>
      <c r="AT5" s="132"/>
      <c r="AU5" s="132"/>
      <c r="AV5" s="132"/>
      <c r="AW5" s="132"/>
      <c r="AX5" s="132"/>
      <c r="AY5" s="132"/>
      <c r="AZ5" s="133"/>
      <c r="BA5" s="139"/>
      <c r="BB5" s="137"/>
      <c r="BC5" s="132"/>
      <c r="BD5" s="132"/>
      <c r="BE5" s="132"/>
      <c r="BF5" s="132"/>
      <c r="BG5" s="132"/>
      <c r="BH5" s="132"/>
      <c r="BI5" s="133"/>
      <c r="BJ5" s="139"/>
      <c r="BK5" s="137"/>
      <c r="BL5" s="132"/>
      <c r="BM5" s="132"/>
      <c r="BN5" s="132"/>
      <c r="BO5" s="132"/>
      <c r="BP5" s="132"/>
      <c r="BQ5" s="132"/>
      <c r="BR5" s="133"/>
      <c r="BS5" s="139"/>
      <c r="BT5" s="137"/>
      <c r="BU5" s="132"/>
      <c r="BV5" s="132"/>
      <c r="BW5" s="132"/>
      <c r="BX5" s="132"/>
      <c r="BY5" s="132"/>
      <c r="BZ5" s="132"/>
      <c r="CA5" s="133"/>
      <c r="CB5" s="139"/>
      <c r="CC5" s="137"/>
      <c r="CD5" s="132"/>
      <c r="CE5" s="132"/>
      <c r="CF5" s="132"/>
      <c r="CG5" s="132"/>
      <c r="CH5" s="132"/>
      <c r="CI5" s="132"/>
      <c r="CJ5" s="133"/>
      <c r="CK5" s="139"/>
      <c r="CL5" s="137"/>
      <c r="CM5" s="132"/>
      <c r="CN5" s="132"/>
      <c r="CO5" s="132"/>
      <c r="CP5" s="132"/>
      <c r="CQ5" s="132"/>
      <c r="CR5" s="132"/>
      <c r="CS5" s="133"/>
      <c r="CT5" s="139"/>
      <c r="CU5" s="137"/>
      <c r="CV5" s="132"/>
      <c r="CW5" s="132"/>
      <c r="CX5" s="132"/>
      <c r="CY5" s="132"/>
      <c r="CZ5" s="132"/>
      <c r="DA5" s="132"/>
      <c r="DB5" s="133"/>
      <c r="DC5" s="139"/>
      <c r="DD5" s="137"/>
      <c r="DE5" s="132"/>
      <c r="DF5" s="132"/>
      <c r="DG5" s="132"/>
      <c r="DH5" s="132"/>
      <c r="DI5" s="132"/>
      <c r="DJ5" s="132"/>
      <c r="DK5" s="133"/>
      <c r="DL5" s="139"/>
      <c r="DM5" s="137"/>
      <c r="DN5" s="132"/>
      <c r="DO5" s="132"/>
      <c r="DP5" s="132"/>
      <c r="DQ5" s="132"/>
      <c r="DR5" s="132"/>
      <c r="DS5" s="132"/>
      <c r="DT5" s="133"/>
      <c r="DU5" s="139"/>
      <c r="DV5" s="137"/>
      <c r="DW5" s="132"/>
      <c r="DX5" s="132"/>
      <c r="DY5" s="132"/>
      <c r="DZ5" s="132"/>
      <c r="EA5" s="132"/>
      <c r="EB5" s="132"/>
      <c r="EC5" s="133"/>
      <c r="ED5" s="139"/>
      <c r="EE5" s="137"/>
      <c r="EF5" s="132"/>
      <c r="EG5" s="132"/>
      <c r="EH5" s="132"/>
      <c r="EI5" s="132"/>
      <c r="EJ5" s="132"/>
      <c r="EK5" s="132"/>
      <c r="EL5" s="133"/>
      <c r="EM5" s="139"/>
      <c r="EN5" s="137"/>
      <c r="EO5" s="132"/>
      <c r="EP5" s="132"/>
      <c r="EQ5" s="132"/>
      <c r="ER5" s="132"/>
      <c r="ES5" s="132"/>
      <c r="ET5" s="132"/>
      <c r="EU5" s="133"/>
      <c r="EV5" s="139"/>
      <c r="EW5" s="137"/>
      <c r="EX5" s="132"/>
      <c r="EY5" s="132"/>
      <c r="EZ5" s="132"/>
      <c r="FA5" s="132"/>
      <c r="FB5" s="132"/>
      <c r="FC5" s="132"/>
      <c r="FD5" s="133"/>
      <c r="FE5" s="139"/>
      <c r="FF5" s="137"/>
      <c r="FG5" s="132"/>
      <c r="FH5" s="132"/>
      <c r="FI5" s="132"/>
      <c r="FJ5" s="132"/>
      <c r="FK5" s="132"/>
      <c r="FL5" s="132"/>
      <c r="FM5" s="133"/>
    </row>
    <row r="6" spans="1:169">
      <c r="A6" s="281"/>
      <c r="B6" s="281"/>
      <c r="C6" s="281"/>
      <c r="D6" s="281"/>
      <c r="E6" s="281"/>
      <c r="F6" s="281"/>
      <c r="H6" s="209"/>
      <c r="I6" s="156" t="s">
        <v>557</v>
      </c>
      <c r="J6" s="210" t="str">
        <f>Rent!A14</f>
        <v xml:space="preserve">ISLAND LAVA JAVA </v>
      </c>
      <c r="K6" s="157"/>
      <c r="L6" s="157"/>
      <c r="M6" s="157"/>
      <c r="N6" s="211"/>
      <c r="O6" s="158"/>
      <c r="P6" s="212"/>
      <c r="Q6" s="209"/>
      <c r="R6" s="156" t="s">
        <v>557</v>
      </c>
      <c r="S6" s="210" t="str">
        <f>Rent!A15</f>
        <v>TAKA SUSHI</v>
      </c>
      <c r="T6" s="157"/>
      <c r="U6" s="157"/>
      <c r="V6" s="157"/>
      <c r="W6" s="157"/>
      <c r="X6" s="158"/>
      <c r="Y6" s="212"/>
      <c r="Z6" s="209"/>
      <c r="AA6" s="156" t="s">
        <v>557</v>
      </c>
      <c r="AB6" s="210" t="str">
        <f>Rent!A16</f>
        <v>KANAKA KAVA</v>
      </c>
      <c r="AC6" s="157"/>
      <c r="AD6" s="157"/>
      <c r="AE6" s="157"/>
      <c r="AF6" s="211"/>
      <c r="AG6" s="158"/>
      <c r="AH6" s="212"/>
      <c r="AI6" s="209"/>
      <c r="AJ6" s="156" t="s">
        <v>557</v>
      </c>
      <c r="AK6" s="210" t="str">
        <f>Rent!A17</f>
        <v>GECKO GIRLZ SHAVE ICE SHACK</v>
      </c>
      <c r="AL6" s="157"/>
      <c r="AM6" s="157"/>
      <c r="AN6" s="157"/>
      <c r="AO6" s="211"/>
      <c r="AP6" s="158"/>
      <c r="AQ6" s="212"/>
      <c r="AR6" s="209"/>
      <c r="AS6" s="156" t="s">
        <v>557</v>
      </c>
      <c r="AT6" s="210" t="str">
        <f>Rent!A18</f>
        <v>BIG ISLAND RUNNING CO.</v>
      </c>
      <c r="AU6" s="157"/>
      <c r="AV6" s="157"/>
      <c r="AW6" s="157"/>
      <c r="AX6" s="211"/>
      <c r="AY6" s="158"/>
      <c r="AZ6" s="212"/>
      <c r="BA6" s="209"/>
      <c r="BB6" s="156" t="s">
        <v>557</v>
      </c>
      <c r="BC6" s="210" t="e">
        <f>Rent!#REF!</f>
        <v>#REF!</v>
      </c>
      <c r="BD6" s="157"/>
      <c r="BE6" s="157"/>
      <c r="BF6" s="157"/>
      <c r="BG6" s="211"/>
      <c r="BH6" s="158"/>
      <c r="BI6" s="212"/>
      <c r="BJ6" s="209"/>
      <c r="BK6" s="156" t="s">
        <v>557</v>
      </c>
      <c r="BL6" s="210" t="str">
        <f>Rent!A19</f>
        <v>CAFE KONA</v>
      </c>
      <c r="BM6" s="157"/>
      <c r="BN6" s="157"/>
      <c r="BO6" s="157"/>
      <c r="BP6" s="211"/>
      <c r="BQ6" s="158"/>
      <c r="BR6" s="212"/>
      <c r="BS6" s="209"/>
      <c r="BT6" s="156" t="s">
        <v>557</v>
      </c>
      <c r="BU6" s="210" t="str">
        <f>Rent!A20</f>
        <v>LUCASIE LTD</v>
      </c>
      <c r="BV6" s="157"/>
      <c r="BW6" s="157"/>
      <c r="BX6" s="157"/>
      <c r="BY6" s="211"/>
      <c r="BZ6" s="158"/>
      <c r="CA6" s="212"/>
      <c r="CB6" s="209"/>
      <c r="CC6" s="156" t="s">
        <v>557</v>
      </c>
      <c r="CD6" s="210" t="str">
        <f>Rent!A21</f>
        <v>FOSTERS KITCHEN</v>
      </c>
      <c r="CE6" s="157"/>
      <c r="CF6" s="157"/>
      <c r="CG6" s="157"/>
      <c r="CH6" s="211"/>
      <c r="CI6" s="158"/>
      <c r="CJ6" s="212"/>
      <c r="CK6" s="209"/>
      <c r="CL6" s="156" t="s">
        <v>557</v>
      </c>
      <c r="CM6" s="459" t="str">
        <f>Rent!A22</f>
        <v>HUMPYS BIG ISLAND ALEHOUSE</v>
      </c>
      <c r="CN6" s="460"/>
      <c r="CO6" s="157"/>
      <c r="CP6" s="157"/>
      <c r="CQ6" s="211"/>
      <c r="CR6" s="158"/>
      <c r="CS6" s="212"/>
      <c r="CT6" s="209"/>
      <c r="CU6" s="156" t="s">
        <v>557</v>
      </c>
      <c r="CV6" s="210" t="str">
        <f>Rent!A23</f>
        <v>ABC STORE #75</v>
      </c>
      <c r="CW6" s="157"/>
      <c r="CX6" s="157"/>
      <c r="CY6" s="157"/>
      <c r="CZ6" s="211"/>
      <c r="DA6" s="158"/>
      <c r="DB6" s="212"/>
      <c r="DC6" s="209"/>
      <c r="DD6" s="156" t="s">
        <v>557</v>
      </c>
      <c r="DE6" s="210" t="str">
        <f>Rent!A24</f>
        <v>GYPSEA GALATO</v>
      </c>
      <c r="DF6" s="157"/>
      <c r="DG6" s="157"/>
      <c r="DH6" s="157"/>
      <c r="DI6" s="211"/>
      <c r="DJ6" s="158"/>
      <c r="DK6" s="212"/>
      <c r="DL6" s="209"/>
      <c r="DM6" s="156" t="s">
        <v>557</v>
      </c>
      <c r="DN6" s="210" t="str">
        <f>Rent!A25</f>
        <v>OCEANS SPORTS BAR AND GRILL</v>
      </c>
      <c r="DO6" s="157"/>
      <c r="DP6" s="157"/>
      <c r="DQ6" s="157"/>
      <c r="DR6" s="211"/>
      <c r="DS6" s="158"/>
      <c r="DT6" s="212"/>
      <c r="DU6" s="209"/>
      <c r="DV6" s="156" t="s">
        <v>557</v>
      </c>
      <c r="DW6" s="210" t="str">
        <f>Rent!A26</f>
        <v>JACKS DIVE LOCKER</v>
      </c>
      <c r="DX6" s="157"/>
      <c r="DY6" s="157"/>
      <c r="DZ6" s="157"/>
      <c r="EA6" s="211"/>
      <c r="EB6" s="158"/>
      <c r="EC6" s="212"/>
      <c r="ED6" s="209"/>
      <c r="EE6" s="156" t="s">
        <v>557</v>
      </c>
      <c r="EF6" s="210" t="str">
        <f>Rent!A27</f>
        <v>QPOT</v>
      </c>
      <c r="EG6" s="157"/>
      <c r="EH6" s="157"/>
      <c r="EI6" s="157"/>
      <c r="EJ6" s="211"/>
      <c r="EK6" s="158"/>
      <c r="EL6" s="212"/>
      <c r="EM6" s="209"/>
      <c r="EN6" s="156" t="s">
        <v>557</v>
      </c>
      <c r="EO6" s="210" t="str">
        <f>Rent!A28</f>
        <v>BOWLS SUPERFOODS &amp; ORALE TACOS</v>
      </c>
      <c r="EP6" s="157"/>
      <c r="EQ6" s="157"/>
      <c r="ER6" s="157"/>
      <c r="ES6" s="211"/>
      <c r="ET6" s="158"/>
      <c r="EU6" s="212"/>
      <c r="EV6" s="209"/>
      <c r="EW6" s="156" t="s">
        <v>557</v>
      </c>
      <c r="EX6" s="210" t="str">
        <f>Rent!A29</f>
        <v>KONA GEAR INC.</v>
      </c>
      <c r="EY6" s="157"/>
      <c r="EZ6" s="157"/>
      <c r="FA6" s="157"/>
      <c r="FB6" s="211"/>
      <c r="FC6" s="158"/>
      <c r="FD6" s="212"/>
      <c r="FE6" s="209"/>
      <c r="FF6" s="156" t="s">
        <v>557</v>
      </c>
      <c r="FG6" s="210" t="str">
        <f>Rent!A30</f>
        <v>LAVERNES</v>
      </c>
      <c r="FH6" s="157"/>
      <c r="FI6" s="157"/>
      <c r="FJ6" s="157"/>
      <c r="FK6" s="211"/>
      <c r="FL6" s="158"/>
      <c r="FM6" s="212"/>
    </row>
    <row r="7" spans="1:169">
      <c r="A7" s="281"/>
      <c r="B7" s="281"/>
      <c r="C7" s="281"/>
      <c r="D7" s="281"/>
      <c r="E7" s="281"/>
      <c r="F7" s="281"/>
      <c r="H7" s="213"/>
      <c r="I7" s="159" t="s">
        <v>558</v>
      </c>
      <c r="J7" s="160" t="str">
        <f>Rent!B14</f>
        <v>A 1-4</v>
      </c>
      <c r="K7" s="161"/>
      <c r="L7" s="161"/>
      <c r="M7" s="161"/>
      <c r="N7" s="214"/>
      <c r="O7" s="215"/>
      <c r="P7" s="216"/>
      <c r="Q7" s="213"/>
      <c r="R7" s="159" t="s">
        <v>558</v>
      </c>
      <c r="S7" s="160" t="str">
        <f>Rent!B15</f>
        <v>B-5</v>
      </c>
      <c r="T7" s="161"/>
      <c r="U7" s="161"/>
      <c r="V7" s="161"/>
      <c r="W7" s="161"/>
      <c r="X7" s="215"/>
      <c r="Y7" s="216"/>
      <c r="Z7" s="213"/>
      <c r="AA7" s="159" t="s">
        <v>558</v>
      </c>
      <c r="AB7" s="160" t="str">
        <f>Rent!B16</f>
        <v>B-6</v>
      </c>
      <c r="AC7" s="161"/>
      <c r="AD7" s="161"/>
      <c r="AE7" s="161"/>
      <c r="AF7" s="214"/>
      <c r="AG7" s="215"/>
      <c r="AH7" s="216"/>
      <c r="AI7" s="213"/>
      <c r="AJ7" s="159" t="s">
        <v>558</v>
      </c>
      <c r="AK7" s="160" t="str">
        <f>Rent!B17</f>
        <v>C-7</v>
      </c>
      <c r="AL7" s="161"/>
      <c r="AM7" s="161"/>
      <c r="AN7" s="161"/>
      <c r="AO7" s="214"/>
      <c r="AP7" s="215"/>
      <c r="AQ7" s="216"/>
      <c r="AR7" s="213"/>
      <c r="AS7" s="159" t="s">
        <v>558</v>
      </c>
      <c r="AT7" s="160" t="str">
        <f>Rent!B18</f>
        <v>C-8</v>
      </c>
      <c r="AU7" s="161"/>
      <c r="AV7" s="161"/>
      <c r="AW7" s="161"/>
      <c r="AX7" s="214"/>
      <c r="AY7" s="215"/>
      <c r="AZ7" s="216"/>
      <c r="BA7" s="213"/>
      <c r="BB7" s="159" t="s">
        <v>558</v>
      </c>
      <c r="BC7" s="160" t="e">
        <f>Rent!#REF!</f>
        <v>#REF!</v>
      </c>
      <c r="BD7" s="161"/>
      <c r="BE7" s="161"/>
      <c r="BF7" s="161"/>
      <c r="BG7" s="214"/>
      <c r="BH7" s="215"/>
      <c r="BI7" s="216"/>
      <c r="BJ7" s="213"/>
      <c r="BK7" s="159" t="s">
        <v>558</v>
      </c>
      <c r="BL7" s="160" t="str">
        <f>Rent!B19</f>
        <v>D11-12</v>
      </c>
      <c r="BM7" s="161"/>
      <c r="BN7" s="161"/>
      <c r="BO7" s="161"/>
      <c r="BP7" s="214"/>
      <c r="BQ7" s="215"/>
      <c r="BR7" s="216"/>
      <c r="BS7" s="213"/>
      <c r="BT7" s="159" t="s">
        <v>558</v>
      </c>
      <c r="BU7" s="160" t="str">
        <f>Rent!B20</f>
        <v>D9-D10</v>
      </c>
      <c r="BV7" s="161"/>
      <c r="BW7" s="161"/>
      <c r="BX7" s="161"/>
      <c r="BY7" s="214"/>
      <c r="BZ7" s="215"/>
      <c r="CA7" s="216"/>
      <c r="CB7" s="213"/>
      <c r="CC7" s="159" t="s">
        <v>558</v>
      </c>
      <c r="CD7" s="160" t="str">
        <f>Rent!B21</f>
        <v>DU-1</v>
      </c>
      <c r="CE7" s="161"/>
      <c r="CF7" s="161"/>
      <c r="CG7" s="161"/>
      <c r="CH7" s="214"/>
      <c r="CI7" s="215"/>
      <c r="CJ7" s="216"/>
      <c r="CK7" s="213"/>
      <c r="CL7" s="159" t="s">
        <v>558</v>
      </c>
      <c r="CM7" s="160" t="str">
        <f>Rent!B22</f>
        <v>E</v>
      </c>
      <c r="CN7" s="161"/>
      <c r="CO7" s="161"/>
      <c r="CP7" s="161"/>
      <c r="CQ7" s="214"/>
      <c r="CR7" s="215"/>
      <c r="CS7" s="216"/>
      <c r="CT7" s="213"/>
      <c r="CU7" s="159" t="s">
        <v>558</v>
      </c>
      <c r="CV7" s="160" t="str">
        <f>Rent!B23</f>
        <v>F15,17&amp;A8</v>
      </c>
      <c r="CW7" s="161"/>
      <c r="CX7" s="161"/>
      <c r="CY7" s="161"/>
      <c r="CZ7" s="214"/>
      <c r="DA7" s="215"/>
      <c r="DB7" s="216"/>
      <c r="DC7" s="213"/>
      <c r="DD7" s="159" t="s">
        <v>558</v>
      </c>
      <c r="DE7" s="160" t="str">
        <f>Rent!B24</f>
        <v>F-16</v>
      </c>
      <c r="DF7" s="161"/>
      <c r="DG7" s="161"/>
      <c r="DH7" s="161"/>
      <c r="DI7" s="214"/>
      <c r="DJ7" s="215"/>
      <c r="DK7" s="216"/>
      <c r="DL7" s="213"/>
      <c r="DM7" s="159" t="s">
        <v>558</v>
      </c>
      <c r="DN7" s="160" t="str">
        <f>Rent!B25</f>
        <v>G</v>
      </c>
      <c r="DO7" s="161"/>
      <c r="DP7" s="161"/>
      <c r="DQ7" s="161"/>
      <c r="DR7" s="214"/>
      <c r="DS7" s="215"/>
      <c r="DT7" s="216"/>
      <c r="DU7" s="213"/>
      <c r="DV7" s="159" t="s">
        <v>558</v>
      </c>
      <c r="DW7" s="160" t="str">
        <f>Rent!B26</f>
        <v>H</v>
      </c>
      <c r="DX7" s="161"/>
      <c r="DY7" s="161"/>
      <c r="DZ7" s="161"/>
      <c r="EA7" s="214"/>
      <c r="EB7" s="215"/>
      <c r="EC7" s="216"/>
      <c r="ED7" s="213"/>
      <c r="EE7" s="159" t="s">
        <v>558</v>
      </c>
      <c r="EF7" s="160" t="str">
        <f>Rent!B27</f>
        <v>I</v>
      </c>
      <c r="EG7" s="161"/>
      <c r="EH7" s="161"/>
      <c r="EI7" s="161"/>
      <c r="EJ7" s="214"/>
      <c r="EK7" s="215"/>
      <c r="EL7" s="216"/>
      <c r="EM7" s="213"/>
      <c r="EN7" s="159" t="s">
        <v>558</v>
      </c>
      <c r="EO7" s="160" t="str">
        <f>Rent!B28</f>
        <v>PC-1&amp;2</v>
      </c>
      <c r="EP7" s="161"/>
      <c r="EQ7" s="161"/>
      <c r="ER7" s="161"/>
      <c r="ES7" s="214"/>
      <c r="ET7" s="215"/>
      <c r="EU7" s="216"/>
      <c r="EV7" s="213"/>
      <c r="EW7" s="159" t="s">
        <v>558</v>
      </c>
      <c r="EX7" s="160" t="str">
        <f>Rent!B29</f>
        <v>PC 3&amp;4</v>
      </c>
      <c r="EY7" s="161"/>
      <c r="EZ7" s="161"/>
      <c r="FA7" s="161"/>
      <c r="FB7" s="214"/>
      <c r="FC7" s="215"/>
      <c r="FD7" s="216"/>
      <c r="FE7" s="213"/>
      <c r="FF7" s="159" t="s">
        <v>558</v>
      </c>
      <c r="FG7" s="160" t="str">
        <f>Rent!B30</f>
        <v>PC/U1</v>
      </c>
      <c r="FH7" s="161"/>
      <c r="FI7" s="161"/>
      <c r="FJ7" s="161"/>
      <c r="FK7" s="214"/>
      <c r="FL7" s="215"/>
      <c r="FM7" s="216"/>
    </row>
    <row r="8" spans="1:169">
      <c r="H8" s="217"/>
      <c r="I8" s="162" t="s">
        <v>559</v>
      </c>
      <c r="J8" s="218">
        <f>Rent!D14</f>
        <v>3873</v>
      </c>
      <c r="K8" s="163"/>
      <c r="L8" s="163"/>
      <c r="M8" s="163"/>
      <c r="N8" s="219"/>
      <c r="O8" s="220"/>
      <c r="P8" s="221"/>
      <c r="Q8" s="217"/>
      <c r="R8" s="162" t="s">
        <v>559</v>
      </c>
      <c r="S8" s="218">
        <f>Rent!D15</f>
        <v>1074</v>
      </c>
      <c r="T8" s="163"/>
      <c r="U8" s="163"/>
      <c r="V8" s="163"/>
      <c r="W8" s="163"/>
      <c r="X8" s="220"/>
      <c r="Y8" s="221"/>
      <c r="Z8" s="217"/>
      <c r="AA8" s="162" t="s">
        <v>559</v>
      </c>
      <c r="AB8" s="218">
        <f>Rent!D16</f>
        <v>200</v>
      </c>
      <c r="AC8" s="163"/>
      <c r="AD8" s="163"/>
      <c r="AE8" s="163"/>
      <c r="AF8" s="219"/>
      <c r="AG8" s="220"/>
      <c r="AH8" s="221"/>
      <c r="AI8" s="217"/>
      <c r="AJ8" s="162" t="s">
        <v>559</v>
      </c>
      <c r="AK8" s="218">
        <f>Rent!D17</f>
        <v>518</v>
      </c>
      <c r="AL8" s="163"/>
      <c r="AM8" s="163"/>
      <c r="AN8" s="163"/>
      <c r="AO8" s="219"/>
      <c r="AP8" s="220"/>
      <c r="AQ8" s="221"/>
      <c r="AR8" s="217"/>
      <c r="AS8" s="162" t="s">
        <v>559</v>
      </c>
      <c r="AT8" s="218">
        <f>Rent!D18</f>
        <v>525</v>
      </c>
      <c r="AU8" s="163"/>
      <c r="AV8" s="163"/>
      <c r="AW8" s="163"/>
      <c r="AX8" s="219"/>
      <c r="AY8" s="220"/>
      <c r="AZ8" s="221"/>
      <c r="BA8" s="217"/>
      <c r="BB8" s="162" t="s">
        <v>559</v>
      </c>
      <c r="BC8" s="218" t="e">
        <f>Rent!#REF!</f>
        <v>#REF!</v>
      </c>
      <c r="BD8" s="163"/>
      <c r="BE8" s="163"/>
      <c r="BF8" s="163"/>
      <c r="BG8" s="219"/>
      <c r="BH8" s="220"/>
      <c r="BI8" s="221"/>
      <c r="BJ8" s="217"/>
      <c r="BK8" s="162" t="s">
        <v>559</v>
      </c>
      <c r="BL8" s="218">
        <f>Rent!D19</f>
        <v>994</v>
      </c>
      <c r="BM8" s="163"/>
      <c r="BN8" s="163"/>
      <c r="BO8" s="163"/>
      <c r="BP8" s="219"/>
      <c r="BQ8" s="220"/>
      <c r="BR8" s="221"/>
      <c r="BS8" s="217"/>
      <c r="BT8" s="162" t="s">
        <v>559</v>
      </c>
      <c r="BU8" s="218">
        <f>Rent!D20</f>
        <v>1043</v>
      </c>
      <c r="BV8" s="163"/>
      <c r="BW8" s="163"/>
      <c r="BX8" s="163"/>
      <c r="BY8" s="219"/>
      <c r="BZ8" s="220"/>
      <c r="CA8" s="221"/>
      <c r="CB8" s="217"/>
      <c r="CC8" s="162" t="s">
        <v>559</v>
      </c>
      <c r="CD8" s="218">
        <f>Rent!D21</f>
        <v>3526</v>
      </c>
      <c r="CE8" s="163"/>
      <c r="CF8" s="163"/>
      <c r="CG8" s="163"/>
      <c r="CH8" s="219"/>
      <c r="CI8" s="220"/>
      <c r="CJ8" s="221"/>
      <c r="CK8" s="217"/>
      <c r="CL8" s="162" t="s">
        <v>559</v>
      </c>
      <c r="CM8" s="218">
        <f>Rent!D22</f>
        <v>10736</v>
      </c>
      <c r="CN8" s="163"/>
      <c r="CO8" s="163"/>
      <c r="CP8" s="461" t="s">
        <v>560</v>
      </c>
      <c r="CQ8" s="462"/>
      <c r="CR8" s="220"/>
      <c r="CS8" s="221"/>
      <c r="CT8" s="217"/>
      <c r="CU8" s="162" t="s">
        <v>559</v>
      </c>
      <c r="CV8" s="480">
        <f>Rent!D23-1000</f>
        <v>3000</v>
      </c>
      <c r="CW8" s="481" t="s">
        <v>561</v>
      </c>
      <c r="CX8" s="163"/>
      <c r="CY8" s="163"/>
      <c r="CZ8" s="219"/>
      <c r="DA8" s="220"/>
      <c r="DB8" s="221"/>
      <c r="DC8" s="217"/>
      <c r="DD8" s="162" t="s">
        <v>559</v>
      </c>
      <c r="DE8" s="218">
        <f>Rent!D24</f>
        <v>500</v>
      </c>
      <c r="DF8" s="163"/>
      <c r="DG8" s="163"/>
      <c r="DH8" s="163"/>
      <c r="DI8" s="219"/>
      <c r="DJ8" s="220"/>
      <c r="DK8" s="221"/>
      <c r="DL8" s="217"/>
      <c r="DM8" s="162" t="s">
        <v>559</v>
      </c>
      <c r="DN8" s="218">
        <f>Rent!D25</f>
        <v>2896</v>
      </c>
      <c r="DO8" s="163"/>
      <c r="DP8" s="163"/>
      <c r="DQ8" s="163"/>
      <c r="DR8" s="219"/>
      <c r="DS8" s="220"/>
      <c r="DT8" s="221"/>
      <c r="DU8" s="217"/>
      <c r="DV8" s="162" t="s">
        <v>559</v>
      </c>
      <c r="DW8" s="218">
        <f>Rent!D26</f>
        <v>8014</v>
      </c>
      <c r="DX8" s="163"/>
      <c r="DY8" s="163"/>
      <c r="DZ8" s="163"/>
      <c r="EA8" s="219"/>
      <c r="EB8" s="220"/>
      <c r="EC8" s="221"/>
      <c r="ED8" s="217"/>
      <c r="EE8" s="162" t="s">
        <v>559</v>
      </c>
      <c r="EF8" s="218">
        <f>Rent!D27</f>
        <v>6500</v>
      </c>
      <c r="EG8" s="163"/>
      <c r="EH8" s="163"/>
      <c r="EI8" s="163"/>
      <c r="EJ8" s="219"/>
      <c r="EK8" s="220"/>
      <c r="EL8" s="221"/>
      <c r="EM8" s="217"/>
      <c r="EN8" s="162" t="s">
        <v>559</v>
      </c>
      <c r="EO8" s="218">
        <f>Rent!D28</f>
        <v>1993</v>
      </c>
      <c r="EP8" s="163"/>
      <c r="EQ8" s="163"/>
      <c r="ER8" s="163"/>
      <c r="ES8" s="219"/>
      <c r="ET8" s="220"/>
      <c r="EU8" s="221"/>
      <c r="EV8" s="217"/>
      <c r="EW8" s="162" t="s">
        <v>559</v>
      </c>
      <c r="EX8" s="218">
        <f>Rent!D29</f>
        <v>962</v>
      </c>
      <c r="EY8" s="163"/>
      <c r="EZ8" s="163"/>
      <c r="FA8" s="163"/>
      <c r="FB8" s="219"/>
      <c r="FC8" s="220"/>
      <c r="FD8" s="221"/>
      <c r="FE8" s="217"/>
      <c r="FF8" s="162" t="s">
        <v>559</v>
      </c>
      <c r="FG8" s="218">
        <f>Rent!D30</f>
        <v>3704</v>
      </c>
      <c r="FH8" s="163"/>
      <c r="FI8" s="163"/>
      <c r="FJ8" s="163"/>
      <c r="FK8" s="219"/>
      <c r="FL8" s="220"/>
      <c r="FM8" s="221"/>
    </row>
    <row r="9" spans="1:169">
      <c r="A9" s="266"/>
      <c r="B9" s="157"/>
      <c r="C9" s="157"/>
      <c r="D9" s="157"/>
      <c r="E9" s="157"/>
      <c r="F9" s="164"/>
      <c r="G9" s="165"/>
      <c r="H9" s="134"/>
      <c r="I9" s="108"/>
      <c r="J9" s="108"/>
      <c r="K9" s="108"/>
      <c r="L9" s="108"/>
      <c r="M9" s="108"/>
      <c r="N9" s="108"/>
      <c r="O9" s="108"/>
      <c r="P9" s="108"/>
      <c r="Q9" s="134"/>
      <c r="R9" s="108"/>
      <c r="S9" s="108"/>
      <c r="T9" s="108"/>
      <c r="U9" s="108"/>
      <c r="V9" s="108"/>
      <c r="W9" s="108"/>
      <c r="X9" s="108"/>
      <c r="Y9" s="108"/>
      <c r="Z9" s="134"/>
      <c r="AA9" s="108"/>
      <c r="AB9" s="108"/>
      <c r="AC9" s="108"/>
      <c r="AD9" s="108"/>
      <c r="AE9" s="108"/>
      <c r="AF9" s="108"/>
      <c r="AG9" s="108"/>
      <c r="AH9" s="108"/>
      <c r="AI9" s="134"/>
      <c r="AJ9" s="108"/>
      <c r="AK9" s="108"/>
      <c r="AL9" s="108"/>
      <c r="AM9" s="108"/>
      <c r="AN9" s="108"/>
      <c r="AO9" s="108"/>
      <c r="AP9" s="108"/>
      <c r="AQ9" s="108"/>
      <c r="AR9" s="134"/>
      <c r="AS9" s="108"/>
      <c r="AT9" s="108"/>
      <c r="AU9" s="108"/>
      <c r="AV9" s="108"/>
      <c r="AW9" s="108"/>
      <c r="AX9" s="108"/>
      <c r="AY9" s="108"/>
      <c r="AZ9" s="108"/>
      <c r="BA9" s="134"/>
      <c r="BB9" s="108"/>
      <c r="BC9" s="108"/>
      <c r="BD9" s="108"/>
      <c r="BE9" s="108"/>
      <c r="BF9" s="108"/>
      <c r="BG9" s="108"/>
      <c r="BH9" s="108"/>
      <c r="BI9" s="108"/>
      <c r="BJ9" s="134"/>
      <c r="BK9" s="108"/>
      <c r="BL9" s="108"/>
      <c r="BM9" s="108"/>
      <c r="BN9" s="108"/>
      <c r="BO9" s="108"/>
      <c r="BP9" s="108"/>
      <c r="BQ9" s="108"/>
      <c r="BR9" s="108"/>
      <c r="BS9" s="134"/>
      <c r="BT9" s="108"/>
      <c r="BU9" s="108"/>
      <c r="BV9" s="108"/>
      <c r="BW9" s="108"/>
      <c r="BX9" s="108"/>
      <c r="BY9" s="108"/>
      <c r="BZ9" s="108"/>
      <c r="CA9" s="108"/>
      <c r="CB9" s="134"/>
      <c r="CC9" s="108"/>
      <c r="CD9" s="108"/>
      <c r="CE9" s="108"/>
      <c r="CF9" s="108"/>
      <c r="CG9" s="108"/>
      <c r="CH9" s="108"/>
      <c r="CI9" s="108"/>
      <c r="CJ9" s="108"/>
      <c r="CK9" s="134"/>
      <c r="CL9" s="108"/>
      <c r="CM9" s="108"/>
      <c r="CN9" s="108"/>
      <c r="CO9" s="108"/>
      <c r="CP9" s="108"/>
      <c r="CQ9" s="108"/>
      <c r="CR9" s="108"/>
      <c r="CS9" s="108"/>
      <c r="CT9" s="134"/>
      <c r="CU9" s="108"/>
      <c r="CV9" s="108"/>
      <c r="CW9" s="108"/>
      <c r="CX9" s="108"/>
      <c r="CY9" s="108"/>
      <c r="CZ9" s="108"/>
      <c r="DA9" s="108"/>
      <c r="DB9" s="108"/>
      <c r="DC9" s="134"/>
      <c r="DD9" s="108"/>
      <c r="DE9" s="108"/>
      <c r="DF9" s="108"/>
      <c r="DG9" s="108"/>
      <c r="DH9" s="108"/>
      <c r="DI9" s="108"/>
      <c r="DJ9" s="108"/>
      <c r="DK9" s="108"/>
      <c r="DL9" s="134"/>
      <c r="DM9" s="108"/>
      <c r="DN9" s="108"/>
      <c r="DO9" s="108"/>
      <c r="DP9" s="108"/>
      <c r="DQ9" s="108"/>
      <c r="DR9" s="108"/>
      <c r="DS9" s="108"/>
      <c r="DT9" s="108"/>
      <c r="DU9" s="134"/>
      <c r="DV9" s="108"/>
      <c r="DW9" s="108"/>
      <c r="DX9" s="108"/>
      <c r="DY9" s="108"/>
      <c r="DZ9" s="108"/>
      <c r="EA9" s="108"/>
      <c r="EB9" s="108"/>
      <c r="EC9" s="108"/>
      <c r="ED9" s="134"/>
      <c r="EE9" s="108"/>
      <c r="EF9" s="108"/>
      <c r="EG9" s="108"/>
      <c r="EH9" s="108"/>
      <c r="EI9" s="108"/>
      <c r="EJ9" s="108"/>
      <c r="EK9" s="108"/>
      <c r="EL9" s="108"/>
      <c r="EM9" s="134"/>
      <c r="EN9" s="108"/>
      <c r="EO9" s="108"/>
      <c r="EP9" s="108"/>
      <c r="EQ9" s="108"/>
      <c r="ER9" s="108"/>
      <c r="ES9" s="108"/>
      <c r="ET9" s="108"/>
      <c r="EU9" s="108"/>
      <c r="EV9" s="134"/>
      <c r="EW9" s="108"/>
      <c r="EX9" s="108"/>
      <c r="EY9" s="108"/>
      <c r="EZ9" s="108"/>
      <c r="FA9" s="108"/>
      <c r="FB9" s="108"/>
      <c r="FC9" s="108"/>
      <c r="FD9" s="108"/>
      <c r="FE9" s="134"/>
      <c r="FF9" s="108"/>
      <c r="FG9" s="108"/>
      <c r="FH9" s="108"/>
      <c r="FI9" s="108"/>
      <c r="FJ9" s="108"/>
      <c r="FK9" s="108"/>
      <c r="FL9" s="108"/>
      <c r="FM9" s="108"/>
    </row>
    <row r="10" spans="1:169">
      <c r="A10" s="267" t="s">
        <v>562</v>
      </c>
      <c r="B10" s="161" t="s">
        <v>563</v>
      </c>
      <c r="C10" s="161"/>
      <c r="D10" s="161"/>
      <c r="E10" s="161"/>
      <c r="F10" s="267" t="s">
        <v>564</v>
      </c>
      <c r="G10" s="166"/>
      <c r="H10" s="164"/>
      <c r="I10" s="222"/>
      <c r="J10" s="223" t="s">
        <v>565</v>
      </c>
      <c r="K10" s="223" t="s">
        <v>566</v>
      </c>
      <c r="L10" s="223" t="s">
        <v>567</v>
      </c>
      <c r="M10" s="164" t="s">
        <v>15</v>
      </c>
      <c r="N10" s="164" t="s">
        <v>568</v>
      </c>
      <c r="O10" s="223" t="s">
        <v>569</v>
      </c>
      <c r="P10" s="224" t="s">
        <v>347</v>
      </c>
      <c r="Q10" s="164"/>
      <c r="R10" s="222"/>
      <c r="S10" s="223" t="s">
        <v>565</v>
      </c>
      <c r="T10" s="223" t="s">
        <v>566</v>
      </c>
      <c r="U10" s="223" t="s">
        <v>567</v>
      </c>
      <c r="V10" s="164" t="s">
        <v>15</v>
      </c>
      <c r="W10" s="164" t="s">
        <v>568</v>
      </c>
      <c r="X10" s="223" t="s">
        <v>569</v>
      </c>
      <c r="Y10" s="224" t="s">
        <v>347</v>
      </c>
      <c r="Z10" s="164"/>
      <c r="AA10" s="222"/>
      <c r="AB10" s="223" t="s">
        <v>565</v>
      </c>
      <c r="AC10" s="223" t="s">
        <v>566</v>
      </c>
      <c r="AD10" s="223" t="s">
        <v>567</v>
      </c>
      <c r="AE10" s="164" t="s">
        <v>15</v>
      </c>
      <c r="AF10" s="164" t="s">
        <v>568</v>
      </c>
      <c r="AG10" s="223" t="s">
        <v>569</v>
      </c>
      <c r="AH10" s="224" t="s">
        <v>347</v>
      </c>
      <c r="AI10" s="164"/>
      <c r="AJ10" s="222"/>
      <c r="AK10" s="223" t="s">
        <v>565</v>
      </c>
      <c r="AL10" s="223" t="s">
        <v>566</v>
      </c>
      <c r="AM10" s="223" t="s">
        <v>567</v>
      </c>
      <c r="AN10" s="164" t="s">
        <v>15</v>
      </c>
      <c r="AO10" s="164" t="s">
        <v>568</v>
      </c>
      <c r="AP10" s="223" t="s">
        <v>569</v>
      </c>
      <c r="AQ10" s="224" t="s">
        <v>347</v>
      </c>
      <c r="AR10" s="164"/>
      <c r="AS10" s="222"/>
      <c r="AT10" s="223" t="s">
        <v>565</v>
      </c>
      <c r="AU10" s="223" t="s">
        <v>566</v>
      </c>
      <c r="AV10" s="223" t="s">
        <v>567</v>
      </c>
      <c r="AW10" s="164" t="s">
        <v>15</v>
      </c>
      <c r="AX10" s="164" t="s">
        <v>568</v>
      </c>
      <c r="AY10" s="223" t="s">
        <v>569</v>
      </c>
      <c r="AZ10" s="224" t="s">
        <v>347</v>
      </c>
      <c r="BA10" s="164"/>
      <c r="BB10" s="222"/>
      <c r="BC10" s="223" t="s">
        <v>565</v>
      </c>
      <c r="BD10" s="223" t="s">
        <v>566</v>
      </c>
      <c r="BE10" s="223" t="s">
        <v>567</v>
      </c>
      <c r="BF10" s="164" t="s">
        <v>15</v>
      </c>
      <c r="BG10" s="164" t="s">
        <v>568</v>
      </c>
      <c r="BH10" s="223" t="s">
        <v>569</v>
      </c>
      <c r="BI10" s="224" t="s">
        <v>347</v>
      </c>
      <c r="BJ10" s="164"/>
      <c r="BK10" s="222"/>
      <c r="BL10" s="223" t="s">
        <v>565</v>
      </c>
      <c r="BM10" s="223" t="s">
        <v>566</v>
      </c>
      <c r="BN10" s="223" t="s">
        <v>567</v>
      </c>
      <c r="BO10" s="164" t="s">
        <v>15</v>
      </c>
      <c r="BP10" s="164" t="s">
        <v>568</v>
      </c>
      <c r="BQ10" s="223" t="s">
        <v>569</v>
      </c>
      <c r="BR10" s="224" t="s">
        <v>347</v>
      </c>
      <c r="BS10" s="164"/>
      <c r="BT10" s="222"/>
      <c r="BU10" s="223" t="s">
        <v>565</v>
      </c>
      <c r="BV10" s="223" t="s">
        <v>566</v>
      </c>
      <c r="BW10" s="223" t="s">
        <v>567</v>
      </c>
      <c r="BX10" s="164" t="s">
        <v>15</v>
      </c>
      <c r="BY10" s="164" t="s">
        <v>568</v>
      </c>
      <c r="BZ10" s="223" t="s">
        <v>569</v>
      </c>
      <c r="CA10" s="224" t="s">
        <v>347</v>
      </c>
      <c r="CB10" s="164"/>
      <c r="CC10" s="222"/>
      <c r="CD10" s="223" t="s">
        <v>565</v>
      </c>
      <c r="CE10" s="223" t="s">
        <v>566</v>
      </c>
      <c r="CF10" s="223" t="s">
        <v>567</v>
      </c>
      <c r="CG10" s="164" t="s">
        <v>15</v>
      </c>
      <c r="CH10" s="164" t="s">
        <v>568</v>
      </c>
      <c r="CI10" s="223" t="s">
        <v>569</v>
      </c>
      <c r="CJ10" s="224" t="s">
        <v>347</v>
      </c>
      <c r="CK10" s="164"/>
      <c r="CL10" s="222"/>
      <c r="CM10" s="223" t="s">
        <v>565</v>
      </c>
      <c r="CN10" s="223" t="s">
        <v>566</v>
      </c>
      <c r="CO10" s="223" t="s">
        <v>567</v>
      </c>
      <c r="CP10" s="164" t="s">
        <v>15</v>
      </c>
      <c r="CQ10" s="164" t="s">
        <v>568</v>
      </c>
      <c r="CR10" s="223" t="s">
        <v>569</v>
      </c>
      <c r="CS10" s="224" t="s">
        <v>347</v>
      </c>
      <c r="CT10" s="164"/>
      <c r="CU10" s="222"/>
      <c r="CV10" s="223" t="s">
        <v>565</v>
      </c>
      <c r="CW10" s="223" t="s">
        <v>566</v>
      </c>
      <c r="CX10" s="223" t="s">
        <v>567</v>
      </c>
      <c r="CY10" s="164" t="s">
        <v>15</v>
      </c>
      <c r="CZ10" s="164" t="s">
        <v>568</v>
      </c>
      <c r="DA10" s="223" t="s">
        <v>569</v>
      </c>
      <c r="DB10" s="224" t="s">
        <v>347</v>
      </c>
      <c r="DC10" s="164"/>
      <c r="DD10" s="222"/>
      <c r="DE10" s="223" t="s">
        <v>565</v>
      </c>
      <c r="DF10" s="223" t="s">
        <v>566</v>
      </c>
      <c r="DG10" s="223" t="s">
        <v>567</v>
      </c>
      <c r="DH10" s="164" t="s">
        <v>15</v>
      </c>
      <c r="DI10" s="164" t="s">
        <v>568</v>
      </c>
      <c r="DJ10" s="223" t="s">
        <v>569</v>
      </c>
      <c r="DK10" s="224" t="s">
        <v>347</v>
      </c>
      <c r="DL10" s="164"/>
      <c r="DM10" s="222"/>
      <c r="DN10" s="223" t="s">
        <v>565</v>
      </c>
      <c r="DO10" s="223" t="s">
        <v>566</v>
      </c>
      <c r="DP10" s="223" t="s">
        <v>567</v>
      </c>
      <c r="DQ10" s="164" t="s">
        <v>15</v>
      </c>
      <c r="DR10" s="164" t="s">
        <v>568</v>
      </c>
      <c r="DS10" s="223" t="s">
        <v>569</v>
      </c>
      <c r="DT10" s="224" t="s">
        <v>347</v>
      </c>
      <c r="DU10" s="164"/>
      <c r="DV10" s="222"/>
      <c r="DW10" s="223" t="s">
        <v>565</v>
      </c>
      <c r="DX10" s="223" t="s">
        <v>566</v>
      </c>
      <c r="DY10" s="223" t="s">
        <v>567</v>
      </c>
      <c r="DZ10" s="164" t="s">
        <v>15</v>
      </c>
      <c r="EA10" s="164" t="s">
        <v>568</v>
      </c>
      <c r="EB10" s="223" t="s">
        <v>569</v>
      </c>
      <c r="EC10" s="224" t="s">
        <v>347</v>
      </c>
      <c r="ED10" s="164"/>
      <c r="EE10" s="222"/>
      <c r="EF10" s="223" t="s">
        <v>565</v>
      </c>
      <c r="EG10" s="223" t="s">
        <v>566</v>
      </c>
      <c r="EH10" s="223" t="s">
        <v>567</v>
      </c>
      <c r="EI10" s="164" t="s">
        <v>15</v>
      </c>
      <c r="EJ10" s="164" t="s">
        <v>568</v>
      </c>
      <c r="EK10" s="223" t="s">
        <v>569</v>
      </c>
      <c r="EL10" s="224" t="s">
        <v>347</v>
      </c>
      <c r="EM10" s="164"/>
      <c r="EN10" s="222"/>
      <c r="EO10" s="223" t="s">
        <v>565</v>
      </c>
      <c r="EP10" s="223" t="s">
        <v>566</v>
      </c>
      <c r="EQ10" s="223" t="s">
        <v>567</v>
      </c>
      <c r="ER10" s="164" t="s">
        <v>15</v>
      </c>
      <c r="ES10" s="164" t="s">
        <v>568</v>
      </c>
      <c r="ET10" s="223" t="s">
        <v>569</v>
      </c>
      <c r="EU10" s="224" t="s">
        <v>347</v>
      </c>
      <c r="EV10" s="164"/>
      <c r="EW10" s="222"/>
      <c r="EX10" s="223" t="s">
        <v>565</v>
      </c>
      <c r="EY10" s="223" t="s">
        <v>566</v>
      </c>
      <c r="EZ10" s="223" t="s">
        <v>567</v>
      </c>
      <c r="FA10" s="164" t="s">
        <v>15</v>
      </c>
      <c r="FB10" s="164" t="s">
        <v>568</v>
      </c>
      <c r="FC10" s="223" t="s">
        <v>569</v>
      </c>
      <c r="FD10" s="224" t="s">
        <v>347</v>
      </c>
      <c r="FE10" s="164"/>
      <c r="FF10" s="222"/>
      <c r="FG10" s="223" t="s">
        <v>565</v>
      </c>
      <c r="FH10" s="223" t="s">
        <v>566</v>
      </c>
      <c r="FI10" s="223" t="s">
        <v>567</v>
      </c>
      <c r="FJ10" s="164" t="s">
        <v>15</v>
      </c>
      <c r="FK10" s="164" t="s">
        <v>568</v>
      </c>
      <c r="FL10" s="223" t="s">
        <v>569</v>
      </c>
      <c r="FM10" s="224" t="s">
        <v>347</v>
      </c>
    </row>
    <row r="11" spans="1:169">
      <c r="A11" s="167" t="s">
        <v>570</v>
      </c>
      <c r="B11" s="163" t="s">
        <v>571</v>
      </c>
      <c r="C11" s="163"/>
      <c r="D11" s="163"/>
      <c r="E11" s="163"/>
      <c r="F11" s="167" t="s">
        <v>563</v>
      </c>
      <c r="G11" s="168" t="s">
        <v>572</v>
      </c>
      <c r="H11" s="167" t="s">
        <v>570</v>
      </c>
      <c r="I11" s="225" t="s">
        <v>484</v>
      </c>
      <c r="J11" s="225" t="s">
        <v>395</v>
      </c>
      <c r="K11" s="225" t="s">
        <v>573</v>
      </c>
      <c r="L11" s="225" t="s">
        <v>574</v>
      </c>
      <c r="M11" s="167" t="s">
        <v>575</v>
      </c>
      <c r="N11" s="167" t="s">
        <v>574</v>
      </c>
      <c r="O11" s="226">
        <v>0</v>
      </c>
      <c r="P11" s="227" t="s">
        <v>576</v>
      </c>
      <c r="Q11" s="167" t="s">
        <v>570</v>
      </c>
      <c r="R11" s="225" t="s">
        <v>484</v>
      </c>
      <c r="S11" s="225" t="s">
        <v>395</v>
      </c>
      <c r="T11" s="225" t="s">
        <v>573</v>
      </c>
      <c r="U11" s="225" t="s">
        <v>574</v>
      </c>
      <c r="V11" s="167" t="s">
        <v>575</v>
      </c>
      <c r="W11" s="167" t="s">
        <v>574</v>
      </c>
      <c r="X11" s="226">
        <v>0</v>
      </c>
      <c r="Y11" s="227" t="s">
        <v>576</v>
      </c>
      <c r="Z11" s="167" t="s">
        <v>570</v>
      </c>
      <c r="AA11" s="225" t="s">
        <v>484</v>
      </c>
      <c r="AB11" s="225" t="s">
        <v>395</v>
      </c>
      <c r="AC11" s="225" t="s">
        <v>573</v>
      </c>
      <c r="AD11" s="225" t="s">
        <v>574</v>
      </c>
      <c r="AE11" s="167" t="s">
        <v>575</v>
      </c>
      <c r="AF11" s="167" t="s">
        <v>574</v>
      </c>
      <c r="AG11" s="226">
        <v>0</v>
      </c>
      <c r="AH11" s="227" t="s">
        <v>576</v>
      </c>
      <c r="AI11" s="167" t="s">
        <v>570</v>
      </c>
      <c r="AJ11" s="225" t="s">
        <v>484</v>
      </c>
      <c r="AK11" s="225" t="s">
        <v>395</v>
      </c>
      <c r="AL11" s="225" t="s">
        <v>573</v>
      </c>
      <c r="AM11" s="225" t="s">
        <v>574</v>
      </c>
      <c r="AN11" s="167" t="s">
        <v>575</v>
      </c>
      <c r="AO11" s="167" t="s">
        <v>574</v>
      </c>
      <c r="AP11" s="226">
        <v>0</v>
      </c>
      <c r="AQ11" s="227" t="s">
        <v>576</v>
      </c>
      <c r="AR11" s="167" t="s">
        <v>570</v>
      </c>
      <c r="AS11" s="225" t="s">
        <v>484</v>
      </c>
      <c r="AT11" s="225" t="s">
        <v>395</v>
      </c>
      <c r="AU11" s="225" t="s">
        <v>573</v>
      </c>
      <c r="AV11" s="225" t="s">
        <v>574</v>
      </c>
      <c r="AW11" s="167" t="s">
        <v>575</v>
      </c>
      <c r="AX11" s="167" t="s">
        <v>574</v>
      </c>
      <c r="AY11" s="226">
        <v>0</v>
      </c>
      <c r="AZ11" s="227" t="s">
        <v>576</v>
      </c>
      <c r="BA11" s="167" t="s">
        <v>570</v>
      </c>
      <c r="BB11" s="225" t="s">
        <v>484</v>
      </c>
      <c r="BC11" s="225" t="s">
        <v>395</v>
      </c>
      <c r="BD11" s="225" t="s">
        <v>573</v>
      </c>
      <c r="BE11" s="225" t="s">
        <v>574</v>
      </c>
      <c r="BF11" s="167" t="s">
        <v>575</v>
      </c>
      <c r="BG11" s="167" t="s">
        <v>574</v>
      </c>
      <c r="BH11" s="226">
        <v>0</v>
      </c>
      <c r="BI11" s="227" t="s">
        <v>576</v>
      </c>
      <c r="BJ11" s="167" t="s">
        <v>570</v>
      </c>
      <c r="BK11" s="225" t="s">
        <v>484</v>
      </c>
      <c r="BL11" s="225" t="s">
        <v>395</v>
      </c>
      <c r="BM11" s="225" t="s">
        <v>573</v>
      </c>
      <c r="BN11" s="225" t="s">
        <v>574</v>
      </c>
      <c r="BO11" s="167" t="s">
        <v>575</v>
      </c>
      <c r="BP11" s="167" t="s">
        <v>574</v>
      </c>
      <c r="BQ11" s="226">
        <v>0</v>
      </c>
      <c r="BR11" s="227" t="s">
        <v>576</v>
      </c>
      <c r="BS11" s="167" t="s">
        <v>570</v>
      </c>
      <c r="BT11" s="225" t="s">
        <v>484</v>
      </c>
      <c r="BU11" s="225" t="s">
        <v>395</v>
      </c>
      <c r="BV11" s="225" t="s">
        <v>573</v>
      </c>
      <c r="BW11" s="225" t="s">
        <v>574</v>
      </c>
      <c r="BX11" s="167" t="s">
        <v>575</v>
      </c>
      <c r="BY11" s="167" t="s">
        <v>574</v>
      </c>
      <c r="BZ11" s="226">
        <v>0</v>
      </c>
      <c r="CA11" s="227" t="s">
        <v>576</v>
      </c>
      <c r="CB11" s="167" t="s">
        <v>570</v>
      </c>
      <c r="CC11" s="225" t="s">
        <v>484</v>
      </c>
      <c r="CD11" s="225" t="s">
        <v>395</v>
      </c>
      <c r="CE11" s="225" t="s">
        <v>573</v>
      </c>
      <c r="CF11" s="225" t="s">
        <v>574</v>
      </c>
      <c r="CG11" s="167" t="s">
        <v>575</v>
      </c>
      <c r="CH11" s="167" t="s">
        <v>574</v>
      </c>
      <c r="CI11" s="226">
        <v>0</v>
      </c>
      <c r="CJ11" s="227" t="s">
        <v>576</v>
      </c>
      <c r="CK11" s="167" t="s">
        <v>570</v>
      </c>
      <c r="CL11" s="225" t="s">
        <v>484</v>
      </c>
      <c r="CM11" s="225" t="s">
        <v>395</v>
      </c>
      <c r="CN11" s="225" t="s">
        <v>573</v>
      </c>
      <c r="CO11" s="225" t="s">
        <v>574</v>
      </c>
      <c r="CP11" s="167" t="s">
        <v>575</v>
      </c>
      <c r="CQ11" s="167" t="s">
        <v>574</v>
      </c>
      <c r="CR11" s="226">
        <v>0</v>
      </c>
      <c r="CS11" s="227" t="s">
        <v>576</v>
      </c>
      <c r="CT11" s="167" t="s">
        <v>570</v>
      </c>
      <c r="CU11" s="225" t="s">
        <v>484</v>
      </c>
      <c r="CV11" s="225" t="s">
        <v>395</v>
      </c>
      <c r="CW11" s="225" t="s">
        <v>573</v>
      </c>
      <c r="CX11" s="225" t="s">
        <v>574</v>
      </c>
      <c r="CY11" s="167" t="s">
        <v>575</v>
      </c>
      <c r="CZ11" s="167" t="s">
        <v>574</v>
      </c>
      <c r="DA11" s="226">
        <v>0</v>
      </c>
      <c r="DB11" s="227" t="s">
        <v>576</v>
      </c>
      <c r="DC11" s="167" t="s">
        <v>570</v>
      </c>
      <c r="DD11" s="225" t="s">
        <v>484</v>
      </c>
      <c r="DE11" s="225" t="s">
        <v>395</v>
      </c>
      <c r="DF11" s="225" t="s">
        <v>573</v>
      </c>
      <c r="DG11" s="225" t="s">
        <v>574</v>
      </c>
      <c r="DH11" s="167" t="s">
        <v>575</v>
      </c>
      <c r="DI11" s="167" t="s">
        <v>574</v>
      </c>
      <c r="DJ11" s="226">
        <v>0</v>
      </c>
      <c r="DK11" s="227" t="s">
        <v>576</v>
      </c>
      <c r="DL11" s="167" t="s">
        <v>570</v>
      </c>
      <c r="DM11" s="225" t="s">
        <v>484</v>
      </c>
      <c r="DN11" s="225" t="s">
        <v>395</v>
      </c>
      <c r="DO11" s="225" t="s">
        <v>573</v>
      </c>
      <c r="DP11" s="225" t="s">
        <v>574</v>
      </c>
      <c r="DQ11" s="167" t="s">
        <v>575</v>
      </c>
      <c r="DR11" s="167" t="s">
        <v>574</v>
      </c>
      <c r="DS11" s="226">
        <v>0</v>
      </c>
      <c r="DT11" s="227" t="s">
        <v>576</v>
      </c>
      <c r="DU11" s="167" t="s">
        <v>570</v>
      </c>
      <c r="DV11" s="225" t="s">
        <v>484</v>
      </c>
      <c r="DW11" s="225" t="s">
        <v>395</v>
      </c>
      <c r="DX11" s="225" t="s">
        <v>573</v>
      </c>
      <c r="DY11" s="225" t="s">
        <v>574</v>
      </c>
      <c r="DZ11" s="167" t="s">
        <v>575</v>
      </c>
      <c r="EA11" s="167" t="s">
        <v>574</v>
      </c>
      <c r="EB11" s="226">
        <v>0</v>
      </c>
      <c r="EC11" s="227" t="s">
        <v>576</v>
      </c>
      <c r="ED11" s="167" t="s">
        <v>570</v>
      </c>
      <c r="EE11" s="225" t="s">
        <v>484</v>
      </c>
      <c r="EF11" s="225" t="s">
        <v>395</v>
      </c>
      <c r="EG11" s="225" t="s">
        <v>573</v>
      </c>
      <c r="EH11" s="225" t="s">
        <v>574</v>
      </c>
      <c r="EI11" s="167" t="s">
        <v>575</v>
      </c>
      <c r="EJ11" s="167" t="s">
        <v>574</v>
      </c>
      <c r="EK11" s="226">
        <v>0.15</v>
      </c>
      <c r="EL11" s="227" t="s">
        <v>576</v>
      </c>
      <c r="EM11" s="167" t="s">
        <v>570</v>
      </c>
      <c r="EN11" s="225" t="s">
        <v>484</v>
      </c>
      <c r="EO11" s="225" t="s">
        <v>395</v>
      </c>
      <c r="EP11" s="225" t="s">
        <v>573</v>
      </c>
      <c r="EQ11" s="225" t="s">
        <v>574</v>
      </c>
      <c r="ER11" s="167" t="s">
        <v>575</v>
      </c>
      <c r="ES11" s="167" t="s">
        <v>574</v>
      </c>
      <c r="ET11" s="226">
        <v>0</v>
      </c>
      <c r="EU11" s="227" t="s">
        <v>576</v>
      </c>
      <c r="EV11" s="167" t="s">
        <v>570</v>
      </c>
      <c r="EW11" s="225" t="s">
        <v>484</v>
      </c>
      <c r="EX11" s="225" t="s">
        <v>395</v>
      </c>
      <c r="EY11" s="225" t="s">
        <v>573</v>
      </c>
      <c r="EZ11" s="225" t="s">
        <v>574</v>
      </c>
      <c r="FA11" s="167" t="s">
        <v>575</v>
      </c>
      <c r="FB11" s="167" t="s">
        <v>574</v>
      </c>
      <c r="FC11" s="226">
        <v>0</v>
      </c>
      <c r="FD11" s="227" t="s">
        <v>576</v>
      </c>
      <c r="FE11" s="167" t="s">
        <v>570</v>
      </c>
      <c r="FF11" s="225" t="s">
        <v>484</v>
      </c>
      <c r="FG11" s="225" t="s">
        <v>395</v>
      </c>
      <c r="FH11" s="225" t="s">
        <v>573</v>
      </c>
      <c r="FI11" s="225" t="s">
        <v>574</v>
      </c>
      <c r="FJ11" s="167" t="s">
        <v>575</v>
      </c>
      <c r="FK11" s="167" t="s">
        <v>574</v>
      </c>
      <c r="FL11" s="226">
        <v>0</v>
      </c>
      <c r="FM11" s="227" t="s">
        <v>576</v>
      </c>
    </row>
    <row r="12" spans="1:169">
      <c r="B12" s="109"/>
      <c r="C12" s="109"/>
      <c r="D12" s="109"/>
      <c r="E12" s="109"/>
      <c r="F12" s="109"/>
      <c r="H12" s="135"/>
      <c r="I12" s="117"/>
      <c r="J12" s="108"/>
      <c r="K12" s="108"/>
      <c r="L12" s="108"/>
      <c r="M12" s="110"/>
      <c r="N12" s="108"/>
      <c r="P12" s="108"/>
      <c r="Q12" s="135"/>
      <c r="R12" s="117"/>
      <c r="S12" s="108"/>
      <c r="T12" s="108"/>
      <c r="U12" s="108"/>
      <c r="V12" s="110"/>
      <c r="W12" s="108"/>
      <c r="Y12" s="108"/>
      <c r="Z12" s="135"/>
      <c r="AA12" s="117"/>
      <c r="AB12" s="108"/>
      <c r="AC12" s="108"/>
      <c r="AD12" s="108"/>
      <c r="AE12" s="110"/>
      <c r="AF12" s="108"/>
      <c r="AH12" s="108"/>
      <c r="AI12" s="135"/>
      <c r="AJ12" s="117"/>
      <c r="AK12" s="108"/>
      <c r="AL12" s="108"/>
      <c r="AM12" s="108"/>
      <c r="AN12" s="110"/>
      <c r="AO12" s="108"/>
      <c r="AQ12" s="108"/>
      <c r="AR12" s="135"/>
      <c r="AS12" s="117"/>
      <c r="AT12" s="108"/>
      <c r="AU12" s="108"/>
      <c r="AV12" s="108"/>
      <c r="AW12" s="110"/>
      <c r="AX12" s="108"/>
      <c r="AZ12" s="108"/>
      <c r="BA12" s="135"/>
      <c r="BB12" s="117"/>
      <c r="BC12" s="108"/>
      <c r="BD12" s="108"/>
      <c r="BE12" s="108"/>
      <c r="BF12" s="110"/>
      <c r="BG12" s="108"/>
      <c r="BI12" s="108"/>
      <c r="BJ12" s="135"/>
      <c r="BK12" s="117"/>
      <c r="BL12" s="108"/>
      <c r="BM12" s="108"/>
      <c r="BN12" s="108"/>
      <c r="BO12" s="110"/>
      <c r="BP12" s="108"/>
      <c r="BR12" s="108"/>
      <c r="BS12" s="135"/>
      <c r="BT12" s="117"/>
      <c r="BU12" s="108"/>
      <c r="BV12" s="108"/>
      <c r="BW12" s="108"/>
      <c r="BX12" s="110"/>
      <c r="BY12" s="108"/>
      <c r="CA12" s="108"/>
      <c r="CB12" s="135"/>
      <c r="CC12" s="117"/>
      <c r="CD12" s="108"/>
      <c r="CE12" s="108"/>
      <c r="CF12" s="108"/>
      <c r="CG12" s="110"/>
      <c r="CH12" s="108"/>
      <c r="CJ12" s="108"/>
      <c r="CK12" s="135"/>
      <c r="CL12" s="117"/>
      <c r="CM12" s="108"/>
      <c r="CN12" s="108"/>
      <c r="CO12" s="108"/>
      <c r="CP12" s="110"/>
      <c r="CQ12" s="108"/>
      <c r="CS12" s="108"/>
      <c r="CT12" s="135"/>
      <c r="CU12" s="117"/>
      <c r="CV12" s="108"/>
      <c r="CW12" s="108"/>
      <c r="CX12" s="108"/>
      <c r="CY12" s="110"/>
      <c r="CZ12" s="108"/>
      <c r="DB12" s="108"/>
      <c r="DC12" s="135"/>
      <c r="DD12" s="117"/>
      <c r="DE12" s="108"/>
      <c r="DF12" s="108"/>
      <c r="DG12" s="108"/>
      <c r="DH12" s="110"/>
      <c r="DI12" s="108"/>
      <c r="DK12" s="108"/>
      <c r="DL12" s="135"/>
      <c r="DM12" s="117"/>
      <c r="DN12" s="108"/>
      <c r="DO12" s="108"/>
      <c r="DP12" s="108"/>
      <c r="DQ12" s="110"/>
      <c r="DR12" s="108"/>
      <c r="DT12" s="108"/>
      <c r="DU12" s="135"/>
      <c r="DV12" s="117"/>
      <c r="DW12" s="108"/>
      <c r="DX12" s="108"/>
      <c r="DY12" s="108"/>
      <c r="DZ12" s="110"/>
      <c r="EA12" s="108"/>
      <c r="EC12" s="108"/>
      <c r="ED12" s="135"/>
      <c r="EE12" s="117"/>
      <c r="EF12" s="108"/>
      <c r="EG12" s="108"/>
      <c r="EH12" s="108"/>
      <c r="EI12" s="110"/>
      <c r="EJ12" s="108"/>
      <c r="EL12" s="108"/>
      <c r="EM12" s="135"/>
      <c r="EN12" s="117"/>
      <c r="EO12" s="108"/>
      <c r="EP12" s="108"/>
      <c r="EQ12" s="108"/>
      <c r="ER12" s="110"/>
      <c r="ES12" s="108"/>
      <c r="EU12" s="108"/>
      <c r="EV12" s="135"/>
      <c r="EW12" s="117"/>
      <c r="EX12" s="108"/>
      <c r="EY12" s="108"/>
      <c r="EZ12" s="108"/>
      <c r="FA12" s="110"/>
      <c r="FB12" s="108"/>
      <c r="FD12" s="108"/>
      <c r="FE12" s="135"/>
      <c r="FF12" s="117"/>
      <c r="FG12" s="108"/>
      <c r="FH12" s="108"/>
      <c r="FI12" s="108"/>
      <c r="FJ12" s="110"/>
      <c r="FK12" s="108"/>
      <c r="FM12" s="108"/>
    </row>
    <row r="13" spans="1:169">
      <c r="A13" s="52"/>
      <c r="B13" s="47" t="str">
        <f>Summ.!B108</f>
        <v>INSURANCE</v>
      </c>
      <c r="C13" s="45"/>
      <c r="D13" s="45"/>
      <c r="E13" s="45"/>
      <c r="F13" s="106"/>
      <c r="I13" s="109" t="s">
        <v>271</v>
      </c>
      <c r="J13" s="108"/>
      <c r="K13" s="108"/>
      <c r="L13" s="108"/>
      <c r="M13" s="108"/>
      <c r="N13" s="108"/>
      <c r="P13" s="108"/>
      <c r="R13" s="109" t="s">
        <v>271</v>
      </c>
      <c r="S13" s="108"/>
      <c r="T13" s="108"/>
      <c r="U13" s="108"/>
      <c r="V13" s="108"/>
      <c r="W13" s="108"/>
      <c r="Y13" s="108"/>
      <c r="AA13" s="109" t="s">
        <v>271</v>
      </c>
      <c r="AB13" s="108"/>
      <c r="AC13" s="108"/>
      <c r="AD13" s="108"/>
      <c r="AE13" s="108"/>
      <c r="AF13" s="108"/>
      <c r="AH13" s="108"/>
      <c r="AJ13" s="109" t="s">
        <v>271</v>
      </c>
      <c r="AK13" s="108"/>
      <c r="AL13" s="108"/>
      <c r="AM13" s="108"/>
      <c r="AN13" s="108"/>
      <c r="AO13" s="108"/>
      <c r="AQ13" s="108"/>
      <c r="AS13" s="109" t="s">
        <v>271</v>
      </c>
      <c r="AT13" s="108"/>
      <c r="AU13" s="108"/>
      <c r="AV13" s="108"/>
      <c r="AW13" s="108"/>
      <c r="AX13" s="108"/>
      <c r="AZ13" s="108"/>
      <c r="BB13" s="109" t="s">
        <v>271</v>
      </c>
      <c r="BC13" s="108"/>
      <c r="BD13" s="108"/>
      <c r="BE13" s="108"/>
      <c r="BF13" s="108"/>
      <c r="BG13" s="108"/>
      <c r="BI13" s="108"/>
      <c r="BK13" s="109" t="s">
        <v>271</v>
      </c>
      <c r="BL13" s="108"/>
      <c r="BM13" s="108"/>
      <c r="BN13" s="108"/>
      <c r="BO13" s="108"/>
      <c r="BP13" s="108"/>
      <c r="BR13" s="108"/>
      <c r="BT13" s="109" t="s">
        <v>271</v>
      </c>
      <c r="BU13" s="108"/>
      <c r="BV13" s="108"/>
      <c r="BW13" s="108"/>
      <c r="BX13" s="108"/>
      <c r="BY13" s="108"/>
      <c r="CA13" s="108"/>
      <c r="CC13" s="109" t="s">
        <v>271</v>
      </c>
      <c r="CD13" s="108"/>
      <c r="CE13" s="108"/>
      <c r="CF13" s="108"/>
      <c r="CG13" s="108"/>
      <c r="CH13" s="108"/>
      <c r="CJ13" s="108"/>
      <c r="CL13" s="109" t="s">
        <v>271</v>
      </c>
      <c r="CM13" s="108"/>
      <c r="CN13" s="108"/>
      <c r="CO13" s="108"/>
      <c r="CP13" s="108"/>
      <c r="CQ13" s="108"/>
      <c r="CS13" s="108"/>
      <c r="CU13" s="109" t="s">
        <v>271</v>
      </c>
      <c r="CV13" s="108"/>
      <c r="CW13" s="108"/>
      <c r="CX13" s="108"/>
      <c r="CY13" s="108"/>
      <c r="CZ13" s="108"/>
      <c r="DB13" s="108"/>
      <c r="DD13" s="109" t="s">
        <v>271</v>
      </c>
      <c r="DE13" s="108"/>
      <c r="DF13" s="108"/>
      <c r="DG13" s="108"/>
      <c r="DH13" s="108"/>
      <c r="DI13" s="108"/>
      <c r="DK13" s="108"/>
      <c r="DM13" s="109" t="s">
        <v>271</v>
      </c>
      <c r="DN13" s="108"/>
      <c r="DO13" s="108"/>
      <c r="DP13" s="108"/>
      <c r="DQ13" s="108"/>
      <c r="DR13" s="108"/>
      <c r="DT13" s="108"/>
      <c r="DV13" s="109" t="s">
        <v>271</v>
      </c>
      <c r="DW13" s="108"/>
      <c r="DX13" s="108"/>
      <c r="DY13" s="108"/>
      <c r="DZ13" s="108"/>
      <c r="EA13" s="108"/>
      <c r="EC13" s="108"/>
      <c r="EE13" s="109" t="s">
        <v>271</v>
      </c>
      <c r="EF13" s="108"/>
      <c r="EG13" s="108"/>
      <c r="EH13" s="108"/>
      <c r="EI13" s="108"/>
      <c r="EJ13" s="108"/>
      <c r="EL13" s="108"/>
      <c r="EN13" s="109" t="s">
        <v>271</v>
      </c>
      <c r="EO13" s="108"/>
      <c r="EP13" s="108"/>
      <c r="EQ13" s="108"/>
      <c r="ER13" s="108"/>
      <c r="ES13" s="108"/>
      <c r="EU13" s="108"/>
      <c r="EW13" s="109" t="s">
        <v>271</v>
      </c>
      <c r="EX13" s="108"/>
      <c r="EY13" s="108"/>
      <c r="EZ13" s="108"/>
      <c r="FA13" s="108"/>
      <c r="FB13" s="108"/>
      <c r="FD13" s="108"/>
      <c r="FF13" s="109" t="s">
        <v>271</v>
      </c>
      <c r="FG13" s="108"/>
      <c r="FH13" s="108"/>
      <c r="FI13" s="108"/>
      <c r="FJ13" s="108"/>
      <c r="FK13" s="108"/>
      <c r="FM13" s="108"/>
    </row>
    <row r="14" spans="1:169">
      <c r="A14" s="52">
        <f>Summ.!A109</f>
        <v>50111</v>
      </c>
      <c r="B14" s="45" t="str">
        <f>Summ.!B109</f>
        <v>Insurance - Property</v>
      </c>
      <c r="C14" s="45"/>
      <c r="D14" s="45"/>
      <c r="E14" s="45"/>
      <c r="F14" s="106">
        <f>+Summ.!O109</f>
        <v>172347.09999999998</v>
      </c>
      <c r="G14" s="71">
        <f>Rent!B42</f>
        <v>40148</v>
      </c>
      <c r="H14" s="52">
        <f>Summ.!$A109</f>
        <v>50111</v>
      </c>
      <c r="I14" s="108" t="str">
        <f>Summ.!$B109</f>
        <v>Insurance - Property</v>
      </c>
      <c r="J14" s="110">
        <f>$F14</f>
        <v>172347.09999999998</v>
      </c>
      <c r="K14" s="110">
        <v>0</v>
      </c>
      <c r="L14" s="110">
        <f>J14+K14</f>
        <v>172347.09999999998</v>
      </c>
      <c r="M14" s="113">
        <f t="shared" ref="M14:M20" si="4">J$8/$G14</f>
        <v>9.6468068147852942E-2</v>
      </c>
      <c r="N14" s="110">
        <f>L14*M14</f>
        <v>16625.991787884825</v>
      </c>
      <c r="O14" s="115">
        <f>N14*$O$11</f>
        <v>0</v>
      </c>
      <c r="P14" s="110">
        <f>N14+O14</f>
        <v>16625.991787884825</v>
      </c>
      <c r="Q14" s="52">
        <f>Summ.!$A109</f>
        <v>50111</v>
      </c>
      <c r="R14" s="108" t="str">
        <f>Summ.!$B109</f>
        <v>Insurance - Property</v>
      </c>
      <c r="S14" s="110">
        <f>$F14</f>
        <v>172347.09999999998</v>
      </c>
      <c r="T14" s="110">
        <f>+K14</f>
        <v>0</v>
      </c>
      <c r="U14" s="110">
        <f>S14+T14</f>
        <v>172347.09999999998</v>
      </c>
      <c r="V14" s="113">
        <f t="shared" ref="V14:V20" si="5">S$8/$G14</f>
        <v>2.6751021221480521E-2</v>
      </c>
      <c r="W14" s="110">
        <f>U14*V14</f>
        <v>4610.4609295606251</v>
      </c>
      <c r="X14" s="115">
        <f>W14*$X$11</f>
        <v>0</v>
      </c>
      <c r="Y14" s="110">
        <f>W14+X14</f>
        <v>4610.4609295606251</v>
      </c>
      <c r="Z14" s="52">
        <f>Summ.!$A109</f>
        <v>50111</v>
      </c>
      <c r="AA14" s="108" t="str">
        <f>Summ.!$B109</f>
        <v>Insurance - Property</v>
      </c>
      <c r="AB14" s="110">
        <f>$F14</f>
        <v>172347.09999999998</v>
      </c>
      <c r="AC14" s="110">
        <v>0</v>
      </c>
      <c r="AD14" s="110">
        <f>AB14+AC14</f>
        <v>172347.09999999998</v>
      </c>
      <c r="AE14" s="113">
        <f t="shared" ref="AE14:AE20" si="6">AB$8/$G14</f>
        <v>4.9815681976686258E-3</v>
      </c>
      <c r="AF14" s="110">
        <f>AD14*AE14</f>
        <v>858.55883232041435</v>
      </c>
      <c r="AG14" s="115">
        <f>AF14*$AG$11</f>
        <v>0</v>
      </c>
      <c r="AH14" s="110">
        <f>AF14+AG14</f>
        <v>858.55883232041435</v>
      </c>
      <c r="AI14" s="52">
        <f>Summ.!$A109</f>
        <v>50111</v>
      </c>
      <c r="AJ14" s="108" t="str">
        <f>Summ.!$B109</f>
        <v>Insurance - Property</v>
      </c>
      <c r="AK14" s="110">
        <f>$F14</f>
        <v>172347.09999999998</v>
      </c>
      <c r="AL14" s="110">
        <f>+AC14</f>
        <v>0</v>
      </c>
      <c r="AM14" s="110">
        <f>AK14+AL14</f>
        <v>172347.09999999998</v>
      </c>
      <c r="AN14" s="113">
        <f t="shared" ref="AN14:AN20" si="7">AK$8/$G14</f>
        <v>1.2902261631961742E-2</v>
      </c>
      <c r="AO14" s="110">
        <f>AM14*AN14</f>
        <v>2223.6673757098733</v>
      </c>
      <c r="AP14" s="115">
        <f>AO14*$AP$11</f>
        <v>0</v>
      </c>
      <c r="AQ14" s="110">
        <f>AO14+AP14</f>
        <v>2223.6673757098733</v>
      </c>
      <c r="AR14" s="52">
        <f>Summ.!$A109</f>
        <v>50111</v>
      </c>
      <c r="AS14" s="108" t="str">
        <f>Summ.!$B109</f>
        <v>Insurance - Property</v>
      </c>
      <c r="AT14" s="110">
        <f>$F14</f>
        <v>172347.09999999998</v>
      </c>
      <c r="AU14" s="110">
        <f>+AL14</f>
        <v>0</v>
      </c>
      <c r="AV14" s="110">
        <f>AT14+AU14</f>
        <v>172347.09999999998</v>
      </c>
      <c r="AW14" s="113">
        <f t="shared" ref="AW14:AW20" si="8">AT$8/$G14</f>
        <v>1.3076616518880143E-2</v>
      </c>
      <c r="AX14" s="110">
        <f>AV14*AW14</f>
        <v>2253.7169348410876</v>
      </c>
      <c r="AY14" s="115">
        <f>AX14*$AY$11</f>
        <v>0</v>
      </c>
      <c r="AZ14" s="110">
        <f>AX14+AY14</f>
        <v>2253.7169348410876</v>
      </c>
      <c r="BA14" s="52">
        <f>Summ.!$A109</f>
        <v>50111</v>
      </c>
      <c r="BB14" s="108" t="str">
        <f>Summ.!$B109</f>
        <v>Insurance - Property</v>
      </c>
      <c r="BC14" s="110">
        <f>$F14</f>
        <v>172347.09999999998</v>
      </c>
      <c r="BD14" s="110">
        <f>+AU14</f>
        <v>0</v>
      </c>
      <c r="BE14" s="110">
        <f>BC14+BD14</f>
        <v>172347.09999999998</v>
      </c>
      <c r="BF14" s="113" t="e">
        <f t="shared" ref="BF14:BF20" si="9">BC$8/$G14</f>
        <v>#REF!</v>
      </c>
      <c r="BG14" s="110" t="e">
        <f>BE14*BF14</f>
        <v>#REF!</v>
      </c>
      <c r="BH14" s="115" t="e">
        <f>BG14*$BH$11</f>
        <v>#REF!</v>
      </c>
      <c r="BI14" s="110" t="e">
        <f>BG14+BH14</f>
        <v>#REF!</v>
      </c>
      <c r="BJ14" s="52">
        <f>Summ.!$A109</f>
        <v>50111</v>
      </c>
      <c r="BK14" s="108" t="str">
        <f>Summ.!$B109</f>
        <v>Insurance - Property</v>
      </c>
      <c r="BL14" s="110">
        <f>$F14</f>
        <v>172347.09999999998</v>
      </c>
      <c r="BM14" s="110">
        <f t="shared" ref="BM14:BM19" si="10">+BD14</f>
        <v>0</v>
      </c>
      <c r="BN14" s="110">
        <f>BL14+BM14</f>
        <v>172347.09999999998</v>
      </c>
      <c r="BO14" s="113">
        <f t="shared" ref="BO14:BO20" si="11">BL$8/$G14</f>
        <v>2.4758393942413071E-2</v>
      </c>
      <c r="BP14" s="110">
        <f>BN14*BO14</f>
        <v>4267.0373966324596</v>
      </c>
      <c r="BQ14" s="115">
        <f>BP14*$BQ$11</f>
        <v>0</v>
      </c>
      <c r="BR14" s="110">
        <f>BP14+BQ14</f>
        <v>4267.0373966324596</v>
      </c>
      <c r="BS14" s="52">
        <f>Summ.!$A109</f>
        <v>50111</v>
      </c>
      <c r="BT14" s="108" t="str">
        <f>Summ.!$B109</f>
        <v>Insurance - Property</v>
      </c>
      <c r="BU14" s="110">
        <f>$F14</f>
        <v>172347.09999999998</v>
      </c>
      <c r="BV14" s="110">
        <f>+BM14</f>
        <v>0</v>
      </c>
      <c r="BW14" s="110">
        <f>BU14+BV14</f>
        <v>172347.09999999998</v>
      </c>
      <c r="BX14" s="113">
        <f t="shared" ref="BX14:BX20" si="12">BU$8/$G14</f>
        <v>2.5978878150841885E-2</v>
      </c>
      <c r="BY14" s="110">
        <f>BW14*BX14</f>
        <v>4477.3843105509604</v>
      </c>
      <c r="BZ14" s="115">
        <f>BY14*$BZ$11</f>
        <v>0</v>
      </c>
      <c r="CA14" s="110">
        <f>BY14+BZ14</f>
        <v>4477.3843105509604</v>
      </c>
      <c r="CB14" s="52">
        <f>Summ.!$A109</f>
        <v>50111</v>
      </c>
      <c r="CC14" s="108" t="str">
        <f>Summ.!$B109</f>
        <v>Insurance - Property</v>
      </c>
      <c r="CD14" s="110">
        <f>$F14</f>
        <v>172347.09999999998</v>
      </c>
      <c r="CE14" s="110">
        <v>0</v>
      </c>
      <c r="CF14" s="110">
        <f>CD14+CE14</f>
        <v>172347.09999999998</v>
      </c>
      <c r="CG14" s="113">
        <f t="shared" ref="CG14:CG20" si="13">CD$8/$G14</f>
        <v>8.7825047324897876E-2</v>
      </c>
      <c r="CH14" s="110">
        <f>CF14*CG14</f>
        <v>15136.392213808904</v>
      </c>
      <c r="CI14" s="115">
        <f>CH14*$CI$11</f>
        <v>0</v>
      </c>
      <c r="CJ14" s="110">
        <f>CH14+CI14</f>
        <v>15136.392213808904</v>
      </c>
      <c r="CK14" s="52">
        <f>Summ.!$A109</f>
        <v>50111</v>
      </c>
      <c r="CL14" s="108" t="str">
        <f>Summ.!$B109</f>
        <v>Insurance - Property</v>
      </c>
      <c r="CM14" s="110">
        <f>$F14</f>
        <v>172347.09999999998</v>
      </c>
      <c r="CN14" s="110">
        <f>+CE14</f>
        <v>0</v>
      </c>
      <c r="CO14" s="110">
        <f>CM14+CN14</f>
        <v>172347.09999999998</v>
      </c>
      <c r="CP14" s="113">
        <f t="shared" ref="CP14:CP20" si="14">CM$8/$G14</f>
        <v>0.26741058085085184</v>
      </c>
      <c r="CQ14" s="110">
        <f>CO14*CP14</f>
        <v>46087.438118959843</v>
      </c>
      <c r="CR14" s="115">
        <f>CQ14*$CR$11</f>
        <v>0</v>
      </c>
      <c r="CS14" s="110">
        <f>CQ14+CR14</f>
        <v>46087.438118959843</v>
      </c>
      <c r="CT14" s="52">
        <f>Summ.!$A109</f>
        <v>50111</v>
      </c>
      <c r="CU14" s="108" t="str">
        <f>Summ.!$B109</f>
        <v>Insurance - Property</v>
      </c>
      <c r="CV14" s="110">
        <f>$F14</f>
        <v>172347.09999999998</v>
      </c>
      <c r="CW14" s="110">
        <v>0</v>
      </c>
      <c r="CX14" s="110">
        <f>CV14+CW14</f>
        <v>172347.09999999998</v>
      </c>
      <c r="CY14" s="113">
        <f t="shared" ref="CY14:CY20" si="15">CV$8/$G14</f>
        <v>7.472352296502939E-2</v>
      </c>
      <c r="CZ14" s="110">
        <f>CX14*CY14</f>
        <v>12878.382484806216</v>
      </c>
      <c r="DA14" s="115">
        <f>CZ14*$DA$11</f>
        <v>0</v>
      </c>
      <c r="DB14" s="110">
        <f>CZ14+DA14</f>
        <v>12878.382484806216</v>
      </c>
      <c r="DC14" s="52">
        <f>Summ.!$A109</f>
        <v>50111</v>
      </c>
      <c r="DD14" s="108" t="str">
        <f>Summ.!$B109</f>
        <v>Insurance - Property</v>
      </c>
      <c r="DE14" s="110">
        <f>$F14</f>
        <v>172347.09999999998</v>
      </c>
      <c r="DF14" s="110">
        <v>0</v>
      </c>
      <c r="DG14" s="110">
        <f>DE14+DF14</f>
        <v>172347.09999999998</v>
      </c>
      <c r="DH14" s="113">
        <f t="shared" ref="DH14:DH20" si="16">DE$8/$G14</f>
        <v>1.2453920494171565E-2</v>
      </c>
      <c r="DI14" s="110">
        <f>DG14*DH14</f>
        <v>2146.3970808010358</v>
      </c>
      <c r="DJ14" s="115">
        <f>DI14*$DJ$11</f>
        <v>0</v>
      </c>
      <c r="DK14" s="110">
        <f>DI14+DJ14</f>
        <v>2146.3970808010358</v>
      </c>
      <c r="DL14" s="52">
        <f>Summ.!$A109</f>
        <v>50111</v>
      </c>
      <c r="DM14" s="108" t="str">
        <f>Summ.!$B109</f>
        <v>Insurance - Property</v>
      </c>
      <c r="DN14" s="110">
        <f>$F14</f>
        <v>172347.09999999998</v>
      </c>
      <c r="DO14" s="110">
        <f>-DN14</f>
        <v>-172347.09999999998</v>
      </c>
      <c r="DP14" s="110">
        <f>DN14+DO14</f>
        <v>0</v>
      </c>
      <c r="DQ14" s="113">
        <f t="shared" ref="DQ14:DQ20" si="17">DN$8/$G14</f>
        <v>7.2133107502241708E-2</v>
      </c>
      <c r="DR14" s="110">
        <f>DP14*DQ14</f>
        <v>0</v>
      </c>
      <c r="DS14" s="115">
        <f>DR14*$DS$11</f>
        <v>0</v>
      </c>
      <c r="DT14" s="110">
        <f>DR14+DS14</f>
        <v>0</v>
      </c>
      <c r="DU14" s="52">
        <f>Summ.!$A109</f>
        <v>50111</v>
      </c>
      <c r="DV14" s="108" t="str">
        <f>Summ.!$B109</f>
        <v>Insurance - Property</v>
      </c>
      <c r="DW14" s="110">
        <f>$F14</f>
        <v>172347.09999999998</v>
      </c>
      <c r="DX14" s="110">
        <f>-DW14</f>
        <v>-172347.09999999998</v>
      </c>
      <c r="DY14" s="110">
        <f>DW14+DX14</f>
        <v>0</v>
      </c>
      <c r="DZ14" s="113">
        <f t="shared" ref="DZ14:DZ20" si="18">DW$8/$G14</f>
        <v>0.19961143768058184</v>
      </c>
      <c r="EA14" s="110">
        <f>DY14*DZ14</f>
        <v>0</v>
      </c>
      <c r="EB14" s="115">
        <f>EA14*$EB$11</f>
        <v>0</v>
      </c>
      <c r="EC14" s="110">
        <f>EA14+EB14</f>
        <v>0</v>
      </c>
      <c r="ED14" s="52">
        <f>Summ.!$A109</f>
        <v>50111</v>
      </c>
      <c r="EE14" s="108" t="str">
        <f>Summ.!$B109</f>
        <v>Insurance - Property</v>
      </c>
      <c r="EF14" s="110">
        <f>$F14</f>
        <v>172347.09999999998</v>
      </c>
      <c r="EG14" s="110"/>
      <c r="EH14" s="110">
        <f>EF14+EG14</f>
        <v>172347.09999999998</v>
      </c>
      <c r="EI14" s="113">
        <f t="shared" ref="EI14:EI20" si="19">EF$8/$G14</f>
        <v>0.16190096642423035</v>
      </c>
      <c r="EJ14" s="110">
        <f>EH14*EI14</f>
        <v>27903.162050413466</v>
      </c>
      <c r="EK14" s="115">
        <f>EJ14*$EK$11</f>
        <v>4185.4743075620199</v>
      </c>
      <c r="EL14" s="110">
        <f>EJ14+EK14</f>
        <v>32088.636357975487</v>
      </c>
      <c r="EM14" s="52">
        <f>Summ.!$A109</f>
        <v>50111</v>
      </c>
      <c r="EN14" s="108" t="str">
        <f>Summ.!$B109</f>
        <v>Insurance - Property</v>
      </c>
      <c r="EO14" s="110">
        <f>$F14</f>
        <v>172347.09999999998</v>
      </c>
      <c r="EP14" s="110">
        <v>0</v>
      </c>
      <c r="EQ14" s="110">
        <f>EO14+EP14</f>
        <v>172347.09999999998</v>
      </c>
      <c r="ER14" s="113">
        <f t="shared" ref="ER14:ER20" si="20">EO$8/$G14</f>
        <v>4.9641327089767859E-2</v>
      </c>
      <c r="ES14" s="110">
        <f>EQ14*ER14</f>
        <v>8555.5387640729296</v>
      </c>
      <c r="ET14" s="115">
        <f>ES14*$ET$11</f>
        <v>0</v>
      </c>
      <c r="EU14" s="110">
        <f>ES14+ET14</f>
        <v>8555.5387640729296</v>
      </c>
      <c r="EV14" s="52">
        <f>Summ.!$A109</f>
        <v>50111</v>
      </c>
      <c r="EW14" s="108" t="str">
        <f>Summ.!$B109</f>
        <v>Insurance - Property</v>
      </c>
      <c r="EX14" s="110">
        <f>$F14</f>
        <v>172347.09999999998</v>
      </c>
      <c r="EY14" s="110">
        <v>0</v>
      </c>
      <c r="EZ14" s="110">
        <f>EX14+EY14</f>
        <v>172347.09999999998</v>
      </c>
      <c r="FA14" s="113">
        <f t="shared" ref="FA14:FA20" si="21">EX$8/$G14</f>
        <v>2.3961343030786092E-2</v>
      </c>
      <c r="FB14" s="110">
        <f>EZ14*FA14</f>
        <v>4129.6679834611932</v>
      </c>
      <c r="FC14" s="115">
        <f>FB14*$FC$11</f>
        <v>0</v>
      </c>
      <c r="FD14" s="110">
        <f>FB14+FC14</f>
        <v>4129.6679834611932</v>
      </c>
      <c r="FE14" s="52">
        <f>Summ.!$A109</f>
        <v>50111</v>
      </c>
      <c r="FF14" s="108" t="str">
        <f>Summ.!$B109</f>
        <v>Insurance - Property</v>
      </c>
      <c r="FG14" s="110">
        <f>$F14</f>
        <v>172347.09999999998</v>
      </c>
      <c r="FH14" s="110">
        <v>0</v>
      </c>
      <c r="FI14" s="110">
        <f>FG14+FH14</f>
        <v>172347.09999999998</v>
      </c>
      <c r="FJ14" s="113">
        <f t="shared" ref="FJ14:FJ20" si="22">FG$8/$G14</f>
        <v>9.2258643020822956E-2</v>
      </c>
      <c r="FK14" s="110">
        <f>FI14*FJ14</f>
        <v>15900.509574574075</v>
      </c>
      <c r="FL14" s="115">
        <f>FK14*$FL$11</f>
        <v>0</v>
      </c>
      <c r="FM14" s="110">
        <f>FK14+FL14</f>
        <v>15900.509574574075</v>
      </c>
    </row>
    <row r="15" spans="1:169">
      <c r="A15" s="52">
        <f>Summ.!A110</f>
        <v>50112</v>
      </c>
      <c r="B15" s="45" t="str">
        <f>Summ.!B110</f>
        <v>Insurance - General Liability</v>
      </c>
      <c r="C15" s="45"/>
      <c r="D15" s="45"/>
      <c r="E15" s="45"/>
      <c r="F15" s="106">
        <f>+Summ.!O110</f>
        <v>16470.3</v>
      </c>
      <c r="G15" s="71">
        <f>Rent!$B$41</f>
        <v>51058</v>
      </c>
      <c r="H15" s="52">
        <f>Summ.!$A110</f>
        <v>50112</v>
      </c>
      <c r="I15" s="108" t="str">
        <f>Summ.!$B110</f>
        <v>Insurance - General Liability</v>
      </c>
      <c r="J15" s="110">
        <f t="shared" ref="J15:J20" si="23">$F15</f>
        <v>16470.3</v>
      </c>
      <c r="K15" s="110">
        <v>0</v>
      </c>
      <c r="L15" s="110">
        <f t="shared" ref="L15:L20" si="24">J15+K15</f>
        <v>16470.3</v>
      </c>
      <c r="M15" s="113">
        <f t="shared" si="4"/>
        <v>7.5854910102236675E-2</v>
      </c>
      <c r="N15" s="110">
        <f t="shared" ref="N15:N20" si="25">L15*M15</f>
        <v>1249.3531258568687</v>
      </c>
      <c r="O15" s="115">
        <f t="shared" ref="O15:O20" si="26">N15*$O$11</f>
        <v>0</v>
      </c>
      <c r="P15" s="110">
        <f t="shared" ref="P15:P20" si="27">N15+O15</f>
        <v>1249.3531258568687</v>
      </c>
      <c r="Q15" s="52">
        <f>Summ.!$A110</f>
        <v>50112</v>
      </c>
      <c r="R15" s="108" t="str">
        <f>Summ.!$B110</f>
        <v>Insurance - General Liability</v>
      </c>
      <c r="S15" s="110">
        <f t="shared" ref="S15:S20" si="28">$F15</f>
        <v>16470.3</v>
      </c>
      <c r="T15" s="110">
        <f t="shared" ref="T15:T19" si="29">+K15</f>
        <v>0</v>
      </c>
      <c r="U15" s="110">
        <f t="shared" ref="U15:U20" si="30">S15+T15</f>
        <v>16470.3</v>
      </c>
      <c r="V15" s="113">
        <f t="shared" si="5"/>
        <v>2.1034901484586158E-2</v>
      </c>
      <c r="W15" s="110">
        <f t="shared" ref="W15:W20" si="31">U15*V15</f>
        <v>346.4511379215794</v>
      </c>
      <c r="X15" s="115">
        <f t="shared" ref="X15:X20" si="32">W15*$X$11</f>
        <v>0</v>
      </c>
      <c r="Y15" s="110">
        <f t="shared" ref="Y15:Y20" si="33">W15+X15</f>
        <v>346.4511379215794</v>
      </c>
      <c r="Z15" s="52">
        <f>Summ.!$A110</f>
        <v>50112</v>
      </c>
      <c r="AA15" s="108" t="str">
        <f>Summ.!$B110</f>
        <v>Insurance - General Liability</v>
      </c>
      <c r="AB15" s="110">
        <f t="shared" ref="AB15:AB20" si="34">$F15</f>
        <v>16470.3</v>
      </c>
      <c r="AC15" s="110">
        <v>0</v>
      </c>
      <c r="AD15" s="110">
        <f t="shared" ref="AD15:AD20" si="35">AB15+AC15</f>
        <v>16470.3</v>
      </c>
      <c r="AE15" s="113">
        <f t="shared" si="6"/>
        <v>3.9171138705002152E-3</v>
      </c>
      <c r="AF15" s="110">
        <f t="shared" ref="AF15:AF20" si="36">AD15*AE15</f>
        <v>64.516040581299691</v>
      </c>
      <c r="AG15" s="115">
        <f t="shared" ref="AG15:AG20" si="37">AF15*$AG$11</f>
        <v>0</v>
      </c>
      <c r="AH15" s="110">
        <f t="shared" ref="AH15:AH20" si="38">AF15+AG15</f>
        <v>64.516040581299691</v>
      </c>
      <c r="AI15" s="52">
        <f>Summ.!$A110</f>
        <v>50112</v>
      </c>
      <c r="AJ15" s="108" t="str">
        <f>Summ.!$B110</f>
        <v>Insurance - General Liability</v>
      </c>
      <c r="AK15" s="110">
        <f t="shared" ref="AK15:AK20" si="39">$F15</f>
        <v>16470.3</v>
      </c>
      <c r="AL15" s="110">
        <f t="shared" ref="AL15:AL19" si="40">+AC15</f>
        <v>0</v>
      </c>
      <c r="AM15" s="110">
        <f t="shared" ref="AM15:AM20" si="41">AK15+AL15</f>
        <v>16470.3</v>
      </c>
      <c r="AN15" s="113">
        <f t="shared" si="7"/>
        <v>1.0145324924595559E-2</v>
      </c>
      <c r="AO15" s="110">
        <f t="shared" ref="AO15:AO20" si="42">AM15*AN15</f>
        <v>167.09654510556624</v>
      </c>
      <c r="AP15" s="115">
        <f t="shared" ref="AP15:AP20" si="43">AO15*$AP$11</f>
        <v>0</v>
      </c>
      <c r="AQ15" s="110">
        <f t="shared" ref="AQ15:AQ20" si="44">AO15+AP15</f>
        <v>167.09654510556624</v>
      </c>
      <c r="AR15" s="52">
        <f>Summ.!$A110</f>
        <v>50112</v>
      </c>
      <c r="AS15" s="108" t="str">
        <f>Summ.!$B110</f>
        <v>Insurance - General Liability</v>
      </c>
      <c r="AT15" s="110">
        <f t="shared" ref="AT15:AT20" si="45">$F15</f>
        <v>16470.3</v>
      </c>
      <c r="AU15" s="110">
        <f t="shared" ref="AU15:AU19" si="46">+AL15</f>
        <v>0</v>
      </c>
      <c r="AV15" s="110">
        <f t="shared" ref="AV15:AV20" si="47">AT15+AU15</f>
        <v>16470.3</v>
      </c>
      <c r="AW15" s="113">
        <f t="shared" si="8"/>
        <v>1.0282423910063065E-2</v>
      </c>
      <c r="AX15" s="110">
        <f t="shared" ref="AX15:AX20" si="48">AV15*AW15</f>
        <v>169.35460652591169</v>
      </c>
      <c r="AY15" s="115">
        <f t="shared" ref="AY15:AY20" si="49">AX15*$AY$11</f>
        <v>0</v>
      </c>
      <c r="AZ15" s="110">
        <f t="shared" ref="AZ15:AZ20" si="50">AX15+AY15</f>
        <v>169.35460652591169</v>
      </c>
      <c r="BA15" s="52">
        <f>Summ.!$A110</f>
        <v>50112</v>
      </c>
      <c r="BB15" s="108" t="str">
        <f>Summ.!$B110</f>
        <v>Insurance - General Liability</v>
      </c>
      <c r="BC15" s="110">
        <f t="shared" ref="BC15:BC20" si="51">$F15</f>
        <v>16470.3</v>
      </c>
      <c r="BD15" s="110">
        <f t="shared" ref="BD15:BD19" si="52">+AU15</f>
        <v>0</v>
      </c>
      <c r="BE15" s="110">
        <f t="shared" ref="BE15:BE20" si="53">BC15+BD15</f>
        <v>16470.3</v>
      </c>
      <c r="BF15" s="113" t="e">
        <f t="shared" si="9"/>
        <v>#REF!</v>
      </c>
      <c r="BG15" s="110" t="e">
        <f t="shared" ref="BG15:BG20" si="54">BE15*BF15</f>
        <v>#REF!</v>
      </c>
      <c r="BH15" s="115" t="e">
        <f t="shared" ref="BH15:BH20" si="55">BG15*$BH$11</f>
        <v>#REF!</v>
      </c>
      <c r="BI15" s="110" t="e">
        <f t="shared" ref="BI15:BI20" si="56">BG15+BH15</f>
        <v>#REF!</v>
      </c>
      <c r="BJ15" s="52">
        <f>Summ.!$A110</f>
        <v>50112</v>
      </c>
      <c r="BK15" s="108" t="str">
        <f>Summ.!$B110</f>
        <v>Insurance - General Liability</v>
      </c>
      <c r="BL15" s="110">
        <f t="shared" ref="BL15:BL20" si="57">$F15</f>
        <v>16470.3</v>
      </c>
      <c r="BM15" s="110">
        <f t="shared" si="10"/>
        <v>0</v>
      </c>
      <c r="BN15" s="110">
        <f t="shared" ref="BN15:BN20" si="58">BL15+BM15</f>
        <v>16470.3</v>
      </c>
      <c r="BO15" s="113">
        <f t="shared" si="11"/>
        <v>1.9468055936386071E-2</v>
      </c>
      <c r="BP15" s="110">
        <f t="shared" ref="BP15:BP20" si="59">BN15*BO15</f>
        <v>320.64472168905951</v>
      </c>
      <c r="BQ15" s="115">
        <f t="shared" ref="BQ15:BQ20" si="60">BP15*$BQ$11</f>
        <v>0</v>
      </c>
      <c r="BR15" s="110">
        <f t="shared" ref="BR15:BR20" si="61">BP15+BQ15</f>
        <v>320.64472168905951</v>
      </c>
      <c r="BS15" s="52">
        <f>Summ.!$A110</f>
        <v>50112</v>
      </c>
      <c r="BT15" s="108" t="str">
        <f>Summ.!$B110</f>
        <v>Insurance - General Liability</v>
      </c>
      <c r="BU15" s="110">
        <f t="shared" ref="BU15:BU20" si="62">$F15</f>
        <v>16470.3</v>
      </c>
      <c r="BV15" s="110">
        <f t="shared" ref="BV15:BV19" si="63">+BM15</f>
        <v>0</v>
      </c>
      <c r="BW15" s="110">
        <f t="shared" ref="BW15:BW20" si="64">BU15+BV15</f>
        <v>16470.3</v>
      </c>
      <c r="BX15" s="113">
        <f t="shared" si="12"/>
        <v>2.0427748834658623E-2</v>
      </c>
      <c r="BY15" s="110">
        <f t="shared" ref="BY15:BY20" si="65">BW15*BX15</f>
        <v>336.4511516314779</v>
      </c>
      <c r="BZ15" s="115">
        <f t="shared" ref="BZ15:BZ20" si="66">BY15*$BZ$11</f>
        <v>0</v>
      </c>
      <c r="CA15" s="110">
        <f t="shared" ref="CA15:CA20" si="67">BY15+BZ15</f>
        <v>336.4511516314779</v>
      </c>
      <c r="CB15" s="52">
        <f>Summ.!$A110</f>
        <v>50112</v>
      </c>
      <c r="CC15" s="108" t="str">
        <f>Summ.!$B110</f>
        <v>Insurance - General Liability</v>
      </c>
      <c r="CD15" s="110">
        <f t="shared" ref="CD15:CD20" si="68">$F15</f>
        <v>16470.3</v>
      </c>
      <c r="CE15" s="110">
        <v>0</v>
      </c>
      <c r="CF15" s="110">
        <f t="shared" ref="CF15:CF20" si="69">CD15+CE15</f>
        <v>16470.3</v>
      </c>
      <c r="CG15" s="113">
        <f t="shared" si="13"/>
        <v>6.9058717536918793E-2</v>
      </c>
      <c r="CH15" s="110">
        <f t="shared" ref="CH15:CH20" si="70">CF15*CG15</f>
        <v>1137.4177954483137</v>
      </c>
      <c r="CI15" s="115">
        <f t="shared" ref="CI15:CI20" si="71">CH15*$CI$11</f>
        <v>0</v>
      </c>
      <c r="CJ15" s="110">
        <f t="shared" ref="CJ15:CJ20" si="72">CH15+CI15</f>
        <v>1137.4177954483137</v>
      </c>
      <c r="CK15" s="52">
        <f>Summ.!$A110</f>
        <v>50112</v>
      </c>
      <c r="CL15" s="108" t="str">
        <f>Summ.!$B110</f>
        <v>Insurance - General Liability</v>
      </c>
      <c r="CM15" s="110">
        <f t="shared" ref="CM15:CM20" si="73">$F15</f>
        <v>16470.3</v>
      </c>
      <c r="CN15" s="110">
        <f t="shared" ref="CN15:CN19" si="74">+CE15</f>
        <v>0</v>
      </c>
      <c r="CO15" s="110">
        <f t="shared" ref="CO15:CO20" si="75">CM15+CN15</f>
        <v>16470.3</v>
      </c>
      <c r="CP15" s="113">
        <f t="shared" si="14"/>
        <v>0.21027067256845156</v>
      </c>
      <c r="CQ15" s="110">
        <f t="shared" ref="CQ15:CQ20" si="76">CO15*CP15</f>
        <v>3463.2210584041677</v>
      </c>
      <c r="CR15" s="115">
        <f t="shared" ref="CR15:CR20" si="77">CQ15*$CR$11</f>
        <v>0</v>
      </c>
      <c r="CS15" s="110">
        <f t="shared" ref="CS15:CS20" si="78">CQ15+CR15</f>
        <v>3463.2210584041677</v>
      </c>
      <c r="CT15" s="52">
        <f>Summ.!$A110</f>
        <v>50112</v>
      </c>
      <c r="CU15" s="108" t="str">
        <f>Summ.!$B110</f>
        <v>Insurance - General Liability</v>
      </c>
      <c r="CV15" s="110">
        <f t="shared" ref="CV15:CV20" si="79">$F15</f>
        <v>16470.3</v>
      </c>
      <c r="CW15" s="110">
        <v>0</v>
      </c>
      <c r="CX15" s="110">
        <f t="shared" ref="CX15:CX20" si="80">CV15+CW15</f>
        <v>16470.3</v>
      </c>
      <c r="CY15" s="113">
        <f t="shared" si="15"/>
        <v>5.8756708057503229E-2</v>
      </c>
      <c r="CZ15" s="110">
        <f t="shared" ref="CZ15:CZ20" si="81">CX15*CY15</f>
        <v>967.74060871949541</v>
      </c>
      <c r="DA15" s="115">
        <f t="shared" ref="DA15:DA20" si="82">CZ15*$DA$11</f>
        <v>0</v>
      </c>
      <c r="DB15" s="110">
        <f t="shared" ref="DB15:DB20" si="83">CZ15+DA15</f>
        <v>967.74060871949541</v>
      </c>
      <c r="DC15" s="52">
        <f>Summ.!$A110</f>
        <v>50112</v>
      </c>
      <c r="DD15" s="108" t="str">
        <f>Summ.!$B110</f>
        <v>Insurance - General Liability</v>
      </c>
      <c r="DE15" s="110">
        <f t="shared" ref="DE15:DE20" si="84">$F15</f>
        <v>16470.3</v>
      </c>
      <c r="DF15" s="110">
        <v>0</v>
      </c>
      <c r="DG15" s="110">
        <f t="shared" ref="DG15:DG20" si="85">DE15+DF15</f>
        <v>16470.3</v>
      </c>
      <c r="DH15" s="113">
        <f t="shared" si="16"/>
        <v>9.7927846762505388E-3</v>
      </c>
      <c r="DI15" s="110">
        <f t="shared" ref="DI15:DI20" si="86">DG15*DH15</f>
        <v>161.29010145324924</v>
      </c>
      <c r="DJ15" s="115">
        <f t="shared" ref="DJ15:DJ20" si="87">DI15*$DJ$11</f>
        <v>0</v>
      </c>
      <c r="DK15" s="110">
        <f t="shared" ref="DK15:DK20" si="88">DI15+DJ15</f>
        <v>161.29010145324924</v>
      </c>
      <c r="DL15" s="52">
        <f>Summ.!$A110</f>
        <v>50112</v>
      </c>
      <c r="DM15" s="108" t="str">
        <f>Summ.!$B110</f>
        <v>Insurance - General Liability</v>
      </c>
      <c r="DN15" s="110">
        <f t="shared" ref="DN15:DN20" si="89">$F15</f>
        <v>16470.3</v>
      </c>
      <c r="DO15" s="110">
        <v>0</v>
      </c>
      <c r="DP15" s="110">
        <f t="shared" ref="DP15:DP20" si="90">DN15+DO15</f>
        <v>16470.3</v>
      </c>
      <c r="DQ15" s="113">
        <f t="shared" si="17"/>
        <v>5.6719808844843123E-2</v>
      </c>
      <c r="DR15" s="110">
        <f t="shared" ref="DR15:DR20" si="91">DP15*DQ15</f>
        <v>934.19226761721961</v>
      </c>
      <c r="DS15" s="115">
        <f t="shared" ref="DS15:DS20" si="92">DR15*$DS$11</f>
        <v>0</v>
      </c>
      <c r="DT15" s="110">
        <f t="shared" ref="DT15:DT20" si="93">DR15+DS15</f>
        <v>934.19226761721961</v>
      </c>
      <c r="DU15" s="52">
        <f>Summ.!$A110</f>
        <v>50112</v>
      </c>
      <c r="DV15" s="108" t="str">
        <f>Summ.!$B110</f>
        <v>Insurance - General Liability</v>
      </c>
      <c r="DW15" s="110">
        <f t="shared" ref="DW15:DW20" si="94">$F15</f>
        <v>16470.3</v>
      </c>
      <c r="DX15" s="110">
        <f t="shared" ref="DX15:DX19" si="95">+DO15</f>
        <v>0</v>
      </c>
      <c r="DY15" s="110">
        <f t="shared" ref="DY15:DY20" si="96">DW15+DX15</f>
        <v>16470.3</v>
      </c>
      <c r="DZ15" s="113">
        <f t="shared" si="18"/>
        <v>0.15695875279094362</v>
      </c>
      <c r="EA15" s="110">
        <f t="shared" ref="EA15:EA20" si="97">DY15*DZ15</f>
        <v>2585.1577460926787</v>
      </c>
      <c r="EB15" s="115">
        <f t="shared" ref="EB15:EB20" si="98">EA15*$EB$11</f>
        <v>0</v>
      </c>
      <c r="EC15" s="110">
        <f t="shared" ref="EC15:EC20" si="99">EA15+EB15</f>
        <v>2585.1577460926787</v>
      </c>
      <c r="ED15" s="52">
        <f>Summ.!$A110</f>
        <v>50112</v>
      </c>
      <c r="EE15" s="108" t="str">
        <f>Summ.!$B110</f>
        <v>Insurance - General Liability</v>
      </c>
      <c r="EF15" s="110">
        <f t="shared" ref="EF15:EF20" si="100">$F15</f>
        <v>16470.3</v>
      </c>
      <c r="EG15" s="110">
        <f t="shared" ref="EG15:EG19" si="101">+DX15</f>
        <v>0</v>
      </c>
      <c r="EH15" s="110">
        <f t="shared" ref="EH15:EH20" si="102">EF15+EG15</f>
        <v>16470.3</v>
      </c>
      <c r="EI15" s="113">
        <f t="shared" si="19"/>
        <v>0.12730620079125701</v>
      </c>
      <c r="EJ15" s="110">
        <f t="shared" ref="EJ15:EJ20" si="103">EH15*EI15</f>
        <v>2096.7713188922403</v>
      </c>
      <c r="EK15" s="115">
        <f t="shared" ref="EK15:EK20" si="104">EJ15*$EK$11</f>
        <v>314.51569783383604</v>
      </c>
      <c r="EL15" s="110">
        <f t="shared" ref="EL15:EL20" si="105">EJ15+EK15</f>
        <v>2411.2870167260762</v>
      </c>
      <c r="EM15" s="52">
        <f>Summ.!$A110</f>
        <v>50112</v>
      </c>
      <c r="EN15" s="108" t="str">
        <f>Summ.!$B110</f>
        <v>Insurance - General Liability</v>
      </c>
      <c r="EO15" s="110">
        <f t="shared" ref="EO15:EO20" si="106">$F15</f>
        <v>16470.3</v>
      </c>
      <c r="EP15" s="110">
        <f t="shared" ref="EP15:EP19" si="107">+EG15</f>
        <v>0</v>
      </c>
      <c r="EQ15" s="110">
        <f t="shared" ref="EQ15:EQ20" si="108">EO15+EP15</f>
        <v>16470.3</v>
      </c>
      <c r="ER15" s="113">
        <f t="shared" si="20"/>
        <v>3.9034039719534647E-2</v>
      </c>
      <c r="ES15" s="110">
        <f t="shared" ref="ES15:ES20" si="109">EQ15*ER15</f>
        <v>642.90234439265146</v>
      </c>
      <c r="ET15" s="115">
        <f t="shared" ref="ET15:ET20" si="110">ES15*$ET$11</f>
        <v>0</v>
      </c>
      <c r="EU15" s="110">
        <f t="shared" ref="EU15:EU20" si="111">ES15+ET15</f>
        <v>642.90234439265146</v>
      </c>
      <c r="EV15" s="52">
        <f>Summ.!$A110</f>
        <v>50112</v>
      </c>
      <c r="EW15" s="108" t="str">
        <f>Summ.!$B110</f>
        <v>Insurance - General Liability</v>
      </c>
      <c r="EX15" s="110">
        <f t="shared" ref="EX15:EX20" si="112">$F15</f>
        <v>16470.3</v>
      </c>
      <c r="EY15" s="110">
        <f t="shared" ref="EY15:EY19" si="113">+EP15</f>
        <v>0</v>
      </c>
      <c r="EZ15" s="110">
        <f t="shared" ref="EZ15:EZ20" si="114">EX15+EY15</f>
        <v>16470.3</v>
      </c>
      <c r="FA15" s="113">
        <f t="shared" si="21"/>
        <v>1.8841317717106038E-2</v>
      </c>
      <c r="FB15" s="110">
        <f t="shared" ref="FB15:FB20" si="115">EZ15*FA15</f>
        <v>310.32215519605154</v>
      </c>
      <c r="FC15" s="115">
        <f t="shared" ref="FC15:FC20" si="116">FB15*$FC$11</f>
        <v>0</v>
      </c>
      <c r="FD15" s="110">
        <f t="shared" ref="FD15:FD20" si="117">FB15+FC15</f>
        <v>310.32215519605154</v>
      </c>
      <c r="FE15" s="52">
        <f>Summ.!$A110</f>
        <v>50112</v>
      </c>
      <c r="FF15" s="108" t="str">
        <f>Summ.!$B110</f>
        <v>Insurance - General Liability</v>
      </c>
      <c r="FG15" s="110">
        <f t="shared" ref="FG15:FG20" si="118">$F15</f>
        <v>16470.3</v>
      </c>
      <c r="FH15" s="110">
        <f t="shared" ref="FH15:FH19" si="119">+EY15</f>
        <v>0</v>
      </c>
      <c r="FI15" s="110">
        <f t="shared" ref="FI15:FI20" si="120">FG15+FH15</f>
        <v>16470.3</v>
      </c>
      <c r="FJ15" s="113">
        <f t="shared" si="22"/>
        <v>7.254494888166399E-2</v>
      </c>
      <c r="FK15" s="110">
        <f t="shared" ref="FK15:FK20" si="121">FI15*FJ15</f>
        <v>1194.8370715656704</v>
      </c>
      <c r="FL15" s="115">
        <f t="shared" ref="FL15:FL20" si="122">FK15*$FL$11</f>
        <v>0</v>
      </c>
      <c r="FM15" s="110">
        <f t="shared" ref="FM15:FM20" si="123">FK15+FL15</f>
        <v>1194.8370715656704</v>
      </c>
    </row>
    <row r="16" spans="1:169">
      <c r="A16" s="52">
        <f>Summ.!A111</f>
        <v>50120</v>
      </c>
      <c r="B16" s="45" t="str">
        <f>Summ.!B111</f>
        <v>Insurance - Fire / Extd Covg</v>
      </c>
      <c r="C16" s="45"/>
      <c r="D16" s="45"/>
      <c r="E16" s="45"/>
      <c r="F16" s="106">
        <f>+Summ.!O111</f>
        <v>0</v>
      </c>
      <c r="G16" s="71">
        <f>Rent!$B$41</f>
        <v>51058</v>
      </c>
      <c r="H16" s="52">
        <f>Summ.!$A111</f>
        <v>50120</v>
      </c>
      <c r="I16" s="108" t="str">
        <f>Summ.!$B111</f>
        <v>Insurance - Fire / Extd Covg</v>
      </c>
      <c r="J16" s="110">
        <f t="shared" si="23"/>
        <v>0</v>
      </c>
      <c r="K16" s="110">
        <v>0</v>
      </c>
      <c r="L16" s="110">
        <f t="shared" si="24"/>
        <v>0</v>
      </c>
      <c r="M16" s="113">
        <f t="shared" si="4"/>
        <v>7.5854910102236675E-2</v>
      </c>
      <c r="N16" s="110">
        <f t="shared" si="25"/>
        <v>0</v>
      </c>
      <c r="O16" s="115">
        <f t="shared" si="26"/>
        <v>0</v>
      </c>
      <c r="P16" s="110">
        <f t="shared" si="27"/>
        <v>0</v>
      </c>
      <c r="Q16" s="52">
        <f>Summ.!$A111</f>
        <v>50120</v>
      </c>
      <c r="R16" s="108" t="str">
        <f>Summ.!$B111</f>
        <v>Insurance - Fire / Extd Covg</v>
      </c>
      <c r="S16" s="110">
        <f t="shared" si="28"/>
        <v>0</v>
      </c>
      <c r="T16" s="110">
        <f t="shared" si="29"/>
        <v>0</v>
      </c>
      <c r="U16" s="110">
        <f t="shared" si="30"/>
        <v>0</v>
      </c>
      <c r="V16" s="113">
        <f t="shared" si="5"/>
        <v>2.1034901484586158E-2</v>
      </c>
      <c r="W16" s="110">
        <f t="shared" si="31"/>
        <v>0</v>
      </c>
      <c r="X16" s="115">
        <f t="shared" si="32"/>
        <v>0</v>
      </c>
      <c r="Y16" s="110">
        <f t="shared" si="33"/>
        <v>0</v>
      </c>
      <c r="Z16" s="52">
        <f>Summ.!$A111</f>
        <v>50120</v>
      </c>
      <c r="AA16" s="108" t="str">
        <f>Summ.!$B111</f>
        <v>Insurance - Fire / Extd Covg</v>
      </c>
      <c r="AB16" s="110">
        <f t="shared" si="34"/>
        <v>0</v>
      </c>
      <c r="AC16" s="110">
        <v>0</v>
      </c>
      <c r="AD16" s="110">
        <f t="shared" si="35"/>
        <v>0</v>
      </c>
      <c r="AE16" s="113">
        <f t="shared" si="6"/>
        <v>3.9171138705002152E-3</v>
      </c>
      <c r="AF16" s="110">
        <f t="shared" si="36"/>
        <v>0</v>
      </c>
      <c r="AG16" s="115">
        <f t="shared" si="37"/>
        <v>0</v>
      </c>
      <c r="AH16" s="110">
        <f t="shared" si="38"/>
        <v>0</v>
      </c>
      <c r="AI16" s="52">
        <f>Summ.!$A111</f>
        <v>50120</v>
      </c>
      <c r="AJ16" s="108" t="str">
        <f>Summ.!$B111</f>
        <v>Insurance - Fire / Extd Covg</v>
      </c>
      <c r="AK16" s="110">
        <f t="shared" si="39"/>
        <v>0</v>
      </c>
      <c r="AL16" s="110">
        <f t="shared" si="40"/>
        <v>0</v>
      </c>
      <c r="AM16" s="110">
        <f t="shared" si="41"/>
        <v>0</v>
      </c>
      <c r="AN16" s="113">
        <f t="shared" si="7"/>
        <v>1.0145324924595559E-2</v>
      </c>
      <c r="AO16" s="110">
        <f t="shared" si="42"/>
        <v>0</v>
      </c>
      <c r="AP16" s="115">
        <f t="shared" si="43"/>
        <v>0</v>
      </c>
      <c r="AQ16" s="110">
        <f t="shared" si="44"/>
        <v>0</v>
      </c>
      <c r="AR16" s="52">
        <f>Summ.!$A111</f>
        <v>50120</v>
      </c>
      <c r="AS16" s="108" t="str">
        <f>Summ.!$B111</f>
        <v>Insurance - Fire / Extd Covg</v>
      </c>
      <c r="AT16" s="110">
        <f t="shared" si="45"/>
        <v>0</v>
      </c>
      <c r="AU16" s="110">
        <f t="shared" si="46"/>
        <v>0</v>
      </c>
      <c r="AV16" s="110">
        <f t="shared" si="47"/>
        <v>0</v>
      </c>
      <c r="AW16" s="113">
        <f t="shared" si="8"/>
        <v>1.0282423910063065E-2</v>
      </c>
      <c r="AX16" s="110">
        <f t="shared" si="48"/>
        <v>0</v>
      </c>
      <c r="AY16" s="115">
        <f t="shared" si="49"/>
        <v>0</v>
      </c>
      <c r="AZ16" s="110">
        <f t="shared" si="50"/>
        <v>0</v>
      </c>
      <c r="BA16" s="52">
        <f>Summ.!$A111</f>
        <v>50120</v>
      </c>
      <c r="BB16" s="108" t="str">
        <f>Summ.!$B111</f>
        <v>Insurance - Fire / Extd Covg</v>
      </c>
      <c r="BC16" s="110">
        <f t="shared" si="51"/>
        <v>0</v>
      </c>
      <c r="BD16" s="110">
        <f t="shared" si="52"/>
        <v>0</v>
      </c>
      <c r="BE16" s="110">
        <f t="shared" si="53"/>
        <v>0</v>
      </c>
      <c r="BF16" s="113" t="e">
        <f t="shared" si="9"/>
        <v>#REF!</v>
      </c>
      <c r="BG16" s="110" t="e">
        <f t="shared" si="54"/>
        <v>#REF!</v>
      </c>
      <c r="BH16" s="115" t="e">
        <f t="shared" si="55"/>
        <v>#REF!</v>
      </c>
      <c r="BI16" s="110" t="e">
        <f t="shared" si="56"/>
        <v>#REF!</v>
      </c>
      <c r="BJ16" s="52">
        <f>Summ.!$A111</f>
        <v>50120</v>
      </c>
      <c r="BK16" s="108" t="str">
        <f>Summ.!$B111</f>
        <v>Insurance - Fire / Extd Covg</v>
      </c>
      <c r="BL16" s="110">
        <f t="shared" si="57"/>
        <v>0</v>
      </c>
      <c r="BM16" s="110">
        <f t="shared" si="10"/>
        <v>0</v>
      </c>
      <c r="BN16" s="110">
        <f t="shared" si="58"/>
        <v>0</v>
      </c>
      <c r="BO16" s="113">
        <f t="shared" si="11"/>
        <v>1.9468055936386071E-2</v>
      </c>
      <c r="BP16" s="110">
        <f t="shared" si="59"/>
        <v>0</v>
      </c>
      <c r="BQ16" s="115">
        <f t="shared" si="60"/>
        <v>0</v>
      </c>
      <c r="BR16" s="110">
        <f t="shared" si="61"/>
        <v>0</v>
      </c>
      <c r="BS16" s="52">
        <f>Summ.!$A111</f>
        <v>50120</v>
      </c>
      <c r="BT16" s="108" t="str">
        <f>Summ.!$B111</f>
        <v>Insurance - Fire / Extd Covg</v>
      </c>
      <c r="BU16" s="110">
        <f t="shared" si="62"/>
        <v>0</v>
      </c>
      <c r="BV16" s="110">
        <f t="shared" si="63"/>
        <v>0</v>
      </c>
      <c r="BW16" s="110">
        <f t="shared" si="64"/>
        <v>0</v>
      </c>
      <c r="BX16" s="113">
        <f t="shared" si="12"/>
        <v>2.0427748834658623E-2</v>
      </c>
      <c r="BY16" s="110">
        <f t="shared" si="65"/>
        <v>0</v>
      </c>
      <c r="BZ16" s="115">
        <f t="shared" si="66"/>
        <v>0</v>
      </c>
      <c r="CA16" s="110">
        <f t="shared" si="67"/>
        <v>0</v>
      </c>
      <c r="CB16" s="52">
        <f>Summ.!$A111</f>
        <v>50120</v>
      </c>
      <c r="CC16" s="108" t="str">
        <f>Summ.!$B111</f>
        <v>Insurance - Fire / Extd Covg</v>
      </c>
      <c r="CD16" s="110">
        <f t="shared" si="68"/>
        <v>0</v>
      </c>
      <c r="CE16" s="110">
        <v>0</v>
      </c>
      <c r="CF16" s="110">
        <f t="shared" si="69"/>
        <v>0</v>
      </c>
      <c r="CG16" s="113">
        <f t="shared" si="13"/>
        <v>6.9058717536918793E-2</v>
      </c>
      <c r="CH16" s="110">
        <f t="shared" si="70"/>
        <v>0</v>
      </c>
      <c r="CI16" s="115">
        <f t="shared" si="71"/>
        <v>0</v>
      </c>
      <c r="CJ16" s="110">
        <f t="shared" si="72"/>
        <v>0</v>
      </c>
      <c r="CK16" s="52">
        <f>Summ.!$A111</f>
        <v>50120</v>
      </c>
      <c r="CL16" s="108" t="str">
        <f>Summ.!$B111</f>
        <v>Insurance - Fire / Extd Covg</v>
      </c>
      <c r="CM16" s="110">
        <f t="shared" si="73"/>
        <v>0</v>
      </c>
      <c r="CN16" s="110">
        <f t="shared" si="74"/>
        <v>0</v>
      </c>
      <c r="CO16" s="110">
        <f t="shared" si="75"/>
        <v>0</v>
      </c>
      <c r="CP16" s="113">
        <f t="shared" si="14"/>
        <v>0.21027067256845156</v>
      </c>
      <c r="CQ16" s="110">
        <f t="shared" si="76"/>
        <v>0</v>
      </c>
      <c r="CR16" s="115">
        <f t="shared" si="77"/>
        <v>0</v>
      </c>
      <c r="CS16" s="110">
        <f t="shared" si="78"/>
        <v>0</v>
      </c>
      <c r="CT16" s="52">
        <f>Summ.!$A111</f>
        <v>50120</v>
      </c>
      <c r="CU16" s="108" t="str">
        <f>Summ.!$B111</f>
        <v>Insurance - Fire / Extd Covg</v>
      </c>
      <c r="CV16" s="110">
        <f t="shared" si="79"/>
        <v>0</v>
      </c>
      <c r="CW16" s="110">
        <v>0</v>
      </c>
      <c r="CX16" s="110">
        <f t="shared" si="80"/>
        <v>0</v>
      </c>
      <c r="CY16" s="113">
        <f t="shared" si="15"/>
        <v>5.8756708057503229E-2</v>
      </c>
      <c r="CZ16" s="110">
        <f t="shared" si="81"/>
        <v>0</v>
      </c>
      <c r="DA16" s="115">
        <f t="shared" si="82"/>
        <v>0</v>
      </c>
      <c r="DB16" s="110">
        <f t="shared" si="83"/>
        <v>0</v>
      </c>
      <c r="DC16" s="52">
        <f>Summ.!$A111</f>
        <v>50120</v>
      </c>
      <c r="DD16" s="108" t="str">
        <f>Summ.!$B111</f>
        <v>Insurance - Fire / Extd Covg</v>
      </c>
      <c r="DE16" s="110">
        <f t="shared" si="84"/>
        <v>0</v>
      </c>
      <c r="DF16" s="110">
        <v>0</v>
      </c>
      <c r="DG16" s="110">
        <f t="shared" si="85"/>
        <v>0</v>
      </c>
      <c r="DH16" s="113">
        <f t="shared" si="16"/>
        <v>9.7927846762505388E-3</v>
      </c>
      <c r="DI16" s="110">
        <f t="shared" si="86"/>
        <v>0</v>
      </c>
      <c r="DJ16" s="115">
        <f t="shared" si="87"/>
        <v>0</v>
      </c>
      <c r="DK16" s="110">
        <f t="shared" si="88"/>
        <v>0</v>
      </c>
      <c r="DL16" s="52">
        <f>Summ.!$A111</f>
        <v>50120</v>
      </c>
      <c r="DM16" s="108" t="str">
        <f>Summ.!$B111</f>
        <v>Insurance - Fire / Extd Covg</v>
      </c>
      <c r="DN16" s="110">
        <f t="shared" si="89"/>
        <v>0</v>
      </c>
      <c r="DO16" s="110">
        <v>0</v>
      </c>
      <c r="DP16" s="110">
        <f t="shared" si="90"/>
        <v>0</v>
      </c>
      <c r="DQ16" s="113">
        <f t="shared" si="17"/>
        <v>5.6719808844843123E-2</v>
      </c>
      <c r="DR16" s="110">
        <f t="shared" si="91"/>
        <v>0</v>
      </c>
      <c r="DS16" s="115">
        <f t="shared" si="92"/>
        <v>0</v>
      </c>
      <c r="DT16" s="110">
        <f t="shared" si="93"/>
        <v>0</v>
      </c>
      <c r="DU16" s="52">
        <f>Summ.!$A111</f>
        <v>50120</v>
      </c>
      <c r="DV16" s="108" t="str">
        <f>Summ.!$B111</f>
        <v>Insurance - Fire / Extd Covg</v>
      </c>
      <c r="DW16" s="110">
        <f t="shared" si="94"/>
        <v>0</v>
      </c>
      <c r="DX16" s="110">
        <f t="shared" si="95"/>
        <v>0</v>
      </c>
      <c r="DY16" s="110">
        <f t="shared" si="96"/>
        <v>0</v>
      </c>
      <c r="DZ16" s="113">
        <f t="shared" si="18"/>
        <v>0.15695875279094362</v>
      </c>
      <c r="EA16" s="110">
        <f t="shared" si="97"/>
        <v>0</v>
      </c>
      <c r="EB16" s="115">
        <f t="shared" si="98"/>
        <v>0</v>
      </c>
      <c r="EC16" s="110">
        <f t="shared" si="99"/>
        <v>0</v>
      </c>
      <c r="ED16" s="52">
        <f>Summ.!$A111</f>
        <v>50120</v>
      </c>
      <c r="EE16" s="108" t="str">
        <f>Summ.!$B111</f>
        <v>Insurance - Fire / Extd Covg</v>
      </c>
      <c r="EF16" s="110">
        <f t="shared" si="100"/>
        <v>0</v>
      </c>
      <c r="EG16" s="110">
        <f t="shared" si="101"/>
        <v>0</v>
      </c>
      <c r="EH16" s="110">
        <f t="shared" si="102"/>
        <v>0</v>
      </c>
      <c r="EI16" s="113">
        <f t="shared" si="19"/>
        <v>0.12730620079125701</v>
      </c>
      <c r="EJ16" s="110">
        <f t="shared" si="103"/>
        <v>0</v>
      </c>
      <c r="EK16" s="115">
        <f t="shared" si="104"/>
        <v>0</v>
      </c>
      <c r="EL16" s="110">
        <f t="shared" si="105"/>
        <v>0</v>
      </c>
      <c r="EM16" s="52">
        <f>Summ.!$A111</f>
        <v>50120</v>
      </c>
      <c r="EN16" s="108" t="str">
        <f>Summ.!$B111</f>
        <v>Insurance - Fire / Extd Covg</v>
      </c>
      <c r="EO16" s="110">
        <f t="shared" si="106"/>
        <v>0</v>
      </c>
      <c r="EP16" s="110">
        <f t="shared" si="107"/>
        <v>0</v>
      </c>
      <c r="EQ16" s="110">
        <f t="shared" si="108"/>
        <v>0</v>
      </c>
      <c r="ER16" s="113">
        <f t="shared" si="20"/>
        <v>3.9034039719534647E-2</v>
      </c>
      <c r="ES16" s="110">
        <f t="shared" si="109"/>
        <v>0</v>
      </c>
      <c r="ET16" s="115">
        <f t="shared" si="110"/>
        <v>0</v>
      </c>
      <c r="EU16" s="110">
        <f t="shared" si="111"/>
        <v>0</v>
      </c>
      <c r="EV16" s="52">
        <f>Summ.!$A111</f>
        <v>50120</v>
      </c>
      <c r="EW16" s="108" t="str">
        <f>Summ.!$B111</f>
        <v>Insurance - Fire / Extd Covg</v>
      </c>
      <c r="EX16" s="110">
        <f t="shared" si="112"/>
        <v>0</v>
      </c>
      <c r="EY16" s="110">
        <f t="shared" si="113"/>
        <v>0</v>
      </c>
      <c r="EZ16" s="110">
        <f t="shared" si="114"/>
        <v>0</v>
      </c>
      <c r="FA16" s="113">
        <f t="shared" si="21"/>
        <v>1.8841317717106038E-2</v>
      </c>
      <c r="FB16" s="110">
        <f t="shared" si="115"/>
        <v>0</v>
      </c>
      <c r="FC16" s="115">
        <f t="shared" si="116"/>
        <v>0</v>
      </c>
      <c r="FD16" s="110">
        <f t="shared" si="117"/>
        <v>0</v>
      </c>
      <c r="FE16" s="52">
        <f>Summ.!$A111</f>
        <v>50120</v>
      </c>
      <c r="FF16" s="108" t="str">
        <f>Summ.!$B111</f>
        <v>Insurance - Fire / Extd Covg</v>
      </c>
      <c r="FG16" s="110">
        <f t="shared" si="118"/>
        <v>0</v>
      </c>
      <c r="FH16" s="110">
        <f t="shared" si="119"/>
        <v>0</v>
      </c>
      <c r="FI16" s="110">
        <f t="shared" si="120"/>
        <v>0</v>
      </c>
      <c r="FJ16" s="113">
        <f t="shared" si="22"/>
        <v>7.254494888166399E-2</v>
      </c>
      <c r="FK16" s="110">
        <f t="shared" si="121"/>
        <v>0</v>
      </c>
      <c r="FL16" s="115">
        <f t="shared" si="122"/>
        <v>0</v>
      </c>
      <c r="FM16" s="110">
        <f t="shared" si="123"/>
        <v>0</v>
      </c>
    </row>
    <row r="17" spans="1:169">
      <c r="A17" s="52">
        <f>Summ.!A112</f>
        <v>50130</v>
      </c>
      <c r="B17" s="45" t="str">
        <f>Summ.!B112</f>
        <v>Insurance - Umbrella</v>
      </c>
      <c r="C17" s="45"/>
      <c r="D17" s="45"/>
      <c r="E17" s="45"/>
      <c r="F17" s="106">
        <f>+Summ.!O112</f>
        <v>3669.6000000000008</v>
      </c>
      <c r="G17" s="71">
        <f>Rent!$B$41</f>
        <v>51058</v>
      </c>
      <c r="H17" s="52">
        <f>Summ.!$A112</f>
        <v>50130</v>
      </c>
      <c r="I17" s="108" t="str">
        <f>Summ.!$B112</f>
        <v>Insurance - Umbrella</v>
      </c>
      <c r="J17" s="110">
        <f t="shared" si="23"/>
        <v>3669.6000000000008</v>
      </c>
      <c r="K17" s="110">
        <v>0</v>
      </c>
      <c r="L17" s="110">
        <f t="shared" si="24"/>
        <v>3669.6000000000008</v>
      </c>
      <c r="M17" s="113">
        <f t="shared" si="4"/>
        <v>7.5854910102236675E-2</v>
      </c>
      <c r="N17" s="110">
        <f t="shared" si="25"/>
        <v>278.35717811116774</v>
      </c>
      <c r="O17" s="115">
        <f t="shared" si="26"/>
        <v>0</v>
      </c>
      <c r="P17" s="110">
        <f t="shared" si="27"/>
        <v>278.35717811116774</v>
      </c>
      <c r="Q17" s="52">
        <f>Summ.!$A112</f>
        <v>50130</v>
      </c>
      <c r="R17" s="108" t="str">
        <f>Summ.!$B112</f>
        <v>Insurance - Umbrella</v>
      </c>
      <c r="S17" s="110">
        <f t="shared" si="28"/>
        <v>3669.6000000000008</v>
      </c>
      <c r="T17" s="110">
        <f t="shared" si="29"/>
        <v>0</v>
      </c>
      <c r="U17" s="110">
        <f t="shared" si="30"/>
        <v>3669.6000000000008</v>
      </c>
      <c r="V17" s="113">
        <f t="shared" si="5"/>
        <v>2.1034901484586158E-2</v>
      </c>
      <c r="W17" s="110">
        <f t="shared" si="31"/>
        <v>77.18967448783738</v>
      </c>
      <c r="X17" s="115">
        <f t="shared" si="32"/>
        <v>0</v>
      </c>
      <c r="Y17" s="110">
        <f t="shared" si="33"/>
        <v>77.18967448783738</v>
      </c>
      <c r="Z17" s="52">
        <f>Summ.!$A112</f>
        <v>50130</v>
      </c>
      <c r="AA17" s="108" t="str">
        <f>Summ.!$B112</f>
        <v>Insurance - Umbrella</v>
      </c>
      <c r="AB17" s="110">
        <f t="shared" si="34"/>
        <v>3669.6000000000008</v>
      </c>
      <c r="AC17" s="110">
        <v>0</v>
      </c>
      <c r="AD17" s="110">
        <f t="shared" si="35"/>
        <v>3669.6000000000008</v>
      </c>
      <c r="AE17" s="113">
        <f t="shared" si="6"/>
        <v>3.9171138705002152E-3</v>
      </c>
      <c r="AF17" s="110">
        <f t="shared" si="36"/>
        <v>14.374241059187593</v>
      </c>
      <c r="AG17" s="115">
        <f t="shared" si="37"/>
        <v>0</v>
      </c>
      <c r="AH17" s="110">
        <f t="shared" si="38"/>
        <v>14.374241059187593</v>
      </c>
      <c r="AI17" s="52">
        <f>Summ.!$A112</f>
        <v>50130</v>
      </c>
      <c r="AJ17" s="108" t="str">
        <f>Summ.!$B112</f>
        <v>Insurance - Umbrella</v>
      </c>
      <c r="AK17" s="110">
        <f t="shared" si="39"/>
        <v>3669.6000000000008</v>
      </c>
      <c r="AL17" s="110">
        <f t="shared" si="40"/>
        <v>0</v>
      </c>
      <c r="AM17" s="110">
        <f t="shared" si="41"/>
        <v>3669.6000000000008</v>
      </c>
      <c r="AN17" s="113">
        <f t="shared" si="7"/>
        <v>1.0145324924595559E-2</v>
      </c>
      <c r="AO17" s="110">
        <f t="shared" si="42"/>
        <v>37.229284343295873</v>
      </c>
      <c r="AP17" s="115">
        <f t="shared" si="43"/>
        <v>0</v>
      </c>
      <c r="AQ17" s="110">
        <f t="shared" si="44"/>
        <v>37.229284343295873</v>
      </c>
      <c r="AR17" s="52">
        <f>Summ.!$A112</f>
        <v>50130</v>
      </c>
      <c r="AS17" s="108" t="str">
        <f>Summ.!$B112</f>
        <v>Insurance - Umbrella</v>
      </c>
      <c r="AT17" s="110">
        <f t="shared" si="45"/>
        <v>3669.6000000000008</v>
      </c>
      <c r="AU17" s="110">
        <f t="shared" si="46"/>
        <v>0</v>
      </c>
      <c r="AV17" s="110">
        <f t="shared" si="47"/>
        <v>3669.6000000000008</v>
      </c>
      <c r="AW17" s="113">
        <f t="shared" si="8"/>
        <v>1.0282423910063065E-2</v>
      </c>
      <c r="AX17" s="110">
        <f t="shared" si="48"/>
        <v>37.732382780367431</v>
      </c>
      <c r="AY17" s="115">
        <f t="shared" si="49"/>
        <v>0</v>
      </c>
      <c r="AZ17" s="110">
        <f t="shared" si="50"/>
        <v>37.732382780367431</v>
      </c>
      <c r="BA17" s="52">
        <f>Summ.!$A112</f>
        <v>50130</v>
      </c>
      <c r="BB17" s="108" t="str">
        <f>Summ.!$B112</f>
        <v>Insurance - Umbrella</v>
      </c>
      <c r="BC17" s="110">
        <f t="shared" si="51"/>
        <v>3669.6000000000008</v>
      </c>
      <c r="BD17" s="110">
        <f t="shared" si="52"/>
        <v>0</v>
      </c>
      <c r="BE17" s="110">
        <f t="shared" si="53"/>
        <v>3669.6000000000008</v>
      </c>
      <c r="BF17" s="113" t="e">
        <f t="shared" si="9"/>
        <v>#REF!</v>
      </c>
      <c r="BG17" s="110" t="e">
        <f t="shared" si="54"/>
        <v>#REF!</v>
      </c>
      <c r="BH17" s="115" t="e">
        <f t="shared" si="55"/>
        <v>#REF!</v>
      </c>
      <c r="BI17" s="110" t="e">
        <f t="shared" si="56"/>
        <v>#REF!</v>
      </c>
      <c r="BJ17" s="52">
        <f>Summ.!$A112</f>
        <v>50130</v>
      </c>
      <c r="BK17" s="108" t="str">
        <f>Summ.!$B112</f>
        <v>Insurance - Umbrella</v>
      </c>
      <c r="BL17" s="110">
        <f t="shared" si="57"/>
        <v>3669.6000000000008</v>
      </c>
      <c r="BM17" s="110">
        <f t="shared" si="10"/>
        <v>0</v>
      </c>
      <c r="BN17" s="110">
        <f t="shared" si="58"/>
        <v>3669.6000000000008</v>
      </c>
      <c r="BO17" s="113">
        <f t="shared" si="11"/>
        <v>1.9468055936386071E-2</v>
      </c>
      <c r="BP17" s="110">
        <f t="shared" si="59"/>
        <v>71.439978064162347</v>
      </c>
      <c r="BQ17" s="115">
        <f t="shared" si="60"/>
        <v>0</v>
      </c>
      <c r="BR17" s="110">
        <f t="shared" si="61"/>
        <v>71.439978064162347</v>
      </c>
      <c r="BS17" s="52">
        <f>Summ.!$A112</f>
        <v>50130</v>
      </c>
      <c r="BT17" s="108" t="str">
        <f>Summ.!$B112</f>
        <v>Insurance - Umbrella</v>
      </c>
      <c r="BU17" s="110">
        <f t="shared" si="62"/>
        <v>3669.6000000000008</v>
      </c>
      <c r="BV17" s="110">
        <f t="shared" si="63"/>
        <v>0</v>
      </c>
      <c r="BW17" s="110">
        <f t="shared" si="64"/>
        <v>3669.6000000000008</v>
      </c>
      <c r="BX17" s="113">
        <f t="shared" si="12"/>
        <v>2.0427748834658623E-2</v>
      </c>
      <c r="BY17" s="110">
        <f t="shared" si="65"/>
        <v>74.961667123663304</v>
      </c>
      <c r="BZ17" s="115">
        <f t="shared" si="66"/>
        <v>0</v>
      </c>
      <c r="CA17" s="110">
        <f t="shared" si="67"/>
        <v>74.961667123663304</v>
      </c>
      <c r="CB17" s="52">
        <f>Summ.!$A112</f>
        <v>50130</v>
      </c>
      <c r="CC17" s="108" t="str">
        <f>Summ.!$B112</f>
        <v>Insurance - Umbrella</v>
      </c>
      <c r="CD17" s="110">
        <f t="shared" si="68"/>
        <v>3669.6000000000008</v>
      </c>
      <c r="CE17" s="110">
        <v>0</v>
      </c>
      <c r="CF17" s="110">
        <f t="shared" si="69"/>
        <v>3669.6000000000008</v>
      </c>
      <c r="CG17" s="113">
        <f t="shared" si="13"/>
        <v>6.9058717536918793E-2</v>
      </c>
      <c r="CH17" s="110">
        <f t="shared" si="70"/>
        <v>253.41786987347726</v>
      </c>
      <c r="CI17" s="115">
        <f t="shared" si="71"/>
        <v>0</v>
      </c>
      <c r="CJ17" s="110">
        <f t="shared" si="72"/>
        <v>253.41786987347726</v>
      </c>
      <c r="CK17" s="52">
        <f>Summ.!$A112</f>
        <v>50130</v>
      </c>
      <c r="CL17" s="108" t="str">
        <f>Summ.!$B112</f>
        <v>Insurance - Umbrella</v>
      </c>
      <c r="CM17" s="110">
        <f t="shared" si="73"/>
        <v>3669.6000000000008</v>
      </c>
      <c r="CN17" s="110">
        <f t="shared" si="74"/>
        <v>0</v>
      </c>
      <c r="CO17" s="110">
        <f t="shared" si="75"/>
        <v>3669.6000000000008</v>
      </c>
      <c r="CP17" s="113">
        <f t="shared" si="14"/>
        <v>0.21027067256845156</v>
      </c>
      <c r="CQ17" s="110">
        <f t="shared" si="76"/>
        <v>771.60926005719</v>
      </c>
      <c r="CR17" s="115">
        <f t="shared" si="77"/>
        <v>0</v>
      </c>
      <c r="CS17" s="110">
        <f t="shared" si="78"/>
        <v>771.60926005719</v>
      </c>
      <c r="CT17" s="52">
        <f>Summ.!$A112</f>
        <v>50130</v>
      </c>
      <c r="CU17" s="108" t="str">
        <f>Summ.!$B112</f>
        <v>Insurance - Umbrella</v>
      </c>
      <c r="CV17" s="110">
        <f t="shared" si="79"/>
        <v>3669.6000000000008</v>
      </c>
      <c r="CW17" s="110">
        <v>0</v>
      </c>
      <c r="CX17" s="110">
        <f t="shared" si="80"/>
        <v>3669.6000000000008</v>
      </c>
      <c r="CY17" s="113">
        <f t="shared" si="15"/>
        <v>5.8756708057503229E-2</v>
      </c>
      <c r="CZ17" s="110">
        <f t="shared" si="81"/>
        <v>215.61361588781389</v>
      </c>
      <c r="DA17" s="115">
        <f t="shared" si="82"/>
        <v>0</v>
      </c>
      <c r="DB17" s="110">
        <f t="shared" si="83"/>
        <v>215.61361588781389</v>
      </c>
      <c r="DC17" s="52">
        <f>Summ.!$A112</f>
        <v>50130</v>
      </c>
      <c r="DD17" s="108" t="str">
        <f>Summ.!$B112</f>
        <v>Insurance - Umbrella</v>
      </c>
      <c r="DE17" s="110">
        <f t="shared" si="84"/>
        <v>3669.6000000000008</v>
      </c>
      <c r="DF17" s="110">
        <v>0</v>
      </c>
      <c r="DG17" s="110">
        <f t="shared" si="85"/>
        <v>3669.6000000000008</v>
      </c>
      <c r="DH17" s="113">
        <f t="shared" si="16"/>
        <v>9.7927846762505388E-3</v>
      </c>
      <c r="DI17" s="110">
        <f t="shared" si="86"/>
        <v>35.935602647968985</v>
      </c>
      <c r="DJ17" s="115">
        <f t="shared" si="87"/>
        <v>0</v>
      </c>
      <c r="DK17" s="110">
        <f t="shared" si="88"/>
        <v>35.935602647968985</v>
      </c>
      <c r="DL17" s="52">
        <f>Summ.!$A112</f>
        <v>50130</v>
      </c>
      <c r="DM17" s="108" t="str">
        <f>Summ.!$B112</f>
        <v>Insurance - Umbrella</v>
      </c>
      <c r="DN17" s="110">
        <f t="shared" si="89"/>
        <v>3669.6000000000008</v>
      </c>
      <c r="DO17" s="110">
        <v>0</v>
      </c>
      <c r="DP17" s="110">
        <f t="shared" si="90"/>
        <v>3669.6000000000008</v>
      </c>
      <c r="DQ17" s="113">
        <f t="shared" si="17"/>
        <v>5.6719808844843123E-2</v>
      </c>
      <c r="DR17" s="110">
        <f t="shared" si="91"/>
        <v>208.13901053703637</v>
      </c>
      <c r="DS17" s="115">
        <f t="shared" si="92"/>
        <v>0</v>
      </c>
      <c r="DT17" s="110">
        <f t="shared" si="93"/>
        <v>208.13901053703637</v>
      </c>
      <c r="DU17" s="52">
        <f>Summ.!$A112</f>
        <v>50130</v>
      </c>
      <c r="DV17" s="108" t="str">
        <f>Summ.!$B112</f>
        <v>Insurance - Umbrella</v>
      </c>
      <c r="DW17" s="110">
        <f t="shared" si="94"/>
        <v>3669.6000000000008</v>
      </c>
      <c r="DX17" s="110">
        <f t="shared" si="95"/>
        <v>0</v>
      </c>
      <c r="DY17" s="110">
        <f t="shared" si="96"/>
        <v>3669.6000000000008</v>
      </c>
      <c r="DZ17" s="113">
        <f t="shared" si="18"/>
        <v>0.15695875279094362</v>
      </c>
      <c r="EA17" s="110">
        <f t="shared" si="97"/>
        <v>575.9758392416469</v>
      </c>
      <c r="EB17" s="115">
        <f t="shared" si="98"/>
        <v>0</v>
      </c>
      <c r="EC17" s="110">
        <f t="shared" si="99"/>
        <v>575.9758392416469</v>
      </c>
      <c r="ED17" s="52">
        <f>Summ.!$A112</f>
        <v>50130</v>
      </c>
      <c r="EE17" s="108" t="str">
        <f>Summ.!$B112</f>
        <v>Insurance - Umbrella</v>
      </c>
      <c r="EF17" s="110">
        <f t="shared" si="100"/>
        <v>3669.6000000000008</v>
      </c>
      <c r="EG17" s="110">
        <f t="shared" si="101"/>
        <v>0</v>
      </c>
      <c r="EH17" s="110">
        <f t="shared" si="102"/>
        <v>3669.6000000000008</v>
      </c>
      <c r="EI17" s="113">
        <f t="shared" si="19"/>
        <v>0.12730620079125701</v>
      </c>
      <c r="EJ17" s="110">
        <f t="shared" si="103"/>
        <v>467.16283442359685</v>
      </c>
      <c r="EK17" s="115">
        <f t="shared" si="104"/>
        <v>70.07442516353953</v>
      </c>
      <c r="EL17" s="110">
        <f t="shared" si="105"/>
        <v>537.23725958713635</v>
      </c>
      <c r="EM17" s="52">
        <f>Summ.!$A112</f>
        <v>50130</v>
      </c>
      <c r="EN17" s="108" t="str">
        <f>Summ.!$B112</f>
        <v>Insurance - Umbrella</v>
      </c>
      <c r="EO17" s="110">
        <f t="shared" si="106"/>
        <v>3669.6000000000008</v>
      </c>
      <c r="EP17" s="110">
        <f t="shared" si="107"/>
        <v>0</v>
      </c>
      <c r="EQ17" s="110">
        <f t="shared" si="108"/>
        <v>3669.6000000000008</v>
      </c>
      <c r="ER17" s="113">
        <f t="shared" si="20"/>
        <v>3.9034039719534647E-2</v>
      </c>
      <c r="ES17" s="110">
        <f t="shared" si="109"/>
        <v>143.23931215480437</v>
      </c>
      <c r="ET17" s="115">
        <f t="shared" si="110"/>
        <v>0</v>
      </c>
      <c r="EU17" s="110">
        <f t="shared" si="111"/>
        <v>143.23931215480437</v>
      </c>
      <c r="EV17" s="52">
        <f>Summ.!$A112</f>
        <v>50130</v>
      </c>
      <c r="EW17" s="108" t="str">
        <f>Summ.!$B112</f>
        <v>Insurance - Umbrella</v>
      </c>
      <c r="EX17" s="110">
        <f t="shared" si="112"/>
        <v>3669.6000000000008</v>
      </c>
      <c r="EY17" s="110">
        <f t="shared" si="113"/>
        <v>0</v>
      </c>
      <c r="EZ17" s="110">
        <f t="shared" si="114"/>
        <v>3669.6000000000008</v>
      </c>
      <c r="FA17" s="113">
        <f t="shared" si="21"/>
        <v>1.8841317717106038E-2</v>
      </c>
      <c r="FB17" s="110">
        <f t="shared" si="115"/>
        <v>69.140099494692336</v>
      </c>
      <c r="FC17" s="115">
        <f t="shared" si="116"/>
        <v>0</v>
      </c>
      <c r="FD17" s="110">
        <f t="shared" si="117"/>
        <v>69.140099494692336</v>
      </c>
      <c r="FE17" s="52">
        <f>Summ.!$A112</f>
        <v>50130</v>
      </c>
      <c r="FF17" s="108" t="str">
        <f>Summ.!$B112</f>
        <v>Insurance - Umbrella</v>
      </c>
      <c r="FG17" s="110">
        <f t="shared" si="118"/>
        <v>3669.6000000000008</v>
      </c>
      <c r="FH17" s="110">
        <f t="shared" si="119"/>
        <v>0</v>
      </c>
      <c r="FI17" s="110">
        <f t="shared" si="120"/>
        <v>3669.6000000000008</v>
      </c>
      <c r="FJ17" s="113">
        <f t="shared" si="22"/>
        <v>7.254494888166399E-2</v>
      </c>
      <c r="FK17" s="110">
        <f t="shared" si="121"/>
        <v>266.21094441615423</v>
      </c>
      <c r="FL17" s="115">
        <f t="shared" si="122"/>
        <v>0</v>
      </c>
      <c r="FM17" s="110">
        <f t="shared" si="123"/>
        <v>266.21094441615423</v>
      </c>
    </row>
    <row r="18" spans="1:169">
      <c r="A18" s="52">
        <f>Summ.!A113</f>
        <v>50140</v>
      </c>
      <c r="B18" s="45" t="str">
        <f>Summ.!B113</f>
        <v>Insurance - Flood/Earthquake</v>
      </c>
      <c r="C18" s="45"/>
      <c r="D18" s="45"/>
      <c r="E18" s="45"/>
      <c r="F18" s="106">
        <f>+Summ.!O113</f>
        <v>0</v>
      </c>
      <c r="G18" s="71">
        <f>Rent!$B$41</f>
        <v>51058</v>
      </c>
      <c r="H18" s="52">
        <f>Summ.!$A113</f>
        <v>50140</v>
      </c>
      <c r="I18" s="108" t="str">
        <f>Summ.!$B113</f>
        <v>Insurance - Flood/Earthquake</v>
      </c>
      <c r="J18" s="110">
        <f t="shared" si="23"/>
        <v>0</v>
      </c>
      <c r="K18" s="110">
        <v>0</v>
      </c>
      <c r="L18" s="110">
        <f t="shared" si="24"/>
        <v>0</v>
      </c>
      <c r="M18" s="113">
        <f t="shared" si="4"/>
        <v>7.5854910102236675E-2</v>
      </c>
      <c r="N18" s="110">
        <f t="shared" si="25"/>
        <v>0</v>
      </c>
      <c r="O18" s="115">
        <f t="shared" si="26"/>
        <v>0</v>
      </c>
      <c r="P18" s="110">
        <f t="shared" si="27"/>
        <v>0</v>
      </c>
      <c r="Q18" s="52">
        <f>Summ.!$A113</f>
        <v>50140</v>
      </c>
      <c r="R18" s="108" t="str">
        <f>Summ.!$B113</f>
        <v>Insurance - Flood/Earthquake</v>
      </c>
      <c r="S18" s="110">
        <f t="shared" si="28"/>
        <v>0</v>
      </c>
      <c r="T18" s="110">
        <f t="shared" si="29"/>
        <v>0</v>
      </c>
      <c r="U18" s="110">
        <f t="shared" si="30"/>
        <v>0</v>
      </c>
      <c r="V18" s="113">
        <f t="shared" si="5"/>
        <v>2.1034901484586158E-2</v>
      </c>
      <c r="W18" s="110">
        <f t="shared" si="31"/>
        <v>0</v>
      </c>
      <c r="X18" s="115">
        <f t="shared" si="32"/>
        <v>0</v>
      </c>
      <c r="Y18" s="110">
        <f t="shared" si="33"/>
        <v>0</v>
      </c>
      <c r="Z18" s="52">
        <f>Summ.!$A113</f>
        <v>50140</v>
      </c>
      <c r="AA18" s="108" t="str">
        <f>Summ.!$B113</f>
        <v>Insurance - Flood/Earthquake</v>
      </c>
      <c r="AB18" s="110">
        <f t="shared" si="34"/>
        <v>0</v>
      </c>
      <c r="AC18" s="110">
        <v>0</v>
      </c>
      <c r="AD18" s="110">
        <f t="shared" si="35"/>
        <v>0</v>
      </c>
      <c r="AE18" s="113">
        <f t="shared" si="6"/>
        <v>3.9171138705002152E-3</v>
      </c>
      <c r="AF18" s="110">
        <f t="shared" si="36"/>
        <v>0</v>
      </c>
      <c r="AG18" s="115">
        <f t="shared" si="37"/>
        <v>0</v>
      </c>
      <c r="AH18" s="110">
        <f t="shared" si="38"/>
        <v>0</v>
      </c>
      <c r="AI18" s="52">
        <f>Summ.!$A113</f>
        <v>50140</v>
      </c>
      <c r="AJ18" s="108" t="str">
        <f>Summ.!$B113</f>
        <v>Insurance - Flood/Earthquake</v>
      </c>
      <c r="AK18" s="110">
        <f t="shared" si="39"/>
        <v>0</v>
      </c>
      <c r="AL18" s="110">
        <f t="shared" si="40"/>
        <v>0</v>
      </c>
      <c r="AM18" s="110">
        <f t="shared" si="41"/>
        <v>0</v>
      </c>
      <c r="AN18" s="113">
        <f t="shared" si="7"/>
        <v>1.0145324924595559E-2</v>
      </c>
      <c r="AO18" s="110">
        <f t="shared" si="42"/>
        <v>0</v>
      </c>
      <c r="AP18" s="115">
        <f t="shared" si="43"/>
        <v>0</v>
      </c>
      <c r="AQ18" s="110">
        <f t="shared" si="44"/>
        <v>0</v>
      </c>
      <c r="AR18" s="52">
        <f>Summ.!$A113</f>
        <v>50140</v>
      </c>
      <c r="AS18" s="108" t="str">
        <f>Summ.!$B113</f>
        <v>Insurance - Flood/Earthquake</v>
      </c>
      <c r="AT18" s="110">
        <f t="shared" si="45"/>
        <v>0</v>
      </c>
      <c r="AU18" s="110">
        <f t="shared" si="46"/>
        <v>0</v>
      </c>
      <c r="AV18" s="110">
        <f t="shared" si="47"/>
        <v>0</v>
      </c>
      <c r="AW18" s="113">
        <f t="shared" si="8"/>
        <v>1.0282423910063065E-2</v>
      </c>
      <c r="AX18" s="110">
        <f t="shared" si="48"/>
        <v>0</v>
      </c>
      <c r="AY18" s="115">
        <f t="shared" si="49"/>
        <v>0</v>
      </c>
      <c r="AZ18" s="110">
        <f t="shared" si="50"/>
        <v>0</v>
      </c>
      <c r="BA18" s="52">
        <f>Summ.!$A113</f>
        <v>50140</v>
      </c>
      <c r="BB18" s="108" t="str">
        <f>Summ.!$B113</f>
        <v>Insurance - Flood/Earthquake</v>
      </c>
      <c r="BC18" s="110">
        <f t="shared" si="51"/>
        <v>0</v>
      </c>
      <c r="BD18" s="110">
        <f t="shared" si="52"/>
        <v>0</v>
      </c>
      <c r="BE18" s="110">
        <f t="shared" si="53"/>
        <v>0</v>
      </c>
      <c r="BF18" s="113" t="e">
        <f t="shared" si="9"/>
        <v>#REF!</v>
      </c>
      <c r="BG18" s="110" t="e">
        <f t="shared" si="54"/>
        <v>#REF!</v>
      </c>
      <c r="BH18" s="115" t="e">
        <f t="shared" si="55"/>
        <v>#REF!</v>
      </c>
      <c r="BI18" s="110" t="e">
        <f t="shared" si="56"/>
        <v>#REF!</v>
      </c>
      <c r="BJ18" s="52">
        <f>Summ.!$A113</f>
        <v>50140</v>
      </c>
      <c r="BK18" s="108" t="str">
        <f>Summ.!$B113</f>
        <v>Insurance - Flood/Earthquake</v>
      </c>
      <c r="BL18" s="110">
        <f t="shared" si="57"/>
        <v>0</v>
      </c>
      <c r="BM18" s="110">
        <f t="shared" si="10"/>
        <v>0</v>
      </c>
      <c r="BN18" s="110">
        <f t="shared" si="58"/>
        <v>0</v>
      </c>
      <c r="BO18" s="113">
        <f t="shared" si="11"/>
        <v>1.9468055936386071E-2</v>
      </c>
      <c r="BP18" s="110">
        <f t="shared" si="59"/>
        <v>0</v>
      </c>
      <c r="BQ18" s="115">
        <f t="shared" si="60"/>
        <v>0</v>
      </c>
      <c r="BR18" s="110">
        <f t="shared" si="61"/>
        <v>0</v>
      </c>
      <c r="BS18" s="52">
        <f>Summ.!$A113</f>
        <v>50140</v>
      </c>
      <c r="BT18" s="108" t="str">
        <f>Summ.!$B113</f>
        <v>Insurance - Flood/Earthquake</v>
      </c>
      <c r="BU18" s="110">
        <f t="shared" si="62"/>
        <v>0</v>
      </c>
      <c r="BV18" s="110">
        <f t="shared" si="63"/>
        <v>0</v>
      </c>
      <c r="BW18" s="110">
        <f t="shared" si="64"/>
        <v>0</v>
      </c>
      <c r="BX18" s="113">
        <f t="shared" si="12"/>
        <v>2.0427748834658623E-2</v>
      </c>
      <c r="BY18" s="110">
        <f t="shared" si="65"/>
        <v>0</v>
      </c>
      <c r="BZ18" s="115">
        <f t="shared" si="66"/>
        <v>0</v>
      </c>
      <c r="CA18" s="110">
        <f t="shared" si="67"/>
        <v>0</v>
      </c>
      <c r="CB18" s="52">
        <f>Summ.!$A113</f>
        <v>50140</v>
      </c>
      <c r="CC18" s="108" t="str">
        <f>Summ.!$B113</f>
        <v>Insurance - Flood/Earthquake</v>
      </c>
      <c r="CD18" s="110">
        <f t="shared" si="68"/>
        <v>0</v>
      </c>
      <c r="CE18" s="110">
        <v>0</v>
      </c>
      <c r="CF18" s="110">
        <f t="shared" si="69"/>
        <v>0</v>
      </c>
      <c r="CG18" s="113">
        <f t="shared" si="13"/>
        <v>6.9058717536918793E-2</v>
      </c>
      <c r="CH18" s="110">
        <f t="shared" si="70"/>
        <v>0</v>
      </c>
      <c r="CI18" s="115">
        <f t="shared" si="71"/>
        <v>0</v>
      </c>
      <c r="CJ18" s="110">
        <f t="shared" si="72"/>
        <v>0</v>
      </c>
      <c r="CK18" s="52">
        <f>Summ.!$A113</f>
        <v>50140</v>
      </c>
      <c r="CL18" s="108" t="str">
        <f>Summ.!$B113</f>
        <v>Insurance - Flood/Earthquake</v>
      </c>
      <c r="CM18" s="110">
        <f t="shared" si="73"/>
        <v>0</v>
      </c>
      <c r="CN18" s="110">
        <f t="shared" si="74"/>
        <v>0</v>
      </c>
      <c r="CO18" s="110">
        <f t="shared" si="75"/>
        <v>0</v>
      </c>
      <c r="CP18" s="113">
        <f t="shared" si="14"/>
        <v>0.21027067256845156</v>
      </c>
      <c r="CQ18" s="110">
        <f t="shared" si="76"/>
        <v>0</v>
      </c>
      <c r="CR18" s="115">
        <f t="shared" si="77"/>
        <v>0</v>
      </c>
      <c r="CS18" s="110">
        <f t="shared" si="78"/>
        <v>0</v>
      </c>
      <c r="CT18" s="52">
        <f>Summ.!$A113</f>
        <v>50140</v>
      </c>
      <c r="CU18" s="108" t="str">
        <f>Summ.!$B113</f>
        <v>Insurance - Flood/Earthquake</v>
      </c>
      <c r="CV18" s="110">
        <f t="shared" si="79"/>
        <v>0</v>
      </c>
      <c r="CW18" s="110">
        <v>0</v>
      </c>
      <c r="CX18" s="110">
        <f t="shared" si="80"/>
        <v>0</v>
      </c>
      <c r="CY18" s="113">
        <f t="shared" si="15"/>
        <v>5.8756708057503229E-2</v>
      </c>
      <c r="CZ18" s="110">
        <f t="shared" si="81"/>
        <v>0</v>
      </c>
      <c r="DA18" s="115">
        <f t="shared" si="82"/>
        <v>0</v>
      </c>
      <c r="DB18" s="110">
        <f t="shared" si="83"/>
        <v>0</v>
      </c>
      <c r="DC18" s="52">
        <f>Summ.!$A113</f>
        <v>50140</v>
      </c>
      <c r="DD18" s="108" t="str">
        <f>Summ.!$B113</f>
        <v>Insurance - Flood/Earthquake</v>
      </c>
      <c r="DE18" s="110">
        <f t="shared" si="84"/>
        <v>0</v>
      </c>
      <c r="DF18" s="110">
        <v>0</v>
      </c>
      <c r="DG18" s="110">
        <f t="shared" si="85"/>
        <v>0</v>
      </c>
      <c r="DH18" s="113">
        <f t="shared" si="16"/>
        <v>9.7927846762505388E-3</v>
      </c>
      <c r="DI18" s="110">
        <f t="shared" si="86"/>
        <v>0</v>
      </c>
      <c r="DJ18" s="115">
        <f t="shared" si="87"/>
        <v>0</v>
      </c>
      <c r="DK18" s="110">
        <f t="shared" si="88"/>
        <v>0</v>
      </c>
      <c r="DL18" s="52">
        <f>Summ.!$A113</f>
        <v>50140</v>
      </c>
      <c r="DM18" s="108" t="str">
        <f>Summ.!$B113</f>
        <v>Insurance - Flood/Earthquake</v>
      </c>
      <c r="DN18" s="110">
        <f t="shared" si="89"/>
        <v>0</v>
      </c>
      <c r="DO18" s="110">
        <v>0</v>
      </c>
      <c r="DP18" s="110">
        <f t="shared" si="90"/>
        <v>0</v>
      </c>
      <c r="DQ18" s="113">
        <f t="shared" si="17"/>
        <v>5.6719808844843123E-2</v>
      </c>
      <c r="DR18" s="110">
        <f t="shared" si="91"/>
        <v>0</v>
      </c>
      <c r="DS18" s="115">
        <f t="shared" si="92"/>
        <v>0</v>
      </c>
      <c r="DT18" s="110">
        <f t="shared" si="93"/>
        <v>0</v>
      </c>
      <c r="DU18" s="52">
        <f>Summ.!$A113</f>
        <v>50140</v>
      </c>
      <c r="DV18" s="108" t="str">
        <f>Summ.!$B113</f>
        <v>Insurance - Flood/Earthquake</v>
      </c>
      <c r="DW18" s="110">
        <f t="shared" si="94"/>
        <v>0</v>
      </c>
      <c r="DX18" s="110">
        <f t="shared" si="95"/>
        <v>0</v>
      </c>
      <c r="DY18" s="110">
        <f t="shared" si="96"/>
        <v>0</v>
      </c>
      <c r="DZ18" s="113">
        <f t="shared" si="18"/>
        <v>0.15695875279094362</v>
      </c>
      <c r="EA18" s="110">
        <f t="shared" si="97"/>
        <v>0</v>
      </c>
      <c r="EB18" s="115">
        <f t="shared" si="98"/>
        <v>0</v>
      </c>
      <c r="EC18" s="110">
        <f t="shared" si="99"/>
        <v>0</v>
      </c>
      <c r="ED18" s="52">
        <f>Summ.!$A113</f>
        <v>50140</v>
      </c>
      <c r="EE18" s="108" t="str">
        <f>Summ.!$B113</f>
        <v>Insurance - Flood/Earthquake</v>
      </c>
      <c r="EF18" s="110">
        <f t="shared" si="100"/>
        <v>0</v>
      </c>
      <c r="EG18" s="110">
        <f t="shared" si="101"/>
        <v>0</v>
      </c>
      <c r="EH18" s="110">
        <f t="shared" si="102"/>
        <v>0</v>
      </c>
      <c r="EI18" s="113">
        <f t="shared" si="19"/>
        <v>0.12730620079125701</v>
      </c>
      <c r="EJ18" s="110">
        <f t="shared" si="103"/>
        <v>0</v>
      </c>
      <c r="EK18" s="115">
        <f t="shared" si="104"/>
        <v>0</v>
      </c>
      <c r="EL18" s="110">
        <f t="shared" si="105"/>
        <v>0</v>
      </c>
      <c r="EM18" s="52">
        <f>Summ.!$A113</f>
        <v>50140</v>
      </c>
      <c r="EN18" s="108" t="str">
        <f>Summ.!$B113</f>
        <v>Insurance - Flood/Earthquake</v>
      </c>
      <c r="EO18" s="110">
        <f t="shared" si="106"/>
        <v>0</v>
      </c>
      <c r="EP18" s="110">
        <f t="shared" si="107"/>
        <v>0</v>
      </c>
      <c r="EQ18" s="110">
        <f t="shared" si="108"/>
        <v>0</v>
      </c>
      <c r="ER18" s="113">
        <f t="shared" si="20"/>
        <v>3.9034039719534647E-2</v>
      </c>
      <c r="ES18" s="110">
        <f t="shared" si="109"/>
        <v>0</v>
      </c>
      <c r="ET18" s="115">
        <f t="shared" si="110"/>
        <v>0</v>
      </c>
      <c r="EU18" s="110">
        <f t="shared" si="111"/>
        <v>0</v>
      </c>
      <c r="EV18" s="52">
        <f>Summ.!$A113</f>
        <v>50140</v>
      </c>
      <c r="EW18" s="108" t="str">
        <f>Summ.!$B113</f>
        <v>Insurance - Flood/Earthquake</v>
      </c>
      <c r="EX18" s="110">
        <f t="shared" si="112"/>
        <v>0</v>
      </c>
      <c r="EY18" s="110">
        <f t="shared" si="113"/>
        <v>0</v>
      </c>
      <c r="EZ18" s="110">
        <f t="shared" si="114"/>
        <v>0</v>
      </c>
      <c r="FA18" s="113">
        <f t="shared" si="21"/>
        <v>1.8841317717106038E-2</v>
      </c>
      <c r="FB18" s="110">
        <f t="shared" si="115"/>
        <v>0</v>
      </c>
      <c r="FC18" s="115">
        <f t="shared" si="116"/>
        <v>0</v>
      </c>
      <c r="FD18" s="110">
        <f t="shared" si="117"/>
        <v>0</v>
      </c>
      <c r="FE18" s="52">
        <f>Summ.!$A113</f>
        <v>50140</v>
      </c>
      <c r="FF18" s="108" t="str">
        <f>Summ.!$B113</f>
        <v>Insurance - Flood/Earthquake</v>
      </c>
      <c r="FG18" s="110">
        <f t="shared" si="118"/>
        <v>0</v>
      </c>
      <c r="FH18" s="110">
        <f t="shared" si="119"/>
        <v>0</v>
      </c>
      <c r="FI18" s="110">
        <f t="shared" si="120"/>
        <v>0</v>
      </c>
      <c r="FJ18" s="113">
        <f t="shared" si="22"/>
        <v>7.254494888166399E-2</v>
      </c>
      <c r="FK18" s="110">
        <f t="shared" si="121"/>
        <v>0</v>
      </c>
      <c r="FL18" s="115">
        <f t="shared" si="122"/>
        <v>0</v>
      </c>
      <c r="FM18" s="110">
        <f t="shared" si="123"/>
        <v>0</v>
      </c>
    </row>
    <row r="19" spans="1:169">
      <c r="A19" s="52">
        <f>Summ.!A114</f>
        <v>50142</v>
      </c>
      <c r="B19" s="45" t="str">
        <f>Summ.!B114</f>
        <v>Insurance - Pollution</v>
      </c>
      <c r="C19" s="45"/>
      <c r="D19" s="45"/>
      <c r="E19" s="45"/>
      <c r="F19" s="106">
        <f>+Summ.!O114</f>
        <v>0</v>
      </c>
      <c r="G19" s="71">
        <f>Rent!$B$41</f>
        <v>51058</v>
      </c>
      <c r="H19" s="52">
        <f>Summ.!$A114</f>
        <v>50142</v>
      </c>
      <c r="I19" s="108" t="str">
        <f>Summ.!$B114</f>
        <v>Insurance - Pollution</v>
      </c>
      <c r="J19" s="110">
        <f t="shared" si="23"/>
        <v>0</v>
      </c>
      <c r="K19" s="110">
        <v>0</v>
      </c>
      <c r="L19" s="110">
        <f t="shared" si="24"/>
        <v>0</v>
      </c>
      <c r="M19" s="113">
        <f t="shared" si="4"/>
        <v>7.5854910102236675E-2</v>
      </c>
      <c r="N19" s="110">
        <f t="shared" si="25"/>
        <v>0</v>
      </c>
      <c r="O19" s="115">
        <f t="shared" si="26"/>
        <v>0</v>
      </c>
      <c r="P19" s="110">
        <f t="shared" si="27"/>
        <v>0</v>
      </c>
      <c r="Q19" s="52">
        <f>Summ.!$A114</f>
        <v>50142</v>
      </c>
      <c r="R19" s="108" t="str">
        <f>Summ.!$B114</f>
        <v>Insurance - Pollution</v>
      </c>
      <c r="S19" s="110">
        <f t="shared" si="28"/>
        <v>0</v>
      </c>
      <c r="T19" s="110">
        <f t="shared" si="29"/>
        <v>0</v>
      </c>
      <c r="U19" s="110">
        <f t="shared" si="30"/>
        <v>0</v>
      </c>
      <c r="V19" s="113">
        <f t="shared" si="5"/>
        <v>2.1034901484586158E-2</v>
      </c>
      <c r="W19" s="110">
        <f t="shared" si="31"/>
        <v>0</v>
      </c>
      <c r="X19" s="115">
        <f t="shared" si="32"/>
        <v>0</v>
      </c>
      <c r="Y19" s="110">
        <f t="shared" si="33"/>
        <v>0</v>
      </c>
      <c r="Z19" s="52">
        <f>Summ.!$A114</f>
        <v>50142</v>
      </c>
      <c r="AA19" s="108" t="str">
        <f>Summ.!$B114</f>
        <v>Insurance - Pollution</v>
      </c>
      <c r="AB19" s="110">
        <f t="shared" si="34"/>
        <v>0</v>
      </c>
      <c r="AC19" s="110">
        <v>0</v>
      </c>
      <c r="AD19" s="110">
        <f t="shared" si="35"/>
        <v>0</v>
      </c>
      <c r="AE19" s="113">
        <f t="shared" si="6"/>
        <v>3.9171138705002152E-3</v>
      </c>
      <c r="AF19" s="110">
        <f t="shared" si="36"/>
        <v>0</v>
      </c>
      <c r="AG19" s="115">
        <f t="shared" si="37"/>
        <v>0</v>
      </c>
      <c r="AH19" s="110">
        <f t="shared" si="38"/>
        <v>0</v>
      </c>
      <c r="AI19" s="52">
        <f>Summ.!$A114</f>
        <v>50142</v>
      </c>
      <c r="AJ19" s="108" t="str">
        <f>Summ.!$B114</f>
        <v>Insurance - Pollution</v>
      </c>
      <c r="AK19" s="110">
        <f t="shared" si="39"/>
        <v>0</v>
      </c>
      <c r="AL19" s="110">
        <f t="shared" si="40"/>
        <v>0</v>
      </c>
      <c r="AM19" s="110">
        <f t="shared" si="41"/>
        <v>0</v>
      </c>
      <c r="AN19" s="113">
        <f t="shared" si="7"/>
        <v>1.0145324924595559E-2</v>
      </c>
      <c r="AO19" s="110">
        <f t="shared" si="42"/>
        <v>0</v>
      </c>
      <c r="AP19" s="115">
        <f t="shared" si="43"/>
        <v>0</v>
      </c>
      <c r="AQ19" s="110">
        <f t="shared" si="44"/>
        <v>0</v>
      </c>
      <c r="AR19" s="52">
        <f>Summ.!$A114</f>
        <v>50142</v>
      </c>
      <c r="AS19" s="108" t="str">
        <f>Summ.!$B114</f>
        <v>Insurance - Pollution</v>
      </c>
      <c r="AT19" s="110">
        <f t="shared" si="45"/>
        <v>0</v>
      </c>
      <c r="AU19" s="110">
        <f t="shared" si="46"/>
        <v>0</v>
      </c>
      <c r="AV19" s="110">
        <f t="shared" si="47"/>
        <v>0</v>
      </c>
      <c r="AW19" s="113">
        <f t="shared" si="8"/>
        <v>1.0282423910063065E-2</v>
      </c>
      <c r="AX19" s="110">
        <f t="shared" si="48"/>
        <v>0</v>
      </c>
      <c r="AY19" s="115">
        <f t="shared" si="49"/>
        <v>0</v>
      </c>
      <c r="AZ19" s="110">
        <f t="shared" si="50"/>
        <v>0</v>
      </c>
      <c r="BA19" s="52">
        <f>Summ.!$A114</f>
        <v>50142</v>
      </c>
      <c r="BB19" s="108" t="str">
        <f>Summ.!$B114</f>
        <v>Insurance - Pollution</v>
      </c>
      <c r="BC19" s="110">
        <f t="shared" si="51"/>
        <v>0</v>
      </c>
      <c r="BD19" s="110">
        <f t="shared" si="52"/>
        <v>0</v>
      </c>
      <c r="BE19" s="110">
        <f t="shared" si="53"/>
        <v>0</v>
      </c>
      <c r="BF19" s="113" t="e">
        <f t="shared" si="9"/>
        <v>#REF!</v>
      </c>
      <c r="BG19" s="110" t="e">
        <f t="shared" si="54"/>
        <v>#REF!</v>
      </c>
      <c r="BH19" s="115" t="e">
        <f t="shared" si="55"/>
        <v>#REF!</v>
      </c>
      <c r="BI19" s="110" t="e">
        <f t="shared" si="56"/>
        <v>#REF!</v>
      </c>
      <c r="BJ19" s="52">
        <f>Summ.!$A114</f>
        <v>50142</v>
      </c>
      <c r="BK19" s="108" t="str">
        <f>Summ.!$B114</f>
        <v>Insurance - Pollution</v>
      </c>
      <c r="BL19" s="110">
        <f t="shared" si="57"/>
        <v>0</v>
      </c>
      <c r="BM19" s="110">
        <f t="shared" si="10"/>
        <v>0</v>
      </c>
      <c r="BN19" s="110">
        <f t="shared" si="58"/>
        <v>0</v>
      </c>
      <c r="BO19" s="113">
        <f t="shared" si="11"/>
        <v>1.9468055936386071E-2</v>
      </c>
      <c r="BP19" s="110">
        <f t="shared" si="59"/>
        <v>0</v>
      </c>
      <c r="BQ19" s="115">
        <f t="shared" si="60"/>
        <v>0</v>
      </c>
      <c r="BR19" s="110">
        <f t="shared" si="61"/>
        <v>0</v>
      </c>
      <c r="BS19" s="52">
        <f>Summ.!$A114</f>
        <v>50142</v>
      </c>
      <c r="BT19" s="108" t="str">
        <f>Summ.!$B114</f>
        <v>Insurance - Pollution</v>
      </c>
      <c r="BU19" s="110">
        <f t="shared" si="62"/>
        <v>0</v>
      </c>
      <c r="BV19" s="110">
        <f t="shared" si="63"/>
        <v>0</v>
      </c>
      <c r="BW19" s="110">
        <f t="shared" si="64"/>
        <v>0</v>
      </c>
      <c r="BX19" s="113">
        <f t="shared" si="12"/>
        <v>2.0427748834658623E-2</v>
      </c>
      <c r="BY19" s="110">
        <f t="shared" si="65"/>
        <v>0</v>
      </c>
      <c r="BZ19" s="115">
        <f t="shared" si="66"/>
        <v>0</v>
      </c>
      <c r="CA19" s="110">
        <f t="shared" si="67"/>
        <v>0</v>
      </c>
      <c r="CB19" s="52">
        <f>Summ.!$A114</f>
        <v>50142</v>
      </c>
      <c r="CC19" s="108" t="str">
        <f>Summ.!$B114</f>
        <v>Insurance - Pollution</v>
      </c>
      <c r="CD19" s="110">
        <f t="shared" si="68"/>
        <v>0</v>
      </c>
      <c r="CE19" s="110">
        <v>0</v>
      </c>
      <c r="CF19" s="110">
        <f t="shared" si="69"/>
        <v>0</v>
      </c>
      <c r="CG19" s="113">
        <f t="shared" si="13"/>
        <v>6.9058717536918793E-2</v>
      </c>
      <c r="CH19" s="110">
        <f t="shared" si="70"/>
        <v>0</v>
      </c>
      <c r="CI19" s="115">
        <f t="shared" si="71"/>
        <v>0</v>
      </c>
      <c r="CJ19" s="110">
        <f t="shared" si="72"/>
        <v>0</v>
      </c>
      <c r="CK19" s="52">
        <f>Summ.!$A114</f>
        <v>50142</v>
      </c>
      <c r="CL19" s="108" t="str">
        <f>Summ.!$B114</f>
        <v>Insurance - Pollution</v>
      </c>
      <c r="CM19" s="110">
        <f t="shared" si="73"/>
        <v>0</v>
      </c>
      <c r="CN19" s="110">
        <f t="shared" si="74"/>
        <v>0</v>
      </c>
      <c r="CO19" s="110">
        <f t="shared" si="75"/>
        <v>0</v>
      </c>
      <c r="CP19" s="113">
        <f t="shared" si="14"/>
        <v>0.21027067256845156</v>
      </c>
      <c r="CQ19" s="110">
        <f t="shared" si="76"/>
        <v>0</v>
      </c>
      <c r="CR19" s="115">
        <f t="shared" si="77"/>
        <v>0</v>
      </c>
      <c r="CS19" s="110">
        <f t="shared" si="78"/>
        <v>0</v>
      </c>
      <c r="CT19" s="52">
        <f>Summ.!$A114</f>
        <v>50142</v>
      </c>
      <c r="CU19" s="108" t="str">
        <f>Summ.!$B114</f>
        <v>Insurance - Pollution</v>
      </c>
      <c r="CV19" s="110">
        <f t="shared" si="79"/>
        <v>0</v>
      </c>
      <c r="CW19" s="110">
        <v>0</v>
      </c>
      <c r="CX19" s="110">
        <f t="shared" si="80"/>
        <v>0</v>
      </c>
      <c r="CY19" s="113">
        <f t="shared" si="15"/>
        <v>5.8756708057503229E-2</v>
      </c>
      <c r="CZ19" s="110">
        <f t="shared" si="81"/>
        <v>0</v>
      </c>
      <c r="DA19" s="115">
        <f t="shared" si="82"/>
        <v>0</v>
      </c>
      <c r="DB19" s="110">
        <f t="shared" si="83"/>
        <v>0</v>
      </c>
      <c r="DC19" s="52">
        <f>Summ.!$A114</f>
        <v>50142</v>
      </c>
      <c r="DD19" s="108" t="str">
        <f>Summ.!$B114</f>
        <v>Insurance - Pollution</v>
      </c>
      <c r="DE19" s="110">
        <f t="shared" si="84"/>
        <v>0</v>
      </c>
      <c r="DF19" s="110">
        <v>0</v>
      </c>
      <c r="DG19" s="110">
        <f t="shared" si="85"/>
        <v>0</v>
      </c>
      <c r="DH19" s="113">
        <f t="shared" si="16"/>
        <v>9.7927846762505388E-3</v>
      </c>
      <c r="DI19" s="110">
        <f t="shared" si="86"/>
        <v>0</v>
      </c>
      <c r="DJ19" s="115">
        <f t="shared" si="87"/>
        <v>0</v>
      </c>
      <c r="DK19" s="110">
        <f t="shared" si="88"/>
        <v>0</v>
      </c>
      <c r="DL19" s="52">
        <f>Summ.!$A114</f>
        <v>50142</v>
      </c>
      <c r="DM19" s="108" t="str">
        <f>Summ.!$B114</f>
        <v>Insurance - Pollution</v>
      </c>
      <c r="DN19" s="110">
        <f t="shared" si="89"/>
        <v>0</v>
      </c>
      <c r="DO19" s="110">
        <v>0</v>
      </c>
      <c r="DP19" s="110">
        <f t="shared" si="90"/>
        <v>0</v>
      </c>
      <c r="DQ19" s="113">
        <f t="shared" si="17"/>
        <v>5.6719808844843123E-2</v>
      </c>
      <c r="DR19" s="110">
        <f t="shared" si="91"/>
        <v>0</v>
      </c>
      <c r="DS19" s="115">
        <f t="shared" si="92"/>
        <v>0</v>
      </c>
      <c r="DT19" s="110">
        <f t="shared" si="93"/>
        <v>0</v>
      </c>
      <c r="DU19" s="52">
        <f>Summ.!$A114</f>
        <v>50142</v>
      </c>
      <c r="DV19" s="108" t="str">
        <f>Summ.!$B114</f>
        <v>Insurance - Pollution</v>
      </c>
      <c r="DW19" s="110">
        <f t="shared" si="94"/>
        <v>0</v>
      </c>
      <c r="DX19" s="110">
        <f t="shared" si="95"/>
        <v>0</v>
      </c>
      <c r="DY19" s="110">
        <f t="shared" si="96"/>
        <v>0</v>
      </c>
      <c r="DZ19" s="113">
        <f t="shared" si="18"/>
        <v>0.15695875279094362</v>
      </c>
      <c r="EA19" s="110">
        <f t="shared" si="97"/>
        <v>0</v>
      </c>
      <c r="EB19" s="115">
        <f t="shared" si="98"/>
        <v>0</v>
      </c>
      <c r="EC19" s="110">
        <f t="shared" si="99"/>
        <v>0</v>
      </c>
      <c r="ED19" s="52">
        <f>Summ.!$A114</f>
        <v>50142</v>
      </c>
      <c r="EE19" s="108" t="str">
        <f>Summ.!$B114</f>
        <v>Insurance - Pollution</v>
      </c>
      <c r="EF19" s="110">
        <f t="shared" si="100"/>
        <v>0</v>
      </c>
      <c r="EG19" s="110">
        <f t="shared" si="101"/>
        <v>0</v>
      </c>
      <c r="EH19" s="110">
        <f t="shared" si="102"/>
        <v>0</v>
      </c>
      <c r="EI19" s="113">
        <f t="shared" si="19"/>
        <v>0.12730620079125701</v>
      </c>
      <c r="EJ19" s="110">
        <f t="shared" si="103"/>
        <v>0</v>
      </c>
      <c r="EK19" s="115">
        <f t="shared" si="104"/>
        <v>0</v>
      </c>
      <c r="EL19" s="110">
        <f t="shared" si="105"/>
        <v>0</v>
      </c>
      <c r="EM19" s="52">
        <f>Summ.!$A114</f>
        <v>50142</v>
      </c>
      <c r="EN19" s="108" t="str">
        <f>Summ.!$B114</f>
        <v>Insurance - Pollution</v>
      </c>
      <c r="EO19" s="110">
        <f t="shared" si="106"/>
        <v>0</v>
      </c>
      <c r="EP19" s="110">
        <f t="shared" si="107"/>
        <v>0</v>
      </c>
      <c r="EQ19" s="110">
        <f t="shared" si="108"/>
        <v>0</v>
      </c>
      <c r="ER19" s="113">
        <f t="shared" si="20"/>
        <v>3.9034039719534647E-2</v>
      </c>
      <c r="ES19" s="110">
        <f t="shared" si="109"/>
        <v>0</v>
      </c>
      <c r="ET19" s="115">
        <f t="shared" si="110"/>
        <v>0</v>
      </c>
      <c r="EU19" s="110">
        <f t="shared" si="111"/>
        <v>0</v>
      </c>
      <c r="EV19" s="52">
        <f>Summ.!$A114</f>
        <v>50142</v>
      </c>
      <c r="EW19" s="108" t="str">
        <f>Summ.!$B114</f>
        <v>Insurance - Pollution</v>
      </c>
      <c r="EX19" s="110">
        <f t="shared" si="112"/>
        <v>0</v>
      </c>
      <c r="EY19" s="110">
        <f t="shared" si="113"/>
        <v>0</v>
      </c>
      <c r="EZ19" s="110">
        <f t="shared" si="114"/>
        <v>0</v>
      </c>
      <c r="FA19" s="113">
        <f t="shared" si="21"/>
        <v>1.8841317717106038E-2</v>
      </c>
      <c r="FB19" s="110">
        <f t="shared" si="115"/>
        <v>0</v>
      </c>
      <c r="FC19" s="115">
        <f t="shared" si="116"/>
        <v>0</v>
      </c>
      <c r="FD19" s="110">
        <f t="shared" si="117"/>
        <v>0</v>
      </c>
      <c r="FE19" s="52">
        <f>Summ.!$A114</f>
        <v>50142</v>
      </c>
      <c r="FF19" s="108" t="str">
        <f>Summ.!$B114</f>
        <v>Insurance - Pollution</v>
      </c>
      <c r="FG19" s="110">
        <f t="shared" si="118"/>
        <v>0</v>
      </c>
      <c r="FH19" s="110">
        <f t="shared" si="119"/>
        <v>0</v>
      </c>
      <c r="FI19" s="110">
        <f t="shared" si="120"/>
        <v>0</v>
      </c>
      <c r="FJ19" s="113">
        <f t="shared" si="22"/>
        <v>7.254494888166399E-2</v>
      </c>
      <c r="FK19" s="110">
        <f t="shared" si="121"/>
        <v>0</v>
      </c>
      <c r="FL19" s="115">
        <f t="shared" si="122"/>
        <v>0</v>
      </c>
      <c r="FM19" s="110">
        <f t="shared" si="123"/>
        <v>0</v>
      </c>
    </row>
    <row r="20" spans="1:169" ht="12.75" customHeight="1">
      <c r="A20" s="52">
        <f>Summ.!A115</f>
        <v>0</v>
      </c>
      <c r="B20" s="45" t="str">
        <f>Summ.!B115</f>
        <v>Insurance - Miscellaneous</v>
      </c>
      <c r="C20" s="45"/>
      <c r="D20" s="45"/>
      <c r="E20" s="45"/>
      <c r="F20" s="106">
        <f>+Summ.!O115</f>
        <v>0</v>
      </c>
      <c r="G20" s="71">
        <f>Rent!$B$41</f>
        <v>51058</v>
      </c>
      <c r="H20" s="52">
        <f>Summ.!$A115</f>
        <v>0</v>
      </c>
      <c r="I20" s="108" t="str">
        <f>Summ.!$B115</f>
        <v>Insurance - Miscellaneous</v>
      </c>
      <c r="J20" s="110">
        <f t="shared" si="23"/>
        <v>0</v>
      </c>
      <c r="K20" s="110">
        <v>0</v>
      </c>
      <c r="L20" s="110">
        <f t="shared" si="24"/>
        <v>0</v>
      </c>
      <c r="M20" s="113">
        <f t="shared" si="4"/>
        <v>7.5854910102236675E-2</v>
      </c>
      <c r="N20" s="110">
        <f t="shared" si="25"/>
        <v>0</v>
      </c>
      <c r="O20" s="115">
        <f t="shared" si="26"/>
        <v>0</v>
      </c>
      <c r="P20" s="110">
        <f t="shared" si="27"/>
        <v>0</v>
      </c>
      <c r="Q20" s="52">
        <f>Summ.!$A115</f>
        <v>0</v>
      </c>
      <c r="R20" s="108" t="str">
        <f>Summ.!$B115</f>
        <v>Insurance - Miscellaneous</v>
      </c>
      <c r="S20" s="110">
        <f t="shared" si="28"/>
        <v>0</v>
      </c>
      <c r="T20" s="110">
        <v>0</v>
      </c>
      <c r="U20" s="110">
        <f t="shared" si="30"/>
        <v>0</v>
      </c>
      <c r="V20" s="113">
        <f t="shared" si="5"/>
        <v>2.1034901484586158E-2</v>
      </c>
      <c r="W20" s="110">
        <f t="shared" si="31"/>
        <v>0</v>
      </c>
      <c r="X20" s="115">
        <f t="shared" si="32"/>
        <v>0</v>
      </c>
      <c r="Y20" s="110">
        <f t="shared" si="33"/>
        <v>0</v>
      </c>
      <c r="Z20" s="52">
        <f>Summ.!$A115</f>
        <v>0</v>
      </c>
      <c r="AA20" s="108" t="str">
        <f>Summ.!$B115</f>
        <v>Insurance - Miscellaneous</v>
      </c>
      <c r="AB20" s="110">
        <f t="shared" si="34"/>
        <v>0</v>
      </c>
      <c r="AC20" s="110">
        <v>0</v>
      </c>
      <c r="AD20" s="110">
        <f t="shared" si="35"/>
        <v>0</v>
      </c>
      <c r="AE20" s="113">
        <f t="shared" si="6"/>
        <v>3.9171138705002152E-3</v>
      </c>
      <c r="AF20" s="110">
        <f t="shared" si="36"/>
        <v>0</v>
      </c>
      <c r="AG20" s="115">
        <f t="shared" si="37"/>
        <v>0</v>
      </c>
      <c r="AH20" s="110">
        <f t="shared" si="38"/>
        <v>0</v>
      </c>
      <c r="AI20" s="52">
        <f>Summ.!$A115</f>
        <v>0</v>
      </c>
      <c r="AJ20" s="108" t="str">
        <f>Summ.!$B115</f>
        <v>Insurance - Miscellaneous</v>
      </c>
      <c r="AK20" s="110">
        <f t="shared" si="39"/>
        <v>0</v>
      </c>
      <c r="AL20" s="110">
        <v>0</v>
      </c>
      <c r="AM20" s="110">
        <f t="shared" si="41"/>
        <v>0</v>
      </c>
      <c r="AN20" s="113">
        <f t="shared" si="7"/>
        <v>1.0145324924595559E-2</v>
      </c>
      <c r="AO20" s="110">
        <f t="shared" si="42"/>
        <v>0</v>
      </c>
      <c r="AP20" s="115">
        <f t="shared" si="43"/>
        <v>0</v>
      </c>
      <c r="AQ20" s="110">
        <f t="shared" si="44"/>
        <v>0</v>
      </c>
      <c r="AR20" s="52">
        <f>Summ.!$A115</f>
        <v>0</v>
      </c>
      <c r="AS20" s="108" t="str">
        <f>Summ.!$B115</f>
        <v>Insurance - Miscellaneous</v>
      </c>
      <c r="AT20" s="110">
        <f t="shared" si="45"/>
        <v>0</v>
      </c>
      <c r="AU20" s="110">
        <v>0</v>
      </c>
      <c r="AV20" s="110">
        <f t="shared" si="47"/>
        <v>0</v>
      </c>
      <c r="AW20" s="113">
        <f t="shared" si="8"/>
        <v>1.0282423910063065E-2</v>
      </c>
      <c r="AX20" s="110">
        <f t="shared" si="48"/>
        <v>0</v>
      </c>
      <c r="AY20" s="115">
        <f t="shared" si="49"/>
        <v>0</v>
      </c>
      <c r="AZ20" s="110">
        <f t="shared" si="50"/>
        <v>0</v>
      </c>
      <c r="BA20" s="52">
        <f>Summ.!$A115</f>
        <v>0</v>
      </c>
      <c r="BB20" s="108" t="str">
        <f>Summ.!$B115</f>
        <v>Insurance - Miscellaneous</v>
      </c>
      <c r="BC20" s="110">
        <f t="shared" si="51"/>
        <v>0</v>
      </c>
      <c r="BD20" s="110">
        <v>0</v>
      </c>
      <c r="BE20" s="110">
        <f t="shared" si="53"/>
        <v>0</v>
      </c>
      <c r="BF20" s="113" t="e">
        <f t="shared" si="9"/>
        <v>#REF!</v>
      </c>
      <c r="BG20" s="110" t="e">
        <f t="shared" si="54"/>
        <v>#REF!</v>
      </c>
      <c r="BH20" s="115" t="e">
        <f t="shared" si="55"/>
        <v>#REF!</v>
      </c>
      <c r="BI20" s="110" t="e">
        <f t="shared" si="56"/>
        <v>#REF!</v>
      </c>
      <c r="BJ20" s="52">
        <f>Summ.!$A115</f>
        <v>0</v>
      </c>
      <c r="BK20" s="108" t="str">
        <f>Summ.!$B115</f>
        <v>Insurance - Miscellaneous</v>
      </c>
      <c r="BL20" s="110">
        <f t="shared" si="57"/>
        <v>0</v>
      </c>
      <c r="BM20" s="110">
        <v>0</v>
      </c>
      <c r="BN20" s="110">
        <f t="shared" si="58"/>
        <v>0</v>
      </c>
      <c r="BO20" s="113">
        <f t="shared" si="11"/>
        <v>1.9468055936386071E-2</v>
      </c>
      <c r="BP20" s="110">
        <f t="shared" si="59"/>
        <v>0</v>
      </c>
      <c r="BQ20" s="115">
        <f t="shared" si="60"/>
        <v>0</v>
      </c>
      <c r="BR20" s="110">
        <f t="shared" si="61"/>
        <v>0</v>
      </c>
      <c r="BS20" s="52">
        <f>Summ.!$A115</f>
        <v>0</v>
      </c>
      <c r="BT20" s="108" t="str">
        <f>Summ.!$B115</f>
        <v>Insurance - Miscellaneous</v>
      </c>
      <c r="BU20" s="110">
        <f t="shared" si="62"/>
        <v>0</v>
      </c>
      <c r="BV20" s="110">
        <v>0</v>
      </c>
      <c r="BW20" s="110">
        <f t="shared" si="64"/>
        <v>0</v>
      </c>
      <c r="BX20" s="113">
        <f t="shared" si="12"/>
        <v>2.0427748834658623E-2</v>
      </c>
      <c r="BY20" s="110">
        <f t="shared" si="65"/>
        <v>0</v>
      </c>
      <c r="BZ20" s="115">
        <f t="shared" si="66"/>
        <v>0</v>
      </c>
      <c r="CA20" s="110">
        <f t="shared" si="67"/>
        <v>0</v>
      </c>
      <c r="CB20" s="52">
        <f>Summ.!$A115</f>
        <v>0</v>
      </c>
      <c r="CC20" s="108" t="str">
        <f>Summ.!$B115</f>
        <v>Insurance - Miscellaneous</v>
      </c>
      <c r="CD20" s="110">
        <f t="shared" si="68"/>
        <v>0</v>
      </c>
      <c r="CE20" s="110">
        <v>0</v>
      </c>
      <c r="CF20" s="110">
        <f t="shared" si="69"/>
        <v>0</v>
      </c>
      <c r="CG20" s="113">
        <f t="shared" si="13"/>
        <v>6.9058717536918793E-2</v>
      </c>
      <c r="CH20" s="110">
        <f t="shared" si="70"/>
        <v>0</v>
      </c>
      <c r="CI20" s="115">
        <f t="shared" si="71"/>
        <v>0</v>
      </c>
      <c r="CJ20" s="110">
        <f t="shared" si="72"/>
        <v>0</v>
      </c>
      <c r="CK20" s="52">
        <f>Summ.!$A115</f>
        <v>0</v>
      </c>
      <c r="CL20" s="108" t="str">
        <f>Summ.!$B115</f>
        <v>Insurance - Miscellaneous</v>
      </c>
      <c r="CM20" s="110">
        <f t="shared" si="73"/>
        <v>0</v>
      </c>
      <c r="CN20" s="110">
        <v>0</v>
      </c>
      <c r="CO20" s="110">
        <f t="shared" si="75"/>
        <v>0</v>
      </c>
      <c r="CP20" s="113">
        <f t="shared" si="14"/>
        <v>0.21027067256845156</v>
      </c>
      <c r="CQ20" s="110">
        <f t="shared" si="76"/>
        <v>0</v>
      </c>
      <c r="CR20" s="115">
        <f t="shared" si="77"/>
        <v>0</v>
      </c>
      <c r="CS20" s="110">
        <f t="shared" si="78"/>
        <v>0</v>
      </c>
      <c r="CT20" s="52">
        <f>Summ.!$A115</f>
        <v>0</v>
      </c>
      <c r="CU20" s="108" t="str">
        <f>Summ.!$B115</f>
        <v>Insurance - Miscellaneous</v>
      </c>
      <c r="CV20" s="110">
        <f t="shared" si="79"/>
        <v>0</v>
      </c>
      <c r="CW20" s="110">
        <v>0</v>
      </c>
      <c r="CX20" s="110">
        <f t="shared" si="80"/>
        <v>0</v>
      </c>
      <c r="CY20" s="113">
        <f t="shared" si="15"/>
        <v>5.8756708057503229E-2</v>
      </c>
      <c r="CZ20" s="110">
        <f t="shared" si="81"/>
        <v>0</v>
      </c>
      <c r="DA20" s="115">
        <f t="shared" si="82"/>
        <v>0</v>
      </c>
      <c r="DB20" s="110">
        <f t="shared" si="83"/>
        <v>0</v>
      </c>
      <c r="DC20" s="52">
        <f>Summ.!$A115</f>
        <v>0</v>
      </c>
      <c r="DD20" s="108" t="str">
        <f>Summ.!$B115</f>
        <v>Insurance - Miscellaneous</v>
      </c>
      <c r="DE20" s="110">
        <f t="shared" si="84"/>
        <v>0</v>
      </c>
      <c r="DF20" s="110">
        <v>0</v>
      </c>
      <c r="DG20" s="110">
        <f t="shared" si="85"/>
        <v>0</v>
      </c>
      <c r="DH20" s="113">
        <f t="shared" si="16"/>
        <v>9.7927846762505388E-3</v>
      </c>
      <c r="DI20" s="110">
        <f t="shared" si="86"/>
        <v>0</v>
      </c>
      <c r="DJ20" s="115">
        <f t="shared" si="87"/>
        <v>0</v>
      </c>
      <c r="DK20" s="110">
        <f t="shared" si="88"/>
        <v>0</v>
      </c>
      <c r="DL20" s="52">
        <f>Summ.!$A115</f>
        <v>0</v>
      </c>
      <c r="DM20" s="108" t="str">
        <f>Summ.!$B115</f>
        <v>Insurance - Miscellaneous</v>
      </c>
      <c r="DN20" s="110">
        <f t="shared" si="89"/>
        <v>0</v>
      </c>
      <c r="DO20" s="110">
        <v>0</v>
      </c>
      <c r="DP20" s="110">
        <f t="shared" si="90"/>
        <v>0</v>
      </c>
      <c r="DQ20" s="113">
        <f t="shared" si="17"/>
        <v>5.6719808844843123E-2</v>
      </c>
      <c r="DR20" s="110">
        <f t="shared" si="91"/>
        <v>0</v>
      </c>
      <c r="DS20" s="115">
        <f t="shared" si="92"/>
        <v>0</v>
      </c>
      <c r="DT20" s="110">
        <f t="shared" si="93"/>
        <v>0</v>
      </c>
      <c r="DU20" s="52">
        <f>Summ.!$A115</f>
        <v>0</v>
      </c>
      <c r="DV20" s="108" t="str">
        <f>Summ.!$B115</f>
        <v>Insurance - Miscellaneous</v>
      </c>
      <c r="DW20" s="110">
        <f t="shared" si="94"/>
        <v>0</v>
      </c>
      <c r="DX20" s="110">
        <v>0</v>
      </c>
      <c r="DY20" s="110">
        <f t="shared" si="96"/>
        <v>0</v>
      </c>
      <c r="DZ20" s="113">
        <f t="shared" si="18"/>
        <v>0.15695875279094362</v>
      </c>
      <c r="EA20" s="110">
        <f t="shared" si="97"/>
        <v>0</v>
      </c>
      <c r="EB20" s="115">
        <f t="shared" si="98"/>
        <v>0</v>
      </c>
      <c r="EC20" s="110">
        <f t="shared" si="99"/>
        <v>0</v>
      </c>
      <c r="ED20" s="52">
        <f>Summ.!$A115</f>
        <v>0</v>
      </c>
      <c r="EE20" s="108" t="str">
        <f>Summ.!$B115</f>
        <v>Insurance - Miscellaneous</v>
      </c>
      <c r="EF20" s="110">
        <f t="shared" si="100"/>
        <v>0</v>
      </c>
      <c r="EG20" s="110">
        <v>0</v>
      </c>
      <c r="EH20" s="110">
        <f t="shared" si="102"/>
        <v>0</v>
      </c>
      <c r="EI20" s="113">
        <f t="shared" si="19"/>
        <v>0.12730620079125701</v>
      </c>
      <c r="EJ20" s="110">
        <f t="shared" si="103"/>
        <v>0</v>
      </c>
      <c r="EK20" s="115">
        <f t="shared" si="104"/>
        <v>0</v>
      </c>
      <c r="EL20" s="110">
        <f t="shared" si="105"/>
        <v>0</v>
      </c>
      <c r="EM20" s="52">
        <f>Summ.!$A115</f>
        <v>0</v>
      </c>
      <c r="EN20" s="108" t="str">
        <f>Summ.!$B115</f>
        <v>Insurance - Miscellaneous</v>
      </c>
      <c r="EO20" s="110">
        <f t="shared" si="106"/>
        <v>0</v>
      </c>
      <c r="EP20" s="110">
        <v>0</v>
      </c>
      <c r="EQ20" s="110">
        <f t="shared" si="108"/>
        <v>0</v>
      </c>
      <c r="ER20" s="113">
        <f t="shared" si="20"/>
        <v>3.9034039719534647E-2</v>
      </c>
      <c r="ES20" s="110">
        <f t="shared" si="109"/>
        <v>0</v>
      </c>
      <c r="ET20" s="115">
        <f t="shared" si="110"/>
        <v>0</v>
      </c>
      <c r="EU20" s="110">
        <f t="shared" si="111"/>
        <v>0</v>
      </c>
      <c r="EV20" s="52">
        <f>Summ.!$A115</f>
        <v>0</v>
      </c>
      <c r="EW20" s="108" t="str">
        <f>Summ.!$B115</f>
        <v>Insurance - Miscellaneous</v>
      </c>
      <c r="EX20" s="110">
        <f t="shared" si="112"/>
        <v>0</v>
      </c>
      <c r="EY20" s="110">
        <v>0</v>
      </c>
      <c r="EZ20" s="110">
        <f t="shared" si="114"/>
        <v>0</v>
      </c>
      <c r="FA20" s="113">
        <f t="shared" si="21"/>
        <v>1.8841317717106038E-2</v>
      </c>
      <c r="FB20" s="110">
        <f t="shared" si="115"/>
        <v>0</v>
      </c>
      <c r="FC20" s="115">
        <f t="shared" si="116"/>
        <v>0</v>
      </c>
      <c r="FD20" s="110">
        <f t="shared" si="117"/>
        <v>0</v>
      </c>
      <c r="FE20" s="52">
        <f>Summ.!$A115</f>
        <v>0</v>
      </c>
      <c r="FF20" s="108" t="str">
        <f>Summ.!$B115</f>
        <v>Insurance - Miscellaneous</v>
      </c>
      <c r="FG20" s="110">
        <f t="shared" si="118"/>
        <v>0</v>
      </c>
      <c r="FH20" s="110">
        <v>0</v>
      </c>
      <c r="FI20" s="110">
        <f t="shared" si="120"/>
        <v>0</v>
      </c>
      <c r="FJ20" s="113">
        <f t="shared" si="22"/>
        <v>7.254494888166399E-2</v>
      </c>
      <c r="FK20" s="110">
        <f t="shared" si="121"/>
        <v>0</v>
      </c>
      <c r="FL20" s="115">
        <f t="shared" si="122"/>
        <v>0</v>
      </c>
      <c r="FM20" s="110">
        <f t="shared" si="123"/>
        <v>0</v>
      </c>
    </row>
    <row r="21" spans="1:169">
      <c r="A21" s="52"/>
      <c r="B21" s="45"/>
      <c r="C21" s="45"/>
      <c r="D21" s="45"/>
      <c r="E21" s="45"/>
      <c r="F21" s="106"/>
      <c r="I21" s="117"/>
      <c r="J21" s="110"/>
      <c r="K21" s="110"/>
      <c r="L21" s="110"/>
      <c r="M21" s="110"/>
      <c r="N21" s="110"/>
      <c r="P21" s="110"/>
      <c r="R21" s="117"/>
      <c r="S21" s="110"/>
      <c r="T21" s="110"/>
      <c r="U21" s="110"/>
      <c r="V21" s="110"/>
      <c r="W21" s="110"/>
      <c r="Y21" s="110"/>
      <c r="AA21" s="117"/>
      <c r="AB21" s="110"/>
      <c r="AC21" s="110"/>
      <c r="AD21" s="110"/>
      <c r="AE21" s="110"/>
      <c r="AF21" s="110"/>
      <c r="AH21" s="110"/>
      <c r="AJ21" s="117"/>
      <c r="AK21" s="110"/>
      <c r="AL21" s="110"/>
      <c r="AM21" s="110"/>
      <c r="AN21" s="110"/>
      <c r="AO21" s="110"/>
      <c r="AQ21" s="110"/>
      <c r="AS21" s="117"/>
      <c r="AT21" s="110"/>
      <c r="AU21" s="110"/>
      <c r="AV21" s="110"/>
      <c r="AW21" s="110"/>
      <c r="AX21" s="110"/>
      <c r="AZ21" s="110"/>
      <c r="BB21" s="117"/>
      <c r="BC21" s="110"/>
      <c r="BD21" s="110"/>
      <c r="BE21" s="110"/>
      <c r="BF21" s="110"/>
      <c r="BG21" s="110"/>
      <c r="BI21" s="110"/>
      <c r="BK21" s="117"/>
      <c r="BL21" s="110"/>
      <c r="BM21" s="110"/>
      <c r="BN21" s="110"/>
      <c r="BO21" s="110"/>
      <c r="BP21" s="110"/>
      <c r="BR21" s="110"/>
      <c r="BT21" s="117"/>
      <c r="BU21" s="110"/>
      <c r="BV21" s="110"/>
      <c r="BW21" s="110"/>
      <c r="BX21" s="110"/>
      <c r="BY21" s="110"/>
      <c r="CA21" s="110"/>
      <c r="CC21" s="117"/>
      <c r="CD21" s="110"/>
      <c r="CE21" s="110"/>
      <c r="CF21" s="110"/>
      <c r="CG21" s="110"/>
      <c r="CH21" s="110"/>
      <c r="CJ21" s="110"/>
      <c r="CL21" s="117"/>
      <c r="CM21" s="110"/>
      <c r="CN21" s="110"/>
      <c r="CO21" s="110"/>
      <c r="CP21" s="110"/>
      <c r="CQ21" s="110"/>
      <c r="CS21" s="110"/>
      <c r="CU21" s="117"/>
      <c r="CV21" s="110"/>
      <c r="CW21" s="110"/>
      <c r="CX21" s="110"/>
      <c r="CY21" s="110"/>
      <c r="CZ21" s="110"/>
      <c r="DB21" s="110"/>
      <c r="DD21" s="117"/>
      <c r="DE21" s="110"/>
      <c r="DF21" s="110"/>
      <c r="DG21" s="110"/>
      <c r="DH21" s="110"/>
      <c r="DI21" s="110"/>
      <c r="DK21" s="110"/>
      <c r="DM21" s="117"/>
      <c r="DN21" s="110"/>
      <c r="DO21" s="110"/>
      <c r="DP21" s="110"/>
      <c r="DQ21" s="110"/>
      <c r="DR21" s="110"/>
      <c r="DT21" s="110"/>
      <c r="DV21" s="117"/>
      <c r="DW21" s="110"/>
      <c r="DX21" s="110"/>
      <c r="DY21" s="110"/>
      <c r="DZ21" s="110"/>
      <c r="EA21" s="110"/>
      <c r="EC21" s="110"/>
      <c r="EE21" s="117"/>
      <c r="EF21" s="110"/>
      <c r="EG21" s="110"/>
      <c r="EH21" s="110"/>
      <c r="EI21" s="110"/>
      <c r="EJ21" s="110"/>
      <c r="EL21" s="110"/>
      <c r="EN21" s="117"/>
      <c r="EO21" s="110"/>
      <c r="EP21" s="110"/>
      <c r="EQ21" s="110"/>
      <c r="ER21" s="110"/>
      <c r="ES21" s="110"/>
      <c r="EU21" s="110"/>
      <c r="EW21" s="117"/>
      <c r="EX21" s="110"/>
      <c r="EY21" s="110"/>
      <c r="EZ21" s="110"/>
      <c r="FA21" s="110"/>
      <c r="FB21" s="110"/>
      <c r="FD21" s="110"/>
      <c r="FF21" s="117"/>
      <c r="FG21" s="110"/>
      <c r="FH21" s="110"/>
      <c r="FI21" s="110"/>
      <c r="FJ21" s="110"/>
      <c r="FK21" s="110"/>
      <c r="FM21" s="110"/>
    </row>
    <row r="22" spans="1:169">
      <c r="A22" s="52"/>
      <c r="B22" s="169" t="str">
        <f>Summ.!B117</f>
        <v>SUBTOTAL INSURANCE</v>
      </c>
      <c r="C22" s="265"/>
      <c r="D22" s="265"/>
      <c r="E22" s="265"/>
      <c r="F22" s="268">
        <f>SUM(F14:F20)</f>
        <v>192486.99999999997</v>
      </c>
      <c r="I22" s="170" t="s">
        <v>280</v>
      </c>
      <c r="J22" s="171">
        <f>SUM(J14:J21)</f>
        <v>192486.99999999997</v>
      </c>
      <c r="K22" s="171">
        <f>SUM(K14:K21)</f>
        <v>0</v>
      </c>
      <c r="L22" s="171">
        <f>SUM(L14:L21)</f>
        <v>192486.99999999997</v>
      </c>
      <c r="M22" s="228" t="s">
        <v>14</v>
      </c>
      <c r="N22" s="171">
        <f>SUM(N14:N21)</f>
        <v>18153.702091852861</v>
      </c>
      <c r="O22" s="171">
        <f>SUM(O14:O21)</f>
        <v>0</v>
      </c>
      <c r="P22" s="171">
        <f>SUM(P14:P21)</f>
        <v>18153.702091852861</v>
      </c>
      <c r="R22" s="170" t="s">
        <v>280</v>
      </c>
      <c r="S22" s="171">
        <f>SUM(S14:S21)</f>
        <v>192486.99999999997</v>
      </c>
      <c r="T22" s="171">
        <f>SUM(T14:T21)</f>
        <v>0</v>
      </c>
      <c r="U22" s="171">
        <f>SUM(U14:U21)</f>
        <v>192486.99999999997</v>
      </c>
      <c r="V22" s="228" t="s">
        <v>14</v>
      </c>
      <c r="W22" s="171">
        <f>SUM(W14:W21)</f>
        <v>5034.101741970042</v>
      </c>
      <c r="X22" s="171">
        <f>SUM(X14:X21)</f>
        <v>0</v>
      </c>
      <c r="Y22" s="173">
        <f>SUM(Y14:Y21)</f>
        <v>5034.101741970042</v>
      </c>
      <c r="AA22" s="170" t="s">
        <v>280</v>
      </c>
      <c r="AB22" s="171">
        <f>SUM(AB14:AB21)</f>
        <v>192486.99999999997</v>
      </c>
      <c r="AC22" s="171">
        <f>SUM(AC14:AC21)</f>
        <v>0</v>
      </c>
      <c r="AD22" s="171">
        <f>SUM(AD14:AD21)</f>
        <v>192486.99999999997</v>
      </c>
      <c r="AE22" s="228" t="s">
        <v>14</v>
      </c>
      <c r="AF22" s="171">
        <f>SUM(AF14:AF21)</f>
        <v>937.44911396090163</v>
      </c>
      <c r="AG22" s="171">
        <f>SUM(AG14:AG21)</f>
        <v>0</v>
      </c>
      <c r="AH22" s="173">
        <f>SUM(AH14:AH21)</f>
        <v>937.44911396090163</v>
      </c>
      <c r="AJ22" s="170" t="s">
        <v>280</v>
      </c>
      <c r="AK22" s="171">
        <f>SUM(AK14:AK21)</f>
        <v>192486.99999999997</v>
      </c>
      <c r="AL22" s="171">
        <f>SUM(AL14:AL21)</f>
        <v>0</v>
      </c>
      <c r="AM22" s="171">
        <f>SUM(AM14:AM21)</f>
        <v>192486.99999999997</v>
      </c>
      <c r="AN22" s="228" t="s">
        <v>14</v>
      </c>
      <c r="AO22" s="171">
        <f>SUM(AO14:AO21)</f>
        <v>2427.9932051587357</v>
      </c>
      <c r="AP22" s="171">
        <f>SUM(AP14:AP21)</f>
        <v>0</v>
      </c>
      <c r="AQ22" s="173">
        <f>SUM(AQ14:AQ21)</f>
        <v>2427.9932051587357</v>
      </c>
      <c r="AS22" s="170" t="s">
        <v>280</v>
      </c>
      <c r="AT22" s="171">
        <f>SUM(AT14:AT21)</f>
        <v>192486.99999999997</v>
      </c>
      <c r="AU22" s="171">
        <f>SUM(AU14:AU21)</f>
        <v>0</v>
      </c>
      <c r="AV22" s="230">
        <f>SUM(AV14:AV21)</f>
        <v>192486.99999999997</v>
      </c>
      <c r="AW22" s="228" t="s">
        <v>14</v>
      </c>
      <c r="AX22" s="171">
        <f>SUM(AX14:AX21)</f>
        <v>2460.8039241473666</v>
      </c>
      <c r="AY22" s="171">
        <f>SUM(AY14:AY21)</f>
        <v>0</v>
      </c>
      <c r="AZ22" s="173">
        <f>SUM(AZ14:AZ21)</f>
        <v>2460.8039241473666</v>
      </c>
      <c r="BB22" s="170" t="s">
        <v>280</v>
      </c>
      <c r="BC22" s="171">
        <f>SUM(BC14:BC21)</f>
        <v>192486.99999999997</v>
      </c>
      <c r="BD22" s="171">
        <f>SUM(BD14:BD21)</f>
        <v>0</v>
      </c>
      <c r="BE22" s="230">
        <f>SUM(BE14:BE21)</f>
        <v>192486.99999999997</v>
      </c>
      <c r="BF22" s="228" t="s">
        <v>14</v>
      </c>
      <c r="BG22" s="171" t="e">
        <f>SUM(BG14:BG21)</f>
        <v>#REF!</v>
      </c>
      <c r="BH22" s="171" t="e">
        <f>SUM(BH14:BH21)</f>
        <v>#REF!</v>
      </c>
      <c r="BI22" s="173" t="e">
        <f>SUM(BI14:BI21)</f>
        <v>#REF!</v>
      </c>
      <c r="BK22" s="170" t="s">
        <v>280</v>
      </c>
      <c r="BL22" s="171">
        <f>SUM(BL14:BL21)</f>
        <v>192486.99999999997</v>
      </c>
      <c r="BM22" s="171">
        <f>SUM(BM14:BM21)</f>
        <v>0</v>
      </c>
      <c r="BN22" s="230">
        <f>SUM(BN14:BN21)</f>
        <v>192486.99999999997</v>
      </c>
      <c r="BO22" s="228" t="s">
        <v>14</v>
      </c>
      <c r="BP22" s="171">
        <f>SUM(BP14:BP21)</f>
        <v>4659.1220963856813</v>
      </c>
      <c r="BQ22" s="171">
        <f>SUM(BQ14:BQ21)</f>
        <v>0</v>
      </c>
      <c r="BR22" s="173">
        <f>SUM(BR14:BR21)</f>
        <v>4659.1220963856813</v>
      </c>
      <c r="BT22" s="170" t="s">
        <v>280</v>
      </c>
      <c r="BU22" s="171">
        <f>SUM(BU14:BU21)</f>
        <v>192486.99999999997</v>
      </c>
      <c r="BV22" s="171">
        <f>SUM(BV14:BV21)</f>
        <v>0</v>
      </c>
      <c r="BW22" s="230">
        <f>SUM(BW14:BW21)</f>
        <v>192486.99999999997</v>
      </c>
      <c r="BX22" s="228" t="s">
        <v>14</v>
      </c>
      <c r="BY22" s="171">
        <f>SUM(BY14:BY21)</f>
        <v>4888.7971293061019</v>
      </c>
      <c r="BZ22" s="171">
        <f>SUM(BZ14:BZ21)</f>
        <v>0</v>
      </c>
      <c r="CA22" s="173">
        <f>SUM(CA14:CA21)</f>
        <v>4888.7971293061019</v>
      </c>
      <c r="CC22" s="170" t="s">
        <v>280</v>
      </c>
      <c r="CD22" s="171">
        <f>SUM(CD14:CD21)</f>
        <v>192486.99999999997</v>
      </c>
      <c r="CE22" s="171">
        <f>SUM(CE14:CE21)</f>
        <v>0</v>
      </c>
      <c r="CF22" s="230">
        <f>SUM(CF14:CF21)</f>
        <v>192486.99999999997</v>
      </c>
      <c r="CG22" s="228" t="s">
        <v>14</v>
      </c>
      <c r="CH22" s="171">
        <f>SUM(CH14:CH21)</f>
        <v>16527.227879130693</v>
      </c>
      <c r="CI22" s="171">
        <f>SUM(CI14:CI21)</f>
        <v>0</v>
      </c>
      <c r="CJ22" s="173">
        <f>SUM(CJ14:CJ21)</f>
        <v>16527.227879130693</v>
      </c>
      <c r="CL22" s="170" t="s">
        <v>280</v>
      </c>
      <c r="CM22" s="171">
        <f>SUM(CM14:CM21)</f>
        <v>192486.99999999997</v>
      </c>
      <c r="CN22" s="171">
        <f>SUM(CN14:CN21)</f>
        <v>0</v>
      </c>
      <c r="CO22" s="230">
        <f>SUM(CO14:CO21)</f>
        <v>192486.99999999997</v>
      </c>
      <c r="CP22" s="228" t="s">
        <v>14</v>
      </c>
      <c r="CQ22" s="171">
        <f>SUM(CQ14:CQ21)</f>
        <v>50322.268437421197</v>
      </c>
      <c r="CR22" s="171">
        <f>SUM(CR14:CR21)</f>
        <v>0</v>
      </c>
      <c r="CS22" s="173">
        <f>SUM(CS14:CS21)</f>
        <v>50322.268437421197</v>
      </c>
      <c r="CU22" s="170" t="s">
        <v>280</v>
      </c>
      <c r="CV22" s="171">
        <f>SUM(CV14:CV21)</f>
        <v>192486.99999999997</v>
      </c>
      <c r="CW22" s="171">
        <f>SUM(CW14:CW21)</f>
        <v>0</v>
      </c>
      <c r="CX22" s="230">
        <f>SUM(CX14:CX21)</f>
        <v>192486.99999999997</v>
      </c>
      <c r="CY22" s="228" t="s">
        <v>14</v>
      </c>
      <c r="CZ22" s="171">
        <f>SUM(CZ14:CZ21)</f>
        <v>14061.736709413526</v>
      </c>
      <c r="DA22" s="171">
        <f>SUM(DA14:DA21)</f>
        <v>0</v>
      </c>
      <c r="DB22" s="173">
        <f>SUM(DB14:DB21)</f>
        <v>14061.736709413526</v>
      </c>
      <c r="DD22" s="170" t="s">
        <v>280</v>
      </c>
      <c r="DE22" s="171">
        <f>SUM(DE14:DE21)</f>
        <v>192486.99999999997</v>
      </c>
      <c r="DF22" s="171">
        <f>SUM(DF14:DF21)</f>
        <v>0</v>
      </c>
      <c r="DG22" s="230">
        <f>SUM(DG14:DG21)</f>
        <v>192486.99999999997</v>
      </c>
      <c r="DH22" s="228" t="s">
        <v>14</v>
      </c>
      <c r="DI22" s="171">
        <f>SUM(DI14:DI21)</f>
        <v>2343.6227849022544</v>
      </c>
      <c r="DJ22" s="171">
        <f>SUM(DJ14:DJ21)</f>
        <v>0</v>
      </c>
      <c r="DK22" s="173">
        <f>SUM(DK14:DK21)</f>
        <v>2343.6227849022544</v>
      </c>
      <c r="DM22" s="170" t="s">
        <v>280</v>
      </c>
      <c r="DN22" s="171">
        <f>SUM(DN14:DN21)</f>
        <v>192486.99999999997</v>
      </c>
      <c r="DO22" s="171">
        <f>SUM(DO14:DO21)</f>
        <v>-172347.09999999998</v>
      </c>
      <c r="DP22" s="230">
        <f>SUM(DP14:DP21)</f>
        <v>20139.900000000001</v>
      </c>
      <c r="DQ22" s="228" t="s">
        <v>14</v>
      </c>
      <c r="DR22" s="171">
        <f>SUM(DR14:DR21)</f>
        <v>1142.3312781542559</v>
      </c>
      <c r="DS22" s="171">
        <f>SUM(DS14:DS21)</f>
        <v>0</v>
      </c>
      <c r="DT22" s="173">
        <f>SUM(DT14:DT21)</f>
        <v>1142.3312781542559</v>
      </c>
      <c r="DV22" s="170" t="s">
        <v>280</v>
      </c>
      <c r="DW22" s="171">
        <f>SUM(DW14:DW21)</f>
        <v>192486.99999999997</v>
      </c>
      <c r="DX22" s="171">
        <f>SUM(DX14:DX21)</f>
        <v>-172347.09999999998</v>
      </c>
      <c r="DY22" s="230">
        <f>SUM(DY14:DY21)</f>
        <v>20139.900000000001</v>
      </c>
      <c r="DZ22" s="228" t="s">
        <v>14</v>
      </c>
      <c r="EA22" s="171">
        <f>SUM(EA14:EA21)</f>
        <v>3161.1335853343257</v>
      </c>
      <c r="EB22" s="171">
        <f>SUM(EB14:EB21)</f>
        <v>0</v>
      </c>
      <c r="EC22" s="173">
        <f>SUM(EC14:EC21)</f>
        <v>3161.1335853343257</v>
      </c>
      <c r="EE22" s="170" t="s">
        <v>280</v>
      </c>
      <c r="EF22" s="171">
        <f>SUM(EF14:EF21)</f>
        <v>192486.99999999997</v>
      </c>
      <c r="EG22" s="171">
        <f>SUM(EG14:EG21)</f>
        <v>0</v>
      </c>
      <c r="EH22" s="230">
        <f>SUM(EH14:EH21)</f>
        <v>192486.99999999997</v>
      </c>
      <c r="EI22" s="228" t="s">
        <v>14</v>
      </c>
      <c r="EJ22" s="171">
        <f>SUM(EJ14:EJ21)</f>
        <v>30467.096203729303</v>
      </c>
      <c r="EK22" s="171">
        <f>SUM(EK14:EK21)</f>
        <v>4570.064430559396</v>
      </c>
      <c r="EL22" s="173">
        <f>SUM(EL14:EL21)</f>
        <v>35037.160634288695</v>
      </c>
      <c r="EN22" s="170" t="s">
        <v>280</v>
      </c>
      <c r="EO22" s="171">
        <f>SUM(EO14:EO21)</f>
        <v>192486.99999999997</v>
      </c>
      <c r="EP22" s="171">
        <f>SUM(EP14:EP21)</f>
        <v>0</v>
      </c>
      <c r="EQ22" s="230">
        <f>SUM(EQ14:EQ21)</f>
        <v>192486.99999999997</v>
      </c>
      <c r="ER22" s="228" t="s">
        <v>14</v>
      </c>
      <c r="ES22" s="171">
        <f>SUM(ES14:ES21)</f>
        <v>9341.6804206203851</v>
      </c>
      <c r="ET22" s="171">
        <f>SUM(ET14:ET21)</f>
        <v>0</v>
      </c>
      <c r="EU22" s="173">
        <f>SUM(EU14:EU21)</f>
        <v>9341.6804206203851</v>
      </c>
      <c r="EW22" s="170" t="s">
        <v>280</v>
      </c>
      <c r="EX22" s="171">
        <f>SUM(EX14:EX21)</f>
        <v>192486.99999999997</v>
      </c>
      <c r="EY22" s="171">
        <f>SUM(EY14:EY21)</f>
        <v>0</v>
      </c>
      <c r="EZ22" s="230">
        <f>SUM(EZ14:EZ21)</f>
        <v>192486.99999999997</v>
      </c>
      <c r="FA22" s="228" t="s">
        <v>14</v>
      </c>
      <c r="FB22" s="171">
        <f>SUM(FB14:FB21)</f>
        <v>4509.1302381519372</v>
      </c>
      <c r="FC22" s="171">
        <f>SUM(FC14:FC21)</f>
        <v>0</v>
      </c>
      <c r="FD22" s="173">
        <f>SUM(FD14:FD21)</f>
        <v>4509.1302381519372</v>
      </c>
      <c r="FF22" s="170" t="s">
        <v>280</v>
      </c>
      <c r="FG22" s="171">
        <f>SUM(FG14:FG21)</f>
        <v>192486.99999999997</v>
      </c>
      <c r="FH22" s="171">
        <f>SUM(FH14:FH21)</f>
        <v>0</v>
      </c>
      <c r="FI22" s="230">
        <f>SUM(FI14:FI21)</f>
        <v>192486.99999999997</v>
      </c>
      <c r="FJ22" s="228" t="s">
        <v>14</v>
      </c>
      <c r="FK22" s="171">
        <f>SUM(FK14:FK21)</f>
        <v>17361.557590555898</v>
      </c>
      <c r="FL22" s="171">
        <f>SUM(FL14:FL21)</f>
        <v>0</v>
      </c>
      <c r="FM22" s="173">
        <f>SUM(FM14:FM21)</f>
        <v>17361.557590555898</v>
      </c>
    </row>
    <row r="23" spans="1:169">
      <c r="A23" s="52"/>
      <c r="B23" s="45"/>
      <c r="C23" s="45"/>
      <c r="D23" s="45"/>
      <c r="E23" s="45"/>
      <c r="F23" s="45"/>
      <c r="I23" s="117"/>
      <c r="J23" s="110"/>
      <c r="K23" s="110"/>
      <c r="L23" s="110"/>
      <c r="M23" s="110"/>
      <c r="N23" s="110"/>
      <c r="P23" s="110"/>
      <c r="R23" s="117"/>
      <c r="S23" s="110"/>
      <c r="T23" s="110"/>
      <c r="U23" s="110"/>
      <c r="V23" s="110"/>
      <c r="W23" s="110"/>
      <c r="Y23" s="110"/>
      <c r="AA23" s="117"/>
      <c r="AB23" s="110"/>
      <c r="AC23" s="110"/>
      <c r="AD23" s="110"/>
      <c r="AE23" s="110"/>
      <c r="AF23" s="110"/>
      <c r="AH23" s="110"/>
      <c r="AJ23" s="117"/>
      <c r="AK23" s="110"/>
      <c r="AL23" s="110"/>
      <c r="AM23" s="110"/>
      <c r="AN23" s="110"/>
      <c r="AO23" s="110"/>
      <c r="AQ23" s="110"/>
      <c r="AS23" s="117"/>
      <c r="AT23" s="110"/>
      <c r="AU23" s="110"/>
      <c r="AV23" s="110"/>
      <c r="AW23" s="110"/>
      <c r="AX23" s="110"/>
      <c r="AZ23" s="110"/>
      <c r="BB23" s="117"/>
      <c r="BC23" s="110"/>
      <c r="BD23" s="110"/>
      <c r="BE23" s="110"/>
      <c r="BF23" s="110"/>
      <c r="BG23" s="110"/>
      <c r="BI23" s="110"/>
      <c r="BK23" s="117"/>
      <c r="BL23" s="110"/>
      <c r="BM23" s="110"/>
      <c r="BN23" s="110"/>
      <c r="BO23" s="110"/>
      <c r="BP23" s="110"/>
      <c r="BR23" s="110"/>
      <c r="BT23" s="117"/>
      <c r="BU23" s="110"/>
      <c r="BV23" s="110"/>
      <c r="BW23" s="110"/>
      <c r="BX23" s="110"/>
      <c r="BY23" s="110"/>
      <c r="CA23" s="110"/>
      <c r="CC23" s="117"/>
      <c r="CD23" s="110"/>
      <c r="CE23" s="110"/>
      <c r="CF23" s="110"/>
      <c r="CG23" s="110"/>
      <c r="CH23" s="110"/>
      <c r="CJ23" s="110"/>
      <c r="CL23" s="117"/>
      <c r="CM23" s="110"/>
      <c r="CN23" s="110"/>
      <c r="CO23" s="110"/>
      <c r="CP23" s="110"/>
      <c r="CQ23" s="110"/>
      <c r="CS23" s="110"/>
      <c r="CU23" s="117"/>
      <c r="CV23" s="110"/>
      <c r="CW23" s="110"/>
      <c r="CX23" s="110"/>
      <c r="CY23" s="110"/>
      <c r="CZ23" s="110"/>
      <c r="DB23" s="110"/>
      <c r="DD23" s="117"/>
      <c r="DE23" s="110"/>
      <c r="DF23" s="110"/>
      <c r="DG23" s="110"/>
      <c r="DH23" s="110"/>
      <c r="DI23" s="110"/>
      <c r="DK23" s="110"/>
      <c r="DM23" s="117"/>
      <c r="DN23" s="110"/>
      <c r="DO23" s="110"/>
      <c r="DP23" s="110"/>
      <c r="DQ23" s="110"/>
      <c r="DR23" s="110"/>
      <c r="DT23" s="110"/>
      <c r="DV23" s="117"/>
      <c r="DW23" s="110"/>
      <c r="DX23" s="110"/>
      <c r="DY23" s="110"/>
      <c r="DZ23" s="110"/>
      <c r="EA23" s="110"/>
      <c r="EC23" s="110"/>
      <c r="EE23" s="117"/>
      <c r="EF23" s="110"/>
      <c r="EG23" s="110"/>
      <c r="EH23" s="110"/>
      <c r="EI23" s="110"/>
      <c r="EJ23" s="110"/>
      <c r="EL23" s="110"/>
      <c r="EN23" s="117"/>
      <c r="EO23" s="110"/>
      <c r="EP23" s="110"/>
      <c r="EQ23" s="110"/>
      <c r="ER23" s="110"/>
      <c r="ES23" s="110"/>
      <c r="EU23" s="110"/>
      <c r="EW23" s="117"/>
      <c r="EX23" s="110"/>
      <c r="EY23" s="110"/>
      <c r="EZ23" s="110"/>
      <c r="FA23" s="110"/>
      <c r="FB23" s="110"/>
      <c r="FD23" s="110"/>
      <c r="FF23" s="117"/>
      <c r="FG23" s="110"/>
      <c r="FH23" s="110"/>
      <c r="FI23" s="110"/>
      <c r="FJ23" s="110"/>
      <c r="FK23" s="110"/>
      <c r="FM23" s="110"/>
    </row>
    <row r="24" spans="1:169">
      <c r="B24" s="109" t="s">
        <v>129</v>
      </c>
      <c r="C24" s="109"/>
      <c r="D24" s="109"/>
      <c r="E24" s="109"/>
      <c r="F24" s="109"/>
      <c r="I24" s="111" t="s">
        <v>129</v>
      </c>
      <c r="J24" s="110"/>
      <c r="K24" s="110"/>
      <c r="L24" s="110"/>
      <c r="M24" s="110"/>
      <c r="N24" s="110"/>
      <c r="P24" s="110"/>
      <c r="R24" s="111" t="s">
        <v>129</v>
      </c>
      <c r="S24" s="110"/>
      <c r="T24" s="110"/>
      <c r="U24" s="110"/>
      <c r="V24" s="110"/>
      <c r="W24" s="110"/>
      <c r="Y24" s="110"/>
      <c r="AA24" s="111" t="s">
        <v>129</v>
      </c>
      <c r="AB24" s="110"/>
      <c r="AC24" s="110"/>
      <c r="AD24" s="110"/>
      <c r="AE24" s="110"/>
      <c r="AF24" s="110"/>
      <c r="AH24" s="110"/>
      <c r="AJ24" s="111" t="s">
        <v>129</v>
      </c>
      <c r="AK24" s="110"/>
      <c r="AL24" s="110"/>
      <c r="AM24" s="110"/>
      <c r="AN24" s="110"/>
      <c r="AO24" s="110"/>
      <c r="AQ24" s="110"/>
      <c r="AS24" s="111" t="s">
        <v>129</v>
      </c>
      <c r="AT24" s="110"/>
      <c r="AU24" s="110"/>
      <c r="AV24" s="110"/>
      <c r="AW24" s="110"/>
      <c r="AX24" s="110"/>
      <c r="AZ24" s="110"/>
      <c r="BB24" s="111" t="s">
        <v>129</v>
      </c>
      <c r="BC24" s="110"/>
      <c r="BD24" s="110"/>
      <c r="BE24" s="110"/>
      <c r="BF24" s="110"/>
      <c r="BG24" s="110"/>
      <c r="BI24" s="110"/>
      <c r="BK24" s="111" t="s">
        <v>129</v>
      </c>
      <c r="BL24" s="110"/>
      <c r="BM24" s="110"/>
      <c r="BN24" s="110"/>
      <c r="BO24" s="110"/>
      <c r="BP24" s="110"/>
      <c r="BR24" s="110"/>
      <c r="BT24" s="111" t="s">
        <v>129</v>
      </c>
      <c r="BU24" s="110"/>
      <c r="BV24" s="110"/>
      <c r="BW24" s="110"/>
      <c r="BX24" s="110"/>
      <c r="BY24" s="110"/>
      <c r="CA24" s="110"/>
      <c r="CC24" s="111" t="s">
        <v>129</v>
      </c>
      <c r="CD24" s="110"/>
      <c r="CE24" s="110"/>
      <c r="CF24" s="110"/>
      <c r="CG24" s="110"/>
      <c r="CH24" s="110"/>
      <c r="CJ24" s="110"/>
      <c r="CL24" s="111" t="s">
        <v>129</v>
      </c>
      <c r="CM24" s="110"/>
      <c r="CN24" s="110"/>
      <c r="CO24" s="110"/>
      <c r="CP24" s="110"/>
      <c r="CQ24" s="110"/>
      <c r="CS24" s="110"/>
      <c r="CU24" s="111" t="s">
        <v>129</v>
      </c>
      <c r="CV24" s="110"/>
      <c r="CW24" s="110"/>
      <c r="CX24" s="110"/>
      <c r="CY24" s="110"/>
      <c r="CZ24" s="110"/>
      <c r="DB24" s="110"/>
      <c r="DD24" s="111" t="s">
        <v>129</v>
      </c>
      <c r="DE24" s="110"/>
      <c r="DF24" s="110"/>
      <c r="DG24" s="110"/>
      <c r="DH24" s="110"/>
      <c r="DI24" s="110"/>
      <c r="DK24" s="110"/>
      <c r="DM24" s="111" t="s">
        <v>129</v>
      </c>
      <c r="DN24" s="110"/>
      <c r="DO24" s="110"/>
      <c r="DP24" s="110"/>
      <c r="DQ24" s="110"/>
      <c r="DR24" s="110"/>
      <c r="DT24" s="110"/>
      <c r="DV24" s="111" t="s">
        <v>129</v>
      </c>
      <c r="DW24" s="110"/>
      <c r="DX24" s="110"/>
      <c r="DY24" s="110"/>
      <c r="DZ24" s="110"/>
      <c r="EA24" s="110"/>
      <c r="EC24" s="110"/>
      <c r="EE24" s="111" t="s">
        <v>129</v>
      </c>
      <c r="EF24" s="110"/>
      <c r="EG24" s="110"/>
      <c r="EH24" s="110"/>
      <c r="EI24" s="110"/>
      <c r="EJ24" s="110"/>
      <c r="EL24" s="110"/>
      <c r="EN24" s="111" t="s">
        <v>129</v>
      </c>
      <c r="EO24" s="110"/>
      <c r="EP24" s="110"/>
      <c r="EQ24" s="110"/>
      <c r="ER24" s="110"/>
      <c r="ES24" s="110"/>
      <c r="EU24" s="110"/>
      <c r="EW24" s="111" t="s">
        <v>129</v>
      </c>
      <c r="EX24" s="110"/>
      <c r="EY24" s="110"/>
      <c r="EZ24" s="110"/>
      <c r="FA24" s="110"/>
      <c r="FB24" s="110"/>
      <c r="FD24" s="110"/>
      <c r="FF24" s="111" t="s">
        <v>129</v>
      </c>
      <c r="FG24" s="110"/>
      <c r="FH24" s="110"/>
      <c r="FI24" s="110"/>
      <c r="FJ24" s="110"/>
      <c r="FK24" s="110"/>
      <c r="FM24" s="110"/>
    </row>
    <row r="25" spans="1:169">
      <c r="A25" s="52">
        <f>Summ.!A33</f>
        <v>50160</v>
      </c>
      <c r="B25" s="45" t="str">
        <f>Summ.!B33</f>
        <v>Landscape Consumables</v>
      </c>
      <c r="C25" s="45"/>
      <c r="D25" s="45"/>
      <c r="E25" s="45"/>
      <c r="F25" s="106">
        <f>+Summ.!O33</f>
        <v>26254.301739999999</v>
      </c>
      <c r="G25" s="71">
        <f>Rent!$B$41</f>
        <v>51058</v>
      </c>
      <c r="H25" s="52">
        <f>Summ.!$A33</f>
        <v>50160</v>
      </c>
      <c r="I25" s="119" t="str">
        <f>Summ.!$B33</f>
        <v>Landscape Consumables</v>
      </c>
      <c r="J25" s="134">
        <f>$F25</f>
        <v>26254.301739999999</v>
      </c>
      <c r="K25" s="110">
        <v>0</v>
      </c>
      <c r="L25" s="110">
        <f>J25+K25</f>
        <v>26254.301739999999</v>
      </c>
      <c r="M25" s="113">
        <f t="shared" ref="M25:M69" si="124">J$8/$G25</f>
        <v>7.5854910102236675E-2</v>
      </c>
      <c r="N25" s="110">
        <f t="shared" ref="N25:N69" si="125">L25*M25</f>
        <v>1991.5176982846958</v>
      </c>
      <c r="O25" s="115">
        <f t="shared" ref="O25:O69" si="126">N25*$O$11</f>
        <v>0</v>
      </c>
      <c r="P25" s="110">
        <f t="shared" ref="P25:P69" si="127">N25+O25</f>
        <v>1991.5176982846958</v>
      </c>
      <c r="Q25" s="52">
        <f>Summ.!$A33</f>
        <v>50160</v>
      </c>
      <c r="R25" s="119" t="str">
        <f>Summ.!$B33</f>
        <v>Landscape Consumables</v>
      </c>
      <c r="S25" s="134">
        <f>$F25</f>
        <v>26254.301739999999</v>
      </c>
      <c r="T25" s="110">
        <f>+K25</f>
        <v>0</v>
      </c>
      <c r="U25" s="110">
        <f>S25+T25</f>
        <v>26254.301739999999</v>
      </c>
      <c r="V25" s="113">
        <f t="shared" ref="V25:V69" si="128">S$8/$G25</f>
        <v>2.1034901484586158E-2</v>
      </c>
      <c r="W25" s="110">
        <f t="shared" ref="W25:W69" si="129">U25*V25</f>
        <v>552.25665064749887</v>
      </c>
      <c r="X25" s="115">
        <f t="shared" ref="X25:X69" si="130">W25*$X$11</f>
        <v>0</v>
      </c>
      <c r="Y25" s="110">
        <f t="shared" ref="Y25:Y69" si="131">W25+X25</f>
        <v>552.25665064749887</v>
      </c>
      <c r="Z25" s="52">
        <f>Summ.!$A33</f>
        <v>50160</v>
      </c>
      <c r="AA25" s="119" t="str">
        <f>Summ.!$B33</f>
        <v>Landscape Consumables</v>
      </c>
      <c r="AB25" s="134">
        <f>$F25</f>
        <v>26254.301739999999</v>
      </c>
      <c r="AC25" s="110">
        <v>0</v>
      </c>
      <c r="AD25" s="110">
        <f>AB25+AC25</f>
        <v>26254.301739999999</v>
      </c>
      <c r="AE25" s="113">
        <f t="shared" ref="AE25:AE69" si="132">AB$8/$G25</f>
        <v>3.9171138705002152E-3</v>
      </c>
      <c r="AF25" s="110">
        <f t="shared" ref="AF25:AF69" si="133">AD25*AE25</f>
        <v>102.84108950605193</v>
      </c>
      <c r="AG25" s="115">
        <f t="shared" ref="AG25:AG69" si="134">AF25*$AG$11</f>
        <v>0</v>
      </c>
      <c r="AH25" s="110">
        <f t="shared" ref="AH25:AH69" si="135">AF25+AG25</f>
        <v>102.84108950605193</v>
      </c>
      <c r="AI25" s="52">
        <f>Summ.!$A33</f>
        <v>50160</v>
      </c>
      <c r="AJ25" s="119" t="str">
        <f>Summ.!$B33</f>
        <v>Landscape Consumables</v>
      </c>
      <c r="AK25" s="134">
        <f>$F25</f>
        <v>26254.301739999999</v>
      </c>
      <c r="AL25" s="110">
        <f>+AC25</f>
        <v>0</v>
      </c>
      <c r="AM25" s="110">
        <f>AK25+AL25</f>
        <v>26254.301739999999</v>
      </c>
      <c r="AN25" s="113">
        <f t="shared" ref="AN25:AN69" si="136">AK$8/$G25</f>
        <v>1.0145324924595559E-2</v>
      </c>
      <c r="AO25" s="110">
        <f t="shared" ref="AO25:AO69" si="137">AM25*AN25</f>
        <v>266.35842182067455</v>
      </c>
      <c r="AP25" s="115">
        <f t="shared" ref="AP25:AP69" si="138">AO25*$AP$11</f>
        <v>0</v>
      </c>
      <c r="AQ25" s="110">
        <f t="shared" ref="AQ25:AQ69" si="139">AO25+AP25</f>
        <v>266.35842182067455</v>
      </c>
      <c r="AR25" s="52">
        <f>Summ.!$A33</f>
        <v>50160</v>
      </c>
      <c r="AS25" s="119" t="str">
        <f>Summ.!$B33</f>
        <v>Landscape Consumables</v>
      </c>
      <c r="AT25" s="134">
        <f>$F25</f>
        <v>26254.301739999999</v>
      </c>
      <c r="AU25" s="110">
        <f>+AL25</f>
        <v>0</v>
      </c>
      <c r="AV25" s="110">
        <f>AT25+AU25</f>
        <v>26254.301739999999</v>
      </c>
      <c r="AW25" s="113">
        <f t="shared" ref="AW25:AW69" si="140">AT$8/$G25</f>
        <v>1.0282423910063065E-2</v>
      </c>
      <c r="AX25" s="110">
        <f t="shared" ref="AX25:AX69" si="141">AV25*AW25</f>
        <v>269.95785995338633</v>
      </c>
      <c r="AY25" s="115">
        <f t="shared" ref="AY25:AY69" si="142">AX25*$AY$11</f>
        <v>0</v>
      </c>
      <c r="AZ25" s="110">
        <f t="shared" ref="AZ25:AZ69" si="143">AX25+AY25</f>
        <v>269.95785995338633</v>
      </c>
      <c r="BA25" s="52">
        <f>Summ.!$A33</f>
        <v>50160</v>
      </c>
      <c r="BB25" s="119" t="str">
        <f>Summ.!$B33</f>
        <v>Landscape Consumables</v>
      </c>
      <c r="BC25" s="134">
        <f>$F25</f>
        <v>26254.301739999999</v>
      </c>
      <c r="BD25" s="110">
        <f>+AU25</f>
        <v>0</v>
      </c>
      <c r="BE25" s="110">
        <f>BC25+BD25</f>
        <v>26254.301739999999</v>
      </c>
      <c r="BF25" s="113" t="e">
        <f t="shared" ref="BF25:BF69" si="144">BC$8/$G25</f>
        <v>#REF!</v>
      </c>
      <c r="BG25" s="110" t="e">
        <f t="shared" ref="BG25:BG69" si="145">BE25*BF25</f>
        <v>#REF!</v>
      </c>
      <c r="BH25" s="115" t="e">
        <f t="shared" ref="BH25:BH69" si="146">BG25*$BH$11</f>
        <v>#REF!</v>
      </c>
      <c r="BI25" s="110" t="e">
        <f t="shared" ref="BI25:BI69" si="147">BG25+BH25</f>
        <v>#REF!</v>
      </c>
      <c r="BJ25" s="52">
        <f>Summ.!$A33</f>
        <v>50160</v>
      </c>
      <c r="BK25" s="119" t="str">
        <f>Summ.!$B33</f>
        <v>Landscape Consumables</v>
      </c>
      <c r="BL25" s="134">
        <f>$F25</f>
        <v>26254.301739999999</v>
      </c>
      <c r="BM25" s="110">
        <f t="shared" ref="BM25:BM69" si="148">+BD25</f>
        <v>0</v>
      </c>
      <c r="BN25" s="110">
        <f>BL25+BM25</f>
        <v>26254.301739999999</v>
      </c>
      <c r="BO25" s="113">
        <f t="shared" ref="BO25:BO69" si="149">BL$8/$G25</f>
        <v>1.9468055936386071E-2</v>
      </c>
      <c r="BP25" s="110">
        <f t="shared" ref="BP25:BP69" si="150">BN25*BO25</f>
        <v>511.12021484507812</v>
      </c>
      <c r="BQ25" s="115">
        <f t="shared" ref="BQ25:BQ69" si="151">BP25*$BQ$11</f>
        <v>0</v>
      </c>
      <c r="BR25" s="110">
        <f t="shared" ref="BR25:BR69" si="152">BP25+BQ25</f>
        <v>511.12021484507812</v>
      </c>
      <c r="BS25" s="52">
        <f>Summ.!$A33</f>
        <v>50160</v>
      </c>
      <c r="BT25" s="119" t="str">
        <f>Summ.!$B33</f>
        <v>Landscape Consumables</v>
      </c>
      <c r="BU25" s="134">
        <f>$F25</f>
        <v>26254.301739999999</v>
      </c>
      <c r="BV25" s="110">
        <f>+BM25</f>
        <v>0</v>
      </c>
      <c r="BW25" s="110">
        <f>BU25+BV25</f>
        <v>26254.301739999999</v>
      </c>
      <c r="BX25" s="113">
        <f t="shared" ref="BX25:BX69" si="153">BU$8/$G25</f>
        <v>2.0427748834658623E-2</v>
      </c>
      <c r="BY25" s="110">
        <f t="shared" ref="BY25:BY69" si="154">BW25*BX25</f>
        <v>536.31628177406083</v>
      </c>
      <c r="BZ25" s="115">
        <f t="shared" ref="BZ25:BZ69" si="155">BY25*$BZ$11</f>
        <v>0</v>
      </c>
      <c r="CA25" s="110">
        <f t="shared" ref="CA25:CA69" si="156">BY25+BZ25</f>
        <v>536.31628177406083</v>
      </c>
      <c r="CB25" s="52">
        <f>Summ.!$A33</f>
        <v>50160</v>
      </c>
      <c r="CC25" s="119" t="str">
        <f>Summ.!$B33</f>
        <v>Landscape Consumables</v>
      </c>
      <c r="CD25" s="134">
        <f>$F25</f>
        <v>26254.301739999999</v>
      </c>
      <c r="CE25" s="110">
        <v>0</v>
      </c>
      <c r="CF25" s="110">
        <f>CD25+CE25</f>
        <v>26254.301739999999</v>
      </c>
      <c r="CG25" s="113">
        <f t="shared" ref="CG25:CG69" si="157">CD$8/$G25</f>
        <v>6.9058717536918793E-2</v>
      </c>
      <c r="CH25" s="110">
        <f t="shared" ref="CH25:CH69" si="158">CF25*CG25</f>
        <v>1813.0884079916955</v>
      </c>
      <c r="CI25" s="115">
        <f t="shared" ref="CI25:CI69" si="159">CH25*$CI$11</f>
        <v>0</v>
      </c>
      <c r="CJ25" s="110">
        <f t="shared" ref="CJ25:CJ69" si="160">CH25+CI25</f>
        <v>1813.0884079916955</v>
      </c>
      <c r="CK25" s="52">
        <f>Summ.!$A33</f>
        <v>50160</v>
      </c>
      <c r="CL25" s="119" t="str">
        <f>Summ.!$B33</f>
        <v>Landscape Consumables</v>
      </c>
      <c r="CM25" s="134">
        <f>$F25</f>
        <v>26254.301739999999</v>
      </c>
      <c r="CN25" s="110">
        <f>+CE25</f>
        <v>0</v>
      </c>
      <c r="CO25" s="110">
        <f>CM25+CN25</f>
        <v>26254.301739999999</v>
      </c>
      <c r="CP25" s="113">
        <f t="shared" ref="CP25:CP69" si="161">CM$8/$G25</f>
        <v>0.21027067256845156</v>
      </c>
      <c r="CQ25" s="110">
        <f t="shared" ref="CQ25:CQ69" si="162">CO25*CP25</f>
        <v>5520.5096846848674</v>
      </c>
      <c r="CR25" s="115">
        <f t="shared" ref="CR25:CR69" si="163">CQ25*$CR$11</f>
        <v>0</v>
      </c>
      <c r="CS25" s="110">
        <f t="shared" ref="CS25:CS69" si="164">CQ25+CR25</f>
        <v>5520.5096846848674</v>
      </c>
      <c r="CT25" s="52">
        <f>Summ.!$A33</f>
        <v>50160</v>
      </c>
      <c r="CU25" s="119" t="str">
        <f>Summ.!$B33</f>
        <v>Landscape Consumables</v>
      </c>
      <c r="CV25" s="134">
        <f>$F25</f>
        <v>26254.301739999999</v>
      </c>
      <c r="CW25" s="110">
        <v>0</v>
      </c>
      <c r="CX25" s="110">
        <f>CV25+CW25</f>
        <v>26254.301739999999</v>
      </c>
      <c r="CY25" s="113">
        <f t="shared" ref="CY25:CY69" si="165">CV$8/$G25</f>
        <v>5.8756708057503229E-2</v>
      </c>
      <c r="CZ25" s="110">
        <f t="shared" ref="CZ25:CZ69" si="166">CX25*CY25</f>
        <v>1542.6163425907789</v>
      </c>
      <c r="DA25" s="115">
        <f t="shared" ref="DA25:DA69" si="167">CZ25*$DA$11</f>
        <v>0</v>
      </c>
      <c r="DB25" s="110">
        <f t="shared" ref="DB25:DB69" si="168">CZ25+DA25</f>
        <v>1542.6163425907789</v>
      </c>
      <c r="DC25" s="52">
        <f>Summ.!$A33</f>
        <v>50160</v>
      </c>
      <c r="DD25" s="119" t="str">
        <f>Summ.!$B33</f>
        <v>Landscape Consumables</v>
      </c>
      <c r="DE25" s="134">
        <f>$F25</f>
        <v>26254.301739999999</v>
      </c>
      <c r="DF25" s="110">
        <v>0</v>
      </c>
      <c r="DG25" s="110">
        <f>DE25+DF25</f>
        <v>26254.301739999999</v>
      </c>
      <c r="DH25" s="113">
        <f t="shared" ref="DH25:DH69" si="169">DE$8/$G25</f>
        <v>9.7927846762505388E-3</v>
      </c>
      <c r="DI25" s="110">
        <f t="shared" ref="DI25:DI69" si="170">DG25*DH25</f>
        <v>257.10272376512984</v>
      </c>
      <c r="DJ25" s="115">
        <f t="shared" ref="DJ25:DJ69" si="171">DI25*$DJ$11</f>
        <v>0</v>
      </c>
      <c r="DK25" s="110">
        <f t="shared" ref="DK25:DK69" si="172">DI25+DJ25</f>
        <v>257.10272376512984</v>
      </c>
      <c r="DL25" s="52">
        <f>Summ.!$A33</f>
        <v>50160</v>
      </c>
      <c r="DM25" s="119" t="str">
        <f>Summ.!$B33</f>
        <v>Landscape Consumables</v>
      </c>
      <c r="DN25" s="134">
        <f>$F25</f>
        <v>26254.301739999999</v>
      </c>
      <c r="DO25" s="110">
        <v>0</v>
      </c>
      <c r="DP25" s="110">
        <f>DN25+DO25</f>
        <v>26254.301739999999</v>
      </c>
      <c r="DQ25" s="113">
        <f t="shared" ref="DQ25:DQ69" si="173">DN$8/$G25</f>
        <v>5.6719808844843123E-2</v>
      </c>
      <c r="DR25" s="110">
        <f t="shared" ref="DR25:DR69" si="174">DP25*DQ25</f>
        <v>1489.138976047632</v>
      </c>
      <c r="DS25" s="115">
        <f t="shared" ref="DS25:DS69" si="175">DR25*$DS$11</f>
        <v>0</v>
      </c>
      <c r="DT25" s="110">
        <f t="shared" ref="DT25:DT69" si="176">DR25+DS25</f>
        <v>1489.138976047632</v>
      </c>
      <c r="DU25" s="52">
        <f>Summ.!$A33</f>
        <v>50160</v>
      </c>
      <c r="DV25" s="119" t="str">
        <f>Summ.!$B33</f>
        <v>Landscape Consumables</v>
      </c>
      <c r="DW25" s="134">
        <f>$F25</f>
        <v>26254.301739999999</v>
      </c>
      <c r="DX25" s="110">
        <f>+DO25</f>
        <v>0</v>
      </c>
      <c r="DY25" s="110">
        <f>DW25+DX25</f>
        <v>26254.301739999999</v>
      </c>
      <c r="DZ25" s="113">
        <f t="shared" ref="DZ25:DZ69" si="177">DW$8/$G25</f>
        <v>0.15695875279094362</v>
      </c>
      <c r="EA25" s="110">
        <f t="shared" ref="EA25:EA69" si="178">DY25*DZ25</f>
        <v>4120.8424565075011</v>
      </c>
      <c r="EB25" s="115">
        <f t="shared" ref="EB25:EB69" si="179">EA25*$EB$11</f>
        <v>0</v>
      </c>
      <c r="EC25" s="110">
        <f t="shared" ref="EC25:EC69" si="180">EA25+EB25</f>
        <v>4120.8424565075011</v>
      </c>
      <c r="ED25" s="52">
        <f>Summ.!$A33</f>
        <v>50160</v>
      </c>
      <c r="EE25" s="119" t="str">
        <f>Summ.!$B33</f>
        <v>Landscape Consumables</v>
      </c>
      <c r="EF25" s="134">
        <f>$F25</f>
        <v>26254.301739999999</v>
      </c>
      <c r="EG25" s="110">
        <f>+DX25</f>
        <v>0</v>
      </c>
      <c r="EH25" s="110">
        <f>EF25+EG25</f>
        <v>26254.301739999999</v>
      </c>
      <c r="EI25" s="113">
        <f t="shared" ref="EI25:EI68" si="181">EF$8/$G25</f>
        <v>0.12730620079125701</v>
      </c>
      <c r="EJ25" s="110">
        <f t="shared" ref="EJ25:EJ69" si="182">EH25*EI25</f>
        <v>3342.3354089466884</v>
      </c>
      <c r="EK25" s="115">
        <f t="shared" ref="EK25:EK69" si="183">EJ25*$EK$11</f>
        <v>501.35031134200324</v>
      </c>
      <c r="EL25" s="110">
        <f t="shared" ref="EL25:EL69" si="184">EJ25+EK25</f>
        <v>3843.6857202886918</v>
      </c>
      <c r="EM25" s="52">
        <f>Summ.!$A33</f>
        <v>50160</v>
      </c>
      <c r="EN25" s="119" t="str">
        <f>Summ.!$B33</f>
        <v>Landscape Consumables</v>
      </c>
      <c r="EO25" s="134">
        <f>$F25</f>
        <v>26254.301739999999</v>
      </c>
      <c r="EP25" s="110">
        <v>0</v>
      </c>
      <c r="EQ25" s="110">
        <f>EO25+EP25</f>
        <v>26254.301739999999</v>
      </c>
      <c r="ER25" s="113">
        <f t="shared" ref="ER25:ER69" si="185">EO$8/$G25</f>
        <v>3.9034039719534647E-2</v>
      </c>
      <c r="ES25" s="110">
        <f t="shared" ref="ES25:ES69" si="186">EQ25*ER25</f>
        <v>1024.8114569278075</v>
      </c>
      <c r="ET25" s="115">
        <f t="shared" ref="ET25:ET69" si="187">ES25*$ET$11</f>
        <v>0</v>
      </c>
      <c r="EU25" s="110">
        <f t="shared" ref="EU25:EU69" si="188">ES25+ET25</f>
        <v>1024.8114569278075</v>
      </c>
      <c r="EV25" s="52">
        <f>Summ.!$A33</f>
        <v>50160</v>
      </c>
      <c r="EW25" s="119" t="str">
        <f>Summ.!$B33</f>
        <v>Landscape Consumables</v>
      </c>
      <c r="EX25" s="134">
        <f>$F25</f>
        <v>26254.301739999999</v>
      </c>
      <c r="EY25" s="110">
        <v>0</v>
      </c>
      <c r="EZ25" s="110">
        <f>EX25+EY25</f>
        <v>26254.301739999999</v>
      </c>
      <c r="FA25" s="113">
        <f t="shared" ref="FA25:FA69" si="189">EX$8/$G25</f>
        <v>1.8841317717106038E-2</v>
      </c>
      <c r="FB25" s="110">
        <f t="shared" ref="FB25:FB69" si="190">EZ25*FA25</f>
        <v>494.66564052410985</v>
      </c>
      <c r="FC25" s="115">
        <f t="shared" ref="FC25:FC69" si="191">FB25*$FC$11</f>
        <v>0</v>
      </c>
      <c r="FD25" s="110">
        <f t="shared" ref="FD25:FD69" si="192">FB25+FC25</f>
        <v>494.66564052410985</v>
      </c>
      <c r="FE25" s="52">
        <f>Summ.!$A33</f>
        <v>50160</v>
      </c>
      <c r="FF25" s="119" t="str">
        <f>Summ.!$B33</f>
        <v>Landscape Consumables</v>
      </c>
      <c r="FG25" s="134">
        <f>$F25</f>
        <v>26254.301739999999</v>
      </c>
      <c r="FH25" s="110">
        <f>+EY25</f>
        <v>0</v>
      </c>
      <c r="FI25" s="110">
        <f>FG25+FH25</f>
        <v>26254.301739999999</v>
      </c>
      <c r="FJ25" s="113">
        <f t="shared" ref="FJ25:FJ69" si="193">FG$8/$G25</f>
        <v>7.254494888166399E-2</v>
      </c>
      <c r="FK25" s="110">
        <f t="shared" ref="FK25:FK69" si="194">FI25*FJ25</f>
        <v>1904.6169776520819</v>
      </c>
      <c r="FL25" s="115">
        <f t="shared" ref="FL25:FL69" si="195">FK25*$FL$11</f>
        <v>0</v>
      </c>
      <c r="FM25" s="110">
        <f t="shared" ref="FM25:FM69" si="196">FK25+FL25</f>
        <v>1904.6169776520819</v>
      </c>
    </row>
    <row r="26" spans="1:169">
      <c r="A26" s="52">
        <f>Summ.!A34</f>
        <v>50190</v>
      </c>
      <c r="B26" s="45" t="str">
        <f>Summ.!B34</f>
        <v>Landscape Sprinkler Repairs</v>
      </c>
      <c r="C26" s="45"/>
      <c r="D26" s="45"/>
      <c r="E26" s="45"/>
      <c r="F26" s="106">
        <f>+Summ.!O34</f>
        <v>1000</v>
      </c>
      <c r="G26" s="71">
        <f>Rent!$B$41</f>
        <v>51058</v>
      </c>
      <c r="H26" s="52">
        <f>Summ.!$A34</f>
        <v>50190</v>
      </c>
      <c r="I26" s="119" t="str">
        <f>Summ.!$B34</f>
        <v>Landscape Sprinkler Repairs</v>
      </c>
      <c r="J26" s="134">
        <f t="shared" ref="J26:J69" si="197">$F26</f>
        <v>1000</v>
      </c>
      <c r="K26" s="110">
        <v>0</v>
      </c>
      <c r="L26" s="110">
        <f t="shared" ref="L26:L69" si="198">J26+K26</f>
        <v>1000</v>
      </c>
      <c r="M26" s="113">
        <f t="shared" si="124"/>
        <v>7.5854910102236675E-2</v>
      </c>
      <c r="N26" s="110">
        <f t="shared" si="125"/>
        <v>75.854910102236673</v>
      </c>
      <c r="O26" s="115">
        <f t="shared" si="126"/>
        <v>0</v>
      </c>
      <c r="P26" s="110">
        <f t="shared" si="127"/>
        <v>75.854910102236673</v>
      </c>
      <c r="Q26" s="52">
        <f>Summ.!$A34</f>
        <v>50190</v>
      </c>
      <c r="R26" s="119" t="str">
        <f>Summ.!$B34</f>
        <v>Landscape Sprinkler Repairs</v>
      </c>
      <c r="S26" s="134">
        <f t="shared" ref="S26:S69" si="199">$F26</f>
        <v>1000</v>
      </c>
      <c r="T26" s="110">
        <f t="shared" ref="T26:T42" si="200">+K26</f>
        <v>0</v>
      </c>
      <c r="U26" s="110">
        <f t="shared" ref="U26:U52" si="201">S26+T26</f>
        <v>1000</v>
      </c>
      <c r="V26" s="113">
        <f t="shared" si="128"/>
        <v>2.1034901484586158E-2</v>
      </c>
      <c r="W26" s="110">
        <f t="shared" si="129"/>
        <v>21.034901484586157</v>
      </c>
      <c r="X26" s="115">
        <f t="shared" si="130"/>
        <v>0</v>
      </c>
      <c r="Y26" s="110">
        <f t="shared" si="131"/>
        <v>21.034901484586157</v>
      </c>
      <c r="Z26" s="52">
        <f>Summ.!$A34</f>
        <v>50190</v>
      </c>
      <c r="AA26" s="119" t="str">
        <f>Summ.!$B34</f>
        <v>Landscape Sprinkler Repairs</v>
      </c>
      <c r="AB26" s="134">
        <f t="shared" ref="AB26:AB69" si="202">$F26</f>
        <v>1000</v>
      </c>
      <c r="AC26" s="110">
        <v>0</v>
      </c>
      <c r="AD26" s="110">
        <f t="shared" ref="AD26:AD52" si="203">AB26+AC26</f>
        <v>1000</v>
      </c>
      <c r="AE26" s="113">
        <f t="shared" si="132"/>
        <v>3.9171138705002152E-3</v>
      </c>
      <c r="AF26" s="110">
        <f t="shared" si="133"/>
        <v>3.9171138705002151</v>
      </c>
      <c r="AG26" s="115">
        <f t="shared" si="134"/>
        <v>0</v>
      </c>
      <c r="AH26" s="110">
        <f t="shared" si="135"/>
        <v>3.9171138705002151</v>
      </c>
      <c r="AI26" s="52">
        <f>Summ.!$A34</f>
        <v>50190</v>
      </c>
      <c r="AJ26" s="119" t="str">
        <f>Summ.!$B34</f>
        <v>Landscape Sprinkler Repairs</v>
      </c>
      <c r="AK26" s="134">
        <f t="shared" ref="AK26:AK69" si="204">$F26</f>
        <v>1000</v>
      </c>
      <c r="AL26" s="110">
        <f t="shared" ref="AL26:AL52" si="205">+AC26</f>
        <v>0</v>
      </c>
      <c r="AM26" s="110">
        <f t="shared" ref="AM26:AM52" si="206">AK26+AL26</f>
        <v>1000</v>
      </c>
      <c r="AN26" s="113">
        <f t="shared" si="136"/>
        <v>1.0145324924595559E-2</v>
      </c>
      <c r="AO26" s="110">
        <f t="shared" si="137"/>
        <v>10.14532492459556</v>
      </c>
      <c r="AP26" s="115">
        <f t="shared" si="138"/>
        <v>0</v>
      </c>
      <c r="AQ26" s="110">
        <f t="shared" si="139"/>
        <v>10.14532492459556</v>
      </c>
      <c r="AR26" s="52">
        <f>Summ.!$A34</f>
        <v>50190</v>
      </c>
      <c r="AS26" s="119" t="str">
        <f>Summ.!$B34</f>
        <v>Landscape Sprinkler Repairs</v>
      </c>
      <c r="AT26" s="134">
        <f t="shared" ref="AT26:AT69" si="207">$F26</f>
        <v>1000</v>
      </c>
      <c r="AU26" s="110">
        <f t="shared" ref="AU26:AU52" si="208">+AL26</f>
        <v>0</v>
      </c>
      <c r="AV26" s="110">
        <f t="shared" ref="AV26:AV52" si="209">AT26+AU26</f>
        <v>1000</v>
      </c>
      <c r="AW26" s="113">
        <f t="shared" si="140"/>
        <v>1.0282423910063065E-2</v>
      </c>
      <c r="AX26" s="110">
        <f t="shared" si="141"/>
        <v>10.282423910063066</v>
      </c>
      <c r="AY26" s="115">
        <f t="shared" si="142"/>
        <v>0</v>
      </c>
      <c r="AZ26" s="110">
        <f t="shared" si="143"/>
        <v>10.282423910063066</v>
      </c>
      <c r="BA26" s="52">
        <f>Summ.!$A34</f>
        <v>50190</v>
      </c>
      <c r="BB26" s="119" t="str">
        <f>Summ.!$B34</f>
        <v>Landscape Sprinkler Repairs</v>
      </c>
      <c r="BC26" s="134">
        <f t="shared" ref="BC26:BC69" si="210">$F26</f>
        <v>1000</v>
      </c>
      <c r="BD26" s="110">
        <f t="shared" ref="BD26:BD52" si="211">+AU26</f>
        <v>0</v>
      </c>
      <c r="BE26" s="110">
        <f t="shared" ref="BE26:BE52" si="212">BC26+BD26</f>
        <v>1000</v>
      </c>
      <c r="BF26" s="113" t="e">
        <f t="shared" si="144"/>
        <v>#REF!</v>
      </c>
      <c r="BG26" s="110" t="e">
        <f t="shared" si="145"/>
        <v>#REF!</v>
      </c>
      <c r="BH26" s="115" t="e">
        <f t="shared" si="146"/>
        <v>#REF!</v>
      </c>
      <c r="BI26" s="110" t="e">
        <f t="shared" si="147"/>
        <v>#REF!</v>
      </c>
      <c r="BJ26" s="52">
        <f>Summ.!$A34</f>
        <v>50190</v>
      </c>
      <c r="BK26" s="119" t="str">
        <f>Summ.!$B34</f>
        <v>Landscape Sprinkler Repairs</v>
      </c>
      <c r="BL26" s="134">
        <f t="shared" ref="BL26:BL69" si="213">$F26</f>
        <v>1000</v>
      </c>
      <c r="BM26" s="110">
        <f t="shared" si="148"/>
        <v>0</v>
      </c>
      <c r="BN26" s="110">
        <f t="shared" ref="BN26:BN52" si="214">BL26+BM26</f>
        <v>1000</v>
      </c>
      <c r="BO26" s="113">
        <f t="shared" si="149"/>
        <v>1.9468055936386071E-2</v>
      </c>
      <c r="BP26" s="110">
        <f t="shared" si="150"/>
        <v>19.468055936386072</v>
      </c>
      <c r="BQ26" s="115">
        <f t="shared" si="151"/>
        <v>0</v>
      </c>
      <c r="BR26" s="110">
        <f t="shared" si="152"/>
        <v>19.468055936386072</v>
      </c>
      <c r="BS26" s="52">
        <f>Summ.!$A34</f>
        <v>50190</v>
      </c>
      <c r="BT26" s="119" t="str">
        <f>Summ.!$B34</f>
        <v>Landscape Sprinkler Repairs</v>
      </c>
      <c r="BU26" s="134">
        <f t="shared" ref="BU26:BU69" si="215">$F26</f>
        <v>1000</v>
      </c>
      <c r="BV26" s="110">
        <f t="shared" ref="BV26:BV42" si="216">+BM26</f>
        <v>0</v>
      </c>
      <c r="BW26" s="110">
        <f t="shared" ref="BW26:BW52" si="217">BU26+BV26</f>
        <v>1000</v>
      </c>
      <c r="BX26" s="113">
        <f t="shared" si="153"/>
        <v>2.0427748834658623E-2</v>
      </c>
      <c r="BY26" s="110">
        <f t="shared" si="154"/>
        <v>20.427748834658622</v>
      </c>
      <c r="BZ26" s="115">
        <f t="shared" si="155"/>
        <v>0</v>
      </c>
      <c r="CA26" s="110">
        <f t="shared" si="156"/>
        <v>20.427748834658622</v>
      </c>
      <c r="CB26" s="52">
        <f>Summ.!$A34</f>
        <v>50190</v>
      </c>
      <c r="CC26" s="119" t="str">
        <f>Summ.!$B34</f>
        <v>Landscape Sprinkler Repairs</v>
      </c>
      <c r="CD26" s="134">
        <f t="shared" ref="CD26:CD69" si="218">$F26</f>
        <v>1000</v>
      </c>
      <c r="CE26" s="110">
        <v>0</v>
      </c>
      <c r="CF26" s="110">
        <f t="shared" ref="CF26:CF52" si="219">CD26+CE26</f>
        <v>1000</v>
      </c>
      <c r="CG26" s="113">
        <f t="shared" si="157"/>
        <v>6.9058717536918793E-2</v>
      </c>
      <c r="CH26" s="110">
        <f t="shared" si="158"/>
        <v>69.058717536918792</v>
      </c>
      <c r="CI26" s="115">
        <f t="shared" si="159"/>
        <v>0</v>
      </c>
      <c r="CJ26" s="110">
        <f t="shared" si="160"/>
        <v>69.058717536918792</v>
      </c>
      <c r="CK26" s="52">
        <f>Summ.!$A34</f>
        <v>50190</v>
      </c>
      <c r="CL26" s="119" t="str">
        <f>Summ.!$B34</f>
        <v>Landscape Sprinkler Repairs</v>
      </c>
      <c r="CM26" s="134">
        <f t="shared" ref="CM26:CM69" si="220">$F26</f>
        <v>1000</v>
      </c>
      <c r="CN26" s="110">
        <f t="shared" ref="CN26:CN52" si="221">+CE26</f>
        <v>0</v>
      </c>
      <c r="CO26" s="110">
        <f t="shared" ref="CO26:CO52" si="222">CM26+CN26</f>
        <v>1000</v>
      </c>
      <c r="CP26" s="113">
        <f t="shared" si="161"/>
        <v>0.21027067256845156</v>
      </c>
      <c r="CQ26" s="110">
        <f t="shared" si="162"/>
        <v>210.27067256845154</v>
      </c>
      <c r="CR26" s="115">
        <f t="shared" si="163"/>
        <v>0</v>
      </c>
      <c r="CS26" s="110">
        <f t="shared" si="164"/>
        <v>210.27067256845154</v>
      </c>
      <c r="CT26" s="52">
        <f>Summ.!$A34</f>
        <v>50190</v>
      </c>
      <c r="CU26" s="119" t="str">
        <f>Summ.!$B34</f>
        <v>Landscape Sprinkler Repairs</v>
      </c>
      <c r="CV26" s="134">
        <f t="shared" ref="CV26:CV69" si="223">$F26</f>
        <v>1000</v>
      </c>
      <c r="CW26" s="110">
        <v>0</v>
      </c>
      <c r="CX26" s="110">
        <f t="shared" ref="CX26:CX52" si="224">CV26+CW26</f>
        <v>1000</v>
      </c>
      <c r="CY26" s="113">
        <f t="shared" si="165"/>
        <v>5.8756708057503229E-2</v>
      </c>
      <c r="CZ26" s="110">
        <f t="shared" si="166"/>
        <v>58.756708057503232</v>
      </c>
      <c r="DA26" s="115">
        <f t="shared" si="167"/>
        <v>0</v>
      </c>
      <c r="DB26" s="110">
        <f t="shared" si="168"/>
        <v>58.756708057503232</v>
      </c>
      <c r="DC26" s="52">
        <f>Summ.!$A34</f>
        <v>50190</v>
      </c>
      <c r="DD26" s="119" t="str">
        <f>Summ.!$B34</f>
        <v>Landscape Sprinkler Repairs</v>
      </c>
      <c r="DE26" s="134">
        <f t="shared" ref="DE26:DE69" si="225">$F26</f>
        <v>1000</v>
      </c>
      <c r="DF26" s="110">
        <v>0</v>
      </c>
      <c r="DG26" s="110">
        <f t="shared" ref="DG26:DG52" si="226">DE26+DF26</f>
        <v>1000</v>
      </c>
      <c r="DH26" s="113">
        <f t="shared" si="169"/>
        <v>9.7927846762505388E-3</v>
      </c>
      <c r="DI26" s="110">
        <f t="shared" si="170"/>
        <v>9.7927846762505393</v>
      </c>
      <c r="DJ26" s="115">
        <f t="shared" si="171"/>
        <v>0</v>
      </c>
      <c r="DK26" s="110">
        <f t="shared" si="172"/>
        <v>9.7927846762505393</v>
      </c>
      <c r="DL26" s="52">
        <f>Summ.!$A34</f>
        <v>50190</v>
      </c>
      <c r="DM26" s="119" t="str">
        <f>Summ.!$B34</f>
        <v>Landscape Sprinkler Repairs</v>
      </c>
      <c r="DN26" s="134">
        <f t="shared" ref="DN26:DN69" si="227">$F26</f>
        <v>1000</v>
      </c>
      <c r="DO26" s="110">
        <v>0</v>
      </c>
      <c r="DP26" s="110">
        <f t="shared" ref="DP26:DP52" si="228">DN26+DO26</f>
        <v>1000</v>
      </c>
      <c r="DQ26" s="113">
        <f t="shared" si="173"/>
        <v>5.6719808844843123E-2</v>
      </c>
      <c r="DR26" s="110">
        <f t="shared" si="174"/>
        <v>56.719808844843122</v>
      </c>
      <c r="DS26" s="115">
        <f t="shared" si="175"/>
        <v>0</v>
      </c>
      <c r="DT26" s="110">
        <f t="shared" si="176"/>
        <v>56.719808844843122</v>
      </c>
      <c r="DU26" s="52">
        <f>Summ.!$A34</f>
        <v>50190</v>
      </c>
      <c r="DV26" s="119" t="str">
        <f>Summ.!$B34</f>
        <v>Landscape Sprinkler Repairs</v>
      </c>
      <c r="DW26" s="134">
        <f t="shared" ref="DW26:DW69" si="229">$F26</f>
        <v>1000</v>
      </c>
      <c r="DX26" s="110">
        <f t="shared" ref="DX26:DX52" si="230">+DO26</f>
        <v>0</v>
      </c>
      <c r="DY26" s="110">
        <f t="shared" ref="DY26:DY52" si="231">DW26+DX26</f>
        <v>1000</v>
      </c>
      <c r="DZ26" s="113">
        <f t="shared" si="177"/>
        <v>0.15695875279094362</v>
      </c>
      <c r="EA26" s="110">
        <f t="shared" si="178"/>
        <v>156.95875279094363</v>
      </c>
      <c r="EB26" s="115">
        <f t="shared" si="179"/>
        <v>0</v>
      </c>
      <c r="EC26" s="110">
        <f t="shared" si="180"/>
        <v>156.95875279094363</v>
      </c>
      <c r="ED26" s="52">
        <f>Summ.!$A34</f>
        <v>50190</v>
      </c>
      <c r="EE26" s="119" t="str">
        <f>Summ.!$B34</f>
        <v>Landscape Sprinkler Repairs</v>
      </c>
      <c r="EF26" s="134">
        <f t="shared" ref="EF26:EF68" si="232">$F26</f>
        <v>1000</v>
      </c>
      <c r="EG26" s="110">
        <f t="shared" ref="EG26:EG52" si="233">+DX26</f>
        <v>0</v>
      </c>
      <c r="EH26" s="110">
        <f t="shared" ref="EH26:EH52" si="234">EF26+EG26</f>
        <v>1000</v>
      </c>
      <c r="EI26" s="113">
        <f t="shared" si="181"/>
        <v>0.12730620079125701</v>
      </c>
      <c r="EJ26" s="110">
        <f t="shared" si="182"/>
        <v>127.30620079125701</v>
      </c>
      <c r="EK26" s="115">
        <f t="shared" si="183"/>
        <v>19.09593011868855</v>
      </c>
      <c r="EL26" s="110">
        <f t="shared" si="184"/>
        <v>146.40213090994556</v>
      </c>
      <c r="EM26" s="52">
        <f>Summ.!$A34</f>
        <v>50190</v>
      </c>
      <c r="EN26" s="119" t="str">
        <f>Summ.!$B34</f>
        <v>Landscape Sprinkler Repairs</v>
      </c>
      <c r="EO26" s="134">
        <f t="shared" ref="EO26:EO69" si="235">$F26</f>
        <v>1000</v>
      </c>
      <c r="EP26" s="110">
        <v>0</v>
      </c>
      <c r="EQ26" s="110">
        <f t="shared" ref="EQ26:EQ52" si="236">EO26+EP26</f>
        <v>1000</v>
      </c>
      <c r="ER26" s="113">
        <f t="shared" si="185"/>
        <v>3.9034039719534647E-2</v>
      </c>
      <c r="ES26" s="110">
        <f t="shared" si="186"/>
        <v>39.034039719534647</v>
      </c>
      <c r="ET26" s="115">
        <f t="shared" si="187"/>
        <v>0</v>
      </c>
      <c r="EU26" s="110">
        <f t="shared" si="188"/>
        <v>39.034039719534647</v>
      </c>
      <c r="EV26" s="52">
        <f>Summ.!$A34</f>
        <v>50190</v>
      </c>
      <c r="EW26" s="119" t="str">
        <f>Summ.!$B34</f>
        <v>Landscape Sprinkler Repairs</v>
      </c>
      <c r="EX26" s="134">
        <f t="shared" ref="EX26:EX69" si="237">$F26</f>
        <v>1000</v>
      </c>
      <c r="EY26" s="110">
        <v>0</v>
      </c>
      <c r="EZ26" s="110">
        <f t="shared" ref="EZ26:EZ69" si="238">EX26+EY26</f>
        <v>1000</v>
      </c>
      <c r="FA26" s="113">
        <f t="shared" si="189"/>
        <v>1.8841317717106038E-2</v>
      </c>
      <c r="FB26" s="110">
        <f t="shared" si="190"/>
        <v>18.841317717106037</v>
      </c>
      <c r="FC26" s="115">
        <f t="shared" si="191"/>
        <v>0</v>
      </c>
      <c r="FD26" s="110">
        <f t="shared" si="192"/>
        <v>18.841317717106037</v>
      </c>
      <c r="FE26" s="52">
        <f>Summ.!$A34</f>
        <v>50190</v>
      </c>
      <c r="FF26" s="119" t="str">
        <f>Summ.!$B34</f>
        <v>Landscape Sprinkler Repairs</v>
      </c>
      <c r="FG26" s="134">
        <f t="shared" ref="FG26:FG69" si="239">$F26</f>
        <v>1000</v>
      </c>
      <c r="FH26" s="110">
        <f t="shared" ref="FH26:FH69" si="240">+EY26</f>
        <v>0</v>
      </c>
      <c r="FI26" s="110">
        <f t="shared" ref="FI26:FI69" si="241">FG26+FH26</f>
        <v>1000</v>
      </c>
      <c r="FJ26" s="113">
        <f t="shared" si="193"/>
        <v>7.254494888166399E-2</v>
      </c>
      <c r="FK26" s="110">
        <f t="shared" si="194"/>
        <v>72.544948881663984</v>
      </c>
      <c r="FL26" s="115">
        <f t="shared" si="195"/>
        <v>0</v>
      </c>
      <c r="FM26" s="110">
        <f t="shared" si="196"/>
        <v>72.544948881663984</v>
      </c>
    </row>
    <row r="27" spans="1:169">
      <c r="A27" s="52">
        <f>Summ.!A35</f>
        <v>50170</v>
      </c>
      <c r="B27" s="45" t="str">
        <f>Summ.!B35</f>
        <v>Landscape Maintenance</v>
      </c>
      <c r="C27" s="45"/>
      <c r="D27" s="45"/>
      <c r="E27" s="45"/>
      <c r="F27" s="106">
        <f>+Summ.!O35</f>
        <v>96379.104000000007</v>
      </c>
      <c r="G27" s="71">
        <f>Rent!$B$41</f>
        <v>51058</v>
      </c>
      <c r="H27" s="52">
        <f>Summ.!$A35</f>
        <v>50170</v>
      </c>
      <c r="I27" s="119" t="str">
        <f>Summ.!$B35</f>
        <v>Landscape Maintenance</v>
      </c>
      <c r="J27" s="134">
        <f t="shared" si="197"/>
        <v>96379.104000000007</v>
      </c>
      <c r="K27" s="110">
        <v>0</v>
      </c>
      <c r="L27" s="110">
        <f t="shared" si="198"/>
        <v>96379.104000000007</v>
      </c>
      <c r="M27" s="113">
        <f t="shared" si="124"/>
        <v>7.5854910102236675E-2</v>
      </c>
      <c r="N27" s="110">
        <f t="shared" si="125"/>
        <v>7310.82826965412</v>
      </c>
      <c r="O27" s="115">
        <f t="shared" si="126"/>
        <v>0</v>
      </c>
      <c r="P27" s="110">
        <f t="shared" si="127"/>
        <v>7310.82826965412</v>
      </c>
      <c r="Q27" s="52">
        <f>Summ.!$A35</f>
        <v>50170</v>
      </c>
      <c r="R27" s="119" t="str">
        <f>Summ.!$B35</f>
        <v>Landscape Maintenance</v>
      </c>
      <c r="S27" s="134">
        <f t="shared" si="199"/>
        <v>96379.104000000007</v>
      </c>
      <c r="T27" s="110">
        <f t="shared" si="200"/>
        <v>0</v>
      </c>
      <c r="U27" s="110">
        <f t="shared" si="201"/>
        <v>96379.104000000007</v>
      </c>
      <c r="V27" s="113">
        <f t="shared" si="128"/>
        <v>2.1034901484586158E-2</v>
      </c>
      <c r="W27" s="110">
        <f t="shared" si="129"/>
        <v>2027.3249578126838</v>
      </c>
      <c r="X27" s="115">
        <f t="shared" si="130"/>
        <v>0</v>
      </c>
      <c r="Y27" s="110">
        <f t="shared" si="131"/>
        <v>2027.3249578126838</v>
      </c>
      <c r="Z27" s="52">
        <f>Summ.!$A35</f>
        <v>50170</v>
      </c>
      <c r="AA27" s="119" t="str">
        <f>Summ.!$B35</f>
        <v>Landscape Maintenance</v>
      </c>
      <c r="AB27" s="134">
        <f t="shared" si="202"/>
        <v>96379.104000000007</v>
      </c>
      <c r="AC27" s="110">
        <v>0</v>
      </c>
      <c r="AD27" s="110">
        <f t="shared" si="203"/>
        <v>96379.104000000007</v>
      </c>
      <c r="AE27" s="113">
        <f t="shared" si="132"/>
        <v>3.9171138705002152E-3</v>
      </c>
      <c r="AF27" s="110">
        <f t="shared" si="133"/>
        <v>377.52792510478281</v>
      </c>
      <c r="AG27" s="115">
        <f t="shared" si="134"/>
        <v>0</v>
      </c>
      <c r="AH27" s="110">
        <f t="shared" si="135"/>
        <v>377.52792510478281</v>
      </c>
      <c r="AI27" s="52">
        <f>Summ.!$A35</f>
        <v>50170</v>
      </c>
      <c r="AJ27" s="119" t="str">
        <f>Summ.!$B35</f>
        <v>Landscape Maintenance</v>
      </c>
      <c r="AK27" s="134">
        <f t="shared" si="204"/>
        <v>96379.104000000007</v>
      </c>
      <c r="AL27" s="110">
        <f t="shared" si="205"/>
        <v>0</v>
      </c>
      <c r="AM27" s="110">
        <f t="shared" si="206"/>
        <v>96379.104000000007</v>
      </c>
      <c r="AN27" s="113">
        <f t="shared" si="136"/>
        <v>1.0145324924595559E-2</v>
      </c>
      <c r="AO27" s="110">
        <f t="shared" si="137"/>
        <v>977.79732602138756</v>
      </c>
      <c r="AP27" s="115">
        <f t="shared" si="138"/>
        <v>0</v>
      </c>
      <c r="AQ27" s="110">
        <f t="shared" si="139"/>
        <v>977.79732602138756</v>
      </c>
      <c r="AR27" s="52">
        <f>Summ.!$A35</f>
        <v>50170</v>
      </c>
      <c r="AS27" s="119" t="str">
        <f>Summ.!$B35</f>
        <v>Landscape Maintenance</v>
      </c>
      <c r="AT27" s="134">
        <f t="shared" si="207"/>
        <v>96379.104000000007</v>
      </c>
      <c r="AU27" s="110">
        <f t="shared" si="208"/>
        <v>0</v>
      </c>
      <c r="AV27" s="110">
        <f t="shared" si="209"/>
        <v>96379.104000000007</v>
      </c>
      <c r="AW27" s="113">
        <f t="shared" si="140"/>
        <v>1.0282423910063065E-2</v>
      </c>
      <c r="AX27" s="110">
        <f t="shared" si="141"/>
        <v>991.0108034000549</v>
      </c>
      <c r="AY27" s="115">
        <f t="shared" si="142"/>
        <v>0</v>
      </c>
      <c r="AZ27" s="110">
        <f t="shared" si="143"/>
        <v>991.0108034000549</v>
      </c>
      <c r="BA27" s="52">
        <f>Summ.!$A35</f>
        <v>50170</v>
      </c>
      <c r="BB27" s="119" t="str">
        <f>Summ.!$B35</f>
        <v>Landscape Maintenance</v>
      </c>
      <c r="BC27" s="134">
        <f t="shared" si="210"/>
        <v>96379.104000000007</v>
      </c>
      <c r="BD27" s="110">
        <f t="shared" si="211"/>
        <v>0</v>
      </c>
      <c r="BE27" s="110">
        <f t="shared" si="212"/>
        <v>96379.104000000007</v>
      </c>
      <c r="BF27" s="113" t="e">
        <f t="shared" si="144"/>
        <v>#REF!</v>
      </c>
      <c r="BG27" s="110" t="e">
        <f t="shared" si="145"/>
        <v>#REF!</v>
      </c>
      <c r="BH27" s="115" t="e">
        <f t="shared" si="146"/>
        <v>#REF!</v>
      </c>
      <c r="BI27" s="110" t="e">
        <f t="shared" si="147"/>
        <v>#REF!</v>
      </c>
      <c r="BJ27" s="52">
        <f>Summ.!$A35</f>
        <v>50170</v>
      </c>
      <c r="BK27" s="119" t="str">
        <f>Summ.!$B35</f>
        <v>Landscape Maintenance</v>
      </c>
      <c r="BL27" s="134">
        <f t="shared" si="213"/>
        <v>96379.104000000007</v>
      </c>
      <c r="BM27" s="110">
        <f t="shared" si="148"/>
        <v>0</v>
      </c>
      <c r="BN27" s="110">
        <f t="shared" si="214"/>
        <v>96379.104000000007</v>
      </c>
      <c r="BO27" s="113">
        <f t="shared" si="149"/>
        <v>1.9468055936386071E-2</v>
      </c>
      <c r="BP27" s="110">
        <f t="shared" si="150"/>
        <v>1876.3137877707707</v>
      </c>
      <c r="BQ27" s="115">
        <f t="shared" si="151"/>
        <v>0</v>
      </c>
      <c r="BR27" s="110">
        <f t="shared" si="152"/>
        <v>1876.3137877707707</v>
      </c>
      <c r="BS27" s="52">
        <f>Summ.!$A35</f>
        <v>50170</v>
      </c>
      <c r="BT27" s="119" t="str">
        <f>Summ.!$B35</f>
        <v>Landscape Maintenance</v>
      </c>
      <c r="BU27" s="134">
        <f t="shared" si="215"/>
        <v>96379.104000000007</v>
      </c>
      <c r="BV27" s="110">
        <f t="shared" si="216"/>
        <v>0</v>
      </c>
      <c r="BW27" s="110">
        <f t="shared" si="217"/>
        <v>96379.104000000007</v>
      </c>
      <c r="BX27" s="113">
        <f t="shared" si="153"/>
        <v>2.0427748834658623E-2</v>
      </c>
      <c r="BY27" s="110">
        <f t="shared" si="154"/>
        <v>1968.8081294214423</v>
      </c>
      <c r="BZ27" s="115">
        <f t="shared" si="155"/>
        <v>0</v>
      </c>
      <c r="CA27" s="110">
        <f t="shared" si="156"/>
        <v>1968.8081294214423</v>
      </c>
      <c r="CB27" s="52">
        <f>Summ.!$A35</f>
        <v>50170</v>
      </c>
      <c r="CC27" s="119" t="str">
        <f>Summ.!$B35</f>
        <v>Landscape Maintenance</v>
      </c>
      <c r="CD27" s="134">
        <f t="shared" si="218"/>
        <v>96379.104000000007</v>
      </c>
      <c r="CE27" s="110">
        <v>0</v>
      </c>
      <c r="CF27" s="110">
        <f t="shared" si="219"/>
        <v>96379.104000000007</v>
      </c>
      <c r="CG27" s="113">
        <f t="shared" si="157"/>
        <v>6.9058717536918793E-2</v>
      </c>
      <c r="CH27" s="110">
        <f t="shared" si="158"/>
        <v>6655.8173195973204</v>
      </c>
      <c r="CI27" s="115">
        <f t="shared" si="159"/>
        <v>0</v>
      </c>
      <c r="CJ27" s="110">
        <f t="shared" si="160"/>
        <v>6655.8173195973204</v>
      </c>
      <c r="CK27" s="52">
        <f>Summ.!$A35</f>
        <v>50170</v>
      </c>
      <c r="CL27" s="119" t="str">
        <f>Summ.!$B35</f>
        <v>Landscape Maintenance</v>
      </c>
      <c r="CM27" s="134">
        <f t="shared" si="220"/>
        <v>96379.104000000007</v>
      </c>
      <c r="CN27" s="110">
        <f t="shared" si="221"/>
        <v>0</v>
      </c>
      <c r="CO27" s="110">
        <f t="shared" si="222"/>
        <v>96379.104000000007</v>
      </c>
      <c r="CP27" s="113">
        <f t="shared" si="161"/>
        <v>0.21027067256845156</v>
      </c>
      <c r="CQ27" s="110">
        <f t="shared" si="162"/>
        <v>20265.699019624743</v>
      </c>
      <c r="CR27" s="115">
        <f t="shared" si="163"/>
        <v>0</v>
      </c>
      <c r="CS27" s="110">
        <f t="shared" si="164"/>
        <v>20265.699019624743</v>
      </c>
      <c r="CT27" s="52">
        <f>Summ.!$A35</f>
        <v>50170</v>
      </c>
      <c r="CU27" s="119" t="str">
        <f>Summ.!$B35</f>
        <v>Landscape Maintenance</v>
      </c>
      <c r="CV27" s="134">
        <f t="shared" si="223"/>
        <v>96379.104000000007</v>
      </c>
      <c r="CW27" s="110">
        <v>0</v>
      </c>
      <c r="CX27" s="110">
        <f t="shared" si="224"/>
        <v>96379.104000000007</v>
      </c>
      <c r="CY27" s="113">
        <f t="shared" si="165"/>
        <v>5.8756708057503229E-2</v>
      </c>
      <c r="CZ27" s="110">
        <f t="shared" si="166"/>
        <v>5662.9188765717417</v>
      </c>
      <c r="DA27" s="115">
        <f t="shared" si="167"/>
        <v>0</v>
      </c>
      <c r="DB27" s="110">
        <f t="shared" si="168"/>
        <v>5662.9188765717417</v>
      </c>
      <c r="DC27" s="52">
        <f>Summ.!$A35</f>
        <v>50170</v>
      </c>
      <c r="DD27" s="119" t="str">
        <f>Summ.!$B35</f>
        <v>Landscape Maintenance</v>
      </c>
      <c r="DE27" s="134">
        <f t="shared" si="225"/>
        <v>96379.104000000007</v>
      </c>
      <c r="DF27" s="110">
        <v>0</v>
      </c>
      <c r="DG27" s="110">
        <f t="shared" si="226"/>
        <v>96379.104000000007</v>
      </c>
      <c r="DH27" s="113">
        <f t="shared" si="169"/>
        <v>9.7927846762505388E-3</v>
      </c>
      <c r="DI27" s="110">
        <f t="shared" si="170"/>
        <v>943.81981276195711</v>
      </c>
      <c r="DJ27" s="115">
        <f t="shared" si="171"/>
        <v>0</v>
      </c>
      <c r="DK27" s="110">
        <f t="shared" si="172"/>
        <v>943.81981276195711</v>
      </c>
      <c r="DL27" s="52">
        <f>Summ.!$A35</f>
        <v>50170</v>
      </c>
      <c r="DM27" s="119" t="str">
        <f>Summ.!$B35</f>
        <v>Landscape Maintenance</v>
      </c>
      <c r="DN27" s="134">
        <f t="shared" si="227"/>
        <v>96379.104000000007</v>
      </c>
      <c r="DO27" s="110">
        <v>0</v>
      </c>
      <c r="DP27" s="110">
        <f t="shared" si="228"/>
        <v>96379.104000000007</v>
      </c>
      <c r="DQ27" s="113">
        <f t="shared" si="173"/>
        <v>5.6719808844843123E-2</v>
      </c>
      <c r="DR27" s="110">
        <f t="shared" si="174"/>
        <v>5466.6043555172555</v>
      </c>
      <c r="DS27" s="115">
        <f t="shared" si="175"/>
        <v>0</v>
      </c>
      <c r="DT27" s="110">
        <f t="shared" si="176"/>
        <v>5466.6043555172555</v>
      </c>
      <c r="DU27" s="52">
        <f>Summ.!$A35</f>
        <v>50170</v>
      </c>
      <c r="DV27" s="119" t="str">
        <f>Summ.!$B35</f>
        <v>Landscape Maintenance</v>
      </c>
      <c r="DW27" s="134">
        <f t="shared" si="229"/>
        <v>96379.104000000007</v>
      </c>
      <c r="DX27" s="110">
        <f t="shared" si="230"/>
        <v>0</v>
      </c>
      <c r="DY27" s="110">
        <f t="shared" si="231"/>
        <v>96379.104000000007</v>
      </c>
      <c r="DZ27" s="113">
        <f t="shared" si="177"/>
        <v>0.15695875279094362</v>
      </c>
      <c r="EA27" s="110">
        <f t="shared" si="178"/>
        <v>15127.543958948647</v>
      </c>
      <c r="EB27" s="115">
        <f t="shared" si="179"/>
        <v>0</v>
      </c>
      <c r="EC27" s="110">
        <f t="shared" si="180"/>
        <v>15127.543958948647</v>
      </c>
      <c r="ED27" s="52">
        <f>Summ.!$A35</f>
        <v>50170</v>
      </c>
      <c r="EE27" s="119" t="str">
        <f>Summ.!$B35</f>
        <v>Landscape Maintenance</v>
      </c>
      <c r="EF27" s="134">
        <f t="shared" si="232"/>
        <v>96379.104000000007</v>
      </c>
      <c r="EG27" s="110">
        <f t="shared" si="233"/>
        <v>0</v>
      </c>
      <c r="EH27" s="110">
        <f t="shared" si="234"/>
        <v>96379.104000000007</v>
      </c>
      <c r="EI27" s="113">
        <f t="shared" si="181"/>
        <v>0.12730620079125701</v>
      </c>
      <c r="EJ27" s="110">
        <f t="shared" si="182"/>
        <v>12269.657565905443</v>
      </c>
      <c r="EK27" s="115">
        <f t="shared" si="183"/>
        <v>1840.4486348858165</v>
      </c>
      <c r="EL27" s="110">
        <f t="shared" si="184"/>
        <v>14110.106200791261</v>
      </c>
      <c r="EM27" s="52">
        <f>Summ.!$A35</f>
        <v>50170</v>
      </c>
      <c r="EN27" s="119" t="str">
        <f>Summ.!$B35</f>
        <v>Landscape Maintenance</v>
      </c>
      <c r="EO27" s="134">
        <f t="shared" si="235"/>
        <v>96379.104000000007</v>
      </c>
      <c r="EP27" s="110">
        <v>0</v>
      </c>
      <c r="EQ27" s="110">
        <f t="shared" si="236"/>
        <v>96379.104000000007</v>
      </c>
      <c r="ER27" s="113">
        <f t="shared" si="185"/>
        <v>3.9034039719534647E-2</v>
      </c>
      <c r="ES27" s="110">
        <f t="shared" si="186"/>
        <v>3762.065773669161</v>
      </c>
      <c r="ET27" s="115">
        <f t="shared" si="187"/>
        <v>0</v>
      </c>
      <c r="EU27" s="110">
        <f t="shared" si="188"/>
        <v>3762.065773669161</v>
      </c>
      <c r="EV27" s="52">
        <f>Summ.!$A35</f>
        <v>50170</v>
      </c>
      <c r="EW27" s="119" t="str">
        <f>Summ.!$B35</f>
        <v>Landscape Maintenance</v>
      </c>
      <c r="EX27" s="134">
        <f t="shared" si="237"/>
        <v>96379.104000000007</v>
      </c>
      <c r="EY27" s="110">
        <v>0</v>
      </c>
      <c r="EZ27" s="110">
        <f t="shared" si="238"/>
        <v>96379.104000000007</v>
      </c>
      <c r="FA27" s="113">
        <f t="shared" si="189"/>
        <v>1.8841317717106038E-2</v>
      </c>
      <c r="FB27" s="110">
        <f t="shared" si="190"/>
        <v>1815.9093197540055</v>
      </c>
      <c r="FC27" s="115">
        <f t="shared" si="191"/>
        <v>0</v>
      </c>
      <c r="FD27" s="110">
        <f t="shared" si="192"/>
        <v>1815.9093197540055</v>
      </c>
      <c r="FE27" s="52">
        <f>Summ.!$A35</f>
        <v>50170</v>
      </c>
      <c r="FF27" s="119" t="str">
        <f>Summ.!$B35</f>
        <v>Landscape Maintenance</v>
      </c>
      <c r="FG27" s="134">
        <f t="shared" si="239"/>
        <v>96379.104000000007</v>
      </c>
      <c r="FH27" s="110">
        <f t="shared" si="240"/>
        <v>0</v>
      </c>
      <c r="FI27" s="110">
        <f t="shared" si="241"/>
        <v>96379.104000000007</v>
      </c>
      <c r="FJ27" s="113">
        <f t="shared" si="193"/>
        <v>7.254494888166399E-2</v>
      </c>
      <c r="FK27" s="110">
        <f t="shared" si="194"/>
        <v>6991.8171729405776</v>
      </c>
      <c r="FL27" s="115">
        <f t="shared" si="195"/>
        <v>0</v>
      </c>
      <c r="FM27" s="110">
        <f t="shared" si="196"/>
        <v>6991.8171729405776</v>
      </c>
    </row>
    <row r="28" spans="1:169">
      <c r="A28" s="52">
        <f>Summ.!A36</f>
        <v>50510</v>
      </c>
      <c r="B28" s="45" t="str">
        <f>Summ.!B36</f>
        <v>Parking Lot Lights Maintenance</v>
      </c>
      <c r="C28" s="45"/>
      <c r="D28" s="45"/>
      <c r="E28" s="45"/>
      <c r="F28" s="106">
        <f>+Summ.!O36</f>
        <v>0</v>
      </c>
      <c r="G28" s="71">
        <f>Rent!$B$41</f>
        <v>51058</v>
      </c>
      <c r="H28" s="52">
        <f>Summ.!$A36</f>
        <v>50510</v>
      </c>
      <c r="I28" s="119" t="str">
        <f>Summ.!$B36</f>
        <v>Parking Lot Lights Maintenance</v>
      </c>
      <c r="J28" s="134">
        <f t="shared" si="197"/>
        <v>0</v>
      </c>
      <c r="K28" s="110">
        <v>0</v>
      </c>
      <c r="L28" s="110">
        <f t="shared" si="198"/>
        <v>0</v>
      </c>
      <c r="M28" s="113">
        <f t="shared" si="124"/>
        <v>7.5854910102236675E-2</v>
      </c>
      <c r="N28" s="110">
        <f t="shared" si="125"/>
        <v>0</v>
      </c>
      <c r="O28" s="115">
        <f t="shared" si="126"/>
        <v>0</v>
      </c>
      <c r="P28" s="110">
        <f t="shared" si="127"/>
        <v>0</v>
      </c>
      <c r="Q28" s="52">
        <f>Summ.!$A36</f>
        <v>50510</v>
      </c>
      <c r="R28" s="119" t="str">
        <f>Summ.!$B36</f>
        <v>Parking Lot Lights Maintenance</v>
      </c>
      <c r="S28" s="134">
        <f t="shared" si="199"/>
        <v>0</v>
      </c>
      <c r="T28" s="110">
        <f t="shared" si="200"/>
        <v>0</v>
      </c>
      <c r="U28" s="110">
        <f t="shared" si="201"/>
        <v>0</v>
      </c>
      <c r="V28" s="113">
        <f t="shared" si="128"/>
        <v>2.1034901484586158E-2</v>
      </c>
      <c r="W28" s="110">
        <f t="shared" si="129"/>
        <v>0</v>
      </c>
      <c r="X28" s="115">
        <f t="shared" si="130"/>
        <v>0</v>
      </c>
      <c r="Y28" s="110">
        <f t="shared" si="131"/>
        <v>0</v>
      </c>
      <c r="Z28" s="52">
        <f>Summ.!$A36</f>
        <v>50510</v>
      </c>
      <c r="AA28" s="119" t="str">
        <f>Summ.!$B36</f>
        <v>Parking Lot Lights Maintenance</v>
      </c>
      <c r="AB28" s="134">
        <f t="shared" si="202"/>
        <v>0</v>
      </c>
      <c r="AC28" s="110">
        <v>0</v>
      </c>
      <c r="AD28" s="110">
        <f t="shared" si="203"/>
        <v>0</v>
      </c>
      <c r="AE28" s="113">
        <f t="shared" si="132"/>
        <v>3.9171138705002152E-3</v>
      </c>
      <c r="AF28" s="110">
        <f t="shared" si="133"/>
        <v>0</v>
      </c>
      <c r="AG28" s="115">
        <f t="shared" si="134"/>
        <v>0</v>
      </c>
      <c r="AH28" s="110">
        <f t="shared" si="135"/>
        <v>0</v>
      </c>
      <c r="AI28" s="52">
        <f>Summ.!$A36</f>
        <v>50510</v>
      </c>
      <c r="AJ28" s="119" t="str">
        <f>Summ.!$B36</f>
        <v>Parking Lot Lights Maintenance</v>
      </c>
      <c r="AK28" s="134">
        <f t="shared" si="204"/>
        <v>0</v>
      </c>
      <c r="AL28" s="110">
        <f t="shared" si="205"/>
        <v>0</v>
      </c>
      <c r="AM28" s="110">
        <f t="shared" si="206"/>
        <v>0</v>
      </c>
      <c r="AN28" s="113">
        <f t="shared" si="136"/>
        <v>1.0145324924595559E-2</v>
      </c>
      <c r="AO28" s="110">
        <f t="shared" si="137"/>
        <v>0</v>
      </c>
      <c r="AP28" s="115">
        <f t="shared" si="138"/>
        <v>0</v>
      </c>
      <c r="AQ28" s="110">
        <f t="shared" si="139"/>
        <v>0</v>
      </c>
      <c r="AR28" s="52">
        <f>Summ.!$A36</f>
        <v>50510</v>
      </c>
      <c r="AS28" s="119" t="str">
        <f>Summ.!$B36</f>
        <v>Parking Lot Lights Maintenance</v>
      </c>
      <c r="AT28" s="134">
        <f t="shared" si="207"/>
        <v>0</v>
      </c>
      <c r="AU28" s="110">
        <f t="shared" si="208"/>
        <v>0</v>
      </c>
      <c r="AV28" s="110">
        <f t="shared" si="209"/>
        <v>0</v>
      </c>
      <c r="AW28" s="113">
        <f t="shared" si="140"/>
        <v>1.0282423910063065E-2</v>
      </c>
      <c r="AX28" s="110">
        <f t="shared" si="141"/>
        <v>0</v>
      </c>
      <c r="AY28" s="115">
        <f t="shared" si="142"/>
        <v>0</v>
      </c>
      <c r="AZ28" s="110">
        <f t="shared" si="143"/>
        <v>0</v>
      </c>
      <c r="BA28" s="52">
        <f>Summ.!$A36</f>
        <v>50510</v>
      </c>
      <c r="BB28" s="119" t="str">
        <f>Summ.!$B36</f>
        <v>Parking Lot Lights Maintenance</v>
      </c>
      <c r="BC28" s="134">
        <f t="shared" si="210"/>
        <v>0</v>
      </c>
      <c r="BD28" s="110">
        <f t="shared" si="211"/>
        <v>0</v>
      </c>
      <c r="BE28" s="110">
        <f t="shared" si="212"/>
        <v>0</v>
      </c>
      <c r="BF28" s="113" t="e">
        <f t="shared" si="144"/>
        <v>#REF!</v>
      </c>
      <c r="BG28" s="110" t="e">
        <f t="shared" si="145"/>
        <v>#REF!</v>
      </c>
      <c r="BH28" s="115" t="e">
        <f t="shared" si="146"/>
        <v>#REF!</v>
      </c>
      <c r="BI28" s="110" t="e">
        <f t="shared" si="147"/>
        <v>#REF!</v>
      </c>
      <c r="BJ28" s="52">
        <f>Summ.!$A36</f>
        <v>50510</v>
      </c>
      <c r="BK28" s="119" t="str">
        <f>Summ.!$B36</f>
        <v>Parking Lot Lights Maintenance</v>
      </c>
      <c r="BL28" s="134">
        <f t="shared" si="213"/>
        <v>0</v>
      </c>
      <c r="BM28" s="110">
        <f t="shared" si="148"/>
        <v>0</v>
      </c>
      <c r="BN28" s="110">
        <f t="shared" si="214"/>
        <v>0</v>
      </c>
      <c r="BO28" s="113">
        <f t="shared" si="149"/>
        <v>1.9468055936386071E-2</v>
      </c>
      <c r="BP28" s="110">
        <f t="shared" si="150"/>
        <v>0</v>
      </c>
      <c r="BQ28" s="115">
        <f t="shared" si="151"/>
        <v>0</v>
      </c>
      <c r="BR28" s="110">
        <f t="shared" si="152"/>
        <v>0</v>
      </c>
      <c r="BS28" s="52">
        <f>Summ.!$A36</f>
        <v>50510</v>
      </c>
      <c r="BT28" s="119" t="str">
        <f>Summ.!$B36</f>
        <v>Parking Lot Lights Maintenance</v>
      </c>
      <c r="BU28" s="134">
        <f t="shared" si="215"/>
        <v>0</v>
      </c>
      <c r="BV28" s="110">
        <f t="shared" si="216"/>
        <v>0</v>
      </c>
      <c r="BW28" s="110">
        <f t="shared" si="217"/>
        <v>0</v>
      </c>
      <c r="BX28" s="113">
        <f t="shared" si="153"/>
        <v>2.0427748834658623E-2</v>
      </c>
      <c r="BY28" s="110">
        <f t="shared" si="154"/>
        <v>0</v>
      </c>
      <c r="BZ28" s="115">
        <f t="shared" si="155"/>
        <v>0</v>
      </c>
      <c r="CA28" s="110">
        <f t="shared" si="156"/>
        <v>0</v>
      </c>
      <c r="CB28" s="52">
        <f>Summ.!$A36</f>
        <v>50510</v>
      </c>
      <c r="CC28" s="119" t="str">
        <f>Summ.!$B36</f>
        <v>Parking Lot Lights Maintenance</v>
      </c>
      <c r="CD28" s="134">
        <f t="shared" si="218"/>
        <v>0</v>
      </c>
      <c r="CE28" s="110">
        <v>0</v>
      </c>
      <c r="CF28" s="110">
        <f t="shared" si="219"/>
        <v>0</v>
      </c>
      <c r="CG28" s="113">
        <f t="shared" si="157"/>
        <v>6.9058717536918793E-2</v>
      </c>
      <c r="CH28" s="110">
        <f t="shared" si="158"/>
        <v>0</v>
      </c>
      <c r="CI28" s="115">
        <f t="shared" si="159"/>
        <v>0</v>
      </c>
      <c r="CJ28" s="110">
        <f t="shared" si="160"/>
        <v>0</v>
      </c>
      <c r="CK28" s="52">
        <f>Summ.!$A36</f>
        <v>50510</v>
      </c>
      <c r="CL28" s="119" t="str">
        <f>Summ.!$B36</f>
        <v>Parking Lot Lights Maintenance</v>
      </c>
      <c r="CM28" s="134">
        <f t="shared" si="220"/>
        <v>0</v>
      </c>
      <c r="CN28" s="110">
        <f t="shared" si="221"/>
        <v>0</v>
      </c>
      <c r="CO28" s="110">
        <f t="shared" si="222"/>
        <v>0</v>
      </c>
      <c r="CP28" s="113">
        <f t="shared" si="161"/>
        <v>0.21027067256845156</v>
      </c>
      <c r="CQ28" s="110">
        <f t="shared" si="162"/>
        <v>0</v>
      </c>
      <c r="CR28" s="115">
        <f t="shared" si="163"/>
        <v>0</v>
      </c>
      <c r="CS28" s="110">
        <f t="shared" si="164"/>
        <v>0</v>
      </c>
      <c r="CT28" s="52">
        <f>Summ.!$A36</f>
        <v>50510</v>
      </c>
      <c r="CU28" s="119" t="str">
        <f>Summ.!$B36</f>
        <v>Parking Lot Lights Maintenance</v>
      </c>
      <c r="CV28" s="134">
        <f t="shared" si="223"/>
        <v>0</v>
      </c>
      <c r="CW28" s="110">
        <v>0</v>
      </c>
      <c r="CX28" s="110">
        <f t="shared" si="224"/>
        <v>0</v>
      </c>
      <c r="CY28" s="113">
        <f t="shared" si="165"/>
        <v>5.8756708057503229E-2</v>
      </c>
      <c r="CZ28" s="110">
        <f t="shared" si="166"/>
        <v>0</v>
      </c>
      <c r="DA28" s="115">
        <f t="shared" si="167"/>
        <v>0</v>
      </c>
      <c r="DB28" s="110">
        <f t="shared" si="168"/>
        <v>0</v>
      </c>
      <c r="DC28" s="52">
        <f>Summ.!$A36</f>
        <v>50510</v>
      </c>
      <c r="DD28" s="119" t="str">
        <f>Summ.!$B36</f>
        <v>Parking Lot Lights Maintenance</v>
      </c>
      <c r="DE28" s="134">
        <f t="shared" si="225"/>
        <v>0</v>
      </c>
      <c r="DF28" s="110">
        <v>0</v>
      </c>
      <c r="DG28" s="110">
        <f t="shared" si="226"/>
        <v>0</v>
      </c>
      <c r="DH28" s="113">
        <f t="shared" si="169"/>
        <v>9.7927846762505388E-3</v>
      </c>
      <c r="DI28" s="110">
        <f t="shared" si="170"/>
        <v>0</v>
      </c>
      <c r="DJ28" s="115">
        <f t="shared" si="171"/>
        <v>0</v>
      </c>
      <c r="DK28" s="110">
        <f t="shared" si="172"/>
        <v>0</v>
      </c>
      <c r="DL28" s="52">
        <f>Summ.!$A36</f>
        <v>50510</v>
      </c>
      <c r="DM28" s="119" t="str">
        <f>Summ.!$B36</f>
        <v>Parking Lot Lights Maintenance</v>
      </c>
      <c r="DN28" s="134">
        <f t="shared" si="227"/>
        <v>0</v>
      </c>
      <c r="DO28" s="110">
        <v>0</v>
      </c>
      <c r="DP28" s="110">
        <f t="shared" si="228"/>
        <v>0</v>
      </c>
      <c r="DQ28" s="113">
        <f t="shared" si="173"/>
        <v>5.6719808844843123E-2</v>
      </c>
      <c r="DR28" s="110">
        <f t="shared" si="174"/>
        <v>0</v>
      </c>
      <c r="DS28" s="115">
        <f t="shared" si="175"/>
        <v>0</v>
      </c>
      <c r="DT28" s="110">
        <f t="shared" si="176"/>
        <v>0</v>
      </c>
      <c r="DU28" s="52">
        <f>Summ.!$A36</f>
        <v>50510</v>
      </c>
      <c r="DV28" s="119" t="str">
        <f>Summ.!$B36</f>
        <v>Parking Lot Lights Maintenance</v>
      </c>
      <c r="DW28" s="134">
        <f t="shared" si="229"/>
        <v>0</v>
      </c>
      <c r="DX28" s="110">
        <f t="shared" si="230"/>
        <v>0</v>
      </c>
      <c r="DY28" s="110">
        <f t="shared" si="231"/>
        <v>0</v>
      </c>
      <c r="DZ28" s="113">
        <f t="shared" si="177"/>
        <v>0.15695875279094362</v>
      </c>
      <c r="EA28" s="110">
        <f t="shared" si="178"/>
        <v>0</v>
      </c>
      <c r="EB28" s="115">
        <f t="shared" si="179"/>
        <v>0</v>
      </c>
      <c r="EC28" s="110">
        <f t="shared" si="180"/>
        <v>0</v>
      </c>
      <c r="ED28" s="52">
        <f>Summ.!$A36</f>
        <v>50510</v>
      </c>
      <c r="EE28" s="119" t="str">
        <f>Summ.!$B36</f>
        <v>Parking Lot Lights Maintenance</v>
      </c>
      <c r="EF28" s="134">
        <f t="shared" si="232"/>
        <v>0</v>
      </c>
      <c r="EG28" s="110">
        <f t="shared" si="233"/>
        <v>0</v>
      </c>
      <c r="EH28" s="110">
        <f t="shared" si="234"/>
        <v>0</v>
      </c>
      <c r="EI28" s="113">
        <f t="shared" si="181"/>
        <v>0.12730620079125701</v>
      </c>
      <c r="EJ28" s="110">
        <f t="shared" si="182"/>
        <v>0</v>
      </c>
      <c r="EK28" s="115">
        <f t="shared" si="183"/>
        <v>0</v>
      </c>
      <c r="EL28" s="110">
        <f t="shared" si="184"/>
        <v>0</v>
      </c>
      <c r="EM28" s="52">
        <f>Summ.!$A36</f>
        <v>50510</v>
      </c>
      <c r="EN28" s="119" t="str">
        <f>Summ.!$B36</f>
        <v>Parking Lot Lights Maintenance</v>
      </c>
      <c r="EO28" s="134">
        <f t="shared" si="235"/>
        <v>0</v>
      </c>
      <c r="EP28" s="110">
        <v>0</v>
      </c>
      <c r="EQ28" s="110">
        <f t="shared" si="236"/>
        <v>0</v>
      </c>
      <c r="ER28" s="113">
        <f t="shared" si="185"/>
        <v>3.9034039719534647E-2</v>
      </c>
      <c r="ES28" s="110">
        <f t="shared" si="186"/>
        <v>0</v>
      </c>
      <c r="ET28" s="115">
        <f t="shared" si="187"/>
        <v>0</v>
      </c>
      <c r="EU28" s="110">
        <f t="shared" si="188"/>
        <v>0</v>
      </c>
      <c r="EV28" s="52">
        <f>Summ.!$A36</f>
        <v>50510</v>
      </c>
      <c r="EW28" s="119" t="str">
        <f>Summ.!$B36</f>
        <v>Parking Lot Lights Maintenance</v>
      </c>
      <c r="EX28" s="134">
        <f t="shared" si="237"/>
        <v>0</v>
      </c>
      <c r="EY28" s="110">
        <v>0</v>
      </c>
      <c r="EZ28" s="110">
        <f t="shared" si="238"/>
        <v>0</v>
      </c>
      <c r="FA28" s="113">
        <f t="shared" si="189"/>
        <v>1.8841317717106038E-2</v>
      </c>
      <c r="FB28" s="110">
        <f t="shared" si="190"/>
        <v>0</v>
      </c>
      <c r="FC28" s="115">
        <f t="shared" si="191"/>
        <v>0</v>
      </c>
      <c r="FD28" s="110">
        <f t="shared" si="192"/>
        <v>0</v>
      </c>
      <c r="FE28" s="52">
        <f>Summ.!$A36</f>
        <v>50510</v>
      </c>
      <c r="FF28" s="119" t="str">
        <f>Summ.!$B36</f>
        <v>Parking Lot Lights Maintenance</v>
      </c>
      <c r="FG28" s="134">
        <f t="shared" si="239"/>
        <v>0</v>
      </c>
      <c r="FH28" s="110">
        <f t="shared" si="240"/>
        <v>0</v>
      </c>
      <c r="FI28" s="110">
        <f t="shared" si="241"/>
        <v>0</v>
      </c>
      <c r="FJ28" s="113">
        <f t="shared" si="193"/>
        <v>7.254494888166399E-2</v>
      </c>
      <c r="FK28" s="110">
        <f t="shared" si="194"/>
        <v>0</v>
      </c>
      <c r="FL28" s="115">
        <f t="shared" si="195"/>
        <v>0</v>
      </c>
      <c r="FM28" s="110">
        <f t="shared" si="196"/>
        <v>0</v>
      </c>
    </row>
    <row r="29" spans="1:169">
      <c r="A29" s="52">
        <f>Summ.!A37</f>
        <v>50520</v>
      </c>
      <c r="B29" s="45" t="str">
        <f>Summ.!B37</f>
        <v>Parking Lot Maintenance</v>
      </c>
      <c r="C29" s="45"/>
      <c r="D29" s="45"/>
      <c r="E29" s="45"/>
      <c r="F29" s="106">
        <f>+Summ.!O37</f>
        <v>2000</v>
      </c>
      <c r="G29" s="71">
        <f>Rent!$B$41</f>
        <v>51058</v>
      </c>
      <c r="H29" s="52">
        <f>Summ.!$A37</f>
        <v>50520</v>
      </c>
      <c r="I29" s="119" t="str">
        <f>Summ.!$B37</f>
        <v>Parking Lot Maintenance</v>
      </c>
      <c r="J29" s="134">
        <f t="shared" si="197"/>
        <v>2000</v>
      </c>
      <c r="K29" s="110">
        <v>0</v>
      </c>
      <c r="L29" s="110">
        <f t="shared" si="198"/>
        <v>2000</v>
      </c>
      <c r="M29" s="113">
        <f t="shared" si="124"/>
        <v>7.5854910102236675E-2</v>
      </c>
      <c r="N29" s="110">
        <f t="shared" si="125"/>
        <v>151.70982020447335</v>
      </c>
      <c r="O29" s="115">
        <f t="shared" si="126"/>
        <v>0</v>
      </c>
      <c r="P29" s="110">
        <f t="shared" si="127"/>
        <v>151.70982020447335</v>
      </c>
      <c r="Q29" s="52">
        <f>Summ.!$A37</f>
        <v>50520</v>
      </c>
      <c r="R29" s="119" t="str">
        <f>Summ.!$B37</f>
        <v>Parking Lot Maintenance</v>
      </c>
      <c r="S29" s="134">
        <f t="shared" si="199"/>
        <v>2000</v>
      </c>
      <c r="T29" s="110">
        <f t="shared" si="200"/>
        <v>0</v>
      </c>
      <c r="U29" s="110">
        <f t="shared" si="201"/>
        <v>2000</v>
      </c>
      <c r="V29" s="113">
        <f t="shared" si="128"/>
        <v>2.1034901484586158E-2</v>
      </c>
      <c r="W29" s="110">
        <f t="shared" si="129"/>
        <v>42.069802969172315</v>
      </c>
      <c r="X29" s="115">
        <f t="shared" si="130"/>
        <v>0</v>
      </c>
      <c r="Y29" s="110">
        <f t="shared" si="131"/>
        <v>42.069802969172315</v>
      </c>
      <c r="Z29" s="52">
        <f>Summ.!$A37</f>
        <v>50520</v>
      </c>
      <c r="AA29" s="119" t="str">
        <f>Summ.!$B37</f>
        <v>Parking Lot Maintenance</v>
      </c>
      <c r="AB29" s="134">
        <f t="shared" si="202"/>
        <v>2000</v>
      </c>
      <c r="AC29" s="110">
        <v>0</v>
      </c>
      <c r="AD29" s="110">
        <f t="shared" si="203"/>
        <v>2000</v>
      </c>
      <c r="AE29" s="113">
        <f t="shared" si="132"/>
        <v>3.9171138705002152E-3</v>
      </c>
      <c r="AF29" s="110">
        <f t="shared" si="133"/>
        <v>7.8342277410004302</v>
      </c>
      <c r="AG29" s="115">
        <f t="shared" si="134"/>
        <v>0</v>
      </c>
      <c r="AH29" s="110">
        <f t="shared" si="135"/>
        <v>7.8342277410004302</v>
      </c>
      <c r="AI29" s="52">
        <f>Summ.!$A37</f>
        <v>50520</v>
      </c>
      <c r="AJ29" s="119" t="str">
        <f>Summ.!$B37</f>
        <v>Parking Lot Maintenance</v>
      </c>
      <c r="AK29" s="134">
        <f t="shared" si="204"/>
        <v>2000</v>
      </c>
      <c r="AL29" s="110">
        <f t="shared" si="205"/>
        <v>0</v>
      </c>
      <c r="AM29" s="110">
        <f t="shared" si="206"/>
        <v>2000</v>
      </c>
      <c r="AN29" s="113">
        <f t="shared" si="136"/>
        <v>1.0145324924595559E-2</v>
      </c>
      <c r="AO29" s="110">
        <f t="shared" si="137"/>
        <v>20.290649849191119</v>
      </c>
      <c r="AP29" s="115">
        <f t="shared" si="138"/>
        <v>0</v>
      </c>
      <c r="AQ29" s="110">
        <f t="shared" si="139"/>
        <v>20.290649849191119</v>
      </c>
      <c r="AR29" s="52">
        <f>Summ.!$A37</f>
        <v>50520</v>
      </c>
      <c r="AS29" s="119" t="str">
        <f>Summ.!$B37</f>
        <v>Parking Lot Maintenance</v>
      </c>
      <c r="AT29" s="134">
        <f t="shared" si="207"/>
        <v>2000</v>
      </c>
      <c r="AU29" s="110">
        <f t="shared" si="208"/>
        <v>0</v>
      </c>
      <c r="AV29" s="110">
        <f t="shared" si="209"/>
        <v>2000</v>
      </c>
      <c r="AW29" s="113">
        <f t="shared" si="140"/>
        <v>1.0282423910063065E-2</v>
      </c>
      <c r="AX29" s="110">
        <f t="shared" si="141"/>
        <v>20.564847820126133</v>
      </c>
      <c r="AY29" s="115">
        <f t="shared" si="142"/>
        <v>0</v>
      </c>
      <c r="AZ29" s="110">
        <f t="shared" si="143"/>
        <v>20.564847820126133</v>
      </c>
      <c r="BA29" s="52">
        <f>Summ.!$A37</f>
        <v>50520</v>
      </c>
      <c r="BB29" s="119" t="str">
        <f>Summ.!$B37</f>
        <v>Parking Lot Maintenance</v>
      </c>
      <c r="BC29" s="134">
        <f t="shared" si="210"/>
        <v>2000</v>
      </c>
      <c r="BD29" s="110">
        <f t="shared" si="211"/>
        <v>0</v>
      </c>
      <c r="BE29" s="110">
        <f t="shared" si="212"/>
        <v>2000</v>
      </c>
      <c r="BF29" s="113" t="e">
        <f t="shared" si="144"/>
        <v>#REF!</v>
      </c>
      <c r="BG29" s="110" t="e">
        <f t="shared" si="145"/>
        <v>#REF!</v>
      </c>
      <c r="BH29" s="115" t="e">
        <f t="shared" si="146"/>
        <v>#REF!</v>
      </c>
      <c r="BI29" s="110" t="e">
        <f t="shared" si="147"/>
        <v>#REF!</v>
      </c>
      <c r="BJ29" s="52">
        <f>Summ.!$A37</f>
        <v>50520</v>
      </c>
      <c r="BK29" s="119" t="str">
        <f>Summ.!$B37</f>
        <v>Parking Lot Maintenance</v>
      </c>
      <c r="BL29" s="134">
        <f t="shared" si="213"/>
        <v>2000</v>
      </c>
      <c r="BM29" s="110">
        <f t="shared" si="148"/>
        <v>0</v>
      </c>
      <c r="BN29" s="110">
        <f t="shared" si="214"/>
        <v>2000</v>
      </c>
      <c r="BO29" s="113">
        <f t="shared" si="149"/>
        <v>1.9468055936386071E-2</v>
      </c>
      <c r="BP29" s="110">
        <f t="shared" si="150"/>
        <v>38.936111872772145</v>
      </c>
      <c r="BQ29" s="115">
        <f t="shared" si="151"/>
        <v>0</v>
      </c>
      <c r="BR29" s="110">
        <f t="shared" si="152"/>
        <v>38.936111872772145</v>
      </c>
      <c r="BS29" s="52">
        <f>Summ.!$A37</f>
        <v>50520</v>
      </c>
      <c r="BT29" s="119" t="str">
        <f>Summ.!$B37</f>
        <v>Parking Lot Maintenance</v>
      </c>
      <c r="BU29" s="134">
        <f t="shared" si="215"/>
        <v>2000</v>
      </c>
      <c r="BV29" s="110">
        <f t="shared" si="216"/>
        <v>0</v>
      </c>
      <c r="BW29" s="110">
        <f t="shared" si="217"/>
        <v>2000</v>
      </c>
      <c r="BX29" s="113">
        <f t="shared" si="153"/>
        <v>2.0427748834658623E-2</v>
      </c>
      <c r="BY29" s="110">
        <f t="shared" si="154"/>
        <v>40.855497669317245</v>
      </c>
      <c r="BZ29" s="115">
        <f t="shared" si="155"/>
        <v>0</v>
      </c>
      <c r="CA29" s="110">
        <f t="shared" si="156"/>
        <v>40.855497669317245</v>
      </c>
      <c r="CB29" s="52">
        <f>Summ.!$A37</f>
        <v>50520</v>
      </c>
      <c r="CC29" s="119" t="str">
        <f>Summ.!$B37</f>
        <v>Parking Lot Maintenance</v>
      </c>
      <c r="CD29" s="134">
        <f t="shared" si="218"/>
        <v>2000</v>
      </c>
      <c r="CE29" s="110">
        <v>0</v>
      </c>
      <c r="CF29" s="110">
        <f t="shared" si="219"/>
        <v>2000</v>
      </c>
      <c r="CG29" s="113">
        <f t="shared" si="157"/>
        <v>6.9058717536918793E-2</v>
      </c>
      <c r="CH29" s="110">
        <f t="shared" si="158"/>
        <v>138.11743507383758</v>
      </c>
      <c r="CI29" s="115">
        <f t="shared" si="159"/>
        <v>0</v>
      </c>
      <c r="CJ29" s="110">
        <f t="shared" si="160"/>
        <v>138.11743507383758</v>
      </c>
      <c r="CK29" s="52">
        <f>Summ.!$A37</f>
        <v>50520</v>
      </c>
      <c r="CL29" s="119" t="str">
        <f>Summ.!$B37</f>
        <v>Parking Lot Maintenance</v>
      </c>
      <c r="CM29" s="134">
        <f t="shared" si="220"/>
        <v>2000</v>
      </c>
      <c r="CN29" s="110">
        <f t="shared" si="221"/>
        <v>0</v>
      </c>
      <c r="CO29" s="110">
        <f t="shared" si="222"/>
        <v>2000</v>
      </c>
      <c r="CP29" s="113">
        <f t="shared" si="161"/>
        <v>0.21027067256845156</v>
      </c>
      <c r="CQ29" s="110">
        <f t="shared" si="162"/>
        <v>420.54134513690309</v>
      </c>
      <c r="CR29" s="115">
        <f t="shared" si="163"/>
        <v>0</v>
      </c>
      <c r="CS29" s="110">
        <f t="shared" si="164"/>
        <v>420.54134513690309</v>
      </c>
      <c r="CT29" s="52">
        <f>Summ.!$A37</f>
        <v>50520</v>
      </c>
      <c r="CU29" s="119" t="str">
        <f>Summ.!$B37</f>
        <v>Parking Lot Maintenance</v>
      </c>
      <c r="CV29" s="134">
        <f t="shared" si="223"/>
        <v>2000</v>
      </c>
      <c r="CW29" s="110">
        <v>0</v>
      </c>
      <c r="CX29" s="110">
        <f t="shared" si="224"/>
        <v>2000</v>
      </c>
      <c r="CY29" s="113">
        <f t="shared" si="165"/>
        <v>5.8756708057503229E-2</v>
      </c>
      <c r="CZ29" s="110">
        <f t="shared" si="166"/>
        <v>117.51341611500646</v>
      </c>
      <c r="DA29" s="115">
        <f t="shared" si="167"/>
        <v>0</v>
      </c>
      <c r="DB29" s="110">
        <f t="shared" si="168"/>
        <v>117.51341611500646</v>
      </c>
      <c r="DC29" s="52">
        <f>Summ.!$A37</f>
        <v>50520</v>
      </c>
      <c r="DD29" s="119" t="str">
        <f>Summ.!$B37</f>
        <v>Parking Lot Maintenance</v>
      </c>
      <c r="DE29" s="134">
        <f t="shared" si="225"/>
        <v>2000</v>
      </c>
      <c r="DF29" s="110">
        <v>0</v>
      </c>
      <c r="DG29" s="110">
        <f t="shared" si="226"/>
        <v>2000</v>
      </c>
      <c r="DH29" s="113">
        <f t="shared" si="169"/>
        <v>9.7927846762505388E-3</v>
      </c>
      <c r="DI29" s="110">
        <f t="shared" si="170"/>
        <v>19.585569352501079</v>
      </c>
      <c r="DJ29" s="115">
        <f t="shared" si="171"/>
        <v>0</v>
      </c>
      <c r="DK29" s="110">
        <f t="shared" si="172"/>
        <v>19.585569352501079</v>
      </c>
      <c r="DL29" s="52">
        <f>Summ.!$A37</f>
        <v>50520</v>
      </c>
      <c r="DM29" s="119" t="str">
        <f>Summ.!$B37</f>
        <v>Parking Lot Maintenance</v>
      </c>
      <c r="DN29" s="134">
        <f t="shared" si="227"/>
        <v>2000</v>
      </c>
      <c r="DO29" s="110">
        <v>0</v>
      </c>
      <c r="DP29" s="110">
        <f t="shared" si="228"/>
        <v>2000</v>
      </c>
      <c r="DQ29" s="113">
        <f t="shared" si="173"/>
        <v>5.6719808844843123E-2</v>
      </c>
      <c r="DR29" s="110">
        <f t="shared" si="174"/>
        <v>113.43961768968624</v>
      </c>
      <c r="DS29" s="115">
        <f t="shared" si="175"/>
        <v>0</v>
      </c>
      <c r="DT29" s="110">
        <f t="shared" si="176"/>
        <v>113.43961768968624</v>
      </c>
      <c r="DU29" s="52">
        <f>Summ.!$A37</f>
        <v>50520</v>
      </c>
      <c r="DV29" s="119" t="str">
        <f>Summ.!$B37</f>
        <v>Parking Lot Maintenance</v>
      </c>
      <c r="DW29" s="134">
        <f t="shared" si="229"/>
        <v>2000</v>
      </c>
      <c r="DX29" s="110">
        <f t="shared" si="230"/>
        <v>0</v>
      </c>
      <c r="DY29" s="110">
        <f t="shared" si="231"/>
        <v>2000</v>
      </c>
      <c r="DZ29" s="113">
        <f t="shared" si="177"/>
        <v>0.15695875279094362</v>
      </c>
      <c r="EA29" s="110">
        <f t="shared" si="178"/>
        <v>313.91750558188727</v>
      </c>
      <c r="EB29" s="115">
        <f t="shared" si="179"/>
        <v>0</v>
      </c>
      <c r="EC29" s="110">
        <f t="shared" si="180"/>
        <v>313.91750558188727</v>
      </c>
      <c r="ED29" s="52">
        <f>Summ.!$A37</f>
        <v>50520</v>
      </c>
      <c r="EE29" s="119" t="str">
        <f>Summ.!$B37</f>
        <v>Parking Lot Maintenance</v>
      </c>
      <c r="EF29" s="134">
        <f t="shared" si="232"/>
        <v>2000</v>
      </c>
      <c r="EG29" s="110">
        <f t="shared" si="233"/>
        <v>0</v>
      </c>
      <c r="EH29" s="110">
        <f t="shared" si="234"/>
        <v>2000</v>
      </c>
      <c r="EI29" s="113">
        <f t="shared" si="181"/>
        <v>0.12730620079125701</v>
      </c>
      <c r="EJ29" s="110">
        <f t="shared" si="182"/>
        <v>254.61240158251402</v>
      </c>
      <c r="EK29" s="115">
        <f t="shared" si="183"/>
        <v>38.191860237377099</v>
      </c>
      <c r="EL29" s="110">
        <f t="shared" si="184"/>
        <v>292.80426181989111</v>
      </c>
      <c r="EM29" s="52">
        <f>Summ.!$A37</f>
        <v>50520</v>
      </c>
      <c r="EN29" s="119" t="str">
        <f>Summ.!$B37</f>
        <v>Parking Lot Maintenance</v>
      </c>
      <c r="EO29" s="134">
        <f t="shared" si="235"/>
        <v>2000</v>
      </c>
      <c r="EP29" s="110">
        <v>0</v>
      </c>
      <c r="EQ29" s="110">
        <f t="shared" si="236"/>
        <v>2000</v>
      </c>
      <c r="ER29" s="113">
        <f t="shared" si="185"/>
        <v>3.9034039719534647E-2</v>
      </c>
      <c r="ES29" s="110">
        <f t="shared" si="186"/>
        <v>78.068079439069294</v>
      </c>
      <c r="ET29" s="115">
        <f t="shared" si="187"/>
        <v>0</v>
      </c>
      <c r="EU29" s="110">
        <f t="shared" si="188"/>
        <v>78.068079439069294</v>
      </c>
      <c r="EV29" s="52">
        <f>Summ.!$A37</f>
        <v>50520</v>
      </c>
      <c r="EW29" s="119" t="str">
        <f>Summ.!$B37</f>
        <v>Parking Lot Maintenance</v>
      </c>
      <c r="EX29" s="134">
        <f t="shared" si="237"/>
        <v>2000</v>
      </c>
      <c r="EY29" s="110">
        <v>0</v>
      </c>
      <c r="EZ29" s="110">
        <f t="shared" si="238"/>
        <v>2000</v>
      </c>
      <c r="FA29" s="113">
        <f t="shared" si="189"/>
        <v>1.8841317717106038E-2</v>
      </c>
      <c r="FB29" s="110">
        <f t="shared" si="190"/>
        <v>37.682635434212074</v>
      </c>
      <c r="FC29" s="115">
        <f t="shared" si="191"/>
        <v>0</v>
      </c>
      <c r="FD29" s="110">
        <f t="shared" si="192"/>
        <v>37.682635434212074</v>
      </c>
      <c r="FE29" s="52">
        <f>Summ.!$A37</f>
        <v>50520</v>
      </c>
      <c r="FF29" s="119" t="str">
        <f>Summ.!$B37</f>
        <v>Parking Lot Maintenance</v>
      </c>
      <c r="FG29" s="134">
        <f t="shared" si="239"/>
        <v>2000</v>
      </c>
      <c r="FH29" s="110">
        <f t="shared" si="240"/>
        <v>0</v>
      </c>
      <c r="FI29" s="110">
        <f t="shared" si="241"/>
        <v>2000</v>
      </c>
      <c r="FJ29" s="113">
        <f t="shared" si="193"/>
        <v>7.254494888166399E-2</v>
      </c>
      <c r="FK29" s="110">
        <f t="shared" si="194"/>
        <v>145.08989776332797</v>
      </c>
      <c r="FL29" s="115">
        <f t="shared" si="195"/>
        <v>0</v>
      </c>
      <c r="FM29" s="110">
        <f t="shared" si="196"/>
        <v>145.08989776332797</v>
      </c>
    </row>
    <row r="30" spans="1:169">
      <c r="A30" s="52">
        <f>Summ.!A39</f>
        <v>50530</v>
      </c>
      <c r="B30" s="45" t="str">
        <f>Summ.!B39</f>
        <v>Parking Lot Lights Repair</v>
      </c>
      <c r="C30" s="45"/>
      <c r="D30" s="45"/>
      <c r="E30" s="45"/>
      <c r="F30" s="106">
        <f>+Summ.!O39</f>
        <v>6000</v>
      </c>
      <c r="G30" s="71">
        <f>Rent!$B$41</f>
        <v>51058</v>
      </c>
      <c r="H30" s="52">
        <f>Summ.!$A39</f>
        <v>50530</v>
      </c>
      <c r="I30" s="119" t="str">
        <f>Summ.!$B39</f>
        <v>Parking Lot Lights Repair</v>
      </c>
      <c r="J30" s="134">
        <f t="shared" si="197"/>
        <v>6000</v>
      </c>
      <c r="K30" s="110">
        <v>0</v>
      </c>
      <c r="L30" s="110">
        <f t="shared" si="198"/>
        <v>6000</v>
      </c>
      <c r="M30" s="113">
        <f t="shared" si="124"/>
        <v>7.5854910102236675E-2</v>
      </c>
      <c r="N30" s="110">
        <f t="shared" si="125"/>
        <v>455.12946061342006</v>
      </c>
      <c r="O30" s="115">
        <f t="shared" si="126"/>
        <v>0</v>
      </c>
      <c r="P30" s="110">
        <f t="shared" si="127"/>
        <v>455.12946061342006</v>
      </c>
      <c r="Q30" s="52">
        <f>Summ.!$A39</f>
        <v>50530</v>
      </c>
      <c r="R30" s="119" t="str">
        <f>Summ.!$B39</f>
        <v>Parking Lot Lights Repair</v>
      </c>
      <c r="S30" s="134">
        <f t="shared" si="199"/>
        <v>6000</v>
      </c>
      <c r="T30" s="110">
        <f t="shared" si="200"/>
        <v>0</v>
      </c>
      <c r="U30" s="110">
        <f t="shared" si="201"/>
        <v>6000</v>
      </c>
      <c r="V30" s="113">
        <f t="shared" si="128"/>
        <v>2.1034901484586158E-2</v>
      </c>
      <c r="W30" s="110">
        <f t="shared" si="129"/>
        <v>126.20940890751694</v>
      </c>
      <c r="X30" s="115">
        <f t="shared" si="130"/>
        <v>0</v>
      </c>
      <c r="Y30" s="110">
        <f t="shared" si="131"/>
        <v>126.20940890751694</v>
      </c>
      <c r="Z30" s="52">
        <f>Summ.!$A39</f>
        <v>50530</v>
      </c>
      <c r="AA30" s="119" t="str">
        <f>Summ.!$B39</f>
        <v>Parking Lot Lights Repair</v>
      </c>
      <c r="AB30" s="134">
        <f t="shared" si="202"/>
        <v>6000</v>
      </c>
      <c r="AC30" s="110">
        <v>0</v>
      </c>
      <c r="AD30" s="110">
        <f t="shared" si="203"/>
        <v>6000</v>
      </c>
      <c r="AE30" s="113">
        <f t="shared" si="132"/>
        <v>3.9171138705002152E-3</v>
      </c>
      <c r="AF30" s="110">
        <f t="shared" si="133"/>
        <v>23.502683223001291</v>
      </c>
      <c r="AG30" s="115">
        <f t="shared" si="134"/>
        <v>0</v>
      </c>
      <c r="AH30" s="110">
        <f t="shared" si="135"/>
        <v>23.502683223001291</v>
      </c>
      <c r="AI30" s="52">
        <f>Summ.!$A39</f>
        <v>50530</v>
      </c>
      <c r="AJ30" s="119" t="str">
        <f>Summ.!$B39</f>
        <v>Parking Lot Lights Repair</v>
      </c>
      <c r="AK30" s="134">
        <f t="shared" si="204"/>
        <v>6000</v>
      </c>
      <c r="AL30" s="110">
        <f t="shared" si="205"/>
        <v>0</v>
      </c>
      <c r="AM30" s="110">
        <f t="shared" si="206"/>
        <v>6000</v>
      </c>
      <c r="AN30" s="113">
        <f t="shared" si="136"/>
        <v>1.0145324924595559E-2</v>
      </c>
      <c r="AO30" s="110">
        <f t="shared" si="137"/>
        <v>60.871949547573351</v>
      </c>
      <c r="AP30" s="115">
        <f t="shared" si="138"/>
        <v>0</v>
      </c>
      <c r="AQ30" s="110">
        <f t="shared" si="139"/>
        <v>60.871949547573351</v>
      </c>
      <c r="AR30" s="52">
        <f>Summ.!$A39</f>
        <v>50530</v>
      </c>
      <c r="AS30" s="119" t="str">
        <f>Summ.!$B39</f>
        <v>Parking Lot Lights Repair</v>
      </c>
      <c r="AT30" s="134">
        <f t="shared" si="207"/>
        <v>6000</v>
      </c>
      <c r="AU30" s="110">
        <f t="shared" si="208"/>
        <v>0</v>
      </c>
      <c r="AV30" s="110">
        <f t="shared" si="209"/>
        <v>6000</v>
      </c>
      <c r="AW30" s="113">
        <f t="shared" si="140"/>
        <v>1.0282423910063065E-2</v>
      </c>
      <c r="AX30" s="110">
        <f t="shared" si="141"/>
        <v>61.694543460378391</v>
      </c>
      <c r="AY30" s="115">
        <f t="shared" si="142"/>
        <v>0</v>
      </c>
      <c r="AZ30" s="110">
        <f t="shared" si="143"/>
        <v>61.694543460378391</v>
      </c>
      <c r="BA30" s="52">
        <f>Summ.!$A39</f>
        <v>50530</v>
      </c>
      <c r="BB30" s="119" t="str">
        <f>Summ.!$B39</f>
        <v>Parking Lot Lights Repair</v>
      </c>
      <c r="BC30" s="134">
        <f t="shared" si="210"/>
        <v>6000</v>
      </c>
      <c r="BD30" s="110">
        <f t="shared" si="211"/>
        <v>0</v>
      </c>
      <c r="BE30" s="110">
        <f t="shared" si="212"/>
        <v>6000</v>
      </c>
      <c r="BF30" s="113" t="e">
        <f t="shared" si="144"/>
        <v>#REF!</v>
      </c>
      <c r="BG30" s="110" t="e">
        <f t="shared" si="145"/>
        <v>#REF!</v>
      </c>
      <c r="BH30" s="115" t="e">
        <f t="shared" si="146"/>
        <v>#REF!</v>
      </c>
      <c r="BI30" s="110" t="e">
        <f t="shared" si="147"/>
        <v>#REF!</v>
      </c>
      <c r="BJ30" s="52">
        <f>Summ.!$A39</f>
        <v>50530</v>
      </c>
      <c r="BK30" s="119" t="str">
        <f>Summ.!$B39</f>
        <v>Parking Lot Lights Repair</v>
      </c>
      <c r="BL30" s="134">
        <f t="shared" si="213"/>
        <v>6000</v>
      </c>
      <c r="BM30" s="110">
        <f t="shared" si="148"/>
        <v>0</v>
      </c>
      <c r="BN30" s="110">
        <f t="shared" si="214"/>
        <v>6000</v>
      </c>
      <c r="BO30" s="113">
        <f t="shared" si="149"/>
        <v>1.9468055936386071E-2</v>
      </c>
      <c r="BP30" s="110">
        <f t="shared" si="150"/>
        <v>116.80833561831642</v>
      </c>
      <c r="BQ30" s="115">
        <f t="shared" si="151"/>
        <v>0</v>
      </c>
      <c r="BR30" s="110">
        <f t="shared" si="152"/>
        <v>116.80833561831642</v>
      </c>
      <c r="BS30" s="52">
        <f>Summ.!$A39</f>
        <v>50530</v>
      </c>
      <c r="BT30" s="119" t="str">
        <f>Summ.!$B39</f>
        <v>Parking Lot Lights Repair</v>
      </c>
      <c r="BU30" s="134">
        <f t="shared" si="215"/>
        <v>6000</v>
      </c>
      <c r="BV30" s="110">
        <f t="shared" si="216"/>
        <v>0</v>
      </c>
      <c r="BW30" s="110">
        <f t="shared" si="217"/>
        <v>6000</v>
      </c>
      <c r="BX30" s="113">
        <f t="shared" si="153"/>
        <v>2.0427748834658623E-2</v>
      </c>
      <c r="BY30" s="110">
        <f t="shared" si="154"/>
        <v>122.56649300795173</v>
      </c>
      <c r="BZ30" s="115">
        <f t="shared" si="155"/>
        <v>0</v>
      </c>
      <c r="CA30" s="110">
        <f t="shared" si="156"/>
        <v>122.56649300795173</v>
      </c>
      <c r="CB30" s="52">
        <f>Summ.!$A39</f>
        <v>50530</v>
      </c>
      <c r="CC30" s="119" t="str">
        <f>Summ.!$B39</f>
        <v>Parking Lot Lights Repair</v>
      </c>
      <c r="CD30" s="134">
        <f t="shared" si="218"/>
        <v>6000</v>
      </c>
      <c r="CE30" s="110">
        <v>0</v>
      </c>
      <c r="CF30" s="110">
        <f t="shared" si="219"/>
        <v>6000</v>
      </c>
      <c r="CG30" s="113">
        <f t="shared" si="157"/>
        <v>6.9058717536918793E-2</v>
      </c>
      <c r="CH30" s="110">
        <f t="shared" si="158"/>
        <v>414.35230522151278</v>
      </c>
      <c r="CI30" s="115">
        <f t="shared" si="159"/>
        <v>0</v>
      </c>
      <c r="CJ30" s="110">
        <f t="shared" si="160"/>
        <v>414.35230522151278</v>
      </c>
      <c r="CK30" s="52">
        <f>Summ.!$A39</f>
        <v>50530</v>
      </c>
      <c r="CL30" s="119" t="str">
        <f>Summ.!$B39</f>
        <v>Parking Lot Lights Repair</v>
      </c>
      <c r="CM30" s="134">
        <f t="shared" si="220"/>
        <v>6000</v>
      </c>
      <c r="CN30" s="110">
        <f t="shared" si="221"/>
        <v>0</v>
      </c>
      <c r="CO30" s="110">
        <f t="shared" si="222"/>
        <v>6000</v>
      </c>
      <c r="CP30" s="113">
        <f t="shared" si="161"/>
        <v>0.21027067256845156</v>
      </c>
      <c r="CQ30" s="110">
        <f t="shared" si="162"/>
        <v>1261.6240354107094</v>
      </c>
      <c r="CR30" s="115">
        <f t="shared" si="163"/>
        <v>0</v>
      </c>
      <c r="CS30" s="110">
        <f t="shared" si="164"/>
        <v>1261.6240354107094</v>
      </c>
      <c r="CT30" s="52">
        <f>Summ.!$A39</f>
        <v>50530</v>
      </c>
      <c r="CU30" s="119" t="str">
        <f>Summ.!$B39</f>
        <v>Parking Lot Lights Repair</v>
      </c>
      <c r="CV30" s="134">
        <f t="shared" si="223"/>
        <v>6000</v>
      </c>
      <c r="CW30" s="110">
        <v>0</v>
      </c>
      <c r="CX30" s="110">
        <f t="shared" si="224"/>
        <v>6000</v>
      </c>
      <c r="CY30" s="113">
        <f t="shared" si="165"/>
        <v>5.8756708057503229E-2</v>
      </c>
      <c r="CZ30" s="110">
        <f t="shared" si="166"/>
        <v>352.54024834501939</v>
      </c>
      <c r="DA30" s="115">
        <f t="shared" si="167"/>
        <v>0</v>
      </c>
      <c r="DB30" s="110">
        <f t="shared" si="168"/>
        <v>352.54024834501939</v>
      </c>
      <c r="DC30" s="52">
        <f>Summ.!$A39</f>
        <v>50530</v>
      </c>
      <c r="DD30" s="119" t="str">
        <f>Summ.!$B39</f>
        <v>Parking Lot Lights Repair</v>
      </c>
      <c r="DE30" s="134">
        <f t="shared" si="225"/>
        <v>6000</v>
      </c>
      <c r="DF30" s="110">
        <v>0</v>
      </c>
      <c r="DG30" s="110">
        <f t="shared" si="226"/>
        <v>6000</v>
      </c>
      <c r="DH30" s="113">
        <f t="shared" si="169"/>
        <v>9.7927846762505388E-3</v>
      </c>
      <c r="DI30" s="110">
        <f t="shared" si="170"/>
        <v>58.756708057503232</v>
      </c>
      <c r="DJ30" s="115">
        <f t="shared" si="171"/>
        <v>0</v>
      </c>
      <c r="DK30" s="110">
        <f t="shared" si="172"/>
        <v>58.756708057503232</v>
      </c>
      <c r="DL30" s="52">
        <f>Summ.!$A39</f>
        <v>50530</v>
      </c>
      <c r="DM30" s="119" t="str">
        <f>Summ.!$B39</f>
        <v>Parking Lot Lights Repair</v>
      </c>
      <c r="DN30" s="134">
        <f t="shared" si="227"/>
        <v>6000</v>
      </c>
      <c r="DO30" s="110">
        <v>0</v>
      </c>
      <c r="DP30" s="110">
        <f t="shared" si="228"/>
        <v>6000</v>
      </c>
      <c r="DQ30" s="113">
        <f t="shared" si="173"/>
        <v>5.6719808844843123E-2</v>
      </c>
      <c r="DR30" s="110">
        <f t="shared" si="174"/>
        <v>340.31885306905872</v>
      </c>
      <c r="DS30" s="115">
        <f t="shared" si="175"/>
        <v>0</v>
      </c>
      <c r="DT30" s="110">
        <f t="shared" si="176"/>
        <v>340.31885306905872</v>
      </c>
      <c r="DU30" s="52">
        <f>Summ.!$A39</f>
        <v>50530</v>
      </c>
      <c r="DV30" s="119" t="str">
        <f>Summ.!$B39</f>
        <v>Parking Lot Lights Repair</v>
      </c>
      <c r="DW30" s="134">
        <f t="shared" si="229"/>
        <v>6000</v>
      </c>
      <c r="DX30" s="110">
        <f t="shared" si="230"/>
        <v>0</v>
      </c>
      <c r="DY30" s="110">
        <f t="shared" si="231"/>
        <v>6000</v>
      </c>
      <c r="DZ30" s="113">
        <f t="shared" si="177"/>
        <v>0.15695875279094362</v>
      </c>
      <c r="EA30" s="110">
        <f t="shared" si="178"/>
        <v>941.75251674566175</v>
      </c>
      <c r="EB30" s="115">
        <f t="shared" si="179"/>
        <v>0</v>
      </c>
      <c r="EC30" s="110">
        <f t="shared" si="180"/>
        <v>941.75251674566175</v>
      </c>
      <c r="ED30" s="52">
        <f>Summ.!$A39</f>
        <v>50530</v>
      </c>
      <c r="EE30" s="119" t="str">
        <f>Summ.!$B39</f>
        <v>Parking Lot Lights Repair</v>
      </c>
      <c r="EF30" s="134">
        <f t="shared" si="232"/>
        <v>6000</v>
      </c>
      <c r="EG30" s="110">
        <f t="shared" si="233"/>
        <v>0</v>
      </c>
      <c r="EH30" s="110">
        <f t="shared" si="234"/>
        <v>6000</v>
      </c>
      <c r="EI30" s="113">
        <f t="shared" si="181"/>
        <v>0.12730620079125701</v>
      </c>
      <c r="EJ30" s="110">
        <f t="shared" si="182"/>
        <v>763.83720474754205</v>
      </c>
      <c r="EK30" s="115">
        <f t="shared" si="183"/>
        <v>114.5755807121313</v>
      </c>
      <c r="EL30" s="110">
        <f t="shared" si="184"/>
        <v>878.41278545967339</v>
      </c>
      <c r="EM30" s="52">
        <f>Summ.!$A39</f>
        <v>50530</v>
      </c>
      <c r="EN30" s="119" t="str">
        <f>Summ.!$B39</f>
        <v>Parking Lot Lights Repair</v>
      </c>
      <c r="EO30" s="134">
        <f t="shared" si="235"/>
        <v>6000</v>
      </c>
      <c r="EP30" s="110">
        <v>0</v>
      </c>
      <c r="EQ30" s="110">
        <f t="shared" si="236"/>
        <v>6000</v>
      </c>
      <c r="ER30" s="113">
        <f t="shared" si="185"/>
        <v>3.9034039719534647E-2</v>
      </c>
      <c r="ES30" s="110">
        <f t="shared" si="186"/>
        <v>234.20423831720788</v>
      </c>
      <c r="ET30" s="115">
        <f t="shared" si="187"/>
        <v>0</v>
      </c>
      <c r="EU30" s="110">
        <f t="shared" si="188"/>
        <v>234.20423831720788</v>
      </c>
      <c r="EV30" s="52">
        <f>Summ.!$A39</f>
        <v>50530</v>
      </c>
      <c r="EW30" s="119" t="str">
        <f>Summ.!$B39</f>
        <v>Parking Lot Lights Repair</v>
      </c>
      <c r="EX30" s="134">
        <f t="shared" si="237"/>
        <v>6000</v>
      </c>
      <c r="EY30" s="110">
        <v>0</v>
      </c>
      <c r="EZ30" s="110">
        <f t="shared" si="238"/>
        <v>6000</v>
      </c>
      <c r="FA30" s="113">
        <f t="shared" si="189"/>
        <v>1.8841317717106038E-2</v>
      </c>
      <c r="FB30" s="110">
        <f t="shared" si="190"/>
        <v>113.04790630263622</v>
      </c>
      <c r="FC30" s="115">
        <f t="shared" si="191"/>
        <v>0</v>
      </c>
      <c r="FD30" s="110">
        <f t="shared" si="192"/>
        <v>113.04790630263622</v>
      </c>
      <c r="FE30" s="52">
        <f>Summ.!$A39</f>
        <v>50530</v>
      </c>
      <c r="FF30" s="119" t="str">
        <f>Summ.!$B39</f>
        <v>Parking Lot Lights Repair</v>
      </c>
      <c r="FG30" s="134">
        <f t="shared" si="239"/>
        <v>6000</v>
      </c>
      <c r="FH30" s="110">
        <f t="shared" si="240"/>
        <v>0</v>
      </c>
      <c r="FI30" s="110">
        <f t="shared" si="241"/>
        <v>6000</v>
      </c>
      <c r="FJ30" s="113">
        <f t="shared" si="193"/>
        <v>7.254494888166399E-2</v>
      </c>
      <c r="FK30" s="110">
        <f t="shared" si="194"/>
        <v>435.26969328998393</v>
      </c>
      <c r="FL30" s="115">
        <f t="shared" si="195"/>
        <v>0</v>
      </c>
      <c r="FM30" s="110">
        <f t="shared" si="196"/>
        <v>435.26969328998393</v>
      </c>
    </row>
    <row r="31" spans="1:169">
      <c r="A31" s="52">
        <f>Summ.!A40</f>
        <v>50540</v>
      </c>
      <c r="B31" s="45" t="str">
        <f>Summ.!B40</f>
        <v>Parking Lot Repairs</v>
      </c>
      <c r="C31" s="45"/>
      <c r="D31" s="45"/>
      <c r="E31" s="45"/>
      <c r="F31" s="106">
        <v>0</v>
      </c>
      <c r="G31" s="71">
        <f>Rent!$B$41</f>
        <v>51058</v>
      </c>
      <c r="H31" s="52">
        <f>Summ.!$A40</f>
        <v>50540</v>
      </c>
      <c r="I31" s="119" t="str">
        <f>Summ.!$B40</f>
        <v>Parking Lot Repairs</v>
      </c>
      <c r="J31" s="134">
        <f t="shared" si="197"/>
        <v>0</v>
      </c>
      <c r="K31" s="110">
        <v>0</v>
      </c>
      <c r="L31" s="110">
        <f t="shared" si="198"/>
        <v>0</v>
      </c>
      <c r="M31" s="113">
        <f t="shared" si="124"/>
        <v>7.5854910102236675E-2</v>
      </c>
      <c r="N31" s="110">
        <f t="shared" si="125"/>
        <v>0</v>
      </c>
      <c r="O31" s="115">
        <f t="shared" si="126"/>
        <v>0</v>
      </c>
      <c r="P31" s="110">
        <f t="shared" si="127"/>
        <v>0</v>
      </c>
      <c r="Q31" s="52">
        <f>Summ.!$A40</f>
        <v>50540</v>
      </c>
      <c r="R31" s="119" t="str">
        <f>Summ.!$B40</f>
        <v>Parking Lot Repairs</v>
      </c>
      <c r="S31" s="134">
        <f t="shared" si="199"/>
        <v>0</v>
      </c>
      <c r="T31" s="110">
        <f t="shared" si="200"/>
        <v>0</v>
      </c>
      <c r="U31" s="110">
        <f t="shared" si="201"/>
        <v>0</v>
      </c>
      <c r="V31" s="113">
        <f t="shared" si="128"/>
        <v>2.1034901484586158E-2</v>
      </c>
      <c r="W31" s="110">
        <f t="shared" si="129"/>
        <v>0</v>
      </c>
      <c r="X31" s="115">
        <f t="shared" si="130"/>
        <v>0</v>
      </c>
      <c r="Y31" s="110">
        <f t="shared" si="131"/>
        <v>0</v>
      </c>
      <c r="Z31" s="52">
        <f>Summ.!$A40</f>
        <v>50540</v>
      </c>
      <c r="AA31" s="119" t="str">
        <f>Summ.!$B40</f>
        <v>Parking Lot Repairs</v>
      </c>
      <c r="AB31" s="134">
        <f t="shared" si="202"/>
        <v>0</v>
      </c>
      <c r="AC31" s="110">
        <v>0</v>
      </c>
      <c r="AD31" s="110">
        <f t="shared" si="203"/>
        <v>0</v>
      </c>
      <c r="AE31" s="113">
        <f t="shared" si="132"/>
        <v>3.9171138705002152E-3</v>
      </c>
      <c r="AF31" s="110">
        <f t="shared" si="133"/>
        <v>0</v>
      </c>
      <c r="AG31" s="115">
        <f t="shared" si="134"/>
        <v>0</v>
      </c>
      <c r="AH31" s="110">
        <f t="shared" si="135"/>
        <v>0</v>
      </c>
      <c r="AI31" s="52">
        <f>Summ.!$A40</f>
        <v>50540</v>
      </c>
      <c r="AJ31" s="119" t="str">
        <f>Summ.!$B40</f>
        <v>Parking Lot Repairs</v>
      </c>
      <c r="AK31" s="134">
        <f t="shared" si="204"/>
        <v>0</v>
      </c>
      <c r="AL31" s="110">
        <f t="shared" si="205"/>
        <v>0</v>
      </c>
      <c r="AM31" s="110">
        <f t="shared" si="206"/>
        <v>0</v>
      </c>
      <c r="AN31" s="113">
        <f t="shared" si="136"/>
        <v>1.0145324924595559E-2</v>
      </c>
      <c r="AO31" s="110">
        <f t="shared" si="137"/>
        <v>0</v>
      </c>
      <c r="AP31" s="115">
        <f t="shared" si="138"/>
        <v>0</v>
      </c>
      <c r="AQ31" s="110">
        <f t="shared" si="139"/>
        <v>0</v>
      </c>
      <c r="AR31" s="52">
        <f>Summ.!$A40</f>
        <v>50540</v>
      </c>
      <c r="AS31" s="119" t="str">
        <f>Summ.!$B40</f>
        <v>Parking Lot Repairs</v>
      </c>
      <c r="AT31" s="134">
        <f t="shared" si="207"/>
        <v>0</v>
      </c>
      <c r="AU31" s="110">
        <f t="shared" si="208"/>
        <v>0</v>
      </c>
      <c r="AV31" s="110">
        <f t="shared" si="209"/>
        <v>0</v>
      </c>
      <c r="AW31" s="113">
        <f t="shared" si="140"/>
        <v>1.0282423910063065E-2</v>
      </c>
      <c r="AX31" s="110">
        <f t="shared" si="141"/>
        <v>0</v>
      </c>
      <c r="AY31" s="115">
        <f t="shared" si="142"/>
        <v>0</v>
      </c>
      <c r="AZ31" s="110">
        <f t="shared" si="143"/>
        <v>0</v>
      </c>
      <c r="BA31" s="52">
        <f>Summ.!$A40</f>
        <v>50540</v>
      </c>
      <c r="BB31" s="119" t="str">
        <f>Summ.!$B40</f>
        <v>Parking Lot Repairs</v>
      </c>
      <c r="BC31" s="134">
        <f t="shared" si="210"/>
        <v>0</v>
      </c>
      <c r="BD31" s="110">
        <f t="shared" si="211"/>
        <v>0</v>
      </c>
      <c r="BE31" s="110">
        <f t="shared" si="212"/>
        <v>0</v>
      </c>
      <c r="BF31" s="113" t="e">
        <f t="shared" si="144"/>
        <v>#REF!</v>
      </c>
      <c r="BG31" s="110" t="e">
        <f t="shared" si="145"/>
        <v>#REF!</v>
      </c>
      <c r="BH31" s="115" t="e">
        <f t="shared" si="146"/>
        <v>#REF!</v>
      </c>
      <c r="BI31" s="110" t="e">
        <f t="shared" si="147"/>
        <v>#REF!</v>
      </c>
      <c r="BJ31" s="52">
        <f>Summ.!$A40</f>
        <v>50540</v>
      </c>
      <c r="BK31" s="119" t="str">
        <f>Summ.!$B40</f>
        <v>Parking Lot Repairs</v>
      </c>
      <c r="BL31" s="134">
        <f t="shared" si="213"/>
        <v>0</v>
      </c>
      <c r="BM31" s="110">
        <f t="shared" si="148"/>
        <v>0</v>
      </c>
      <c r="BN31" s="110">
        <f t="shared" si="214"/>
        <v>0</v>
      </c>
      <c r="BO31" s="113">
        <f t="shared" si="149"/>
        <v>1.9468055936386071E-2</v>
      </c>
      <c r="BP31" s="110">
        <f t="shared" si="150"/>
        <v>0</v>
      </c>
      <c r="BQ31" s="115">
        <f t="shared" si="151"/>
        <v>0</v>
      </c>
      <c r="BR31" s="110">
        <f t="shared" si="152"/>
        <v>0</v>
      </c>
      <c r="BS31" s="52">
        <f>Summ.!$A40</f>
        <v>50540</v>
      </c>
      <c r="BT31" s="119" t="str">
        <f>Summ.!$B40</f>
        <v>Parking Lot Repairs</v>
      </c>
      <c r="BU31" s="134">
        <f t="shared" si="215"/>
        <v>0</v>
      </c>
      <c r="BV31" s="110">
        <f t="shared" si="216"/>
        <v>0</v>
      </c>
      <c r="BW31" s="110">
        <f t="shared" si="217"/>
        <v>0</v>
      </c>
      <c r="BX31" s="113">
        <f t="shared" si="153"/>
        <v>2.0427748834658623E-2</v>
      </c>
      <c r="BY31" s="110">
        <f t="shared" si="154"/>
        <v>0</v>
      </c>
      <c r="BZ31" s="115">
        <f t="shared" si="155"/>
        <v>0</v>
      </c>
      <c r="CA31" s="110">
        <f t="shared" si="156"/>
        <v>0</v>
      </c>
      <c r="CB31" s="52">
        <f>Summ.!$A40</f>
        <v>50540</v>
      </c>
      <c r="CC31" s="119" t="str">
        <f>Summ.!$B40</f>
        <v>Parking Lot Repairs</v>
      </c>
      <c r="CD31" s="134">
        <f t="shared" si="218"/>
        <v>0</v>
      </c>
      <c r="CE31" s="110">
        <v>0</v>
      </c>
      <c r="CF31" s="110">
        <f t="shared" si="219"/>
        <v>0</v>
      </c>
      <c r="CG31" s="113">
        <f t="shared" si="157"/>
        <v>6.9058717536918793E-2</v>
      </c>
      <c r="CH31" s="110">
        <f t="shared" si="158"/>
        <v>0</v>
      </c>
      <c r="CI31" s="115">
        <f t="shared" si="159"/>
        <v>0</v>
      </c>
      <c r="CJ31" s="110">
        <f t="shared" si="160"/>
        <v>0</v>
      </c>
      <c r="CK31" s="52">
        <f>Summ.!$A40</f>
        <v>50540</v>
      </c>
      <c r="CL31" s="119" t="str">
        <f>Summ.!$B40</f>
        <v>Parking Lot Repairs</v>
      </c>
      <c r="CM31" s="134">
        <f t="shared" si="220"/>
        <v>0</v>
      </c>
      <c r="CN31" s="110">
        <f t="shared" si="221"/>
        <v>0</v>
      </c>
      <c r="CO31" s="110">
        <f t="shared" si="222"/>
        <v>0</v>
      </c>
      <c r="CP31" s="113">
        <f t="shared" si="161"/>
        <v>0.21027067256845156</v>
      </c>
      <c r="CQ31" s="110">
        <f t="shared" si="162"/>
        <v>0</v>
      </c>
      <c r="CR31" s="115">
        <f t="shared" si="163"/>
        <v>0</v>
      </c>
      <c r="CS31" s="110">
        <f t="shared" si="164"/>
        <v>0</v>
      </c>
      <c r="CT31" s="52">
        <f>Summ.!$A40</f>
        <v>50540</v>
      </c>
      <c r="CU31" s="119" t="str">
        <f>Summ.!$B40</f>
        <v>Parking Lot Repairs</v>
      </c>
      <c r="CV31" s="134">
        <f t="shared" si="223"/>
        <v>0</v>
      </c>
      <c r="CW31" s="110">
        <v>0</v>
      </c>
      <c r="CX31" s="110">
        <f t="shared" si="224"/>
        <v>0</v>
      </c>
      <c r="CY31" s="113">
        <f t="shared" si="165"/>
        <v>5.8756708057503229E-2</v>
      </c>
      <c r="CZ31" s="110">
        <f t="shared" si="166"/>
        <v>0</v>
      </c>
      <c r="DA31" s="115">
        <f t="shared" si="167"/>
        <v>0</v>
      </c>
      <c r="DB31" s="110">
        <f t="shared" si="168"/>
        <v>0</v>
      </c>
      <c r="DC31" s="52">
        <f>Summ.!$A40</f>
        <v>50540</v>
      </c>
      <c r="DD31" s="119" t="str">
        <f>Summ.!$B40</f>
        <v>Parking Lot Repairs</v>
      </c>
      <c r="DE31" s="134">
        <f t="shared" si="225"/>
        <v>0</v>
      </c>
      <c r="DF31" s="110">
        <v>0</v>
      </c>
      <c r="DG31" s="110">
        <f t="shared" si="226"/>
        <v>0</v>
      </c>
      <c r="DH31" s="113">
        <f t="shared" si="169"/>
        <v>9.7927846762505388E-3</v>
      </c>
      <c r="DI31" s="110">
        <f t="shared" si="170"/>
        <v>0</v>
      </c>
      <c r="DJ31" s="115">
        <f t="shared" si="171"/>
        <v>0</v>
      </c>
      <c r="DK31" s="110">
        <f t="shared" si="172"/>
        <v>0</v>
      </c>
      <c r="DL31" s="52">
        <f>Summ.!$A40</f>
        <v>50540</v>
      </c>
      <c r="DM31" s="119" t="str">
        <f>Summ.!$B40</f>
        <v>Parking Lot Repairs</v>
      </c>
      <c r="DN31" s="134">
        <f t="shared" si="227"/>
        <v>0</v>
      </c>
      <c r="DO31" s="110">
        <v>0</v>
      </c>
      <c r="DP31" s="110">
        <f t="shared" si="228"/>
        <v>0</v>
      </c>
      <c r="DQ31" s="113">
        <f t="shared" si="173"/>
        <v>5.6719808844843123E-2</v>
      </c>
      <c r="DR31" s="110">
        <f t="shared" si="174"/>
        <v>0</v>
      </c>
      <c r="DS31" s="115">
        <f t="shared" si="175"/>
        <v>0</v>
      </c>
      <c r="DT31" s="110">
        <f t="shared" si="176"/>
        <v>0</v>
      </c>
      <c r="DU31" s="52">
        <f>Summ.!$A40</f>
        <v>50540</v>
      </c>
      <c r="DV31" s="119" t="str">
        <f>Summ.!$B40</f>
        <v>Parking Lot Repairs</v>
      </c>
      <c r="DW31" s="134">
        <f t="shared" si="229"/>
        <v>0</v>
      </c>
      <c r="DX31" s="110">
        <f t="shared" si="230"/>
        <v>0</v>
      </c>
      <c r="DY31" s="110">
        <f t="shared" si="231"/>
        <v>0</v>
      </c>
      <c r="DZ31" s="113">
        <f t="shared" si="177"/>
        <v>0.15695875279094362</v>
      </c>
      <c r="EA31" s="110">
        <f t="shared" si="178"/>
        <v>0</v>
      </c>
      <c r="EB31" s="115">
        <f t="shared" si="179"/>
        <v>0</v>
      </c>
      <c r="EC31" s="110">
        <f t="shared" si="180"/>
        <v>0</v>
      </c>
      <c r="ED31" s="52">
        <f>Summ.!$A40</f>
        <v>50540</v>
      </c>
      <c r="EE31" s="119" t="str">
        <f>Summ.!$B40</f>
        <v>Parking Lot Repairs</v>
      </c>
      <c r="EF31" s="134">
        <f t="shared" si="232"/>
        <v>0</v>
      </c>
      <c r="EG31" s="110">
        <f t="shared" si="233"/>
        <v>0</v>
      </c>
      <c r="EH31" s="110">
        <f t="shared" si="234"/>
        <v>0</v>
      </c>
      <c r="EI31" s="113">
        <f t="shared" si="181"/>
        <v>0.12730620079125701</v>
      </c>
      <c r="EJ31" s="110">
        <f t="shared" si="182"/>
        <v>0</v>
      </c>
      <c r="EK31" s="115">
        <f t="shared" si="183"/>
        <v>0</v>
      </c>
      <c r="EL31" s="110">
        <f t="shared" si="184"/>
        <v>0</v>
      </c>
      <c r="EM31" s="52">
        <f>Summ.!$A40</f>
        <v>50540</v>
      </c>
      <c r="EN31" s="119" t="str">
        <f>Summ.!$B40</f>
        <v>Parking Lot Repairs</v>
      </c>
      <c r="EO31" s="134">
        <f t="shared" si="235"/>
        <v>0</v>
      </c>
      <c r="EP31" s="110">
        <v>0</v>
      </c>
      <c r="EQ31" s="110">
        <f t="shared" si="236"/>
        <v>0</v>
      </c>
      <c r="ER31" s="113">
        <f t="shared" si="185"/>
        <v>3.9034039719534647E-2</v>
      </c>
      <c r="ES31" s="110">
        <f t="shared" si="186"/>
        <v>0</v>
      </c>
      <c r="ET31" s="115">
        <f t="shared" si="187"/>
        <v>0</v>
      </c>
      <c r="EU31" s="110">
        <f t="shared" si="188"/>
        <v>0</v>
      </c>
      <c r="EV31" s="52">
        <f>Summ.!$A40</f>
        <v>50540</v>
      </c>
      <c r="EW31" s="119" t="str">
        <f>Summ.!$B40</f>
        <v>Parking Lot Repairs</v>
      </c>
      <c r="EX31" s="134">
        <f t="shared" si="237"/>
        <v>0</v>
      </c>
      <c r="EY31" s="110">
        <v>0</v>
      </c>
      <c r="EZ31" s="110">
        <f t="shared" si="238"/>
        <v>0</v>
      </c>
      <c r="FA31" s="113">
        <f t="shared" si="189"/>
        <v>1.8841317717106038E-2</v>
      </c>
      <c r="FB31" s="110">
        <f t="shared" si="190"/>
        <v>0</v>
      </c>
      <c r="FC31" s="115">
        <f t="shared" si="191"/>
        <v>0</v>
      </c>
      <c r="FD31" s="110">
        <f t="shared" si="192"/>
        <v>0</v>
      </c>
      <c r="FE31" s="52">
        <f>Summ.!$A40</f>
        <v>50540</v>
      </c>
      <c r="FF31" s="119" t="str">
        <f>Summ.!$B40</f>
        <v>Parking Lot Repairs</v>
      </c>
      <c r="FG31" s="134">
        <f t="shared" si="239"/>
        <v>0</v>
      </c>
      <c r="FH31" s="110">
        <f t="shared" si="240"/>
        <v>0</v>
      </c>
      <c r="FI31" s="110">
        <f t="shared" si="241"/>
        <v>0</v>
      </c>
      <c r="FJ31" s="113">
        <f t="shared" si="193"/>
        <v>7.254494888166399E-2</v>
      </c>
      <c r="FK31" s="110">
        <f t="shared" si="194"/>
        <v>0</v>
      </c>
      <c r="FL31" s="115">
        <f t="shared" si="195"/>
        <v>0</v>
      </c>
      <c r="FM31" s="110">
        <f t="shared" si="196"/>
        <v>0</v>
      </c>
    </row>
    <row r="32" spans="1:169" ht="12.75" customHeight="1">
      <c r="A32" s="52">
        <f>Summ.!A41</f>
        <v>50560</v>
      </c>
      <c r="B32" s="45" t="str">
        <f>Summ.!B41</f>
        <v>Fountain Maintenance</v>
      </c>
      <c r="C32" s="45"/>
      <c r="D32" s="45"/>
      <c r="E32" s="45"/>
      <c r="F32" s="106">
        <f>+Summ.!O41</f>
        <v>0</v>
      </c>
      <c r="G32" s="71">
        <f>Rent!$B$41</f>
        <v>51058</v>
      </c>
      <c r="H32" s="52">
        <f>Summ.!$A41</f>
        <v>50560</v>
      </c>
      <c r="I32" s="119" t="str">
        <f>Summ.!$B41</f>
        <v>Fountain Maintenance</v>
      </c>
      <c r="J32" s="134">
        <f t="shared" si="197"/>
        <v>0</v>
      </c>
      <c r="K32" s="110">
        <v>0</v>
      </c>
      <c r="L32" s="110">
        <f t="shared" si="198"/>
        <v>0</v>
      </c>
      <c r="M32" s="113">
        <f t="shared" si="124"/>
        <v>7.5854910102236675E-2</v>
      </c>
      <c r="N32" s="110">
        <f t="shared" si="125"/>
        <v>0</v>
      </c>
      <c r="O32" s="115">
        <f t="shared" si="126"/>
        <v>0</v>
      </c>
      <c r="P32" s="110">
        <f t="shared" si="127"/>
        <v>0</v>
      </c>
      <c r="Q32" s="52">
        <f>Summ.!$A41</f>
        <v>50560</v>
      </c>
      <c r="R32" s="119" t="str">
        <f>Summ.!$B41</f>
        <v>Fountain Maintenance</v>
      </c>
      <c r="S32" s="134">
        <f t="shared" si="199"/>
        <v>0</v>
      </c>
      <c r="T32" s="110">
        <f t="shared" si="200"/>
        <v>0</v>
      </c>
      <c r="U32" s="110">
        <f t="shared" si="201"/>
        <v>0</v>
      </c>
      <c r="V32" s="113">
        <f t="shared" si="128"/>
        <v>2.1034901484586158E-2</v>
      </c>
      <c r="W32" s="110">
        <f t="shared" si="129"/>
        <v>0</v>
      </c>
      <c r="X32" s="115">
        <f t="shared" si="130"/>
        <v>0</v>
      </c>
      <c r="Y32" s="110">
        <f t="shared" si="131"/>
        <v>0</v>
      </c>
      <c r="Z32" s="52">
        <f>Summ.!$A41</f>
        <v>50560</v>
      </c>
      <c r="AA32" s="119" t="str">
        <f>Summ.!$B41</f>
        <v>Fountain Maintenance</v>
      </c>
      <c r="AB32" s="134">
        <f t="shared" si="202"/>
        <v>0</v>
      </c>
      <c r="AC32" s="110">
        <v>0</v>
      </c>
      <c r="AD32" s="110">
        <f t="shared" si="203"/>
        <v>0</v>
      </c>
      <c r="AE32" s="113">
        <f t="shared" si="132"/>
        <v>3.9171138705002152E-3</v>
      </c>
      <c r="AF32" s="110">
        <f t="shared" si="133"/>
        <v>0</v>
      </c>
      <c r="AG32" s="115">
        <f t="shared" si="134"/>
        <v>0</v>
      </c>
      <c r="AH32" s="110">
        <f t="shared" si="135"/>
        <v>0</v>
      </c>
      <c r="AI32" s="52">
        <f>Summ.!$A41</f>
        <v>50560</v>
      </c>
      <c r="AJ32" s="119" t="str">
        <f>Summ.!$B41</f>
        <v>Fountain Maintenance</v>
      </c>
      <c r="AK32" s="134">
        <f t="shared" si="204"/>
        <v>0</v>
      </c>
      <c r="AL32" s="110">
        <f t="shared" si="205"/>
        <v>0</v>
      </c>
      <c r="AM32" s="110">
        <f t="shared" si="206"/>
        <v>0</v>
      </c>
      <c r="AN32" s="113">
        <f t="shared" si="136"/>
        <v>1.0145324924595559E-2</v>
      </c>
      <c r="AO32" s="110">
        <f t="shared" si="137"/>
        <v>0</v>
      </c>
      <c r="AP32" s="115">
        <f t="shared" si="138"/>
        <v>0</v>
      </c>
      <c r="AQ32" s="110">
        <f t="shared" si="139"/>
        <v>0</v>
      </c>
      <c r="AR32" s="52">
        <f>Summ.!$A41</f>
        <v>50560</v>
      </c>
      <c r="AS32" s="119" t="str">
        <f>Summ.!$B41</f>
        <v>Fountain Maintenance</v>
      </c>
      <c r="AT32" s="134">
        <f t="shared" si="207"/>
        <v>0</v>
      </c>
      <c r="AU32" s="110">
        <f t="shared" si="208"/>
        <v>0</v>
      </c>
      <c r="AV32" s="110">
        <f t="shared" si="209"/>
        <v>0</v>
      </c>
      <c r="AW32" s="113">
        <f t="shared" si="140"/>
        <v>1.0282423910063065E-2</v>
      </c>
      <c r="AX32" s="110">
        <f t="shared" si="141"/>
        <v>0</v>
      </c>
      <c r="AY32" s="115">
        <f t="shared" si="142"/>
        <v>0</v>
      </c>
      <c r="AZ32" s="110">
        <f t="shared" si="143"/>
        <v>0</v>
      </c>
      <c r="BA32" s="52">
        <f>Summ.!$A41</f>
        <v>50560</v>
      </c>
      <c r="BB32" s="119" t="str">
        <f>Summ.!$B41</f>
        <v>Fountain Maintenance</v>
      </c>
      <c r="BC32" s="134">
        <f t="shared" si="210"/>
        <v>0</v>
      </c>
      <c r="BD32" s="110">
        <f t="shared" si="211"/>
        <v>0</v>
      </c>
      <c r="BE32" s="110">
        <f t="shared" si="212"/>
        <v>0</v>
      </c>
      <c r="BF32" s="113" t="e">
        <f t="shared" si="144"/>
        <v>#REF!</v>
      </c>
      <c r="BG32" s="110" t="e">
        <f t="shared" si="145"/>
        <v>#REF!</v>
      </c>
      <c r="BH32" s="115" t="e">
        <f t="shared" si="146"/>
        <v>#REF!</v>
      </c>
      <c r="BI32" s="110" t="e">
        <f t="shared" si="147"/>
        <v>#REF!</v>
      </c>
      <c r="BJ32" s="52">
        <f>Summ.!$A41</f>
        <v>50560</v>
      </c>
      <c r="BK32" s="119" t="str">
        <f>Summ.!$B41</f>
        <v>Fountain Maintenance</v>
      </c>
      <c r="BL32" s="134">
        <f t="shared" si="213"/>
        <v>0</v>
      </c>
      <c r="BM32" s="110">
        <f t="shared" si="148"/>
        <v>0</v>
      </c>
      <c r="BN32" s="110">
        <f t="shared" si="214"/>
        <v>0</v>
      </c>
      <c r="BO32" s="113">
        <f t="shared" si="149"/>
        <v>1.9468055936386071E-2</v>
      </c>
      <c r="BP32" s="110">
        <f t="shared" si="150"/>
        <v>0</v>
      </c>
      <c r="BQ32" s="115">
        <f t="shared" si="151"/>
        <v>0</v>
      </c>
      <c r="BR32" s="110">
        <f t="shared" si="152"/>
        <v>0</v>
      </c>
      <c r="BS32" s="52">
        <f>Summ.!$A41</f>
        <v>50560</v>
      </c>
      <c r="BT32" s="119" t="str">
        <f>Summ.!$B41</f>
        <v>Fountain Maintenance</v>
      </c>
      <c r="BU32" s="134">
        <f t="shared" si="215"/>
        <v>0</v>
      </c>
      <c r="BV32" s="110">
        <f t="shared" si="216"/>
        <v>0</v>
      </c>
      <c r="BW32" s="110">
        <f t="shared" si="217"/>
        <v>0</v>
      </c>
      <c r="BX32" s="113">
        <f t="shared" si="153"/>
        <v>2.0427748834658623E-2</v>
      </c>
      <c r="BY32" s="110">
        <f t="shared" si="154"/>
        <v>0</v>
      </c>
      <c r="BZ32" s="115">
        <f t="shared" si="155"/>
        <v>0</v>
      </c>
      <c r="CA32" s="110">
        <f t="shared" si="156"/>
        <v>0</v>
      </c>
      <c r="CB32" s="52">
        <f>Summ.!$A41</f>
        <v>50560</v>
      </c>
      <c r="CC32" s="119" t="str">
        <f>Summ.!$B41</f>
        <v>Fountain Maintenance</v>
      </c>
      <c r="CD32" s="134">
        <f t="shared" si="218"/>
        <v>0</v>
      </c>
      <c r="CE32" s="110">
        <v>0</v>
      </c>
      <c r="CF32" s="110">
        <f t="shared" si="219"/>
        <v>0</v>
      </c>
      <c r="CG32" s="113">
        <f t="shared" si="157"/>
        <v>6.9058717536918793E-2</v>
      </c>
      <c r="CH32" s="110">
        <f t="shared" si="158"/>
        <v>0</v>
      </c>
      <c r="CI32" s="115">
        <f t="shared" si="159"/>
        <v>0</v>
      </c>
      <c r="CJ32" s="110">
        <f t="shared" si="160"/>
        <v>0</v>
      </c>
      <c r="CK32" s="52">
        <f>Summ.!$A41</f>
        <v>50560</v>
      </c>
      <c r="CL32" s="119" t="str">
        <f>Summ.!$B41</f>
        <v>Fountain Maintenance</v>
      </c>
      <c r="CM32" s="134">
        <f t="shared" si="220"/>
        <v>0</v>
      </c>
      <c r="CN32" s="110">
        <f t="shared" si="221"/>
        <v>0</v>
      </c>
      <c r="CO32" s="110">
        <f t="shared" si="222"/>
        <v>0</v>
      </c>
      <c r="CP32" s="113">
        <f t="shared" si="161"/>
        <v>0.21027067256845156</v>
      </c>
      <c r="CQ32" s="110">
        <f t="shared" si="162"/>
        <v>0</v>
      </c>
      <c r="CR32" s="115">
        <f t="shared" si="163"/>
        <v>0</v>
      </c>
      <c r="CS32" s="110">
        <f t="shared" si="164"/>
        <v>0</v>
      </c>
      <c r="CT32" s="52">
        <f>Summ.!$A41</f>
        <v>50560</v>
      </c>
      <c r="CU32" s="119" t="str">
        <f>Summ.!$B41</f>
        <v>Fountain Maintenance</v>
      </c>
      <c r="CV32" s="134">
        <f t="shared" si="223"/>
        <v>0</v>
      </c>
      <c r="CW32" s="110">
        <v>0</v>
      </c>
      <c r="CX32" s="110">
        <f t="shared" si="224"/>
        <v>0</v>
      </c>
      <c r="CY32" s="113">
        <f t="shared" si="165"/>
        <v>5.8756708057503229E-2</v>
      </c>
      <c r="CZ32" s="110">
        <f t="shared" si="166"/>
        <v>0</v>
      </c>
      <c r="DA32" s="115">
        <f t="shared" si="167"/>
        <v>0</v>
      </c>
      <c r="DB32" s="110">
        <f t="shared" si="168"/>
        <v>0</v>
      </c>
      <c r="DC32" s="52">
        <f>Summ.!$A41</f>
        <v>50560</v>
      </c>
      <c r="DD32" s="119" t="str">
        <f>Summ.!$B41</f>
        <v>Fountain Maintenance</v>
      </c>
      <c r="DE32" s="134">
        <f t="shared" si="225"/>
        <v>0</v>
      </c>
      <c r="DF32" s="110">
        <v>0</v>
      </c>
      <c r="DG32" s="110">
        <f t="shared" si="226"/>
        <v>0</v>
      </c>
      <c r="DH32" s="113">
        <f t="shared" si="169"/>
        <v>9.7927846762505388E-3</v>
      </c>
      <c r="DI32" s="110">
        <f t="shared" si="170"/>
        <v>0</v>
      </c>
      <c r="DJ32" s="115">
        <f t="shared" si="171"/>
        <v>0</v>
      </c>
      <c r="DK32" s="110">
        <f t="shared" si="172"/>
        <v>0</v>
      </c>
      <c r="DL32" s="52">
        <f>Summ.!$A41</f>
        <v>50560</v>
      </c>
      <c r="DM32" s="119" t="str">
        <f>Summ.!$B41</f>
        <v>Fountain Maintenance</v>
      </c>
      <c r="DN32" s="134">
        <f t="shared" si="227"/>
        <v>0</v>
      </c>
      <c r="DO32" s="110">
        <v>0</v>
      </c>
      <c r="DP32" s="110">
        <f t="shared" si="228"/>
        <v>0</v>
      </c>
      <c r="DQ32" s="113">
        <f t="shared" si="173"/>
        <v>5.6719808844843123E-2</v>
      </c>
      <c r="DR32" s="110">
        <f t="shared" si="174"/>
        <v>0</v>
      </c>
      <c r="DS32" s="115">
        <f t="shared" si="175"/>
        <v>0</v>
      </c>
      <c r="DT32" s="110">
        <f t="shared" si="176"/>
        <v>0</v>
      </c>
      <c r="DU32" s="52">
        <f>Summ.!$A41</f>
        <v>50560</v>
      </c>
      <c r="DV32" s="119" t="str">
        <f>Summ.!$B41</f>
        <v>Fountain Maintenance</v>
      </c>
      <c r="DW32" s="134">
        <f t="shared" si="229"/>
        <v>0</v>
      </c>
      <c r="DX32" s="110">
        <f t="shared" si="230"/>
        <v>0</v>
      </c>
      <c r="DY32" s="110">
        <f t="shared" si="231"/>
        <v>0</v>
      </c>
      <c r="DZ32" s="113">
        <f t="shared" si="177"/>
        <v>0.15695875279094362</v>
      </c>
      <c r="EA32" s="110">
        <f t="shared" si="178"/>
        <v>0</v>
      </c>
      <c r="EB32" s="115">
        <f t="shared" si="179"/>
        <v>0</v>
      </c>
      <c r="EC32" s="110">
        <f t="shared" si="180"/>
        <v>0</v>
      </c>
      <c r="ED32" s="52">
        <f>Summ.!$A41</f>
        <v>50560</v>
      </c>
      <c r="EE32" s="119" t="str">
        <f>Summ.!$B41</f>
        <v>Fountain Maintenance</v>
      </c>
      <c r="EF32" s="134">
        <f t="shared" si="232"/>
        <v>0</v>
      </c>
      <c r="EG32" s="110">
        <f t="shared" si="233"/>
        <v>0</v>
      </c>
      <c r="EH32" s="110">
        <f t="shared" si="234"/>
        <v>0</v>
      </c>
      <c r="EI32" s="113">
        <f t="shared" si="181"/>
        <v>0.12730620079125701</v>
      </c>
      <c r="EJ32" s="110">
        <f t="shared" si="182"/>
        <v>0</v>
      </c>
      <c r="EK32" s="115">
        <f t="shared" si="183"/>
        <v>0</v>
      </c>
      <c r="EL32" s="110">
        <f t="shared" si="184"/>
        <v>0</v>
      </c>
      <c r="EM32" s="52">
        <f>Summ.!$A41</f>
        <v>50560</v>
      </c>
      <c r="EN32" s="119" t="str">
        <f>Summ.!$B41</f>
        <v>Fountain Maintenance</v>
      </c>
      <c r="EO32" s="134">
        <f t="shared" si="235"/>
        <v>0</v>
      </c>
      <c r="EP32" s="110">
        <v>0</v>
      </c>
      <c r="EQ32" s="110">
        <f t="shared" si="236"/>
        <v>0</v>
      </c>
      <c r="ER32" s="113">
        <f t="shared" si="185"/>
        <v>3.9034039719534647E-2</v>
      </c>
      <c r="ES32" s="110">
        <f t="shared" si="186"/>
        <v>0</v>
      </c>
      <c r="ET32" s="115">
        <f t="shared" si="187"/>
        <v>0</v>
      </c>
      <c r="EU32" s="110">
        <f t="shared" si="188"/>
        <v>0</v>
      </c>
      <c r="EV32" s="52">
        <f>Summ.!$A41</f>
        <v>50560</v>
      </c>
      <c r="EW32" s="119" t="str">
        <f>Summ.!$B41</f>
        <v>Fountain Maintenance</v>
      </c>
      <c r="EX32" s="134">
        <f t="shared" si="237"/>
        <v>0</v>
      </c>
      <c r="EY32" s="110">
        <v>0</v>
      </c>
      <c r="EZ32" s="110">
        <f t="shared" si="238"/>
        <v>0</v>
      </c>
      <c r="FA32" s="113">
        <f t="shared" si="189"/>
        <v>1.8841317717106038E-2</v>
      </c>
      <c r="FB32" s="110">
        <f t="shared" si="190"/>
        <v>0</v>
      </c>
      <c r="FC32" s="115">
        <f t="shared" si="191"/>
        <v>0</v>
      </c>
      <c r="FD32" s="110">
        <f t="shared" si="192"/>
        <v>0</v>
      </c>
      <c r="FE32" s="52">
        <f>Summ.!$A41</f>
        <v>50560</v>
      </c>
      <c r="FF32" s="119" t="str">
        <f>Summ.!$B41</f>
        <v>Fountain Maintenance</v>
      </c>
      <c r="FG32" s="134">
        <f t="shared" si="239"/>
        <v>0</v>
      </c>
      <c r="FH32" s="110">
        <f t="shared" si="240"/>
        <v>0</v>
      </c>
      <c r="FI32" s="110">
        <f t="shared" si="241"/>
        <v>0</v>
      </c>
      <c r="FJ32" s="113">
        <f t="shared" si="193"/>
        <v>7.254494888166399E-2</v>
      </c>
      <c r="FK32" s="110">
        <f t="shared" si="194"/>
        <v>0</v>
      </c>
      <c r="FL32" s="115">
        <f t="shared" si="195"/>
        <v>0</v>
      </c>
      <c r="FM32" s="110">
        <f t="shared" si="196"/>
        <v>0</v>
      </c>
    </row>
    <row r="33" spans="1:169" ht="12.75" customHeight="1">
      <c r="A33" s="52">
        <f>Summ.!A42</f>
        <v>50570</v>
      </c>
      <c r="B33" s="45" t="str">
        <f>Summ.!B42</f>
        <v>Fountain Repair</v>
      </c>
      <c r="C33" s="45"/>
      <c r="D33" s="45"/>
      <c r="E33" s="45"/>
      <c r="F33" s="106">
        <f>+Summ.!O42</f>
        <v>0</v>
      </c>
      <c r="G33" s="71">
        <f>Rent!$B$41</f>
        <v>51058</v>
      </c>
      <c r="H33" s="52">
        <f>Summ.!$A42</f>
        <v>50570</v>
      </c>
      <c r="I33" s="119" t="str">
        <f>Summ.!$B42</f>
        <v>Fountain Repair</v>
      </c>
      <c r="J33" s="134">
        <f t="shared" si="197"/>
        <v>0</v>
      </c>
      <c r="K33" s="110">
        <v>0</v>
      </c>
      <c r="L33" s="110">
        <f t="shared" si="198"/>
        <v>0</v>
      </c>
      <c r="M33" s="113">
        <f t="shared" si="124"/>
        <v>7.5854910102236675E-2</v>
      </c>
      <c r="N33" s="110">
        <f t="shared" si="125"/>
        <v>0</v>
      </c>
      <c r="O33" s="115">
        <f t="shared" si="126"/>
        <v>0</v>
      </c>
      <c r="P33" s="110">
        <f t="shared" si="127"/>
        <v>0</v>
      </c>
      <c r="Q33" s="52">
        <f>Summ.!$A42</f>
        <v>50570</v>
      </c>
      <c r="R33" s="119" t="str">
        <f>Summ.!$B42</f>
        <v>Fountain Repair</v>
      </c>
      <c r="S33" s="134">
        <f t="shared" si="199"/>
        <v>0</v>
      </c>
      <c r="T33" s="110">
        <f t="shared" si="200"/>
        <v>0</v>
      </c>
      <c r="U33" s="110">
        <f t="shared" si="201"/>
        <v>0</v>
      </c>
      <c r="V33" s="113">
        <f t="shared" si="128"/>
        <v>2.1034901484586158E-2</v>
      </c>
      <c r="W33" s="110">
        <f t="shared" si="129"/>
        <v>0</v>
      </c>
      <c r="X33" s="115">
        <f t="shared" si="130"/>
        <v>0</v>
      </c>
      <c r="Y33" s="110">
        <f t="shared" si="131"/>
        <v>0</v>
      </c>
      <c r="Z33" s="52">
        <f>Summ.!$A42</f>
        <v>50570</v>
      </c>
      <c r="AA33" s="119" t="str">
        <f>Summ.!$B42</f>
        <v>Fountain Repair</v>
      </c>
      <c r="AB33" s="134">
        <f t="shared" si="202"/>
        <v>0</v>
      </c>
      <c r="AC33" s="110">
        <v>0</v>
      </c>
      <c r="AD33" s="110">
        <f t="shared" si="203"/>
        <v>0</v>
      </c>
      <c r="AE33" s="113">
        <f t="shared" si="132"/>
        <v>3.9171138705002152E-3</v>
      </c>
      <c r="AF33" s="110">
        <f t="shared" si="133"/>
        <v>0</v>
      </c>
      <c r="AG33" s="115">
        <f t="shared" si="134"/>
        <v>0</v>
      </c>
      <c r="AH33" s="110">
        <f t="shared" si="135"/>
        <v>0</v>
      </c>
      <c r="AI33" s="52">
        <f>Summ.!$A42</f>
        <v>50570</v>
      </c>
      <c r="AJ33" s="119" t="str">
        <f>Summ.!$B42</f>
        <v>Fountain Repair</v>
      </c>
      <c r="AK33" s="134">
        <f t="shared" si="204"/>
        <v>0</v>
      </c>
      <c r="AL33" s="110">
        <f t="shared" si="205"/>
        <v>0</v>
      </c>
      <c r="AM33" s="110">
        <f t="shared" si="206"/>
        <v>0</v>
      </c>
      <c r="AN33" s="113">
        <f t="shared" si="136"/>
        <v>1.0145324924595559E-2</v>
      </c>
      <c r="AO33" s="110">
        <f t="shared" si="137"/>
        <v>0</v>
      </c>
      <c r="AP33" s="115">
        <f t="shared" si="138"/>
        <v>0</v>
      </c>
      <c r="AQ33" s="110">
        <f t="shared" si="139"/>
        <v>0</v>
      </c>
      <c r="AR33" s="52">
        <f>Summ.!$A42</f>
        <v>50570</v>
      </c>
      <c r="AS33" s="119" t="str">
        <f>Summ.!$B42</f>
        <v>Fountain Repair</v>
      </c>
      <c r="AT33" s="134">
        <f t="shared" si="207"/>
        <v>0</v>
      </c>
      <c r="AU33" s="110">
        <f t="shared" si="208"/>
        <v>0</v>
      </c>
      <c r="AV33" s="110">
        <f t="shared" si="209"/>
        <v>0</v>
      </c>
      <c r="AW33" s="113">
        <f t="shared" si="140"/>
        <v>1.0282423910063065E-2</v>
      </c>
      <c r="AX33" s="110">
        <f t="shared" si="141"/>
        <v>0</v>
      </c>
      <c r="AY33" s="115">
        <f t="shared" si="142"/>
        <v>0</v>
      </c>
      <c r="AZ33" s="110">
        <f t="shared" si="143"/>
        <v>0</v>
      </c>
      <c r="BA33" s="52">
        <f>Summ.!$A42</f>
        <v>50570</v>
      </c>
      <c r="BB33" s="119" t="str">
        <f>Summ.!$B42</f>
        <v>Fountain Repair</v>
      </c>
      <c r="BC33" s="134">
        <f t="shared" si="210"/>
        <v>0</v>
      </c>
      <c r="BD33" s="110">
        <f t="shared" si="211"/>
        <v>0</v>
      </c>
      <c r="BE33" s="110">
        <f t="shared" si="212"/>
        <v>0</v>
      </c>
      <c r="BF33" s="113" t="e">
        <f t="shared" si="144"/>
        <v>#REF!</v>
      </c>
      <c r="BG33" s="110" t="e">
        <f t="shared" si="145"/>
        <v>#REF!</v>
      </c>
      <c r="BH33" s="115" t="e">
        <f t="shared" si="146"/>
        <v>#REF!</v>
      </c>
      <c r="BI33" s="110" t="e">
        <f t="shared" si="147"/>
        <v>#REF!</v>
      </c>
      <c r="BJ33" s="52">
        <f>Summ.!$A42</f>
        <v>50570</v>
      </c>
      <c r="BK33" s="119" t="str">
        <f>Summ.!$B42</f>
        <v>Fountain Repair</v>
      </c>
      <c r="BL33" s="134">
        <f t="shared" si="213"/>
        <v>0</v>
      </c>
      <c r="BM33" s="110">
        <f t="shared" si="148"/>
        <v>0</v>
      </c>
      <c r="BN33" s="110">
        <f t="shared" si="214"/>
        <v>0</v>
      </c>
      <c r="BO33" s="113">
        <f t="shared" si="149"/>
        <v>1.9468055936386071E-2</v>
      </c>
      <c r="BP33" s="110">
        <f t="shared" si="150"/>
        <v>0</v>
      </c>
      <c r="BQ33" s="115">
        <f t="shared" si="151"/>
        <v>0</v>
      </c>
      <c r="BR33" s="110">
        <f t="shared" si="152"/>
        <v>0</v>
      </c>
      <c r="BS33" s="52">
        <f>Summ.!$A42</f>
        <v>50570</v>
      </c>
      <c r="BT33" s="119" t="str">
        <f>Summ.!$B42</f>
        <v>Fountain Repair</v>
      </c>
      <c r="BU33" s="134">
        <f t="shared" si="215"/>
        <v>0</v>
      </c>
      <c r="BV33" s="110">
        <f t="shared" si="216"/>
        <v>0</v>
      </c>
      <c r="BW33" s="110">
        <f t="shared" si="217"/>
        <v>0</v>
      </c>
      <c r="BX33" s="113">
        <f t="shared" si="153"/>
        <v>2.0427748834658623E-2</v>
      </c>
      <c r="BY33" s="110">
        <f t="shared" si="154"/>
        <v>0</v>
      </c>
      <c r="BZ33" s="115">
        <f t="shared" si="155"/>
        <v>0</v>
      </c>
      <c r="CA33" s="110">
        <f t="shared" si="156"/>
        <v>0</v>
      </c>
      <c r="CB33" s="52">
        <f>Summ.!$A42</f>
        <v>50570</v>
      </c>
      <c r="CC33" s="119" t="str">
        <f>Summ.!$B42</f>
        <v>Fountain Repair</v>
      </c>
      <c r="CD33" s="134">
        <f t="shared" si="218"/>
        <v>0</v>
      </c>
      <c r="CE33" s="110">
        <v>0</v>
      </c>
      <c r="CF33" s="110">
        <f t="shared" si="219"/>
        <v>0</v>
      </c>
      <c r="CG33" s="113">
        <f t="shared" si="157"/>
        <v>6.9058717536918793E-2</v>
      </c>
      <c r="CH33" s="110">
        <f t="shared" si="158"/>
        <v>0</v>
      </c>
      <c r="CI33" s="115">
        <f t="shared" si="159"/>
        <v>0</v>
      </c>
      <c r="CJ33" s="110">
        <f t="shared" si="160"/>
        <v>0</v>
      </c>
      <c r="CK33" s="52">
        <f>Summ.!$A42</f>
        <v>50570</v>
      </c>
      <c r="CL33" s="119" t="str">
        <f>Summ.!$B42</f>
        <v>Fountain Repair</v>
      </c>
      <c r="CM33" s="134">
        <f t="shared" si="220"/>
        <v>0</v>
      </c>
      <c r="CN33" s="110">
        <f t="shared" si="221"/>
        <v>0</v>
      </c>
      <c r="CO33" s="110">
        <f t="shared" si="222"/>
        <v>0</v>
      </c>
      <c r="CP33" s="113">
        <f t="shared" si="161"/>
        <v>0.21027067256845156</v>
      </c>
      <c r="CQ33" s="110">
        <f t="shared" si="162"/>
        <v>0</v>
      </c>
      <c r="CR33" s="115">
        <f t="shared" si="163"/>
        <v>0</v>
      </c>
      <c r="CS33" s="110">
        <f t="shared" si="164"/>
        <v>0</v>
      </c>
      <c r="CT33" s="52">
        <f>Summ.!$A42</f>
        <v>50570</v>
      </c>
      <c r="CU33" s="119" t="str">
        <f>Summ.!$B42</f>
        <v>Fountain Repair</v>
      </c>
      <c r="CV33" s="134">
        <f t="shared" si="223"/>
        <v>0</v>
      </c>
      <c r="CW33" s="110">
        <v>0</v>
      </c>
      <c r="CX33" s="110">
        <f t="shared" si="224"/>
        <v>0</v>
      </c>
      <c r="CY33" s="113">
        <f t="shared" si="165"/>
        <v>5.8756708057503229E-2</v>
      </c>
      <c r="CZ33" s="110">
        <f t="shared" si="166"/>
        <v>0</v>
      </c>
      <c r="DA33" s="115">
        <f t="shared" si="167"/>
        <v>0</v>
      </c>
      <c r="DB33" s="110">
        <f t="shared" si="168"/>
        <v>0</v>
      </c>
      <c r="DC33" s="52">
        <f>Summ.!$A42</f>
        <v>50570</v>
      </c>
      <c r="DD33" s="119" t="str">
        <f>Summ.!$B42</f>
        <v>Fountain Repair</v>
      </c>
      <c r="DE33" s="134">
        <f t="shared" si="225"/>
        <v>0</v>
      </c>
      <c r="DF33" s="110">
        <v>0</v>
      </c>
      <c r="DG33" s="110">
        <f t="shared" si="226"/>
        <v>0</v>
      </c>
      <c r="DH33" s="113">
        <f t="shared" si="169"/>
        <v>9.7927846762505388E-3</v>
      </c>
      <c r="DI33" s="110">
        <f t="shared" si="170"/>
        <v>0</v>
      </c>
      <c r="DJ33" s="115">
        <f t="shared" si="171"/>
        <v>0</v>
      </c>
      <c r="DK33" s="110">
        <f t="shared" si="172"/>
        <v>0</v>
      </c>
      <c r="DL33" s="52">
        <f>Summ.!$A42</f>
        <v>50570</v>
      </c>
      <c r="DM33" s="119" t="str">
        <f>Summ.!$B42</f>
        <v>Fountain Repair</v>
      </c>
      <c r="DN33" s="134">
        <f t="shared" si="227"/>
        <v>0</v>
      </c>
      <c r="DO33" s="110">
        <v>0</v>
      </c>
      <c r="DP33" s="110">
        <f t="shared" si="228"/>
        <v>0</v>
      </c>
      <c r="DQ33" s="113">
        <f t="shared" si="173"/>
        <v>5.6719808844843123E-2</v>
      </c>
      <c r="DR33" s="110">
        <f t="shared" si="174"/>
        <v>0</v>
      </c>
      <c r="DS33" s="115">
        <f t="shared" si="175"/>
        <v>0</v>
      </c>
      <c r="DT33" s="110">
        <f t="shared" si="176"/>
        <v>0</v>
      </c>
      <c r="DU33" s="52">
        <f>Summ.!$A42</f>
        <v>50570</v>
      </c>
      <c r="DV33" s="119" t="str">
        <f>Summ.!$B42</f>
        <v>Fountain Repair</v>
      </c>
      <c r="DW33" s="134">
        <f t="shared" si="229"/>
        <v>0</v>
      </c>
      <c r="DX33" s="110">
        <f t="shared" si="230"/>
        <v>0</v>
      </c>
      <c r="DY33" s="110">
        <f t="shared" si="231"/>
        <v>0</v>
      </c>
      <c r="DZ33" s="113">
        <f t="shared" si="177"/>
        <v>0.15695875279094362</v>
      </c>
      <c r="EA33" s="110">
        <f t="shared" si="178"/>
        <v>0</v>
      </c>
      <c r="EB33" s="115">
        <f t="shared" si="179"/>
        <v>0</v>
      </c>
      <c r="EC33" s="110">
        <f t="shared" si="180"/>
        <v>0</v>
      </c>
      <c r="ED33" s="52">
        <f>Summ.!$A42</f>
        <v>50570</v>
      </c>
      <c r="EE33" s="119" t="str">
        <f>Summ.!$B42</f>
        <v>Fountain Repair</v>
      </c>
      <c r="EF33" s="134">
        <f t="shared" si="232"/>
        <v>0</v>
      </c>
      <c r="EG33" s="110">
        <f t="shared" si="233"/>
        <v>0</v>
      </c>
      <c r="EH33" s="110">
        <f t="shared" si="234"/>
        <v>0</v>
      </c>
      <c r="EI33" s="113">
        <f t="shared" si="181"/>
        <v>0.12730620079125701</v>
      </c>
      <c r="EJ33" s="110">
        <f t="shared" si="182"/>
        <v>0</v>
      </c>
      <c r="EK33" s="115">
        <f t="shared" si="183"/>
        <v>0</v>
      </c>
      <c r="EL33" s="110">
        <f t="shared" si="184"/>
        <v>0</v>
      </c>
      <c r="EM33" s="52">
        <f>Summ.!$A42</f>
        <v>50570</v>
      </c>
      <c r="EN33" s="119" t="str">
        <f>Summ.!$B42</f>
        <v>Fountain Repair</v>
      </c>
      <c r="EO33" s="134">
        <f t="shared" si="235"/>
        <v>0</v>
      </c>
      <c r="EP33" s="110">
        <v>0</v>
      </c>
      <c r="EQ33" s="110">
        <f t="shared" si="236"/>
        <v>0</v>
      </c>
      <c r="ER33" s="113">
        <f t="shared" si="185"/>
        <v>3.9034039719534647E-2</v>
      </c>
      <c r="ES33" s="110">
        <f t="shared" si="186"/>
        <v>0</v>
      </c>
      <c r="ET33" s="115">
        <f t="shared" si="187"/>
        <v>0</v>
      </c>
      <c r="EU33" s="110">
        <f t="shared" si="188"/>
        <v>0</v>
      </c>
      <c r="EV33" s="52">
        <f>Summ.!$A42</f>
        <v>50570</v>
      </c>
      <c r="EW33" s="119" t="str">
        <f>Summ.!$B42</f>
        <v>Fountain Repair</v>
      </c>
      <c r="EX33" s="134">
        <f t="shared" si="237"/>
        <v>0</v>
      </c>
      <c r="EY33" s="110">
        <v>0</v>
      </c>
      <c r="EZ33" s="110">
        <f t="shared" si="238"/>
        <v>0</v>
      </c>
      <c r="FA33" s="113">
        <f t="shared" si="189"/>
        <v>1.8841317717106038E-2</v>
      </c>
      <c r="FB33" s="110">
        <f t="shared" si="190"/>
        <v>0</v>
      </c>
      <c r="FC33" s="115">
        <f t="shared" si="191"/>
        <v>0</v>
      </c>
      <c r="FD33" s="110">
        <f t="shared" si="192"/>
        <v>0</v>
      </c>
      <c r="FE33" s="52">
        <f>Summ.!$A42</f>
        <v>50570</v>
      </c>
      <c r="FF33" s="119" t="str">
        <f>Summ.!$B42</f>
        <v>Fountain Repair</v>
      </c>
      <c r="FG33" s="134">
        <f t="shared" si="239"/>
        <v>0</v>
      </c>
      <c r="FH33" s="110">
        <f t="shared" si="240"/>
        <v>0</v>
      </c>
      <c r="FI33" s="110">
        <f t="shared" si="241"/>
        <v>0</v>
      </c>
      <c r="FJ33" s="113">
        <f t="shared" si="193"/>
        <v>7.254494888166399E-2</v>
      </c>
      <c r="FK33" s="110">
        <f t="shared" si="194"/>
        <v>0</v>
      </c>
      <c r="FL33" s="115">
        <f t="shared" si="195"/>
        <v>0</v>
      </c>
      <c r="FM33" s="110">
        <f t="shared" si="196"/>
        <v>0</v>
      </c>
    </row>
    <row r="34" spans="1:169" ht="12.75" customHeight="1">
      <c r="A34" s="52">
        <f>Summ.!A43</f>
        <v>50550</v>
      </c>
      <c r="B34" s="45" t="str">
        <f>Summ.!B43</f>
        <v>Sign Maintenance</v>
      </c>
      <c r="C34" s="45"/>
      <c r="D34" s="45"/>
      <c r="E34" s="45"/>
      <c r="F34" s="106">
        <f>+Summ.!O43</f>
        <v>0</v>
      </c>
      <c r="G34" s="71">
        <f>Rent!$B$41</f>
        <v>51058</v>
      </c>
      <c r="H34" s="52">
        <f>Summ.!$A43</f>
        <v>50550</v>
      </c>
      <c r="I34" s="119" t="str">
        <f>Summ.!$B43</f>
        <v>Sign Maintenance</v>
      </c>
      <c r="J34" s="134">
        <f t="shared" si="197"/>
        <v>0</v>
      </c>
      <c r="K34" s="110">
        <v>0</v>
      </c>
      <c r="L34" s="110">
        <f t="shared" si="198"/>
        <v>0</v>
      </c>
      <c r="M34" s="113">
        <f t="shared" si="124"/>
        <v>7.5854910102236675E-2</v>
      </c>
      <c r="N34" s="110">
        <f t="shared" si="125"/>
        <v>0</v>
      </c>
      <c r="O34" s="115">
        <f t="shared" si="126"/>
        <v>0</v>
      </c>
      <c r="P34" s="110">
        <f t="shared" si="127"/>
        <v>0</v>
      </c>
      <c r="Q34" s="52">
        <f>Summ.!$A43</f>
        <v>50550</v>
      </c>
      <c r="R34" s="119" t="str">
        <f>Summ.!$B43</f>
        <v>Sign Maintenance</v>
      </c>
      <c r="S34" s="134">
        <f t="shared" si="199"/>
        <v>0</v>
      </c>
      <c r="T34" s="110">
        <f t="shared" si="200"/>
        <v>0</v>
      </c>
      <c r="U34" s="110">
        <f t="shared" si="201"/>
        <v>0</v>
      </c>
      <c r="V34" s="113">
        <f t="shared" si="128"/>
        <v>2.1034901484586158E-2</v>
      </c>
      <c r="W34" s="110">
        <f t="shared" si="129"/>
        <v>0</v>
      </c>
      <c r="X34" s="115">
        <f t="shared" si="130"/>
        <v>0</v>
      </c>
      <c r="Y34" s="110">
        <f t="shared" si="131"/>
        <v>0</v>
      </c>
      <c r="Z34" s="52">
        <f>Summ.!$A43</f>
        <v>50550</v>
      </c>
      <c r="AA34" s="119" t="str">
        <f>Summ.!$B43</f>
        <v>Sign Maintenance</v>
      </c>
      <c r="AB34" s="134">
        <f t="shared" si="202"/>
        <v>0</v>
      </c>
      <c r="AC34" s="110">
        <v>0</v>
      </c>
      <c r="AD34" s="110">
        <f t="shared" si="203"/>
        <v>0</v>
      </c>
      <c r="AE34" s="113">
        <f t="shared" si="132"/>
        <v>3.9171138705002152E-3</v>
      </c>
      <c r="AF34" s="110">
        <f t="shared" si="133"/>
        <v>0</v>
      </c>
      <c r="AG34" s="115">
        <f t="shared" si="134"/>
        <v>0</v>
      </c>
      <c r="AH34" s="110">
        <f t="shared" si="135"/>
        <v>0</v>
      </c>
      <c r="AI34" s="52">
        <f>Summ.!$A43</f>
        <v>50550</v>
      </c>
      <c r="AJ34" s="119" t="str">
        <f>Summ.!$B43</f>
        <v>Sign Maintenance</v>
      </c>
      <c r="AK34" s="134">
        <f t="shared" si="204"/>
        <v>0</v>
      </c>
      <c r="AL34" s="110">
        <f t="shared" si="205"/>
        <v>0</v>
      </c>
      <c r="AM34" s="110">
        <f t="shared" si="206"/>
        <v>0</v>
      </c>
      <c r="AN34" s="113">
        <f t="shared" si="136"/>
        <v>1.0145324924595559E-2</v>
      </c>
      <c r="AO34" s="110">
        <f t="shared" si="137"/>
        <v>0</v>
      </c>
      <c r="AP34" s="115">
        <f t="shared" si="138"/>
        <v>0</v>
      </c>
      <c r="AQ34" s="110">
        <f t="shared" si="139"/>
        <v>0</v>
      </c>
      <c r="AR34" s="52">
        <f>Summ.!$A43</f>
        <v>50550</v>
      </c>
      <c r="AS34" s="119" t="str">
        <f>Summ.!$B43</f>
        <v>Sign Maintenance</v>
      </c>
      <c r="AT34" s="134">
        <f t="shared" si="207"/>
        <v>0</v>
      </c>
      <c r="AU34" s="110">
        <f t="shared" si="208"/>
        <v>0</v>
      </c>
      <c r="AV34" s="110">
        <f t="shared" si="209"/>
        <v>0</v>
      </c>
      <c r="AW34" s="113">
        <f t="shared" si="140"/>
        <v>1.0282423910063065E-2</v>
      </c>
      <c r="AX34" s="110">
        <f t="shared" si="141"/>
        <v>0</v>
      </c>
      <c r="AY34" s="115">
        <f t="shared" si="142"/>
        <v>0</v>
      </c>
      <c r="AZ34" s="110">
        <f t="shared" si="143"/>
        <v>0</v>
      </c>
      <c r="BA34" s="52">
        <f>Summ.!$A43</f>
        <v>50550</v>
      </c>
      <c r="BB34" s="119" t="str">
        <f>Summ.!$B43</f>
        <v>Sign Maintenance</v>
      </c>
      <c r="BC34" s="134">
        <f t="shared" si="210"/>
        <v>0</v>
      </c>
      <c r="BD34" s="110">
        <f t="shared" si="211"/>
        <v>0</v>
      </c>
      <c r="BE34" s="110">
        <f t="shared" si="212"/>
        <v>0</v>
      </c>
      <c r="BF34" s="113" t="e">
        <f t="shared" si="144"/>
        <v>#REF!</v>
      </c>
      <c r="BG34" s="110" t="e">
        <f t="shared" si="145"/>
        <v>#REF!</v>
      </c>
      <c r="BH34" s="115" t="e">
        <f t="shared" si="146"/>
        <v>#REF!</v>
      </c>
      <c r="BI34" s="110" t="e">
        <f t="shared" si="147"/>
        <v>#REF!</v>
      </c>
      <c r="BJ34" s="52">
        <f>Summ.!$A43</f>
        <v>50550</v>
      </c>
      <c r="BK34" s="119" t="str">
        <f>Summ.!$B43</f>
        <v>Sign Maintenance</v>
      </c>
      <c r="BL34" s="134">
        <f t="shared" si="213"/>
        <v>0</v>
      </c>
      <c r="BM34" s="110">
        <f t="shared" si="148"/>
        <v>0</v>
      </c>
      <c r="BN34" s="110">
        <f t="shared" si="214"/>
        <v>0</v>
      </c>
      <c r="BO34" s="113">
        <f t="shared" si="149"/>
        <v>1.9468055936386071E-2</v>
      </c>
      <c r="BP34" s="110">
        <f t="shared" si="150"/>
        <v>0</v>
      </c>
      <c r="BQ34" s="115">
        <f t="shared" si="151"/>
        <v>0</v>
      </c>
      <c r="BR34" s="110">
        <f t="shared" si="152"/>
        <v>0</v>
      </c>
      <c r="BS34" s="52">
        <f>Summ.!$A43</f>
        <v>50550</v>
      </c>
      <c r="BT34" s="119" t="str">
        <f>Summ.!$B43</f>
        <v>Sign Maintenance</v>
      </c>
      <c r="BU34" s="134">
        <f t="shared" si="215"/>
        <v>0</v>
      </c>
      <c r="BV34" s="110">
        <f t="shared" si="216"/>
        <v>0</v>
      </c>
      <c r="BW34" s="110">
        <f t="shared" si="217"/>
        <v>0</v>
      </c>
      <c r="BX34" s="113">
        <f t="shared" si="153"/>
        <v>2.0427748834658623E-2</v>
      </c>
      <c r="BY34" s="110">
        <f t="shared" si="154"/>
        <v>0</v>
      </c>
      <c r="BZ34" s="115">
        <f t="shared" si="155"/>
        <v>0</v>
      </c>
      <c r="CA34" s="110">
        <f t="shared" si="156"/>
        <v>0</v>
      </c>
      <c r="CB34" s="52">
        <f>Summ.!$A43</f>
        <v>50550</v>
      </c>
      <c r="CC34" s="119" t="str">
        <f>Summ.!$B43</f>
        <v>Sign Maintenance</v>
      </c>
      <c r="CD34" s="134">
        <f t="shared" si="218"/>
        <v>0</v>
      </c>
      <c r="CE34" s="110">
        <v>0</v>
      </c>
      <c r="CF34" s="110">
        <f t="shared" si="219"/>
        <v>0</v>
      </c>
      <c r="CG34" s="113">
        <f t="shared" si="157"/>
        <v>6.9058717536918793E-2</v>
      </c>
      <c r="CH34" s="110">
        <f t="shared" si="158"/>
        <v>0</v>
      </c>
      <c r="CI34" s="115">
        <f t="shared" si="159"/>
        <v>0</v>
      </c>
      <c r="CJ34" s="110">
        <f t="shared" si="160"/>
        <v>0</v>
      </c>
      <c r="CK34" s="52">
        <f>Summ.!$A43</f>
        <v>50550</v>
      </c>
      <c r="CL34" s="119" t="str">
        <f>Summ.!$B43</f>
        <v>Sign Maintenance</v>
      </c>
      <c r="CM34" s="134">
        <f t="shared" si="220"/>
        <v>0</v>
      </c>
      <c r="CN34" s="110">
        <f t="shared" si="221"/>
        <v>0</v>
      </c>
      <c r="CO34" s="110">
        <f t="shared" si="222"/>
        <v>0</v>
      </c>
      <c r="CP34" s="113">
        <f t="shared" si="161"/>
        <v>0.21027067256845156</v>
      </c>
      <c r="CQ34" s="110">
        <f t="shared" si="162"/>
        <v>0</v>
      </c>
      <c r="CR34" s="115">
        <f t="shared" si="163"/>
        <v>0</v>
      </c>
      <c r="CS34" s="110">
        <f t="shared" si="164"/>
        <v>0</v>
      </c>
      <c r="CT34" s="52">
        <f>Summ.!$A43</f>
        <v>50550</v>
      </c>
      <c r="CU34" s="119" t="str">
        <f>Summ.!$B43</f>
        <v>Sign Maintenance</v>
      </c>
      <c r="CV34" s="134">
        <f t="shared" si="223"/>
        <v>0</v>
      </c>
      <c r="CW34" s="110">
        <v>0</v>
      </c>
      <c r="CX34" s="110">
        <f t="shared" si="224"/>
        <v>0</v>
      </c>
      <c r="CY34" s="113">
        <f t="shared" si="165"/>
        <v>5.8756708057503229E-2</v>
      </c>
      <c r="CZ34" s="110">
        <f t="shared" si="166"/>
        <v>0</v>
      </c>
      <c r="DA34" s="115">
        <f t="shared" si="167"/>
        <v>0</v>
      </c>
      <c r="DB34" s="110">
        <f t="shared" si="168"/>
        <v>0</v>
      </c>
      <c r="DC34" s="52">
        <f>Summ.!$A43</f>
        <v>50550</v>
      </c>
      <c r="DD34" s="119" t="str">
        <f>Summ.!$B43</f>
        <v>Sign Maintenance</v>
      </c>
      <c r="DE34" s="134">
        <f t="shared" si="225"/>
        <v>0</v>
      </c>
      <c r="DF34" s="110">
        <v>0</v>
      </c>
      <c r="DG34" s="110">
        <f t="shared" si="226"/>
        <v>0</v>
      </c>
      <c r="DH34" s="113">
        <f t="shared" si="169"/>
        <v>9.7927846762505388E-3</v>
      </c>
      <c r="DI34" s="110">
        <f t="shared" si="170"/>
        <v>0</v>
      </c>
      <c r="DJ34" s="115">
        <f t="shared" si="171"/>
        <v>0</v>
      </c>
      <c r="DK34" s="110">
        <f t="shared" si="172"/>
        <v>0</v>
      </c>
      <c r="DL34" s="52">
        <f>Summ.!$A43</f>
        <v>50550</v>
      </c>
      <c r="DM34" s="119" t="str">
        <f>Summ.!$B43</f>
        <v>Sign Maintenance</v>
      </c>
      <c r="DN34" s="134">
        <f t="shared" si="227"/>
        <v>0</v>
      </c>
      <c r="DO34" s="110">
        <v>0</v>
      </c>
      <c r="DP34" s="110">
        <f t="shared" si="228"/>
        <v>0</v>
      </c>
      <c r="DQ34" s="113">
        <f t="shared" si="173"/>
        <v>5.6719808844843123E-2</v>
      </c>
      <c r="DR34" s="110">
        <f t="shared" si="174"/>
        <v>0</v>
      </c>
      <c r="DS34" s="115">
        <f t="shared" si="175"/>
        <v>0</v>
      </c>
      <c r="DT34" s="110">
        <f t="shared" si="176"/>
        <v>0</v>
      </c>
      <c r="DU34" s="52">
        <f>Summ.!$A43</f>
        <v>50550</v>
      </c>
      <c r="DV34" s="119" t="str">
        <f>Summ.!$B43</f>
        <v>Sign Maintenance</v>
      </c>
      <c r="DW34" s="134">
        <f t="shared" si="229"/>
        <v>0</v>
      </c>
      <c r="DX34" s="110">
        <f t="shared" si="230"/>
        <v>0</v>
      </c>
      <c r="DY34" s="110">
        <f t="shared" si="231"/>
        <v>0</v>
      </c>
      <c r="DZ34" s="113">
        <f t="shared" si="177"/>
        <v>0.15695875279094362</v>
      </c>
      <c r="EA34" s="110">
        <f t="shared" si="178"/>
        <v>0</v>
      </c>
      <c r="EB34" s="115">
        <f t="shared" si="179"/>
        <v>0</v>
      </c>
      <c r="EC34" s="110">
        <f t="shared" si="180"/>
        <v>0</v>
      </c>
      <c r="ED34" s="52">
        <f>Summ.!$A43</f>
        <v>50550</v>
      </c>
      <c r="EE34" s="119" t="str">
        <f>Summ.!$B43</f>
        <v>Sign Maintenance</v>
      </c>
      <c r="EF34" s="134">
        <f t="shared" si="232"/>
        <v>0</v>
      </c>
      <c r="EG34" s="110">
        <f t="shared" si="233"/>
        <v>0</v>
      </c>
      <c r="EH34" s="110">
        <f t="shared" si="234"/>
        <v>0</v>
      </c>
      <c r="EI34" s="113">
        <f t="shared" si="181"/>
        <v>0.12730620079125701</v>
      </c>
      <c r="EJ34" s="110">
        <f t="shared" si="182"/>
        <v>0</v>
      </c>
      <c r="EK34" s="115">
        <f t="shared" si="183"/>
        <v>0</v>
      </c>
      <c r="EL34" s="110">
        <f t="shared" si="184"/>
        <v>0</v>
      </c>
      <c r="EM34" s="52">
        <f>Summ.!$A43</f>
        <v>50550</v>
      </c>
      <c r="EN34" s="119" t="str">
        <f>Summ.!$B43</f>
        <v>Sign Maintenance</v>
      </c>
      <c r="EO34" s="134">
        <f t="shared" si="235"/>
        <v>0</v>
      </c>
      <c r="EP34" s="110">
        <v>0</v>
      </c>
      <c r="EQ34" s="110">
        <f t="shared" si="236"/>
        <v>0</v>
      </c>
      <c r="ER34" s="113">
        <f t="shared" si="185"/>
        <v>3.9034039719534647E-2</v>
      </c>
      <c r="ES34" s="110">
        <f t="shared" si="186"/>
        <v>0</v>
      </c>
      <c r="ET34" s="115">
        <f t="shared" si="187"/>
        <v>0</v>
      </c>
      <c r="EU34" s="110">
        <f t="shared" si="188"/>
        <v>0</v>
      </c>
      <c r="EV34" s="52">
        <f>Summ.!$A43</f>
        <v>50550</v>
      </c>
      <c r="EW34" s="119" t="str">
        <f>Summ.!$B43</f>
        <v>Sign Maintenance</v>
      </c>
      <c r="EX34" s="134">
        <f t="shared" si="237"/>
        <v>0</v>
      </c>
      <c r="EY34" s="110">
        <v>0</v>
      </c>
      <c r="EZ34" s="110">
        <f t="shared" si="238"/>
        <v>0</v>
      </c>
      <c r="FA34" s="113">
        <f t="shared" si="189"/>
        <v>1.8841317717106038E-2</v>
      </c>
      <c r="FB34" s="110">
        <f t="shared" si="190"/>
        <v>0</v>
      </c>
      <c r="FC34" s="115">
        <f t="shared" si="191"/>
        <v>0</v>
      </c>
      <c r="FD34" s="110">
        <f t="shared" si="192"/>
        <v>0</v>
      </c>
      <c r="FE34" s="52">
        <f>Summ.!$A43</f>
        <v>50550</v>
      </c>
      <c r="FF34" s="119" t="str">
        <f>Summ.!$B43</f>
        <v>Sign Maintenance</v>
      </c>
      <c r="FG34" s="134">
        <f t="shared" si="239"/>
        <v>0</v>
      </c>
      <c r="FH34" s="110">
        <f t="shared" si="240"/>
        <v>0</v>
      </c>
      <c r="FI34" s="110">
        <f t="shared" si="241"/>
        <v>0</v>
      </c>
      <c r="FJ34" s="113">
        <f t="shared" si="193"/>
        <v>7.254494888166399E-2</v>
      </c>
      <c r="FK34" s="110">
        <f t="shared" si="194"/>
        <v>0</v>
      </c>
      <c r="FL34" s="115">
        <f t="shared" si="195"/>
        <v>0</v>
      </c>
      <c r="FM34" s="110">
        <f t="shared" si="196"/>
        <v>0</v>
      </c>
    </row>
    <row r="35" spans="1:169">
      <c r="A35" s="52">
        <f>Summ.!A44</f>
        <v>50551</v>
      </c>
      <c r="B35" s="45" t="str">
        <f>Summ.!B44</f>
        <v>Sign Repairs</v>
      </c>
      <c r="C35" s="45"/>
      <c r="D35" s="45"/>
      <c r="E35" s="45"/>
      <c r="F35" s="106">
        <v>0</v>
      </c>
      <c r="G35" s="71">
        <f>Rent!$B$41</f>
        <v>51058</v>
      </c>
      <c r="H35" s="52">
        <f>Summ.!$A44</f>
        <v>50551</v>
      </c>
      <c r="I35" s="119" t="str">
        <f>Summ.!$B44</f>
        <v>Sign Repairs</v>
      </c>
      <c r="J35" s="134">
        <f t="shared" si="197"/>
        <v>0</v>
      </c>
      <c r="K35" s="110">
        <v>0</v>
      </c>
      <c r="L35" s="110">
        <f t="shared" si="198"/>
        <v>0</v>
      </c>
      <c r="M35" s="113">
        <f t="shared" si="124"/>
        <v>7.5854910102236675E-2</v>
      </c>
      <c r="N35" s="110">
        <f t="shared" si="125"/>
        <v>0</v>
      </c>
      <c r="O35" s="115">
        <f t="shared" si="126"/>
        <v>0</v>
      </c>
      <c r="P35" s="110">
        <f t="shared" si="127"/>
        <v>0</v>
      </c>
      <c r="Q35" s="52">
        <f>Summ.!$A44</f>
        <v>50551</v>
      </c>
      <c r="R35" s="119" t="str">
        <f>Summ.!$B44</f>
        <v>Sign Repairs</v>
      </c>
      <c r="S35" s="134">
        <f t="shared" si="199"/>
        <v>0</v>
      </c>
      <c r="T35" s="110">
        <f t="shared" si="200"/>
        <v>0</v>
      </c>
      <c r="U35" s="110">
        <f t="shared" si="201"/>
        <v>0</v>
      </c>
      <c r="V35" s="113">
        <f t="shared" si="128"/>
        <v>2.1034901484586158E-2</v>
      </c>
      <c r="W35" s="110">
        <f t="shared" si="129"/>
        <v>0</v>
      </c>
      <c r="X35" s="115">
        <f t="shared" si="130"/>
        <v>0</v>
      </c>
      <c r="Y35" s="110">
        <f t="shared" si="131"/>
        <v>0</v>
      </c>
      <c r="Z35" s="52">
        <f>Summ.!$A44</f>
        <v>50551</v>
      </c>
      <c r="AA35" s="119" t="str">
        <f>Summ.!$B44</f>
        <v>Sign Repairs</v>
      </c>
      <c r="AB35" s="134">
        <f t="shared" si="202"/>
        <v>0</v>
      </c>
      <c r="AC35" s="110">
        <v>0</v>
      </c>
      <c r="AD35" s="110">
        <f t="shared" si="203"/>
        <v>0</v>
      </c>
      <c r="AE35" s="113">
        <f t="shared" si="132"/>
        <v>3.9171138705002152E-3</v>
      </c>
      <c r="AF35" s="110">
        <f t="shared" si="133"/>
        <v>0</v>
      </c>
      <c r="AG35" s="115">
        <f t="shared" si="134"/>
        <v>0</v>
      </c>
      <c r="AH35" s="110">
        <f t="shared" si="135"/>
        <v>0</v>
      </c>
      <c r="AI35" s="52">
        <f>Summ.!$A44</f>
        <v>50551</v>
      </c>
      <c r="AJ35" s="119" t="str">
        <f>Summ.!$B44</f>
        <v>Sign Repairs</v>
      </c>
      <c r="AK35" s="134">
        <f t="shared" si="204"/>
        <v>0</v>
      </c>
      <c r="AL35" s="110">
        <f t="shared" si="205"/>
        <v>0</v>
      </c>
      <c r="AM35" s="110">
        <f t="shared" si="206"/>
        <v>0</v>
      </c>
      <c r="AN35" s="113">
        <f t="shared" si="136"/>
        <v>1.0145324924595559E-2</v>
      </c>
      <c r="AO35" s="110">
        <f t="shared" si="137"/>
        <v>0</v>
      </c>
      <c r="AP35" s="115">
        <f t="shared" si="138"/>
        <v>0</v>
      </c>
      <c r="AQ35" s="110">
        <f t="shared" si="139"/>
        <v>0</v>
      </c>
      <c r="AR35" s="52">
        <f>Summ.!$A44</f>
        <v>50551</v>
      </c>
      <c r="AS35" s="119" t="str">
        <f>Summ.!$B44</f>
        <v>Sign Repairs</v>
      </c>
      <c r="AT35" s="134">
        <f t="shared" si="207"/>
        <v>0</v>
      </c>
      <c r="AU35" s="110">
        <f t="shared" si="208"/>
        <v>0</v>
      </c>
      <c r="AV35" s="110">
        <f t="shared" si="209"/>
        <v>0</v>
      </c>
      <c r="AW35" s="113">
        <f t="shared" si="140"/>
        <v>1.0282423910063065E-2</v>
      </c>
      <c r="AX35" s="110">
        <f t="shared" si="141"/>
        <v>0</v>
      </c>
      <c r="AY35" s="115">
        <f t="shared" si="142"/>
        <v>0</v>
      </c>
      <c r="AZ35" s="110">
        <f t="shared" si="143"/>
        <v>0</v>
      </c>
      <c r="BA35" s="52">
        <f>Summ.!$A44</f>
        <v>50551</v>
      </c>
      <c r="BB35" s="119" t="str">
        <f>Summ.!$B44</f>
        <v>Sign Repairs</v>
      </c>
      <c r="BC35" s="134">
        <f t="shared" si="210"/>
        <v>0</v>
      </c>
      <c r="BD35" s="110">
        <f t="shared" si="211"/>
        <v>0</v>
      </c>
      <c r="BE35" s="110">
        <f t="shared" si="212"/>
        <v>0</v>
      </c>
      <c r="BF35" s="113" t="e">
        <f t="shared" si="144"/>
        <v>#REF!</v>
      </c>
      <c r="BG35" s="110" t="e">
        <f t="shared" si="145"/>
        <v>#REF!</v>
      </c>
      <c r="BH35" s="115" t="e">
        <f t="shared" si="146"/>
        <v>#REF!</v>
      </c>
      <c r="BI35" s="110" t="e">
        <f t="shared" si="147"/>
        <v>#REF!</v>
      </c>
      <c r="BJ35" s="52">
        <f>Summ.!$A44</f>
        <v>50551</v>
      </c>
      <c r="BK35" s="119" t="str">
        <f>Summ.!$B44</f>
        <v>Sign Repairs</v>
      </c>
      <c r="BL35" s="134">
        <f t="shared" si="213"/>
        <v>0</v>
      </c>
      <c r="BM35" s="110">
        <f t="shared" si="148"/>
        <v>0</v>
      </c>
      <c r="BN35" s="110">
        <f t="shared" si="214"/>
        <v>0</v>
      </c>
      <c r="BO35" s="113">
        <f t="shared" si="149"/>
        <v>1.9468055936386071E-2</v>
      </c>
      <c r="BP35" s="110">
        <f t="shared" si="150"/>
        <v>0</v>
      </c>
      <c r="BQ35" s="115">
        <f t="shared" si="151"/>
        <v>0</v>
      </c>
      <c r="BR35" s="110">
        <f t="shared" si="152"/>
        <v>0</v>
      </c>
      <c r="BS35" s="52">
        <f>Summ.!$A44</f>
        <v>50551</v>
      </c>
      <c r="BT35" s="119" t="str">
        <f>Summ.!$B44</f>
        <v>Sign Repairs</v>
      </c>
      <c r="BU35" s="134">
        <f t="shared" si="215"/>
        <v>0</v>
      </c>
      <c r="BV35" s="110">
        <f t="shared" si="216"/>
        <v>0</v>
      </c>
      <c r="BW35" s="110">
        <f t="shared" si="217"/>
        <v>0</v>
      </c>
      <c r="BX35" s="113">
        <f t="shared" si="153"/>
        <v>2.0427748834658623E-2</v>
      </c>
      <c r="BY35" s="110">
        <f t="shared" si="154"/>
        <v>0</v>
      </c>
      <c r="BZ35" s="115">
        <f t="shared" si="155"/>
        <v>0</v>
      </c>
      <c r="CA35" s="110">
        <f t="shared" si="156"/>
        <v>0</v>
      </c>
      <c r="CB35" s="52">
        <f>Summ.!$A44</f>
        <v>50551</v>
      </c>
      <c r="CC35" s="119" t="str">
        <f>Summ.!$B44</f>
        <v>Sign Repairs</v>
      </c>
      <c r="CD35" s="134">
        <f t="shared" si="218"/>
        <v>0</v>
      </c>
      <c r="CE35" s="110">
        <v>0</v>
      </c>
      <c r="CF35" s="110">
        <f t="shared" si="219"/>
        <v>0</v>
      </c>
      <c r="CG35" s="113">
        <f t="shared" si="157"/>
        <v>6.9058717536918793E-2</v>
      </c>
      <c r="CH35" s="110">
        <f t="shared" si="158"/>
        <v>0</v>
      </c>
      <c r="CI35" s="115">
        <f t="shared" si="159"/>
        <v>0</v>
      </c>
      <c r="CJ35" s="110">
        <f t="shared" si="160"/>
        <v>0</v>
      </c>
      <c r="CK35" s="52">
        <f>Summ.!$A44</f>
        <v>50551</v>
      </c>
      <c r="CL35" s="119" t="str">
        <f>Summ.!$B44</f>
        <v>Sign Repairs</v>
      </c>
      <c r="CM35" s="134">
        <f t="shared" si="220"/>
        <v>0</v>
      </c>
      <c r="CN35" s="110">
        <f t="shared" si="221"/>
        <v>0</v>
      </c>
      <c r="CO35" s="110">
        <f t="shared" si="222"/>
        <v>0</v>
      </c>
      <c r="CP35" s="113">
        <f t="shared" si="161"/>
        <v>0.21027067256845156</v>
      </c>
      <c r="CQ35" s="110">
        <f t="shared" si="162"/>
        <v>0</v>
      </c>
      <c r="CR35" s="115">
        <f t="shared" si="163"/>
        <v>0</v>
      </c>
      <c r="CS35" s="110">
        <f t="shared" si="164"/>
        <v>0</v>
      </c>
      <c r="CT35" s="52">
        <f>Summ.!$A44</f>
        <v>50551</v>
      </c>
      <c r="CU35" s="119" t="str">
        <f>Summ.!$B44</f>
        <v>Sign Repairs</v>
      </c>
      <c r="CV35" s="134">
        <f t="shared" si="223"/>
        <v>0</v>
      </c>
      <c r="CW35" s="110">
        <v>0</v>
      </c>
      <c r="CX35" s="110">
        <f t="shared" si="224"/>
        <v>0</v>
      </c>
      <c r="CY35" s="113">
        <f t="shared" si="165"/>
        <v>5.8756708057503229E-2</v>
      </c>
      <c r="CZ35" s="110">
        <f t="shared" si="166"/>
        <v>0</v>
      </c>
      <c r="DA35" s="115">
        <f t="shared" si="167"/>
        <v>0</v>
      </c>
      <c r="DB35" s="110">
        <f t="shared" si="168"/>
        <v>0</v>
      </c>
      <c r="DC35" s="52">
        <f>Summ.!$A44</f>
        <v>50551</v>
      </c>
      <c r="DD35" s="119" t="str">
        <f>Summ.!$B44</f>
        <v>Sign Repairs</v>
      </c>
      <c r="DE35" s="134">
        <f t="shared" si="225"/>
        <v>0</v>
      </c>
      <c r="DF35" s="110">
        <v>0</v>
      </c>
      <c r="DG35" s="110">
        <f t="shared" si="226"/>
        <v>0</v>
      </c>
      <c r="DH35" s="113">
        <f t="shared" si="169"/>
        <v>9.7927846762505388E-3</v>
      </c>
      <c r="DI35" s="110">
        <f t="shared" si="170"/>
        <v>0</v>
      </c>
      <c r="DJ35" s="115">
        <f t="shared" si="171"/>
        <v>0</v>
      </c>
      <c r="DK35" s="110">
        <f t="shared" si="172"/>
        <v>0</v>
      </c>
      <c r="DL35" s="52">
        <f>Summ.!$A44</f>
        <v>50551</v>
      </c>
      <c r="DM35" s="119" t="str">
        <f>Summ.!$B44</f>
        <v>Sign Repairs</v>
      </c>
      <c r="DN35" s="134">
        <f t="shared" si="227"/>
        <v>0</v>
      </c>
      <c r="DO35" s="110">
        <v>0</v>
      </c>
      <c r="DP35" s="110">
        <f t="shared" si="228"/>
        <v>0</v>
      </c>
      <c r="DQ35" s="113">
        <f t="shared" si="173"/>
        <v>5.6719808844843123E-2</v>
      </c>
      <c r="DR35" s="110">
        <f t="shared" si="174"/>
        <v>0</v>
      </c>
      <c r="DS35" s="115">
        <f t="shared" si="175"/>
        <v>0</v>
      </c>
      <c r="DT35" s="110">
        <f t="shared" si="176"/>
        <v>0</v>
      </c>
      <c r="DU35" s="52">
        <f>Summ.!$A44</f>
        <v>50551</v>
      </c>
      <c r="DV35" s="119" t="str">
        <f>Summ.!$B44</f>
        <v>Sign Repairs</v>
      </c>
      <c r="DW35" s="134">
        <f t="shared" si="229"/>
        <v>0</v>
      </c>
      <c r="DX35" s="110">
        <f t="shared" si="230"/>
        <v>0</v>
      </c>
      <c r="DY35" s="110">
        <f t="shared" si="231"/>
        <v>0</v>
      </c>
      <c r="DZ35" s="113">
        <f t="shared" si="177"/>
        <v>0.15695875279094362</v>
      </c>
      <c r="EA35" s="110">
        <f t="shared" si="178"/>
        <v>0</v>
      </c>
      <c r="EB35" s="115">
        <f t="shared" si="179"/>
        <v>0</v>
      </c>
      <c r="EC35" s="110">
        <f t="shared" si="180"/>
        <v>0</v>
      </c>
      <c r="ED35" s="52">
        <f>Summ.!$A44</f>
        <v>50551</v>
      </c>
      <c r="EE35" s="119" t="str">
        <f>Summ.!$B44</f>
        <v>Sign Repairs</v>
      </c>
      <c r="EF35" s="134">
        <f t="shared" si="232"/>
        <v>0</v>
      </c>
      <c r="EG35" s="110">
        <f t="shared" si="233"/>
        <v>0</v>
      </c>
      <c r="EH35" s="110">
        <f t="shared" si="234"/>
        <v>0</v>
      </c>
      <c r="EI35" s="113">
        <f t="shared" si="181"/>
        <v>0.12730620079125701</v>
      </c>
      <c r="EJ35" s="110">
        <f t="shared" si="182"/>
        <v>0</v>
      </c>
      <c r="EK35" s="115">
        <f t="shared" si="183"/>
        <v>0</v>
      </c>
      <c r="EL35" s="110">
        <f t="shared" si="184"/>
        <v>0</v>
      </c>
      <c r="EM35" s="52">
        <f>Summ.!$A44</f>
        <v>50551</v>
      </c>
      <c r="EN35" s="119" t="str">
        <f>Summ.!$B44</f>
        <v>Sign Repairs</v>
      </c>
      <c r="EO35" s="134">
        <f t="shared" si="235"/>
        <v>0</v>
      </c>
      <c r="EP35" s="110">
        <v>0</v>
      </c>
      <c r="EQ35" s="110">
        <f t="shared" si="236"/>
        <v>0</v>
      </c>
      <c r="ER35" s="113">
        <f t="shared" si="185"/>
        <v>3.9034039719534647E-2</v>
      </c>
      <c r="ES35" s="110">
        <f t="shared" si="186"/>
        <v>0</v>
      </c>
      <c r="ET35" s="115">
        <f t="shared" si="187"/>
        <v>0</v>
      </c>
      <c r="EU35" s="110">
        <f t="shared" si="188"/>
        <v>0</v>
      </c>
      <c r="EV35" s="52">
        <f>Summ.!$A44</f>
        <v>50551</v>
      </c>
      <c r="EW35" s="119" t="str">
        <f>Summ.!$B44</f>
        <v>Sign Repairs</v>
      </c>
      <c r="EX35" s="134">
        <f t="shared" si="237"/>
        <v>0</v>
      </c>
      <c r="EY35" s="110">
        <v>0</v>
      </c>
      <c r="EZ35" s="110">
        <f t="shared" si="238"/>
        <v>0</v>
      </c>
      <c r="FA35" s="113">
        <f t="shared" si="189"/>
        <v>1.8841317717106038E-2</v>
      </c>
      <c r="FB35" s="110">
        <f t="shared" si="190"/>
        <v>0</v>
      </c>
      <c r="FC35" s="115">
        <f t="shared" si="191"/>
        <v>0</v>
      </c>
      <c r="FD35" s="110">
        <f t="shared" si="192"/>
        <v>0</v>
      </c>
      <c r="FE35" s="52">
        <f>Summ.!$A44</f>
        <v>50551</v>
      </c>
      <c r="FF35" s="119" t="str">
        <f>Summ.!$B44</f>
        <v>Sign Repairs</v>
      </c>
      <c r="FG35" s="134">
        <f t="shared" si="239"/>
        <v>0</v>
      </c>
      <c r="FH35" s="110">
        <f t="shared" si="240"/>
        <v>0</v>
      </c>
      <c r="FI35" s="110">
        <f t="shared" si="241"/>
        <v>0</v>
      </c>
      <c r="FJ35" s="113">
        <f t="shared" si="193"/>
        <v>7.254494888166399E-2</v>
      </c>
      <c r="FK35" s="110">
        <f t="shared" si="194"/>
        <v>0</v>
      </c>
      <c r="FL35" s="115">
        <f t="shared" si="195"/>
        <v>0</v>
      </c>
      <c r="FM35" s="110">
        <f t="shared" si="196"/>
        <v>0</v>
      </c>
    </row>
    <row r="36" spans="1:169" ht="12.75" customHeight="1">
      <c r="A36" s="52">
        <f>Summ.!A45</f>
        <v>51010</v>
      </c>
      <c r="B36" s="45" t="str">
        <f>Summ.!B45</f>
        <v>Awning Maintenance</v>
      </c>
      <c r="C36" s="45"/>
      <c r="D36" s="45"/>
      <c r="E36" s="45"/>
      <c r="F36" s="106">
        <f>+Summ.!O45</f>
        <v>0</v>
      </c>
      <c r="G36" s="71">
        <f>Rent!$B$41</f>
        <v>51058</v>
      </c>
      <c r="H36" s="52">
        <f>Summ.!$A45</f>
        <v>51010</v>
      </c>
      <c r="I36" s="119" t="str">
        <f>Summ.!$B45</f>
        <v>Awning Maintenance</v>
      </c>
      <c r="J36" s="134">
        <f t="shared" si="197"/>
        <v>0</v>
      </c>
      <c r="K36" s="110">
        <v>0</v>
      </c>
      <c r="L36" s="110">
        <f t="shared" si="198"/>
        <v>0</v>
      </c>
      <c r="M36" s="113">
        <f t="shared" si="124"/>
        <v>7.5854910102236675E-2</v>
      </c>
      <c r="N36" s="110">
        <f t="shared" si="125"/>
        <v>0</v>
      </c>
      <c r="O36" s="115">
        <f t="shared" si="126"/>
        <v>0</v>
      </c>
      <c r="P36" s="110">
        <f t="shared" si="127"/>
        <v>0</v>
      </c>
      <c r="Q36" s="52">
        <f>Summ.!$A45</f>
        <v>51010</v>
      </c>
      <c r="R36" s="119" t="str">
        <f>Summ.!$B45</f>
        <v>Awning Maintenance</v>
      </c>
      <c r="S36" s="134">
        <f t="shared" si="199"/>
        <v>0</v>
      </c>
      <c r="T36" s="110">
        <f t="shared" si="200"/>
        <v>0</v>
      </c>
      <c r="U36" s="110">
        <f t="shared" si="201"/>
        <v>0</v>
      </c>
      <c r="V36" s="113">
        <f t="shared" si="128"/>
        <v>2.1034901484586158E-2</v>
      </c>
      <c r="W36" s="110">
        <f t="shared" si="129"/>
        <v>0</v>
      </c>
      <c r="X36" s="115">
        <f t="shared" si="130"/>
        <v>0</v>
      </c>
      <c r="Y36" s="110">
        <f t="shared" si="131"/>
        <v>0</v>
      </c>
      <c r="Z36" s="52">
        <f>Summ.!$A45</f>
        <v>51010</v>
      </c>
      <c r="AA36" s="119" t="str">
        <f>Summ.!$B45</f>
        <v>Awning Maintenance</v>
      </c>
      <c r="AB36" s="134">
        <f t="shared" si="202"/>
        <v>0</v>
      </c>
      <c r="AC36" s="110">
        <v>0</v>
      </c>
      <c r="AD36" s="110">
        <f t="shared" si="203"/>
        <v>0</v>
      </c>
      <c r="AE36" s="113">
        <f t="shared" si="132"/>
        <v>3.9171138705002152E-3</v>
      </c>
      <c r="AF36" s="110">
        <f t="shared" si="133"/>
        <v>0</v>
      </c>
      <c r="AG36" s="115">
        <f t="shared" si="134"/>
        <v>0</v>
      </c>
      <c r="AH36" s="110">
        <f t="shared" si="135"/>
        <v>0</v>
      </c>
      <c r="AI36" s="52">
        <f>Summ.!$A45</f>
        <v>51010</v>
      </c>
      <c r="AJ36" s="119" t="str">
        <f>Summ.!$B45</f>
        <v>Awning Maintenance</v>
      </c>
      <c r="AK36" s="134">
        <f t="shared" si="204"/>
        <v>0</v>
      </c>
      <c r="AL36" s="110">
        <f t="shared" si="205"/>
        <v>0</v>
      </c>
      <c r="AM36" s="110">
        <f t="shared" si="206"/>
        <v>0</v>
      </c>
      <c r="AN36" s="113">
        <f t="shared" si="136"/>
        <v>1.0145324924595559E-2</v>
      </c>
      <c r="AO36" s="110">
        <f t="shared" si="137"/>
        <v>0</v>
      </c>
      <c r="AP36" s="115">
        <f t="shared" si="138"/>
        <v>0</v>
      </c>
      <c r="AQ36" s="110">
        <f t="shared" si="139"/>
        <v>0</v>
      </c>
      <c r="AR36" s="52">
        <f>Summ.!$A45</f>
        <v>51010</v>
      </c>
      <c r="AS36" s="119" t="str">
        <f>Summ.!$B45</f>
        <v>Awning Maintenance</v>
      </c>
      <c r="AT36" s="134">
        <f t="shared" si="207"/>
        <v>0</v>
      </c>
      <c r="AU36" s="110">
        <f t="shared" si="208"/>
        <v>0</v>
      </c>
      <c r="AV36" s="110">
        <f t="shared" si="209"/>
        <v>0</v>
      </c>
      <c r="AW36" s="113">
        <f t="shared" si="140"/>
        <v>1.0282423910063065E-2</v>
      </c>
      <c r="AX36" s="110">
        <f t="shared" si="141"/>
        <v>0</v>
      </c>
      <c r="AY36" s="115">
        <f t="shared" si="142"/>
        <v>0</v>
      </c>
      <c r="AZ36" s="110">
        <f t="shared" si="143"/>
        <v>0</v>
      </c>
      <c r="BA36" s="52">
        <f>Summ.!$A45</f>
        <v>51010</v>
      </c>
      <c r="BB36" s="119" t="str">
        <f>Summ.!$B45</f>
        <v>Awning Maintenance</v>
      </c>
      <c r="BC36" s="134">
        <f t="shared" si="210"/>
        <v>0</v>
      </c>
      <c r="BD36" s="110">
        <f t="shared" si="211"/>
        <v>0</v>
      </c>
      <c r="BE36" s="110">
        <f t="shared" si="212"/>
        <v>0</v>
      </c>
      <c r="BF36" s="113" t="e">
        <f t="shared" si="144"/>
        <v>#REF!</v>
      </c>
      <c r="BG36" s="110" t="e">
        <f t="shared" si="145"/>
        <v>#REF!</v>
      </c>
      <c r="BH36" s="115" t="e">
        <f t="shared" si="146"/>
        <v>#REF!</v>
      </c>
      <c r="BI36" s="110" t="e">
        <f t="shared" si="147"/>
        <v>#REF!</v>
      </c>
      <c r="BJ36" s="52">
        <f>Summ.!$A45</f>
        <v>51010</v>
      </c>
      <c r="BK36" s="119" t="str">
        <f>Summ.!$B45</f>
        <v>Awning Maintenance</v>
      </c>
      <c r="BL36" s="134">
        <f t="shared" si="213"/>
        <v>0</v>
      </c>
      <c r="BM36" s="110">
        <f t="shared" si="148"/>
        <v>0</v>
      </c>
      <c r="BN36" s="110">
        <f t="shared" si="214"/>
        <v>0</v>
      </c>
      <c r="BO36" s="113">
        <f t="shared" si="149"/>
        <v>1.9468055936386071E-2</v>
      </c>
      <c r="BP36" s="110">
        <f t="shared" si="150"/>
        <v>0</v>
      </c>
      <c r="BQ36" s="115">
        <f t="shared" si="151"/>
        <v>0</v>
      </c>
      <c r="BR36" s="110">
        <f t="shared" si="152"/>
        <v>0</v>
      </c>
      <c r="BS36" s="52">
        <f>Summ.!$A45</f>
        <v>51010</v>
      </c>
      <c r="BT36" s="119" t="str">
        <f>Summ.!$B45</f>
        <v>Awning Maintenance</v>
      </c>
      <c r="BU36" s="134">
        <f t="shared" si="215"/>
        <v>0</v>
      </c>
      <c r="BV36" s="110">
        <f t="shared" si="216"/>
        <v>0</v>
      </c>
      <c r="BW36" s="110">
        <f t="shared" si="217"/>
        <v>0</v>
      </c>
      <c r="BX36" s="113">
        <f t="shared" si="153"/>
        <v>2.0427748834658623E-2</v>
      </c>
      <c r="BY36" s="110">
        <f t="shared" si="154"/>
        <v>0</v>
      </c>
      <c r="BZ36" s="115">
        <f t="shared" si="155"/>
        <v>0</v>
      </c>
      <c r="CA36" s="110">
        <f t="shared" si="156"/>
        <v>0</v>
      </c>
      <c r="CB36" s="52">
        <f>Summ.!$A45</f>
        <v>51010</v>
      </c>
      <c r="CC36" s="119" t="str">
        <f>Summ.!$B45</f>
        <v>Awning Maintenance</v>
      </c>
      <c r="CD36" s="134">
        <f t="shared" si="218"/>
        <v>0</v>
      </c>
      <c r="CE36" s="110">
        <v>0</v>
      </c>
      <c r="CF36" s="110">
        <f t="shared" si="219"/>
        <v>0</v>
      </c>
      <c r="CG36" s="113">
        <f t="shared" si="157"/>
        <v>6.9058717536918793E-2</v>
      </c>
      <c r="CH36" s="110">
        <f t="shared" si="158"/>
        <v>0</v>
      </c>
      <c r="CI36" s="115">
        <f t="shared" si="159"/>
        <v>0</v>
      </c>
      <c r="CJ36" s="110">
        <f t="shared" si="160"/>
        <v>0</v>
      </c>
      <c r="CK36" s="52">
        <f>Summ.!$A45</f>
        <v>51010</v>
      </c>
      <c r="CL36" s="119" t="str">
        <f>Summ.!$B45</f>
        <v>Awning Maintenance</v>
      </c>
      <c r="CM36" s="134">
        <f t="shared" si="220"/>
        <v>0</v>
      </c>
      <c r="CN36" s="110">
        <f t="shared" si="221"/>
        <v>0</v>
      </c>
      <c r="CO36" s="110">
        <f t="shared" si="222"/>
        <v>0</v>
      </c>
      <c r="CP36" s="113">
        <f t="shared" si="161"/>
        <v>0.21027067256845156</v>
      </c>
      <c r="CQ36" s="110">
        <f t="shared" si="162"/>
        <v>0</v>
      </c>
      <c r="CR36" s="115">
        <f t="shared" si="163"/>
        <v>0</v>
      </c>
      <c r="CS36" s="110">
        <f t="shared" si="164"/>
        <v>0</v>
      </c>
      <c r="CT36" s="52">
        <f>Summ.!$A45</f>
        <v>51010</v>
      </c>
      <c r="CU36" s="119" t="str">
        <f>Summ.!$B45</f>
        <v>Awning Maintenance</v>
      </c>
      <c r="CV36" s="134">
        <f t="shared" si="223"/>
        <v>0</v>
      </c>
      <c r="CW36" s="110">
        <v>0</v>
      </c>
      <c r="CX36" s="110">
        <f t="shared" si="224"/>
        <v>0</v>
      </c>
      <c r="CY36" s="113">
        <f t="shared" si="165"/>
        <v>5.8756708057503229E-2</v>
      </c>
      <c r="CZ36" s="110">
        <f t="shared" si="166"/>
        <v>0</v>
      </c>
      <c r="DA36" s="115">
        <f t="shared" si="167"/>
        <v>0</v>
      </c>
      <c r="DB36" s="110">
        <f t="shared" si="168"/>
        <v>0</v>
      </c>
      <c r="DC36" s="52">
        <f>Summ.!$A45</f>
        <v>51010</v>
      </c>
      <c r="DD36" s="119" t="str">
        <f>Summ.!$B45</f>
        <v>Awning Maintenance</v>
      </c>
      <c r="DE36" s="134">
        <f t="shared" si="225"/>
        <v>0</v>
      </c>
      <c r="DF36" s="110">
        <v>0</v>
      </c>
      <c r="DG36" s="110">
        <f t="shared" si="226"/>
        <v>0</v>
      </c>
      <c r="DH36" s="113">
        <f t="shared" si="169"/>
        <v>9.7927846762505388E-3</v>
      </c>
      <c r="DI36" s="110">
        <f t="shared" si="170"/>
        <v>0</v>
      </c>
      <c r="DJ36" s="115">
        <f t="shared" si="171"/>
        <v>0</v>
      </c>
      <c r="DK36" s="110">
        <f t="shared" si="172"/>
        <v>0</v>
      </c>
      <c r="DL36" s="52">
        <f>Summ.!$A45</f>
        <v>51010</v>
      </c>
      <c r="DM36" s="119" t="str">
        <f>Summ.!$B45</f>
        <v>Awning Maintenance</v>
      </c>
      <c r="DN36" s="134">
        <f t="shared" si="227"/>
        <v>0</v>
      </c>
      <c r="DO36" s="110">
        <v>0</v>
      </c>
      <c r="DP36" s="110">
        <f t="shared" si="228"/>
        <v>0</v>
      </c>
      <c r="DQ36" s="113">
        <f t="shared" si="173"/>
        <v>5.6719808844843123E-2</v>
      </c>
      <c r="DR36" s="110">
        <f t="shared" si="174"/>
        <v>0</v>
      </c>
      <c r="DS36" s="115">
        <f t="shared" si="175"/>
        <v>0</v>
      </c>
      <c r="DT36" s="110">
        <f t="shared" si="176"/>
        <v>0</v>
      </c>
      <c r="DU36" s="52">
        <f>Summ.!$A45</f>
        <v>51010</v>
      </c>
      <c r="DV36" s="119" t="str">
        <f>Summ.!$B45</f>
        <v>Awning Maintenance</v>
      </c>
      <c r="DW36" s="134">
        <f t="shared" si="229"/>
        <v>0</v>
      </c>
      <c r="DX36" s="110">
        <f t="shared" si="230"/>
        <v>0</v>
      </c>
      <c r="DY36" s="110">
        <f t="shared" si="231"/>
        <v>0</v>
      </c>
      <c r="DZ36" s="113">
        <f t="shared" si="177"/>
        <v>0.15695875279094362</v>
      </c>
      <c r="EA36" s="110">
        <f t="shared" si="178"/>
        <v>0</v>
      </c>
      <c r="EB36" s="115">
        <f t="shared" si="179"/>
        <v>0</v>
      </c>
      <c r="EC36" s="110">
        <f t="shared" si="180"/>
        <v>0</v>
      </c>
      <c r="ED36" s="52">
        <f>Summ.!$A45</f>
        <v>51010</v>
      </c>
      <c r="EE36" s="119" t="str">
        <f>Summ.!$B45</f>
        <v>Awning Maintenance</v>
      </c>
      <c r="EF36" s="134">
        <f t="shared" si="232"/>
        <v>0</v>
      </c>
      <c r="EG36" s="110">
        <f t="shared" si="233"/>
        <v>0</v>
      </c>
      <c r="EH36" s="110">
        <f t="shared" si="234"/>
        <v>0</v>
      </c>
      <c r="EI36" s="113">
        <f t="shared" si="181"/>
        <v>0.12730620079125701</v>
      </c>
      <c r="EJ36" s="110">
        <f t="shared" si="182"/>
        <v>0</v>
      </c>
      <c r="EK36" s="115">
        <f t="shared" si="183"/>
        <v>0</v>
      </c>
      <c r="EL36" s="110">
        <f t="shared" si="184"/>
        <v>0</v>
      </c>
      <c r="EM36" s="52">
        <f>Summ.!$A45</f>
        <v>51010</v>
      </c>
      <c r="EN36" s="119" t="str">
        <f>Summ.!$B45</f>
        <v>Awning Maintenance</v>
      </c>
      <c r="EO36" s="134">
        <f t="shared" si="235"/>
        <v>0</v>
      </c>
      <c r="EP36" s="110">
        <v>0</v>
      </c>
      <c r="EQ36" s="110">
        <f t="shared" si="236"/>
        <v>0</v>
      </c>
      <c r="ER36" s="113">
        <f t="shared" si="185"/>
        <v>3.9034039719534647E-2</v>
      </c>
      <c r="ES36" s="110">
        <f t="shared" si="186"/>
        <v>0</v>
      </c>
      <c r="ET36" s="115">
        <f t="shared" si="187"/>
        <v>0</v>
      </c>
      <c r="EU36" s="110">
        <f t="shared" si="188"/>
        <v>0</v>
      </c>
      <c r="EV36" s="52">
        <f>Summ.!$A45</f>
        <v>51010</v>
      </c>
      <c r="EW36" s="119" t="str">
        <f>Summ.!$B45</f>
        <v>Awning Maintenance</v>
      </c>
      <c r="EX36" s="134">
        <f t="shared" si="237"/>
        <v>0</v>
      </c>
      <c r="EY36" s="110">
        <v>0</v>
      </c>
      <c r="EZ36" s="110">
        <f t="shared" si="238"/>
        <v>0</v>
      </c>
      <c r="FA36" s="113">
        <f t="shared" si="189"/>
        <v>1.8841317717106038E-2</v>
      </c>
      <c r="FB36" s="110">
        <f t="shared" si="190"/>
        <v>0</v>
      </c>
      <c r="FC36" s="115">
        <f t="shared" si="191"/>
        <v>0</v>
      </c>
      <c r="FD36" s="110">
        <f t="shared" si="192"/>
        <v>0</v>
      </c>
      <c r="FE36" s="52">
        <f>Summ.!$A45</f>
        <v>51010</v>
      </c>
      <c r="FF36" s="119" t="str">
        <f>Summ.!$B45</f>
        <v>Awning Maintenance</v>
      </c>
      <c r="FG36" s="134">
        <f t="shared" si="239"/>
        <v>0</v>
      </c>
      <c r="FH36" s="110">
        <f t="shared" si="240"/>
        <v>0</v>
      </c>
      <c r="FI36" s="110">
        <f t="shared" si="241"/>
        <v>0</v>
      </c>
      <c r="FJ36" s="113">
        <f t="shared" si="193"/>
        <v>7.254494888166399E-2</v>
      </c>
      <c r="FK36" s="110">
        <f t="shared" si="194"/>
        <v>0</v>
      </c>
      <c r="FL36" s="115">
        <f t="shared" si="195"/>
        <v>0</v>
      </c>
      <c r="FM36" s="110">
        <f t="shared" si="196"/>
        <v>0</v>
      </c>
    </row>
    <row r="37" spans="1:169">
      <c r="A37" s="52">
        <f>Summ.!A46</f>
        <v>51020</v>
      </c>
      <c r="B37" s="45" t="str">
        <f>Summ.!B46</f>
        <v>General Maintenance Site</v>
      </c>
      <c r="C37" s="45"/>
      <c r="D37" s="45"/>
      <c r="E37" s="45"/>
      <c r="F37" s="106">
        <f>+Summ.!O46</f>
        <v>15600</v>
      </c>
      <c r="G37" s="71">
        <f>Rent!$B$41</f>
        <v>51058</v>
      </c>
      <c r="H37" s="52">
        <f>Summ.!$A46</f>
        <v>51020</v>
      </c>
      <c r="I37" s="119" t="str">
        <f>Summ.!$B46</f>
        <v>General Maintenance Site</v>
      </c>
      <c r="J37" s="134">
        <f t="shared" si="197"/>
        <v>15600</v>
      </c>
      <c r="K37" s="110">
        <v>0</v>
      </c>
      <c r="L37" s="110">
        <f t="shared" si="198"/>
        <v>15600</v>
      </c>
      <c r="M37" s="113">
        <f t="shared" si="124"/>
        <v>7.5854910102236675E-2</v>
      </c>
      <c r="N37" s="110">
        <f t="shared" si="125"/>
        <v>1183.3365975948921</v>
      </c>
      <c r="O37" s="115">
        <f t="shared" si="126"/>
        <v>0</v>
      </c>
      <c r="P37" s="110">
        <f t="shared" si="127"/>
        <v>1183.3365975948921</v>
      </c>
      <c r="Q37" s="52">
        <f>Summ.!$A46</f>
        <v>51020</v>
      </c>
      <c r="R37" s="119" t="str">
        <f>Summ.!$B46</f>
        <v>General Maintenance Site</v>
      </c>
      <c r="S37" s="134">
        <f t="shared" si="199"/>
        <v>15600</v>
      </c>
      <c r="T37" s="110">
        <f t="shared" si="200"/>
        <v>0</v>
      </c>
      <c r="U37" s="110">
        <f t="shared" si="201"/>
        <v>15600</v>
      </c>
      <c r="V37" s="113">
        <f t="shared" si="128"/>
        <v>2.1034901484586158E-2</v>
      </c>
      <c r="W37" s="110">
        <f t="shared" si="129"/>
        <v>328.14446315954405</v>
      </c>
      <c r="X37" s="115">
        <f t="shared" si="130"/>
        <v>0</v>
      </c>
      <c r="Y37" s="110">
        <f t="shared" si="131"/>
        <v>328.14446315954405</v>
      </c>
      <c r="Z37" s="52">
        <f>Summ.!$A46</f>
        <v>51020</v>
      </c>
      <c r="AA37" s="119" t="str">
        <f>Summ.!$B46</f>
        <v>General Maintenance Site</v>
      </c>
      <c r="AB37" s="134">
        <f t="shared" si="202"/>
        <v>15600</v>
      </c>
      <c r="AC37" s="110">
        <v>0</v>
      </c>
      <c r="AD37" s="110">
        <f t="shared" si="203"/>
        <v>15600</v>
      </c>
      <c r="AE37" s="113">
        <f t="shared" si="132"/>
        <v>3.9171138705002152E-3</v>
      </c>
      <c r="AF37" s="110">
        <f t="shared" si="133"/>
        <v>61.106976379803356</v>
      </c>
      <c r="AG37" s="115">
        <f t="shared" si="134"/>
        <v>0</v>
      </c>
      <c r="AH37" s="110">
        <f t="shared" si="135"/>
        <v>61.106976379803356</v>
      </c>
      <c r="AI37" s="52">
        <f>Summ.!$A46</f>
        <v>51020</v>
      </c>
      <c r="AJ37" s="119" t="str">
        <f>Summ.!$B46</f>
        <v>General Maintenance Site</v>
      </c>
      <c r="AK37" s="134">
        <f t="shared" si="204"/>
        <v>15600</v>
      </c>
      <c r="AL37" s="110">
        <f t="shared" si="205"/>
        <v>0</v>
      </c>
      <c r="AM37" s="110">
        <f t="shared" si="206"/>
        <v>15600</v>
      </c>
      <c r="AN37" s="113">
        <f t="shared" si="136"/>
        <v>1.0145324924595559E-2</v>
      </c>
      <c r="AO37" s="110">
        <f t="shared" si="137"/>
        <v>158.26706882369072</v>
      </c>
      <c r="AP37" s="115">
        <f t="shared" si="138"/>
        <v>0</v>
      </c>
      <c r="AQ37" s="110">
        <f t="shared" si="139"/>
        <v>158.26706882369072</v>
      </c>
      <c r="AR37" s="52">
        <f>Summ.!$A46</f>
        <v>51020</v>
      </c>
      <c r="AS37" s="119" t="str">
        <f>Summ.!$B46</f>
        <v>General Maintenance Site</v>
      </c>
      <c r="AT37" s="134">
        <f t="shared" si="207"/>
        <v>15600</v>
      </c>
      <c r="AU37" s="110">
        <f t="shared" si="208"/>
        <v>0</v>
      </c>
      <c r="AV37" s="110">
        <f t="shared" si="209"/>
        <v>15600</v>
      </c>
      <c r="AW37" s="113">
        <f t="shared" si="140"/>
        <v>1.0282423910063065E-2</v>
      </c>
      <c r="AX37" s="110">
        <f t="shared" si="141"/>
        <v>160.40581299698383</v>
      </c>
      <c r="AY37" s="115">
        <f t="shared" si="142"/>
        <v>0</v>
      </c>
      <c r="AZ37" s="110">
        <f t="shared" si="143"/>
        <v>160.40581299698383</v>
      </c>
      <c r="BA37" s="52">
        <f>Summ.!$A46</f>
        <v>51020</v>
      </c>
      <c r="BB37" s="119" t="str">
        <f>Summ.!$B46</f>
        <v>General Maintenance Site</v>
      </c>
      <c r="BC37" s="134">
        <f t="shared" si="210"/>
        <v>15600</v>
      </c>
      <c r="BD37" s="110">
        <f t="shared" si="211"/>
        <v>0</v>
      </c>
      <c r="BE37" s="110">
        <f t="shared" si="212"/>
        <v>15600</v>
      </c>
      <c r="BF37" s="113" t="e">
        <f t="shared" si="144"/>
        <v>#REF!</v>
      </c>
      <c r="BG37" s="110" t="e">
        <f t="shared" si="145"/>
        <v>#REF!</v>
      </c>
      <c r="BH37" s="115" t="e">
        <f t="shared" si="146"/>
        <v>#REF!</v>
      </c>
      <c r="BI37" s="110" t="e">
        <f t="shared" si="147"/>
        <v>#REF!</v>
      </c>
      <c r="BJ37" s="52">
        <f>Summ.!$A46</f>
        <v>51020</v>
      </c>
      <c r="BK37" s="119" t="str">
        <f>Summ.!$B46</f>
        <v>General Maintenance Site</v>
      </c>
      <c r="BL37" s="134">
        <f t="shared" si="213"/>
        <v>15600</v>
      </c>
      <c r="BM37" s="110">
        <f t="shared" si="148"/>
        <v>0</v>
      </c>
      <c r="BN37" s="110">
        <f t="shared" si="214"/>
        <v>15600</v>
      </c>
      <c r="BO37" s="113">
        <f t="shared" si="149"/>
        <v>1.9468055936386071E-2</v>
      </c>
      <c r="BP37" s="110">
        <f t="shared" si="150"/>
        <v>303.7016726076227</v>
      </c>
      <c r="BQ37" s="115">
        <f t="shared" si="151"/>
        <v>0</v>
      </c>
      <c r="BR37" s="110">
        <f t="shared" si="152"/>
        <v>303.7016726076227</v>
      </c>
      <c r="BS37" s="52">
        <f>Summ.!$A46</f>
        <v>51020</v>
      </c>
      <c r="BT37" s="119" t="str">
        <f>Summ.!$B46</f>
        <v>General Maintenance Site</v>
      </c>
      <c r="BU37" s="134">
        <f t="shared" si="215"/>
        <v>15600</v>
      </c>
      <c r="BV37" s="110">
        <f t="shared" si="216"/>
        <v>0</v>
      </c>
      <c r="BW37" s="110">
        <f t="shared" si="217"/>
        <v>15600</v>
      </c>
      <c r="BX37" s="113">
        <f t="shared" si="153"/>
        <v>2.0427748834658623E-2</v>
      </c>
      <c r="BY37" s="110">
        <f t="shared" si="154"/>
        <v>318.67288182067449</v>
      </c>
      <c r="BZ37" s="115">
        <f t="shared" si="155"/>
        <v>0</v>
      </c>
      <c r="CA37" s="110">
        <f t="shared" si="156"/>
        <v>318.67288182067449</v>
      </c>
      <c r="CB37" s="52">
        <f>Summ.!$A46</f>
        <v>51020</v>
      </c>
      <c r="CC37" s="119" t="str">
        <f>Summ.!$B46</f>
        <v>General Maintenance Site</v>
      </c>
      <c r="CD37" s="134">
        <f t="shared" si="218"/>
        <v>15600</v>
      </c>
      <c r="CE37" s="110">
        <v>0</v>
      </c>
      <c r="CF37" s="110">
        <f t="shared" si="219"/>
        <v>15600</v>
      </c>
      <c r="CG37" s="113">
        <f t="shared" si="157"/>
        <v>6.9058717536918793E-2</v>
      </c>
      <c r="CH37" s="110">
        <f t="shared" si="158"/>
        <v>1077.3159935759331</v>
      </c>
      <c r="CI37" s="115">
        <f t="shared" si="159"/>
        <v>0</v>
      </c>
      <c r="CJ37" s="110">
        <f t="shared" si="160"/>
        <v>1077.3159935759331</v>
      </c>
      <c r="CK37" s="52">
        <f>Summ.!$A46</f>
        <v>51020</v>
      </c>
      <c r="CL37" s="119" t="str">
        <f>Summ.!$B46</f>
        <v>General Maintenance Site</v>
      </c>
      <c r="CM37" s="134">
        <f t="shared" si="220"/>
        <v>15600</v>
      </c>
      <c r="CN37" s="110">
        <f t="shared" si="221"/>
        <v>0</v>
      </c>
      <c r="CO37" s="110">
        <f t="shared" si="222"/>
        <v>15600</v>
      </c>
      <c r="CP37" s="113">
        <f t="shared" si="161"/>
        <v>0.21027067256845156</v>
      </c>
      <c r="CQ37" s="110">
        <f t="shared" si="162"/>
        <v>3280.2224920678441</v>
      </c>
      <c r="CR37" s="115">
        <f t="shared" si="163"/>
        <v>0</v>
      </c>
      <c r="CS37" s="110">
        <f t="shared" si="164"/>
        <v>3280.2224920678441</v>
      </c>
      <c r="CT37" s="52">
        <f>Summ.!$A46</f>
        <v>51020</v>
      </c>
      <c r="CU37" s="119" t="str">
        <f>Summ.!$B46</f>
        <v>General Maintenance Site</v>
      </c>
      <c r="CV37" s="134">
        <f t="shared" si="223"/>
        <v>15600</v>
      </c>
      <c r="CW37" s="110">
        <v>0</v>
      </c>
      <c r="CX37" s="110">
        <f t="shared" si="224"/>
        <v>15600</v>
      </c>
      <c r="CY37" s="113">
        <f t="shared" si="165"/>
        <v>5.8756708057503229E-2</v>
      </c>
      <c r="CZ37" s="110">
        <f t="shared" si="166"/>
        <v>916.60464569705039</v>
      </c>
      <c r="DA37" s="115">
        <f t="shared" si="167"/>
        <v>0</v>
      </c>
      <c r="DB37" s="110">
        <f t="shared" si="168"/>
        <v>916.60464569705039</v>
      </c>
      <c r="DC37" s="52">
        <f>Summ.!$A46</f>
        <v>51020</v>
      </c>
      <c r="DD37" s="119" t="str">
        <f>Summ.!$B46</f>
        <v>General Maintenance Site</v>
      </c>
      <c r="DE37" s="134">
        <f t="shared" si="225"/>
        <v>15600</v>
      </c>
      <c r="DF37" s="110">
        <v>0</v>
      </c>
      <c r="DG37" s="110">
        <f t="shared" si="226"/>
        <v>15600</v>
      </c>
      <c r="DH37" s="113">
        <f t="shared" si="169"/>
        <v>9.7927846762505388E-3</v>
      </c>
      <c r="DI37" s="110">
        <f t="shared" si="170"/>
        <v>152.7674409495084</v>
      </c>
      <c r="DJ37" s="115">
        <f t="shared" si="171"/>
        <v>0</v>
      </c>
      <c r="DK37" s="110">
        <f t="shared" si="172"/>
        <v>152.7674409495084</v>
      </c>
      <c r="DL37" s="52">
        <f>Summ.!$A46</f>
        <v>51020</v>
      </c>
      <c r="DM37" s="119" t="str">
        <f>Summ.!$B46</f>
        <v>General Maintenance Site</v>
      </c>
      <c r="DN37" s="134">
        <f t="shared" si="227"/>
        <v>15600</v>
      </c>
      <c r="DO37" s="110">
        <v>0</v>
      </c>
      <c r="DP37" s="110">
        <f t="shared" si="228"/>
        <v>15600</v>
      </c>
      <c r="DQ37" s="113">
        <f t="shared" si="173"/>
        <v>5.6719808844843123E-2</v>
      </c>
      <c r="DR37" s="110">
        <f t="shared" si="174"/>
        <v>884.82901797955276</v>
      </c>
      <c r="DS37" s="115">
        <f t="shared" si="175"/>
        <v>0</v>
      </c>
      <c r="DT37" s="110">
        <f t="shared" si="176"/>
        <v>884.82901797955276</v>
      </c>
      <c r="DU37" s="52">
        <f>Summ.!$A46</f>
        <v>51020</v>
      </c>
      <c r="DV37" s="119" t="str">
        <f>Summ.!$B46</f>
        <v>General Maintenance Site</v>
      </c>
      <c r="DW37" s="134">
        <f t="shared" si="229"/>
        <v>15600</v>
      </c>
      <c r="DX37" s="110">
        <f t="shared" si="230"/>
        <v>0</v>
      </c>
      <c r="DY37" s="110">
        <f t="shared" si="231"/>
        <v>15600</v>
      </c>
      <c r="DZ37" s="113">
        <f t="shared" si="177"/>
        <v>0.15695875279094362</v>
      </c>
      <c r="EA37" s="110">
        <f t="shared" si="178"/>
        <v>2448.5565435387207</v>
      </c>
      <c r="EB37" s="115">
        <f t="shared" si="179"/>
        <v>0</v>
      </c>
      <c r="EC37" s="110">
        <f t="shared" si="180"/>
        <v>2448.5565435387207</v>
      </c>
      <c r="ED37" s="52">
        <f>Summ.!$A46</f>
        <v>51020</v>
      </c>
      <c r="EE37" s="119" t="str">
        <f>Summ.!$B46</f>
        <v>General Maintenance Site</v>
      </c>
      <c r="EF37" s="134">
        <f t="shared" si="232"/>
        <v>15600</v>
      </c>
      <c r="EG37" s="110">
        <f t="shared" si="233"/>
        <v>0</v>
      </c>
      <c r="EH37" s="110">
        <f t="shared" si="234"/>
        <v>15600</v>
      </c>
      <c r="EI37" s="113">
        <f t="shared" si="181"/>
        <v>0.12730620079125701</v>
      </c>
      <c r="EJ37" s="110">
        <f t="shared" si="182"/>
        <v>1985.9767323436095</v>
      </c>
      <c r="EK37" s="115">
        <f t="shared" si="183"/>
        <v>297.8965098515414</v>
      </c>
      <c r="EL37" s="110">
        <f t="shared" si="184"/>
        <v>2283.8732421951509</v>
      </c>
      <c r="EM37" s="52">
        <f>Summ.!$A46</f>
        <v>51020</v>
      </c>
      <c r="EN37" s="119" t="str">
        <f>Summ.!$B46</f>
        <v>General Maintenance Site</v>
      </c>
      <c r="EO37" s="134">
        <f t="shared" si="235"/>
        <v>15600</v>
      </c>
      <c r="EP37" s="110">
        <v>0</v>
      </c>
      <c r="EQ37" s="110">
        <f t="shared" si="236"/>
        <v>15600</v>
      </c>
      <c r="ER37" s="113">
        <f t="shared" si="185"/>
        <v>3.9034039719534647E-2</v>
      </c>
      <c r="ES37" s="110">
        <f t="shared" si="186"/>
        <v>608.93101962474054</v>
      </c>
      <c r="ET37" s="115">
        <f t="shared" si="187"/>
        <v>0</v>
      </c>
      <c r="EU37" s="110">
        <f t="shared" si="188"/>
        <v>608.93101962474054</v>
      </c>
      <c r="EV37" s="52">
        <f>Summ.!$A46</f>
        <v>51020</v>
      </c>
      <c r="EW37" s="119" t="str">
        <f>Summ.!$B46</f>
        <v>General Maintenance Site</v>
      </c>
      <c r="EX37" s="134">
        <f t="shared" si="237"/>
        <v>15600</v>
      </c>
      <c r="EY37" s="110">
        <v>0</v>
      </c>
      <c r="EZ37" s="110">
        <f t="shared" si="238"/>
        <v>15600</v>
      </c>
      <c r="FA37" s="113">
        <f t="shared" si="189"/>
        <v>1.8841317717106038E-2</v>
      </c>
      <c r="FB37" s="110">
        <f t="shared" si="190"/>
        <v>293.92455638685419</v>
      </c>
      <c r="FC37" s="115">
        <f t="shared" si="191"/>
        <v>0</v>
      </c>
      <c r="FD37" s="110">
        <f t="shared" si="192"/>
        <v>293.92455638685419</v>
      </c>
      <c r="FE37" s="52">
        <f>Summ.!$A46</f>
        <v>51020</v>
      </c>
      <c r="FF37" s="119" t="str">
        <f>Summ.!$B46</f>
        <v>General Maintenance Site</v>
      </c>
      <c r="FG37" s="134">
        <f t="shared" si="239"/>
        <v>15600</v>
      </c>
      <c r="FH37" s="110">
        <f t="shared" si="240"/>
        <v>0</v>
      </c>
      <c r="FI37" s="110">
        <f t="shared" si="241"/>
        <v>15600</v>
      </c>
      <c r="FJ37" s="113">
        <f t="shared" si="193"/>
        <v>7.254494888166399E-2</v>
      </c>
      <c r="FK37" s="110">
        <f t="shared" si="194"/>
        <v>1131.7012025539582</v>
      </c>
      <c r="FL37" s="115">
        <f t="shared" si="195"/>
        <v>0</v>
      </c>
      <c r="FM37" s="110">
        <f t="shared" si="196"/>
        <v>1131.7012025539582</v>
      </c>
    </row>
    <row r="38" spans="1:169" ht="12.75" customHeight="1">
      <c r="A38" s="52">
        <f>Summ.!A47</f>
        <v>51023</v>
      </c>
      <c r="B38" s="45" t="str">
        <f>Summ.!B47</f>
        <v>Site Furnishing-Repairs</v>
      </c>
      <c r="C38" s="45"/>
      <c r="D38" s="45"/>
      <c r="E38" s="45"/>
      <c r="F38" s="106">
        <f>+Summ.!O47</f>
        <v>0</v>
      </c>
      <c r="G38" s="71">
        <f>Rent!$B$41</f>
        <v>51058</v>
      </c>
      <c r="H38" s="52">
        <f>Summ.!$A47</f>
        <v>51023</v>
      </c>
      <c r="I38" s="119" t="str">
        <f>Summ.!$B47</f>
        <v>Site Furnishing-Repairs</v>
      </c>
      <c r="J38" s="134">
        <f t="shared" si="197"/>
        <v>0</v>
      </c>
      <c r="K38" s="110">
        <v>0</v>
      </c>
      <c r="L38" s="110">
        <f t="shared" si="198"/>
        <v>0</v>
      </c>
      <c r="M38" s="113">
        <f t="shared" si="124"/>
        <v>7.5854910102236675E-2</v>
      </c>
      <c r="N38" s="110">
        <f t="shared" si="125"/>
        <v>0</v>
      </c>
      <c r="O38" s="115">
        <f t="shared" si="126"/>
        <v>0</v>
      </c>
      <c r="P38" s="110">
        <f t="shared" si="127"/>
        <v>0</v>
      </c>
      <c r="Q38" s="52">
        <f>Summ.!$A47</f>
        <v>51023</v>
      </c>
      <c r="R38" s="119" t="str">
        <f>Summ.!$B47</f>
        <v>Site Furnishing-Repairs</v>
      </c>
      <c r="S38" s="134">
        <f t="shared" si="199"/>
        <v>0</v>
      </c>
      <c r="T38" s="110">
        <f t="shared" si="200"/>
        <v>0</v>
      </c>
      <c r="U38" s="110">
        <f t="shared" si="201"/>
        <v>0</v>
      </c>
      <c r="V38" s="113">
        <f t="shared" si="128"/>
        <v>2.1034901484586158E-2</v>
      </c>
      <c r="W38" s="110">
        <f t="shared" si="129"/>
        <v>0</v>
      </c>
      <c r="X38" s="115">
        <f t="shared" si="130"/>
        <v>0</v>
      </c>
      <c r="Y38" s="110">
        <f t="shared" si="131"/>
        <v>0</v>
      </c>
      <c r="Z38" s="52">
        <f>Summ.!$A47</f>
        <v>51023</v>
      </c>
      <c r="AA38" s="119" t="str">
        <f>Summ.!$B47</f>
        <v>Site Furnishing-Repairs</v>
      </c>
      <c r="AB38" s="134">
        <f t="shared" si="202"/>
        <v>0</v>
      </c>
      <c r="AC38" s="110">
        <v>0</v>
      </c>
      <c r="AD38" s="110">
        <f t="shared" si="203"/>
        <v>0</v>
      </c>
      <c r="AE38" s="113">
        <f t="shared" si="132"/>
        <v>3.9171138705002152E-3</v>
      </c>
      <c r="AF38" s="110">
        <f t="shared" si="133"/>
        <v>0</v>
      </c>
      <c r="AG38" s="115">
        <f t="shared" si="134"/>
        <v>0</v>
      </c>
      <c r="AH38" s="110">
        <f t="shared" si="135"/>
        <v>0</v>
      </c>
      <c r="AI38" s="52">
        <f>Summ.!$A47</f>
        <v>51023</v>
      </c>
      <c r="AJ38" s="119" t="str">
        <f>Summ.!$B47</f>
        <v>Site Furnishing-Repairs</v>
      </c>
      <c r="AK38" s="134">
        <f t="shared" si="204"/>
        <v>0</v>
      </c>
      <c r="AL38" s="110">
        <f t="shared" si="205"/>
        <v>0</v>
      </c>
      <c r="AM38" s="110">
        <f t="shared" si="206"/>
        <v>0</v>
      </c>
      <c r="AN38" s="113">
        <f t="shared" si="136"/>
        <v>1.0145324924595559E-2</v>
      </c>
      <c r="AO38" s="110">
        <f t="shared" si="137"/>
        <v>0</v>
      </c>
      <c r="AP38" s="115">
        <f t="shared" si="138"/>
        <v>0</v>
      </c>
      <c r="AQ38" s="110">
        <f t="shared" si="139"/>
        <v>0</v>
      </c>
      <c r="AR38" s="52">
        <f>Summ.!$A47</f>
        <v>51023</v>
      </c>
      <c r="AS38" s="119" t="str">
        <f>Summ.!$B47</f>
        <v>Site Furnishing-Repairs</v>
      </c>
      <c r="AT38" s="134">
        <f t="shared" si="207"/>
        <v>0</v>
      </c>
      <c r="AU38" s="110">
        <f t="shared" si="208"/>
        <v>0</v>
      </c>
      <c r="AV38" s="110">
        <f t="shared" si="209"/>
        <v>0</v>
      </c>
      <c r="AW38" s="113">
        <f t="shared" si="140"/>
        <v>1.0282423910063065E-2</v>
      </c>
      <c r="AX38" s="110">
        <f t="shared" si="141"/>
        <v>0</v>
      </c>
      <c r="AY38" s="115">
        <f t="shared" si="142"/>
        <v>0</v>
      </c>
      <c r="AZ38" s="110">
        <f t="shared" si="143"/>
        <v>0</v>
      </c>
      <c r="BA38" s="52">
        <f>Summ.!$A47</f>
        <v>51023</v>
      </c>
      <c r="BB38" s="119" t="str">
        <f>Summ.!$B47</f>
        <v>Site Furnishing-Repairs</v>
      </c>
      <c r="BC38" s="134">
        <f t="shared" si="210"/>
        <v>0</v>
      </c>
      <c r="BD38" s="110">
        <f t="shared" si="211"/>
        <v>0</v>
      </c>
      <c r="BE38" s="110">
        <f t="shared" si="212"/>
        <v>0</v>
      </c>
      <c r="BF38" s="113" t="e">
        <f t="shared" si="144"/>
        <v>#REF!</v>
      </c>
      <c r="BG38" s="110" t="e">
        <f t="shared" si="145"/>
        <v>#REF!</v>
      </c>
      <c r="BH38" s="115" t="e">
        <f t="shared" si="146"/>
        <v>#REF!</v>
      </c>
      <c r="BI38" s="110" t="e">
        <f t="shared" si="147"/>
        <v>#REF!</v>
      </c>
      <c r="BJ38" s="52">
        <f>Summ.!$A47</f>
        <v>51023</v>
      </c>
      <c r="BK38" s="119" t="str">
        <f>Summ.!$B47</f>
        <v>Site Furnishing-Repairs</v>
      </c>
      <c r="BL38" s="134">
        <f t="shared" si="213"/>
        <v>0</v>
      </c>
      <c r="BM38" s="110">
        <f t="shared" si="148"/>
        <v>0</v>
      </c>
      <c r="BN38" s="110">
        <f t="shared" si="214"/>
        <v>0</v>
      </c>
      <c r="BO38" s="113">
        <f t="shared" si="149"/>
        <v>1.9468055936386071E-2</v>
      </c>
      <c r="BP38" s="110">
        <f t="shared" si="150"/>
        <v>0</v>
      </c>
      <c r="BQ38" s="115">
        <f t="shared" si="151"/>
        <v>0</v>
      </c>
      <c r="BR38" s="110">
        <f t="shared" si="152"/>
        <v>0</v>
      </c>
      <c r="BS38" s="52">
        <f>Summ.!$A47</f>
        <v>51023</v>
      </c>
      <c r="BT38" s="119" t="str">
        <f>Summ.!$B47</f>
        <v>Site Furnishing-Repairs</v>
      </c>
      <c r="BU38" s="134">
        <f t="shared" si="215"/>
        <v>0</v>
      </c>
      <c r="BV38" s="110">
        <f t="shared" si="216"/>
        <v>0</v>
      </c>
      <c r="BW38" s="110">
        <f t="shared" si="217"/>
        <v>0</v>
      </c>
      <c r="BX38" s="113">
        <f t="shared" si="153"/>
        <v>2.0427748834658623E-2</v>
      </c>
      <c r="BY38" s="110">
        <f t="shared" si="154"/>
        <v>0</v>
      </c>
      <c r="BZ38" s="115">
        <f t="shared" si="155"/>
        <v>0</v>
      </c>
      <c r="CA38" s="110">
        <f t="shared" si="156"/>
        <v>0</v>
      </c>
      <c r="CB38" s="52">
        <f>Summ.!$A47</f>
        <v>51023</v>
      </c>
      <c r="CC38" s="119" t="str">
        <f>Summ.!$B47</f>
        <v>Site Furnishing-Repairs</v>
      </c>
      <c r="CD38" s="134">
        <f t="shared" si="218"/>
        <v>0</v>
      </c>
      <c r="CE38" s="110">
        <v>0</v>
      </c>
      <c r="CF38" s="110">
        <f t="shared" si="219"/>
        <v>0</v>
      </c>
      <c r="CG38" s="113">
        <f t="shared" si="157"/>
        <v>6.9058717536918793E-2</v>
      </c>
      <c r="CH38" s="110">
        <f t="shared" si="158"/>
        <v>0</v>
      </c>
      <c r="CI38" s="115">
        <f t="shared" si="159"/>
        <v>0</v>
      </c>
      <c r="CJ38" s="110">
        <f t="shared" si="160"/>
        <v>0</v>
      </c>
      <c r="CK38" s="52">
        <f>Summ.!$A47</f>
        <v>51023</v>
      </c>
      <c r="CL38" s="119" t="str">
        <f>Summ.!$B47</f>
        <v>Site Furnishing-Repairs</v>
      </c>
      <c r="CM38" s="134">
        <f t="shared" si="220"/>
        <v>0</v>
      </c>
      <c r="CN38" s="110">
        <f t="shared" si="221"/>
        <v>0</v>
      </c>
      <c r="CO38" s="110">
        <f t="shared" si="222"/>
        <v>0</v>
      </c>
      <c r="CP38" s="113">
        <f t="shared" si="161"/>
        <v>0.21027067256845156</v>
      </c>
      <c r="CQ38" s="110">
        <f t="shared" si="162"/>
        <v>0</v>
      </c>
      <c r="CR38" s="115">
        <f t="shared" si="163"/>
        <v>0</v>
      </c>
      <c r="CS38" s="110">
        <f t="shared" si="164"/>
        <v>0</v>
      </c>
      <c r="CT38" s="52">
        <f>Summ.!$A47</f>
        <v>51023</v>
      </c>
      <c r="CU38" s="119" t="str">
        <f>Summ.!$B47</f>
        <v>Site Furnishing-Repairs</v>
      </c>
      <c r="CV38" s="134">
        <f t="shared" si="223"/>
        <v>0</v>
      </c>
      <c r="CW38" s="110">
        <v>0</v>
      </c>
      <c r="CX38" s="110">
        <f t="shared" si="224"/>
        <v>0</v>
      </c>
      <c r="CY38" s="113">
        <f t="shared" si="165"/>
        <v>5.8756708057503229E-2</v>
      </c>
      <c r="CZ38" s="110">
        <f t="shared" si="166"/>
        <v>0</v>
      </c>
      <c r="DA38" s="115">
        <f t="shared" si="167"/>
        <v>0</v>
      </c>
      <c r="DB38" s="110">
        <f t="shared" si="168"/>
        <v>0</v>
      </c>
      <c r="DC38" s="52">
        <f>Summ.!$A47</f>
        <v>51023</v>
      </c>
      <c r="DD38" s="119" t="str">
        <f>Summ.!$B47</f>
        <v>Site Furnishing-Repairs</v>
      </c>
      <c r="DE38" s="134">
        <f t="shared" si="225"/>
        <v>0</v>
      </c>
      <c r="DF38" s="110">
        <v>0</v>
      </c>
      <c r="DG38" s="110">
        <f t="shared" si="226"/>
        <v>0</v>
      </c>
      <c r="DH38" s="113">
        <f t="shared" si="169"/>
        <v>9.7927846762505388E-3</v>
      </c>
      <c r="DI38" s="110">
        <f t="shared" si="170"/>
        <v>0</v>
      </c>
      <c r="DJ38" s="115">
        <f t="shared" si="171"/>
        <v>0</v>
      </c>
      <c r="DK38" s="110">
        <f t="shared" si="172"/>
        <v>0</v>
      </c>
      <c r="DL38" s="52">
        <f>Summ.!$A47</f>
        <v>51023</v>
      </c>
      <c r="DM38" s="119" t="str">
        <f>Summ.!$B47</f>
        <v>Site Furnishing-Repairs</v>
      </c>
      <c r="DN38" s="134">
        <f t="shared" si="227"/>
        <v>0</v>
      </c>
      <c r="DO38" s="110">
        <v>0</v>
      </c>
      <c r="DP38" s="110">
        <f t="shared" si="228"/>
        <v>0</v>
      </c>
      <c r="DQ38" s="113">
        <f t="shared" si="173"/>
        <v>5.6719808844843123E-2</v>
      </c>
      <c r="DR38" s="110">
        <f t="shared" si="174"/>
        <v>0</v>
      </c>
      <c r="DS38" s="115">
        <f t="shared" si="175"/>
        <v>0</v>
      </c>
      <c r="DT38" s="110">
        <f t="shared" si="176"/>
        <v>0</v>
      </c>
      <c r="DU38" s="52">
        <f>Summ.!$A47</f>
        <v>51023</v>
      </c>
      <c r="DV38" s="119" t="str">
        <f>Summ.!$B47</f>
        <v>Site Furnishing-Repairs</v>
      </c>
      <c r="DW38" s="134">
        <f t="shared" si="229"/>
        <v>0</v>
      </c>
      <c r="DX38" s="110">
        <f t="shared" si="230"/>
        <v>0</v>
      </c>
      <c r="DY38" s="110">
        <f t="shared" si="231"/>
        <v>0</v>
      </c>
      <c r="DZ38" s="113">
        <f t="shared" si="177"/>
        <v>0.15695875279094362</v>
      </c>
      <c r="EA38" s="110">
        <f t="shared" si="178"/>
        <v>0</v>
      </c>
      <c r="EB38" s="115">
        <f t="shared" si="179"/>
        <v>0</v>
      </c>
      <c r="EC38" s="110">
        <f t="shared" si="180"/>
        <v>0</v>
      </c>
      <c r="ED38" s="52">
        <f>Summ.!$A47</f>
        <v>51023</v>
      </c>
      <c r="EE38" s="119" t="str">
        <f>Summ.!$B47</f>
        <v>Site Furnishing-Repairs</v>
      </c>
      <c r="EF38" s="134">
        <f t="shared" si="232"/>
        <v>0</v>
      </c>
      <c r="EG38" s="110">
        <f t="shared" si="233"/>
        <v>0</v>
      </c>
      <c r="EH38" s="110">
        <f t="shared" si="234"/>
        <v>0</v>
      </c>
      <c r="EI38" s="113">
        <f t="shared" si="181"/>
        <v>0.12730620079125701</v>
      </c>
      <c r="EJ38" s="110">
        <f t="shared" si="182"/>
        <v>0</v>
      </c>
      <c r="EK38" s="115">
        <f t="shared" si="183"/>
        <v>0</v>
      </c>
      <c r="EL38" s="110">
        <f t="shared" si="184"/>
        <v>0</v>
      </c>
      <c r="EM38" s="52">
        <f>Summ.!$A47</f>
        <v>51023</v>
      </c>
      <c r="EN38" s="119" t="str">
        <f>Summ.!$B47</f>
        <v>Site Furnishing-Repairs</v>
      </c>
      <c r="EO38" s="134">
        <f t="shared" si="235"/>
        <v>0</v>
      </c>
      <c r="EP38" s="110">
        <v>0</v>
      </c>
      <c r="EQ38" s="110">
        <f t="shared" si="236"/>
        <v>0</v>
      </c>
      <c r="ER38" s="113">
        <f t="shared" si="185"/>
        <v>3.9034039719534647E-2</v>
      </c>
      <c r="ES38" s="110">
        <f t="shared" si="186"/>
        <v>0</v>
      </c>
      <c r="ET38" s="115">
        <f t="shared" si="187"/>
        <v>0</v>
      </c>
      <c r="EU38" s="110">
        <f t="shared" si="188"/>
        <v>0</v>
      </c>
      <c r="EV38" s="52">
        <f>Summ.!$A47</f>
        <v>51023</v>
      </c>
      <c r="EW38" s="119" t="str">
        <f>Summ.!$B47</f>
        <v>Site Furnishing-Repairs</v>
      </c>
      <c r="EX38" s="134">
        <f t="shared" si="237"/>
        <v>0</v>
      </c>
      <c r="EY38" s="110">
        <v>0</v>
      </c>
      <c r="EZ38" s="110">
        <f t="shared" si="238"/>
        <v>0</v>
      </c>
      <c r="FA38" s="113">
        <f t="shared" si="189"/>
        <v>1.8841317717106038E-2</v>
      </c>
      <c r="FB38" s="110">
        <f t="shared" si="190"/>
        <v>0</v>
      </c>
      <c r="FC38" s="115">
        <f t="shared" si="191"/>
        <v>0</v>
      </c>
      <c r="FD38" s="110">
        <f t="shared" si="192"/>
        <v>0</v>
      </c>
      <c r="FE38" s="52">
        <f>Summ.!$A47</f>
        <v>51023</v>
      </c>
      <c r="FF38" s="119" t="str">
        <f>Summ.!$B47</f>
        <v>Site Furnishing-Repairs</v>
      </c>
      <c r="FG38" s="134">
        <f t="shared" si="239"/>
        <v>0</v>
      </c>
      <c r="FH38" s="110">
        <f t="shared" si="240"/>
        <v>0</v>
      </c>
      <c r="FI38" s="110">
        <f t="shared" si="241"/>
        <v>0</v>
      </c>
      <c r="FJ38" s="113">
        <f t="shared" si="193"/>
        <v>7.254494888166399E-2</v>
      </c>
      <c r="FK38" s="110">
        <f t="shared" si="194"/>
        <v>0</v>
      </c>
      <c r="FL38" s="115">
        <f t="shared" si="195"/>
        <v>0</v>
      </c>
      <c r="FM38" s="110">
        <f t="shared" si="196"/>
        <v>0</v>
      </c>
    </row>
    <row r="39" spans="1:169" ht="12.75" customHeight="1">
      <c r="A39" s="52">
        <f>Summ.!A48</f>
        <v>51030</v>
      </c>
      <c r="B39" s="45" t="str">
        <f>Summ.!B48</f>
        <v>Misc. Maintenance &amp; Repairs</v>
      </c>
      <c r="C39" s="45"/>
      <c r="D39" s="45"/>
      <c r="E39" s="45"/>
      <c r="F39" s="106">
        <f>+Summ.!O48</f>
        <v>0</v>
      </c>
      <c r="G39" s="71">
        <f>Rent!$B$41</f>
        <v>51058</v>
      </c>
      <c r="H39" s="52">
        <f>Summ.!$A48</f>
        <v>51030</v>
      </c>
      <c r="I39" s="119" t="str">
        <f>Summ.!$B48</f>
        <v>Misc. Maintenance &amp; Repairs</v>
      </c>
      <c r="J39" s="134">
        <f t="shared" si="197"/>
        <v>0</v>
      </c>
      <c r="K39" s="110">
        <v>0</v>
      </c>
      <c r="L39" s="110">
        <f t="shared" si="198"/>
        <v>0</v>
      </c>
      <c r="M39" s="113">
        <f t="shared" si="124"/>
        <v>7.5854910102236675E-2</v>
      </c>
      <c r="N39" s="110">
        <f t="shared" si="125"/>
        <v>0</v>
      </c>
      <c r="O39" s="115">
        <f t="shared" si="126"/>
        <v>0</v>
      </c>
      <c r="P39" s="110">
        <f t="shared" si="127"/>
        <v>0</v>
      </c>
      <c r="Q39" s="52">
        <f>Summ.!$A48</f>
        <v>51030</v>
      </c>
      <c r="R39" s="119" t="str">
        <f>Summ.!$B48</f>
        <v>Misc. Maintenance &amp; Repairs</v>
      </c>
      <c r="S39" s="134">
        <f t="shared" si="199"/>
        <v>0</v>
      </c>
      <c r="T39" s="110">
        <f t="shared" si="200"/>
        <v>0</v>
      </c>
      <c r="U39" s="110">
        <f t="shared" si="201"/>
        <v>0</v>
      </c>
      <c r="V39" s="113">
        <f t="shared" si="128"/>
        <v>2.1034901484586158E-2</v>
      </c>
      <c r="W39" s="110">
        <f t="shared" si="129"/>
        <v>0</v>
      </c>
      <c r="X39" s="115">
        <f t="shared" si="130"/>
        <v>0</v>
      </c>
      <c r="Y39" s="110">
        <f t="shared" si="131"/>
        <v>0</v>
      </c>
      <c r="Z39" s="52">
        <f>Summ.!$A48</f>
        <v>51030</v>
      </c>
      <c r="AA39" s="119" t="str">
        <f>Summ.!$B48</f>
        <v>Misc. Maintenance &amp; Repairs</v>
      </c>
      <c r="AB39" s="134">
        <f t="shared" si="202"/>
        <v>0</v>
      </c>
      <c r="AC39" s="110">
        <v>0</v>
      </c>
      <c r="AD39" s="110">
        <f t="shared" si="203"/>
        <v>0</v>
      </c>
      <c r="AE39" s="113">
        <f t="shared" si="132"/>
        <v>3.9171138705002152E-3</v>
      </c>
      <c r="AF39" s="110">
        <f t="shared" si="133"/>
        <v>0</v>
      </c>
      <c r="AG39" s="115">
        <f t="shared" si="134"/>
        <v>0</v>
      </c>
      <c r="AH39" s="110">
        <f t="shared" si="135"/>
        <v>0</v>
      </c>
      <c r="AI39" s="52">
        <f>Summ.!$A48</f>
        <v>51030</v>
      </c>
      <c r="AJ39" s="119" t="str">
        <f>Summ.!$B48</f>
        <v>Misc. Maintenance &amp; Repairs</v>
      </c>
      <c r="AK39" s="134">
        <f t="shared" si="204"/>
        <v>0</v>
      </c>
      <c r="AL39" s="110">
        <f t="shared" si="205"/>
        <v>0</v>
      </c>
      <c r="AM39" s="110">
        <f t="shared" si="206"/>
        <v>0</v>
      </c>
      <c r="AN39" s="113">
        <f t="shared" si="136"/>
        <v>1.0145324924595559E-2</v>
      </c>
      <c r="AO39" s="110">
        <f t="shared" si="137"/>
        <v>0</v>
      </c>
      <c r="AP39" s="115">
        <f t="shared" si="138"/>
        <v>0</v>
      </c>
      <c r="AQ39" s="110">
        <f t="shared" si="139"/>
        <v>0</v>
      </c>
      <c r="AR39" s="52">
        <f>Summ.!$A48</f>
        <v>51030</v>
      </c>
      <c r="AS39" s="119" t="str">
        <f>Summ.!$B48</f>
        <v>Misc. Maintenance &amp; Repairs</v>
      </c>
      <c r="AT39" s="134">
        <f t="shared" si="207"/>
        <v>0</v>
      </c>
      <c r="AU39" s="110">
        <f t="shared" si="208"/>
        <v>0</v>
      </c>
      <c r="AV39" s="110">
        <f t="shared" si="209"/>
        <v>0</v>
      </c>
      <c r="AW39" s="113">
        <f t="shared" si="140"/>
        <v>1.0282423910063065E-2</v>
      </c>
      <c r="AX39" s="110">
        <f t="shared" si="141"/>
        <v>0</v>
      </c>
      <c r="AY39" s="115">
        <f t="shared" si="142"/>
        <v>0</v>
      </c>
      <c r="AZ39" s="110">
        <f t="shared" si="143"/>
        <v>0</v>
      </c>
      <c r="BA39" s="52">
        <f>Summ.!$A48</f>
        <v>51030</v>
      </c>
      <c r="BB39" s="119" t="str">
        <f>Summ.!$B48</f>
        <v>Misc. Maintenance &amp; Repairs</v>
      </c>
      <c r="BC39" s="134">
        <f t="shared" si="210"/>
        <v>0</v>
      </c>
      <c r="BD39" s="110">
        <f t="shared" si="211"/>
        <v>0</v>
      </c>
      <c r="BE39" s="110">
        <f t="shared" si="212"/>
        <v>0</v>
      </c>
      <c r="BF39" s="113" t="e">
        <f t="shared" si="144"/>
        <v>#REF!</v>
      </c>
      <c r="BG39" s="110" t="e">
        <f t="shared" si="145"/>
        <v>#REF!</v>
      </c>
      <c r="BH39" s="115" t="e">
        <f t="shared" si="146"/>
        <v>#REF!</v>
      </c>
      <c r="BI39" s="110" t="e">
        <f t="shared" si="147"/>
        <v>#REF!</v>
      </c>
      <c r="BJ39" s="52">
        <f>Summ.!$A48</f>
        <v>51030</v>
      </c>
      <c r="BK39" s="119" t="str">
        <f>Summ.!$B48</f>
        <v>Misc. Maintenance &amp; Repairs</v>
      </c>
      <c r="BL39" s="134">
        <f t="shared" si="213"/>
        <v>0</v>
      </c>
      <c r="BM39" s="110">
        <f t="shared" si="148"/>
        <v>0</v>
      </c>
      <c r="BN39" s="110">
        <f t="shared" si="214"/>
        <v>0</v>
      </c>
      <c r="BO39" s="113">
        <f t="shared" si="149"/>
        <v>1.9468055936386071E-2</v>
      </c>
      <c r="BP39" s="110">
        <f t="shared" si="150"/>
        <v>0</v>
      </c>
      <c r="BQ39" s="115">
        <f t="shared" si="151"/>
        <v>0</v>
      </c>
      <c r="BR39" s="110">
        <f t="shared" si="152"/>
        <v>0</v>
      </c>
      <c r="BS39" s="52">
        <f>Summ.!$A48</f>
        <v>51030</v>
      </c>
      <c r="BT39" s="119" t="str">
        <f>Summ.!$B48</f>
        <v>Misc. Maintenance &amp; Repairs</v>
      </c>
      <c r="BU39" s="134">
        <f t="shared" si="215"/>
        <v>0</v>
      </c>
      <c r="BV39" s="110">
        <f t="shared" si="216"/>
        <v>0</v>
      </c>
      <c r="BW39" s="110">
        <f t="shared" si="217"/>
        <v>0</v>
      </c>
      <c r="BX39" s="113">
        <f t="shared" si="153"/>
        <v>2.0427748834658623E-2</v>
      </c>
      <c r="BY39" s="110">
        <f t="shared" si="154"/>
        <v>0</v>
      </c>
      <c r="BZ39" s="115">
        <f t="shared" si="155"/>
        <v>0</v>
      </c>
      <c r="CA39" s="110">
        <f t="shared" si="156"/>
        <v>0</v>
      </c>
      <c r="CB39" s="52">
        <f>Summ.!$A48</f>
        <v>51030</v>
      </c>
      <c r="CC39" s="119" t="str">
        <f>Summ.!$B48</f>
        <v>Misc. Maintenance &amp; Repairs</v>
      </c>
      <c r="CD39" s="134">
        <f t="shared" si="218"/>
        <v>0</v>
      </c>
      <c r="CE39" s="110">
        <v>0</v>
      </c>
      <c r="CF39" s="110">
        <f t="shared" si="219"/>
        <v>0</v>
      </c>
      <c r="CG39" s="113">
        <f t="shared" si="157"/>
        <v>6.9058717536918793E-2</v>
      </c>
      <c r="CH39" s="110">
        <f t="shared" si="158"/>
        <v>0</v>
      </c>
      <c r="CI39" s="115">
        <f t="shared" si="159"/>
        <v>0</v>
      </c>
      <c r="CJ39" s="110">
        <f t="shared" si="160"/>
        <v>0</v>
      </c>
      <c r="CK39" s="52">
        <f>Summ.!$A48</f>
        <v>51030</v>
      </c>
      <c r="CL39" s="119" t="str">
        <f>Summ.!$B48</f>
        <v>Misc. Maintenance &amp; Repairs</v>
      </c>
      <c r="CM39" s="134">
        <f t="shared" si="220"/>
        <v>0</v>
      </c>
      <c r="CN39" s="110">
        <f t="shared" si="221"/>
        <v>0</v>
      </c>
      <c r="CO39" s="110">
        <f t="shared" si="222"/>
        <v>0</v>
      </c>
      <c r="CP39" s="113">
        <f t="shared" si="161"/>
        <v>0.21027067256845156</v>
      </c>
      <c r="CQ39" s="110">
        <f t="shared" si="162"/>
        <v>0</v>
      </c>
      <c r="CR39" s="115">
        <f t="shared" si="163"/>
        <v>0</v>
      </c>
      <c r="CS39" s="110">
        <f t="shared" si="164"/>
        <v>0</v>
      </c>
      <c r="CT39" s="52">
        <f>Summ.!$A48</f>
        <v>51030</v>
      </c>
      <c r="CU39" s="119" t="str">
        <f>Summ.!$B48</f>
        <v>Misc. Maintenance &amp; Repairs</v>
      </c>
      <c r="CV39" s="134">
        <f t="shared" si="223"/>
        <v>0</v>
      </c>
      <c r="CW39" s="110">
        <v>0</v>
      </c>
      <c r="CX39" s="110">
        <f t="shared" si="224"/>
        <v>0</v>
      </c>
      <c r="CY39" s="113">
        <f t="shared" si="165"/>
        <v>5.8756708057503229E-2</v>
      </c>
      <c r="CZ39" s="110">
        <f t="shared" si="166"/>
        <v>0</v>
      </c>
      <c r="DA39" s="115">
        <f t="shared" si="167"/>
        <v>0</v>
      </c>
      <c r="DB39" s="110">
        <f t="shared" si="168"/>
        <v>0</v>
      </c>
      <c r="DC39" s="52">
        <f>Summ.!$A48</f>
        <v>51030</v>
      </c>
      <c r="DD39" s="119" t="str">
        <f>Summ.!$B48</f>
        <v>Misc. Maintenance &amp; Repairs</v>
      </c>
      <c r="DE39" s="134">
        <f t="shared" si="225"/>
        <v>0</v>
      </c>
      <c r="DF39" s="110">
        <v>0</v>
      </c>
      <c r="DG39" s="110">
        <f t="shared" si="226"/>
        <v>0</v>
      </c>
      <c r="DH39" s="113">
        <f t="shared" si="169"/>
        <v>9.7927846762505388E-3</v>
      </c>
      <c r="DI39" s="110">
        <f t="shared" si="170"/>
        <v>0</v>
      </c>
      <c r="DJ39" s="115">
        <f t="shared" si="171"/>
        <v>0</v>
      </c>
      <c r="DK39" s="110">
        <f t="shared" si="172"/>
        <v>0</v>
      </c>
      <c r="DL39" s="52">
        <f>Summ.!$A48</f>
        <v>51030</v>
      </c>
      <c r="DM39" s="119" t="str">
        <f>Summ.!$B48</f>
        <v>Misc. Maintenance &amp; Repairs</v>
      </c>
      <c r="DN39" s="134">
        <f t="shared" si="227"/>
        <v>0</v>
      </c>
      <c r="DO39" s="110">
        <v>0</v>
      </c>
      <c r="DP39" s="110">
        <f t="shared" si="228"/>
        <v>0</v>
      </c>
      <c r="DQ39" s="113">
        <f t="shared" si="173"/>
        <v>5.6719808844843123E-2</v>
      </c>
      <c r="DR39" s="110">
        <f t="shared" si="174"/>
        <v>0</v>
      </c>
      <c r="DS39" s="115">
        <f t="shared" si="175"/>
        <v>0</v>
      </c>
      <c r="DT39" s="110">
        <f t="shared" si="176"/>
        <v>0</v>
      </c>
      <c r="DU39" s="52">
        <f>Summ.!$A48</f>
        <v>51030</v>
      </c>
      <c r="DV39" s="119" t="str">
        <f>Summ.!$B48</f>
        <v>Misc. Maintenance &amp; Repairs</v>
      </c>
      <c r="DW39" s="134">
        <f t="shared" si="229"/>
        <v>0</v>
      </c>
      <c r="DX39" s="110">
        <f t="shared" si="230"/>
        <v>0</v>
      </c>
      <c r="DY39" s="110">
        <f t="shared" si="231"/>
        <v>0</v>
      </c>
      <c r="DZ39" s="113">
        <f t="shared" si="177"/>
        <v>0.15695875279094362</v>
      </c>
      <c r="EA39" s="110">
        <f t="shared" si="178"/>
        <v>0</v>
      </c>
      <c r="EB39" s="115">
        <f t="shared" si="179"/>
        <v>0</v>
      </c>
      <c r="EC39" s="110">
        <f t="shared" si="180"/>
        <v>0</v>
      </c>
      <c r="ED39" s="52">
        <f>Summ.!$A48</f>
        <v>51030</v>
      </c>
      <c r="EE39" s="119" t="str">
        <f>Summ.!$B48</f>
        <v>Misc. Maintenance &amp; Repairs</v>
      </c>
      <c r="EF39" s="134">
        <f t="shared" si="232"/>
        <v>0</v>
      </c>
      <c r="EG39" s="110">
        <f t="shared" si="233"/>
        <v>0</v>
      </c>
      <c r="EH39" s="110">
        <f t="shared" si="234"/>
        <v>0</v>
      </c>
      <c r="EI39" s="113">
        <f t="shared" si="181"/>
        <v>0.12730620079125701</v>
      </c>
      <c r="EJ39" s="110">
        <f t="shared" si="182"/>
        <v>0</v>
      </c>
      <c r="EK39" s="115">
        <f t="shared" si="183"/>
        <v>0</v>
      </c>
      <c r="EL39" s="110">
        <f t="shared" si="184"/>
        <v>0</v>
      </c>
      <c r="EM39" s="52">
        <f>Summ.!$A48</f>
        <v>51030</v>
      </c>
      <c r="EN39" s="119" t="str">
        <f>Summ.!$B48</f>
        <v>Misc. Maintenance &amp; Repairs</v>
      </c>
      <c r="EO39" s="134">
        <f t="shared" si="235"/>
        <v>0</v>
      </c>
      <c r="EP39" s="110">
        <v>0</v>
      </c>
      <c r="EQ39" s="110">
        <f t="shared" si="236"/>
        <v>0</v>
      </c>
      <c r="ER39" s="113">
        <f t="shared" si="185"/>
        <v>3.9034039719534647E-2</v>
      </c>
      <c r="ES39" s="110">
        <f t="shared" si="186"/>
        <v>0</v>
      </c>
      <c r="ET39" s="115">
        <f t="shared" si="187"/>
        <v>0</v>
      </c>
      <c r="EU39" s="110">
        <f t="shared" si="188"/>
        <v>0</v>
      </c>
      <c r="EV39" s="52">
        <f>Summ.!$A48</f>
        <v>51030</v>
      </c>
      <c r="EW39" s="119" t="str">
        <f>Summ.!$B48</f>
        <v>Misc. Maintenance &amp; Repairs</v>
      </c>
      <c r="EX39" s="134">
        <f t="shared" si="237"/>
        <v>0</v>
      </c>
      <c r="EY39" s="110">
        <v>0</v>
      </c>
      <c r="EZ39" s="110">
        <f t="shared" si="238"/>
        <v>0</v>
      </c>
      <c r="FA39" s="113">
        <f t="shared" si="189"/>
        <v>1.8841317717106038E-2</v>
      </c>
      <c r="FB39" s="110">
        <f t="shared" si="190"/>
        <v>0</v>
      </c>
      <c r="FC39" s="115">
        <f t="shared" si="191"/>
        <v>0</v>
      </c>
      <c r="FD39" s="110">
        <f t="shared" si="192"/>
        <v>0</v>
      </c>
      <c r="FE39" s="52">
        <f>Summ.!$A48</f>
        <v>51030</v>
      </c>
      <c r="FF39" s="119" t="str">
        <f>Summ.!$B48</f>
        <v>Misc. Maintenance &amp; Repairs</v>
      </c>
      <c r="FG39" s="134">
        <f t="shared" si="239"/>
        <v>0</v>
      </c>
      <c r="FH39" s="110">
        <f t="shared" si="240"/>
        <v>0</v>
      </c>
      <c r="FI39" s="110">
        <f t="shared" si="241"/>
        <v>0</v>
      </c>
      <c r="FJ39" s="113">
        <f t="shared" si="193"/>
        <v>7.254494888166399E-2</v>
      </c>
      <c r="FK39" s="110">
        <f t="shared" si="194"/>
        <v>0</v>
      </c>
      <c r="FL39" s="115">
        <f t="shared" si="195"/>
        <v>0</v>
      </c>
      <c r="FM39" s="110">
        <f t="shared" si="196"/>
        <v>0</v>
      </c>
    </row>
    <row r="40" spans="1:169">
      <c r="A40" s="52">
        <f>Summ.!A49</f>
        <v>51040</v>
      </c>
      <c r="B40" s="485" t="str">
        <f>Summ.!B49</f>
        <v>Janitorial/Day porter</v>
      </c>
      <c r="C40" s="45"/>
      <c r="D40" s="45"/>
      <c r="E40" s="45"/>
      <c r="F40" s="106">
        <f>+Summ.!O49</f>
        <v>134385.58320000005</v>
      </c>
      <c r="G40" s="482">
        <f>G14</f>
        <v>40148</v>
      </c>
      <c r="H40" s="52">
        <f>Summ.!$A49</f>
        <v>51040</v>
      </c>
      <c r="I40" s="119" t="str">
        <f>Summ.!$B49</f>
        <v>Janitorial/Day porter</v>
      </c>
      <c r="J40" s="134">
        <f t="shared" si="197"/>
        <v>134385.58320000005</v>
      </c>
      <c r="K40" s="110">
        <v>0</v>
      </c>
      <c r="L40" s="110">
        <f t="shared" si="198"/>
        <v>134385.58320000005</v>
      </c>
      <c r="M40" s="113">
        <f t="shared" si="124"/>
        <v>9.6468068147852942E-2</v>
      </c>
      <c r="N40" s="110">
        <f t="shared" si="125"/>
        <v>12963.917598226566</v>
      </c>
      <c r="O40" s="115">
        <f t="shared" si="126"/>
        <v>0</v>
      </c>
      <c r="P40" s="110">
        <f t="shared" si="127"/>
        <v>12963.917598226566</v>
      </c>
      <c r="Q40" s="52">
        <f>Summ.!$A49</f>
        <v>51040</v>
      </c>
      <c r="R40" s="119" t="str">
        <f>Summ.!$B49</f>
        <v>Janitorial/Day porter</v>
      </c>
      <c r="S40" s="134">
        <f t="shared" si="199"/>
        <v>134385.58320000005</v>
      </c>
      <c r="T40" s="110">
        <f t="shared" si="200"/>
        <v>0</v>
      </c>
      <c r="U40" s="110">
        <f t="shared" si="201"/>
        <v>134385.58320000005</v>
      </c>
      <c r="V40" s="113">
        <f t="shared" si="128"/>
        <v>2.6751021221480521E-2</v>
      </c>
      <c r="W40" s="110">
        <f t="shared" si="129"/>
        <v>3594.9515880442377</v>
      </c>
      <c r="X40" s="115">
        <f t="shared" si="130"/>
        <v>0</v>
      </c>
      <c r="Y40" s="110">
        <f t="shared" si="131"/>
        <v>3594.9515880442377</v>
      </c>
      <c r="Z40" s="52">
        <f>Summ.!$A49</f>
        <v>51040</v>
      </c>
      <c r="AA40" s="119" t="str">
        <f>Summ.!$B49</f>
        <v>Janitorial/Day porter</v>
      </c>
      <c r="AB40" s="134">
        <f t="shared" si="202"/>
        <v>134385.58320000005</v>
      </c>
      <c r="AC40" s="110">
        <v>0</v>
      </c>
      <c r="AD40" s="110">
        <f t="shared" si="203"/>
        <v>134385.58320000005</v>
      </c>
      <c r="AE40" s="113">
        <f t="shared" si="132"/>
        <v>4.9815681976686258E-3</v>
      </c>
      <c r="AF40" s="110">
        <f t="shared" si="133"/>
        <v>669.45094749427142</v>
      </c>
      <c r="AG40" s="115">
        <f t="shared" si="134"/>
        <v>0</v>
      </c>
      <c r="AH40" s="110">
        <f t="shared" si="135"/>
        <v>669.45094749427142</v>
      </c>
      <c r="AI40" s="52">
        <f>Summ.!$A49</f>
        <v>51040</v>
      </c>
      <c r="AJ40" s="119" t="str">
        <f>Summ.!$B49</f>
        <v>Janitorial/Day porter</v>
      </c>
      <c r="AK40" s="134">
        <f t="shared" si="204"/>
        <v>134385.58320000005</v>
      </c>
      <c r="AL40" s="110">
        <f t="shared" si="205"/>
        <v>0</v>
      </c>
      <c r="AM40" s="110">
        <f t="shared" si="206"/>
        <v>134385.58320000005</v>
      </c>
      <c r="AN40" s="113">
        <f t="shared" si="136"/>
        <v>1.2902261631961742E-2</v>
      </c>
      <c r="AO40" s="110">
        <f t="shared" si="137"/>
        <v>1733.877954010163</v>
      </c>
      <c r="AP40" s="115">
        <f t="shared" si="138"/>
        <v>0</v>
      </c>
      <c r="AQ40" s="110">
        <f t="shared" si="139"/>
        <v>1733.877954010163</v>
      </c>
      <c r="AR40" s="52">
        <f>Summ.!$A49</f>
        <v>51040</v>
      </c>
      <c r="AS40" s="119" t="str">
        <f>Summ.!$B49</f>
        <v>Janitorial/Day porter</v>
      </c>
      <c r="AT40" s="134">
        <f t="shared" si="207"/>
        <v>134385.58320000005</v>
      </c>
      <c r="AU40" s="110">
        <f t="shared" si="208"/>
        <v>0</v>
      </c>
      <c r="AV40" s="110">
        <f t="shared" si="209"/>
        <v>134385.58320000005</v>
      </c>
      <c r="AW40" s="113">
        <f t="shared" si="140"/>
        <v>1.3076616518880143E-2</v>
      </c>
      <c r="AX40" s="110">
        <f t="shared" si="141"/>
        <v>1757.3087371724625</v>
      </c>
      <c r="AY40" s="115">
        <f t="shared" si="142"/>
        <v>0</v>
      </c>
      <c r="AZ40" s="110">
        <f t="shared" si="143"/>
        <v>1757.3087371724625</v>
      </c>
      <c r="BA40" s="52">
        <f>Summ.!$A49</f>
        <v>51040</v>
      </c>
      <c r="BB40" s="119" t="str">
        <f>Summ.!$B49</f>
        <v>Janitorial/Day porter</v>
      </c>
      <c r="BC40" s="134">
        <f t="shared" si="210"/>
        <v>134385.58320000005</v>
      </c>
      <c r="BD40" s="110">
        <f t="shared" si="211"/>
        <v>0</v>
      </c>
      <c r="BE40" s="110">
        <f t="shared" si="212"/>
        <v>134385.58320000005</v>
      </c>
      <c r="BF40" s="113" t="e">
        <f t="shared" si="144"/>
        <v>#REF!</v>
      </c>
      <c r="BG40" s="110" t="e">
        <f t="shared" si="145"/>
        <v>#REF!</v>
      </c>
      <c r="BH40" s="115" t="e">
        <f t="shared" si="146"/>
        <v>#REF!</v>
      </c>
      <c r="BI40" s="110" t="e">
        <f t="shared" si="147"/>
        <v>#REF!</v>
      </c>
      <c r="BJ40" s="52">
        <f>Summ.!$A49</f>
        <v>51040</v>
      </c>
      <c r="BK40" s="119" t="str">
        <f>Summ.!$B49</f>
        <v>Janitorial/Day porter</v>
      </c>
      <c r="BL40" s="134">
        <f t="shared" si="213"/>
        <v>134385.58320000005</v>
      </c>
      <c r="BM40" s="110">
        <f t="shared" si="148"/>
        <v>0</v>
      </c>
      <c r="BN40" s="110">
        <f t="shared" si="214"/>
        <v>134385.58320000005</v>
      </c>
      <c r="BO40" s="113">
        <f t="shared" si="149"/>
        <v>2.4758393942413071E-2</v>
      </c>
      <c r="BP40" s="110">
        <f t="shared" si="150"/>
        <v>3327.1712090465289</v>
      </c>
      <c r="BQ40" s="115">
        <f t="shared" si="151"/>
        <v>0</v>
      </c>
      <c r="BR40" s="110">
        <f t="shared" si="152"/>
        <v>3327.1712090465289</v>
      </c>
      <c r="BS40" s="52">
        <f>Summ.!$A49</f>
        <v>51040</v>
      </c>
      <c r="BT40" s="119" t="str">
        <f>Summ.!$B49</f>
        <v>Janitorial/Day porter</v>
      </c>
      <c r="BU40" s="134">
        <f t="shared" si="215"/>
        <v>134385.58320000005</v>
      </c>
      <c r="BV40" s="110">
        <f t="shared" si="216"/>
        <v>0</v>
      </c>
      <c r="BW40" s="110">
        <f t="shared" si="217"/>
        <v>134385.58320000005</v>
      </c>
      <c r="BX40" s="113">
        <f t="shared" si="153"/>
        <v>2.5978878150841885E-2</v>
      </c>
      <c r="BY40" s="110">
        <f t="shared" si="154"/>
        <v>3491.1866911826255</v>
      </c>
      <c r="BZ40" s="115">
        <f t="shared" si="155"/>
        <v>0</v>
      </c>
      <c r="CA40" s="110">
        <f t="shared" si="156"/>
        <v>3491.1866911826255</v>
      </c>
      <c r="CB40" s="52">
        <f>Summ.!$A49</f>
        <v>51040</v>
      </c>
      <c r="CC40" s="119" t="str">
        <f>Summ.!$B49</f>
        <v>Janitorial/Day porter</v>
      </c>
      <c r="CD40" s="134">
        <f t="shared" si="218"/>
        <v>134385.58320000005</v>
      </c>
      <c r="CE40" s="110">
        <v>0</v>
      </c>
      <c r="CF40" s="110">
        <f t="shared" si="219"/>
        <v>134385.58320000005</v>
      </c>
      <c r="CG40" s="113">
        <f t="shared" si="157"/>
        <v>8.7825047324897876E-2</v>
      </c>
      <c r="CH40" s="110">
        <f t="shared" si="158"/>
        <v>11802.420204324006</v>
      </c>
      <c r="CI40" s="115">
        <f t="shared" si="159"/>
        <v>0</v>
      </c>
      <c r="CJ40" s="110">
        <f t="shared" si="160"/>
        <v>11802.420204324006</v>
      </c>
      <c r="CK40" s="52">
        <f>Summ.!$A49</f>
        <v>51040</v>
      </c>
      <c r="CL40" s="119" t="str">
        <f>Summ.!$B49</f>
        <v>Janitorial/Day porter</v>
      </c>
      <c r="CM40" s="134">
        <f t="shared" si="220"/>
        <v>134385.58320000005</v>
      </c>
      <c r="CN40" s="110">
        <f t="shared" si="221"/>
        <v>0</v>
      </c>
      <c r="CO40" s="110">
        <f t="shared" si="222"/>
        <v>134385.58320000005</v>
      </c>
      <c r="CP40" s="113">
        <f t="shared" si="161"/>
        <v>0.26741058085085184</v>
      </c>
      <c r="CQ40" s="110">
        <f t="shared" si="162"/>
        <v>35936.126861492492</v>
      </c>
      <c r="CR40" s="115">
        <f t="shared" si="163"/>
        <v>0</v>
      </c>
      <c r="CS40" s="110">
        <f t="shared" si="164"/>
        <v>35936.126861492492</v>
      </c>
      <c r="CT40" s="52">
        <f>Summ.!$A49</f>
        <v>51040</v>
      </c>
      <c r="CU40" s="119" t="str">
        <f>Summ.!$B49</f>
        <v>Janitorial/Day porter</v>
      </c>
      <c r="CV40" s="134">
        <f t="shared" si="223"/>
        <v>134385.58320000005</v>
      </c>
      <c r="CW40" s="110">
        <v>0</v>
      </c>
      <c r="CX40" s="110">
        <f t="shared" si="224"/>
        <v>134385.58320000005</v>
      </c>
      <c r="CY40" s="113">
        <f t="shared" si="165"/>
        <v>7.472352296502939E-2</v>
      </c>
      <c r="CZ40" s="110">
        <f t="shared" si="166"/>
        <v>10041.764212414071</v>
      </c>
      <c r="DA40" s="115">
        <f t="shared" si="167"/>
        <v>0</v>
      </c>
      <c r="DB40" s="110">
        <f t="shared" si="168"/>
        <v>10041.764212414071</v>
      </c>
      <c r="DC40" s="52">
        <f>Summ.!$A49</f>
        <v>51040</v>
      </c>
      <c r="DD40" s="119" t="str">
        <f>Summ.!$B49</f>
        <v>Janitorial/Day porter</v>
      </c>
      <c r="DE40" s="134">
        <f t="shared" si="225"/>
        <v>134385.58320000005</v>
      </c>
      <c r="DF40" s="110">
        <v>0</v>
      </c>
      <c r="DG40" s="110">
        <f t="shared" si="226"/>
        <v>134385.58320000005</v>
      </c>
      <c r="DH40" s="113">
        <f t="shared" si="169"/>
        <v>1.2453920494171565E-2</v>
      </c>
      <c r="DI40" s="110">
        <f t="shared" si="170"/>
        <v>1673.6273687356786</v>
      </c>
      <c r="DJ40" s="115">
        <f t="shared" si="171"/>
        <v>0</v>
      </c>
      <c r="DK40" s="110">
        <f t="shared" si="172"/>
        <v>1673.6273687356786</v>
      </c>
      <c r="DL40" s="52">
        <f>Summ.!$A49</f>
        <v>51040</v>
      </c>
      <c r="DM40" s="119" t="str">
        <f>Summ.!$B49</f>
        <v>Janitorial/Day porter</v>
      </c>
      <c r="DN40" s="134">
        <f t="shared" si="227"/>
        <v>134385.58320000005</v>
      </c>
      <c r="DO40" s="110">
        <f>-DN40</f>
        <v>-134385.58320000005</v>
      </c>
      <c r="DP40" s="110">
        <f t="shared" si="228"/>
        <v>0</v>
      </c>
      <c r="DQ40" s="113">
        <f t="shared" si="173"/>
        <v>7.2133107502241708E-2</v>
      </c>
      <c r="DR40" s="110">
        <f t="shared" si="174"/>
        <v>0</v>
      </c>
      <c r="DS40" s="115">
        <f t="shared" si="175"/>
        <v>0</v>
      </c>
      <c r="DT40" s="110">
        <f t="shared" si="176"/>
        <v>0</v>
      </c>
      <c r="DU40" s="52">
        <f>Summ.!$A49</f>
        <v>51040</v>
      </c>
      <c r="DV40" s="119" t="str">
        <f>Summ.!$B49</f>
        <v>Janitorial/Day porter</v>
      </c>
      <c r="DW40" s="134">
        <f t="shared" si="229"/>
        <v>134385.58320000005</v>
      </c>
      <c r="DX40" s="110">
        <f t="shared" si="230"/>
        <v>-134385.58320000005</v>
      </c>
      <c r="DY40" s="110">
        <f t="shared" si="231"/>
        <v>0</v>
      </c>
      <c r="DZ40" s="113">
        <f t="shared" si="177"/>
        <v>0.19961143768058184</v>
      </c>
      <c r="EA40" s="110">
        <f t="shared" si="178"/>
        <v>0</v>
      </c>
      <c r="EB40" s="115">
        <f t="shared" si="179"/>
        <v>0</v>
      </c>
      <c r="EC40" s="110">
        <f t="shared" si="180"/>
        <v>0</v>
      </c>
      <c r="ED40" s="52">
        <f>Summ.!$A49</f>
        <v>51040</v>
      </c>
      <c r="EE40" s="119" t="str">
        <f>Summ.!$B49</f>
        <v>Janitorial/Day porter</v>
      </c>
      <c r="EF40" s="134">
        <f t="shared" si="232"/>
        <v>134385.58320000005</v>
      </c>
      <c r="EG40" s="110">
        <f t="shared" si="233"/>
        <v>-134385.58320000005</v>
      </c>
      <c r="EH40" s="110">
        <f t="shared" si="234"/>
        <v>0</v>
      </c>
      <c r="EI40" s="113">
        <f t="shared" si="181"/>
        <v>0.16190096642423035</v>
      </c>
      <c r="EJ40" s="110">
        <f t="shared" si="182"/>
        <v>0</v>
      </c>
      <c r="EK40" s="115">
        <f t="shared" si="183"/>
        <v>0</v>
      </c>
      <c r="EL40" s="110">
        <f t="shared" si="184"/>
        <v>0</v>
      </c>
      <c r="EM40" s="52">
        <f>Summ.!$A49</f>
        <v>51040</v>
      </c>
      <c r="EN40" s="119" t="str">
        <f>Summ.!$B49</f>
        <v>Janitorial/Day porter</v>
      </c>
      <c r="EO40" s="134">
        <f t="shared" si="235"/>
        <v>134385.58320000005</v>
      </c>
      <c r="EP40" s="110">
        <v>0</v>
      </c>
      <c r="EQ40" s="110">
        <f t="shared" si="236"/>
        <v>134385.58320000005</v>
      </c>
      <c r="ER40" s="113">
        <f t="shared" si="185"/>
        <v>4.9641327089767859E-2</v>
      </c>
      <c r="ES40" s="110">
        <f t="shared" si="186"/>
        <v>6671.0786917804153</v>
      </c>
      <c r="ET40" s="115">
        <f t="shared" si="187"/>
        <v>0</v>
      </c>
      <c r="EU40" s="110">
        <f t="shared" si="188"/>
        <v>6671.0786917804153</v>
      </c>
      <c r="EV40" s="52">
        <f>Summ.!$A49</f>
        <v>51040</v>
      </c>
      <c r="EW40" s="119" t="str">
        <f>Summ.!$B49</f>
        <v>Janitorial/Day porter</v>
      </c>
      <c r="EX40" s="134">
        <f t="shared" si="237"/>
        <v>134385.58320000005</v>
      </c>
      <c r="EY40" s="110">
        <v>0</v>
      </c>
      <c r="EZ40" s="110">
        <f t="shared" si="238"/>
        <v>134385.58320000005</v>
      </c>
      <c r="FA40" s="113">
        <f t="shared" si="189"/>
        <v>2.3961343030786092E-2</v>
      </c>
      <c r="FB40" s="110">
        <f t="shared" si="190"/>
        <v>3220.0590574474459</v>
      </c>
      <c r="FC40" s="115">
        <f t="shared" si="191"/>
        <v>0</v>
      </c>
      <c r="FD40" s="110">
        <f t="shared" si="192"/>
        <v>3220.0590574474459</v>
      </c>
      <c r="FE40" s="52">
        <f>Summ.!$A49</f>
        <v>51040</v>
      </c>
      <c r="FF40" s="119" t="str">
        <f>Summ.!$B49</f>
        <v>Janitorial/Day porter</v>
      </c>
      <c r="FG40" s="134">
        <f t="shared" si="239"/>
        <v>134385.58320000005</v>
      </c>
      <c r="FH40" s="110">
        <f t="shared" si="240"/>
        <v>0</v>
      </c>
      <c r="FI40" s="110">
        <f t="shared" si="241"/>
        <v>134385.58320000005</v>
      </c>
      <c r="FJ40" s="113">
        <f t="shared" si="193"/>
        <v>9.2258643020822956E-2</v>
      </c>
      <c r="FK40" s="110">
        <f t="shared" si="194"/>
        <v>12398.231547593907</v>
      </c>
      <c r="FL40" s="115">
        <f t="shared" si="195"/>
        <v>0</v>
      </c>
      <c r="FM40" s="110">
        <f t="shared" si="196"/>
        <v>12398.231547593907</v>
      </c>
    </row>
    <row r="41" spans="1:169" ht="12.75" customHeight="1">
      <c r="A41" s="52" t="str">
        <f>Summ.!A50</f>
        <v>-</v>
      </c>
      <c r="B41" s="45" t="str">
        <f>Summ.!B50</f>
        <v>Window Washing Maint.</v>
      </c>
      <c r="C41" s="45"/>
      <c r="D41" s="45"/>
      <c r="E41" s="45"/>
      <c r="F41" s="106">
        <f>+Summ.!O50</f>
        <v>0</v>
      </c>
      <c r="G41" s="71">
        <f>Rent!$B$41</f>
        <v>51058</v>
      </c>
      <c r="H41" s="52" t="str">
        <f>Summ.!$A50</f>
        <v>-</v>
      </c>
      <c r="I41" s="119" t="str">
        <f>Summ.!$B50</f>
        <v>Window Washing Maint.</v>
      </c>
      <c r="J41" s="134">
        <f t="shared" si="197"/>
        <v>0</v>
      </c>
      <c r="K41" s="110">
        <v>0</v>
      </c>
      <c r="L41" s="110">
        <f t="shared" si="198"/>
        <v>0</v>
      </c>
      <c r="M41" s="113">
        <f t="shared" si="124"/>
        <v>7.5854910102236675E-2</v>
      </c>
      <c r="N41" s="110">
        <f t="shared" si="125"/>
        <v>0</v>
      </c>
      <c r="O41" s="115">
        <f t="shared" si="126"/>
        <v>0</v>
      </c>
      <c r="P41" s="110">
        <f t="shared" si="127"/>
        <v>0</v>
      </c>
      <c r="Q41" s="52" t="str">
        <f>Summ.!$A50</f>
        <v>-</v>
      </c>
      <c r="R41" s="119" t="str">
        <f>Summ.!$B50</f>
        <v>Window Washing Maint.</v>
      </c>
      <c r="S41" s="134">
        <f t="shared" si="199"/>
        <v>0</v>
      </c>
      <c r="T41" s="110">
        <f t="shared" si="200"/>
        <v>0</v>
      </c>
      <c r="U41" s="110">
        <f t="shared" si="201"/>
        <v>0</v>
      </c>
      <c r="V41" s="113">
        <f t="shared" si="128"/>
        <v>2.1034901484586158E-2</v>
      </c>
      <c r="W41" s="110">
        <f t="shared" si="129"/>
        <v>0</v>
      </c>
      <c r="X41" s="115">
        <f t="shared" si="130"/>
        <v>0</v>
      </c>
      <c r="Y41" s="110">
        <f t="shared" si="131"/>
        <v>0</v>
      </c>
      <c r="Z41" s="52" t="str">
        <f>Summ.!$A50</f>
        <v>-</v>
      </c>
      <c r="AA41" s="119" t="str">
        <f>Summ.!$B50</f>
        <v>Window Washing Maint.</v>
      </c>
      <c r="AB41" s="134">
        <f t="shared" si="202"/>
        <v>0</v>
      </c>
      <c r="AC41" s="110">
        <v>0</v>
      </c>
      <c r="AD41" s="110">
        <f t="shared" si="203"/>
        <v>0</v>
      </c>
      <c r="AE41" s="113">
        <f t="shared" si="132"/>
        <v>3.9171138705002152E-3</v>
      </c>
      <c r="AF41" s="110">
        <f t="shared" si="133"/>
        <v>0</v>
      </c>
      <c r="AG41" s="115">
        <f t="shared" si="134"/>
        <v>0</v>
      </c>
      <c r="AH41" s="110">
        <f t="shared" si="135"/>
        <v>0</v>
      </c>
      <c r="AI41" s="52" t="str">
        <f>Summ.!$A50</f>
        <v>-</v>
      </c>
      <c r="AJ41" s="119" t="str">
        <f>Summ.!$B50</f>
        <v>Window Washing Maint.</v>
      </c>
      <c r="AK41" s="134">
        <f t="shared" si="204"/>
        <v>0</v>
      </c>
      <c r="AL41" s="110">
        <f t="shared" si="205"/>
        <v>0</v>
      </c>
      <c r="AM41" s="110">
        <f t="shared" si="206"/>
        <v>0</v>
      </c>
      <c r="AN41" s="113">
        <f t="shared" si="136"/>
        <v>1.0145324924595559E-2</v>
      </c>
      <c r="AO41" s="110">
        <f t="shared" si="137"/>
        <v>0</v>
      </c>
      <c r="AP41" s="115">
        <f t="shared" si="138"/>
        <v>0</v>
      </c>
      <c r="AQ41" s="110">
        <f t="shared" si="139"/>
        <v>0</v>
      </c>
      <c r="AR41" s="52" t="str">
        <f>Summ.!$A50</f>
        <v>-</v>
      </c>
      <c r="AS41" s="119" t="str">
        <f>Summ.!$B50</f>
        <v>Window Washing Maint.</v>
      </c>
      <c r="AT41" s="134">
        <f t="shared" si="207"/>
        <v>0</v>
      </c>
      <c r="AU41" s="110">
        <f t="shared" si="208"/>
        <v>0</v>
      </c>
      <c r="AV41" s="110">
        <f t="shared" si="209"/>
        <v>0</v>
      </c>
      <c r="AW41" s="113">
        <f t="shared" si="140"/>
        <v>1.0282423910063065E-2</v>
      </c>
      <c r="AX41" s="110">
        <f t="shared" si="141"/>
        <v>0</v>
      </c>
      <c r="AY41" s="115">
        <f t="shared" si="142"/>
        <v>0</v>
      </c>
      <c r="AZ41" s="110">
        <f t="shared" si="143"/>
        <v>0</v>
      </c>
      <c r="BA41" s="52" t="str">
        <f>Summ.!$A50</f>
        <v>-</v>
      </c>
      <c r="BB41" s="119" t="str">
        <f>Summ.!$B50</f>
        <v>Window Washing Maint.</v>
      </c>
      <c r="BC41" s="134">
        <f t="shared" si="210"/>
        <v>0</v>
      </c>
      <c r="BD41" s="110">
        <f t="shared" si="211"/>
        <v>0</v>
      </c>
      <c r="BE41" s="110">
        <f t="shared" si="212"/>
        <v>0</v>
      </c>
      <c r="BF41" s="113" t="e">
        <f t="shared" si="144"/>
        <v>#REF!</v>
      </c>
      <c r="BG41" s="110" t="e">
        <f t="shared" si="145"/>
        <v>#REF!</v>
      </c>
      <c r="BH41" s="115" t="e">
        <f t="shared" si="146"/>
        <v>#REF!</v>
      </c>
      <c r="BI41" s="110" t="e">
        <f t="shared" si="147"/>
        <v>#REF!</v>
      </c>
      <c r="BJ41" s="52" t="str">
        <f>Summ.!$A50</f>
        <v>-</v>
      </c>
      <c r="BK41" s="119" t="str">
        <f>Summ.!$B50</f>
        <v>Window Washing Maint.</v>
      </c>
      <c r="BL41" s="134">
        <f t="shared" si="213"/>
        <v>0</v>
      </c>
      <c r="BM41" s="110">
        <f t="shared" si="148"/>
        <v>0</v>
      </c>
      <c r="BN41" s="110">
        <f t="shared" si="214"/>
        <v>0</v>
      </c>
      <c r="BO41" s="113">
        <f t="shared" si="149"/>
        <v>1.9468055936386071E-2</v>
      </c>
      <c r="BP41" s="110">
        <f t="shared" si="150"/>
        <v>0</v>
      </c>
      <c r="BQ41" s="115">
        <f t="shared" si="151"/>
        <v>0</v>
      </c>
      <c r="BR41" s="110">
        <f t="shared" si="152"/>
        <v>0</v>
      </c>
      <c r="BS41" s="52" t="str">
        <f>Summ.!$A50</f>
        <v>-</v>
      </c>
      <c r="BT41" s="119" t="str">
        <f>Summ.!$B50</f>
        <v>Window Washing Maint.</v>
      </c>
      <c r="BU41" s="134">
        <f t="shared" si="215"/>
        <v>0</v>
      </c>
      <c r="BV41" s="110">
        <f t="shared" si="216"/>
        <v>0</v>
      </c>
      <c r="BW41" s="110">
        <f t="shared" si="217"/>
        <v>0</v>
      </c>
      <c r="BX41" s="113">
        <f t="shared" si="153"/>
        <v>2.0427748834658623E-2</v>
      </c>
      <c r="BY41" s="110">
        <f t="shared" si="154"/>
        <v>0</v>
      </c>
      <c r="BZ41" s="115">
        <f t="shared" si="155"/>
        <v>0</v>
      </c>
      <c r="CA41" s="110">
        <f t="shared" si="156"/>
        <v>0</v>
      </c>
      <c r="CB41" s="52" t="str">
        <f>Summ.!$A50</f>
        <v>-</v>
      </c>
      <c r="CC41" s="119" t="str">
        <f>Summ.!$B50</f>
        <v>Window Washing Maint.</v>
      </c>
      <c r="CD41" s="134">
        <f t="shared" si="218"/>
        <v>0</v>
      </c>
      <c r="CE41" s="110">
        <v>0</v>
      </c>
      <c r="CF41" s="110">
        <f t="shared" si="219"/>
        <v>0</v>
      </c>
      <c r="CG41" s="113">
        <f t="shared" si="157"/>
        <v>6.9058717536918793E-2</v>
      </c>
      <c r="CH41" s="110">
        <f t="shared" si="158"/>
        <v>0</v>
      </c>
      <c r="CI41" s="115">
        <f t="shared" si="159"/>
        <v>0</v>
      </c>
      <c r="CJ41" s="110">
        <f t="shared" si="160"/>
        <v>0</v>
      </c>
      <c r="CK41" s="52" t="str">
        <f>Summ.!$A50</f>
        <v>-</v>
      </c>
      <c r="CL41" s="119" t="str">
        <f>Summ.!$B50</f>
        <v>Window Washing Maint.</v>
      </c>
      <c r="CM41" s="134">
        <f t="shared" si="220"/>
        <v>0</v>
      </c>
      <c r="CN41" s="110">
        <f t="shared" si="221"/>
        <v>0</v>
      </c>
      <c r="CO41" s="110">
        <f t="shared" si="222"/>
        <v>0</v>
      </c>
      <c r="CP41" s="113">
        <f t="shared" si="161"/>
        <v>0.21027067256845156</v>
      </c>
      <c r="CQ41" s="110">
        <f t="shared" si="162"/>
        <v>0</v>
      </c>
      <c r="CR41" s="115">
        <f t="shared" si="163"/>
        <v>0</v>
      </c>
      <c r="CS41" s="110">
        <f t="shared" si="164"/>
        <v>0</v>
      </c>
      <c r="CT41" s="52" t="str">
        <f>Summ.!$A50</f>
        <v>-</v>
      </c>
      <c r="CU41" s="119" t="str">
        <f>Summ.!$B50</f>
        <v>Window Washing Maint.</v>
      </c>
      <c r="CV41" s="134">
        <f t="shared" si="223"/>
        <v>0</v>
      </c>
      <c r="CW41" s="110">
        <v>0</v>
      </c>
      <c r="CX41" s="110">
        <f t="shared" si="224"/>
        <v>0</v>
      </c>
      <c r="CY41" s="113">
        <f t="shared" si="165"/>
        <v>5.8756708057503229E-2</v>
      </c>
      <c r="CZ41" s="110">
        <f t="shared" si="166"/>
        <v>0</v>
      </c>
      <c r="DA41" s="115">
        <f t="shared" si="167"/>
        <v>0</v>
      </c>
      <c r="DB41" s="110">
        <f t="shared" si="168"/>
        <v>0</v>
      </c>
      <c r="DC41" s="52" t="str">
        <f>Summ.!$A50</f>
        <v>-</v>
      </c>
      <c r="DD41" s="119" t="str">
        <f>Summ.!$B50</f>
        <v>Window Washing Maint.</v>
      </c>
      <c r="DE41" s="134">
        <f t="shared" si="225"/>
        <v>0</v>
      </c>
      <c r="DF41" s="110">
        <v>0</v>
      </c>
      <c r="DG41" s="110">
        <f t="shared" si="226"/>
        <v>0</v>
      </c>
      <c r="DH41" s="113">
        <f t="shared" si="169"/>
        <v>9.7927846762505388E-3</v>
      </c>
      <c r="DI41" s="110">
        <f t="shared" si="170"/>
        <v>0</v>
      </c>
      <c r="DJ41" s="115">
        <f t="shared" si="171"/>
        <v>0</v>
      </c>
      <c r="DK41" s="110">
        <f t="shared" si="172"/>
        <v>0</v>
      </c>
      <c r="DL41" s="52" t="str">
        <f>Summ.!$A50</f>
        <v>-</v>
      </c>
      <c r="DM41" s="119" t="str">
        <f>Summ.!$B50</f>
        <v>Window Washing Maint.</v>
      </c>
      <c r="DN41" s="134">
        <f t="shared" si="227"/>
        <v>0</v>
      </c>
      <c r="DO41" s="110">
        <v>0</v>
      </c>
      <c r="DP41" s="110">
        <f t="shared" si="228"/>
        <v>0</v>
      </c>
      <c r="DQ41" s="113">
        <f t="shared" si="173"/>
        <v>5.6719808844843123E-2</v>
      </c>
      <c r="DR41" s="110">
        <f t="shared" si="174"/>
        <v>0</v>
      </c>
      <c r="DS41" s="115">
        <f t="shared" si="175"/>
        <v>0</v>
      </c>
      <c r="DT41" s="110">
        <f t="shared" si="176"/>
        <v>0</v>
      </c>
      <c r="DU41" s="52" t="str">
        <f>Summ.!$A50</f>
        <v>-</v>
      </c>
      <c r="DV41" s="119" t="str">
        <f>Summ.!$B50</f>
        <v>Window Washing Maint.</v>
      </c>
      <c r="DW41" s="134">
        <f t="shared" si="229"/>
        <v>0</v>
      </c>
      <c r="DX41" s="110">
        <f t="shared" si="230"/>
        <v>0</v>
      </c>
      <c r="DY41" s="110">
        <f t="shared" si="231"/>
        <v>0</v>
      </c>
      <c r="DZ41" s="113">
        <f t="shared" si="177"/>
        <v>0.15695875279094362</v>
      </c>
      <c r="EA41" s="110">
        <f t="shared" si="178"/>
        <v>0</v>
      </c>
      <c r="EB41" s="115">
        <f t="shared" si="179"/>
        <v>0</v>
      </c>
      <c r="EC41" s="110">
        <f t="shared" si="180"/>
        <v>0</v>
      </c>
      <c r="ED41" s="52" t="str">
        <f>Summ.!$A50</f>
        <v>-</v>
      </c>
      <c r="EE41" s="119" t="str">
        <f>Summ.!$B50</f>
        <v>Window Washing Maint.</v>
      </c>
      <c r="EF41" s="134">
        <f t="shared" si="232"/>
        <v>0</v>
      </c>
      <c r="EG41" s="110">
        <f t="shared" si="233"/>
        <v>0</v>
      </c>
      <c r="EH41" s="110">
        <f t="shared" si="234"/>
        <v>0</v>
      </c>
      <c r="EI41" s="113">
        <f t="shared" si="181"/>
        <v>0.12730620079125701</v>
      </c>
      <c r="EJ41" s="110">
        <f t="shared" si="182"/>
        <v>0</v>
      </c>
      <c r="EK41" s="115">
        <f t="shared" si="183"/>
        <v>0</v>
      </c>
      <c r="EL41" s="110">
        <f t="shared" si="184"/>
        <v>0</v>
      </c>
      <c r="EM41" s="52" t="str">
        <f>Summ.!$A50</f>
        <v>-</v>
      </c>
      <c r="EN41" s="119" t="str">
        <f>Summ.!$B50</f>
        <v>Window Washing Maint.</v>
      </c>
      <c r="EO41" s="134">
        <f t="shared" si="235"/>
        <v>0</v>
      </c>
      <c r="EP41" s="110">
        <v>0</v>
      </c>
      <c r="EQ41" s="110">
        <f t="shared" si="236"/>
        <v>0</v>
      </c>
      <c r="ER41" s="113">
        <f t="shared" si="185"/>
        <v>3.9034039719534647E-2</v>
      </c>
      <c r="ES41" s="110">
        <f t="shared" si="186"/>
        <v>0</v>
      </c>
      <c r="ET41" s="115">
        <f t="shared" si="187"/>
        <v>0</v>
      </c>
      <c r="EU41" s="110">
        <f t="shared" si="188"/>
        <v>0</v>
      </c>
      <c r="EV41" s="52" t="str">
        <f>Summ.!$A50</f>
        <v>-</v>
      </c>
      <c r="EW41" s="119" t="str">
        <f>Summ.!$B50</f>
        <v>Window Washing Maint.</v>
      </c>
      <c r="EX41" s="134">
        <f t="shared" si="237"/>
        <v>0</v>
      </c>
      <c r="EY41" s="110">
        <v>0</v>
      </c>
      <c r="EZ41" s="110">
        <f t="shared" si="238"/>
        <v>0</v>
      </c>
      <c r="FA41" s="113">
        <f t="shared" si="189"/>
        <v>1.8841317717106038E-2</v>
      </c>
      <c r="FB41" s="110">
        <f t="shared" si="190"/>
        <v>0</v>
      </c>
      <c r="FC41" s="115">
        <f t="shared" si="191"/>
        <v>0</v>
      </c>
      <c r="FD41" s="110">
        <f t="shared" si="192"/>
        <v>0</v>
      </c>
      <c r="FE41" s="52" t="str">
        <f>Summ.!$A50</f>
        <v>-</v>
      </c>
      <c r="FF41" s="119" t="str">
        <f>Summ.!$B50</f>
        <v>Window Washing Maint.</v>
      </c>
      <c r="FG41" s="134">
        <f t="shared" si="239"/>
        <v>0</v>
      </c>
      <c r="FH41" s="110">
        <f t="shared" si="240"/>
        <v>0</v>
      </c>
      <c r="FI41" s="110">
        <f t="shared" si="241"/>
        <v>0</v>
      </c>
      <c r="FJ41" s="113">
        <f t="shared" si="193"/>
        <v>7.254494888166399E-2</v>
      </c>
      <c r="FK41" s="110">
        <f t="shared" si="194"/>
        <v>0</v>
      </c>
      <c r="FL41" s="115">
        <f t="shared" si="195"/>
        <v>0</v>
      </c>
      <c r="FM41" s="110">
        <f t="shared" si="196"/>
        <v>0</v>
      </c>
    </row>
    <row r="42" spans="1:169">
      <c r="A42" s="52">
        <f>Summ.!A51</f>
        <v>51050</v>
      </c>
      <c r="B42" s="45" t="str">
        <f>Summ.!B51</f>
        <v>Pest Control Maintenance</v>
      </c>
      <c r="C42" s="45"/>
      <c r="D42" s="45"/>
      <c r="E42" s="45"/>
      <c r="F42" s="106">
        <f>+Summ.!O51</f>
        <v>11540</v>
      </c>
      <c r="G42" s="482">
        <f>G40</f>
        <v>40148</v>
      </c>
      <c r="H42" s="52">
        <f>Summ.!$A51</f>
        <v>51050</v>
      </c>
      <c r="I42" s="119" t="str">
        <f>Summ.!$B51</f>
        <v>Pest Control Maintenance</v>
      </c>
      <c r="J42" s="134">
        <f t="shared" si="197"/>
        <v>11540</v>
      </c>
      <c r="K42" s="110">
        <v>0</v>
      </c>
      <c r="L42" s="110">
        <f t="shared" si="198"/>
        <v>11540</v>
      </c>
      <c r="M42" s="113">
        <f t="shared" si="124"/>
        <v>9.6468068147852942E-2</v>
      </c>
      <c r="N42" s="110">
        <f t="shared" si="125"/>
        <v>1113.2415064262229</v>
      </c>
      <c r="O42" s="115">
        <f t="shared" si="126"/>
        <v>0</v>
      </c>
      <c r="P42" s="110">
        <f t="shared" si="127"/>
        <v>1113.2415064262229</v>
      </c>
      <c r="Q42" s="52">
        <f>Summ.!$A51</f>
        <v>51050</v>
      </c>
      <c r="R42" s="119" t="str">
        <f>Summ.!$B51</f>
        <v>Pest Control Maintenance</v>
      </c>
      <c r="S42" s="134">
        <f t="shared" si="199"/>
        <v>11540</v>
      </c>
      <c r="T42" s="110">
        <f t="shared" si="200"/>
        <v>0</v>
      </c>
      <c r="U42" s="110">
        <f t="shared" si="201"/>
        <v>11540</v>
      </c>
      <c r="V42" s="113">
        <f t="shared" si="128"/>
        <v>2.6751021221480521E-2</v>
      </c>
      <c r="W42" s="110">
        <f t="shared" si="129"/>
        <v>308.70678489588522</v>
      </c>
      <c r="X42" s="115">
        <f t="shared" si="130"/>
        <v>0</v>
      </c>
      <c r="Y42" s="110">
        <f t="shared" si="131"/>
        <v>308.70678489588522</v>
      </c>
      <c r="Z42" s="52">
        <f>Summ.!$A51</f>
        <v>51050</v>
      </c>
      <c r="AA42" s="119" t="str">
        <f>Summ.!$B51</f>
        <v>Pest Control Maintenance</v>
      </c>
      <c r="AB42" s="134">
        <f t="shared" si="202"/>
        <v>11540</v>
      </c>
      <c r="AC42" s="110">
        <v>0</v>
      </c>
      <c r="AD42" s="110">
        <f t="shared" si="203"/>
        <v>11540</v>
      </c>
      <c r="AE42" s="113">
        <f t="shared" si="132"/>
        <v>4.9815681976686258E-3</v>
      </c>
      <c r="AF42" s="110">
        <f t="shared" si="133"/>
        <v>57.487297001095939</v>
      </c>
      <c r="AG42" s="115">
        <f t="shared" si="134"/>
        <v>0</v>
      </c>
      <c r="AH42" s="110">
        <f t="shared" si="135"/>
        <v>57.487297001095939</v>
      </c>
      <c r="AI42" s="52">
        <f>Summ.!$A51</f>
        <v>51050</v>
      </c>
      <c r="AJ42" s="119" t="str">
        <f>Summ.!$B51</f>
        <v>Pest Control Maintenance</v>
      </c>
      <c r="AK42" s="134">
        <f t="shared" si="204"/>
        <v>11540</v>
      </c>
      <c r="AL42" s="110">
        <f t="shared" si="205"/>
        <v>0</v>
      </c>
      <c r="AM42" s="110">
        <f t="shared" si="206"/>
        <v>11540</v>
      </c>
      <c r="AN42" s="113">
        <f t="shared" si="136"/>
        <v>1.2902261631961742E-2</v>
      </c>
      <c r="AO42" s="110">
        <f t="shared" si="137"/>
        <v>148.89209923283849</v>
      </c>
      <c r="AP42" s="115">
        <f t="shared" si="138"/>
        <v>0</v>
      </c>
      <c r="AQ42" s="110">
        <f t="shared" si="139"/>
        <v>148.89209923283849</v>
      </c>
      <c r="AR42" s="52">
        <f>Summ.!$A51</f>
        <v>51050</v>
      </c>
      <c r="AS42" s="119" t="str">
        <f>Summ.!$B51</f>
        <v>Pest Control Maintenance</v>
      </c>
      <c r="AT42" s="134">
        <f t="shared" si="207"/>
        <v>11540</v>
      </c>
      <c r="AU42" s="110">
        <f t="shared" si="208"/>
        <v>0</v>
      </c>
      <c r="AV42" s="110">
        <f t="shared" si="209"/>
        <v>11540</v>
      </c>
      <c r="AW42" s="113">
        <f t="shared" si="140"/>
        <v>1.3076616518880143E-2</v>
      </c>
      <c r="AX42" s="110">
        <f t="shared" si="141"/>
        <v>150.90415462787686</v>
      </c>
      <c r="AY42" s="115">
        <f t="shared" si="142"/>
        <v>0</v>
      </c>
      <c r="AZ42" s="110">
        <f t="shared" si="143"/>
        <v>150.90415462787686</v>
      </c>
      <c r="BA42" s="52">
        <f>Summ.!$A51</f>
        <v>51050</v>
      </c>
      <c r="BB42" s="119" t="str">
        <f>Summ.!$B51</f>
        <v>Pest Control Maintenance</v>
      </c>
      <c r="BC42" s="134">
        <f t="shared" si="210"/>
        <v>11540</v>
      </c>
      <c r="BD42" s="110">
        <f t="shared" si="211"/>
        <v>0</v>
      </c>
      <c r="BE42" s="110">
        <f t="shared" si="212"/>
        <v>11540</v>
      </c>
      <c r="BF42" s="113" t="e">
        <f t="shared" si="144"/>
        <v>#REF!</v>
      </c>
      <c r="BG42" s="110" t="e">
        <f t="shared" si="145"/>
        <v>#REF!</v>
      </c>
      <c r="BH42" s="115" t="e">
        <f t="shared" si="146"/>
        <v>#REF!</v>
      </c>
      <c r="BI42" s="110" t="e">
        <f t="shared" si="147"/>
        <v>#REF!</v>
      </c>
      <c r="BJ42" s="52">
        <f>Summ.!$A51</f>
        <v>51050</v>
      </c>
      <c r="BK42" s="119" t="str">
        <f>Summ.!$B51</f>
        <v>Pest Control Maintenance</v>
      </c>
      <c r="BL42" s="134">
        <f t="shared" si="213"/>
        <v>11540</v>
      </c>
      <c r="BM42" s="110">
        <f t="shared" si="148"/>
        <v>0</v>
      </c>
      <c r="BN42" s="110">
        <f t="shared" si="214"/>
        <v>11540</v>
      </c>
      <c r="BO42" s="113">
        <f t="shared" si="149"/>
        <v>2.4758393942413071E-2</v>
      </c>
      <c r="BP42" s="110">
        <f t="shared" si="150"/>
        <v>285.71186609544685</v>
      </c>
      <c r="BQ42" s="115">
        <f t="shared" si="151"/>
        <v>0</v>
      </c>
      <c r="BR42" s="110">
        <f t="shared" si="152"/>
        <v>285.71186609544685</v>
      </c>
      <c r="BS42" s="52">
        <f>Summ.!$A51</f>
        <v>51050</v>
      </c>
      <c r="BT42" s="119" t="str">
        <f>Summ.!$B51</f>
        <v>Pest Control Maintenance</v>
      </c>
      <c r="BU42" s="134">
        <f t="shared" si="215"/>
        <v>11540</v>
      </c>
      <c r="BV42" s="110">
        <f t="shared" si="216"/>
        <v>0</v>
      </c>
      <c r="BW42" s="110">
        <f t="shared" si="217"/>
        <v>11540</v>
      </c>
      <c r="BX42" s="113">
        <f t="shared" si="153"/>
        <v>2.5978878150841885E-2</v>
      </c>
      <c r="BY42" s="110">
        <f t="shared" si="154"/>
        <v>299.79625386071535</v>
      </c>
      <c r="BZ42" s="115">
        <f t="shared" si="155"/>
        <v>0</v>
      </c>
      <c r="CA42" s="110">
        <f t="shared" si="156"/>
        <v>299.79625386071535</v>
      </c>
      <c r="CB42" s="52">
        <f>Summ.!$A51</f>
        <v>51050</v>
      </c>
      <c r="CC42" s="119" t="str">
        <f>Summ.!$B51</f>
        <v>Pest Control Maintenance</v>
      </c>
      <c r="CD42" s="134">
        <f t="shared" si="218"/>
        <v>11540</v>
      </c>
      <c r="CE42" s="110">
        <v>0</v>
      </c>
      <c r="CF42" s="110">
        <f t="shared" si="219"/>
        <v>11540</v>
      </c>
      <c r="CG42" s="113">
        <f t="shared" si="157"/>
        <v>8.7825047324897876E-2</v>
      </c>
      <c r="CH42" s="110">
        <f t="shared" si="158"/>
        <v>1013.5010461293215</v>
      </c>
      <c r="CI42" s="115">
        <f t="shared" si="159"/>
        <v>0</v>
      </c>
      <c r="CJ42" s="110">
        <f t="shared" si="160"/>
        <v>1013.5010461293215</v>
      </c>
      <c r="CK42" s="52">
        <f>Summ.!$A51</f>
        <v>51050</v>
      </c>
      <c r="CL42" s="119" t="str">
        <f>Summ.!$B51</f>
        <v>Pest Control Maintenance</v>
      </c>
      <c r="CM42" s="134">
        <f t="shared" si="220"/>
        <v>11540</v>
      </c>
      <c r="CN42" s="110">
        <f t="shared" si="221"/>
        <v>0</v>
      </c>
      <c r="CO42" s="110">
        <f t="shared" si="222"/>
        <v>11540</v>
      </c>
      <c r="CP42" s="113">
        <f t="shared" si="161"/>
        <v>0.26741058085085184</v>
      </c>
      <c r="CQ42" s="110">
        <f t="shared" si="162"/>
        <v>3085.9181030188302</v>
      </c>
      <c r="CR42" s="115">
        <f t="shared" si="163"/>
        <v>0</v>
      </c>
      <c r="CS42" s="110">
        <f t="shared" si="164"/>
        <v>3085.9181030188302</v>
      </c>
      <c r="CT42" s="52">
        <f>Summ.!$A51</f>
        <v>51050</v>
      </c>
      <c r="CU42" s="119" t="str">
        <f>Summ.!$B51</f>
        <v>Pest Control Maintenance</v>
      </c>
      <c r="CV42" s="134">
        <f t="shared" si="223"/>
        <v>11540</v>
      </c>
      <c r="CW42" s="110">
        <v>0</v>
      </c>
      <c r="CX42" s="110">
        <f t="shared" si="224"/>
        <v>11540</v>
      </c>
      <c r="CY42" s="113">
        <f t="shared" si="165"/>
        <v>7.472352296502939E-2</v>
      </c>
      <c r="CZ42" s="110">
        <f t="shared" si="166"/>
        <v>862.30945501643919</v>
      </c>
      <c r="DA42" s="115">
        <f t="shared" si="167"/>
        <v>0</v>
      </c>
      <c r="DB42" s="110">
        <f t="shared" si="168"/>
        <v>862.30945501643919</v>
      </c>
      <c r="DC42" s="52">
        <f>Summ.!$A51</f>
        <v>51050</v>
      </c>
      <c r="DD42" s="119" t="str">
        <f>Summ.!$B51</f>
        <v>Pest Control Maintenance</v>
      </c>
      <c r="DE42" s="134">
        <f t="shared" si="225"/>
        <v>11540</v>
      </c>
      <c r="DF42" s="110">
        <v>0</v>
      </c>
      <c r="DG42" s="110">
        <f t="shared" si="226"/>
        <v>11540</v>
      </c>
      <c r="DH42" s="113">
        <f t="shared" si="169"/>
        <v>1.2453920494171565E-2</v>
      </c>
      <c r="DI42" s="110">
        <f t="shared" si="170"/>
        <v>143.71824250273986</v>
      </c>
      <c r="DJ42" s="115">
        <f t="shared" si="171"/>
        <v>0</v>
      </c>
      <c r="DK42" s="110">
        <f t="shared" si="172"/>
        <v>143.71824250273986</v>
      </c>
      <c r="DL42" s="52">
        <f>Summ.!$A51</f>
        <v>51050</v>
      </c>
      <c r="DM42" s="119" t="str">
        <f>Summ.!$B51</f>
        <v>Pest Control Maintenance</v>
      </c>
      <c r="DN42" s="134">
        <f t="shared" si="227"/>
        <v>11540</v>
      </c>
      <c r="DO42" s="110">
        <f>-DN42</f>
        <v>-11540</v>
      </c>
      <c r="DP42" s="110">
        <f t="shared" si="228"/>
        <v>0</v>
      </c>
      <c r="DQ42" s="113">
        <f t="shared" si="173"/>
        <v>7.2133107502241708E-2</v>
      </c>
      <c r="DR42" s="110">
        <f t="shared" si="174"/>
        <v>0</v>
      </c>
      <c r="DS42" s="115">
        <f t="shared" si="175"/>
        <v>0</v>
      </c>
      <c r="DT42" s="110">
        <f t="shared" si="176"/>
        <v>0</v>
      </c>
      <c r="DU42" s="52">
        <f>Summ.!$A51</f>
        <v>51050</v>
      </c>
      <c r="DV42" s="119" t="str">
        <f>Summ.!$B51</f>
        <v>Pest Control Maintenance</v>
      </c>
      <c r="DW42" s="134">
        <f t="shared" si="229"/>
        <v>11540</v>
      </c>
      <c r="DX42" s="110">
        <f t="shared" si="230"/>
        <v>-11540</v>
      </c>
      <c r="DY42" s="110">
        <f t="shared" si="231"/>
        <v>0</v>
      </c>
      <c r="DZ42" s="113">
        <f t="shared" si="177"/>
        <v>0.19961143768058184</v>
      </c>
      <c r="EA42" s="110">
        <f t="shared" si="178"/>
        <v>0</v>
      </c>
      <c r="EB42" s="115">
        <f t="shared" si="179"/>
        <v>0</v>
      </c>
      <c r="EC42" s="110">
        <f t="shared" si="180"/>
        <v>0</v>
      </c>
      <c r="ED42" s="52">
        <f>Summ.!$A51</f>
        <v>51050</v>
      </c>
      <c r="EE42" s="119" t="str">
        <f>Summ.!$B51</f>
        <v>Pest Control Maintenance</v>
      </c>
      <c r="EF42" s="134">
        <f t="shared" si="232"/>
        <v>11540</v>
      </c>
      <c r="EG42" s="110">
        <f t="shared" si="233"/>
        <v>-11540</v>
      </c>
      <c r="EH42" s="110">
        <f t="shared" si="234"/>
        <v>0</v>
      </c>
      <c r="EI42" s="113">
        <f t="shared" si="181"/>
        <v>0.16190096642423035</v>
      </c>
      <c r="EJ42" s="110">
        <f t="shared" si="182"/>
        <v>0</v>
      </c>
      <c r="EK42" s="115">
        <f t="shared" si="183"/>
        <v>0</v>
      </c>
      <c r="EL42" s="110">
        <f t="shared" si="184"/>
        <v>0</v>
      </c>
      <c r="EM42" s="52">
        <f>Summ.!$A51</f>
        <v>51050</v>
      </c>
      <c r="EN42" s="119" t="str">
        <f>Summ.!$B51</f>
        <v>Pest Control Maintenance</v>
      </c>
      <c r="EO42" s="134">
        <f t="shared" si="235"/>
        <v>11540</v>
      </c>
      <c r="EP42" s="110">
        <v>0</v>
      </c>
      <c r="EQ42" s="110">
        <f t="shared" si="236"/>
        <v>11540</v>
      </c>
      <c r="ER42" s="113">
        <f t="shared" si="185"/>
        <v>4.9641327089767859E-2</v>
      </c>
      <c r="ES42" s="110">
        <f t="shared" si="186"/>
        <v>572.86091461592105</v>
      </c>
      <c r="ET42" s="115">
        <f t="shared" si="187"/>
        <v>0</v>
      </c>
      <c r="EU42" s="110">
        <f t="shared" si="188"/>
        <v>572.86091461592105</v>
      </c>
      <c r="EV42" s="52">
        <f>Summ.!$A51</f>
        <v>51050</v>
      </c>
      <c r="EW42" s="119" t="str">
        <f>Summ.!$B51</f>
        <v>Pest Control Maintenance</v>
      </c>
      <c r="EX42" s="134">
        <f t="shared" si="237"/>
        <v>11540</v>
      </c>
      <c r="EY42" s="110">
        <v>0</v>
      </c>
      <c r="EZ42" s="110">
        <f t="shared" si="238"/>
        <v>11540</v>
      </c>
      <c r="FA42" s="113">
        <f t="shared" si="189"/>
        <v>2.3961343030786092E-2</v>
      </c>
      <c r="FB42" s="110">
        <f t="shared" si="190"/>
        <v>276.51389857527153</v>
      </c>
      <c r="FC42" s="115">
        <f t="shared" si="191"/>
        <v>0</v>
      </c>
      <c r="FD42" s="110">
        <f t="shared" si="192"/>
        <v>276.51389857527153</v>
      </c>
      <c r="FE42" s="52">
        <f>Summ.!$A51</f>
        <v>51050</v>
      </c>
      <c r="FF42" s="119" t="str">
        <f>Summ.!$B51</f>
        <v>Pest Control Maintenance</v>
      </c>
      <c r="FG42" s="134">
        <f t="shared" si="239"/>
        <v>11540</v>
      </c>
      <c r="FH42" s="110">
        <f t="shared" si="240"/>
        <v>0</v>
      </c>
      <c r="FI42" s="110">
        <f t="shared" si="241"/>
        <v>11540</v>
      </c>
      <c r="FJ42" s="113">
        <f t="shared" si="193"/>
        <v>9.2258643020822956E-2</v>
      </c>
      <c r="FK42" s="110">
        <f t="shared" si="194"/>
        <v>1064.6647404602968</v>
      </c>
      <c r="FL42" s="115">
        <f t="shared" si="195"/>
        <v>0</v>
      </c>
      <c r="FM42" s="110">
        <f t="shared" si="196"/>
        <v>1064.6647404602968</v>
      </c>
    </row>
    <row r="43" spans="1:169" ht="12.75" customHeight="1">
      <c r="A43" s="52">
        <f>Summ.!A52</f>
        <v>51055</v>
      </c>
      <c r="B43" s="45" t="str">
        <f>Summ.!B52</f>
        <v>Advertising/Promo</v>
      </c>
      <c r="C43" s="45"/>
      <c r="D43" s="45"/>
      <c r="E43" s="45"/>
      <c r="F43" s="106">
        <f>+Summ.!O52</f>
        <v>0</v>
      </c>
      <c r="G43" s="71">
        <f>Rent!$B$41</f>
        <v>51058</v>
      </c>
      <c r="H43" s="52">
        <f>Summ.!$A52</f>
        <v>51055</v>
      </c>
      <c r="I43" s="119" t="str">
        <f>Summ.!$B52</f>
        <v>Advertising/Promo</v>
      </c>
      <c r="J43" s="134">
        <f t="shared" si="197"/>
        <v>0</v>
      </c>
      <c r="K43" s="110">
        <v>0</v>
      </c>
      <c r="L43" s="110">
        <f t="shared" si="198"/>
        <v>0</v>
      </c>
      <c r="M43" s="113">
        <f t="shared" si="124"/>
        <v>7.5854910102236675E-2</v>
      </c>
      <c r="N43" s="110">
        <f t="shared" si="125"/>
        <v>0</v>
      </c>
      <c r="O43" s="115">
        <f t="shared" si="126"/>
        <v>0</v>
      </c>
      <c r="P43" s="110">
        <f t="shared" si="127"/>
        <v>0</v>
      </c>
      <c r="Q43" s="52">
        <f>Summ.!$A52</f>
        <v>51055</v>
      </c>
      <c r="R43" s="119" t="str">
        <f>Summ.!$B52</f>
        <v>Advertising/Promo</v>
      </c>
      <c r="S43" s="134">
        <f t="shared" si="199"/>
        <v>0</v>
      </c>
      <c r="T43" s="110">
        <v>0</v>
      </c>
      <c r="U43" s="110">
        <f t="shared" si="201"/>
        <v>0</v>
      </c>
      <c r="V43" s="113">
        <f t="shared" si="128"/>
        <v>2.1034901484586158E-2</v>
      </c>
      <c r="W43" s="110">
        <f t="shared" si="129"/>
        <v>0</v>
      </c>
      <c r="X43" s="115">
        <f t="shared" si="130"/>
        <v>0</v>
      </c>
      <c r="Y43" s="110">
        <f t="shared" si="131"/>
        <v>0</v>
      </c>
      <c r="Z43" s="52">
        <f>Summ.!$A52</f>
        <v>51055</v>
      </c>
      <c r="AA43" s="119" t="str">
        <f>Summ.!$B52</f>
        <v>Advertising/Promo</v>
      </c>
      <c r="AB43" s="134">
        <f t="shared" si="202"/>
        <v>0</v>
      </c>
      <c r="AC43" s="110">
        <v>0</v>
      </c>
      <c r="AD43" s="110">
        <f t="shared" si="203"/>
        <v>0</v>
      </c>
      <c r="AE43" s="113">
        <f t="shared" si="132"/>
        <v>3.9171138705002152E-3</v>
      </c>
      <c r="AF43" s="110">
        <f t="shared" si="133"/>
        <v>0</v>
      </c>
      <c r="AG43" s="115">
        <f t="shared" si="134"/>
        <v>0</v>
      </c>
      <c r="AH43" s="110">
        <f t="shared" si="135"/>
        <v>0</v>
      </c>
      <c r="AI43" s="52">
        <f>Summ.!$A52</f>
        <v>51055</v>
      </c>
      <c r="AJ43" s="119" t="str">
        <f>Summ.!$B52</f>
        <v>Advertising/Promo</v>
      </c>
      <c r="AK43" s="134">
        <f t="shared" si="204"/>
        <v>0</v>
      </c>
      <c r="AL43" s="110">
        <f t="shared" si="205"/>
        <v>0</v>
      </c>
      <c r="AM43" s="110">
        <f t="shared" si="206"/>
        <v>0</v>
      </c>
      <c r="AN43" s="113">
        <f t="shared" si="136"/>
        <v>1.0145324924595559E-2</v>
      </c>
      <c r="AO43" s="110">
        <f t="shared" si="137"/>
        <v>0</v>
      </c>
      <c r="AP43" s="115">
        <f t="shared" si="138"/>
        <v>0</v>
      </c>
      <c r="AQ43" s="110">
        <f t="shared" si="139"/>
        <v>0</v>
      </c>
      <c r="AR43" s="52">
        <f>Summ.!$A52</f>
        <v>51055</v>
      </c>
      <c r="AS43" s="119" t="str">
        <f>Summ.!$B52</f>
        <v>Advertising/Promo</v>
      </c>
      <c r="AT43" s="134">
        <f t="shared" si="207"/>
        <v>0</v>
      </c>
      <c r="AU43" s="110">
        <f t="shared" si="208"/>
        <v>0</v>
      </c>
      <c r="AV43" s="110">
        <f t="shared" si="209"/>
        <v>0</v>
      </c>
      <c r="AW43" s="113">
        <f t="shared" si="140"/>
        <v>1.0282423910063065E-2</v>
      </c>
      <c r="AX43" s="110">
        <f t="shared" si="141"/>
        <v>0</v>
      </c>
      <c r="AY43" s="115">
        <f t="shared" si="142"/>
        <v>0</v>
      </c>
      <c r="AZ43" s="110">
        <f t="shared" si="143"/>
        <v>0</v>
      </c>
      <c r="BA43" s="52">
        <f>Summ.!$A52</f>
        <v>51055</v>
      </c>
      <c r="BB43" s="119" t="str">
        <f>Summ.!$B52</f>
        <v>Advertising/Promo</v>
      </c>
      <c r="BC43" s="134">
        <f t="shared" si="210"/>
        <v>0</v>
      </c>
      <c r="BD43" s="110">
        <f t="shared" si="211"/>
        <v>0</v>
      </c>
      <c r="BE43" s="110">
        <f t="shared" si="212"/>
        <v>0</v>
      </c>
      <c r="BF43" s="113" t="e">
        <f t="shared" si="144"/>
        <v>#REF!</v>
      </c>
      <c r="BG43" s="110" t="e">
        <f t="shared" si="145"/>
        <v>#REF!</v>
      </c>
      <c r="BH43" s="115" t="e">
        <f t="shared" si="146"/>
        <v>#REF!</v>
      </c>
      <c r="BI43" s="110" t="e">
        <f t="shared" si="147"/>
        <v>#REF!</v>
      </c>
      <c r="BJ43" s="52">
        <f>Summ.!$A52</f>
        <v>51055</v>
      </c>
      <c r="BK43" s="119" t="str">
        <f>Summ.!$B52</f>
        <v>Advertising/Promo</v>
      </c>
      <c r="BL43" s="134">
        <f t="shared" si="213"/>
        <v>0</v>
      </c>
      <c r="BM43" s="110">
        <f t="shared" si="148"/>
        <v>0</v>
      </c>
      <c r="BN43" s="110">
        <f t="shared" si="214"/>
        <v>0</v>
      </c>
      <c r="BO43" s="113">
        <f t="shared" si="149"/>
        <v>1.9468055936386071E-2</v>
      </c>
      <c r="BP43" s="110">
        <f t="shared" si="150"/>
        <v>0</v>
      </c>
      <c r="BQ43" s="115">
        <f t="shared" si="151"/>
        <v>0</v>
      </c>
      <c r="BR43" s="110">
        <f t="shared" si="152"/>
        <v>0</v>
      </c>
      <c r="BS43" s="52">
        <f>Summ.!$A52</f>
        <v>51055</v>
      </c>
      <c r="BT43" s="119" t="str">
        <f>Summ.!$B52</f>
        <v>Advertising/Promo</v>
      </c>
      <c r="BU43" s="134">
        <f t="shared" si="215"/>
        <v>0</v>
      </c>
      <c r="BV43" s="110">
        <v>0</v>
      </c>
      <c r="BW43" s="110">
        <f t="shared" si="217"/>
        <v>0</v>
      </c>
      <c r="BX43" s="113">
        <f t="shared" si="153"/>
        <v>2.0427748834658623E-2</v>
      </c>
      <c r="BY43" s="110">
        <f t="shared" si="154"/>
        <v>0</v>
      </c>
      <c r="BZ43" s="115">
        <f t="shared" si="155"/>
        <v>0</v>
      </c>
      <c r="CA43" s="110">
        <f t="shared" si="156"/>
        <v>0</v>
      </c>
      <c r="CB43" s="52">
        <f>Summ.!$A52</f>
        <v>51055</v>
      </c>
      <c r="CC43" s="119" t="str">
        <f>Summ.!$B52</f>
        <v>Advertising/Promo</v>
      </c>
      <c r="CD43" s="134">
        <f t="shared" si="218"/>
        <v>0</v>
      </c>
      <c r="CE43" s="110">
        <v>0</v>
      </c>
      <c r="CF43" s="110">
        <f t="shared" si="219"/>
        <v>0</v>
      </c>
      <c r="CG43" s="113">
        <f t="shared" si="157"/>
        <v>6.9058717536918793E-2</v>
      </c>
      <c r="CH43" s="110">
        <f t="shared" si="158"/>
        <v>0</v>
      </c>
      <c r="CI43" s="115">
        <f t="shared" si="159"/>
        <v>0</v>
      </c>
      <c r="CJ43" s="110">
        <f t="shared" si="160"/>
        <v>0</v>
      </c>
      <c r="CK43" s="52">
        <f>Summ.!$A52</f>
        <v>51055</v>
      </c>
      <c r="CL43" s="119" t="str">
        <f>Summ.!$B52</f>
        <v>Advertising/Promo</v>
      </c>
      <c r="CM43" s="134">
        <f t="shared" si="220"/>
        <v>0</v>
      </c>
      <c r="CN43" s="110">
        <f t="shared" si="221"/>
        <v>0</v>
      </c>
      <c r="CO43" s="110">
        <f t="shared" si="222"/>
        <v>0</v>
      </c>
      <c r="CP43" s="113">
        <f t="shared" si="161"/>
        <v>0.21027067256845156</v>
      </c>
      <c r="CQ43" s="110">
        <f t="shared" si="162"/>
        <v>0</v>
      </c>
      <c r="CR43" s="115">
        <f t="shared" si="163"/>
        <v>0</v>
      </c>
      <c r="CS43" s="110">
        <f t="shared" si="164"/>
        <v>0</v>
      </c>
      <c r="CT43" s="52">
        <f>Summ.!$A52</f>
        <v>51055</v>
      </c>
      <c r="CU43" s="119" t="str">
        <f>Summ.!$B52</f>
        <v>Advertising/Promo</v>
      </c>
      <c r="CV43" s="134">
        <f t="shared" si="223"/>
        <v>0</v>
      </c>
      <c r="CW43" s="110">
        <v>0</v>
      </c>
      <c r="CX43" s="110">
        <f t="shared" si="224"/>
        <v>0</v>
      </c>
      <c r="CY43" s="113">
        <f t="shared" si="165"/>
        <v>5.8756708057503229E-2</v>
      </c>
      <c r="CZ43" s="110">
        <f t="shared" si="166"/>
        <v>0</v>
      </c>
      <c r="DA43" s="115">
        <f t="shared" si="167"/>
        <v>0</v>
      </c>
      <c r="DB43" s="110">
        <f t="shared" si="168"/>
        <v>0</v>
      </c>
      <c r="DC43" s="52">
        <f>Summ.!$A52</f>
        <v>51055</v>
      </c>
      <c r="DD43" s="119" t="str">
        <f>Summ.!$B52</f>
        <v>Advertising/Promo</v>
      </c>
      <c r="DE43" s="134">
        <f t="shared" si="225"/>
        <v>0</v>
      </c>
      <c r="DF43" s="110">
        <v>0</v>
      </c>
      <c r="DG43" s="110">
        <f t="shared" si="226"/>
        <v>0</v>
      </c>
      <c r="DH43" s="113">
        <f t="shared" si="169"/>
        <v>9.7927846762505388E-3</v>
      </c>
      <c r="DI43" s="110">
        <f t="shared" si="170"/>
        <v>0</v>
      </c>
      <c r="DJ43" s="115">
        <f t="shared" si="171"/>
        <v>0</v>
      </c>
      <c r="DK43" s="110">
        <f t="shared" si="172"/>
        <v>0</v>
      </c>
      <c r="DL43" s="52">
        <f>Summ.!$A52</f>
        <v>51055</v>
      </c>
      <c r="DM43" s="119" t="str">
        <f>Summ.!$B52</f>
        <v>Advertising/Promo</v>
      </c>
      <c r="DN43" s="134">
        <f t="shared" si="227"/>
        <v>0</v>
      </c>
      <c r="DO43" s="110">
        <v>0</v>
      </c>
      <c r="DP43" s="110">
        <f t="shared" si="228"/>
        <v>0</v>
      </c>
      <c r="DQ43" s="113">
        <f t="shared" si="173"/>
        <v>5.6719808844843123E-2</v>
      </c>
      <c r="DR43" s="110">
        <f t="shared" si="174"/>
        <v>0</v>
      </c>
      <c r="DS43" s="115">
        <f t="shared" si="175"/>
        <v>0</v>
      </c>
      <c r="DT43" s="110">
        <f t="shared" si="176"/>
        <v>0</v>
      </c>
      <c r="DU43" s="52">
        <f>Summ.!$A52</f>
        <v>51055</v>
      </c>
      <c r="DV43" s="119" t="str">
        <f>Summ.!$B52</f>
        <v>Advertising/Promo</v>
      </c>
      <c r="DW43" s="134">
        <f t="shared" si="229"/>
        <v>0</v>
      </c>
      <c r="DX43" s="110">
        <f t="shared" si="230"/>
        <v>0</v>
      </c>
      <c r="DY43" s="110">
        <f t="shared" si="231"/>
        <v>0</v>
      </c>
      <c r="DZ43" s="113">
        <f t="shared" si="177"/>
        <v>0.15695875279094362</v>
      </c>
      <c r="EA43" s="110">
        <f t="shared" si="178"/>
        <v>0</v>
      </c>
      <c r="EB43" s="115">
        <f t="shared" si="179"/>
        <v>0</v>
      </c>
      <c r="EC43" s="110">
        <f t="shared" si="180"/>
        <v>0</v>
      </c>
      <c r="ED43" s="52">
        <f>Summ.!$A52</f>
        <v>51055</v>
      </c>
      <c r="EE43" s="119" t="str">
        <f>Summ.!$B52</f>
        <v>Advertising/Promo</v>
      </c>
      <c r="EF43" s="134">
        <f t="shared" si="232"/>
        <v>0</v>
      </c>
      <c r="EG43" s="110">
        <f t="shared" si="233"/>
        <v>0</v>
      </c>
      <c r="EH43" s="110">
        <f t="shared" si="234"/>
        <v>0</v>
      </c>
      <c r="EI43" s="113">
        <f t="shared" si="181"/>
        <v>0.12730620079125701</v>
      </c>
      <c r="EJ43" s="110">
        <f t="shared" si="182"/>
        <v>0</v>
      </c>
      <c r="EK43" s="115">
        <f t="shared" si="183"/>
        <v>0</v>
      </c>
      <c r="EL43" s="110">
        <f t="shared" si="184"/>
        <v>0</v>
      </c>
      <c r="EM43" s="52">
        <f>Summ.!$A52</f>
        <v>51055</v>
      </c>
      <c r="EN43" s="119" t="str">
        <f>Summ.!$B52</f>
        <v>Advertising/Promo</v>
      </c>
      <c r="EO43" s="134">
        <f t="shared" si="235"/>
        <v>0</v>
      </c>
      <c r="EP43" s="110">
        <v>0</v>
      </c>
      <c r="EQ43" s="110">
        <f t="shared" si="236"/>
        <v>0</v>
      </c>
      <c r="ER43" s="113">
        <f t="shared" si="185"/>
        <v>3.9034039719534647E-2</v>
      </c>
      <c r="ES43" s="110">
        <f t="shared" si="186"/>
        <v>0</v>
      </c>
      <c r="ET43" s="115">
        <f t="shared" si="187"/>
        <v>0</v>
      </c>
      <c r="EU43" s="110">
        <f t="shared" si="188"/>
        <v>0</v>
      </c>
      <c r="EV43" s="52">
        <f>Summ.!$A52</f>
        <v>51055</v>
      </c>
      <c r="EW43" s="119" t="str">
        <f>Summ.!$B52</f>
        <v>Advertising/Promo</v>
      </c>
      <c r="EX43" s="134">
        <f t="shared" si="237"/>
        <v>0</v>
      </c>
      <c r="EY43" s="110">
        <v>0</v>
      </c>
      <c r="EZ43" s="110">
        <f t="shared" si="238"/>
        <v>0</v>
      </c>
      <c r="FA43" s="113">
        <f t="shared" si="189"/>
        <v>1.8841317717106038E-2</v>
      </c>
      <c r="FB43" s="110">
        <f t="shared" si="190"/>
        <v>0</v>
      </c>
      <c r="FC43" s="115">
        <f t="shared" si="191"/>
        <v>0</v>
      </c>
      <c r="FD43" s="110">
        <f t="shared" si="192"/>
        <v>0</v>
      </c>
      <c r="FE43" s="52">
        <f>Summ.!$A52</f>
        <v>51055</v>
      </c>
      <c r="FF43" s="119" t="str">
        <f>Summ.!$B52</f>
        <v>Advertising/Promo</v>
      </c>
      <c r="FG43" s="134">
        <f t="shared" si="239"/>
        <v>0</v>
      </c>
      <c r="FH43" s="110">
        <f t="shared" si="240"/>
        <v>0</v>
      </c>
      <c r="FI43" s="110">
        <f t="shared" si="241"/>
        <v>0</v>
      </c>
      <c r="FJ43" s="113">
        <f t="shared" si="193"/>
        <v>7.254494888166399E-2</v>
      </c>
      <c r="FK43" s="110">
        <f t="shared" si="194"/>
        <v>0</v>
      </c>
      <c r="FL43" s="115">
        <f t="shared" si="195"/>
        <v>0</v>
      </c>
      <c r="FM43" s="110">
        <f t="shared" si="196"/>
        <v>0</v>
      </c>
    </row>
    <row r="44" spans="1:169" ht="12.75" customHeight="1">
      <c r="A44" s="52">
        <f>Summ.!A53</f>
        <v>51074</v>
      </c>
      <c r="B44" s="45" t="str">
        <f>Summ.!B53</f>
        <v>Music System Maintenance</v>
      </c>
      <c r="C44" s="45"/>
      <c r="D44" s="45"/>
      <c r="E44" s="45"/>
      <c r="F44" s="106">
        <f>+Summ.!O53</f>
        <v>0</v>
      </c>
      <c r="G44" s="71">
        <f>Rent!$B$41</f>
        <v>51058</v>
      </c>
      <c r="H44" s="52">
        <f>Summ.!$A53</f>
        <v>51074</v>
      </c>
      <c r="I44" s="119" t="str">
        <f>Summ.!$B53</f>
        <v>Music System Maintenance</v>
      </c>
      <c r="J44" s="134">
        <f t="shared" si="197"/>
        <v>0</v>
      </c>
      <c r="K44" s="110">
        <v>0</v>
      </c>
      <c r="L44" s="110">
        <f t="shared" si="198"/>
        <v>0</v>
      </c>
      <c r="M44" s="113">
        <f t="shared" si="124"/>
        <v>7.5854910102236675E-2</v>
      </c>
      <c r="N44" s="110">
        <f t="shared" si="125"/>
        <v>0</v>
      </c>
      <c r="O44" s="115">
        <f t="shared" si="126"/>
        <v>0</v>
      </c>
      <c r="P44" s="110">
        <f t="shared" si="127"/>
        <v>0</v>
      </c>
      <c r="Q44" s="52">
        <f>Summ.!$A53</f>
        <v>51074</v>
      </c>
      <c r="R44" s="119" t="str">
        <f>Summ.!$B53</f>
        <v>Music System Maintenance</v>
      </c>
      <c r="S44" s="134">
        <f t="shared" si="199"/>
        <v>0</v>
      </c>
      <c r="T44" s="110">
        <v>0</v>
      </c>
      <c r="U44" s="110">
        <f t="shared" si="201"/>
        <v>0</v>
      </c>
      <c r="V44" s="113">
        <f t="shared" si="128"/>
        <v>2.1034901484586158E-2</v>
      </c>
      <c r="W44" s="110">
        <f t="shared" si="129"/>
        <v>0</v>
      </c>
      <c r="X44" s="115">
        <f t="shared" si="130"/>
        <v>0</v>
      </c>
      <c r="Y44" s="110">
        <f t="shared" si="131"/>
        <v>0</v>
      </c>
      <c r="Z44" s="52">
        <f>Summ.!$A53</f>
        <v>51074</v>
      </c>
      <c r="AA44" s="119" t="str">
        <f>Summ.!$B53</f>
        <v>Music System Maintenance</v>
      </c>
      <c r="AB44" s="134">
        <f t="shared" si="202"/>
        <v>0</v>
      </c>
      <c r="AC44" s="110">
        <v>0</v>
      </c>
      <c r="AD44" s="110">
        <f t="shared" si="203"/>
        <v>0</v>
      </c>
      <c r="AE44" s="113">
        <f t="shared" si="132"/>
        <v>3.9171138705002152E-3</v>
      </c>
      <c r="AF44" s="110">
        <f t="shared" si="133"/>
        <v>0</v>
      </c>
      <c r="AG44" s="115">
        <f t="shared" si="134"/>
        <v>0</v>
      </c>
      <c r="AH44" s="110">
        <f t="shared" si="135"/>
        <v>0</v>
      </c>
      <c r="AI44" s="52">
        <f>Summ.!$A53</f>
        <v>51074</v>
      </c>
      <c r="AJ44" s="119" t="str">
        <f>Summ.!$B53</f>
        <v>Music System Maintenance</v>
      </c>
      <c r="AK44" s="134">
        <f t="shared" si="204"/>
        <v>0</v>
      </c>
      <c r="AL44" s="110">
        <f t="shared" si="205"/>
        <v>0</v>
      </c>
      <c r="AM44" s="110">
        <f t="shared" si="206"/>
        <v>0</v>
      </c>
      <c r="AN44" s="113">
        <f t="shared" si="136"/>
        <v>1.0145324924595559E-2</v>
      </c>
      <c r="AO44" s="110">
        <f t="shared" si="137"/>
        <v>0</v>
      </c>
      <c r="AP44" s="115">
        <f t="shared" si="138"/>
        <v>0</v>
      </c>
      <c r="AQ44" s="110">
        <f t="shared" si="139"/>
        <v>0</v>
      </c>
      <c r="AR44" s="52">
        <f>Summ.!$A53</f>
        <v>51074</v>
      </c>
      <c r="AS44" s="119" t="str">
        <f>Summ.!$B53</f>
        <v>Music System Maintenance</v>
      </c>
      <c r="AT44" s="134">
        <f t="shared" si="207"/>
        <v>0</v>
      </c>
      <c r="AU44" s="110">
        <f t="shared" si="208"/>
        <v>0</v>
      </c>
      <c r="AV44" s="110">
        <f t="shared" si="209"/>
        <v>0</v>
      </c>
      <c r="AW44" s="113">
        <f t="shared" si="140"/>
        <v>1.0282423910063065E-2</v>
      </c>
      <c r="AX44" s="110">
        <f t="shared" si="141"/>
        <v>0</v>
      </c>
      <c r="AY44" s="115">
        <f t="shared" si="142"/>
        <v>0</v>
      </c>
      <c r="AZ44" s="110">
        <f t="shared" si="143"/>
        <v>0</v>
      </c>
      <c r="BA44" s="52">
        <f>Summ.!$A53</f>
        <v>51074</v>
      </c>
      <c r="BB44" s="119" t="str">
        <f>Summ.!$B53</f>
        <v>Music System Maintenance</v>
      </c>
      <c r="BC44" s="134">
        <f t="shared" si="210"/>
        <v>0</v>
      </c>
      <c r="BD44" s="110">
        <f t="shared" si="211"/>
        <v>0</v>
      </c>
      <c r="BE44" s="110">
        <f t="shared" si="212"/>
        <v>0</v>
      </c>
      <c r="BF44" s="113" t="e">
        <f t="shared" si="144"/>
        <v>#REF!</v>
      </c>
      <c r="BG44" s="110" t="e">
        <f t="shared" si="145"/>
        <v>#REF!</v>
      </c>
      <c r="BH44" s="115" t="e">
        <f t="shared" si="146"/>
        <v>#REF!</v>
      </c>
      <c r="BI44" s="110" t="e">
        <f t="shared" si="147"/>
        <v>#REF!</v>
      </c>
      <c r="BJ44" s="52">
        <f>Summ.!$A53</f>
        <v>51074</v>
      </c>
      <c r="BK44" s="119" t="str">
        <f>Summ.!$B53</f>
        <v>Music System Maintenance</v>
      </c>
      <c r="BL44" s="134">
        <f t="shared" si="213"/>
        <v>0</v>
      </c>
      <c r="BM44" s="110">
        <f t="shared" si="148"/>
        <v>0</v>
      </c>
      <c r="BN44" s="110">
        <f t="shared" si="214"/>
        <v>0</v>
      </c>
      <c r="BO44" s="113">
        <f t="shared" si="149"/>
        <v>1.9468055936386071E-2</v>
      </c>
      <c r="BP44" s="110">
        <f t="shared" si="150"/>
        <v>0</v>
      </c>
      <c r="BQ44" s="115">
        <f t="shared" si="151"/>
        <v>0</v>
      </c>
      <c r="BR44" s="110">
        <f t="shared" si="152"/>
        <v>0</v>
      </c>
      <c r="BS44" s="52">
        <f>Summ.!$A53</f>
        <v>51074</v>
      </c>
      <c r="BT44" s="119" t="str">
        <f>Summ.!$B53</f>
        <v>Music System Maintenance</v>
      </c>
      <c r="BU44" s="134">
        <f t="shared" si="215"/>
        <v>0</v>
      </c>
      <c r="BV44" s="110">
        <v>0</v>
      </c>
      <c r="BW44" s="110">
        <f t="shared" si="217"/>
        <v>0</v>
      </c>
      <c r="BX44" s="113">
        <f t="shared" si="153"/>
        <v>2.0427748834658623E-2</v>
      </c>
      <c r="BY44" s="110">
        <f t="shared" si="154"/>
        <v>0</v>
      </c>
      <c r="BZ44" s="115">
        <f t="shared" si="155"/>
        <v>0</v>
      </c>
      <c r="CA44" s="110">
        <f t="shared" si="156"/>
        <v>0</v>
      </c>
      <c r="CB44" s="52">
        <f>Summ.!$A53</f>
        <v>51074</v>
      </c>
      <c r="CC44" s="119" t="str">
        <f>Summ.!$B53</f>
        <v>Music System Maintenance</v>
      </c>
      <c r="CD44" s="134">
        <f t="shared" si="218"/>
        <v>0</v>
      </c>
      <c r="CE44" s="110">
        <v>0</v>
      </c>
      <c r="CF44" s="110">
        <f t="shared" si="219"/>
        <v>0</v>
      </c>
      <c r="CG44" s="113">
        <f t="shared" si="157"/>
        <v>6.9058717536918793E-2</v>
      </c>
      <c r="CH44" s="110">
        <f t="shared" si="158"/>
        <v>0</v>
      </c>
      <c r="CI44" s="115">
        <f t="shared" si="159"/>
        <v>0</v>
      </c>
      <c r="CJ44" s="110">
        <f t="shared" si="160"/>
        <v>0</v>
      </c>
      <c r="CK44" s="52">
        <f>Summ.!$A53</f>
        <v>51074</v>
      </c>
      <c r="CL44" s="119" t="str">
        <f>Summ.!$B53</f>
        <v>Music System Maintenance</v>
      </c>
      <c r="CM44" s="134">
        <f t="shared" si="220"/>
        <v>0</v>
      </c>
      <c r="CN44" s="110">
        <f t="shared" si="221"/>
        <v>0</v>
      </c>
      <c r="CO44" s="110">
        <f t="shared" si="222"/>
        <v>0</v>
      </c>
      <c r="CP44" s="113">
        <f t="shared" si="161"/>
        <v>0.21027067256845156</v>
      </c>
      <c r="CQ44" s="110">
        <f t="shared" si="162"/>
        <v>0</v>
      </c>
      <c r="CR44" s="115">
        <f t="shared" si="163"/>
        <v>0</v>
      </c>
      <c r="CS44" s="110">
        <f t="shared" si="164"/>
        <v>0</v>
      </c>
      <c r="CT44" s="52">
        <f>Summ.!$A53</f>
        <v>51074</v>
      </c>
      <c r="CU44" s="119" t="str">
        <f>Summ.!$B53</f>
        <v>Music System Maintenance</v>
      </c>
      <c r="CV44" s="134">
        <f t="shared" si="223"/>
        <v>0</v>
      </c>
      <c r="CW44" s="110">
        <v>0</v>
      </c>
      <c r="CX44" s="110">
        <f t="shared" si="224"/>
        <v>0</v>
      </c>
      <c r="CY44" s="113">
        <f t="shared" si="165"/>
        <v>5.8756708057503229E-2</v>
      </c>
      <c r="CZ44" s="110">
        <f t="shared" si="166"/>
        <v>0</v>
      </c>
      <c r="DA44" s="115">
        <f t="shared" si="167"/>
        <v>0</v>
      </c>
      <c r="DB44" s="110">
        <f t="shared" si="168"/>
        <v>0</v>
      </c>
      <c r="DC44" s="52">
        <f>Summ.!$A53</f>
        <v>51074</v>
      </c>
      <c r="DD44" s="119" t="str">
        <f>Summ.!$B53</f>
        <v>Music System Maintenance</v>
      </c>
      <c r="DE44" s="134">
        <f t="shared" si="225"/>
        <v>0</v>
      </c>
      <c r="DF44" s="110">
        <v>0</v>
      </c>
      <c r="DG44" s="110">
        <f t="shared" si="226"/>
        <v>0</v>
      </c>
      <c r="DH44" s="113">
        <f t="shared" si="169"/>
        <v>9.7927846762505388E-3</v>
      </c>
      <c r="DI44" s="110">
        <f t="shared" si="170"/>
        <v>0</v>
      </c>
      <c r="DJ44" s="115">
        <f t="shared" si="171"/>
        <v>0</v>
      </c>
      <c r="DK44" s="110">
        <f t="shared" si="172"/>
        <v>0</v>
      </c>
      <c r="DL44" s="52">
        <f>Summ.!$A53</f>
        <v>51074</v>
      </c>
      <c r="DM44" s="119" t="str">
        <f>Summ.!$B53</f>
        <v>Music System Maintenance</v>
      </c>
      <c r="DN44" s="134">
        <f t="shared" si="227"/>
        <v>0</v>
      </c>
      <c r="DO44" s="110">
        <v>0</v>
      </c>
      <c r="DP44" s="110">
        <f t="shared" si="228"/>
        <v>0</v>
      </c>
      <c r="DQ44" s="113">
        <f t="shared" si="173"/>
        <v>5.6719808844843123E-2</v>
      </c>
      <c r="DR44" s="110">
        <f t="shared" si="174"/>
        <v>0</v>
      </c>
      <c r="DS44" s="115">
        <f t="shared" si="175"/>
        <v>0</v>
      </c>
      <c r="DT44" s="110">
        <f t="shared" si="176"/>
        <v>0</v>
      </c>
      <c r="DU44" s="52">
        <f>Summ.!$A53</f>
        <v>51074</v>
      </c>
      <c r="DV44" s="119" t="str">
        <f>Summ.!$B53</f>
        <v>Music System Maintenance</v>
      </c>
      <c r="DW44" s="134">
        <f t="shared" si="229"/>
        <v>0</v>
      </c>
      <c r="DX44" s="110">
        <f t="shared" si="230"/>
        <v>0</v>
      </c>
      <c r="DY44" s="110">
        <f t="shared" si="231"/>
        <v>0</v>
      </c>
      <c r="DZ44" s="113">
        <f t="shared" si="177"/>
        <v>0.15695875279094362</v>
      </c>
      <c r="EA44" s="110">
        <f t="shared" si="178"/>
        <v>0</v>
      </c>
      <c r="EB44" s="115">
        <f t="shared" si="179"/>
        <v>0</v>
      </c>
      <c r="EC44" s="110">
        <f t="shared" si="180"/>
        <v>0</v>
      </c>
      <c r="ED44" s="52">
        <f>Summ.!$A53</f>
        <v>51074</v>
      </c>
      <c r="EE44" s="119" t="str">
        <f>Summ.!$B53</f>
        <v>Music System Maintenance</v>
      </c>
      <c r="EF44" s="134">
        <f t="shared" si="232"/>
        <v>0</v>
      </c>
      <c r="EG44" s="110">
        <f t="shared" si="233"/>
        <v>0</v>
      </c>
      <c r="EH44" s="110">
        <f t="shared" si="234"/>
        <v>0</v>
      </c>
      <c r="EI44" s="113">
        <f t="shared" si="181"/>
        <v>0.12730620079125701</v>
      </c>
      <c r="EJ44" s="110">
        <f t="shared" si="182"/>
        <v>0</v>
      </c>
      <c r="EK44" s="115">
        <f t="shared" si="183"/>
        <v>0</v>
      </c>
      <c r="EL44" s="110">
        <f t="shared" si="184"/>
        <v>0</v>
      </c>
      <c r="EM44" s="52">
        <f>Summ.!$A53</f>
        <v>51074</v>
      </c>
      <c r="EN44" s="119" t="str">
        <f>Summ.!$B53</f>
        <v>Music System Maintenance</v>
      </c>
      <c r="EO44" s="134">
        <f t="shared" si="235"/>
        <v>0</v>
      </c>
      <c r="EP44" s="110">
        <v>0</v>
      </c>
      <c r="EQ44" s="110">
        <f t="shared" si="236"/>
        <v>0</v>
      </c>
      <c r="ER44" s="113">
        <f t="shared" si="185"/>
        <v>3.9034039719534647E-2</v>
      </c>
      <c r="ES44" s="110">
        <f t="shared" si="186"/>
        <v>0</v>
      </c>
      <c r="ET44" s="115">
        <f t="shared" si="187"/>
        <v>0</v>
      </c>
      <c r="EU44" s="110">
        <f t="shared" si="188"/>
        <v>0</v>
      </c>
      <c r="EV44" s="52">
        <f>Summ.!$A53</f>
        <v>51074</v>
      </c>
      <c r="EW44" s="119" t="str">
        <f>Summ.!$B53</f>
        <v>Music System Maintenance</v>
      </c>
      <c r="EX44" s="134">
        <f t="shared" si="237"/>
        <v>0</v>
      </c>
      <c r="EY44" s="110">
        <v>0</v>
      </c>
      <c r="EZ44" s="110">
        <f t="shared" si="238"/>
        <v>0</v>
      </c>
      <c r="FA44" s="113">
        <f t="shared" si="189"/>
        <v>1.8841317717106038E-2</v>
      </c>
      <c r="FB44" s="110">
        <f t="shared" si="190"/>
        <v>0</v>
      </c>
      <c r="FC44" s="115">
        <f t="shared" si="191"/>
        <v>0</v>
      </c>
      <c r="FD44" s="110">
        <f t="shared" si="192"/>
        <v>0</v>
      </c>
      <c r="FE44" s="52">
        <f>Summ.!$A53</f>
        <v>51074</v>
      </c>
      <c r="FF44" s="119" t="str">
        <f>Summ.!$B53</f>
        <v>Music System Maintenance</v>
      </c>
      <c r="FG44" s="134">
        <f t="shared" si="239"/>
        <v>0</v>
      </c>
      <c r="FH44" s="110">
        <f t="shared" si="240"/>
        <v>0</v>
      </c>
      <c r="FI44" s="110">
        <f t="shared" si="241"/>
        <v>0</v>
      </c>
      <c r="FJ44" s="113">
        <f t="shared" si="193"/>
        <v>7.254494888166399E-2</v>
      </c>
      <c r="FK44" s="110">
        <f t="shared" si="194"/>
        <v>0</v>
      </c>
      <c r="FL44" s="115">
        <f t="shared" si="195"/>
        <v>0</v>
      </c>
      <c r="FM44" s="110">
        <f t="shared" si="196"/>
        <v>0</v>
      </c>
    </row>
    <row r="45" spans="1:169" ht="12.75" customHeight="1">
      <c r="A45" s="52">
        <f>Summ.!A54</f>
        <v>51075</v>
      </c>
      <c r="B45" s="45" t="str">
        <f>Summ.!B54</f>
        <v>Music System Repairs</v>
      </c>
      <c r="C45" s="45"/>
      <c r="D45" s="45"/>
      <c r="E45" s="45"/>
      <c r="F45" s="106">
        <f>+Summ.!O54</f>
        <v>0</v>
      </c>
      <c r="G45" s="71">
        <f>Rent!$B$41</f>
        <v>51058</v>
      </c>
      <c r="H45" s="52">
        <f>Summ.!$A54</f>
        <v>51075</v>
      </c>
      <c r="I45" s="119" t="str">
        <f>Summ.!$B54</f>
        <v>Music System Repairs</v>
      </c>
      <c r="J45" s="134">
        <f t="shared" si="197"/>
        <v>0</v>
      </c>
      <c r="K45" s="110">
        <v>0</v>
      </c>
      <c r="L45" s="110">
        <f t="shared" si="198"/>
        <v>0</v>
      </c>
      <c r="M45" s="113">
        <f t="shared" si="124"/>
        <v>7.5854910102236675E-2</v>
      </c>
      <c r="N45" s="110">
        <f t="shared" si="125"/>
        <v>0</v>
      </c>
      <c r="O45" s="115">
        <f t="shared" si="126"/>
        <v>0</v>
      </c>
      <c r="P45" s="110">
        <f t="shared" si="127"/>
        <v>0</v>
      </c>
      <c r="Q45" s="52">
        <f>Summ.!$A54</f>
        <v>51075</v>
      </c>
      <c r="R45" s="119" t="str">
        <f>Summ.!$B54</f>
        <v>Music System Repairs</v>
      </c>
      <c r="S45" s="134">
        <f t="shared" si="199"/>
        <v>0</v>
      </c>
      <c r="T45" s="110"/>
      <c r="U45" s="110">
        <f t="shared" si="201"/>
        <v>0</v>
      </c>
      <c r="V45" s="113">
        <f t="shared" si="128"/>
        <v>2.1034901484586158E-2</v>
      </c>
      <c r="W45" s="110">
        <f t="shared" si="129"/>
        <v>0</v>
      </c>
      <c r="X45" s="115">
        <f t="shared" si="130"/>
        <v>0</v>
      </c>
      <c r="Y45" s="110">
        <f t="shared" si="131"/>
        <v>0</v>
      </c>
      <c r="Z45" s="52">
        <f>Summ.!$A54</f>
        <v>51075</v>
      </c>
      <c r="AA45" s="119" t="str">
        <f>Summ.!$B54</f>
        <v>Music System Repairs</v>
      </c>
      <c r="AB45" s="134">
        <f t="shared" si="202"/>
        <v>0</v>
      </c>
      <c r="AC45" s="110">
        <v>0</v>
      </c>
      <c r="AD45" s="110">
        <f t="shared" si="203"/>
        <v>0</v>
      </c>
      <c r="AE45" s="113">
        <f t="shared" si="132"/>
        <v>3.9171138705002152E-3</v>
      </c>
      <c r="AF45" s="110">
        <f t="shared" si="133"/>
        <v>0</v>
      </c>
      <c r="AG45" s="115">
        <f t="shared" si="134"/>
        <v>0</v>
      </c>
      <c r="AH45" s="110">
        <f t="shared" si="135"/>
        <v>0</v>
      </c>
      <c r="AI45" s="52">
        <f>Summ.!$A54</f>
        <v>51075</v>
      </c>
      <c r="AJ45" s="119" t="str">
        <f>Summ.!$B54</f>
        <v>Music System Repairs</v>
      </c>
      <c r="AK45" s="134">
        <f t="shared" si="204"/>
        <v>0</v>
      </c>
      <c r="AL45" s="110">
        <f t="shared" si="205"/>
        <v>0</v>
      </c>
      <c r="AM45" s="110">
        <f t="shared" si="206"/>
        <v>0</v>
      </c>
      <c r="AN45" s="113">
        <f t="shared" si="136"/>
        <v>1.0145324924595559E-2</v>
      </c>
      <c r="AO45" s="110">
        <f t="shared" si="137"/>
        <v>0</v>
      </c>
      <c r="AP45" s="115">
        <f t="shared" si="138"/>
        <v>0</v>
      </c>
      <c r="AQ45" s="110">
        <f t="shared" si="139"/>
        <v>0</v>
      </c>
      <c r="AR45" s="52">
        <f>Summ.!$A54</f>
        <v>51075</v>
      </c>
      <c r="AS45" s="119" t="str">
        <f>Summ.!$B54</f>
        <v>Music System Repairs</v>
      </c>
      <c r="AT45" s="134">
        <f t="shared" si="207"/>
        <v>0</v>
      </c>
      <c r="AU45" s="110">
        <f t="shared" si="208"/>
        <v>0</v>
      </c>
      <c r="AV45" s="110">
        <f t="shared" si="209"/>
        <v>0</v>
      </c>
      <c r="AW45" s="113">
        <f t="shared" si="140"/>
        <v>1.0282423910063065E-2</v>
      </c>
      <c r="AX45" s="110">
        <f t="shared" si="141"/>
        <v>0</v>
      </c>
      <c r="AY45" s="115">
        <f t="shared" si="142"/>
        <v>0</v>
      </c>
      <c r="AZ45" s="110">
        <f t="shared" si="143"/>
        <v>0</v>
      </c>
      <c r="BA45" s="52">
        <f>Summ.!$A54</f>
        <v>51075</v>
      </c>
      <c r="BB45" s="119" t="str">
        <f>Summ.!$B54</f>
        <v>Music System Repairs</v>
      </c>
      <c r="BC45" s="134">
        <f t="shared" si="210"/>
        <v>0</v>
      </c>
      <c r="BD45" s="110">
        <f t="shared" si="211"/>
        <v>0</v>
      </c>
      <c r="BE45" s="110">
        <f t="shared" si="212"/>
        <v>0</v>
      </c>
      <c r="BF45" s="113" t="e">
        <f t="shared" si="144"/>
        <v>#REF!</v>
      </c>
      <c r="BG45" s="110" t="e">
        <f t="shared" si="145"/>
        <v>#REF!</v>
      </c>
      <c r="BH45" s="115" t="e">
        <f t="shared" si="146"/>
        <v>#REF!</v>
      </c>
      <c r="BI45" s="110" t="e">
        <f t="shared" si="147"/>
        <v>#REF!</v>
      </c>
      <c r="BJ45" s="52">
        <f>Summ.!$A54</f>
        <v>51075</v>
      </c>
      <c r="BK45" s="119" t="str">
        <f>Summ.!$B54</f>
        <v>Music System Repairs</v>
      </c>
      <c r="BL45" s="134">
        <f t="shared" si="213"/>
        <v>0</v>
      </c>
      <c r="BM45" s="110">
        <f t="shared" si="148"/>
        <v>0</v>
      </c>
      <c r="BN45" s="110">
        <f t="shared" si="214"/>
        <v>0</v>
      </c>
      <c r="BO45" s="113">
        <f t="shared" si="149"/>
        <v>1.9468055936386071E-2</v>
      </c>
      <c r="BP45" s="110">
        <f t="shared" si="150"/>
        <v>0</v>
      </c>
      <c r="BQ45" s="115">
        <f t="shared" si="151"/>
        <v>0</v>
      </c>
      <c r="BR45" s="110">
        <f t="shared" si="152"/>
        <v>0</v>
      </c>
      <c r="BS45" s="52">
        <f>Summ.!$A54</f>
        <v>51075</v>
      </c>
      <c r="BT45" s="119" t="str">
        <f>Summ.!$B54</f>
        <v>Music System Repairs</v>
      </c>
      <c r="BU45" s="134">
        <f t="shared" si="215"/>
        <v>0</v>
      </c>
      <c r="BV45" s="110">
        <v>0</v>
      </c>
      <c r="BW45" s="110">
        <f t="shared" si="217"/>
        <v>0</v>
      </c>
      <c r="BX45" s="113">
        <f t="shared" si="153"/>
        <v>2.0427748834658623E-2</v>
      </c>
      <c r="BY45" s="110">
        <f t="shared" si="154"/>
        <v>0</v>
      </c>
      <c r="BZ45" s="115">
        <f t="shared" si="155"/>
        <v>0</v>
      </c>
      <c r="CA45" s="110">
        <f t="shared" si="156"/>
        <v>0</v>
      </c>
      <c r="CB45" s="52">
        <f>Summ.!$A54</f>
        <v>51075</v>
      </c>
      <c r="CC45" s="119" t="str">
        <f>Summ.!$B54</f>
        <v>Music System Repairs</v>
      </c>
      <c r="CD45" s="134">
        <f t="shared" si="218"/>
        <v>0</v>
      </c>
      <c r="CE45" s="110">
        <v>0</v>
      </c>
      <c r="CF45" s="110">
        <f t="shared" si="219"/>
        <v>0</v>
      </c>
      <c r="CG45" s="113">
        <f t="shared" si="157"/>
        <v>6.9058717536918793E-2</v>
      </c>
      <c r="CH45" s="110">
        <f t="shared" si="158"/>
        <v>0</v>
      </c>
      <c r="CI45" s="115">
        <f t="shared" si="159"/>
        <v>0</v>
      </c>
      <c r="CJ45" s="110">
        <f t="shared" si="160"/>
        <v>0</v>
      </c>
      <c r="CK45" s="52">
        <f>Summ.!$A54</f>
        <v>51075</v>
      </c>
      <c r="CL45" s="119" t="str">
        <f>Summ.!$B54</f>
        <v>Music System Repairs</v>
      </c>
      <c r="CM45" s="134">
        <f t="shared" si="220"/>
        <v>0</v>
      </c>
      <c r="CN45" s="110">
        <f t="shared" si="221"/>
        <v>0</v>
      </c>
      <c r="CO45" s="110">
        <f t="shared" si="222"/>
        <v>0</v>
      </c>
      <c r="CP45" s="113">
        <f t="shared" si="161"/>
        <v>0.21027067256845156</v>
      </c>
      <c r="CQ45" s="110">
        <f t="shared" si="162"/>
        <v>0</v>
      </c>
      <c r="CR45" s="115">
        <f t="shared" si="163"/>
        <v>0</v>
      </c>
      <c r="CS45" s="110">
        <f t="shared" si="164"/>
        <v>0</v>
      </c>
      <c r="CT45" s="52">
        <f>Summ.!$A54</f>
        <v>51075</v>
      </c>
      <c r="CU45" s="119" t="str">
        <f>Summ.!$B54</f>
        <v>Music System Repairs</v>
      </c>
      <c r="CV45" s="134">
        <f t="shared" si="223"/>
        <v>0</v>
      </c>
      <c r="CW45" s="110">
        <v>0</v>
      </c>
      <c r="CX45" s="110">
        <f t="shared" si="224"/>
        <v>0</v>
      </c>
      <c r="CY45" s="113">
        <f t="shared" si="165"/>
        <v>5.8756708057503229E-2</v>
      </c>
      <c r="CZ45" s="110">
        <f t="shared" si="166"/>
        <v>0</v>
      </c>
      <c r="DA45" s="115">
        <f t="shared" si="167"/>
        <v>0</v>
      </c>
      <c r="DB45" s="110">
        <f t="shared" si="168"/>
        <v>0</v>
      </c>
      <c r="DC45" s="52">
        <f>Summ.!$A54</f>
        <v>51075</v>
      </c>
      <c r="DD45" s="119" t="str">
        <f>Summ.!$B54</f>
        <v>Music System Repairs</v>
      </c>
      <c r="DE45" s="134">
        <f t="shared" si="225"/>
        <v>0</v>
      </c>
      <c r="DF45" s="110">
        <v>0</v>
      </c>
      <c r="DG45" s="110">
        <f t="shared" si="226"/>
        <v>0</v>
      </c>
      <c r="DH45" s="113">
        <f t="shared" si="169"/>
        <v>9.7927846762505388E-3</v>
      </c>
      <c r="DI45" s="110">
        <f t="shared" si="170"/>
        <v>0</v>
      </c>
      <c r="DJ45" s="115">
        <f t="shared" si="171"/>
        <v>0</v>
      </c>
      <c r="DK45" s="110">
        <f t="shared" si="172"/>
        <v>0</v>
      </c>
      <c r="DL45" s="52">
        <f>Summ.!$A54</f>
        <v>51075</v>
      </c>
      <c r="DM45" s="119" t="str">
        <f>Summ.!$B54</f>
        <v>Music System Repairs</v>
      </c>
      <c r="DN45" s="134">
        <f t="shared" si="227"/>
        <v>0</v>
      </c>
      <c r="DO45" s="110">
        <v>0</v>
      </c>
      <c r="DP45" s="110">
        <f t="shared" si="228"/>
        <v>0</v>
      </c>
      <c r="DQ45" s="113">
        <f t="shared" si="173"/>
        <v>5.6719808844843123E-2</v>
      </c>
      <c r="DR45" s="110">
        <f t="shared" si="174"/>
        <v>0</v>
      </c>
      <c r="DS45" s="115">
        <f t="shared" si="175"/>
        <v>0</v>
      </c>
      <c r="DT45" s="110">
        <f t="shared" si="176"/>
        <v>0</v>
      </c>
      <c r="DU45" s="52">
        <f>Summ.!$A54</f>
        <v>51075</v>
      </c>
      <c r="DV45" s="119" t="str">
        <f>Summ.!$B54</f>
        <v>Music System Repairs</v>
      </c>
      <c r="DW45" s="134">
        <f t="shared" si="229"/>
        <v>0</v>
      </c>
      <c r="DX45" s="110">
        <f t="shared" si="230"/>
        <v>0</v>
      </c>
      <c r="DY45" s="110">
        <f t="shared" si="231"/>
        <v>0</v>
      </c>
      <c r="DZ45" s="113">
        <f t="shared" si="177"/>
        <v>0.15695875279094362</v>
      </c>
      <c r="EA45" s="110">
        <f t="shared" si="178"/>
        <v>0</v>
      </c>
      <c r="EB45" s="115">
        <f t="shared" si="179"/>
        <v>0</v>
      </c>
      <c r="EC45" s="110">
        <f t="shared" si="180"/>
        <v>0</v>
      </c>
      <c r="ED45" s="52">
        <f>Summ.!$A54</f>
        <v>51075</v>
      </c>
      <c r="EE45" s="119" t="str">
        <f>Summ.!$B54</f>
        <v>Music System Repairs</v>
      </c>
      <c r="EF45" s="134">
        <f t="shared" si="232"/>
        <v>0</v>
      </c>
      <c r="EG45" s="110">
        <f t="shared" si="233"/>
        <v>0</v>
      </c>
      <c r="EH45" s="110">
        <f t="shared" si="234"/>
        <v>0</v>
      </c>
      <c r="EI45" s="113">
        <f t="shared" si="181"/>
        <v>0.12730620079125701</v>
      </c>
      <c r="EJ45" s="110">
        <f t="shared" si="182"/>
        <v>0</v>
      </c>
      <c r="EK45" s="115">
        <f t="shared" si="183"/>
        <v>0</v>
      </c>
      <c r="EL45" s="110">
        <f t="shared" si="184"/>
        <v>0</v>
      </c>
      <c r="EM45" s="52">
        <f>Summ.!$A54</f>
        <v>51075</v>
      </c>
      <c r="EN45" s="119" t="str">
        <f>Summ.!$B54</f>
        <v>Music System Repairs</v>
      </c>
      <c r="EO45" s="134">
        <f t="shared" si="235"/>
        <v>0</v>
      </c>
      <c r="EP45" s="110">
        <v>0</v>
      </c>
      <c r="EQ45" s="110">
        <f t="shared" si="236"/>
        <v>0</v>
      </c>
      <c r="ER45" s="113">
        <f t="shared" si="185"/>
        <v>3.9034039719534647E-2</v>
      </c>
      <c r="ES45" s="110">
        <f t="shared" si="186"/>
        <v>0</v>
      </c>
      <c r="ET45" s="115">
        <f t="shared" si="187"/>
        <v>0</v>
      </c>
      <c r="EU45" s="110">
        <f t="shared" si="188"/>
        <v>0</v>
      </c>
      <c r="EV45" s="52">
        <f>Summ.!$A54</f>
        <v>51075</v>
      </c>
      <c r="EW45" s="119" t="str">
        <f>Summ.!$B54</f>
        <v>Music System Repairs</v>
      </c>
      <c r="EX45" s="134">
        <f t="shared" si="237"/>
        <v>0</v>
      </c>
      <c r="EY45" s="110">
        <v>0</v>
      </c>
      <c r="EZ45" s="110">
        <f t="shared" si="238"/>
        <v>0</v>
      </c>
      <c r="FA45" s="113">
        <f t="shared" si="189"/>
        <v>1.8841317717106038E-2</v>
      </c>
      <c r="FB45" s="110">
        <f t="shared" si="190"/>
        <v>0</v>
      </c>
      <c r="FC45" s="115">
        <f t="shared" si="191"/>
        <v>0</v>
      </c>
      <c r="FD45" s="110">
        <f t="shared" si="192"/>
        <v>0</v>
      </c>
      <c r="FE45" s="52">
        <f>Summ.!$A54</f>
        <v>51075</v>
      </c>
      <c r="FF45" s="119" t="str">
        <f>Summ.!$B54</f>
        <v>Music System Repairs</v>
      </c>
      <c r="FG45" s="134">
        <f t="shared" si="239"/>
        <v>0</v>
      </c>
      <c r="FH45" s="110">
        <f t="shared" si="240"/>
        <v>0</v>
      </c>
      <c r="FI45" s="110">
        <f t="shared" si="241"/>
        <v>0</v>
      </c>
      <c r="FJ45" s="113">
        <f t="shared" si="193"/>
        <v>7.254494888166399E-2</v>
      </c>
      <c r="FK45" s="110">
        <f t="shared" si="194"/>
        <v>0</v>
      </c>
      <c r="FL45" s="115">
        <f t="shared" si="195"/>
        <v>0</v>
      </c>
      <c r="FM45" s="110">
        <f t="shared" si="196"/>
        <v>0</v>
      </c>
    </row>
    <row r="46" spans="1:169">
      <c r="A46" s="52">
        <f>Summ.!A55</f>
        <v>51080</v>
      </c>
      <c r="B46" s="45" t="str">
        <f>Summ.!B55</f>
        <v>On-Site Management</v>
      </c>
      <c r="C46" s="45"/>
      <c r="D46" s="45"/>
      <c r="E46" s="45"/>
      <c r="F46" s="106">
        <f>+Summ.!O55</f>
        <v>154602</v>
      </c>
      <c r="G46" s="71">
        <f>Rent!$B$41</f>
        <v>51058</v>
      </c>
      <c r="H46" s="52">
        <f>Summ.!$A55</f>
        <v>51080</v>
      </c>
      <c r="I46" s="119" t="str">
        <f>Summ.!$B55</f>
        <v>On-Site Management</v>
      </c>
      <c r="J46" s="134">
        <f t="shared" si="197"/>
        <v>154602</v>
      </c>
      <c r="K46" s="110">
        <v>0</v>
      </c>
      <c r="L46" s="110">
        <f t="shared" si="198"/>
        <v>154602</v>
      </c>
      <c r="M46" s="113">
        <f t="shared" si="124"/>
        <v>7.5854910102236675E-2</v>
      </c>
      <c r="N46" s="110">
        <f t="shared" si="125"/>
        <v>11727.320811625994</v>
      </c>
      <c r="O46" s="115">
        <f t="shared" si="126"/>
        <v>0</v>
      </c>
      <c r="P46" s="110">
        <f t="shared" si="127"/>
        <v>11727.320811625994</v>
      </c>
      <c r="Q46" s="52">
        <f>Summ.!$A55</f>
        <v>51080</v>
      </c>
      <c r="R46" s="119" t="str">
        <f>Summ.!$B55</f>
        <v>On-Site Management</v>
      </c>
      <c r="S46" s="134">
        <f t="shared" si="199"/>
        <v>154602</v>
      </c>
      <c r="T46" s="110">
        <f>+K46</f>
        <v>0</v>
      </c>
      <c r="U46" s="110">
        <f t="shared" si="201"/>
        <v>154602</v>
      </c>
      <c r="V46" s="113">
        <f t="shared" si="128"/>
        <v>2.1034901484586158E-2</v>
      </c>
      <c r="W46" s="110">
        <f t="shared" si="129"/>
        <v>3252.037839319989</v>
      </c>
      <c r="X46" s="115">
        <f t="shared" si="130"/>
        <v>0</v>
      </c>
      <c r="Y46" s="110">
        <f t="shared" si="131"/>
        <v>3252.037839319989</v>
      </c>
      <c r="Z46" s="52">
        <f>Summ.!$A55</f>
        <v>51080</v>
      </c>
      <c r="AA46" s="119" t="str">
        <f>Summ.!$B55</f>
        <v>On-Site Management</v>
      </c>
      <c r="AB46" s="134">
        <f t="shared" si="202"/>
        <v>154602</v>
      </c>
      <c r="AC46" s="110">
        <v>0</v>
      </c>
      <c r="AD46" s="110">
        <f t="shared" si="203"/>
        <v>154602</v>
      </c>
      <c r="AE46" s="113">
        <f t="shared" si="132"/>
        <v>3.9171138705002152E-3</v>
      </c>
      <c r="AF46" s="110">
        <f t="shared" si="133"/>
        <v>605.59363860707424</v>
      </c>
      <c r="AG46" s="115">
        <f t="shared" si="134"/>
        <v>0</v>
      </c>
      <c r="AH46" s="110">
        <f t="shared" si="135"/>
        <v>605.59363860707424</v>
      </c>
      <c r="AI46" s="52">
        <f>Summ.!$A55</f>
        <v>51080</v>
      </c>
      <c r="AJ46" s="119" t="str">
        <f>Summ.!$B55</f>
        <v>On-Site Management</v>
      </c>
      <c r="AK46" s="134">
        <f t="shared" si="204"/>
        <v>154602</v>
      </c>
      <c r="AL46" s="110">
        <f t="shared" si="205"/>
        <v>0</v>
      </c>
      <c r="AM46" s="110">
        <f t="shared" si="206"/>
        <v>154602</v>
      </c>
      <c r="AN46" s="113">
        <f t="shared" si="136"/>
        <v>1.0145324924595559E-2</v>
      </c>
      <c r="AO46" s="110">
        <f t="shared" si="137"/>
        <v>1568.4875239923226</v>
      </c>
      <c r="AP46" s="115">
        <f t="shared" si="138"/>
        <v>0</v>
      </c>
      <c r="AQ46" s="110">
        <f t="shared" si="139"/>
        <v>1568.4875239923226</v>
      </c>
      <c r="AR46" s="52">
        <f>Summ.!$A55</f>
        <v>51080</v>
      </c>
      <c r="AS46" s="119" t="str">
        <f>Summ.!$B55</f>
        <v>On-Site Management</v>
      </c>
      <c r="AT46" s="134">
        <f t="shared" si="207"/>
        <v>154602</v>
      </c>
      <c r="AU46" s="110">
        <f t="shared" si="208"/>
        <v>0</v>
      </c>
      <c r="AV46" s="110">
        <f t="shared" si="209"/>
        <v>154602</v>
      </c>
      <c r="AW46" s="113">
        <f t="shared" si="140"/>
        <v>1.0282423910063065E-2</v>
      </c>
      <c r="AX46" s="110">
        <f t="shared" si="141"/>
        <v>1589.6833013435701</v>
      </c>
      <c r="AY46" s="115">
        <f t="shared" si="142"/>
        <v>0</v>
      </c>
      <c r="AZ46" s="110">
        <f t="shared" si="143"/>
        <v>1589.6833013435701</v>
      </c>
      <c r="BA46" s="52">
        <f>Summ.!$A55</f>
        <v>51080</v>
      </c>
      <c r="BB46" s="119" t="str">
        <f>Summ.!$B55</f>
        <v>On-Site Management</v>
      </c>
      <c r="BC46" s="134">
        <f t="shared" si="210"/>
        <v>154602</v>
      </c>
      <c r="BD46" s="110">
        <f t="shared" si="211"/>
        <v>0</v>
      </c>
      <c r="BE46" s="110">
        <f t="shared" si="212"/>
        <v>154602</v>
      </c>
      <c r="BF46" s="113" t="e">
        <f t="shared" si="144"/>
        <v>#REF!</v>
      </c>
      <c r="BG46" s="110" t="e">
        <f t="shared" si="145"/>
        <v>#REF!</v>
      </c>
      <c r="BH46" s="115" t="e">
        <f t="shared" si="146"/>
        <v>#REF!</v>
      </c>
      <c r="BI46" s="110" t="e">
        <f t="shared" si="147"/>
        <v>#REF!</v>
      </c>
      <c r="BJ46" s="52">
        <f>Summ.!$A55</f>
        <v>51080</v>
      </c>
      <c r="BK46" s="119" t="str">
        <f>Summ.!$B55</f>
        <v>On-Site Management</v>
      </c>
      <c r="BL46" s="134">
        <f t="shared" si="213"/>
        <v>154602</v>
      </c>
      <c r="BM46" s="110">
        <f t="shared" si="148"/>
        <v>0</v>
      </c>
      <c r="BN46" s="110">
        <f t="shared" si="214"/>
        <v>154602</v>
      </c>
      <c r="BO46" s="113">
        <f t="shared" si="149"/>
        <v>1.9468055936386071E-2</v>
      </c>
      <c r="BP46" s="110">
        <f t="shared" si="150"/>
        <v>3009.8003838771592</v>
      </c>
      <c r="BQ46" s="115">
        <f t="shared" si="151"/>
        <v>0</v>
      </c>
      <c r="BR46" s="110">
        <f t="shared" si="152"/>
        <v>3009.8003838771592</v>
      </c>
      <c r="BS46" s="52">
        <f>Summ.!$A55</f>
        <v>51080</v>
      </c>
      <c r="BT46" s="119" t="str">
        <f>Summ.!$B55</f>
        <v>On-Site Management</v>
      </c>
      <c r="BU46" s="134">
        <f t="shared" si="215"/>
        <v>154602</v>
      </c>
      <c r="BV46" s="110">
        <v>0</v>
      </c>
      <c r="BW46" s="110">
        <f t="shared" si="217"/>
        <v>154602</v>
      </c>
      <c r="BX46" s="113">
        <f t="shared" si="153"/>
        <v>2.0427748834658623E-2</v>
      </c>
      <c r="BY46" s="110">
        <f t="shared" si="154"/>
        <v>3158.1708253358925</v>
      </c>
      <c r="BZ46" s="115">
        <f t="shared" si="155"/>
        <v>0</v>
      </c>
      <c r="CA46" s="110">
        <f t="shared" si="156"/>
        <v>3158.1708253358925</v>
      </c>
      <c r="CB46" s="52">
        <f>Summ.!$A55</f>
        <v>51080</v>
      </c>
      <c r="CC46" s="119" t="str">
        <f>Summ.!$B55</f>
        <v>On-Site Management</v>
      </c>
      <c r="CD46" s="134">
        <f t="shared" si="218"/>
        <v>154602</v>
      </c>
      <c r="CE46" s="110">
        <v>0</v>
      </c>
      <c r="CF46" s="110">
        <f t="shared" si="219"/>
        <v>154602</v>
      </c>
      <c r="CG46" s="113">
        <f t="shared" si="157"/>
        <v>6.9058717536918793E-2</v>
      </c>
      <c r="CH46" s="110">
        <f t="shared" si="158"/>
        <v>10676.615848642719</v>
      </c>
      <c r="CI46" s="115">
        <f t="shared" si="159"/>
        <v>0</v>
      </c>
      <c r="CJ46" s="110">
        <f t="shared" si="160"/>
        <v>10676.615848642719</v>
      </c>
      <c r="CK46" s="52">
        <f>Summ.!$A55</f>
        <v>51080</v>
      </c>
      <c r="CL46" s="119" t="str">
        <f>Summ.!$B55</f>
        <v>On-Site Management</v>
      </c>
      <c r="CM46" s="134">
        <f t="shared" si="220"/>
        <v>154602</v>
      </c>
      <c r="CN46" s="110">
        <f t="shared" si="221"/>
        <v>0</v>
      </c>
      <c r="CO46" s="110">
        <f t="shared" si="222"/>
        <v>154602</v>
      </c>
      <c r="CP46" s="113">
        <f t="shared" si="161"/>
        <v>0.21027067256845156</v>
      </c>
      <c r="CQ46" s="110">
        <f t="shared" si="162"/>
        <v>32508.266520427747</v>
      </c>
      <c r="CR46" s="115">
        <f t="shared" si="163"/>
        <v>0</v>
      </c>
      <c r="CS46" s="110">
        <f t="shared" si="164"/>
        <v>32508.266520427747</v>
      </c>
      <c r="CT46" s="52">
        <f>Summ.!$A55</f>
        <v>51080</v>
      </c>
      <c r="CU46" s="119" t="str">
        <f>Summ.!$B55</f>
        <v>On-Site Management</v>
      </c>
      <c r="CV46" s="134">
        <f t="shared" si="223"/>
        <v>154602</v>
      </c>
      <c r="CW46" s="110">
        <v>0</v>
      </c>
      <c r="CX46" s="110">
        <f t="shared" si="224"/>
        <v>154602</v>
      </c>
      <c r="CY46" s="113">
        <f t="shared" si="165"/>
        <v>5.8756708057503229E-2</v>
      </c>
      <c r="CZ46" s="110">
        <f t="shared" si="166"/>
        <v>9083.9045791061144</v>
      </c>
      <c r="DA46" s="115">
        <f t="shared" si="167"/>
        <v>0</v>
      </c>
      <c r="DB46" s="110">
        <f t="shared" si="168"/>
        <v>9083.9045791061144</v>
      </c>
      <c r="DC46" s="52">
        <f>Summ.!$A55</f>
        <v>51080</v>
      </c>
      <c r="DD46" s="119" t="str">
        <f>Summ.!$B55</f>
        <v>On-Site Management</v>
      </c>
      <c r="DE46" s="134">
        <f t="shared" si="225"/>
        <v>154602</v>
      </c>
      <c r="DF46" s="110">
        <v>0</v>
      </c>
      <c r="DG46" s="110">
        <f t="shared" si="226"/>
        <v>154602</v>
      </c>
      <c r="DH46" s="113">
        <f t="shared" si="169"/>
        <v>9.7927846762505388E-3</v>
      </c>
      <c r="DI46" s="110">
        <f t="shared" si="170"/>
        <v>1513.9840965176859</v>
      </c>
      <c r="DJ46" s="115">
        <f t="shared" si="171"/>
        <v>0</v>
      </c>
      <c r="DK46" s="110">
        <f t="shared" si="172"/>
        <v>1513.9840965176859</v>
      </c>
      <c r="DL46" s="52">
        <f>Summ.!$A55</f>
        <v>51080</v>
      </c>
      <c r="DM46" s="119" t="str">
        <f>Summ.!$B55</f>
        <v>On-Site Management</v>
      </c>
      <c r="DN46" s="134">
        <f t="shared" si="227"/>
        <v>154602</v>
      </c>
      <c r="DO46" s="110">
        <v>0</v>
      </c>
      <c r="DP46" s="110">
        <f t="shared" si="228"/>
        <v>154602</v>
      </c>
      <c r="DQ46" s="113">
        <f t="shared" si="173"/>
        <v>5.6719808844843123E-2</v>
      </c>
      <c r="DR46" s="110">
        <f t="shared" si="174"/>
        <v>8768.9958870304363</v>
      </c>
      <c r="DS46" s="115">
        <f t="shared" si="175"/>
        <v>0</v>
      </c>
      <c r="DT46" s="110">
        <f t="shared" si="176"/>
        <v>8768.9958870304363</v>
      </c>
      <c r="DU46" s="52">
        <f>Summ.!$A55</f>
        <v>51080</v>
      </c>
      <c r="DV46" s="119" t="str">
        <f>Summ.!$B55</f>
        <v>On-Site Management</v>
      </c>
      <c r="DW46" s="134">
        <f t="shared" si="229"/>
        <v>154602</v>
      </c>
      <c r="DX46" s="110">
        <f t="shared" si="230"/>
        <v>0</v>
      </c>
      <c r="DY46" s="110">
        <f t="shared" si="231"/>
        <v>154602</v>
      </c>
      <c r="DZ46" s="113">
        <f t="shared" si="177"/>
        <v>0.15695875279094362</v>
      </c>
      <c r="EA46" s="110">
        <f t="shared" si="178"/>
        <v>24266.137098985466</v>
      </c>
      <c r="EB46" s="115">
        <f t="shared" si="179"/>
        <v>0</v>
      </c>
      <c r="EC46" s="110">
        <f t="shared" si="180"/>
        <v>24266.137098985466</v>
      </c>
      <c r="ED46" s="52">
        <f>Summ.!$A55</f>
        <v>51080</v>
      </c>
      <c r="EE46" s="119" t="str">
        <f>Summ.!$B55</f>
        <v>On-Site Management</v>
      </c>
      <c r="EF46" s="134">
        <f t="shared" si="232"/>
        <v>154602</v>
      </c>
      <c r="EG46" s="110">
        <f t="shared" si="233"/>
        <v>0</v>
      </c>
      <c r="EH46" s="110">
        <f t="shared" si="234"/>
        <v>154602</v>
      </c>
      <c r="EI46" s="113">
        <f t="shared" si="181"/>
        <v>0.12730620079125701</v>
      </c>
      <c r="EJ46" s="110">
        <f t="shared" si="182"/>
        <v>19681.793254729917</v>
      </c>
      <c r="EK46" s="115">
        <f t="shared" si="183"/>
        <v>2952.2689882094874</v>
      </c>
      <c r="EL46" s="110">
        <f t="shared" si="184"/>
        <v>22634.062242939406</v>
      </c>
      <c r="EM46" s="52">
        <f>Summ.!$A55</f>
        <v>51080</v>
      </c>
      <c r="EN46" s="119" t="str">
        <f>Summ.!$B55</f>
        <v>On-Site Management</v>
      </c>
      <c r="EO46" s="134">
        <f t="shared" si="235"/>
        <v>154602</v>
      </c>
      <c r="EP46" s="110">
        <v>0</v>
      </c>
      <c r="EQ46" s="110">
        <f t="shared" si="236"/>
        <v>154602</v>
      </c>
      <c r="ER46" s="113">
        <f t="shared" si="185"/>
        <v>3.9034039719534647E-2</v>
      </c>
      <c r="ES46" s="110">
        <f t="shared" si="186"/>
        <v>6034.7406087194959</v>
      </c>
      <c r="ET46" s="115">
        <f t="shared" si="187"/>
        <v>0</v>
      </c>
      <c r="EU46" s="110">
        <f t="shared" si="188"/>
        <v>6034.7406087194959</v>
      </c>
      <c r="EV46" s="52">
        <f>Summ.!$A55</f>
        <v>51080</v>
      </c>
      <c r="EW46" s="119" t="str">
        <f>Summ.!$B55</f>
        <v>On-Site Management</v>
      </c>
      <c r="EX46" s="134">
        <f t="shared" si="237"/>
        <v>154602</v>
      </c>
      <c r="EY46" s="110">
        <v>0</v>
      </c>
      <c r="EZ46" s="110">
        <f t="shared" si="238"/>
        <v>154602</v>
      </c>
      <c r="FA46" s="113">
        <f t="shared" si="189"/>
        <v>1.8841317717106038E-2</v>
      </c>
      <c r="FB46" s="110">
        <f t="shared" si="190"/>
        <v>2912.9054017000276</v>
      </c>
      <c r="FC46" s="115">
        <f t="shared" si="191"/>
        <v>0</v>
      </c>
      <c r="FD46" s="110">
        <f t="shared" si="192"/>
        <v>2912.9054017000276</v>
      </c>
      <c r="FE46" s="52">
        <f>Summ.!$A55</f>
        <v>51080</v>
      </c>
      <c r="FF46" s="119" t="str">
        <f>Summ.!$B55</f>
        <v>On-Site Management</v>
      </c>
      <c r="FG46" s="134">
        <f t="shared" si="239"/>
        <v>154602</v>
      </c>
      <c r="FH46" s="110">
        <f t="shared" si="240"/>
        <v>0</v>
      </c>
      <c r="FI46" s="110">
        <f t="shared" si="241"/>
        <v>154602</v>
      </c>
      <c r="FJ46" s="113">
        <f t="shared" si="193"/>
        <v>7.254494888166399E-2</v>
      </c>
      <c r="FK46" s="110">
        <f t="shared" si="194"/>
        <v>11215.594187003016</v>
      </c>
      <c r="FL46" s="115">
        <f t="shared" si="195"/>
        <v>0</v>
      </c>
      <c r="FM46" s="110">
        <f t="shared" si="196"/>
        <v>11215.594187003016</v>
      </c>
    </row>
    <row r="47" spans="1:169">
      <c r="A47" s="52">
        <f>Summ.!A56</f>
        <v>51100</v>
      </c>
      <c r="B47" s="45" t="str">
        <f>Summ.!B56</f>
        <v>Sidewalk Maintenance</v>
      </c>
      <c r="C47" s="45"/>
      <c r="D47" s="45"/>
      <c r="E47" s="45"/>
      <c r="F47" s="106">
        <f>+Summ.!O56</f>
        <v>0</v>
      </c>
      <c r="G47" s="71">
        <f>Rent!$B$41</f>
        <v>51058</v>
      </c>
      <c r="H47" s="52">
        <f>Summ.!$A56</f>
        <v>51100</v>
      </c>
      <c r="I47" s="119" t="str">
        <f>Summ.!$B56</f>
        <v>Sidewalk Maintenance</v>
      </c>
      <c r="J47" s="134">
        <f t="shared" si="197"/>
        <v>0</v>
      </c>
      <c r="K47" s="110">
        <v>0</v>
      </c>
      <c r="L47" s="110">
        <f t="shared" ref="L47" si="242">J47+K47</f>
        <v>0</v>
      </c>
      <c r="M47" s="113">
        <f t="shared" si="124"/>
        <v>7.5854910102236675E-2</v>
      </c>
      <c r="N47" s="110">
        <f t="shared" si="125"/>
        <v>0</v>
      </c>
      <c r="O47" s="115">
        <f t="shared" si="126"/>
        <v>0</v>
      </c>
      <c r="P47" s="110">
        <f t="shared" si="127"/>
        <v>0</v>
      </c>
      <c r="Q47" s="52">
        <f>Summ.!$A56</f>
        <v>51100</v>
      </c>
      <c r="R47" s="119" t="str">
        <f>Summ.!$B56</f>
        <v>Sidewalk Maintenance</v>
      </c>
      <c r="S47" s="134">
        <f t="shared" si="199"/>
        <v>0</v>
      </c>
      <c r="T47" s="110">
        <f>+K47</f>
        <v>0</v>
      </c>
      <c r="U47" s="110">
        <f t="shared" ref="U47" si="243">S47+T47</f>
        <v>0</v>
      </c>
      <c r="V47" s="113">
        <f t="shared" si="128"/>
        <v>2.1034901484586158E-2</v>
      </c>
      <c r="W47" s="110">
        <f t="shared" si="129"/>
        <v>0</v>
      </c>
      <c r="X47" s="115">
        <f t="shared" si="130"/>
        <v>0</v>
      </c>
      <c r="Y47" s="110">
        <f t="shared" si="131"/>
        <v>0</v>
      </c>
      <c r="Z47" s="52">
        <f>Summ.!$A56</f>
        <v>51100</v>
      </c>
      <c r="AA47" s="119" t="str">
        <f>Summ.!$B56</f>
        <v>Sidewalk Maintenance</v>
      </c>
      <c r="AB47" s="134">
        <f t="shared" si="202"/>
        <v>0</v>
      </c>
      <c r="AC47" s="110">
        <v>0</v>
      </c>
      <c r="AD47" s="110">
        <f t="shared" ref="AD47" si="244">AB47+AC47</f>
        <v>0</v>
      </c>
      <c r="AE47" s="113">
        <f t="shared" si="132"/>
        <v>3.9171138705002152E-3</v>
      </c>
      <c r="AF47" s="110">
        <f t="shared" si="133"/>
        <v>0</v>
      </c>
      <c r="AG47" s="115">
        <f t="shared" si="134"/>
        <v>0</v>
      </c>
      <c r="AH47" s="110">
        <f t="shared" si="135"/>
        <v>0</v>
      </c>
      <c r="AI47" s="52">
        <f>Summ.!$A56</f>
        <v>51100</v>
      </c>
      <c r="AJ47" s="119" t="str">
        <f>Summ.!$B56</f>
        <v>Sidewalk Maintenance</v>
      </c>
      <c r="AK47" s="134">
        <f t="shared" si="204"/>
        <v>0</v>
      </c>
      <c r="AL47" s="110">
        <f t="shared" ref="AL47" si="245">+AC47</f>
        <v>0</v>
      </c>
      <c r="AM47" s="110">
        <f t="shared" ref="AM47" si="246">AK47+AL47</f>
        <v>0</v>
      </c>
      <c r="AN47" s="113">
        <f t="shared" si="136"/>
        <v>1.0145324924595559E-2</v>
      </c>
      <c r="AO47" s="110">
        <f t="shared" si="137"/>
        <v>0</v>
      </c>
      <c r="AP47" s="115">
        <f t="shared" si="138"/>
        <v>0</v>
      </c>
      <c r="AQ47" s="110">
        <f t="shared" si="139"/>
        <v>0</v>
      </c>
      <c r="AR47" s="52">
        <f>Summ.!$A56</f>
        <v>51100</v>
      </c>
      <c r="AS47" s="119" t="str">
        <f>Summ.!$B56</f>
        <v>Sidewalk Maintenance</v>
      </c>
      <c r="AT47" s="134">
        <f t="shared" si="207"/>
        <v>0</v>
      </c>
      <c r="AU47" s="110">
        <f t="shared" ref="AU47" si="247">+AL47</f>
        <v>0</v>
      </c>
      <c r="AV47" s="110">
        <f t="shared" ref="AV47" si="248">AT47+AU47</f>
        <v>0</v>
      </c>
      <c r="AW47" s="113">
        <f t="shared" si="140"/>
        <v>1.0282423910063065E-2</v>
      </c>
      <c r="AX47" s="110">
        <f t="shared" si="141"/>
        <v>0</v>
      </c>
      <c r="AY47" s="115">
        <f t="shared" si="142"/>
        <v>0</v>
      </c>
      <c r="AZ47" s="110">
        <f t="shared" si="143"/>
        <v>0</v>
      </c>
      <c r="BA47" s="52">
        <f>Summ.!$A56</f>
        <v>51100</v>
      </c>
      <c r="BB47" s="119" t="str">
        <f>Summ.!$B56</f>
        <v>Sidewalk Maintenance</v>
      </c>
      <c r="BC47" s="134">
        <f t="shared" si="210"/>
        <v>0</v>
      </c>
      <c r="BD47" s="110">
        <f t="shared" ref="BD47" si="249">+AU47</f>
        <v>0</v>
      </c>
      <c r="BE47" s="110">
        <f t="shared" ref="BE47" si="250">BC47+BD47</f>
        <v>0</v>
      </c>
      <c r="BF47" s="113" t="e">
        <f t="shared" si="144"/>
        <v>#REF!</v>
      </c>
      <c r="BG47" s="110" t="e">
        <f t="shared" si="145"/>
        <v>#REF!</v>
      </c>
      <c r="BH47" s="115" t="e">
        <f t="shared" si="146"/>
        <v>#REF!</v>
      </c>
      <c r="BI47" s="110" t="e">
        <f t="shared" si="147"/>
        <v>#REF!</v>
      </c>
      <c r="BJ47" s="52">
        <f>Summ.!$A56</f>
        <v>51100</v>
      </c>
      <c r="BK47" s="119" t="str">
        <f>Summ.!$B56</f>
        <v>Sidewalk Maintenance</v>
      </c>
      <c r="BL47" s="134">
        <f t="shared" si="213"/>
        <v>0</v>
      </c>
      <c r="BM47" s="110">
        <f t="shared" si="148"/>
        <v>0</v>
      </c>
      <c r="BN47" s="110">
        <f t="shared" ref="BN47" si="251">BL47+BM47</f>
        <v>0</v>
      </c>
      <c r="BO47" s="113">
        <f t="shared" si="149"/>
        <v>1.9468055936386071E-2</v>
      </c>
      <c r="BP47" s="110">
        <f t="shared" si="150"/>
        <v>0</v>
      </c>
      <c r="BQ47" s="115">
        <f t="shared" si="151"/>
        <v>0</v>
      </c>
      <c r="BR47" s="110">
        <f t="shared" si="152"/>
        <v>0</v>
      </c>
      <c r="BS47" s="52">
        <f>Summ.!$A56</f>
        <v>51100</v>
      </c>
      <c r="BT47" s="119" t="str">
        <f>Summ.!$B56</f>
        <v>Sidewalk Maintenance</v>
      </c>
      <c r="BU47" s="134">
        <f t="shared" si="215"/>
        <v>0</v>
      </c>
      <c r="BV47" s="110">
        <v>0</v>
      </c>
      <c r="BW47" s="110">
        <f t="shared" ref="BW47" si="252">BU47+BV47</f>
        <v>0</v>
      </c>
      <c r="BX47" s="113">
        <f t="shared" si="153"/>
        <v>2.0427748834658623E-2</v>
      </c>
      <c r="BY47" s="110">
        <f t="shared" si="154"/>
        <v>0</v>
      </c>
      <c r="BZ47" s="115">
        <f t="shared" si="155"/>
        <v>0</v>
      </c>
      <c r="CA47" s="110">
        <f t="shared" si="156"/>
        <v>0</v>
      </c>
      <c r="CB47" s="52">
        <f>Summ.!$A56</f>
        <v>51100</v>
      </c>
      <c r="CC47" s="119" t="str">
        <f>Summ.!$B56</f>
        <v>Sidewalk Maintenance</v>
      </c>
      <c r="CD47" s="134">
        <f t="shared" si="218"/>
        <v>0</v>
      </c>
      <c r="CE47" s="110">
        <v>0</v>
      </c>
      <c r="CF47" s="110">
        <f t="shared" ref="CF47" si="253">CD47+CE47</f>
        <v>0</v>
      </c>
      <c r="CG47" s="113">
        <f t="shared" si="157"/>
        <v>6.9058717536918793E-2</v>
      </c>
      <c r="CH47" s="110">
        <f t="shared" si="158"/>
        <v>0</v>
      </c>
      <c r="CI47" s="115">
        <f t="shared" si="159"/>
        <v>0</v>
      </c>
      <c r="CJ47" s="110">
        <f t="shared" si="160"/>
        <v>0</v>
      </c>
      <c r="CK47" s="52">
        <f>Summ.!$A56</f>
        <v>51100</v>
      </c>
      <c r="CL47" s="119" t="str">
        <f>Summ.!$B56</f>
        <v>Sidewalk Maintenance</v>
      </c>
      <c r="CM47" s="134">
        <f t="shared" si="220"/>
        <v>0</v>
      </c>
      <c r="CN47" s="110">
        <f t="shared" ref="CN47" si="254">+CE47</f>
        <v>0</v>
      </c>
      <c r="CO47" s="110">
        <f t="shared" ref="CO47" si="255">CM47+CN47</f>
        <v>0</v>
      </c>
      <c r="CP47" s="113">
        <f t="shared" si="161"/>
        <v>0.21027067256845156</v>
      </c>
      <c r="CQ47" s="110">
        <f t="shared" si="162"/>
        <v>0</v>
      </c>
      <c r="CR47" s="115">
        <f t="shared" si="163"/>
        <v>0</v>
      </c>
      <c r="CS47" s="110">
        <f t="shared" si="164"/>
        <v>0</v>
      </c>
      <c r="CT47" s="52">
        <f>Summ.!$A56</f>
        <v>51100</v>
      </c>
      <c r="CU47" s="119" t="str">
        <f>Summ.!$B56</f>
        <v>Sidewalk Maintenance</v>
      </c>
      <c r="CV47" s="134">
        <f t="shared" si="223"/>
        <v>0</v>
      </c>
      <c r="CW47" s="110">
        <v>0</v>
      </c>
      <c r="CX47" s="110">
        <f t="shared" ref="CX47" si="256">CV47+CW47</f>
        <v>0</v>
      </c>
      <c r="CY47" s="113">
        <f t="shared" si="165"/>
        <v>5.8756708057503229E-2</v>
      </c>
      <c r="CZ47" s="110">
        <f t="shared" si="166"/>
        <v>0</v>
      </c>
      <c r="DA47" s="115">
        <f t="shared" si="167"/>
        <v>0</v>
      </c>
      <c r="DB47" s="110">
        <f t="shared" si="168"/>
        <v>0</v>
      </c>
      <c r="DC47" s="52">
        <f>Summ.!$A56</f>
        <v>51100</v>
      </c>
      <c r="DD47" s="119" t="str">
        <f>Summ.!$B56</f>
        <v>Sidewalk Maintenance</v>
      </c>
      <c r="DE47" s="134">
        <f t="shared" si="225"/>
        <v>0</v>
      </c>
      <c r="DF47" s="110">
        <v>0</v>
      </c>
      <c r="DG47" s="110">
        <f t="shared" ref="DG47" si="257">DE47+DF47</f>
        <v>0</v>
      </c>
      <c r="DH47" s="113">
        <f t="shared" si="169"/>
        <v>9.7927846762505388E-3</v>
      </c>
      <c r="DI47" s="110">
        <f t="shared" si="170"/>
        <v>0</v>
      </c>
      <c r="DJ47" s="115">
        <f t="shared" si="171"/>
        <v>0</v>
      </c>
      <c r="DK47" s="110">
        <f t="shared" si="172"/>
        <v>0</v>
      </c>
      <c r="DL47" s="52">
        <f>Summ.!$A56</f>
        <v>51100</v>
      </c>
      <c r="DM47" s="119" t="str">
        <f>Summ.!$B56</f>
        <v>Sidewalk Maintenance</v>
      </c>
      <c r="DN47" s="134">
        <f t="shared" si="227"/>
        <v>0</v>
      </c>
      <c r="DO47" s="110">
        <v>0</v>
      </c>
      <c r="DP47" s="110">
        <f t="shared" ref="DP47" si="258">DN47+DO47</f>
        <v>0</v>
      </c>
      <c r="DQ47" s="113">
        <f t="shared" si="173"/>
        <v>5.6719808844843123E-2</v>
      </c>
      <c r="DR47" s="110">
        <f t="shared" si="174"/>
        <v>0</v>
      </c>
      <c r="DS47" s="115">
        <f t="shared" si="175"/>
        <v>0</v>
      </c>
      <c r="DT47" s="110">
        <f t="shared" si="176"/>
        <v>0</v>
      </c>
      <c r="DU47" s="52">
        <f>Summ.!$A56</f>
        <v>51100</v>
      </c>
      <c r="DV47" s="119" t="str">
        <f>Summ.!$B56</f>
        <v>Sidewalk Maintenance</v>
      </c>
      <c r="DW47" s="134">
        <f t="shared" si="229"/>
        <v>0</v>
      </c>
      <c r="DX47" s="110">
        <v>0</v>
      </c>
      <c r="DY47" s="110">
        <f t="shared" ref="DY47" si="259">DW47+DX47</f>
        <v>0</v>
      </c>
      <c r="DZ47" s="113">
        <f t="shared" si="177"/>
        <v>0.15695875279094362</v>
      </c>
      <c r="EA47" s="110">
        <f t="shared" si="178"/>
        <v>0</v>
      </c>
      <c r="EB47" s="115">
        <f t="shared" si="179"/>
        <v>0</v>
      </c>
      <c r="EC47" s="110">
        <f t="shared" si="180"/>
        <v>0</v>
      </c>
      <c r="ED47" s="52">
        <f>Summ.!$A56</f>
        <v>51100</v>
      </c>
      <c r="EE47" s="119" t="str">
        <f>Summ.!$B56</f>
        <v>Sidewalk Maintenance</v>
      </c>
      <c r="EF47" s="134">
        <f t="shared" si="232"/>
        <v>0</v>
      </c>
      <c r="EG47" s="110">
        <f t="shared" ref="EG47" si="260">+DX47</f>
        <v>0</v>
      </c>
      <c r="EH47" s="110">
        <f t="shared" ref="EH47" si="261">EF47+EG47</f>
        <v>0</v>
      </c>
      <c r="EI47" s="113">
        <f t="shared" si="181"/>
        <v>0.12730620079125701</v>
      </c>
      <c r="EJ47" s="110">
        <f t="shared" si="182"/>
        <v>0</v>
      </c>
      <c r="EK47" s="115">
        <f t="shared" si="183"/>
        <v>0</v>
      </c>
      <c r="EL47" s="110">
        <f t="shared" si="184"/>
        <v>0</v>
      </c>
      <c r="EM47" s="52">
        <f>Summ.!$A56</f>
        <v>51100</v>
      </c>
      <c r="EN47" s="119" t="str">
        <f>Summ.!$B56</f>
        <v>Sidewalk Maintenance</v>
      </c>
      <c r="EO47" s="134">
        <f t="shared" si="235"/>
        <v>0</v>
      </c>
      <c r="EP47" s="110">
        <v>0</v>
      </c>
      <c r="EQ47" s="110">
        <f t="shared" ref="EQ47" si="262">EO47+EP47</f>
        <v>0</v>
      </c>
      <c r="ER47" s="113">
        <f t="shared" si="185"/>
        <v>3.9034039719534647E-2</v>
      </c>
      <c r="ES47" s="110">
        <f t="shared" si="186"/>
        <v>0</v>
      </c>
      <c r="ET47" s="115">
        <f t="shared" si="187"/>
        <v>0</v>
      </c>
      <c r="EU47" s="110">
        <f t="shared" si="188"/>
        <v>0</v>
      </c>
      <c r="EV47" s="52">
        <f>Summ.!$A56</f>
        <v>51100</v>
      </c>
      <c r="EW47" s="119" t="str">
        <f>Summ.!$B56</f>
        <v>Sidewalk Maintenance</v>
      </c>
      <c r="EX47" s="134">
        <f t="shared" si="237"/>
        <v>0</v>
      </c>
      <c r="EY47" s="110">
        <v>0</v>
      </c>
      <c r="EZ47" s="110">
        <f t="shared" ref="EZ47" si="263">EX47+EY47</f>
        <v>0</v>
      </c>
      <c r="FA47" s="113">
        <f t="shared" si="189"/>
        <v>1.8841317717106038E-2</v>
      </c>
      <c r="FB47" s="110">
        <f t="shared" si="190"/>
        <v>0</v>
      </c>
      <c r="FC47" s="115">
        <f t="shared" si="191"/>
        <v>0</v>
      </c>
      <c r="FD47" s="110">
        <f t="shared" si="192"/>
        <v>0</v>
      </c>
      <c r="FE47" s="52">
        <f>Summ.!$A56</f>
        <v>51100</v>
      </c>
      <c r="FF47" s="119" t="str">
        <f>Summ.!$B56</f>
        <v>Sidewalk Maintenance</v>
      </c>
      <c r="FG47" s="134">
        <f t="shared" si="239"/>
        <v>0</v>
      </c>
      <c r="FH47" s="110">
        <f t="shared" ref="FH47" si="264">+EY47</f>
        <v>0</v>
      </c>
      <c r="FI47" s="110">
        <f t="shared" ref="FI47" si="265">FG47+FH47</f>
        <v>0</v>
      </c>
      <c r="FJ47" s="113">
        <f t="shared" si="193"/>
        <v>7.254494888166399E-2</v>
      </c>
      <c r="FK47" s="110">
        <f t="shared" si="194"/>
        <v>0</v>
      </c>
      <c r="FL47" s="115">
        <f t="shared" si="195"/>
        <v>0</v>
      </c>
      <c r="FM47" s="110">
        <f t="shared" si="196"/>
        <v>0</v>
      </c>
    </row>
    <row r="48" spans="1:169">
      <c r="A48" s="52">
        <f>Summ.!A57</f>
        <v>55190</v>
      </c>
      <c r="B48" s="45" t="str">
        <f>Summ.!B57</f>
        <v>Ground Lease State</v>
      </c>
      <c r="C48" s="45"/>
      <c r="D48" s="45"/>
      <c r="E48" s="45"/>
      <c r="F48" s="106">
        <f>+Summ.!O57</f>
        <v>32400</v>
      </c>
      <c r="G48" s="71">
        <f>Rent!$B$41</f>
        <v>51058</v>
      </c>
      <c r="H48" s="52">
        <f>Summ.!$A57</f>
        <v>55190</v>
      </c>
      <c r="I48" s="119" t="str">
        <f>Summ.!$B57</f>
        <v>Ground Lease State</v>
      </c>
      <c r="J48" s="134">
        <f t="shared" si="197"/>
        <v>32400</v>
      </c>
      <c r="K48" s="110">
        <v>0</v>
      </c>
      <c r="L48" s="110">
        <f t="shared" si="198"/>
        <v>32400</v>
      </c>
      <c r="M48" s="113">
        <f t="shared" si="124"/>
        <v>7.5854910102236675E-2</v>
      </c>
      <c r="N48" s="110">
        <f t="shared" si="125"/>
        <v>2457.6990873124682</v>
      </c>
      <c r="O48" s="115">
        <f t="shared" si="126"/>
        <v>0</v>
      </c>
      <c r="P48" s="110">
        <f t="shared" si="127"/>
        <v>2457.6990873124682</v>
      </c>
      <c r="Q48" s="52">
        <f>Summ.!$A57</f>
        <v>55190</v>
      </c>
      <c r="R48" s="119" t="str">
        <f>Summ.!$B57</f>
        <v>Ground Lease State</v>
      </c>
      <c r="S48" s="134">
        <f t="shared" si="199"/>
        <v>32400</v>
      </c>
      <c r="T48" s="110">
        <f>+K48</f>
        <v>0</v>
      </c>
      <c r="U48" s="110">
        <f t="shared" si="201"/>
        <v>32400</v>
      </c>
      <c r="V48" s="113">
        <f t="shared" si="128"/>
        <v>2.1034901484586158E-2</v>
      </c>
      <c r="W48" s="110">
        <f t="shared" si="129"/>
        <v>681.53080810059146</v>
      </c>
      <c r="X48" s="115">
        <f t="shared" si="130"/>
        <v>0</v>
      </c>
      <c r="Y48" s="110">
        <f t="shared" si="131"/>
        <v>681.53080810059146</v>
      </c>
      <c r="Z48" s="52">
        <f>Summ.!$A57</f>
        <v>55190</v>
      </c>
      <c r="AA48" s="119" t="str">
        <f>Summ.!$B57</f>
        <v>Ground Lease State</v>
      </c>
      <c r="AB48" s="134">
        <f t="shared" si="202"/>
        <v>32400</v>
      </c>
      <c r="AC48" s="110">
        <v>0</v>
      </c>
      <c r="AD48" s="110">
        <f t="shared" si="203"/>
        <v>32400</v>
      </c>
      <c r="AE48" s="113">
        <f t="shared" si="132"/>
        <v>3.9171138705002152E-3</v>
      </c>
      <c r="AF48" s="110">
        <f t="shared" si="133"/>
        <v>126.91448940420698</v>
      </c>
      <c r="AG48" s="115">
        <f t="shared" si="134"/>
        <v>0</v>
      </c>
      <c r="AH48" s="110">
        <f t="shared" si="135"/>
        <v>126.91448940420698</v>
      </c>
      <c r="AI48" s="52">
        <f>Summ.!$A57</f>
        <v>55190</v>
      </c>
      <c r="AJ48" s="119" t="str">
        <f>Summ.!$B57</f>
        <v>Ground Lease State</v>
      </c>
      <c r="AK48" s="134">
        <f t="shared" si="204"/>
        <v>32400</v>
      </c>
      <c r="AL48" s="110">
        <f t="shared" si="205"/>
        <v>0</v>
      </c>
      <c r="AM48" s="110">
        <f t="shared" si="206"/>
        <v>32400</v>
      </c>
      <c r="AN48" s="113">
        <f t="shared" si="136"/>
        <v>1.0145324924595559E-2</v>
      </c>
      <c r="AO48" s="110">
        <f t="shared" si="137"/>
        <v>328.70852755689612</v>
      </c>
      <c r="AP48" s="115">
        <f t="shared" si="138"/>
        <v>0</v>
      </c>
      <c r="AQ48" s="110">
        <f t="shared" si="139"/>
        <v>328.70852755689612</v>
      </c>
      <c r="AR48" s="52">
        <f>Summ.!$A57</f>
        <v>55190</v>
      </c>
      <c r="AS48" s="119" t="str">
        <f>Summ.!$B57</f>
        <v>Ground Lease State</v>
      </c>
      <c r="AT48" s="134">
        <f t="shared" si="207"/>
        <v>32400</v>
      </c>
      <c r="AU48" s="110">
        <f t="shared" si="208"/>
        <v>0</v>
      </c>
      <c r="AV48" s="110">
        <f t="shared" si="209"/>
        <v>32400</v>
      </c>
      <c r="AW48" s="113">
        <f t="shared" si="140"/>
        <v>1.0282423910063065E-2</v>
      </c>
      <c r="AX48" s="110">
        <f t="shared" si="141"/>
        <v>333.15053468604333</v>
      </c>
      <c r="AY48" s="115">
        <f t="shared" si="142"/>
        <v>0</v>
      </c>
      <c r="AZ48" s="110">
        <f t="shared" si="143"/>
        <v>333.15053468604333</v>
      </c>
      <c r="BA48" s="52">
        <f>Summ.!$A57</f>
        <v>55190</v>
      </c>
      <c r="BB48" s="119" t="str">
        <f>Summ.!$B57</f>
        <v>Ground Lease State</v>
      </c>
      <c r="BC48" s="134">
        <f t="shared" si="210"/>
        <v>32400</v>
      </c>
      <c r="BD48" s="110">
        <f t="shared" si="211"/>
        <v>0</v>
      </c>
      <c r="BE48" s="110">
        <f t="shared" si="212"/>
        <v>32400</v>
      </c>
      <c r="BF48" s="113" t="e">
        <f t="shared" si="144"/>
        <v>#REF!</v>
      </c>
      <c r="BG48" s="110" t="e">
        <f t="shared" si="145"/>
        <v>#REF!</v>
      </c>
      <c r="BH48" s="115" t="e">
        <f t="shared" si="146"/>
        <v>#REF!</v>
      </c>
      <c r="BI48" s="110" t="e">
        <f t="shared" si="147"/>
        <v>#REF!</v>
      </c>
      <c r="BJ48" s="52">
        <f>Summ.!$A57</f>
        <v>55190</v>
      </c>
      <c r="BK48" s="119" t="str">
        <f>Summ.!$B57</f>
        <v>Ground Lease State</v>
      </c>
      <c r="BL48" s="134">
        <f t="shared" si="213"/>
        <v>32400</v>
      </c>
      <c r="BM48" s="110">
        <f t="shared" si="148"/>
        <v>0</v>
      </c>
      <c r="BN48" s="110">
        <f t="shared" si="214"/>
        <v>32400</v>
      </c>
      <c r="BO48" s="113">
        <f t="shared" si="149"/>
        <v>1.9468055936386071E-2</v>
      </c>
      <c r="BP48" s="110">
        <f t="shared" si="150"/>
        <v>630.76501233890872</v>
      </c>
      <c r="BQ48" s="115">
        <f t="shared" si="151"/>
        <v>0</v>
      </c>
      <c r="BR48" s="110">
        <f t="shared" si="152"/>
        <v>630.76501233890872</v>
      </c>
      <c r="BS48" s="52">
        <f>Summ.!$A57</f>
        <v>55190</v>
      </c>
      <c r="BT48" s="119" t="str">
        <f>Summ.!$B57</f>
        <v>Ground Lease State</v>
      </c>
      <c r="BU48" s="134">
        <f t="shared" si="215"/>
        <v>32400</v>
      </c>
      <c r="BV48" s="110">
        <v>0</v>
      </c>
      <c r="BW48" s="110">
        <f t="shared" si="217"/>
        <v>32400</v>
      </c>
      <c r="BX48" s="113">
        <f t="shared" si="153"/>
        <v>2.0427748834658623E-2</v>
      </c>
      <c r="BY48" s="110">
        <f t="shared" si="154"/>
        <v>661.85906224293933</v>
      </c>
      <c r="BZ48" s="115">
        <f t="shared" si="155"/>
        <v>0</v>
      </c>
      <c r="CA48" s="110">
        <f t="shared" si="156"/>
        <v>661.85906224293933</v>
      </c>
      <c r="CB48" s="52">
        <f>Summ.!$A57</f>
        <v>55190</v>
      </c>
      <c r="CC48" s="119" t="str">
        <f>Summ.!$B57</f>
        <v>Ground Lease State</v>
      </c>
      <c r="CD48" s="134">
        <f t="shared" si="218"/>
        <v>32400</v>
      </c>
      <c r="CE48" s="110">
        <v>0</v>
      </c>
      <c r="CF48" s="110">
        <f t="shared" si="219"/>
        <v>32400</v>
      </c>
      <c r="CG48" s="113">
        <f t="shared" si="157"/>
        <v>6.9058717536918793E-2</v>
      </c>
      <c r="CH48" s="110">
        <f t="shared" si="158"/>
        <v>2237.5024481961691</v>
      </c>
      <c r="CI48" s="115">
        <f t="shared" si="159"/>
        <v>0</v>
      </c>
      <c r="CJ48" s="110">
        <f t="shared" si="160"/>
        <v>2237.5024481961691</v>
      </c>
      <c r="CK48" s="52">
        <f>Summ.!$A57</f>
        <v>55190</v>
      </c>
      <c r="CL48" s="119" t="str">
        <f>Summ.!$B57</f>
        <v>Ground Lease State</v>
      </c>
      <c r="CM48" s="134">
        <f t="shared" si="220"/>
        <v>32400</v>
      </c>
      <c r="CN48" s="110">
        <f t="shared" si="221"/>
        <v>0</v>
      </c>
      <c r="CO48" s="110">
        <f t="shared" si="222"/>
        <v>32400</v>
      </c>
      <c r="CP48" s="113">
        <f t="shared" si="161"/>
        <v>0.21027067256845156</v>
      </c>
      <c r="CQ48" s="110">
        <f t="shared" si="162"/>
        <v>6812.7697912178301</v>
      </c>
      <c r="CR48" s="115">
        <f t="shared" si="163"/>
        <v>0</v>
      </c>
      <c r="CS48" s="110">
        <f t="shared" si="164"/>
        <v>6812.7697912178301</v>
      </c>
      <c r="CT48" s="52">
        <f>Summ.!$A57</f>
        <v>55190</v>
      </c>
      <c r="CU48" s="119" t="str">
        <f>Summ.!$B57</f>
        <v>Ground Lease State</v>
      </c>
      <c r="CV48" s="134">
        <f t="shared" si="223"/>
        <v>32400</v>
      </c>
      <c r="CW48" s="110">
        <v>0</v>
      </c>
      <c r="CX48" s="110">
        <f t="shared" si="224"/>
        <v>32400</v>
      </c>
      <c r="CY48" s="113">
        <f t="shared" si="165"/>
        <v>5.8756708057503229E-2</v>
      </c>
      <c r="CZ48" s="110">
        <f t="shared" si="166"/>
        <v>1903.7173410631046</v>
      </c>
      <c r="DA48" s="115">
        <f t="shared" si="167"/>
        <v>0</v>
      </c>
      <c r="DB48" s="110">
        <f t="shared" si="168"/>
        <v>1903.7173410631046</v>
      </c>
      <c r="DC48" s="52">
        <f>Summ.!$A57</f>
        <v>55190</v>
      </c>
      <c r="DD48" s="119" t="str">
        <f>Summ.!$B57</f>
        <v>Ground Lease State</v>
      </c>
      <c r="DE48" s="134">
        <f t="shared" si="225"/>
        <v>32400</v>
      </c>
      <c r="DF48" s="110">
        <v>0</v>
      </c>
      <c r="DG48" s="110">
        <f t="shared" si="226"/>
        <v>32400</v>
      </c>
      <c r="DH48" s="113">
        <f t="shared" si="169"/>
        <v>9.7927846762505388E-3</v>
      </c>
      <c r="DI48" s="110">
        <f t="shared" si="170"/>
        <v>317.28622351051746</v>
      </c>
      <c r="DJ48" s="115">
        <f t="shared" si="171"/>
        <v>0</v>
      </c>
      <c r="DK48" s="110">
        <f t="shared" si="172"/>
        <v>317.28622351051746</v>
      </c>
      <c r="DL48" s="52">
        <f>Summ.!$A57</f>
        <v>55190</v>
      </c>
      <c r="DM48" s="119" t="str">
        <f>Summ.!$B57</f>
        <v>Ground Lease State</v>
      </c>
      <c r="DN48" s="134">
        <f t="shared" si="227"/>
        <v>32400</v>
      </c>
      <c r="DO48" s="110">
        <v>0</v>
      </c>
      <c r="DP48" s="110">
        <f t="shared" si="228"/>
        <v>32400</v>
      </c>
      <c r="DQ48" s="113">
        <f t="shared" si="173"/>
        <v>5.6719808844843123E-2</v>
      </c>
      <c r="DR48" s="110">
        <f t="shared" si="174"/>
        <v>1837.7218065729171</v>
      </c>
      <c r="DS48" s="115">
        <f t="shared" si="175"/>
        <v>0</v>
      </c>
      <c r="DT48" s="110">
        <f t="shared" si="176"/>
        <v>1837.7218065729171</v>
      </c>
      <c r="DU48" s="52">
        <f>Summ.!$A57</f>
        <v>55190</v>
      </c>
      <c r="DV48" s="119" t="str">
        <f>Summ.!$B57</f>
        <v>Ground Lease State</v>
      </c>
      <c r="DW48" s="134">
        <f t="shared" si="229"/>
        <v>32400</v>
      </c>
      <c r="DX48" s="110">
        <f t="shared" si="230"/>
        <v>0</v>
      </c>
      <c r="DY48" s="110">
        <f t="shared" si="231"/>
        <v>32400</v>
      </c>
      <c r="DZ48" s="113">
        <f t="shared" si="177"/>
        <v>0.15695875279094362</v>
      </c>
      <c r="EA48" s="110">
        <f t="shared" si="178"/>
        <v>5085.4635904265733</v>
      </c>
      <c r="EB48" s="115">
        <f t="shared" si="179"/>
        <v>0</v>
      </c>
      <c r="EC48" s="110">
        <f t="shared" si="180"/>
        <v>5085.4635904265733</v>
      </c>
      <c r="ED48" s="52">
        <f>Summ.!$A57</f>
        <v>55190</v>
      </c>
      <c r="EE48" s="119" t="str">
        <f>Summ.!$B57</f>
        <v>Ground Lease State</v>
      </c>
      <c r="EF48" s="134">
        <f t="shared" si="232"/>
        <v>32400</v>
      </c>
      <c r="EG48" s="110">
        <f t="shared" si="233"/>
        <v>0</v>
      </c>
      <c r="EH48" s="110">
        <f t="shared" si="234"/>
        <v>32400</v>
      </c>
      <c r="EI48" s="113">
        <f t="shared" si="181"/>
        <v>0.12730620079125701</v>
      </c>
      <c r="EJ48" s="110">
        <f t="shared" si="182"/>
        <v>4124.7209056367274</v>
      </c>
      <c r="EK48" s="115">
        <f t="shared" si="183"/>
        <v>618.7081358455091</v>
      </c>
      <c r="EL48" s="110">
        <f t="shared" si="184"/>
        <v>4743.4290414822362</v>
      </c>
      <c r="EM48" s="52">
        <f>Summ.!$A57</f>
        <v>55190</v>
      </c>
      <c r="EN48" s="119" t="str">
        <f>Summ.!$B57</f>
        <v>Ground Lease State</v>
      </c>
      <c r="EO48" s="134">
        <f t="shared" si="235"/>
        <v>32400</v>
      </c>
      <c r="EP48" s="110">
        <v>0</v>
      </c>
      <c r="EQ48" s="110">
        <f t="shared" si="236"/>
        <v>32400</v>
      </c>
      <c r="ER48" s="113">
        <f t="shared" si="185"/>
        <v>3.9034039719534647E-2</v>
      </c>
      <c r="ES48" s="110">
        <f t="shared" si="186"/>
        <v>1264.7028869129226</v>
      </c>
      <c r="ET48" s="115">
        <f t="shared" si="187"/>
        <v>0</v>
      </c>
      <c r="EU48" s="110">
        <f t="shared" si="188"/>
        <v>1264.7028869129226</v>
      </c>
      <c r="EV48" s="52">
        <f>Summ.!$A57</f>
        <v>55190</v>
      </c>
      <c r="EW48" s="119" t="str">
        <f>Summ.!$B57</f>
        <v>Ground Lease State</v>
      </c>
      <c r="EX48" s="134">
        <f t="shared" si="237"/>
        <v>32400</v>
      </c>
      <c r="EY48" s="110">
        <v>0</v>
      </c>
      <c r="EZ48" s="110">
        <f t="shared" si="238"/>
        <v>32400</v>
      </c>
      <c r="FA48" s="113">
        <f t="shared" si="189"/>
        <v>1.8841317717106038E-2</v>
      </c>
      <c r="FB48" s="110">
        <f t="shared" si="190"/>
        <v>610.45869403423558</v>
      </c>
      <c r="FC48" s="115">
        <f t="shared" si="191"/>
        <v>0</v>
      </c>
      <c r="FD48" s="110">
        <f t="shared" si="192"/>
        <v>610.45869403423558</v>
      </c>
      <c r="FE48" s="52">
        <f>Summ.!$A57</f>
        <v>55190</v>
      </c>
      <c r="FF48" s="119" t="str">
        <f>Summ.!$B57</f>
        <v>Ground Lease State</v>
      </c>
      <c r="FG48" s="134">
        <f t="shared" si="239"/>
        <v>32400</v>
      </c>
      <c r="FH48" s="110">
        <f t="shared" si="240"/>
        <v>0</v>
      </c>
      <c r="FI48" s="110">
        <f t="shared" si="241"/>
        <v>32400</v>
      </c>
      <c r="FJ48" s="113">
        <f t="shared" si="193"/>
        <v>7.254494888166399E-2</v>
      </c>
      <c r="FK48" s="110">
        <f t="shared" si="194"/>
        <v>2350.4563437659131</v>
      </c>
      <c r="FL48" s="115">
        <f t="shared" si="195"/>
        <v>0</v>
      </c>
      <c r="FM48" s="110">
        <f t="shared" si="196"/>
        <v>2350.4563437659131</v>
      </c>
    </row>
    <row r="49" spans="1:169" ht="12.75" customHeight="1">
      <c r="A49" s="52">
        <f>Summ.!A58</f>
        <v>55190</v>
      </c>
      <c r="B49" s="45" t="str">
        <f>Summ.!B58</f>
        <v>Ground Lease Private</v>
      </c>
      <c r="C49" s="45"/>
      <c r="D49" s="45"/>
      <c r="E49" s="45"/>
      <c r="F49" s="106">
        <f>+Summ.!O58</f>
        <v>105633.71999999999</v>
      </c>
      <c r="G49" s="482">
        <f>G42</f>
        <v>40148</v>
      </c>
      <c r="H49" s="52">
        <f>Summ.!$A58</f>
        <v>55190</v>
      </c>
      <c r="I49" s="119" t="str">
        <f>Summ.!$B58</f>
        <v>Ground Lease Private</v>
      </c>
      <c r="J49" s="134">
        <f t="shared" si="197"/>
        <v>105633.71999999999</v>
      </c>
      <c r="K49" s="110">
        <v>0</v>
      </c>
      <c r="L49" s="110">
        <f t="shared" si="198"/>
        <v>105633.71999999999</v>
      </c>
      <c r="M49" s="113">
        <f t="shared" si="124"/>
        <v>9.6468068147852942E-2</v>
      </c>
      <c r="N49" s="110">
        <f t="shared" si="125"/>
        <v>10190.280899671216</v>
      </c>
      <c r="O49" s="115">
        <f t="shared" si="126"/>
        <v>0</v>
      </c>
      <c r="P49" s="110">
        <f t="shared" si="127"/>
        <v>10190.280899671216</v>
      </c>
      <c r="Q49" s="52">
        <f>Summ.!$A58</f>
        <v>55190</v>
      </c>
      <c r="R49" s="119" t="str">
        <f>Summ.!$B58</f>
        <v>Ground Lease Private</v>
      </c>
      <c r="S49" s="134">
        <f t="shared" si="199"/>
        <v>105633.71999999999</v>
      </c>
      <c r="T49" s="110">
        <v>0</v>
      </c>
      <c r="U49" s="110">
        <f t="shared" si="201"/>
        <v>105633.71999999999</v>
      </c>
      <c r="V49" s="113">
        <f t="shared" si="128"/>
        <v>2.6751021221480521E-2</v>
      </c>
      <c r="W49" s="110">
        <f t="shared" si="129"/>
        <v>2825.8098854239311</v>
      </c>
      <c r="X49" s="115">
        <f t="shared" si="130"/>
        <v>0</v>
      </c>
      <c r="Y49" s="110">
        <f t="shared" si="131"/>
        <v>2825.8098854239311</v>
      </c>
      <c r="Z49" s="52">
        <f>Summ.!$A58</f>
        <v>55190</v>
      </c>
      <c r="AA49" s="119" t="str">
        <f>Summ.!$B58</f>
        <v>Ground Lease Private</v>
      </c>
      <c r="AB49" s="134">
        <f t="shared" si="202"/>
        <v>105633.71999999999</v>
      </c>
      <c r="AC49" s="110">
        <v>0</v>
      </c>
      <c r="AD49" s="110">
        <f t="shared" si="203"/>
        <v>105633.71999999999</v>
      </c>
      <c r="AE49" s="113">
        <f t="shared" si="132"/>
        <v>4.9815681976686258E-3</v>
      </c>
      <c r="AF49" s="110">
        <f t="shared" si="133"/>
        <v>526.22158015343223</v>
      </c>
      <c r="AG49" s="115">
        <f t="shared" si="134"/>
        <v>0</v>
      </c>
      <c r="AH49" s="110">
        <f t="shared" si="135"/>
        <v>526.22158015343223</v>
      </c>
      <c r="AI49" s="52">
        <f>Summ.!$A58</f>
        <v>55190</v>
      </c>
      <c r="AJ49" s="119" t="str">
        <f>Summ.!$B58</f>
        <v>Ground Lease Private</v>
      </c>
      <c r="AK49" s="134">
        <f t="shared" si="204"/>
        <v>105633.71999999999</v>
      </c>
      <c r="AL49" s="110">
        <f t="shared" si="205"/>
        <v>0</v>
      </c>
      <c r="AM49" s="110">
        <f t="shared" si="206"/>
        <v>105633.71999999999</v>
      </c>
      <c r="AN49" s="113">
        <f t="shared" si="136"/>
        <v>1.2902261631961742E-2</v>
      </c>
      <c r="AO49" s="110">
        <f t="shared" si="137"/>
        <v>1362.9138925973896</v>
      </c>
      <c r="AP49" s="115">
        <f t="shared" si="138"/>
        <v>0</v>
      </c>
      <c r="AQ49" s="110">
        <f t="shared" si="139"/>
        <v>1362.9138925973896</v>
      </c>
      <c r="AR49" s="52">
        <f>Summ.!$A58</f>
        <v>55190</v>
      </c>
      <c r="AS49" s="119" t="str">
        <f>Summ.!$B58</f>
        <v>Ground Lease Private</v>
      </c>
      <c r="AT49" s="134">
        <f t="shared" si="207"/>
        <v>105633.71999999999</v>
      </c>
      <c r="AU49" s="110">
        <f t="shared" si="208"/>
        <v>0</v>
      </c>
      <c r="AV49" s="110">
        <f t="shared" si="209"/>
        <v>105633.71999999999</v>
      </c>
      <c r="AW49" s="113">
        <f t="shared" si="140"/>
        <v>1.3076616518880143E-2</v>
      </c>
      <c r="AX49" s="110">
        <f t="shared" si="141"/>
        <v>1381.3316479027596</v>
      </c>
      <c r="AY49" s="115">
        <f t="shared" si="142"/>
        <v>0</v>
      </c>
      <c r="AZ49" s="110">
        <f t="shared" si="143"/>
        <v>1381.3316479027596</v>
      </c>
      <c r="BA49" s="52">
        <f>Summ.!$A58</f>
        <v>55190</v>
      </c>
      <c r="BB49" s="119" t="str">
        <f>Summ.!$B58</f>
        <v>Ground Lease Private</v>
      </c>
      <c r="BC49" s="134">
        <f t="shared" si="210"/>
        <v>105633.71999999999</v>
      </c>
      <c r="BD49" s="110">
        <f t="shared" si="211"/>
        <v>0</v>
      </c>
      <c r="BE49" s="110">
        <f t="shared" si="212"/>
        <v>105633.71999999999</v>
      </c>
      <c r="BF49" s="113" t="e">
        <f t="shared" si="144"/>
        <v>#REF!</v>
      </c>
      <c r="BG49" s="110" t="e">
        <f t="shared" si="145"/>
        <v>#REF!</v>
      </c>
      <c r="BH49" s="115" t="e">
        <f t="shared" si="146"/>
        <v>#REF!</v>
      </c>
      <c r="BI49" s="110" t="e">
        <f t="shared" si="147"/>
        <v>#REF!</v>
      </c>
      <c r="BJ49" s="52">
        <f>Summ.!$A58</f>
        <v>55190</v>
      </c>
      <c r="BK49" s="119" t="str">
        <f>Summ.!$B58</f>
        <v>Ground Lease Private</v>
      </c>
      <c r="BL49" s="134">
        <f t="shared" si="213"/>
        <v>105633.71999999999</v>
      </c>
      <c r="BM49" s="110">
        <f t="shared" si="148"/>
        <v>0</v>
      </c>
      <c r="BN49" s="110">
        <f t="shared" si="214"/>
        <v>105633.71999999999</v>
      </c>
      <c r="BO49" s="113">
        <f t="shared" si="149"/>
        <v>2.4758393942413071E-2</v>
      </c>
      <c r="BP49" s="110">
        <f t="shared" si="150"/>
        <v>2615.3212533625583</v>
      </c>
      <c r="BQ49" s="115">
        <f t="shared" si="151"/>
        <v>0</v>
      </c>
      <c r="BR49" s="110">
        <f t="shared" si="152"/>
        <v>2615.3212533625583</v>
      </c>
      <c r="BS49" s="52">
        <f>Summ.!$A58</f>
        <v>55190</v>
      </c>
      <c r="BT49" s="119" t="str">
        <f>Summ.!$B58</f>
        <v>Ground Lease Private</v>
      </c>
      <c r="BU49" s="134">
        <f t="shared" si="215"/>
        <v>105633.71999999999</v>
      </c>
      <c r="BV49" s="110">
        <v>0</v>
      </c>
      <c r="BW49" s="110">
        <f t="shared" si="217"/>
        <v>105633.71999999999</v>
      </c>
      <c r="BX49" s="113">
        <f t="shared" si="153"/>
        <v>2.5978878150841885E-2</v>
      </c>
      <c r="BY49" s="110">
        <f t="shared" si="154"/>
        <v>2744.2455405001492</v>
      </c>
      <c r="BZ49" s="115">
        <f t="shared" si="155"/>
        <v>0</v>
      </c>
      <c r="CA49" s="110">
        <f t="shared" si="156"/>
        <v>2744.2455405001492</v>
      </c>
      <c r="CB49" s="52">
        <f>Summ.!$A58</f>
        <v>55190</v>
      </c>
      <c r="CC49" s="119" t="str">
        <f>Summ.!$B58</f>
        <v>Ground Lease Private</v>
      </c>
      <c r="CD49" s="134">
        <f t="shared" si="218"/>
        <v>105633.71999999999</v>
      </c>
      <c r="CE49" s="110">
        <v>0</v>
      </c>
      <c r="CF49" s="110">
        <f t="shared" si="219"/>
        <v>105633.71999999999</v>
      </c>
      <c r="CG49" s="113">
        <f t="shared" si="157"/>
        <v>8.7825047324897876E-2</v>
      </c>
      <c r="CH49" s="110">
        <f t="shared" si="158"/>
        <v>9277.2864581050108</v>
      </c>
      <c r="CI49" s="115">
        <f t="shared" si="159"/>
        <v>0</v>
      </c>
      <c r="CJ49" s="110">
        <f t="shared" si="160"/>
        <v>9277.2864581050108</v>
      </c>
      <c r="CK49" s="52">
        <f>Summ.!$A58</f>
        <v>55190</v>
      </c>
      <c r="CL49" s="119" t="str">
        <f>Summ.!$B58</f>
        <v>Ground Lease Private</v>
      </c>
      <c r="CM49" s="134">
        <f t="shared" si="220"/>
        <v>105633.71999999999</v>
      </c>
      <c r="CN49" s="110">
        <f t="shared" si="221"/>
        <v>0</v>
      </c>
      <c r="CO49" s="110">
        <f t="shared" si="222"/>
        <v>105633.71999999999</v>
      </c>
      <c r="CP49" s="113">
        <f t="shared" si="161"/>
        <v>0.26741058085085184</v>
      </c>
      <c r="CQ49" s="110">
        <f t="shared" si="162"/>
        <v>28247.57442263624</v>
      </c>
      <c r="CR49" s="115">
        <f t="shared" si="163"/>
        <v>0</v>
      </c>
      <c r="CS49" s="110">
        <f t="shared" si="164"/>
        <v>28247.57442263624</v>
      </c>
      <c r="CT49" s="52">
        <f>Summ.!$A58</f>
        <v>55190</v>
      </c>
      <c r="CU49" s="119" t="str">
        <f>Summ.!$B58</f>
        <v>Ground Lease Private</v>
      </c>
      <c r="CV49" s="134">
        <f t="shared" si="223"/>
        <v>105633.71999999999</v>
      </c>
      <c r="CW49" s="110">
        <v>0</v>
      </c>
      <c r="CX49" s="110">
        <f t="shared" si="224"/>
        <v>105633.71999999999</v>
      </c>
      <c r="CY49" s="113">
        <f t="shared" si="165"/>
        <v>7.472352296502939E-2</v>
      </c>
      <c r="CZ49" s="110">
        <f t="shared" si="166"/>
        <v>7893.3237023014835</v>
      </c>
      <c r="DA49" s="115">
        <f t="shared" si="167"/>
        <v>0</v>
      </c>
      <c r="DB49" s="110">
        <f t="shared" si="168"/>
        <v>7893.3237023014835</v>
      </c>
      <c r="DC49" s="52">
        <f>Summ.!$A58</f>
        <v>55190</v>
      </c>
      <c r="DD49" s="119" t="str">
        <f>Summ.!$B58</f>
        <v>Ground Lease Private</v>
      </c>
      <c r="DE49" s="134">
        <f t="shared" si="225"/>
        <v>105633.71999999999</v>
      </c>
      <c r="DF49" s="110">
        <v>0</v>
      </c>
      <c r="DG49" s="110">
        <f t="shared" si="226"/>
        <v>105633.71999999999</v>
      </c>
      <c r="DH49" s="113">
        <f t="shared" si="169"/>
        <v>1.2453920494171565E-2</v>
      </c>
      <c r="DI49" s="110">
        <f t="shared" si="170"/>
        <v>1315.5539503835805</v>
      </c>
      <c r="DJ49" s="115">
        <f t="shared" si="171"/>
        <v>0</v>
      </c>
      <c r="DK49" s="110">
        <f t="shared" si="172"/>
        <v>1315.5539503835805</v>
      </c>
      <c r="DL49" s="52">
        <f>Summ.!$A58</f>
        <v>55190</v>
      </c>
      <c r="DM49" s="119" t="str">
        <f>Summ.!$B58</f>
        <v>Ground Lease Private</v>
      </c>
      <c r="DN49" s="134">
        <f t="shared" si="227"/>
        <v>105633.71999999999</v>
      </c>
      <c r="DO49" s="110">
        <f>-DN49</f>
        <v>-105633.71999999999</v>
      </c>
      <c r="DP49" s="110">
        <f t="shared" si="228"/>
        <v>0</v>
      </c>
      <c r="DQ49" s="113">
        <f t="shared" si="173"/>
        <v>7.2133107502241708E-2</v>
      </c>
      <c r="DR49" s="110">
        <f t="shared" si="174"/>
        <v>0</v>
      </c>
      <c r="DS49" s="115">
        <f t="shared" si="175"/>
        <v>0</v>
      </c>
      <c r="DT49" s="110">
        <f t="shared" si="176"/>
        <v>0</v>
      </c>
      <c r="DU49" s="52">
        <f>Summ.!$A58</f>
        <v>55190</v>
      </c>
      <c r="DV49" s="119" t="str">
        <f>Summ.!$B58</f>
        <v>Ground Lease Private</v>
      </c>
      <c r="DW49" s="134">
        <f t="shared" si="229"/>
        <v>105633.71999999999</v>
      </c>
      <c r="DX49" s="110">
        <f t="shared" si="230"/>
        <v>-105633.71999999999</v>
      </c>
      <c r="DY49" s="110">
        <f t="shared" si="231"/>
        <v>0</v>
      </c>
      <c r="DZ49" s="113">
        <f t="shared" si="177"/>
        <v>0.19961143768058184</v>
      </c>
      <c r="EA49" s="110">
        <f t="shared" si="178"/>
        <v>0</v>
      </c>
      <c r="EB49" s="115">
        <f t="shared" si="179"/>
        <v>0</v>
      </c>
      <c r="EC49" s="110">
        <f t="shared" si="180"/>
        <v>0</v>
      </c>
      <c r="ED49" s="52">
        <f>Summ.!$A58</f>
        <v>55190</v>
      </c>
      <c r="EE49" s="119" t="str">
        <f>Summ.!$B58</f>
        <v>Ground Lease Private</v>
      </c>
      <c r="EF49" s="134">
        <f t="shared" si="232"/>
        <v>105633.71999999999</v>
      </c>
      <c r="EG49" s="110">
        <f t="shared" si="233"/>
        <v>-105633.71999999999</v>
      </c>
      <c r="EH49" s="110">
        <f t="shared" si="234"/>
        <v>0</v>
      </c>
      <c r="EI49" s="113">
        <f t="shared" si="181"/>
        <v>0.16190096642423035</v>
      </c>
      <c r="EJ49" s="110">
        <f t="shared" si="182"/>
        <v>0</v>
      </c>
      <c r="EK49" s="115">
        <f t="shared" si="183"/>
        <v>0</v>
      </c>
      <c r="EL49" s="110">
        <f t="shared" si="184"/>
        <v>0</v>
      </c>
      <c r="EM49" s="52">
        <f>Summ.!$A58</f>
        <v>55190</v>
      </c>
      <c r="EN49" s="119" t="str">
        <f>Summ.!$B58</f>
        <v>Ground Lease Private</v>
      </c>
      <c r="EO49" s="134">
        <f t="shared" si="235"/>
        <v>105633.71999999999</v>
      </c>
      <c r="EP49" s="110">
        <v>0</v>
      </c>
      <c r="EQ49" s="110">
        <f t="shared" si="236"/>
        <v>105633.71999999999</v>
      </c>
      <c r="ER49" s="113">
        <f t="shared" si="185"/>
        <v>4.9641327089767859E-2</v>
      </c>
      <c r="ES49" s="110">
        <f t="shared" si="186"/>
        <v>5243.7980462289524</v>
      </c>
      <c r="ET49" s="115">
        <f t="shared" si="187"/>
        <v>0</v>
      </c>
      <c r="EU49" s="110">
        <f t="shared" si="188"/>
        <v>5243.7980462289524</v>
      </c>
      <c r="EV49" s="52">
        <f>Summ.!$A58</f>
        <v>55190</v>
      </c>
      <c r="EW49" s="119" t="str">
        <f>Summ.!$B58</f>
        <v>Ground Lease Private</v>
      </c>
      <c r="EX49" s="134">
        <f t="shared" si="237"/>
        <v>105633.71999999999</v>
      </c>
      <c r="EY49" s="110">
        <v>0</v>
      </c>
      <c r="EZ49" s="110">
        <f t="shared" si="238"/>
        <v>105633.71999999999</v>
      </c>
      <c r="FA49" s="113">
        <f t="shared" si="189"/>
        <v>2.3961343030786092E-2</v>
      </c>
      <c r="FB49" s="110">
        <f t="shared" si="190"/>
        <v>2531.1258005380091</v>
      </c>
      <c r="FC49" s="115">
        <f t="shared" si="191"/>
        <v>0</v>
      </c>
      <c r="FD49" s="110">
        <f t="shared" si="192"/>
        <v>2531.1258005380091</v>
      </c>
      <c r="FE49" s="52">
        <f>Summ.!$A58</f>
        <v>55190</v>
      </c>
      <c r="FF49" s="119" t="str">
        <f>Summ.!$B58</f>
        <v>Ground Lease Private</v>
      </c>
      <c r="FG49" s="134">
        <f t="shared" si="239"/>
        <v>105633.71999999999</v>
      </c>
      <c r="FH49" s="110">
        <f t="shared" si="240"/>
        <v>0</v>
      </c>
      <c r="FI49" s="110">
        <f t="shared" si="241"/>
        <v>105633.71999999999</v>
      </c>
      <c r="FJ49" s="113">
        <f t="shared" si="193"/>
        <v>9.2258643020822956E-2</v>
      </c>
      <c r="FK49" s="110">
        <f t="shared" si="194"/>
        <v>9745.6236644415658</v>
      </c>
      <c r="FL49" s="115">
        <f t="shared" si="195"/>
        <v>0</v>
      </c>
      <c r="FM49" s="110">
        <f t="shared" si="196"/>
        <v>9745.6236644415658</v>
      </c>
    </row>
    <row r="50" spans="1:169">
      <c r="A50" s="52">
        <f>Summ.!A59</f>
        <v>51150</v>
      </c>
      <c r="B50" s="45" t="str">
        <f>Summ.!B59</f>
        <v>Sweeping</v>
      </c>
      <c r="C50" s="45"/>
      <c r="D50" s="45"/>
      <c r="E50" s="45"/>
      <c r="F50" s="106">
        <f>+Summ.!O59</f>
        <v>30923.978400000007</v>
      </c>
      <c r="G50" s="71">
        <f>Rent!$B$41</f>
        <v>51058</v>
      </c>
      <c r="H50" s="52">
        <f>Summ.!$A59</f>
        <v>51150</v>
      </c>
      <c r="I50" s="119" t="str">
        <f>Summ.!$B59</f>
        <v>Sweeping</v>
      </c>
      <c r="J50" s="134">
        <f t="shared" si="197"/>
        <v>30923.978400000007</v>
      </c>
      <c r="K50" s="110">
        <v>0</v>
      </c>
      <c r="L50" s="110">
        <f t="shared" si="198"/>
        <v>30923.978400000007</v>
      </c>
      <c r="M50" s="113">
        <f t="shared" si="124"/>
        <v>7.5854910102236675E-2</v>
      </c>
      <c r="N50" s="110">
        <f t="shared" si="125"/>
        <v>2345.7356015355094</v>
      </c>
      <c r="O50" s="115">
        <f t="shared" si="126"/>
        <v>0</v>
      </c>
      <c r="P50" s="110">
        <f t="shared" si="127"/>
        <v>2345.7356015355094</v>
      </c>
      <c r="Q50" s="52">
        <f>Summ.!$A59</f>
        <v>51150</v>
      </c>
      <c r="R50" s="119" t="str">
        <f>Summ.!$B59</f>
        <v>Sweeping</v>
      </c>
      <c r="S50" s="134">
        <f t="shared" si="199"/>
        <v>30923.978400000007</v>
      </c>
      <c r="T50" s="110">
        <f t="shared" ref="T50:T52" si="266">+K50</f>
        <v>0</v>
      </c>
      <c r="U50" s="110">
        <f t="shared" si="201"/>
        <v>30923.978400000007</v>
      </c>
      <c r="V50" s="113">
        <f t="shared" si="128"/>
        <v>2.1034901484586158E-2</v>
      </c>
      <c r="W50" s="110">
        <f t="shared" si="129"/>
        <v>650.4828391554704</v>
      </c>
      <c r="X50" s="115">
        <f t="shared" si="130"/>
        <v>0</v>
      </c>
      <c r="Y50" s="110">
        <f t="shared" si="131"/>
        <v>650.4828391554704</v>
      </c>
      <c r="Z50" s="52">
        <f>Summ.!$A59</f>
        <v>51150</v>
      </c>
      <c r="AA50" s="119" t="str">
        <f>Summ.!$B59</f>
        <v>Sweeping</v>
      </c>
      <c r="AB50" s="134">
        <f t="shared" si="202"/>
        <v>30923.978400000007</v>
      </c>
      <c r="AC50" s="110">
        <v>0</v>
      </c>
      <c r="AD50" s="110">
        <f t="shared" si="203"/>
        <v>30923.978400000007</v>
      </c>
      <c r="AE50" s="113">
        <f t="shared" si="132"/>
        <v>3.9171138705002152E-3</v>
      </c>
      <c r="AF50" s="110">
        <f t="shared" si="133"/>
        <v>121.13274472168908</v>
      </c>
      <c r="AG50" s="115">
        <f t="shared" si="134"/>
        <v>0</v>
      </c>
      <c r="AH50" s="110">
        <f t="shared" si="135"/>
        <v>121.13274472168908</v>
      </c>
      <c r="AI50" s="52">
        <f>Summ.!$A59</f>
        <v>51150</v>
      </c>
      <c r="AJ50" s="119" t="str">
        <f>Summ.!$B59</f>
        <v>Sweeping</v>
      </c>
      <c r="AK50" s="134">
        <f t="shared" si="204"/>
        <v>30923.978400000007</v>
      </c>
      <c r="AL50" s="110">
        <f t="shared" si="205"/>
        <v>0</v>
      </c>
      <c r="AM50" s="110">
        <f t="shared" si="206"/>
        <v>30923.978400000007</v>
      </c>
      <c r="AN50" s="113">
        <f t="shared" si="136"/>
        <v>1.0145324924595559E-2</v>
      </c>
      <c r="AO50" s="110">
        <f t="shared" si="137"/>
        <v>313.73380882917479</v>
      </c>
      <c r="AP50" s="115">
        <f t="shared" si="138"/>
        <v>0</v>
      </c>
      <c r="AQ50" s="110">
        <f t="shared" si="139"/>
        <v>313.73380882917479</v>
      </c>
      <c r="AR50" s="52">
        <f>Summ.!$A59</f>
        <v>51150</v>
      </c>
      <c r="AS50" s="119" t="str">
        <f>Summ.!$B59</f>
        <v>Sweeping</v>
      </c>
      <c r="AT50" s="134">
        <f t="shared" si="207"/>
        <v>30923.978400000007</v>
      </c>
      <c r="AU50" s="110">
        <f t="shared" si="208"/>
        <v>0</v>
      </c>
      <c r="AV50" s="110">
        <f t="shared" si="209"/>
        <v>30923.978400000007</v>
      </c>
      <c r="AW50" s="113">
        <f t="shared" si="140"/>
        <v>1.0282423910063065E-2</v>
      </c>
      <c r="AX50" s="110">
        <f t="shared" si="141"/>
        <v>317.97345489443387</v>
      </c>
      <c r="AY50" s="115">
        <f t="shared" si="142"/>
        <v>0</v>
      </c>
      <c r="AZ50" s="110">
        <f t="shared" si="143"/>
        <v>317.97345489443387</v>
      </c>
      <c r="BA50" s="52">
        <f>Summ.!$A59</f>
        <v>51150</v>
      </c>
      <c r="BB50" s="119" t="str">
        <f>Summ.!$B59</f>
        <v>Sweeping</v>
      </c>
      <c r="BC50" s="134">
        <f t="shared" si="210"/>
        <v>30923.978400000007</v>
      </c>
      <c r="BD50" s="110">
        <f t="shared" si="211"/>
        <v>0</v>
      </c>
      <c r="BE50" s="110">
        <f t="shared" si="212"/>
        <v>30923.978400000007</v>
      </c>
      <c r="BF50" s="113" t="e">
        <f t="shared" si="144"/>
        <v>#REF!</v>
      </c>
      <c r="BG50" s="110" t="e">
        <f t="shared" si="145"/>
        <v>#REF!</v>
      </c>
      <c r="BH50" s="115" t="e">
        <f t="shared" si="146"/>
        <v>#REF!</v>
      </c>
      <c r="BI50" s="110" t="e">
        <f t="shared" si="147"/>
        <v>#REF!</v>
      </c>
      <c r="BJ50" s="52">
        <f>Summ.!$A59</f>
        <v>51150</v>
      </c>
      <c r="BK50" s="119" t="str">
        <f>Summ.!$B59</f>
        <v>Sweeping</v>
      </c>
      <c r="BL50" s="134">
        <f t="shared" si="213"/>
        <v>30923.978400000007</v>
      </c>
      <c r="BM50" s="110">
        <f t="shared" si="148"/>
        <v>0</v>
      </c>
      <c r="BN50" s="110">
        <f t="shared" si="214"/>
        <v>30923.978400000007</v>
      </c>
      <c r="BO50" s="113">
        <f t="shared" si="149"/>
        <v>1.9468055936386071E-2</v>
      </c>
      <c r="BP50" s="110">
        <f t="shared" si="150"/>
        <v>602.02974126679476</v>
      </c>
      <c r="BQ50" s="115">
        <f t="shared" si="151"/>
        <v>0</v>
      </c>
      <c r="BR50" s="110">
        <f t="shared" si="152"/>
        <v>602.02974126679476</v>
      </c>
      <c r="BS50" s="52">
        <f>Summ.!$A59</f>
        <v>51150</v>
      </c>
      <c r="BT50" s="119" t="str">
        <f>Summ.!$B59</f>
        <v>Sweeping</v>
      </c>
      <c r="BU50" s="134">
        <f t="shared" si="215"/>
        <v>30923.978400000007</v>
      </c>
      <c r="BV50" s="110">
        <v>0</v>
      </c>
      <c r="BW50" s="110">
        <f t="shared" si="217"/>
        <v>30923.978400000007</v>
      </c>
      <c r="BX50" s="113">
        <f t="shared" si="153"/>
        <v>2.0427748834658623E-2</v>
      </c>
      <c r="BY50" s="110">
        <f t="shared" si="154"/>
        <v>631.70726372360855</v>
      </c>
      <c r="BZ50" s="115">
        <f t="shared" si="155"/>
        <v>0</v>
      </c>
      <c r="CA50" s="110">
        <f t="shared" si="156"/>
        <v>631.70726372360855</v>
      </c>
      <c r="CB50" s="52">
        <f>Summ.!$A59</f>
        <v>51150</v>
      </c>
      <c r="CC50" s="119" t="str">
        <f>Summ.!$B59</f>
        <v>Sweeping</v>
      </c>
      <c r="CD50" s="134">
        <f t="shared" si="218"/>
        <v>30923.978400000007</v>
      </c>
      <c r="CE50" s="110">
        <v>0</v>
      </c>
      <c r="CF50" s="110">
        <f t="shared" si="219"/>
        <v>30923.978400000007</v>
      </c>
      <c r="CG50" s="113">
        <f t="shared" si="157"/>
        <v>6.9058717536918793E-2</v>
      </c>
      <c r="CH50" s="110">
        <f t="shared" si="158"/>
        <v>2135.5702894433784</v>
      </c>
      <c r="CI50" s="115">
        <f t="shared" si="159"/>
        <v>0</v>
      </c>
      <c r="CJ50" s="110">
        <f t="shared" si="160"/>
        <v>2135.5702894433784</v>
      </c>
      <c r="CK50" s="52">
        <f>Summ.!$A59</f>
        <v>51150</v>
      </c>
      <c r="CL50" s="119" t="str">
        <f>Summ.!$B59</f>
        <v>Sweeping</v>
      </c>
      <c r="CM50" s="134">
        <f t="shared" si="220"/>
        <v>30923.978400000007</v>
      </c>
      <c r="CN50" s="110">
        <f t="shared" si="221"/>
        <v>0</v>
      </c>
      <c r="CO50" s="110">
        <f t="shared" si="222"/>
        <v>30923.978400000007</v>
      </c>
      <c r="CP50" s="113">
        <f t="shared" si="161"/>
        <v>0.21027067256845156</v>
      </c>
      <c r="CQ50" s="110">
        <f t="shared" si="162"/>
        <v>6502.4057366602701</v>
      </c>
      <c r="CR50" s="115">
        <f t="shared" si="163"/>
        <v>0</v>
      </c>
      <c r="CS50" s="110">
        <f t="shared" si="164"/>
        <v>6502.4057366602701</v>
      </c>
      <c r="CT50" s="52">
        <f>Summ.!$A59</f>
        <v>51150</v>
      </c>
      <c r="CU50" s="119" t="str">
        <f>Summ.!$B59</f>
        <v>Sweeping</v>
      </c>
      <c r="CV50" s="134">
        <f t="shared" si="223"/>
        <v>30923.978400000007</v>
      </c>
      <c r="CW50" s="110">
        <v>0</v>
      </c>
      <c r="CX50" s="110">
        <f t="shared" si="224"/>
        <v>30923.978400000007</v>
      </c>
      <c r="CY50" s="113">
        <f t="shared" si="165"/>
        <v>5.8756708057503229E-2</v>
      </c>
      <c r="CZ50" s="110">
        <f t="shared" si="166"/>
        <v>1816.9911708253362</v>
      </c>
      <c r="DA50" s="115">
        <f t="shared" si="167"/>
        <v>0</v>
      </c>
      <c r="DB50" s="110">
        <f t="shared" si="168"/>
        <v>1816.9911708253362</v>
      </c>
      <c r="DC50" s="52">
        <f>Summ.!$A59</f>
        <v>51150</v>
      </c>
      <c r="DD50" s="119" t="str">
        <f>Summ.!$B59</f>
        <v>Sweeping</v>
      </c>
      <c r="DE50" s="134">
        <f t="shared" si="225"/>
        <v>30923.978400000007</v>
      </c>
      <c r="DF50" s="110">
        <v>0</v>
      </c>
      <c r="DG50" s="110">
        <f t="shared" si="226"/>
        <v>30923.978400000007</v>
      </c>
      <c r="DH50" s="113">
        <f t="shared" si="169"/>
        <v>9.7927846762505388E-3</v>
      </c>
      <c r="DI50" s="110">
        <f t="shared" si="170"/>
        <v>302.83186180422274</v>
      </c>
      <c r="DJ50" s="115">
        <f t="shared" si="171"/>
        <v>0</v>
      </c>
      <c r="DK50" s="110">
        <f t="shared" si="172"/>
        <v>302.83186180422274</v>
      </c>
      <c r="DL50" s="52">
        <f>Summ.!$A59</f>
        <v>51150</v>
      </c>
      <c r="DM50" s="119" t="str">
        <f>Summ.!$B59</f>
        <v>Sweeping</v>
      </c>
      <c r="DN50" s="134">
        <f t="shared" si="227"/>
        <v>30923.978400000007</v>
      </c>
      <c r="DO50" s="110">
        <v>0</v>
      </c>
      <c r="DP50" s="110">
        <f t="shared" si="228"/>
        <v>30923.978400000007</v>
      </c>
      <c r="DQ50" s="113">
        <f t="shared" si="173"/>
        <v>5.6719808844843123E-2</v>
      </c>
      <c r="DR50" s="110">
        <f t="shared" si="174"/>
        <v>1754.002143570058</v>
      </c>
      <c r="DS50" s="115">
        <f t="shared" si="175"/>
        <v>0</v>
      </c>
      <c r="DT50" s="110">
        <f t="shared" si="176"/>
        <v>1754.002143570058</v>
      </c>
      <c r="DU50" s="52">
        <f>Summ.!$A59</f>
        <v>51150</v>
      </c>
      <c r="DV50" s="119" t="str">
        <f>Summ.!$B59</f>
        <v>Sweeping</v>
      </c>
      <c r="DW50" s="134">
        <f t="shared" si="229"/>
        <v>30923.978400000007</v>
      </c>
      <c r="DX50" s="110">
        <f t="shared" si="230"/>
        <v>0</v>
      </c>
      <c r="DY50" s="110">
        <f t="shared" si="231"/>
        <v>30923.978400000007</v>
      </c>
      <c r="DZ50" s="113">
        <f t="shared" si="177"/>
        <v>0.15695875279094362</v>
      </c>
      <c r="EA50" s="110">
        <f t="shared" si="178"/>
        <v>4853.7890809980818</v>
      </c>
      <c r="EB50" s="115">
        <f t="shared" si="179"/>
        <v>0</v>
      </c>
      <c r="EC50" s="110">
        <f t="shared" si="180"/>
        <v>4853.7890809980818</v>
      </c>
      <c r="ED50" s="52">
        <f>Summ.!$A59</f>
        <v>51150</v>
      </c>
      <c r="EE50" s="119" t="str">
        <f>Summ.!$B59</f>
        <v>Sweeping</v>
      </c>
      <c r="EF50" s="134">
        <f t="shared" si="232"/>
        <v>30923.978400000007</v>
      </c>
      <c r="EG50" s="110">
        <f t="shared" si="233"/>
        <v>0</v>
      </c>
      <c r="EH50" s="110">
        <f t="shared" si="234"/>
        <v>30923.978400000007</v>
      </c>
      <c r="EI50" s="113">
        <f t="shared" si="181"/>
        <v>0.12730620079125701</v>
      </c>
      <c r="EJ50" s="110">
        <f t="shared" si="182"/>
        <v>3936.8142034548955</v>
      </c>
      <c r="EK50" s="115">
        <f t="shared" si="183"/>
        <v>590.52213051823435</v>
      </c>
      <c r="EL50" s="110">
        <f t="shared" si="184"/>
        <v>4527.3363339731295</v>
      </c>
      <c r="EM50" s="52">
        <f>Summ.!$A59</f>
        <v>51150</v>
      </c>
      <c r="EN50" s="119" t="str">
        <f>Summ.!$B59</f>
        <v>Sweeping</v>
      </c>
      <c r="EO50" s="134">
        <f t="shared" si="235"/>
        <v>30923.978400000007</v>
      </c>
      <c r="EP50" s="110">
        <v>0</v>
      </c>
      <c r="EQ50" s="110">
        <f t="shared" si="236"/>
        <v>30923.978400000007</v>
      </c>
      <c r="ER50" s="113">
        <f t="shared" si="185"/>
        <v>3.9034039719534647E-2</v>
      </c>
      <c r="ES50" s="110">
        <f t="shared" si="186"/>
        <v>1207.0878011516318</v>
      </c>
      <c r="ET50" s="115">
        <f t="shared" si="187"/>
        <v>0</v>
      </c>
      <c r="EU50" s="110">
        <f t="shared" si="188"/>
        <v>1207.0878011516318</v>
      </c>
      <c r="EV50" s="52">
        <f>Summ.!$A59</f>
        <v>51150</v>
      </c>
      <c r="EW50" s="119" t="str">
        <f>Summ.!$B59</f>
        <v>Sweeping</v>
      </c>
      <c r="EX50" s="134">
        <f t="shared" si="237"/>
        <v>30923.978400000007</v>
      </c>
      <c r="EY50" s="110">
        <v>0</v>
      </c>
      <c r="EZ50" s="110">
        <f t="shared" si="238"/>
        <v>30923.978400000007</v>
      </c>
      <c r="FA50" s="113">
        <f t="shared" si="189"/>
        <v>1.8841317717106038E-2</v>
      </c>
      <c r="FB50" s="110">
        <f t="shared" si="190"/>
        <v>582.64850211132455</v>
      </c>
      <c r="FC50" s="115">
        <f t="shared" si="191"/>
        <v>0</v>
      </c>
      <c r="FD50" s="110">
        <f t="shared" si="192"/>
        <v>582.64850211132455</v>
      </c>
      <c r="FE50" s="52">
        <f>Summ.!$A59</f>
        <v>51150</v>
      </c>
      <c r="FF50" s="119" t="str">
        <f>Summ.!$B59</f>
        <v>Sweeping</v>
      </c>
      <c r="FG50" s="134">
        <f t="shared" si="239"/>
        <v>30923.978400000007</v>
      </c>
      <c r="FH50" s="110">
        <f t="shared" si="240"/>
        <v>0</v>
      </c>
      <c r="FI50" s="110">
        <f t="shared" si="241"/>
        <v>30923.978400000007</v>
      </c>
      <c r="FJ50" s="113">
        <f t="shared" si="193"/>
        <v>7.254494888166399E-2</v>
      </c>
      <c r="FK50" s="110">
        <f t="shared" si="194"/>
        <v>2243.3784322456818</v>
      </c>
      <c r="FL50" s="115">
        <f t="shared" si="195"/>
        <v>0</v>
      </c>
      <c r="FM50" s="110">
        <f t="shared" si="196"/>
        <v>2243.3784322456818</v>
      </c>
    </row>
    <row r="51" spans="1:169">
      <c r="A51" s="52">
        <f>Summ.!A60</f>
        <v>51160</v>
      </c>
      <c r="B51" s="45" t="str">
        <f>Summ.!B60</f>
        <v>Security - Split 80%</v>
      </c>
      <c r="C51" s="45"/>
      <c r="D51" s="45"/>
      <c r="E51" s="45"/>
      <c r="F51" s="106">
        <f>+Summ.!O60</f>
        <v>122016</v>
      </c>
      <c r="G51" s="71">
        <f>Rent!$B$41</f>
        <v>51058</v>
      </c>
      <c r="H51" s="52">
        <f>Summ.!$A60</f>
        <v>51160</v>
      </c>
      <c r="I51" s="119" t="str">
        <f>Summ.!$B60</f>
        <v>Security - Split 80%</v>
      </c>
      <c r="J51" s="134">
        <f t="shared" si="197"/>
        <v>122016</v>
      </c>
      <c r="K51" s="110">
        <v>0</v>
      </c>
      <c r="L51" s="110">
        <f t="shared" si="198"/>
        <v>122016</v>
      </c>
      <c r="M51" s="113">
        <f t="shared" si="124"/>
        <v>7.5854910102236675E-2</v>
      </c>
      <c r="N51" s="110">
        <f t="shared" si="125"/>
        <v>9255.5127110345093</v>
      </c>
      <c r="O51" s="115">
        <f t="shared" si="126"/>
        <v>0</v>
      </c>
      <c r="P51" s="110">
        <f t="shared" si="127"/>
        <v>9255.5127110345093</v>
      </c>
      <c r="Q51" s="52">
        <f>Summ.!$A60</f>
        <v>51160</v>
      </c>
      <c r="R51" s="119" t="str">
        <f>Summ.!$B60</f>
        <v>Security - Split 80%</v>
      </c>
      <c r="S51" s="134">
        <f t="shared" si="199"/>
        <v>122016</v>
      </c>
      <c r="T51" s="110">
        <f t="shared" si="266"/>
        <v>0</v>
      </c>
      <c r="U51" s="110">
        <f t="shared" si="201"/>
        <v>122016</v>
      </c>
      <c r="V51" s="113">
        <f t="shared" si="128"/>
        <v>2.1034901484586158E-2</v>
      </c>
      <c r="W51" s="110">
        <f t="shared" si="129"/>
        <v>2566.5945395432645</v>
      </c>
      <c r="X51" s="115">
        <f t="shared" si="130"/>
        <v>0</v>
      </c>
      <c r="Y51" s="110">
        <f t="shared" si="131"/>
        <v>2566.5945395432645</v>
      </c>
      <c r="Z51" s="52">
        <f>Summ.!$A60</f>
        <v>51160</v>
      </c>
      <c r="AA51" s="119" t="str">
        <f>Summ.!$B60</f>
        <v>Security - Split 80%</v>
      </c>
      <c r="AB51" s="134">
        <f t="shared" si="202"/>
        <v>122016</v>
      </c>
      <c r="AC51" s="110">
        <v>0</v>
      </c>
      <c r="AD51" s="110">
        <f t="shared" si="203"/>
        <v>122016</v>
      </c>
      <c r="AE51" s="113">
        <f t="shared" si="132"/>
        <v>3.9171138705002152E-3</v>
      </c>
      <c r="AF51" s="110">
        <f t="shared" si="133"/>
        <v>477.95056602295426</v>
      </c>
      <c r="AG51" s="115">
        <f t="shared" si="134"/>
        <v>0</v>
      </c>
      <c r="AH51" s="110">
        <f t="shared" si="135"/>
        <v>477.95056602295426</v>
      </c>
      <c r="AI51" s="52">
        <f>Summ.!$A60</f>
        <v>51160</v>
      </c>
      <c r="AJ51" s="119" t="str">
        <f>Summ.!$B60</f>
        <v>Security - Split 80%</v>
      </c>
      <c r="AK51" s="134">
        <f t="shared" si="204"/>
        <v>122016</v>
      </c>
      <c r="AL51" s="110">
        <f t="shared" si="205"/>
        <v>0</v>
      </c>
      <c r="AM51" s="110">
        <f t="shared" si="206"/>
        <v>122016</v>
      </c>
      <c r="AN51" s="113">
        <f t="shared" si="136"/>
        <v>1.0145324924595559E-2</v>
      </c>
      <c r="AO51" s="110">
        <f t="shared" si="137"/>
        <v>1237.8919659994517</v>
      </c>
      <c r="AP51" s="115">
        <f t="shared" si="138"/>
        <v>0</v>
      </c>
      <c r="AQ51" s="110">
        <f t="shared" si="139"/>
        <v>1237.8919659994517</v>
      </c>
      <c r="AR51" s="52">
        <f>Summ.!$A60</f>
        <v>51160</v>
      </c>
      <c r="AS51" s="119" t="str">
        <f>Summ.!$B60</f>
        <v>Security - Split 80%</v>
      </c>
      <c r="AT51" s="134">
        <f t="shared" si="207"/>
        <v>122016</v>
      </c>
      <c r="AU51" s="110">
        <f t="shared" si="208"/>
        <v>0</v>
      </c>
      <c r="AV51" s="110">
        <f t="shared" si="209"/>
        <v>122016</v>
      </c>
      <c r="AW51" s="113">
        <f t="shared" si="140"/>
        <v>1.0282423910063065E-2</v>
      </c>
      <c r="AX51" s="110">
        <f t="shared" si="141"/>
        <v>1254.6202358102551</v>
      </c>
      <c r="AY51" s="115">
        <f t="shared" si="142"/>
        <v>0</v>
      </c>
      <c r="AZ51" s="110">
        <f t="shared" si="143"/>
        <v>1254.6202358102551</v>
      </c>
      <c r="BA51" s="52">
        <f>Summ.!$A60</f>
        <v>51160</v>
      </c>
      <c r="BB51" s="119" t="str">
        <f>Summ.!$B60</f>
        <v>Security - Split 80%</v>
      </c>
      <c r="BC51" s="134">
        <f t="shared" si="210"/>
        <v>122016</v>
      </c>
      <c r="BD51" s="110">
        <f t="shared" si="211"/>
        <v>0</v>
      </c>
      <c r="BE51" s="110">
        <f t="shared" si="212"/>
        <v>122016</v>
      </c>
      <c r="BF51" s="113" t="e">
        <f t="shared" si="144"/>
        <v>#REF!</v>
      </c>
      <c r="BG51" s="110" t="e">
        <f t="shared" si="145"/>
        <v>#REF!</v>
      </c>
      <c r="BH51" s="115" t="e">
        <f t="shared" si="146"/>
        <v>#REF!</v>
      </c>
      <c r="BI51" s="110" t="e">
        <f t="shared" si="147"/>
        <v>#REF!</v>
      </c>
      <c r="BJ51" s="52">
        <f>Summ.!$A60</f>
        <v>51160</v>
      </c>
      <c r="BK51" s="119" t="str">
        <f>Summ.!$B60</f>
        <v>Security - Split 80%</v>
      </c>
      <c r="BL51" s="134">
        <f t="shared" si="213"/>
        <v>122016</v>
      </c>
      <c r="BM51" s="110">
        <f t="shared" si="148"/>
        <v>0</v>
      </c>
      <c r="BN51" s="110">
        <f t="shared" si="214"/>
        <v>122016</v>
      </c>
      <c r="BO51" s="113">
        <f t="shared" si="149"/>
        <v>1.9468055936386071E-2</v>
      </c>
      <c r="BP51" s="110">
        <f t="shared" si="150"/>
        <v>2375.4143131340829</v>
      </c>
      <c r="BQ51" s="115">
        <f t="shared" si="151"/>
        <v>0</v>
      </c>
      <c r="BR51" s="110">
        <f t="shared" si="152"/>
        <v>2375.4143131340829</v>
      </c>
      <c r="BS51" s="52">
        <f>Summ.!$A60</f>
        <v>51160</v>
      </c>
      <c r="BT51" s="119" t="str">
        <f>Summ.!$B60</f>
        <v>Security - Split 80%</v>
      </c>
      <c r="BU51" s="134">
        <f t="shared" si="215"/>
        <v>122016</v>
      </c>
      <c r="BV51" s="110">
        <f t="shared" ref="BV51:BV52" si="267">+BM51</f>
        <v>0</v>
      </c>
      <c r="BW51" s="110">
        <f t="shared" si="217"/>
        <v>122016</v>
      </c>
      <c r="BX51" s="113">
        <f t="shared" si="153"/>
        <v>2.0427748834658623E-2</v>
      </c>
      <c r="BY51" s="110">
        <f t="shared" si="154"/>
        <v>2492.5122018097063</v>
      </c>
      <c r="BZ51" s="115">
        <f t="shared" si="155"/>
        <v>0</v>
      </c>
      <c r="CA51" s="110">
        <f t="shared" si="156"/>
        <v>2492.5122018097063</v>
      </c>
      <c r="CB51" s="52">
        <f>Summ.!$A60</f>
        <v>51160</v>
      </c>
      <c r="CC51" s="119" t="str">
        <f>Summ.!$B60</f>
        <v>Security - Split 80%</v>
      </c>
      <c r="CD51" s="134">
        <f t="shared" si="218"/>
        <v>122016</v>
      </c>
      <c r="CE51" s="110">
        <v>0</v>
      </c>
      <c r="CF51" s="110">
        <f t="shared" si="219"/>
        <v>122016</v>
      </c>
      <c r="CG51" s="113">
        <f t="shared" si="157"/>
        <v>6.9058717536918793E-2</v>
      </c>
      <c r="CH51" s="110">
        <f t="shared" si="158"/>
        <v>8426.2684789846826</v>
      </c>
      <c r="CI51" s="115">
        <f t="shared" si="159"/>
        <v>0</v>
      </c>
      <c r="CJ51" s="110">
        <f t="shared" si="160"/>
        <v>8426.2684789846826</v>
      </c>
      <c r="CK51" s="52">
        <f>Summ.!$A60</f>
        <v>51160</v>
      </c>
      <c r="CL51" s="119" t="str">
        <f>Summ.!$B60</f>
        <v>Security - Split 80%</v>
      </c>
      <c r="CM51" s="134">
        <f t="shared" si="220"/>
        <v>122016</v>
      </c>
      <c r="CN51" s="110">
        <f t="shared" si="221"/>
        <v>0</v>
      </c>
      <c r="CO51" s="110">
        <f t="shared" si="222"/>
        <v>122016</v>
      </c>
      <c r="CP51" s="113">
        <f t="shared" si="161"/>
        <v>0.21027067256845156</v>
      </c>
      <c r="CQ51" s="110">
        <f t="shared" si="162"/>
        <v>25656.386384112186</v>
      </c>
      <c r="CR51" s="115">
        <f t="shared" si="163"/>
        <v>0</v>
      </c>
      <c r="CS51" s="110">
        <f t="shared" si="164"/>
        <v>25656.386384112186</v>
      </c>
      <c r="CT51" s="52">
        <f>Summ.!$A60</f>
        <v>51160</v>
      </c>
      <c r="CU51" s="119" t="str">
        <f>Summ.!$B60</f>
        <v>Security - Split 80%</v>
      </c>
      <c r="CV51" s="134">
        <f t="shared" si="223"/>
        <v>122016</v>
      </c>
      <c r="CW51" s="110">
        <v>0</v>
      </c>
      <c r="CX51" s="110">
        <f t="shared" si="224"/>
        <v>122016</v>
      </c>
      <c r="CY51" s="113">
        <f t="shared" si="165"/>
        <v>5.8756708057503229E-2</v>
      </c>
      <c r="CZ51" s="110">
        <f t="shared" si="166"/>
        <v>7169.2584903443139</v>
      </c>
      <c r="DA51" s="115">
        <f t="shared" si="167"/>
        <v>0</v>
      </c>
      <c r="DB51" s="110">
        <f t="shared" si="168"/>
        <v>7169.2584903443139</v>
      </c>
      <c r="DC51" s="52">
        <f>Summ.!$A60</f>
        <v>51160</v>
      </c>
      <c r="DD51" s="119" t="str">
        <f>Summ.!$B60</f>
        <v>Security - Split 80%</v>
      </c>
      <c r="DE51" s="134">
        <f t="shared" si="225"/>
        <v>122016</v>
      </c>
      <c r="DF51" s="110">
        <v>0</v>
      </c>
      <c r="DG51" s="110">
        <f t="shared" si="226"/>
        <v>122016</v>
      </c>
      <c r="DH51" s="113">
        <f t="shared" si="169"/>
        <v>9.7927846762505388E-3</v>
      </c>
      <c r="DI51" s="110">
        <f t="shared" si="170"/>
        <v>1194.8764150573857</v>
      </c>
      <c r="DJ51" s="115">
        <f t="shared" si="171"/>
        <v>0</v>
      </c>
      <c r="DK51" s="110">
        <f t="shared" si="172"/>
        <v>1194.8764150573857</v>
      </c>
      <c r="DL51" s="52">
        <f>Summ.!$A60</f>
        <v>51160</v>
      </c>
      <c r="DM51" s="119" t="str">
        <f>Summ.!$B60</f>
        <v>Security - Split 80%</v>
      </c>
      <c r="DN51" s="134">
        <f t="shared" si="227"/>
        <v>122016</v>
      </c>
      <c r="DO51" s="110">
        <v>0</v>
      </c>
      <c r="DP51" s="110">
        <f t="shared" si="228"/>
        <v>122016</v>
      </c>
      <c r="DQ51" s="113">
        <f t="shared" si="173"/>
        <v>5.6719808844843123E-2</v>
      </c>
      <c r="DR51" s="110">
        <f t="shared" si="174"/>
        <v>6920.7241960123783</v>
      </c>
      <c r="DS51" s="115">
        <f t="shared" si="175"/>
        <v>0</v>
      </c>
      <c r="DT51" s="110">
        <f t="shared" si="176"/>
        <v>6920.7241960123783</v>
      </c>
      <c r="DU51" s="52">
        <f>Summ.!$A60</f>
        <v>51160</v>
      </c>
      <c r="DV51" s="119" t="str">
        <f>Summ.!$B60</f>
        <v>Security - Split 80%</v>
      </c>
      <c r="DW51" s="134">
        <f t="shared" si="229"/>
        <v>122016</v>
      </c>
      <c r="DX51" s="110">
        <f t="shared" si="230"/>
        <v>0</v>
      </c>
      <c r="DY51" s="110">
        <f t="shared" si="231"/>
        <v>122016</v>
      </c>
      <c r="DZ51" s="113">
        <f t="shared" si="177"/>
        <v>0.15695875279094362</v>
      </c>
      <c r="EA51" s="110">
        <f t="shared" si="178"/>
        <v>19151.479180539776</v>
      </c>
      <c r="EB51" s="115">
        <f t="shared" si="179"/>
        <v>0</v>
      </c>
      <c r="EC51" s="110">
        <f t="shared" si="180"/>
        <v>19151.479180539776</v>
      </c>
      <c r="ED51" s="52">
        <f>Summ.!$A60</f>
        <v>51160</v>
      </c>
      <c r="EE51" s="119" t="str">
        <f>Summ.!$B60</f>
        <v>Security - Split 80%</v>
      </c>
      <c r="EF51" s="134">
        <f t="shared" si="232"/>
        <v>122016</v>
      </c>
      <c r="EG51" s="110">
        <f t="shared" si="233"/>
        <v>0</v>
      </c>
      <c r="EH51" s="110">
        <f t="shared" si="234"/>
        <v>122016</v>
      </c>
      <c r="EI51" s="113">
        <f t="shared" si="181"/>
        <v>0.12730620079125701</v>
      </c>
      <c r="EJ51" s="110">
        <f t="shared" si="182"/>
        <v>15533.393395746016</v>
      </c>
      <c r="EK51" s="115">
        <f t="shared" si="183"/>
        <v>2330.0090093619024</v>
      </c>
      <c r="EL51" s="110">
        <f t="shared" si="184"/>
        <v>17863.402405107918</v>
      </c>
      <c r="EM51" s="52">
        <f>Summ.!$A60</f>
        <v>51160</v>
      </c>
      <c r="EN51" s="119" t="str">
        <f>Summ.!$B60</f>
        <v>Security - Split 80%</v>
      </c>
      <c r="EO51" s="134">
        <f t="shared" si="235"/>
        <v>122016</v>
      </c>
      <c r="EP51" s="110">
        <v>0</v>
      </c>
      <c r="EQ51" s="110">
        <f t="shared" si="236"/>
        <v>122016</v>
      </c>
      <c r="ER51" s="113">
        <f t="shared" si="185"/>
        <v>3.9034039719534647E-2</v>
      </c>
      <c r="ES51" s="110">
        <f t="shared" si="186"/>
        <v>4762.7773904187397</v>
      </c>
      <c r="ET51" s="115">
        <f t="shared" si="187"/>
        <v>0</v>
      </c>
      <c r="EU51" s="110">
        <f t="shared" si="188"/>
        <v>4762.7773904187397</v>
      </c>
      <c r="EV51" s="52">
        <f>Summ.!$A60</f>
        <v>51160</v>
      </c>
      <c r="EW51" s="119" t="str">
        <f>Summ.!$B60</f>
        <v>Security - Split 80%</v>
      </c>
      <c r="EX51" s="134">
        <f t="shared" si="237"/>
        <v>122016</v>
      </c>
      <c r="EY51" s="110">
        <v>0</v>
      </c>
      <c r="EZ51" s="110">
        <f t="shared" si="238"/>
        <v>122016</v>
      </c>
      <c r="FA51" s="113">
        <f t="shared" si="189"/>
        <v>1.8841317717106038E-2</v>
      </c>
      <c r="FB51" s="110">
        <f t="shared" si="190"/>
        <v>2298.9422225704102</v>
      </c>
      <c r="FC51" s="115">
        <f t="shared" si="191"/>
        <v>0</v>
      </c>
      <c r="FD51" s="110">
        <f t="shared" si="192"/>
        <v>2298.9422225704102</v>
      </c>
      <c r="FE51" s="52">
        <f>Summ.!$A60</f>
        <v>51160</v>
      </c>
      <c r="FF51" s="119" t="str">
        <f>Summ.!$B60</f>
        <v>Security - Split 80%</v>
      </c>
      <c r="FG51" s="134">
        <f t="shared" si="239"/>
        <v>122016</v>
      </c>
      <c r="FH51" s="110">
        <f t="shared" si="240"/>
        <v>0</v>
      </c>
      <c r="FI51" s="110">
        <f t="shared" si="241"/>
        <v>122016</v>
      </c>
      <c r="FJ51" s="113">
        <f t="shared" si="193"/>
        <v>7.254494888166399E-2</v>
      </c>
      <c r="FK51" s="110">
        <f t="shared" si="194"/>
        <v>8851.6444827451141</v>
      </c>
      <c r="FL51" s="115">
        <f t="shared" si="195"/>
        <v>0</v>
      </c>
      <c r="FM51" s="110">
        <f t="shared" si="196"/>
        <v>8851.6444827451141</v>
      </c>
    </row>
    <row r="52" spans="1:169" ht="12.75" customHeight="1">
      <c r="A52" s="52">
        <f>Summ.!A61</f>
        <v>51161</v>
      </c>
      <c r="B52" s="45" t="str">
        <f>Summ.!B61</f>
        <v>Security - Cameras</v>
      </c>
      <c r="C52" s="45"/>
      <c r="D52" s="45"/>
      <c r="E52" s="45"/>
      <c r="F52" s="106">
        <f>+Summ.!O61</f>
        <v>0</v>
      </c>
      <c r="G52" s="71">
        <f>Rent!$B$41</f>
        <v>51058</v>
      </c>
      <c r="H52" s="52">
        <f>Summ.!$A61</f>
        <v>51161</v>
      </c>
      <c r="I52" s="119" t="str">
        <f>Summ.!$B61</f>
        <v>Security - Cameras</v>
      </c>
      <c r="J52" s="134">
        <f t="shared" si="197"/>
        <v>0</v>
      </c>
      <c r="K52" s="110">
        <v>0</v>
      </c>
      <c r="L52" s="110">
        <f t="shared" si="198"/>
        <v>0</v>
      </c>
      <c r="M52" s="113">
        <f t="shared" si="124"/>
        <v>7.5854910102236675E-2</v>
      </c>
      <c r="N52" s="110">
        <f t="shared" si="125"/>
        <v>0</v>
      </c>
      <c r="O52" s="115">
        <f t="shared" si="126"/>
        <v>0</v>
      </c>
      <c r="P52" s="110">
        <f t="shared" si="127"/>
        <v>0</v>
      </c>
      <c r="Q52" s="52">
        <f>Summ.!$A61</f>
        <v>51161</v>
      </c>
      <c r="R52" s="119" t="str">
        <f>Summ.!$B61</f>
        <v>Security - Cameras</v>
      </c>
      <c r="S52" s="134">
        <f t="shared" si="199"/>
        <v>0</v>
      </c>
      <c r="T52" s="110">
        <f t="shared" si="266"/>
        <v>0</v>
      </c>
      <c r="U52" s="110">
        <f t="shared" si="201"/>
        <v>0</v>
      </c>
      <c r="V52" s="113">
        <f t="shared" si="128"/>
        <v>2.1034901484586158E-2</v>
      </c>
      <c r="W52" s="110">
        <f t="shared" si="129"/>
        <v>0</v>
      </c>
      <c r="X52" s="115">
        <f t="shared" si="130"/>
        <v>0</v>
      </c>
      <c r="Y52" s="110">
        <f t="shared" si="131"/>
        <v>0</v>
      </c>
      <c r="Z52" s="52">
        <f>Summ.!$A61</f>
        <v>51161</v>
      </c>
      <c r="AA52" s="119" t="str">
        <f>Summ.!$B61</f>
        <v>Security - Cameras</v>
      </c>
      <c r="AB52" s="134">
        <f t="shared" si="202"/>
        <v>0</v>
      </c>
      <c r="AC52" s="110">
        <v>0</v>
      </c>
      <c r="AD52" s="110">
        <f t="shared" si="203"/>
        <v>0</v>
      </c>
      <c r="AE52" s="113">
        <f t="shared" si="132"/>
        <v>3.9171138705002152E-3</v>
      </c>
      <c r="AF52" s="110">
        <f t="shared" si="133"/>
        <v>0</v>
      </c>
      <c r="AG52" s="115">
        <f t="shared" si="134"/>
        <v>0</v>
      </c>
      <c r="AH52" s="110">
        <f t="shared" si="135"/>
        <v>0</v>
      </c>
      <c r="AI52" s="52">
        <f>Summ.!$A61</f>
        <v>51161</v>
      </c>
      <c r="AJ52" s="119" t="str">
        <f>Summ.!$B61</f>
        <v>Security - Cameras</v>
      </c>
      <c r="AK52" s="134">
        <f t="shared" si="204"/>
        <v>0</v>
      </c>
      <c r="AL52" s="110">
        <f t="shared" si="205"/>
        <v>0</v>
      </c>
      <c r="AM52" s="110">
        <f t="shared" si="206"/>
        <v>0</v>
      </c>
      <c r="AN52" s="113">
        <f t="shared" si="136"/>
        <v>1.0145324924595559E-2</v>
      </c>
      <c r="AO52" s="110">
        <f t="shared" si="137"/>
        <v>0</v>
      </c>
      <c r="AP52" s="115">
        <f t="shared" si="138"/>
        <v>0</v>
      </c>
      <c r="AQ52" s="110">
        <f t="shared" si="139"/>
        <v>0</v>
      </c>
      <c r="AR52" s="52">
        <f>Summ.!$A61</f>
        <v>51161</v>
      </c>
      <c r="AS52" s="119" t="str">
        <f>Summ.!$B61</f>
        <v>Security - Cameras</v>
      </c>
      <c r="AT52" s="134">
        <f t="shared" si="207"/>
        <v>0</v>
      </c>
      <c r="AU52" s="110">
        <f t="shared" si="208"/>
        <v>0</v>
      </c>
      <c r="AV52" s="110">
        <f t="shared" si="209"/>
        <v>0</v>
      </c>
      <c r="AW52" s="113">
        <f t="shared" si="140"/>
        <v>1.0282423910063065E-2</v>
      </c>
      <c r="AX52" s="110">
        <f t="shared" si="141"/>
        <v>0</v>
      </c>
      <c r="AY52" s="115">
        <f t="shared" si="142"/>
        <v>0</v>
      </c>
      <c r="AZ52" s="110">
        <f t="shared" si="143"/>
        <v>0</v>
      </c>
      <c r="BA52" s="52">
        <f>Summ.!$A61</f>
        <v>51161</v>
      </c>
      <c r="BB52" s="119" t="str">
        <f>Summ.!$B61</f>
        <v>Security - Cameras</v>
      </c>
      <c r="BC52" s="134">
        <f t="shared" si="210"/>
        <v>0</v>
      </c>
      <c r="BD52" s="110">
        <f t="shared" si="211"/>
        <v>0</v>
      </c>
      <c r="BE52" s="110">
        <f t="shared" si="212"/>
        <v>0</v>
      </c>
      <c r="BF52" s="113" t="e">
        <f t="shared" si="144"/>
        <v>#REF!</v>
      </c>
      <c r="BG52" s="110" t="e">
        <f t="shared" si="145"/>
        <v>#REF!</v>
      </c>
      <c r="BH52" s="115" t="e">
        <f t="shared" si="146"/>
        <v>#REF!</v>
      </c>
      <c r="BI52" s="110" t="e">
        <f t="shared" si="147"/>
        <v>#REF!</v>
      </c>
      <c r="BJ52" s="52">
        <f>Summ.!$A61</f>
        <v>51161</v>
      </c>
      <c r="BK52" s="119" t="str">
        <f>Summ.!$B61</f>
        <v>Security - Cameras</v>
      </c>
      <c r="BL52" s="134">
        <f t="shared" si="213"/>
        <v>0</v>
      </c>
      <c r="BM52" s="110">
        <f t="shared" si="148"/>
        <v>0</v>
      </c>
      <c r="BN52" s="110">
        <f t="shared" si="214"/>
        <v>0</v>
      </c>
      <c r="BO52" s="113">
        <f t="shared" si="149"/>
        <v>1.9468055936386071E-2</v>
      </c>
      <c r="BP52" s="110">
        <f t="shared" si="150"/>
        <v>0</v>
      </c>
      <c r="BQ52" s="115">
        <f t="shared" si="151"/>
        <v>0</v>
      </c>
      <c r="BR52" s="110">
        <f t="shared" si="152"/>
        <v>0</v>
      </c>
      <c r="BS52" s="52">
        <f>Summ.!$A61</f>
        <v>51161</v>
      </c>
      <c r="BT52" s="119" t="str">
        <f>Summ.!$B61</f>
        <v>Security - Cameras</v>
      </c>
      <c r="BU52" s="134">
        <f t="shared" si="215"/>
        <v>0</v>
      </c>
      <c r="BV52" s="110">
        <f t="shared" si="267"/>
        <v>0</v>
      </c>
      <c r="BW52" s="110">
        <f t="shared" si="217"/>
        <v>0</v>
      </c>
      <c r="BX52" s="113">
        <f t="shared" si="153"/>
        <v>2.0427748834658623E-2</v>
      </c>
      <c r="BY52" s="110">
        <f t="shared" si="154"/>
        <v>0</v>
      </c>
      <c r="BZ52" s="115">
        <f t="shared" si="155"/>
        <v>0</v>
      </c>
      <c r="CA52" s="110">
        <f t="shared" si="156"/>
        <v>0</v>
      </c>
      <c r="CB52" s="52">
        <f>Summ.!$A61</f>
        <v>51161</v>
      </c>
      <c r="CC52" s="119" t="str">
        <f>Summ.!$B61</f>
        <v>Security - Cameras</v>
      </c>
      <c r="CD52" s="134">
        <f t="shared" si="218"/>
        <v>0</v>
      </c>
      <c r="CE52" s="110">
        <v>0</v>
      </c>
      <c r="CF52" s="110">
        <f t="shared" si="219"/>
        <v>0</v>
      </c>
      <c r="CG52" s="113">
        <f t="shared" si="157"/>
        <v>6.9058717536918793E-2</v>
      </c>
      <c r="CH52" s="110">
        <f t="shared" si="158"/>
        <v>0</v>
      </c>
      <c r="CI52" s="115">
        <f t="shared" si="159"/>
        <v>0</v>
      </c>
      <c r="CJ52" s="110">
        <f t="shared" si="160"/>
        <v>0</v>
      </c>
      <c r="CK52" s="52">
        <f>Summ.!$A61</f>
        <v>51161</v>
      </c>
      <c r="CL52" s="119" t="str">
        <f>Summ.!$B61</f>
        <v>Security - Cameras</v>
      </c>
      <c r="CM52" s="134">
        <f t="shared" si="220"/>
        <v>0</v>
      </c>
      <c r="CN52" s="110">
        <f t="shared" si="221"/>
        <v>0</v>
      </c>
      <c r="CO52" s="110">
        <f t="shared" si="222"/>
        <v>0</v>
      </c>
      <c r="CP52" s="113">
        <f t="shared" si="161"/>
        <v>0.21027067256845156</v>
      </c>
      <c r="CQ52" s="110">
        <f t="shared" si="162"/>
        <v>0</v>
      </c>
      <c r="CR52" s="115">
        <f t="shared" si="163"/>
        <v>0</v>
      </c>
      <c r="CS52" s="110">
        <f t="shared" si="164"/>
        <v>0</v>
      </c>
      <c r="CT52" s="52">
        <f>Summ.!$A61</f>
        <v>51161</v>
      </c>
      <c r="CU52" s="119" t="str">
        <f>Summ.!$B61</f>
        <v>Security - Cameras</v>
      </c>
      <c r="CV52" s="134">
        <f t="shared" si="223"/>
        <v>0</v>
      </c>
      <c r="CW52" s="110">
        <v>0</v>
      </c>
      <c r="CX52" s="110">
        <f t="shared" si="224"/>
        <v>0</v>
      </c>
      <c r="CY52" s="113">
        <f t="shared" si="165"/>
        <v>5.8756708057503229E-2</v>
      </c>
      <c r="CZ52" s="110">
        <f t="shared" si="166"/>
        <v>0</v>
      </c>
      <c r="DA52" s="115">
        <f t="shared" si="167"/>
        <v>0</v>
      </c>
      <c r="DB52" s="110">
        <f t="shared" si="168"/>
        <v>0</v>
      </c>
      <c r="DC52" s="52">
        <f>Summ.!$A61</f>
        <v>51161</v>
      </c>
      <c r="DD52" s="119" t="str">
        <f>Summ.!$B61</f>
        <v>Security - Cameras</v>
      </c>
      <c r="DE52" s="134">
        <f t="shared" si="225"/>
        <v>0</v>
      </c>
      <c r="DF52" s="110">
        <v>0</v>
      </c>
      <c r="DG52" s="110">
        <f t="shared" si="226"/>
        <v>0</v>
      </c>
      <c r="DH52" s="113">
        <f t="shared" si="169"/>
        <v>9.7927846762505388E-3</v>
      </c>
      <c r="DI52" s="110">
        <f t="shared" si="170"/>
        <v>0</v>
      </c>
      <c r="DJ52" s="115">
        <f t="shared" si="171"/>
        <v>0</v>
      </c>
      <c r="DK52" s="110">
        <f t="shared" si="172"/>
        <v>0</v>
      </c>
      <c r="DL52" s="52">
        <f>Summ.!$A61</f>
        <v>51161</v>
      </c>
      <c r="DM52" s="119" t="str">
        <f>Summ.!$B61</f>
        <v>Security - Cameras</v>
      </c>
      <c r="DN52" s="134">
        <f t="shared" si="227"/>
        <v>0</v>
      </c>
      <c r="DO52" s="110">
        <v>0</v>
      </c>
      <c r="DP52" s="110">
        <f t="shared" si="228"/>
        <v>0</v>
      </c>
      <c r="DQ52" s="113">
        <f t="shared" si="173"/>
        <v>5.6719808844843123E-2</v>
      </c>
      <c r="DR52" s="110">
        <f t="shared" si="174"/>
        <v>0</v>
      </c>
      <c r="DS52" s="115">
        <f t="shared" si="175"/>
        <v>0</v>
      </c>
      <c r="DT52" s="110">
        <f t="shared" si="176"/>
        <v>0</v>
      </c>
      <c r="DU52" s="52">
        <f>Summ.!$A61</f>
        <v>51161</v>
      </c>
      <c r="DV52" s="119" t="str">
        <f>Summ.!$B61</f>
        <v>Security - Cameras</v>
      </c>
      <c r="DW52" s="134">
        <f t="shared" si="229"/>
        <v>0</v>
      </c>
      <c r="DX52" s="110">
        <f t="shared" si="230"/>
        <v>0</v>
      </c>
      <c r="DY52" s="110">
        <f t="shared" si="231"/>
        <v>0</v>
      </c>
      <c r="DZ52" s="113">
        <f t="shared" si="177"/>
        <v>0.15695875279094362</v>
      </c>
      <c r="EA52" s="110">
        <f t="shared" si="178"/>
        <v>0</v>
      </c>
      <c r="EB52" s="115">
        <f t="shared" si="179"/>
        <v>0</v>
      </c>
      <c r="EC52" s="110">
        <f t="shared" si="180"/>
        <v>0</v>
      </c>
      <c r="ED52" s="52">
        <f>Summ.!$A61</f>
        <v>51161</v>
      </c>
      <c r="EE52" s="119" t="str">
        <f>Summ.!$B61</f>
        <v>Security - Cameras</v>
      </c>
      <c r="EF52" s="134">
        <f t="shared" si="232"/>
        <v>0</v>
      </c>
      <c r="EG52" s="110">
        <f t="shared" si="233"/>
        <v>0</v>
      </c>
      <c r="EH52" s="110">
        <f t="shared" si="234"/>
        <v>0</v>
      </c>
      <c r="EI52" s="113">
        <f t="shared" si="181"/>
        <v>0.12730620079125701</v>
      </c>
      <c r="EJ52" s="110">
        <f t="shared" si="182"/>
        <v>0</v>
      </c>
      <c r="EK52" s="115">
        <f t="shared" si="183"/>
        <v>0</v>
      </c>
      <c r="EL52" s="110">
        <f t="shared" si="184"/>
        <v>0</v>
      </c>
      <c r="EM52" s="52">
        <f>Summ.!$A61</f>
        <v>51161</v>
      </c>
      <c r="EN52" s="119" t="str">
        <f>Summ.!$B61</f>
        <v>Security - Cameras</v>
      </c>
      <c r="EO52" s="134">
        <f t="shared" si="235"/>
        <v>0</v>
      </c>
      <c r="EP52" s="110">
        <v>0</v>
      </c>
      <c r="EQ52" s="110">
        <f t="shared" si="236"/>
        <v>0</v>
      </c>
      <c r="ER52" s="113">
        <f t="shared" si="185"/>
        <v>3.9034039719534647E-2</v>
      </c>
      <c r="ES52" s="110">
        <f t="shared" si="186"/>
        <v>0</v>
      </c>
      <c r="ET52" s="115">
        <f t="shared" si="187"/>
        <v>0</v>
      </c>
      <c r="EU52" s="110">
        <f t="shared" si="188"/>
        <v>0</v>
      </c>
      <c r="EV52" s="52">
        <f>Summ.!$A61</f>
        <v>51161</v>
      </c>
      <c r="EW52" s="119" t="str">
        <f>Summ.!$B61</f>
        <v>Security - Cameras</v>
      </c>
      <c r="EX52" s="134">
        <f t="shared" si="237"/>
        <v>0</v>
      </c>
      <c r="EY52" s="110">
        <v>0</v>
      </c>
      <c r="EZ52" s="110">
        <f t="shared" si="238"/>
        <v>0</v>
      </c>
      <c r="FA52" s="113">
        <f t="shared" si="189"/>
        <v>1.8841317717106038E-2</v>
      </c>
      <c r="FB52" s="110">
        <f t="shared" si="190"/>
        <v>0</v>
      </c>
      <c r="FC52" s="115">
        <f t="shared" si="191"/>
        <v>0</v>
      </c>
      <c r="FD52" s="110">
        <f t="shared" si="192"/>
        <v>0</v>
      </c>
      <c r="FE52" s="52">
        <f>Summ.!$A61</f>
        <v>51161</v>
      </c>
      <c r="FF52" s="119" t="str">
        <f>Summ.!$B61</f>
        <v>Security - Cameras</v>
      </c>
      <c r="FG52" s="134">
        <f t="shared" si="239"/>
        <v>0</v>
      </c>
      <c r="FH52" s="110">
        <f t="shared" si="240"/>
        <v>0</v>
      </c>
      <c r="FI52" s="110">
        <f t="shared" si="241"/>
        <v>0</v>
      </c>
      <c r="FJ52" s="113">
        <f t="shared" si="193"/>
        <v>7.254494888166399E-2</v>
      </c>
      <c r="FK52" s="110">
        <f t="shared" si="194"/>
        <v>0</v>
      </c>
      <c r="FL52" s="115">
        <f t="shared" si="195"/>
        <v>0</v>
      </c>
      <c r="FM52" s="110">
        <f t="shared" si="196"/>
        <v>0</v>
      </c>
    </row>
    <row r="53" spans="1:169" ht="12.75" customHeight="1">
      <c r="A53" s="52">
        <f>Summ.!A62</f>
        <v>50103</v>
      </c>
      <c r="B53" s="45" t="str">
        <f>Summ.!B62</f>
        <v>Permits &amp; Fee - Waste Insp. Fee</v>
      </c>
      <c r="C53" s="45"/>
      <c r="D53" s="45"/>
      <c r="E53" s="45"/>
      <c r="F53" s="106">
        <f>+Summ.!O62</f>
        <v>0</v>
      </c>
      <c r="G53" s="71">
        <f>Rent!$B$41</f>
        <v>51058</v>
      </c>
      <c r="H53" s="52">
        <f>Summ.!$A62</f>
        <v>50103</v>
      </c>
      <c r="I53" s="119" t="str">
        <f>Summ.!$B62</f>
        <v>Permits &amp; Fee - Waste Insp. Fee</v>
      </c>
      <c r="J53" s="134">
        <f t="shared" si="197"/>
        <v>0</v>
      </c>
      <c r="K53" s="110">
        <v>0</v>
      </c>
      <c r="L53" s="110">
        <f t="shared" si="198"/>
        <v>0</v>
      </c>
      <c r="M53" s="113">
        <f t="shared" si="124"/>
        <v>7.5854910102236675E-2</v>
      </c>
      <c r="N53" s="110">
        <f t="shared" si="125"/>
        <v>0</v>
      </c>
      <c r="O53" s="115">
        <f t="shared" si="126"/>
        <v>0</v>
      </c>
      <c r="P53" s="110">
        <f t="shared" si="127"/>
        <v>0</v>
      </c>
      <c r="Q53" s="52">
        <f>Summ.!$A62</f>
        <v>50103</v>
      </c>
      <c r="R53" s="119" t="str">
        <f>Summ.!$B62</f>
        <v>Permits &amp; Fee - Waste Insp. Fee</v>
      </c>
      <c r="S53" s="134">
        <f t="shared" si="199"/>
        <v>0</v>
      </c>
      <c r="T53" s="110">
        <f t="shared" ref="T53:T69" si="268">+K53</f>
        <v>0</v>
      </c>
      <c r="U53" s="110">
        <f t="shared" ref="U53:U69" si="269">S53+T53</f>
        <v>0</v>
      </c>
      <c r="V53" s="113">
        <f t="shared" si="128"/>
        <v>2.1034901484586158E-2</v>
      </c>
      <c r="W53" s="110">
        <f t="shared" si="129"/>
        <v>0</v>
      </c>
      <c r="X53" s="115">
        <f t="shared" si="130"/>
        <v>0</v>
      </c>
      <c r="Y53" s="110">
        <f t="shared" si="131"/>
        <v>0</v>
      </c>
      <c r="Z53" s="52">
        <f>Summ.!$A62</f>
        <v>50103</v>
      </c>
      <c r="AA53" s="119" t="str">
        <f>Summ.!$B62</f>
        <v>Permits &amp; Fee - Waste Insp. Fee</v>
      </c>
      <c r="AB53" s="134">
        <f t="shared" si="202"/>
        <v>0</v>
      </c>
      <c r="AC53" s="110">
        <v>0</v>
      </c>
      <c r="AD53" s="110">
        <f t="shared" ref="AD53:AD69" si="270">AB53+AC53</f>
        <v>0</v>
      </c>
      <c r="AE53" s="113">
        <f t="shared" si="132"/>
        <v>3.9171138705002152E-3</v>
      </c>
      <c r="AF53" s="110">
        <f t="shared" si="133"/>
        <v>0</v>
      </c>
      <c r="AG53" s="115">
        <f t="shared" si="134"/>
        <v>0</v>
      </c>
      <c r="AH53" s="110">
        <f t="shared" si="135"/>
        <v>0</v>
      </c>
      <c r="AI53" s="52">
        <f>Summ.!$A62</f>
        <v>50103</v>
      </c>
      <c r="AJ53" s="119" t="str">
        <f>Summ.!$B62</f>
        <v>Permits &amp; Fee - Waste Insp. Fee</v>
      </c>
      <c r="AK53" s="134">
        <f t="shared" si="204"/>
        <v>0</v>
      </c>
      <c r="AL53" s="110">
        <f t="shared" ref="AL53:AL69" si="271">+AC53</f>
        <v>0</v>
      </c>
      <c r="AM53" s="110">
        <f t="shared" ref="AM53:AM69" si="272">AK53+AL53</f>
        <v>0</v>
      </c>
      <c r="AN53" s="113">
        <f t="shared" si="136"/>
        <v>1.0145324924595559E-2</v>
      </c>
      <c r="AO53" s="110">
        <f t="shared" si="137"/>
        <v>0</v>
      </c>
      <c r="AP53" s="115">
        <f t="shared" si="138"/>
        <v>0</v>
      </c>
      <c r="AQ53" s="110">
        <f t="shared" si="139"/>
        <v>0</v>
      </c>
      <c r="AR53" s="52">
        <f>Summ.!$A62</f>
        <v>50103</v>
      </c>
      <c r="AS53" s="119" t="str">
        <f>Summ.!$B62</f>
        <v>Permits &amp; Fee - Waste Insp. Fee</v>
      </c>
      <c r="AT53" s="134">
        <f t="shared" si="207"/>
        <v>0</v>
      </c>
      <c r="AU53" s="110">
        <f t="shared" ref="AU53:AU69" si="273">+AL53</f>
        <v>0</v>
      </c>
      <c r="AV53" s="110">
        <f t="shared" ref="AV53:AV69" si="274">AT53+AU53</f>
        <v>0</v>
      </c>
      <c r="AW53" s="113">
        <f t="shared" si="140"/>
        <v>1.0282423910063065E-2</v>
      </c>
      <c r="AX53" s="110">
        <f t="shared" si="141"/>
        <v>0</v>
      </c>
      <c r="AY53" s="115">
        <f t="shared" si="142"/>
        <v>0</v>
      </c>
      <c r="AZ53" s="110">
        <f t="shared" si="143"/>
        <v>0</v>
      </c>
      <c r="BA53" s="52">
        <f>Summ.!$A62</f>
        <v>50103</v>
      </c>
      <c r="BB53" s="119" t="str">
        <f>Summ.!$B62</f>
        <v>Permits &amp; Fee - Waste Insp. Fee</v>
      </c>
      <c r="BC53" s="134">
        <f t="shared" si="210"/>
        <v>0</v>
      </c>
      <c r="BD53" s="110">
        <f t="shared" ref="BD53:BD69" si="275">+AU53</f>
        <v>0</v>
      </c>
      <c r="BE53" s="110">
        <f t="shared" ref="BE53:BE69" si="276">BC53+BD53</f>
        <v>0</v>
      </c>
      <c r="BF53" s="113" t="e">
        <f t="shared" si="144"/>
        <v>#REF!</v>
      </c>
      <c r="BG53" s="110" t="e">
        <f t="shared" si="145"/>
        <v>#REF!</v>
      </c>
      <c r="BH53" s="115" t="e">
        <f t="shared" si="146"/>
        <v>#REF!</v>
      </c>
      <c r="BI53" s="110" t="e">
        <f t="shared" si="147"/>
        <v>#REF!</v>
      </c>
      <c r="BJ53" s="52">
        <f>Summ.!$A62</f>
        <v>50103</v>
      </c>
      <c r="BK53" s="119" t="str">
        <f>Summ.!$B62</f>
        <v>Permits &amp; Fee - Waste Insp. Fee</v>
      </c>
      <c r="BL53" s="134">
        <f t="shared" si="213"/>
        <v>0</v>
      </c>
      <c r="BM53" s="110">
        <f t="shared" si="148"/>
        <v>0</v>
      </c>
      <c r="BN53" s="110">
        <f t="shared" ref="BN53:BN69" si="277">BL53+BM53</f>
        <v>0</v>
      </c>
      <c r="BO53" s="113">
        <f t="shared" si="149"/>
        <v>1.9468055936386071E-2</v>
      </c>
      <c r="BP53" s="110">
        <f t="shared" si="150"/>
        <v>0</v>
      </c>
      <c r="BQ53" s="115">
        <f t="shared" si="151"/>
        <v>0</v>
      </c>
      <c r="BR53" s="110">
        <f t="shared" si="152"/>
        <v>0</v>
      </c>
      <c r="BS53" s="52">
        <f>Summ.!$A62</f>
        <v>50103</v>
      </c>
      <c r="BT53" s="119" t="str">
        <f>Summ.!$B62</f>
        <v>Permits &amp; Fee - Waste Insp. Fee</v>
      </c>
      <c r="BU53" s="134">
        <f t="shared" si="215"/>
        <v>0</v>
      </c>
      <c r="BV53" s="110">
        <f t="shared" ref="BV53:BV69" si="278">+BM53</f>
        <v>0</v>
      </c>
      <c r="BW53" s="110">
        <f t="shared" ref="BW53:BW69" si="279">BU53+BV53</f>
        <v>0</v>
      </c>
      <c r="BX53" s="113">
        <f t="shared" si="153"/>
        <v>2.0427748834658623E-2</v>
      </c>
      <c r="BY53" s="110">
        <f t="shared" si="154"/>
        <v>0</v>
      </c>
      <c r="BZ53" s="115">
        <f t="shared" si="155"/>
        <v>0</v>
      </c>
      <c r="CA53" s="110">
        <f t="shared" si="156"/>
        <v>0</v>
      </c>
      <c r="CB53" s="52">
        <f>Summ.!$A62</f>
        <v>50103</v>
      </c>
      <c r="CC53" s="119" t="str">
        <f>Summ.!$B62</f>
        <v>Permits &amp; Fee - Waste Insp. Fee</v>
      </c>
      <c r="CD53" s="134">
        <f t="shared" si="218"/>
        <v>0</v>
      </c>
      <c r="CE53" s="110">
        <v>0</v>
      </c>
      <c r="CF53" s="110">
        <f t="shared" ref="CF53:CF69" si="280">CD53+CE53</f>
        <v>0</v>
      </c>
      <c r="CG53" s="113">
        <f t="shared" si="157"/>
        <v>6.9058717536918793E-2</v>
      </c>
      <c r="CH53" s="110">
        <f t="shared" si="158"/>
        <v>0</v>
      </c>
      <c r="CI53" s="115">
        <f t="shared" si="159"/>
        <v>0</v>
      </c>
      <c r="CJ53" s="110">
        <f t="shared" si="160"/>
        <v>0</v>
      </c>
      <c r="CK53" s="52">
        <f>Summ.!$A62</f>
        <v>50103</v>
      </c>
      <c r="CL53" s="119" t="str">
        <f>Summ.!$B62</f>
        <v>Permits &amp; Fee - Waste Insp. Fee</v>
      </c>
      <c r="CM53" s="134">
        <f t="shared" si="220"/>
        <v>0</v>
      </c>
      <c r="CN53" s="110">
        <f t="shared" ref="CN53:CN69" si="281">+CE53</f>
        <v>0</v>
      </c>
      <c r="CO53" s="110">
        <f t="shared" ref="CO53:CO69" si="282">CM53+CN53</f>
        <v>0</v>
      </c>
      <c r="CP53" s="113">
        <f t="shared" si="161"/>
        <v>0.21027067256845156</v>
      </c>
      <c r="CQ53" s="110">
        <f t="shared" si="162"/>
        <v>0</v>
      </c>
      <c r="CR53" s="115">
        <f t="shared" si="163"/>
        <v>0</v>
      </c>
      <c r="CS53" s="110">
        <f t="shared" si="164"/>
        <v>0</v>
      </c>
      <c r="CT53" s="52">
        <f>Summ.!$A62</f>
        <v>50103</v>
      </c>
      <c r="CU53" s="119" t="str">
        <f>Summ.!$B62</f>
        <v>Permits &amp; Fee - Waste Insp. Fee</v>
      </c>
      <c r="CV53" s="134">
        <f t="shared" si="223"/>
        <v>0</v>
      </c>
      <c r="CW53" s="110">
        <v>0</v>
      </c>
      <c r="CX53" s="110">
        <f t="shared" ref="CX53:CX69" si="283">CV53+CW53</f>
        <v>0</v>
      </c>
      <c r="CY53" s="113">
        <f t="shared" si="165"/>
        <v>5.8756708057503229E-2</v>
      </c>
      <c r="CZ53" s="110">
        <f t="shared" si="166"/>
        <v>0</v>
      </c>
      <c r="DA53" s="115">
        <f t="shared" si="167"/>
        <v>0</v>
      </c>
      <c r="DB53" s="110">
        <f t="shared" si="168"/>
        <v>0</v>
      </c>
      <c r="DC53" s="52">
        <f>Summ.!$A62</f>
        <v>50103</v>
      </c>
      <c r="DD53" s="119" t="str">
        <f>Summ.!$B62</f>
        <v>Permits &amp; Fee - Waste Insp. Fee</v>
      </c>
      <c r="DE53" s="134">
        <f t="shared" si="225"/>
        <v>0</v>
      </c>
      <c r="DF53" s="110">
        <v>0</v>
      </c>
      <c r="DG53" s="110">
        <f t="shared" ref="DG53:DG69" si="284">DE53+DF53</f>
        <v>0</v>
      </c>
      <c r="DH53" s="113">
        <f t="shared" si="169"/>
        <v>9.7927846762505388E-3</v>
      </c>
      <c r="DI53" s="110">
        <f t="shared" si="170"/>
        <v>0</v>
      </c>
      <c r="DJ53" s="115">
        <f t="shared" si="171"/>
        <v>0</v>
      </c>
      <c r="DK53" s="110">
        <f t="shared" si="172"/>
        <v>0</v>
      </c>
      <c r="DL53" s="52">
        <f>Summ.!$A62</f>
        <v>50103</v>
      </c>
      <c r="DM53" s="119" t="str">
        <f>Summ.!$B62</f>
        <v>Permits &amp; Fee - Waste Insp. Fee</v>
      </c>
      <c r="DN53" s="134">
        <f t="shared" si="227"/>
        <v>0</v>
      </c>
      <c r="DO53" s="110">
        <v>0</v>
      </c>
      <c r="DP53" s="110">
        <f t="shared" ref="DP53:DP69" si="285">DN53+DO53</f>
        <v>0</v>
      </c>
      <c r="DQ53" s="113">
        <f t="shared" si="173"/>
        <v>5.6719808844843123E-2</v>
      </c>
      <c r="DR53" s="110">
        <f t="shared" si="174"/>
        <v>0</v>
      </c>
      <c r="DS53" s="115">
        <f t="shared" si="175"/>
        <v>0</v>
      </c>
      <c r="DT53" s="110">
        <f t="shared" si="176"/>
        <v>0</v>
      </c>
      <c r="DU53" s="52">
        <f>Summ.!$A62</f>
        <v>50103</v>
      </c>
      <c r="DV53" s="119" t="str">
        <f>Summ.!$B62</f>
        <v>Permits &amp; Fee - Waste Insp. Fee</v>
      </c>
      <c r="DW53" s="134">
        <f t="shared" si="229"/>
        <v>0</v>
      </c>
      <c r="DX53" s="110">
        <f t="shared" ref="DX53:DX69" si="286">+DO53</f>
        <v>0</v>
      </c>
      <c r="DY53" s="110">
        <f t="shared" ref="DY53:DY69" si="287">DW53+DX53</f>
        <v>0</v>
      </c>
      <c r="DZ53" s="113">
        <f t="shared" si="177"/>
        <v>0.15695875279094362</v>
      </c>
      <c r="EA53" s="110">
        <f t="shared" si="178"/>
        <v>0</v>
      </c>
      <c r="EB53" s="115">
        <f t="shared" si="179"/>
        <v>0</v>
      </c>
      <c r="EC53" s="110">
        <f t="shared" si="180"/>
        <v>0</v>
      </c>
      <c r="ED53" s="52">
        <f>Summ.!$A62</f>
        <v>50103</v>
      </c>
      <c r="EE53" s="119" t="str">
        <f>Summ.!$B62</f>
        <v>Permits &amp; Fee - Waste Insp. Fee</v>
      </c>
      <c r="EF53" s="134">
        <f t="shared" si="232"/>
        <v>0</v>
      </c>
      <c r="EG53" s="110">
        <f t="shared" ref="EG53:EG68" si="288">+DX53</f>
        <v>0</v>
      </c>
      <c r="EH53" s="110">
        <f t="shared" ref="EH53:EH68" si="289">EF53+EG53</f>
        <v>0</v>
      </c>
      <c r="EI53" s="113">
        <f t="shared" si="181"/>
        <v>0.12730620079125701</v>
      </c>
      <c r="EJ53" s="110">
        <f t="shared" si="182"/>
        <v>0</v>
      </c>
      <c r="EK53" s="115">
        <f t="shared" si="183"/>
        <v>0</v>
      </c>
      <c r="EL53" s="110">
        <f t="shared" si="184"/>
        <v>0</v>
      </c>
      <c r="EM53" s="52">
        <f>Summ.!$A62</f>
        <v>50103</v>
      </c>
      <c r="EN53" s="119" t="str">
        <f>Summ.!$B62</f>
        <v>Permits &amp; Fee - Waste Insp. Fee</v>
      </c>
      <c r="EO53" s="134">
        <f t="shared" si="235"/>
        <v>0</v>
      </c>
      <c r="EP53" s="110">
        <v>0</v>
      </c>
      <c r="EQ53" s="110">
        <f t="shared" ref="EQ53:EQ69" si="290">EO53+EP53</f>
        <v>0</v>
      </c>
      <c r="ER53" s="113">
        <f t="shared" si="185"/>
        <v>3.9034039719534647E-2</v>
      </c>
      <c r="ES53" s="110">
        <f t="shared" si="186"/>
        <v>0</v>
      </c>
      <c r="ET53" s="115">
        <f t="shared" si="187"/>
        <v>0</v>
      </c>
      <c r="EU53" s="110">
        <f t="shared" si="188"/>
        <v>0</v>
      </c>
      <c r="EV53" s="52">
        <f>Summ.!$A62</f>
        <v>50103</v>
      </c>
      <c r="EW53" s="119" t="str">
        <f>Summ.!$B62</f>
        <v>Permits &amp; Fee - Waste Insp. Fee</v>
      </c>
      <c r="EX53" s="134">
        <f t="shared" si="237"/>
        <v>0</v>
      </c>
      <c r="EY53" s="110">
        <v>0</v>
      </c>
      <c r="EZ53" s="110">
        <f t="shared" si="238"/>
        <v>0</v>
      </c>
      <c r="FA53" s="113">
        <f t="shared" si="189"/>
        <v>1.8841317717106038E-2</v>
      </c>
      <c r="FB53" s="110">
        <f t="shared" si="190"/>
        <v>0</v>
      </c>
      <c r="FC53" s="115">
        <f t="shared" si="191"/>
        <v>0</v>
      </c>
      <c r="FD53" s="110">
        <f t="shared" si="192"/>
        <v>0</v>
      </c>
      <c r="FE53" s="52">
        <f>Summ.!$A62</f>
        <v>50103</v>
      </c>
      <c r="FF53" s="119" t="str">
        <f>Summ.!$B62</f>
        <v>Permits &amp; Fee - Waste Insp. Fee</v>
      </c>
      <c r="FG53" s="134">
        <f t="shared" si="239"/>
        <v>0</v>
      </c>
      <c r="FH53" s="110">
        <f t="shared" si="240"/>
        <v>0</v>
      </c>
      <c r="FI53" s="110">
        <f t="shared" si="241"/>
        <v>0</v>
      </c>
      <c r="FJ53" s="113">
        <f t="shared" si="193"/>
        <v>7.254494888166399E-2</v>
      </c>
      <c r="FK53" s="110">
        <f t="shared" si="194"/>
        <v>0</v>
      </c>
      <c r="FL53" s="115">
        <f t="shared" si="195"/>
        <v>0</v>
      </c>
      <c r="FM53" s="110">
        <f t="shared" si="196"/>
        <v>0</v>
      </c>
    </row>
    <row r="54" spans="1:169" ht="12.75" customHeight="1">
      <c r="A54" s="52">
        <f>Summ.!A63</f>
        <v>51170</v>
      </c>
      <c r="B54" s="45" t="str">
        <f>Summ.!B63</f>
        <v>Locksmith</v>
      </c>
      <c r="C54" s="45"/>
      <c r="D54" s="45"/>
      <c r="E54" s="45"/>
      <c r="F54" s="106">
        <f>+Summ.!O63</f>
        <v>0</v>
      </c>
      <c r="G54" s="71">
        <f>Rent!$B$41</f>
        <v>51058</v>
      </c>
      <c r="H54" s="52">
        <f>Summ.!$A63</f>
        <v>51170</v>
      </c>
      <c r="I54" s="119" t="str">
        <f>Summ.!$B63</f>
        <v>Locksmith</v>
      </c>
      <c r="J54" s="134">
        <f t="shared" si="197"/>
        <v>0</v>
      </c>
      <c r="K54" s="110">
        <v>0</v>
      </c>
      <c r="L54" s="110">
        <f t="shared" si="198"/>
        <v>0</v>
      </c>
      <c r="M54" s="113">
        <f t="shared" si="124"/>
        <v>7.5854910102236675E-2</v>
      </c>
      <c r="N54" s="110">
        <f t="shared" si="125"/>
        <v>0</v>
      </c>
      <c r="O54" s="115">
        <f t="shared" si="126"/>
        <v>0</v>
      </c>
      <c r="P54" s="110">
        <f t="shared" si="127"/>
        <v>0</v>
      </c>
      <c r="Q54" s="52">
        <f>Summ.!$A63</f>
        <v>51170</v>
      </c>
      <c r="R54" s="119" t="str">
        <f>Summ.!$B63</f>
        <v>Locksmith</v>
      </c>
      <c r="S54" s="134">
        <f t="shared" si="199"/>
        <v>0</v>
      </c>
      <c r="T54" s="110">
        <f t="shared" si="268"/>
        <v>0</v>
      </c>
      <c r="U54" s="110">
        <f t="shared" si="269"/>
        <v>0</v>
      </c>
      <c r="V54" s="113">
        <f t="shared" si="128"/>
        <v>2.1034901484586158E-2</v>
      </c>
      <c r="W54" s="110">
        <f t="shared" si="129"/>
        <v>0</v>
      </c>
      <c r="X54" s="115">
        <f t="shared" si="130"/>
        <v>0</v>
      </c>
      <c r="Y54" s="110">
        <f t="shared" si="131"/>
        <v>0</v>
      </c>
      <c r="Z54" s="52">
        <f>Summ.!$A63</f>
        <v>51170</v>
      </c>
      <c r="AA54" s="119" t="str">
        <f>Summ.!$B63</f>
        <v>Locksmith</v>
      </c>
      <c r="AB54" s="134">
        <f t="shared" si="202"/>
        <v>0</v>
      </c>
      <c r="AC54" s="110">
        <v>0</v>
      </c>
      <c r="AD54" s="110">
        <f t="shared" si="270"/>
        <v>0</v>
      </c>
      <c r="AE54" s="113">
        <f t="shared" si="132"/>
        <v>3.9171138705002152E-3</v>
      </c>
      <c r="AF54" s="110">
        <f t="shared" si="133"/>
        <v>0</v>
      </c>
      <c r="AG54" s="115">
        <f t="shared" si="134"/>
        <v>0</v>
      </c>
      <c r="AH54" s="110">
        <f t="shared" si="135"/>
        <v>0</v>
      </c>
      <c r="AI54" s="52">
        <f>Summ.!$A63</f>
        <v>51170</v>
      </c>
      <c r="AJ54" s="119" t="str">
        <f>Summ.!$B63</f>
        <v>Locksmith</v>
      </c>
      <c r="AK54" s="134">
        <f t="shared" si="204"/>
        <v>0</v>
      </c>
      <c r="AL54" s="110">
        <f t="shared" si="271"/>
        <v>0</v>
      </c>
      <c r="AM54" s="110">
        <f t="shared" si="272"/>
        <v>0</v>
      </c>
      <c r="AN54" s="113">
        <f t="shared" si="136"/>
        <v>1.0145324924595559E-2</v>
      </c>
      <c r="AO54" s="110">
        <f t="shared" si="137"/>
        <v>0</v>
      </c>
      <c r="AP54" s="115">
        <f t="shared" si="138"/>
        <v>0</v>
      </c>
      <c r="AQ54" s="110">
        <f t="shared" si="139"/>
        <v>0</v>
      </c>
      <c r="AR54" s="52">
        <f>Summ.!$A63</f>
        <v>51170</v>
      </c>
      <c r="AS54" s="119" t="str">
        <f>Summ.!$B63</f>
        <v>Locksmith</v>
      </c>
      <c r="AT54" s="134">
        <f t="shared" si="207"/>
        <v>0</v>
      </c>
      <c r="AU54" s="110">
        <f t="shared" si="273"/>
        <v>0</v>
      </c>
      <c r="AV54" s="110">
        <f t="shared" si="274"/>
        <v>0</v>
      </c>
      <c r="AW54" s="113">
        <f t="shared" si="140"/>
        <v>1.0282423910063065E-2</v>
      </c>
      <c r="AX54" s="110">
        <f t="shared" si="141"/>
        <v>0</v>
      </c>
      <c r="AY54" s="115">
        <f t="shared" si="142"/>
        <v>0</v>
      </c>
      <c r="AZ54" s="110">
        <f t="shared" si="143"/>
        <v>0</v>
      </c>
      <c r="BA54" s="52">
        <f>Summ.!$A63</f>
        <v>51170</v>
      </c>
      <c r="BB54" s="119" t="str">
        <f>Summ.!$B63</f>
        <v>Locksmith</v>
      </c>
      <c r="BC54" s="134">
        <f t="shared" si="210"/>
        <v>0</v>
      </c>
      <c r="BD54" s="110">
        <f t="shared" si="275"/>
        <v>0</v>
      </c>
      <c r="BE54" s="110">
        <f t="shared" si="276"/>
        <v>0</v>
      </c>
      <c r="BF54" s="113" t="e">
        <f t="shared" si="144"/>
        <v>#REF!</v>
      </c>
      <c r="BG54" s="110" t="e">
        <f t="shared" si="145"/>
        <v>#REF!</v>
      </c>
      <c r="BH54" s="115" t="e">
        <f t="shared" si="146"/>
        <v>#REF!</v>
      </c>
      <c r="BI54" s="110" t="e">
        <f t="shared" si="147"/>
        <v>#REF!</v>
      </c>
      <c r="BJ54" s="52">
        <f>Summ.!$A63</f>
        <v>51170</v>
      </c>
      <c r="BK54" s="119" t="str">
        <f>Summ.!$B63</f>
        <v>Locksmith</v>
      </c>
      <c r="BL54" s="134">
        <f t="shared" si="213"/>
        <v>0</v>
      </c>
      <c r="BM54" s="110">
        <f t="shared" si="148"/>
        <v>0</v>
      </c>
      <c r="BN54" s="110">
        <f t="shared" si="277"/>
        <v>0</v>
      </c>
      <c r="BO54" s="113">
        <f t="shared" si="149"/>
        <v>1.9468055936386071E-2</v>
      </c>
      <c r="BP54" s="110">
        <f t="shared" si="150"/>
        <v>0</v>
      </c>
      <c r="BQ54" s="115">
        <f t="shared" si="151"/>
        <v>0</v>
      </c>
      <c r="BR54" s="110">
        <f t="shared" si="152"/>
        <v>0</v>
      </c>
      <c r="BS54" s="52">
        <f>Summ.!$A63</f>
        <v>51170</v>
      </c>
      <c r="BT54" s="119" t="str">
        <f>Summ.!$B63</f>
        <v>Locksmith</v>
      </c>
      <c r="BU54" s="134">
        <f t="shared" si="215"/>
        <v>0</v>
      </c>
      <c r="BV54" s="110">
        <f t="shared" si="278"/>
        <v>0</v>
      </c>
      <c r="BW54" s="110">
        <f t="shared" si="279"/>
        <v>0</v>
      </c>
      <c r="BX54" s="113">
        <f t="shared" si="153"/>
        <v>2.0427748834658623E-2</v>
      </c>
      <c r="BY54" s="110">
        <f t="shared" si="154"/>
        <v>0</v>
      </c>
      <c r="BZ54" s="115">
        <f t="shared" si="155"/>
        <v>0</v>
      </c>
      <c r="CA54" s="110">
        <f t="shared" si="156"/>
        <v>0</v>
      </c>
      <c r="CB54" s="52">
        <f>Summ.!$A63</f>
        <v>51170</v>
      </c>
      <c r="CC54" s="119" t="str">
        <f>Summ.!$B63</f>
        <v>Locksmith</v>
      </c>
      <c r="CD54" s="134">
        <f t="shared" si="218"/>
        <v>0</v>
      </c>
      <c r="CE54" s="110">
        <v>0</v>
      </c>
      <c r="CF54" s="110">
        <f t="shared" si="280"/>
        <v>0</v>
      </c>
      <c r="CG54" s="113">
        <f t="shared" si="157"/>
        <v>6.9058717536918793E-2</v>
      </c>
      <c r="CH54" s="110">
        <f t="shared" si="158"/>
        <v>0</v>
      </c>
      <c r="CI54" s="115">
        <f t="shared" si="159"/>
        <v>0</v>
      </c>
      <c r="CJ54" s="110">
        <f t="shared" si="160"/>
        <v>0</v>
      </c>
      <c r="CK54" s="52">
        <f>Summ.!$A63</f>
        <v>51170</v>
      </c>
      <c r="CL54" s="119" t="str">
        <f>Summ.!$B63</f>
        <v>Locksmith</v>
      </c>
      <c r="CM54" s="134">
        <f t="shared" si="220"/>
        <v>0</v>
      </c>
      <c r="CN54" s="110">
        <f t="shared" si="281"/>
        <v>0</v>
      </c>
      <c r="CO54" s="110">
        <f t="shared" si="282"/>
        <v>0</v>
      </c>
      <c r="CP54" s="113">
        <f t="shared" si="161"/>
        <v>0.21027067256845156</v>
      </c>
      <c r="CQ54" s="110">
        <f t="shared" si="162"/>
        <v>0</v>
      </c>
      <c r="CR54" s="115">
        <f t="shared" si="163"/>
        <v>0</v>
      </c>
      <c r="CS54" s="110">
        <f t="shared" si="164"/>
        <v>0</v>
      </c>
      <c r="CT54" s="52">
        <f>Summ.!$A63</f>
        <v>51170</v>
      </c>
      <c r="CU54" s="119" t="str">
        <f>Summ.!$B63</f>
        <v>Locksmith</v>
      </c>
      <c r="CV54" s="134">
        <f t="shared" si="223"/>
        <v>0</v>
      </c>
      <c r="CW54" s="110">
        <v>0</v>
      </c>
      <c r="CX54" s="110">
        <f t="shared" si="283"/>
        <v>0</v>
      </c>
      <c r="CY54" s="113">
        <f t="shared" si="165"/>
        <v>5.8756708057503229E-2</v>
      </c>
      <c r="CZ54" s="110">
        <f t="shared" si="166"/>
        <v>0</v>
      </c>
      <c r="DA54" s="115">
        <f t="shared" si="167"/>
        <v>0</v>
      </c>
      <c r="DB54" s="110">
        <f t="shared" si="168"/>
        <v>0</v>
      </c>
      <c r="DC54" s="52">
        <f>Summ.!$A63</f>
        <v>51170</v>
      </c>
      <c r="DD54" s="119" t="str">
        <f>Summ.!$B63</f>
        <v>Locksmith</v>
      </c>
      <c r="DE54" s="134">
        <f t="shared" si="225"/>
        <v>0</v>
      </c>
      <c r="DF54" s="110">
        <v>0</v>
      </c>
      <c r="DG54" s="110">
        <f t="shared" si="284"/>
        <v>0</v>
      </c>
      <c r="DH54" s="113">
        <f t="shared" si="169"/>
        <v>9.7927846762505388E-3</v>
      </c>
      <c r="DI54" s="110">
        <f t="shared" si="170"/>
        <v>0</v>
      </c>
      <c r="DJ54" s="115">
        <f t="shared" si="171"/>
        <v>0</v>
      </c>
      <c r="DK54" s="110">
        <f t="shared" si="172"/>
        <v>0</v>
      </c>
      <c r="DL54" s="52">
        <f>Summ.!$A63</f>
        <v>51170</v>
      </c>
      <c r="DM54" s="119" t="str">
        <f>Summ.!$B63</f>
        <v>Locksmith</v>
      </c>
      <c r="DN54" s="134">
        <f t="shared" si="227"/>
        <v>0</v>
      </c>
      <c r="DO54" s="110">
        <v>0</v>
      </c>
      <c r="DP54" s="110">
        <f t="shared" si="285"/>
        <v>0</v>
      </c>
      <c r="DQ54" s="113">
        <f t="shared" si="173"/>
        <v>5.6719808844843123E-2</v>
      </c>
      <c r="DR54" s="110">
        <f t="shared" si="174"/>
        <v>0</v>
      </c>
      <c r="DS54" s="115">
        <f t="shared" si="175"/>
        <v>0</v>
      </c>
      <c r="DT54" s="110">
        <f t="shared" si="176"/>
        <v>0</v>
      </c>
      <c r="DU54" s="52">
        <f>Summ.!$A63</f>
        <v>51170</v>
      </c>
      <c r="DV54" s="119" t="str">
        <f>Summ.!$B63</f>
        <v>Locksmith</v>
      </c>
      <c r="DW54" s="134">
        <f t="shared" si="229"/>
        <v>0</v>
      </c>
      <c r="DX54" s="110">
        <f t="shared" si="286"/>
        <v>0</v>
      </c>
      <c r="DY54" s="110">
        <f t="shared" si="287"/>
        <v>0</v>
      </c>
      <c r="DZ54" s="113">
        <f t="shared" si="177"/>
        <v>0.15695875279094362</v>
      </c>
      <c r="EA54" s="110">
        <f t="shared" si="178"/>
        <v>0</v>
      </c>
      <c r="EB54" s="115">
        <f t="shared" si="179"/>
        <v>0</v>
      </c>
      <c r="EC54" s="110">
        <f t="shared" si="180"/>
        <v>0</v>
      </c>
      <c r="ED54" s="52">
        <f>Summ.!$A63</f>
        <v>51170</v>
      </c>
      <c r="EE54" s="119" t="str">
        <f>Summ.!$B63</f>
        <v>Locksmith</v>
      </c>
      <c r="EF54" s="134">
        <f t="shared" si="232"/>
        <v>0</v>
      </c>
      <c r="EG54" s="110">
        <f t="shared" si="288"/>
        <v>0</v>
      </c>
      <c r="EH54" s="110">
        <f t="shared" si="289"/>
        <v>0</v>
      </c>
      <c r="EI54" s="113">
        <f t="shared" si="181"/>
        <v>0.12730620079125701</v>
      </c>
      <c r="EJ54" s="110">
        <f t="shared" si="182"/>
        <v>0</v>
      </c>
      <c r="EK54" s="115">
        <f t="shared" si="183"/>
        <v>0</v>
      </c>
      <c r="EL54" s="110">
        <f t="shared" si="184"/>
        <v>0</v>
      </c>
      <c r="EM54" s="52">
        <f>Summ.!$A63</f>
        <v>51170</v>
      </c>
      <c r="EN54" s="119" t="str">
        <f>Summ.!$B63</f>
        <v>Locksmith</v>
      </c>
      <c r="EO54" s="134">
        <f t="shared" si="235"/>
        <v>0</v>
      </c>
      <c r="EP54" s="110">
        <v>0</v>
      </c>
      <c r="EQ54" s="110">
        <f t="shared" si="290"/>
        <v>0</v>
      </c>
      <c r="ER54" s="113">
        <f t="shared" si="185"/>
        <v>3.9034039719534647E-2</v>
      </c>
      <c r="ES54" s="110">
        <f t="shared" si="186"/>
        <v>0</v>
      </c>
      <c r="ET54" s="115">
        <f t="shared" si="187"/>
        <v>0</v>
      </c>
      <c r="EU54" s="110">
        <f t="shared" si="188"/>
        <v>0</v>
      </c>
      <c r="EV54" s="52">
        <f>Summ.!$A63</f>
        <v>51170</v>
      </c>
      <c r="EW54" s="119" t="str">
        <f>Summ.!$B63</f>
        <v>Locksmith</v>
      </c>
      <c r="EX54" s="134">
        <f t="shared" si="237"/>
        <v>0</v>
      </c>
      <c r="EY54" s="110">
        <v>0</v>
      </c>
      <c r="EZ54" s="110">
        <f t="shared" si="238"/>
        <v>0</v>
      </c>
      <c r="FA54" s="113">
        <f t="shared" si="189"/>
        <v>1.8841317717106038E-2</v>
      </c>
      <c r="FB54" s="110">
        <f t="shared" si="190"/>
        <v>0</v>
      </c>
      <c r="FC54" s="115">
        <f t="shared" si="191"/>
        <v>0</v>
      </c>
      <c r="FD54" s="110">
        <f t="shared" si="192"/>
        <v>0</v>
      </c>
      <c r="FE54" s="52">
        <f>Summ.!$A63</f>
        <v>51170</v>
      </c>
      <c r="FF54" s="119" t="str">
        <f>Summ.!$B63</f>
        <v>Locksmith</v>
      </c>
      <c r="FG54" s="134">
        <f t="shared" si="239"/>
        <v>0</v>
      </c>
      <c r="FH54" s="110">
        <f t="shared" si="240"/>
        <v>0</v>
      </c>
      <c r="FI54" s="110">
        <f t="shared" si="241"/>
        <v>0</v>
      </c>
      <c r="FJ54" s="113">
        <f t="shared" si="193"/>
        <v>7.254494888166399E-2</v>
      </c>
      <c r="FK54" s="110">
        <f t="shared" si="194"/>
        <v>0</v>
      </c>
      <c r="FL54" s="115">
        <f t="shared" si="195"/>
        <v>0</v>
      </c>
      <c r="FM54" s="110">
        <f t="shared" si="196"/>
        <v>0</v>
      </c>
    </row>
    <row r="55" spans="1:169" ht="12.75" customHeight="1">
      <c r="A55" s="52">
        <f>Summ.!A64</f>
        <v>0</v>
      </c>
      <c r="B55" s="45" t="str">
        <f>Summ.!B64</f>
        <v>Electrical Repairs/Building</v>
      </c>
      <c r="C55" s="45"/>
      <c r="D55" s="45"/>
      <c r="E55" s="45"/>
      <c r="F55" s="106">
        <f>+Summ.!O64</f>
        <v>0</v>
      </c>
      <c r="G55" s="482">
        <f>G49</f>
        <v>40148</v>
      </c>
      <c r="H55" s="52">
        <f>Summ.!$A64</f>
        <v>0</v>
      </c>
      <c r="I55" s="119" t="str">
        <f>Summ.!$B64</f>
        <v>Electrical Repairs/Building</v>
      </c>
      <c r="J55" s="134">
        <f t="shared" si="197"/>
        <v>0</v>
      </c>
      <c r="K55" s="110">
        <v>0</v>
      </c>
      <c r="L55" s="110">
        <f t="shared" si="198"/>
        <v>0</v>
      </c>
      <c r="M55" s="113">
        <f t="shared" si="124"/>
        <v>9.6468068147852942E-2</v>
      </c>
      <c r="N55" s="110">
        <f t="shared" si="125"/>
        <v>0</v>
      </c>
      <c r="O55" s="115">
        <f t="shared" si="126"/>
        <v>0</v>
      </c>
      <c r="P55" s="110">
        <f t="shared" si="127"/>
        <v>0</v>
      </c>
      <c r="Q55" s="52">
        <f>Summ.!$A64</f>
        <v>0</v>
      </c>
      <c r="R55" s="119" t="str">
        <f>Summ.!$B64</f>
        <v>Electrical Repairs/Building</v>
      </c>
      <c r="S55" s="134">
        <f t="shared" si="199"/>
        <v>0</v>
      </c>
      <c r="T55" s="110">
        <f t="shared" si="268"/>
        <v>0</v>
      </c>
      <c r="U55" s="110">
        <f t="shared" si="269"/>
        <v>0</v>
      </c>
      <c r="V55" s="113">
        <f t="shared" si="128"/>
        <v>2.6751021221480521E-2</v>
      </c>
      <c r="W55" s="110">
        <f t="shared" si="129"/>
        <v>0</v>
      </c>
      <c r="X55" s="115">
        <f t="shared" si="130"/>
        <v>0</v>
      </c>
      <c r="Y55" s="110">
        <f t="shared" si="131"/>
        <v>0</v>
      </c>
      <c r="Z55" s="52">
        <f>Summ.!$A64</f>
        <v>0</v>
      </c>
      <c r="AA55" s="119" t="str">
        <f>Summ.!$B64</f>
        <v>Electrical Repairs/Building</v>
      </c>
      <c r="AB55" s="134">
        <f t="shared" si="202"/>
        <v>0</v>
      </c>
      <c r="AC55" s="110">
        <v>0</v>
      </c>
      <c r="AD55" s="110">
        <f t="shared" si="270"/>
        <v>0</v>
      </c>
      <c r="AE55" s="113">
        <f t="shared" si="132"/>
        <v>4.9815681976686258E-3</v>
      </c>
      <c r="AF55" s="110">
        <f t="shared" si="133"/>
        <v>0</v>
      </c>
      <c r="AG55" s="115">
        <f t="shared" si="134"/>
        <v>0</v>
      </c>
      <c r="AH55" s="110">
        <f t="shared" si="135"/>
        <v>0</v>
      </c>
      <c r="AI55" s="52">
        <f>Summ.!$A64</f>
        <v>0</v>
      </c>
      <c r="AJ55" s="119" t="str">
        <f>Summ.!$B64</f>
        <v>Electrical Repairs/Building</v>
      </c>
      <c r="AK55" s="134">
        <f t="shared" si="204"/>
        <v>0</v>
      </c>
      <c r="AL55" s="110">
        <f t="shared" si="271"/>
        <v>0</v>
      </c>
      <c r="AM55" s="110">
        <f t="shared" si="272"/>
        <v>0</v>
      </c>
      <c r="AN55" s="113">
        <f t="shared" si="136"/>
        <v>1.2902261631961742E-2</v>
      </c>
      <c r="AO55" s="110">
        <f t="shared" si="137"/>
        <v>0</v>
      </c>
      <c r="AP55" s="115">
        <f t="shared" si="138"/>
        <v>0</v>
      </c>
      <c r="AQ55" s="110">
        <f t="shared" si="139"/>
        <v>0</v>
      </c>
      <c r="AR55" s="52">
        <f>Summ.!$A64</f>
        <v>0</v>
      </c>
      <c r="AS55" s="119" t="str">
        <f>Summ.!$B64</f>
        <v>Electrical Repairs/Building</v>
      </c>
      <c r="AT55" s="134">
        <f t="shared" si="207"/>
        <v>0</v>
      </c>
      <c r="AU55" s="110">
        <f t="shared" si="273"/>
        <v>0</v>
      </c>
      <c r="AV55" s="110">
        <f t="shared" si="274"/>
        <v>0</v>
      </c>
      <c r="AW55" s="113">
        <f t="shared" si="140"/>
        <v>1.3076616518880143E-2</v>
      </c>
      <c r="AX55" s="110">
        <f t="shared" si="141"/>
        <v>0</v>
      </c>
      <c r="AY55" s="115">
        <f t="shared" si="142"/>
        <v>0</v>
      </c>
      <c r="AZ55" s="110">
        <f t="shared" si="143"/>
        <v>0</v>
      </c>
      <c r="BA55" s="52">
        <f>Summ.!$A64</f>
        <v>0</v>
      </c>
      <c r="BB55" s="119" t="str">
        <f>Summ.!$B64</f>
        <v>Electrical Repairs/Building</v>
      </c>
      <c r="BC55" s="134">
        <f t="shared" si="210"/>
        <v>0</v>
      </c>
      <c r="BD55" s="110">
        <f t="shared" si="275"/>
        <v>0</v>
      </c>
      <c r="BE55" s="110">
        <f t="shared" si="276"/>
        <v>0</v>
      </c>
      <c r="BF55" s="113" t="e">
        <f t="shared" si="144"/>
        <v>#REF!</v>
      </c>
      <c r="BG55" s="110" t="e">
        <f t="shared" si="145"/>
        <v>#REF!</v>
      </c>
      <c r="BH55" s="115" t="e">
        <f t="shared" si="146"/>
        <v>#REF!</v>
      </c>
      <c r="BI55" s="110" t="e">
        <f t="shared" si="147"/>
        <v>#REF!</v>
      </c>
      <c r="BJ55" s="52">
        <f>Summ.!$A64</f>
        <v>0</v>
      </c>
      <c r="BK55" s="119" t="str">
        <f>Summ.!$B64</f>
        <v>Electrical Repairs/Building</v>
      </c>
      <c r="BL55" s="134">
        <f t="shared" si="213"/>
        <v>0</v>
      </c>
      <c r="BM55" s="110">
        <f t="shared" si="148"/>
        <v>0</v>
      </c>
      <c r="BN55" s="110">
        <f t="shared" si="277"/>
        <v>0</v>
      </c>
      <c r="BO55" s="113">
        <f t="shared" si="149"/>
        <v>2.4758393942413071E-2</v>
      </c>
      <c r="BP55" s="110">
        <f t="shared" si="150"/>
        <v>0</v>
      </c>
      <c r="BQ55" s="115">
        <f t="shared" si="151"/>
        <v>0</v>
      </c>
      <c r="BR55" s="110">
        <f t="shared" si="152"/>
        <v>0</v>
      </c>
      <c r="BS55" s="52">
        <f>Summ.!$A64</f>
        <v>0</v>
      </c>
      <c r="BT55" s="119" t="str">
        <f>Summ.!$B64</f>
        <v>Electrical Repairs/Building</v>
      </c>
      <c r="BU55" s="134">
        <f t="shared" si="215"/>
        <v>0</v>
      </c>
      <c r="BV55" s="110">
        <f t="shared" si="278"/>
        <v>0</v>
      </c>
      <c r="BW55" s="110">
        <f t="shared" si="279"/>
        <v>0</v>
      </c>
      <c r="BX55" s="113">
        <f t="shared" si="153"/>
        <v>2.5978878150841885E-2</v>
      </c>
      <c r="BY55" s="110">
        <f t="shared" si="154"/>
        <v>0</v>
      </c>
      <c r="BZ55" s="115">
        <f t="shared" si="155"/>
        <v>0</v>
      </c>
      <c r="CA55" s="110">
        <f t="shared" si="156"/>
        <v>0</v>
      </c>
      <c r="CB55" s="52">
        <f>Summ.!$A64</f>
        <v>0</v>
      </c>
      <c r="CC55" s="119" t="str">
        <f>Summ.!$B64</f>
        <v>Electrical Repairs/Building</v>
      </c>
      <c r="CD55" s="134">
        <f t="shared" si="218"/>
        <v>0</v>
      </c>
      <c r="CE55" s="110">
        <v>0</v>
      </c>
      <c r="CF55" s="110">
        <f t="shared" si="280"/>
        <v>0</v>
      </c>
      <c r="CG55" s="113">
        <f t="shared" si="157"/>
        <v>8.7825047324897876E-2</v>
      </c>
      <c r="CH55" s="110">
        <f t="shared" si="158"/>
        <v>0</v>
      </c>
      <c r="CI55" s="115">
        <f t="shared" si="159"/>
        <v>0</v>
      </c>
      <c r="CJ55" s="110">
        <f t="shared" si="160"/>
        <v>0</v>
      </c>
      <c r="CK55" s="52">
        <f>Summ.!$A64</f>
        <v>0</v>
      </c>
      <c r="CL55" s="119" t="str">
        <f>Summ.!$B64</f>
        <v>Electrical Repairs/Building</v>
      </c>
      <c r="CM55" s="134">
        <f t="shared" si="220"/>
        <v>0</v>
      </c>
      <c r="CN55" s="110">
        <f t="shared" si="281"/>
        <v>0</v>
      </c>
      <c r="CO55" s="110">
        <f t="shared" si="282"/>
        <v>0</v>
      </c>
      <c r="CP55" s="113">
        <f t="shared" si="161"/>
        <v>0.26741058085085184</v>
      </c>
      <c r="CQ55" s="110">
        <f t="shared" si="162"/>
        <v>0</v>
      </c>
      <c r="CR55" s="115">
        <f t="shared" si="163"/>
        <v>0</v>
      </c>
      <c r="CS55" s="110">
        <f t="shared" si="164"/>
        <v>0</v>
      </c>
      <c r="CT55" s="52">
        <f>Summ.!$A64</f>
        <v>0</v>
      </c>
      <c r="CU55" s="119" t="str">
        <f>Summ.!$B64</f>
        <v>Electrical Repairs/Building</v>
      </c>
      <c r="CV55" s="134">
        <f t="shared" si="223"/>
        <v>0</v>
      </c>
      <c r="CW55" s="110">
        <v>0</v>
      </c>
      <c r="CX55" s="110">
        <f t="shared" si="283"/>
        <v>0</v>
      </c>
      <c r="CY55" s="113">
        <f t="shared" si="165"/>
        <v>7.472352296502939E-2</v>
      </c>
      <c r="CZ55" s="110">
        <f t="shared" si="166"/>
        <v>0</v>
      </c>
      <c r="DA55" s="115">
        <f t="shared" si="167"/>
        <v>0</v>
      </c>
      <c r="DB55" s="110">
        <f t="shared" si="168"/>
        <v>0</v>
      </c>
      <c r="DC55" s="52">
        <f>Summ.!$A64</f>
        <v>0</v>
      </c>
      <c r="DD55" s="119" t="str">
        <f>Summ.!$B64</f>
        <v>Electrical Repairs/Building</v>
      </c>
      <c r="DE55" s="134">
        <f t="shared" si="225"/>
        <v>0</v>
      </c>
      <c r="DF55" s="110">
        <v>0</v>
      </c>
      <c r="DG55" s="110">
        <f t="shared" si="284"/>
        <v>0</v>
      </c>
      <c r="DH55" s="113">
        <f t="shared" si="169"/>
        <v>1.2453920494171565E-2</v>
      </c>
      <c r="DI55" s="110">
        <f t="shared" si="170"/>
        <v>0</v>
      </c>
      <c r="DJ55" s="115">
        <f t="shared" si="171"/>
        <v>0</v>
      </c>
      <c r="DK55" s="110">
        <f t="shared" si="172"/>
        <v>0</v>
      </c>
      <c r="DL55" s="52">
        <f>Summ.!$A64</f>
        <v>0</v>
      </c>
      <c r="DM55" s="119" t="str">
        <f>Summ.!$B64</f>
        <v>Electrical Repairs/Building</v>
      </c>
      <c r="DN55" s="134">
        <f t="shared" si="227"/>
        <v>0</v>
      </c>
      <c r="DO55" s="110">
        <f>-DN55</f>
        <v>0</v>
      </c>
      <c r="DP55" s="110">
        <f t="shared" si="285"/>
        <v>0</v>
      </c>
      <c r="DQ55" s="113">
        <f t="shared" si="173"/>
        <v>7.2133107502241708E-2</v>
      </c>
      <c r="DR55" s="110">
        <f t="shared" si="174"/>
        <v>0</v>
      </c>
      <c r="DS55" s="115">
        <f t="shared" si="175"/>
        <v>0</v>
      </c>
      <c r="DT55" s="110">
        <f t="shared" si="176"/>
        <v>0</v>
      </c>
      <c r="DU55" s="52">
        <f>Summ.!$A64</f>
        <v>0</v>
      </c>
      <c r="DV55" s="119" t="str">
        <f>Summ.!$B64</f>
        <v>Electrical Repairs/Building</v>
      </c>
      <c r="DW55" s="134">
        <f t="shared" si="229"/>
        <v>0</v>
      </c>
      <c r="DX55" s="110">
        <f>-DW55</f>
        <v>0</v>
      </c>
      <c r="DY55" s="110">
        <f t="shared" si="287"/>
        <v>0</v>
      </c>
      <c r="DZ55" s="113">
        <f t="shared" si="177"/>
        <v>0.19961143768058184</v>
      </c>
      <c r="EA55" s="110">
        <f t="shared" si="178"/>
        <v>0</v>
      </c>
      <c r="EB55" s="115">
        <f t="shared" si="179"/>
        <v>0</v>
      </c>
      <c r="EC55" s="110">
        <f t="shared" si="180"/>
        <v>0</v>
      </c>
      <c r="ED55" s="52">
        <f>Summ.!$A64</f>
        <v>0</v>
      </c>
      <c r="EE55" s="119" t="str">
        <f>Summ.!$B64</f>
        <v>Electrical Repairs/Building</v>
      </c>
      <c r="EF55" s="134">
        <f t="shared" si="232"/>
        <v>0</v>
      </c>
      <c r="EG55" s="110">
        <f t="shared" si="288"/>
        <v>0</v>
      </c>
      <c r="EH55" s="110">
        <f t="shared" si="289"/>
        <v>0</v>
      </c>
      <c r="EI55" s="113">
        <f t="shared" si="181"/>
        <v>0.16190096642423035</v>
      </c>
      <c r="EJ55" s="110">
        <f t="shared" si="182"/>
        <v>0</v>
      </c>
      <c r="EK55" s="115">
        <f t="shared" si="183"/>
        <v>0</v>
      </c>
      <c r="EL55" s="110">
        <f t="shared" si="184"/>
        <v>0</v>
      </c>
      <c r="EM55" s="52">
        <f>Summ.!$A64</f>
        <v>0</v>
      </c>
      <c r="EN55" s="119" t="str">
        <f>Summ.!$B64</f>
        <v>Electrical Repairs/Building</v>
      </c>
      <c r="EO55" s="134">
        <f t="shared" si="235"/>
        <v>0</v>
      </c>
      <c r="EP55" s="110">
        <v>0</v>
      </c>
      <c r="EQ55" s="110">
        <f t="shared" si="290"/>
        <v>0</v>
      </c>
      <c r="ER55" s="113">
        <f t="shared" si="185"/>
        <v>4.9641327089767859E-2</v>
      </c>
      <c r="ES55" s="110">
        <f t="shared" si="186"/>
        <v>0</v>
      </c>
      <c r="ET55" s="115">
        <f t="shared" si="187"/>
        <v>0</v>
      </c>
      <c r="EU55" s="110">
        <f t="shared" si="188"/>
        <v>0</v>
      </c>
      <c r="EV55" s="52">
        <f>Summ.!$A64</f>
        <v>0</v>
      </c>
      <c r="EW55" s="119" t="str">
        <f>Summ.!$B64</f>
        <v>Electrical Repairs/Building</v>
      </c>
      <c r="EX55" s="134">
        <f t="shared" si="237"/>
        <v>0</v>
      </c>
      <c r="EY55" s="110">
        <v>0</v>
      </c>
      <c r="EZ55" s="110">
        <f t="shared" si="238"/>
        <v>0</v>
      </c>
      <c r="FA55" s="113">
        <f t="shared" si="189"/>
        <v>2.3961343030786092E-2</v>
      </c>
      <c r="FB55" s="110">
        <f t="shared" si="190"/>
        <v>0</v>
      </c>
      <c r="FC55" s="115">
        <f t="shared" si="191"/>
        <v>0</v>
      </c>
      <c r="FD55" s="110">
        <f t="shared" si="192"/>
        <v>0</v>
      </c>
      <c r="FE55" s="52">
        <f>Summ.!$A64</f>
        <v>0</v>
      </c>
      <c r="FF55" s="119" t="str">
        <f>Summ.!$B64</f>
        <v>Electrical Repairs/Building</v>
      </c>
      <c r="FG55" s="134">
        <f t="shared" si="239"/>
        <v>0</v>
      </c>
      <c r="FH55" s="110">
        <f t="shared" si="240"/>
        <v>0</v>
      </c>
      <c r="FI55" s="110">
        <f t="shared" si="241"/>
        <v>0</v>
      </c>
      <c r="FJ55" s="113">
        <f t="shared" si="193"/>
        <v>9.2258643020822956E-2</v>
      </c>
      <c r="FK55" s="110">
        <f t="shared" si="194"/>
        <v>0</v>
      </c>
      <c r="FL55" s="115">
        <f t="shared" si="195"/>
        <v>0</v>
      </c>
      <c r="FM55" s="110">
        <f t="shared" si="196"/>
        <v>0</v>
      </c>
    </row>
    <row r="56" spans="1:169" ht="12.75" customHeight="1">
      <c r="A56" s="52">
        <f>Summ.!A65</f>
        <v>51200</v>
      </c>
      <c r="B56" s="45" t="str">
        <f>Summ.!B65</f>
        <v>Electrical Repairs/Common Area</v>
      </c>
      <c r="C56" s="45"/>
      <c r="D56" s="45"/>
      <c r="E56" s="45"/>
      <c r="F56" s="106">
        <f>+Summ.!O65</f>
        <v>0</v>
      </c>
      <c r="G56" s="71">
        <f>Rent!$B$41</f>
        <v>51058</v>
      </c>
      <c r="H56" s="52">
        <f>Summ.!$A65</f>
        <v>51200</v>
      </c>
      <c r="I56" s="119" t="str">
        <f>Summ.!$B65</f>
        <v>Electrical Repairs/Common Area</v>
      </c>
      <c r="J56" s="134">
        <f t="shared" si="197"/>
        <v>0</v>
      </c>
      <c r="K56" s="110">
        <v>0</v>
      </c>
      <c r="L56" s="110">
        <f t="shared" si="198"/>
        <v>0</v>
      </c>
      <c r="M56" s="113">
        <f t="shared" si="124"/>
        <v>7.5854910102236675E-2</v>
      </c>
      <c r="N56" s="110">
        <f t="shared" si="125"/>
        <v>0</v>
      </c>
      <c r="O56" s="115">
        <f t="shared" si="126"/>
        <v>0</v>
      </c>
      <c r="P56" s="110">
        <f t="shared" si="127"/>
        <v>0</v>
      </c>
      <c r="Q56" s="52">
        <f>Summ.!$A65</f>
        <v>51200</v>
      </c>
      <c r="R56" s="119" t="str">
        <f>Summ.!$B65</f>
        <v>Electrical Repairs/Common Area</v>
      </c>
      <c r="S56" s="134">
        <f t="shared" si="199"/>
        <v>0</v>
      </c>
      <c r="T56" s="110">
        <f t="shared" si="268"/>
        <v>0</v>
      </c>
      <c r="U56" s="110">
        <f t="shared" si="269"/>
        <v>0</v>
      </c>
      <c r="V56" s="113">
        <f t="shared" si="128"/>
        <v>2.1034901484586158E-2</v>
      </c>
      <c r="W56" s="110">
        <f t="shared" si="129"/>
        <v>0</v>
      </c>
      <c r="X56" s="115">
        <f t="shared" si="130"/>
        <v>0</v>
      </c>
      <c r="Y56" s="110">
        <f t="shared" si="131"/>
        <v>0</v>
      </c>
      <c r="Z56" s="52">
        <f>Summ.!$A65</f>
        <v>51200</v>
      </c>
      <c r="AA56" s="119" t="str">
        <f>Summ.!$B65</f>
        <v>Electrical Repairs/Common Area</v>
      </c>
      <c r="AB56" s="134">
        <f t="shared" si="202"/>
        <v>0</v>
      </c>
      <c r="AC56" s="110">
        <v>0</v>
      </c>
      <c r="AD56" s="110">
        <f t="shared" si="270"/>
        <v>0</v>
      </c>
      <c r="AE56" s="113">
        <f t="shared" si="132"/>
        <v>3.9171138705002152E-3</v>
      </c>
      <c r="AF56" s="110">
        <f t="shared" si="133"/>
        <v>0</v>
      </c>
      <c r="AG56" s="115">
        <f t="shared" si="134"/>
        <v>0</v>
      </c>
      <c r="AH56" s="110">
        <f t="shared" si="135"/>
        <v>0</v>
      </c>
      <c r="AI56" s="52">
        <f>Summ.!$A65</f>
        <v>51200</v>
      </c>
      <c r="AJ56" s="119" t="str">
        <f>Summ.!$B65</f>
        <v>Electrical Repairs/Common Area</v>
      </c>
      <c r="AK56" s="134">
        <f t="shared" si="204"/>
        <v>0</v>
      </c>
      <c r="AL56" s="110">
        <f t="shared" si="271"/>
        <v>0</v>
      </c>
      <c r="AM56" s="110">
        <f t="shared" si="272"/>
        <v>0</v>
      </c>
      <c r="AN56" s="113">
        <f t="shared" si="136"/>
        <v>1.0145324924595559E-2</v>
      </c>
      <c r="AO56" s="110">
        <f t="shared" si="137"/>
        <v>0</v>
      </c>
      <c r="AP56" s="115">
        <f t="shared" si="138"/>
        <v>0</v>
      </c>
      <c r="AQ56" s="110">
        <f t="shared" si="139"/>
        <v>0</v>
      </c>
      <c r="AR56" s="52">
        <f>Summ.!$A65</f>
        <v>51200</v>
      </c>
      <c r="AS56" s="119" t="str">
        <f>Summ.!$B65</f>
        <v>Electrical Repairs/Common Area</v>
      </c>
      <c r="AT56" s="134">
        <f t="shared" si="207"/>
        <v>0</v>
      </c>
      <c r="AU56" s="110">
        <f t="shared" si="273"/>
        <v>0</v>
      </c>
      <c r="AV56" s="110">
        <f t="shared" si="274"/>
        <v>0</v>
      </c>
      <c r="AW56" s="113">
        <f t="shared" si="140"/>
        <v>1.0282423910063065E-2</v>
      </c>
      <c r="AX56" s="110">
        <f t="shared" si="141"/>
        <v>0</v>
      </c>
      <c r="AY56" s="115">
        <f t="shared" si="142"/>
        <v>0</v>
      </c>
      <c r="AZ56" s="110">
        <f t="shared" si="143"/>
        <v>0</v>
      </c>
      <c r="BA56" s="52">
        <f>Summ.!$A65</f>
        <v>51200</v>
      </c>
      <c r="BB56" s="119" t="str">
        <f>Summ.!$B65</f>
        <v>Electrical Repairs/Common Area</v>
      </c>
      <c r="BC56" s="134">
        <f t="shared" si="210"/>
        <v>0</v>
      </c>
      <c r="BD56" s="110">
        <f t="shared" si="275"/>
        <v>0</v>
      </c>
      <c r="BE56" s="110">
        <f t="shared" si="276"/>
        <v>0</v>
      </c>
      <c r="BF56" s="113" t="e">
        <f t="shared" si="144"/>
        <v>#REF!</v>
      </c>
      <c r="BG56" s="110" t="e">
        <f t="shared" si="145"/>
        <v>#REF!</v>
      </c>
      <c r="BH56" s="115" t="e">
        <f t="shared" si="146"/>
        <v>#REF!</v>
      </c>
      <c r="BI56" s="110" t="e">
        <f t="shared" si="147"/>
        <v>#REF!</v>
      </c>
      <c r="BJ56" s="52">
        <f>Summ.!$A65</f>
        <v>51200</v>
      </c>
      <c r="BK56" s="119" t="str">
        <f>Summ.!$B65</f>
        <v>Electrical Repairs/Common Area</v>
      </c>
      <c r="BL56" s="134">
        <f t="shared" si="213"/>
        <v>0</v>
      </c>
      <c r="BM56" s="110">
        <f t="shared" si="148"/>
        <v>0</v>
      </c>
      <c r="BN56" s="110">
        <f t="shared" si="277"/>
        <v>0</v>
      </c>
      <c r="BO56" s="113">
        <f t="shared" si="149"/>
        <v>1.9468055936386071E-2</v>
      </c>
      <c r="BP56" s="110">
        <f t="shared" si="150"/>
        <v>0</v>
      </c>
      <c r="BQ56" s="115">
        <f t="shared" si="151"/>
        <v>0</v>
      </c>
      <c r="BR56" s="110">
        <f t="shared" si="152"/>
        <v>0</v>
      </c>
      <c r="BS56" s="52">
        <f>Summ.!$A65</f>
        <v>51200</v>
      </c>
      <c r="BT56" s="119" t="str">
        <f>Summ.!$B65</f>
        <v>Electrical Repairs/Common Area</v>
      </c>
      <c r="BU56" s="134">
        <f t="shared" si="215"/>
        <v>0</v>
      </c>
      <c r="BV56" s="110">
        <f t="shared" si="278"/>
        <v>0</v>
      </c>
      <c r="BW56" s="110">
        <f t="shared" si="279"/>
        <v>0</v>
      </c>
      <c r="BX56" s="113">
        <f t="shared" si="153"/>
        <v>2.0427748834658623E-2</v>
      </c>
      <c r="BY56" s="110">
        <f t="shared" si="154"/>
        <v>0</v>
      </c>
      <c r="BZ56" s="115">
        <f t="shared" si="155"/>
        <v>0</v>
      </c>
      <c r="CA56" s="110">
        <f t="shared" si="156"/>
        <v>0</v>
      </c>
      <c r="CB56" s="52">
        <f>Summ.!$A65</f>
        <v>51200</v>
      </c>
      <c r="CC56" s="119" t="str">
        <f>Summ.!$B65</f>
        <v>Electrical Repairs/Common Area</v>
      </c>
      <c r="CD56" s="134">
        <f t="shared" si="218"/>
        <v>0</v>
      </c>
      <c r="CE56" s="110">
        <v>0</v>
      </c>
      <c r="CF56" s="110">
        <f t="shared" si="280"/>
        <v>0</v>
      </c>
      <c r="CG56" s="113">
        <f t="shared" si="157"/>
        <v>6.9058717536918793E-2</v>
      </c>
      <c r="CH56" s="110">
        <f t="shared" si="158"/>
        <v>0</v>
      </c>
      <c r="CI56" s="115">
        <f t="shared" si="159"/>
        <v>0</v>
      </c>
      <c r="CJ56" s="110">
        <f t="shared" si="160"/>
        <v>0</v>
      </c>
      <c r="CK56" s="52">
        <f>Summ.!$A65</f>
        <v>51200</v>
      </c>
      <c r="CL56" s="119" t="str">
        <f>Summ.!$B65</f>
        <v>Electrical Repairs/Common Area</v>
      </c>
      <c r="CM56" s="134">
        <f t="shared" si="220"/>
        <v>0</v>
      </c>
      <c r="CN56" s="110">
        <f t="shared" si="281"/>
        <v>0</v>
      </c>
      <c r="CO56" s="110">
        <f t="shared" si="282"/>
        <v>0</v>
      </c>
      <c r="CP56" s="113">
        <f t="shared" si="161"/>
        <v>0.21027067256845156</v>
      </c>
      <c r="CQ56" s="110">
        <f t="shared" si="162"/>
        <v>0</v>
      </c>
      <c r="CR56" s="115">
        <f t="shared" si="163"/>
        <v>0</v>
      </c>
      <c r="CS56" s="110">
        <f t="shared" si="164"/>
        <v>0</v>
      </c>
      <c r="CT56" s="52">
        <f>Summ.!$A65</f>
        <v>51200</v>
      </c>
      <c r="CU56" s="119" t="str">
        <f>Summ.!$B65</f>
        <v>Electrical Repairs/Common Area</v>
      </c>
      <c r="CV56" s="134">
        <f t="shared" si="223"/>
        <v>0</v>
      </c>
      <c r="CW56" s="110">
        <v>0</v>
      </c>
      <c r="CX56" s="110">
        <f t="shared" si="283"/>
        <v>0</v>
      </c>
      <c r="CY56" s="113">
        <f t="shared" si="165"/>
        <v>5.8756708057503229E-2</v>
      </c>
      <c r="CZ56" s="110">
        <f t="shared" si="166"/>
        <v>0</v>
      </c>
      <c r="DA56" s="115">
        <f t="shared" si="167"/>
        <v>0</v>
      </c>
      <c r="DB56" s="110">
        <f t="shared" si="168"/>
        <v>0</v>
      </c>
      <c r="DC56" s="52">
        <f>Summ.!$A65</f>
        <v>51200</v>
      </c>
      <c r="DD56" s="119" t="str">
        <f>Summ.!$B65</f>
        <v>Electrical Repairs/Common Area</v>
      </c>
      <c r="DE56" s="134">
        <f t="shared" si="225"/>
        <v>0</v>
      </c>
      <c r="DF56" s="110">
        <v>0</v>
      </c>
      <c r="DG56" s="110">
        <f t="shared" si="284"/>
        <v>0</v>
      </c>
      <c r="DH56" s="113">
        <f t="shared" si="169"/>
        <v>9.7927846762505388E-3</v>
      </c>
      <c r="DI56" s="110">
        <f t="shared" si="170"/>
        <v>0</v>
      </c>
      <c r="DJ56" s="115">
        <f t="shared" si="171"/>
        <v>0</v>
      </c>
      <c r="DK56" s="110">
        <f t="shared" si="172"/>
        <v>0</v>
      </c>
      <c r="DL56" s="52">
        <f>Summ.!$A65</f>
        <v>51200</v>
      </c>
      <c r="DM56" s="119" t="str">
        <f>Summ.!$B65</f>
        <v>Electrical Repairs/Common Area</v>
      </c>
      <c r="DN56" s="134">
        <f t="shared" si="227"/>
        <v>0</v>
      </c>
      <c r="DO56" s="110">
        <v>0</v>
      </c>
      <c r="DP56" s="110">
        <f t="shared" si="285"/>
        <v>0</v>
      </c>
      <c r="DQ56" s="113">
        <f t="shared" si="173"/>
        <v>5.6719808844843123E-2</v>
      </c>
      <c r="DR56" s="110">
        <f t="shared" si="174"/>
        <v>0</v>
      </c>
      <c r="DS56" s="115">
        <f t="shared" si="175"/>
        <v>0</v>
      </c>
      <c r="DT56" s="110">
        <f t="shared" si="176"/>
        <v>0</v>
      </c>
      <c r="DU56" s="52">
        <f>Summ.!$A65</f>
        <v>51200</v>
      </c>
      <c r="DV56" s="119" t="str">
        <f>Summ.!$B65</f>
        <v>Electrical Repairs/Common Area</v>
      </c>
      <c r="DW56" s="134">
        <f t="shared" si="229"/>
        <v>0</v>
      </c>
      <c r="DX56" s="110">
        <f t="shared" si="286"/>
        <v>0</v>
      </c>
      <c r="DY56" s="110">
        <f t="shared" si="287"/>
        <v>0</v>
      </c>
      <c r="DZ56" s="113">
        <f t="shared" si="177"/>
        <v>0.15695875279094362</v>
      </c>
      <c r="EA56" s="110">
        <f t="shared" si="178"/>
        <v>0</v>
      </c>
      <c r="EB56" s="115">
        <f t="shared" si="179"/>
        <v>0</v>
      </c>
      <c r="EC56" s="110">
        <f t="shared" si="180"/>
        <v>0</v>
      </c>
      <c r="ED56" s="52">
        <f>Summ.!$A65</f>
        <v>51200</v>
      </c>
      <c r="EE56" s="119" t="str">
        <f>Summ.!$B65</f>
        <v>Electrical Repairs/Common Area</v>
      </c>
      <c r="EF56" s="134">
        <f t="shared" si="232"/>
        <v>0</v>
      </c>
      <c r="EG56" s="110">
        <f t="shared" si="288"/>
        <v>0</v>
      </c>
      <c r="EH56" s="110">
        <f t="shared" si="289"/>
        <v>0</v>
      </c>
      <c r="EI56" s="113">
        <f t="shared" si="181"/>
        <v>0.12730620079125701</v>
      </c>
      <c r="EJ56" s="110">
        <f t="shared" si="182"/>
        <v>0</v>
      </c>
      <c r="EK56" s="115">
        <f t="shared" si="183"/>
        <v>0</v>
      </c>
      <c r="EL56" s="110">
        <f t="shared" si="184"/>
        <v>0</v>
      </c>
      <c r="EM56" s="52">
        <f>Summ.!$A65</f>
        <v>51200</v>
      </c>
      <c r="EN56" s="119" t="str">
        <f>Summ.!$B65</f>
        <v>Electrical Repairs/Common Area</v>
      </c>
      <c r="EO56" s="134">
        <f t="shared" si="235"/>
        <v>0</v>
      </c>
      <c r="EP56" s="110">
        <v>0</v>
      </c>
      <c r="EQ56" s="110">
        <f t="shared" si="290"/>
        <v>0</v>
      </c>
      <c r="ER56" s="113">
        <f t="shared" si="185"/>
        <v>3.9034039719534647E-2</v>
      </c>
      <c r="ES56" s="110">
        <f t="shared" si="186"/>
        <v>0</v>
      </c>
      <c r="ET56" s="115">
        <f t="shared" si="187"/>
        <v>0</v>
      </c>
      <c r="EU56" s="110">
        <f t="shared" si="188"/>
        <v>0</v>
      </c>
      <c r="EV56" s="52">
        <f>Summ.!$A65</f>
        <v>51200</v>
      </c>
      <c r="EW56" s="119" t="str">
        <f>Summ.!$B65</f>
        <v>Electrical Repairs/Common Area</v>
      </c>
      <c r="EX56" s="134">
        <f t="shared" si="237"/>
        <v>0</v>
      </c>
      <c r="EY56" s="110">
        <v>0</v>
      </c>
      <c r="EZ56" s="110">
        <f t="shared" si="238"/>
        <v>0</v>
      </c>
      <c r="FA56" s="113">
        <f t="shared" si="189"/>
        <v>1.8841317717106038E-2</v>
      </c>
      <c r="FB56" s="110">
        <f t="shared" si="190"/>
        <v>0</v>
      </c>
      <c r="FC56" s="115">
        <f t="shared" si="191"/>
        <v>0</v>
      </c>
      <c r="FD56" s="110">
        <f t="shared" si="192"/>
        <v>0</v>
      </c>
      <c r="FE56" s="52">
        <f>Summ.!$A65</f>
        <v>51200</v>
      </c>
      <c r="FF56" s="119" t="str">
        <f>Summ.!$B65</f>
        <v>Electrical Repairs/Common Area</v>
      </c>
      <c r="FG56" s="134">
        <f t="shared" si="239"/>
        <v>0</v>
      </c>
      <c r="FH56" s="110">
        <f t="shared" si="240"/>
        <v>0</v>
      </c>
      <c r="FI56" s="110">
        <f t="shared" si="241"/>
        <v>0</v>
      </c>
      <c r="FJ56" s="113">
        <f t="shared" si="193"/>
        <v>7.254494888166399E-2</v>
      </c>
      <c r="FK56" s="110">
        <f t="shared" si="194"/>
        <v>0</v>
      </c>
      <c r="FL56" s="115">
        <f t="shared" si="195"/>
        <v>0</v>
      </c>
      <c r="FM56" s="110">
        <f t="shared" si="196"/>
        <v>0</v>
      </c>
    </row>
    <row r="57" spans="1:169" ht="12.75" customHeight="1">
      <c r="A57" s="52">
        <f>Summ.!A66</f>
        <v>0</v>
      </c>
      <c r="B57" s="45" t="str">
        <f>Summ.!B66</f>
        <v>Supplies Electrical</v>
      </c>
      <c r="C57" s="45"/>
      <c r="D57" s="45"/>
      <c r="E57" s="45"/>
      <c r="F57" s="106">
        <f>+Summ.!O66</f>
        <v>0</v>
      </c>
      <c r="G57" s="71">
        <f>Rent!$B$41</f>
        <v>51058</v>
      </c>
      <c r="H57" s="52">
        <f>Summ.!$A66</f>
        <v>0</v>
      </c>
      <c r="I57" s="119" t="str">
        <f>Summ.!$B66</f>
        <v>Supplies Electrical</v>
      </c>
      <c r="J57" s="134">
        <f t="shared" si="197"/>
        <v>0</v>
      </c>
      <c r="K57" s="110">
        <v>0</v>
      </c>
      <c r="L57" s="110">
        <f t="shared" si="198"/>
        <v>0</v>
      </c>
      <c r="M57" s="113">
        <f t="shared" si="124"/>
        <v>7.5854910102236675E-2</v>
      </c>
      <c r="N57" s="110">
        <f t="shared" si="125"/>
        <v>0</v>
      </c>
      <c r="O57" s="115">
        <f t="shared" si="126"/>
        <v>0</v>
      </c>
      <c r="P57" s="110">
        <f t="shared" si="127"/>
        <v>0</v>
      </c>
      <c r="Q57" s="52">
        <f>Summ.!$A66</f>
        <v>0</v>
      </c>
      <c r="R57" s="119" t="str">
        <f>Summ.!$B66</f>
        <v>Supplies Electrical</v>
      </c>
      <c r="S57" s="134">
        <f t="shared" si="199"/>
        <v>0</v>
      </c>
      <c r="T57" s="110">
        <f t="shared" si="268"/>
        <v>0</v>
      </c>
      <c r="U57" s="110">
        <f t="shared" si="269"/>
        <v>0</v>
      </c>
      <c r="V57" s="113">
        <f t="shared" si="128"/>
        <v>2.1034901484586158E-2</v>
      </c>
      <c r="W57" s="110">
        <f t="shared" si="129"/>
        <v>0</v>
      </c>
      <c r="X57" s="115">
        <f t="shared" si="130"/>
        <v>0</v>
      </c>
      <c r="Y57" s="110">
        <f t="shared" si="131"/>
        <v>0</v>
      </c>
      <c r="Z57" s="52">
        <f>Summ.!$A66</f>
        <v>0</v>
      </c>
      <c r="AA57" s="119" t="str">
        <f>Summ.!$B66</f>
        <v>Supplies Electrical</v>
      </c>
      <c r="AB57" s="134">
        <f t="shared" si="202"/>
        <v>0</v>
      </c>
      <c r="AC57" s="110">
        <v>0</v>
      </c>
      <c r="AD57" s="110">
        <f t="shared" si="270"/>
        <v>0</v>
      </c>
      <c r="AE57" s="113">
        <f t="shared" si="132"/>
        <v>3.9171138705002152E-3</v>
      </c>
      <c r="AF57" s="110">
        <f t="shared" si="133"/>
        <v>0</v>
      </c>
      <c r="AG57" s="115">
        <f t="shared" si="134"/>
        <v>0</v>
      </c>
      <c r="AH57" s="110">
        <f t="shared" si="135"/>
        <v>0</v>
      </c>
      <c r="AI57" s="52">
        <f>Summ.!$A66</f>
        <v>0</v>
      </c>
      <c r="AJ57" s="119" t="str">
        <f>Summ.!$B66</f>
        <v>Supplies Electrical</v>
      </c>
      <c r="AK57" s="134">
        <f t="shared" si="204"/>
        <v>0</v>
      </c>
      <c r="AL57" s="110">
        <f t="shared" si="271"/>
        <v>0</v>
      </c>
      <c r="AM57" s="110">
        <f t="shared" si="272"/>
        <v>0</v>
      </c>
      <c r="AN57" s="113">
        <f t="shared" si="136"/>
        <v>1.0145324924595559E-2</v>
      </c>
      <c r="AO57" s="110">
        <f t="shared" si="137"/>
        <v>0</v>
      </c>
      <c r="AP57" s="115">
        <f t="shared" si="138"/>
        <v>0</v>
      </c>
      <c r="AQ57" s="110">
        <f t="shared" si="139"/>
        <v>0</v>
      </c>
      <c r="AR57" s="52">
        <f>Summ.!$A66</f>
        <v>0</v>
      </c>
      <c r="AS57" s="119" t="str">
        <f>Summ.!$B66</f>
        <v>Supplies Electrical</v>
      </c>
      <c r="AT57" s="134">
        <f t="shared" si="207"/>
        <v>0</v>
      </c>
      <c r="AU57" s="110">
        <f t="shared" si="273"/>
        <v>0</v>
      </c>
      <c r="AV57" s="110">
        <f t="shared" si="274"/>
        <v>0</v>
      </c>
      <c r="AW57" s="113">
        <f t="shared" si="140"/>
        <v>1.0282423910063065E-2</v>
      </c>
      <c r="AX57" s="110">
        <f t="shared" si="141"/>
        <v>0</v>
      </c>
      <c r="AY57" s="115">
        <f t="shared" si="142"/>
        <v>0</v>
      </c>
      <c r="AZ57" s="110">
        <f t="shared" si="143"/>
        <v>0</v>
      </c>
      <c r="BA57" s="52">
        <f>Summ.!$A66</f>
        <v>0</v>
      </c>
      <c r="BB57" s="119" t="str">
        <f>Summ.!$B66</f>
        <v>Supplies Electrical</v>
      </c>
      <c r="BC57" s="134">
        <f t="shared" si="210"/>
        <v>0</v>
      </c>
      <c r="BD57" s="110">
        <f t="shared" si="275"/>
        <v>0</v>
      </c>
      <c r="BE57" s="110">
        <f t="shared" si="276"/>
        <v>0</v>
      </c>
      <c r="BF57" s="113" t="e">
        <f t="shared" si="144"/>
        <v>#REF!</v>
      </c>
      <c r="BG57" s="110" t="e">
        <f t="shared" si="145"/>
        <v>#REF!</v>
      </c>
      <c r="BH57" s="115" t="e">
        <f t="shared" si="146"/>
        <v>#REF!</v>
      </c>
      <c r="BI57" s="110" t="e">
        <f t="shared" si="147"/>
        <v>#REF!</v>
      </c>
      <c r="BJ57" s="52">
        <f>Summ.!$A66</f>
        <v>0</v>
      </c>
      <c r="BK57" s="119" t="str">
        <f>Summ.!$B66</f>
        <v>Supplies Electrical</v>
      </c>
      <c r="BL57" s="134">
        <f t="shared" si="213"/>
        <v>0</v>
      </c>
      <c r="BM57" s="110">
        <f t="shared" si="148"/>
        <v>0</v>
      </c>
      <c r="BN57" s="110">
        <f t="shared" si="277"/>
        <v>0</v>
      </c>
      <c r="BO57" s="113">
        <f t="shared" si="149"/>
        <v>1.9468055936386071E-2</v>
      </c>
      <c r="BP57" s="110">
        <f t="shared" si="150"/>
        <v>0</v>
      </c>
      <c r="BQ57" s="115">
        <f t="shared" si="151"/>
        <v>0</v>
      </c>
      <c r="BR57" s="110">
        <f t="shared" si="152"/>
        <v>0</v>
      </c>
      <c r="BS57" s="52">
        <f>Summ.!$A66</f>
        <v>0</v>
      </c>
      <c r="BT57" s="119" t="str">
        <f>Summ.!$B66</f>
        <v>Supplies Electrical</v>
      </c>
      <c r="BU57" s="134">
        <f t="shared" si="215"/>
        <v>0</v>
      </c>
      <c r="BV57" s="110">
        <f t="shared" si="278"/>
        <v>0</v>
      </c>
      <c r="BW57" s="110">
        <f t="shared" si="279"/>
        <v>0</v>
      </c>
      <c r="BX57" s="113">
        <f t="shared" si="153"/>
        <v>2.0427748834658623E-2</v>
      </c>
      <c r="BY57" s="110">
        <f t="shared" si="154"/>
        <v>0</v>
      </c>
      <c r="BZ57" s="115">
        <f t="shared" si="155"/>
        <v>0</v>
      </c>
      <c r="CA57" s="110">
        <f t="shared" si="156"/>
        <v>0</v>
      </c>
      <c r="CB57" s="52">
        <f>Summ.!$A66</f>
        <v>0</v>
      </c>
      <c r="CC57" s="119" t="str">
        <f>Summ.!$B66</f>
        <v>Supplies Electrical</v>
      </c>
      <c r="CD57" s="134">
        <f t="shared" si="218"/>
        <v>0</v>
      </c>
      <c r="CE57" s="110">
        <v>0</v>
      </c>
      <c r="CF57" s="110">
        <f t="shared" si="280"/>
        <v>0</v>
      </c>
      <c r="CG57" s="113">
        <f t="shared" si="157"/>
        <v>6.9058717536918793E-2</v>
      </c>
      <c r="CH57" s="110">
        <f t="shared" si="158"/>
        <v>0</v>
      </c>
      <c r="CI57" s="115">
        <f t="shared" si="159"/>
        <v>0</v>
      </c>
      <c r="CJ57" s="110">
        <f t="shared" si="160"/>
        <v>0</v>
      </c>
      <c r="CK57" s="52">
        <f>Summ.!$A66</f>
        <v>0</v>
      </c>
      <c r="CL57" s="119" t="str">
        <f>Summ.!$B66</f>
        <v>Supplies Electrical</v>
      </c>
      <c r="CM57" s="134">
        <f t="shared" si="220"/>
        <v>0</v>
      </c>
      <c r="CN57" s="110">
        <f t="shared" si="281"/>
        <v>0</v>
      </c>
      <c r="CO57" s="110">
        <f t="shared" si="282"/>
        <v>0</v>
      </c>
      <c r="CP57" s="113">
        <f t="shared" si="161"/>
        <v>0.21027067256845156</v>
      </c>
      <c r="CQ57" s="110">
        <f t="shared" si="162"/>
        <v>0</v>
      </c>
      <c r="CR57" s="115">
        <f t="shared" si="163"/>
        <v>0</v>
      </c>
      <c r="CS57" s="110">
        <f t="shared" si="164"/>
        <v>0</v>
      </c>
      <c r="CT57" s="52">
        <f>Summ.!$A66</f>
        <v>0</v>
      </c>
      <c r="CU57" s="119" t="str">
        <f>Summ.!$B66</f>
        <v>Supplies Electrical</v>
      </c>
      <c r="CV57" s="134">
        <f t="shared" si="223"/>
        <v>0</v>
      </c>
      <c r="CW57" s="110">
        <v>0</v>
      </c>
      <c r="CX57" s="110">
        <f t="shared" si="283"/>
        <v>0</v>
      </c>
      <c r="CY57" s="113">
        <f t="shared" si="165"/>
        <v>5.8756708057503229E-2</v>
      </c>
      <c r="CZ57" s="110">
        <f t="shared" si="166"/>
        <v>0</v>
      </c>
      <c r="DA57" s="115">
        <f t="shared" si="167"/>
        <v>0</v>
      </c>
      <c r="DB57" s="110">
        <f t="shared" si="168"/>
        <v>0</v>
      </c>
      <c r="DC57" s="52">
        <f>Summ.!$A66</f>
        <v>0</v>
      </c>
      <c r="DD57" s="119" t="str">
        <f>Summ.!$B66</f>
        <v>Supplies Electrical</v>
      </c>
      <c r="DE57" s="134">
        <f t="shared" si="225"/>
        <v>0</v>
      </c>
      <c r="DF57" s="110">
        <v>0</v>
      </c>
      <c r="DG57" s="110">
        <f t="shared" si="284"/>
        <v>0</v>
      </c>
      <c r="DH57" s="113">
        <f t="shared" si="169"/>
        <v>9.7927846762505388E-3</v>
      </c>
      <c r="DI57" s="110">
        <f t="shared" si="170"/>
        <v>0</v>
      </c>
      <c r="DJ57" s="115">
        <f t="shared" si="171"/>
        <v>0</v>
      </c>
      <c r="DK57" s="110">
        <f t="shared" si="172"/>
        <v>0</v>
      </c>
      <c r="DL57" s="52">
        <f>Summ.!$A66</f>
        <v>0</v>
      </c>
      <c r="DM57" s="119" t="str">
        <f>Summ.!$B66</f>
        <v>Supplies Electrical</v>
      </c>
      <c r="DN57" s="134">
        <f t="shared" si="227"/>
        <v>0</v>
      </c>
      <c r="DO57" s="110">
        <v>0</v>
      </c>
      <c r="DP57" s="110">
        <f t="shared" si="285"/>
        <v>0</v>
      </c>
      <c r="DQ57" s="113">
        <f t="shared" si="173"/>
        <v>5.6719808844843123E-2</v>
      </c>
      <c r="DR57" s="110">
        <f t="shared" si="174"/>
        <v>0</v>
      </c>
      <c r="DS57" s="115">
        <f t="shared" si="175"/>
        <v>0</v>
      </c>
      <c r="DT57" s="110">
        <f t="shared" si="176"/>
        <v>0</v>
      </c>
      <c r="DU57" s="52">
        <f>Summ.!$A66</f>
        <v>0</v>
      </c>
      <c r="DV57" s="119" t="str">
        <f>Summ.!$B66</f>
        <v>Supplies Electrical</v>
      </c>
      <c r="DW57" s="134">
        <f t="shared" si="229"/>
        <v>0</v>
      </c>
      <c r="DX57" s="110">
        <f t="shared" si="286"/>
        <v>0</v>
      </c>
      <c r="DY57" s="110">
        <f t="shared" si="287"/>
        <v>0</v>
      </c>
      <c r="DZ57" s="113">
        <f t="shared" si="177"/>
        <v>0.15695875279094362</v>
      </c>
      <c r="EA57" s="110">
        <f t="shared" si="178"/>
        <v>0</v>
      </c>
      <c r="EB57" s="115">
        <f t="shared" si="179"/>
        <v>0</v>
      </c>
      <c r="EC57" s="110">
        <f t="shared" si="180"/>
        <v>0</v>
      </c>
      <c r="ED57" s="52">
        <f>Summ.!$A66</f>
        <v>0</v>
      </c>
      <c r="EE57" s="119" t="str">
        <f>Summ.!$B66</f>
        <v>Supplies Electrical</v>
      </c>
      <c r="EF57" s="134">
        <f t="shared" si="232"/>
        <v>0</v>
      </c>
      <c r="EG57" s="110">
        <f t="shared" si="288"/>
        <v>0</v>
      </c>
      <c r="EH57" s="110">
        <f t="shared" si="289"/>
        <v>0</v>
      </c>
      <c r="EI57" s="113">
        <f t="shared" si="181"/>
        <v>0.12730620079125701</v>
      </c>
      <c r="EJ57" s="110">
        <f t="shared" si="182"/>
        <v>0</v>
      </c>
      <c r="EK57" s="115">
        <f t="shared" si="183"/>
        <v>0</v>
      </c>
      <c r="EL57" s="110">
        <f t="shared" si="184"/>
        <v>0</v>
      </c>
      <c r="EM57" s="52">
        <f>Summ.!$A66</f>
        <v>0</v>
      </c>
      <c r="EN57" s="119" t="str">
        <f>Summ.!$B66</f>
        <v>Supplies Electrical</v>
      </c>
      <c r="EO57" s="134">
        <f t="shared" si="235"/>
        <v>0</v>
      </c>
      <c r="EP57" s="110">
        <v>0</v>
      </c>
      <c r="EQ57" s="110">
        <f t="shared" si="290"/>
        <v>0</v>
      </c>
      <c r="ER57" s="113">
        <f t="shared" si="185"/>
        <v>3.9034039719534647E-2</v>
      </c>
      <c r="ES57" s="110">
        <f t="shared" si="186"/>
        <v>0</v>
      </c>
      <c r="ET57" s="115">
        <f t="shared" si="187"/>
        <v>0</v>
      </c>
      <c r="EU57" s="110">
        <f t="shared" si="188"/>
        <v>0</v>
      </c>
      <c r="EV57" s="52">
        <f>Summ.!$A66</f>
        <v>0</v>
      </c>
      <c r="EW57" s="119" t="str">
        <f>Summ.!$B66</f>
        <v>Supplies Electrical</v>
      </c>
      <c r="EX57" s="134">
        <f t="shared" si="237"/>
        <v>0</v>
      </c>
      <c r="EY57" s="110">
        <v>0</v>
      </c>
      <c r="EZ57" s="110">
        <f t="shared" si="238"/>
        <v>0</v>
      </c>
      <c r="FA57" s="113">
        <f t="shared" si="189"/>
        <v>1.8841317717106038E-2</v>
      </c>
      <c r="FB57" s="110">
        <f t="shared" si="190"/>
        <v>0</v>
      </c>
      <c r="FC57" s="115">
        <f t="shared" si="191"/>
        <v>0</v>
      </c>
      <c r="FD57" s="110">
        <f t="shared" si="192"/>
        <v>0</v>
      </c>
      <c r="FE57" s="52">
        <f>Summ.!$A66</f>
        <v>0</v>
      </c>
      <c r="FF57" s="119" t="str">
        <f>Summ.!$B66</f>
        <v>Supplies Electrical</v>
      </c>
      <c r="FG57" s="134">
        <f t="shared" si="239"/>
        <v>0</v>
      </c>
      <c r="FH57" s="110">
        <f t="shared" si="240"/>
        <v>0</v>
      </c>
      <c r="FI57" s="110">
        <f t="shared" si="241"/>
        <v>0</v>
      </c>
      <c r="FJ57" s="113">
        <f t="shared" si="193"/>
        <v>7.254494888166399E-2</v>
      </c>
      <c r="FK57" s="110">
        <f t="shared" si="194"/>
        <v>0</v>
      </c>
      <c r="FL57" s="115">
        <f t="shared" si="195"/>
        <v>0</v>
      </c>
      <c r="FM57" s="110">
        <f t="shared" si="196"/>
        <v>0</v>
      </c>
    </row>
    <row r="58" spans="1:169" ht="12.75" customHeight="1">
      <c r="A58" s="52">
        <f>Summ.!A67</f>
        <v>51210</v>
      </c>
      <c r="B58" s="45" t="str">
        <f>Summ.!B67</f>
        <v>Plumbing Repairs</v>
      </c>
      <c r="C58" s="45"/>
      <c r="D58" s="45"/>
      <c r="E58" s="45"/>
      <c r="F58" s="106">
        <f>+Summ.!O67</f>
        <v>6000</v>
      </c>
      <c r="G58" s="482">
        <f>G49</f>
        <v>40148</v>
      </c>
      <c r="H58" s="52">
        <f>Summ.!$A67</f>
        <v>51210</v>
      </c>
      <c r="I58" s="119" t="str">
        <f>Summ.!$B67</f>
        <v>Plumbing Repairs</v>
      </c>
      <c r="J58" s="134">
        <f t="shared" si="197"/>
        <v>6000</v>
      </c>
      <c r="K58" s="110">
        <v>0</v>
      </c>
      <c r="L58" s="110">
        <f t="shared" si="198"/>
        <v>6000</v>
      </c>
      <c r="M58" s="113">
        <f t="shared" si="124"/>
        <v>9.6468068147852942E-2</v>
      </c>
      <c r="N58" s="110">
        <f t="shared" si="125"/>
        <v>578.80840888711771</v>
      </c>
      <c r="O58" s="115">
        <f t="shared" si="126"/>
        <v>0</v>
      </c>
      <c r="P58" s="110">
        <f t="shared" si="127"/>
        <v>578.80840888711771</v>
      </c>
      <c r="Q58" s="52">
        <f>Summ.!$A67</f>
        <v>51210</v>
      </c>
      <c r="R58" s="119" t="str">
        <f>Summ.!$B67</f>
        <v>Plumbing Repairs</v>
      </c>
      <c r="S58" s="134">
        <f t="shared" si="199"/>
        <v>6000</v>
      </c>
      <c r="T58" s="110">
        <f t="shared" si="268"/>
        <v>0</v>
      </c>
      <c r="U58" s="110">
        <f t="shared" si="269"/>
        <v>6000</v>
      </c>
      <c r="V58" s="113">
        <f t="shared" si="128"/>
        <v>2.6751021221480521E-2</v>
      </c>
      <c r="W58" s="110">
        <f t="shared" si="129"/>
        <v>160.50612732888314</v>
      </c>
      <c r="X58" s="115">
        <f t="shared" si="130"/>
        <v>0</v>
      </c>
      <c r="Y58" s="110">
        <f t="shared" si="131"/>
        <v>160.50612732888314</v>
      </c>
      <c r="Z58" s="52">
        <f>Summ.!$A67</f>
        <v>51210</v>
      </c>
      <c r="AA58" s="119" t="str">
        <f>Summ.!$B67</f>
        <v>Plumbing Repairs</v>
      </c>
      <c r="AB58" s="134">
        <f t="shared" si="202"/>
        <v>6000</v>
      </c>
      <c r="AC58" s="110">
        <v>0</v>
      </c>
      <c r="AD58" s="110">
        <f t="shared" si="270"/>
        <v>6000</v>
      </c>
      <c r="AE58" s="113">
        <f t="shared" si="132"/>
        <v>4.9815681976686258E-3</v>
      </c>
      <c r="AF58" s="110">
        <f t="shared" si="133"/>
        <v>29.889409186011754</v>
      </c>
      <c r="AG58" s="115">
        <f t="shared" si="134"/>
        <v>0</v>
      </c>
      <c r="AH58" s="110">
        <f t="shared" si="135"/>
        <v>29.889409186011754</v>
      </c>
      <c r="AI58" s="52">
        <f>Summ.!$A67</f>
        <v>51210</v>
      </c>
      <c r="AJ58" s="119" t="str">
        <f>Summ.!$B67</f>
        <v>Plumbing Repairs</v>
      </c>
      <c r="AK58" s="134">
        <f t="shared" si="204"/>
        <v>6000</v>
      </c>
      <c r="AL58" s="110">
        <f t="shared" si="271"/>
        <v>0</v>
      </c>
      <c r="AM58" s="110">
        <f t="shared" si="272"/>
        <v>6000</v>
      </c>
      <c r="AN58" s="113">
        <f t="shared" si="136"/>
        <v>1.2902261631961742E-2</v>
      </c>
      <c r="AO58" s="110">
        <f t="shared" si="137"/>
        <v>77.413569791770456</v>
      </c>
      <c r="AP58" s="115">
        <f t="shared" si="138"/>
        <v>0</v>
      </c>
      <c r="AQ58" s="110">
        <f t="shared" si="139"/>
        <v>77.413569791770456</v>
      </c>
      <c r="AR58" s="52">
        <f>Summ.!$A67</f>
        <v>51210</v>
      </c>
      <c r="AS58" s="119" t="str">
        <f>Summ.!$B67</f>
        <v>Plumbing Repairs</v>
      </c>
      <c r="AT58" s="134">
        <f t="shared" si="207"/>
        <v>6000</v>
      </c>
      <c r="AU58" s="110">
        <f t="shared" si="273"/>
        <v>0</v>
      </c>
      <c r="AV58" s="110">
        <f t="shared" si="274"/>
        <v>6000</v>
      </c>
      <c r="AW58" s="113">
        <f t="shared" si="140"/>
        <v>1.3076616518880143E-2</v>
      </c>
      <c r="AX58" s="110">
        <f t="shared" si="141"/>
        <v>78.459699113280863</v>
      </c>
      <c r="AY58" s="115">
        <f t="shared" si="142"/>
        <v>0</v>
      </c>
      <c r="AZ58" s="110">
        <f t="shared" si="143"/>
        <v>78.459699113280863</v>
      </c>
      <c r="BA58" s="52">
        <f>Summ.!$A67</f>
        <v>51210</v>
      </c>
      <c r="BB58" s="119" t="str">
        <f>Summ.!$B67</f>
        <v>Plumbing Repairs</v>
      </c>
      <c r="BC58" s="134">
        <f t="shared" si="210"/>
        <v>6000</v>
      </c>
      <c r="BD58" s="110">
        <f t="shared" si="275"/>
        <v>0</v>
      </c>
      <c r="BE58" s="110">
        <f t="shared" si="276"/>
        <v>6000</v>
      </c>
      <c r="BF58" s="113" t="e">
        <f t="shared" si="144"/>
        <v>#REF!</v>
      </c>
      <c r="BG58" s="110" t="e">
        <f t="shared" si="145"/>
        <v>#REF!</v>
      </c>
      <c r="BH58" s="115" t="e">
        <f t="shared" si="146"/>
        <v>#REF!</v>
      </c>
      <c r="BI58" s="110" t="e">
        <f t="shared" si="147"/>
        <v>#REF!</v>
      </c>
      <c r="BJ58" s="52">
        <f>Summ.!$A67</f>
        <v>51210</v>
      </c>
      <c r="BK58" s="119" t="str">
        <f>Summ.!$B67</f>
        <v>Plumbing Repairs</v>
      </c>
      <c r="BL58" s="134">
        <f t="shared" si="213"/>
        <v>6000</v>
      </c>
      <c r="BM58" s="110">
        <f t="shared" si="148"/>
        <v>0</v>
      </c>
      <c r="BN58" s="110">
        <f t="shared" si="277"/>
        <v>6000</v>
      </c>
      <c r="BO58" s="113">
        <f t="shared" si="149"/>
        <v>2.4758393942413071E-2</v>
      </c>
      <c r="BP58" s="110">
        <f t="shared" si="150"/>
        <v>148.55036365447842</v>
      </c>
      <c r="BQ58" s="115">
        <f t="shared" si="151"/>
        <v>0</v>
      </c>
      <c r="BR58" s="110">
        <f t="shared" si="152"/>
        <v>148.55036365447842</v>
      </c>
      <c r="BS58" s="52">
        <f>Summ.!$A67</f>
        <v>51210</v>
      </c>
      <c r="BT58" s="119" t="str">
        <f>Summ.!$B67</f>
        <v>Plumbing Repairs</v>
      </c>
      <c r="BU58" s="134">
        <f t="shared" si="215"/>
        <v>6000</v>
      </c>
      <c r="BV58" s="110">
        <f t="shared" si="278"/>
        <v>0</v>
      </c>
      <c r="BW58" s="110">
        <f t="shared" si="279"/>
        <v>6000</v>
      </c>
      <c r="BX58" s="113">
        <f t="shared" si="153"/>
        <v>2.5978878150841885E-2</v>
      </c>
      <c r="BY58" s="110">
        <f t="shared" si="154"/>
        <v>155.8732689050513</v>
      </c>
      <c r="BZ58" s="115">
        <f t="shared" si="155"/>
        <v>0</v>
      </c>
      <c r="CA58" s="110">
        <f t="shared" si="156"/>
        <v>155.8732689050513</v>
      </c>
      <c r="CB58" s="52">
        <f>Summ.!$A67</f>
        <v>51210</v>
      </c>
      <c r="CC58" s="119" t="str">
        <f>Summ.!$B67</f>
        <v>Plumbing Repairs</v>
      </c>
      <c r="CD58" s="134">
        <f t="shared" si="218"/>
        <v>6000</v>
      </c>
      <c r="CE58" s="110">
        <v>0</v>
      </c>
      <c r="CF58" s="110">
        <f t="shared" si="280"/>
        <v>6000</v>
      </c>
      <c r="CG58" s="113">
        <f t="shared" si="157"/>
        <v>8.7825047324897876E-2</v>
      </c>
      <c r="CH58" s="110">
        <f t="shared" si="158"/>
        <v>526.9502839493872</v>
      </c>
      <c r="CI58" s="115">
        <f t="shared" si="159"/>
        <v>0</v>
      </c>
      <c r="CJ58" s="110">
        <f t="shared" si="160"/>
        <v>526.9502839493872</v>
      </c>
      <c r="CK58" s="52">
        <f>Summ.!$A67</f>
        <v>51210</v>
      </c>
      <c r="CL58" s="119" t="str">
        <f>Summ.!$B67</f>
        <v>Plumbing Repairs</v>
      </c>
      <c r="CM58" s="134">
        <f t="shared" si="220"/>
        <v>6000</v>
      </c>
      <c r="CN58" s="110">
        <f t="shared" si="281"/>
        <v>0</v>
      </c>
      <c r="CO58" s="110">
        <f t="shared" si="282"/>
        <v>6000</v>
      </c>
      <c r="CP58" s="113">
        <f t="shared" si="161"/>
        <v>0.26741058085085184</v>
      </c>
      <c r="CQ58" s="110">
        <f t="shared" si="162"/>
        <v>1604.463485105111</v>
      </c>
      <c r="CR58" s="115">
        <f t="shared" si="163"/>
        <v>0</v>
      </c>
      <c r="CS58" s="110">
        <f t="shared" si="164"/>
        <v>1604.463485105111</v>
      </c>
      <c r="CT58" s="52">
        <f>Summ.!$A67</f>
        <v>51210</v>
      </c>
      <c r="CU58" s="119" t="str">
        <f>Summ.!$B67</f>
        <v>Plumbing Repairs</v>
      </c>
      <c r="CV58" s="134">
        <f t="shared" si="223"/>
        <v>6000</v>
      </c>
      <c r="CW58" s="110">
        <v>0</v>
      </c>
      <c r="CX58" s="110">
        <f t="shared" si="283"/>
        <v>6000</v>
      </c>
      <c r="CY58" s="113">
        <f t="shared" si="165"/>
        <v>7.472352296502939E-2</v>
      </c>
      <c r="CZ58" s="110">
        <f t="shared" si="166"/>
        <v>448.34113779017633</v>
      </c>
      <c r="DA58" s="115">
        <f t="shared" si="167"/>
        <v>0</v>
      </c>
      <c r="DB58" s="110">
        <f t="shared" si="168"/>
        <v>448.34113779017633</v>
      </c>
      <c r="DC58" s="52">
        <f>Summ.!$A67</f>
        <v>51210</v>
      </c>
      <c r="DD58" s="119" t="str">
        <f>Summ.!$B67</f>
        <v>Plumbing Repairs</v>
      </c>
      <c r="DE58" s="134">
        <f t="shared" si="225"/>
        <v>6000</v>
      </c>
      <c r="DF58" s="110">
        <v>0</v>
      </c>
      <c r="DG58" s="110">
        <f t="shared" si="284"/>
        <v>6000</v>
      </c>
      <c r="DH58" s="113">
        <f t="shared" si="169"/>
        <v>1.2453920494171565E-2</v>
      </c>
      <c r="DI58" s="110">
        <f t="shared" si="170"/>
        <v>74.723522965029389</v>
      </c>
      <c r="DJ58" s="115">
        <f t="shared" si="171"/>
        <v>0</v>
      </c>
      <c r="DK58" s="110">
        <f t="shared" si="172"/>
        <v>74.723522965029389</v>
      </c>
      <c r="DL58" s="52">
        <f>Summ.!$A67</f>
        <v>51210</v>
      </c>
      <c r="DM58" s="119" t="str">
        <f>Summ.!$B67</f>
        <v>Plumbing Repairs</v>
      </c>
      <c r="DN58" s="134">
        <f t="shared" si="227"/>
        <v>6000</v>
      </c>
      <c r="DO58" s="110">
        <f>-DN58</f>
        <v>-6000</v>
      </c>
      <c r="DP58" s="110">
        <f t="shared" si="285"/>
        <v>0</v>
      </c>
      <c r="DQ58" s="113">
        <f t="shared" si="173"/>
        <v>7.2133107502241708E-2</v>
      </c>
      <c r="DR58" s="110">
        <f t="shared" si="174"/>
        <v>0</v>
      </c>
      <c r="DS58" s="115">
        <f t="shared" si="175"/>
        <v>0</v>
      </c>
      <c r="DT58" s="110">
        <f t="shared" si="176"/>
        <v>0</v>
      </c>
      <c r="DU58" s="52">
        <f>Summ.!$A67</f>
        <v>51210</v>
      </c>
      <c r="DV58" s="119" t="str">
        <f>Summ.!$B67</f>
        <v>Plumbing Repairs</v>
      </c>
      <c r="DW58" s="134">
        <f t="shared" si="229"/>
        <v>6000</v>
      </c>
      <c r="DX58" s="110">
        <f t="shared" si="286"/>
        <v>-6000</v>
      </c>
      <c r="DY58" s="110">
        <f t="shared" si="287"/>
        <v>0</v>
      </c>
      <c r="DZ58" s="113">
        <f t="shared" si="177"/>
        <v>0.19961143768058184</v>
      </c>
      <c r="EA58" s="110">
        <f t="shared" si="178"/>
        <v>0</v>
      </c>
      <c r="EB58" s="115">
        <f t="shared" si="179"/>
        <v>0</v>
      </c>
      <c r="EC58" s="110">
        <f t="shared" si="180"/>
        <v>0</v>
      </c>
      <c r="ED58" s="52">
        <f>Summ.!$A67</f>
        <v>51210</v>
      </c>
      <c r="EE58" s="119" t="str">
        <f>Summ.!$B67</f>
        <v>Plumbing Repairs</v>
      </c>
      <c r="EF58" s="134">
        <f t="shared" si="232"/>
        <v>6000</v>
      </c>
      <c r="EG58" s="110">
        <v>0</v>
      </c>
      <c r="EH58" s="110">
        <f t="shared" si="289"/>
        <v>6000</v>
      </c>
      <c r="EI58" s="113">
        <f t="shared" si="181"/>
        <v>0.16190096642423035</v>
      </c>
      <c r="EJ58" s="110">
        <f t="shared" si="182"/>
        <v>971.40579854538214</v>
      </c>
      <c r="EK58" s="115">
        <f t="shared" si="183"/>
        <v>145.7108697818073</v>
      </c>
      <c r="EL58" s="110">
        <f t="shared" si="184"/>
        <v>1117.1166683271895</v>
      </c>
      <c r="EM58" s="52">
        <f>Summ.!$A67</f>
        <v>51210</v>
      </c>
      <c r="EN58" s="119" t="str">
        <f>Summ.!$B67</f>
        <v>Plumbing Repairs</v>
      </c>
      <c r="EO58" s="134">
        <f t="shared" si="235"/>
        <v>6000</v>
      </c>
      <c r="EP58" s="110">
        <v>0</v>
      </c>
      <c r="EQ58" s="110">
        <f t="shared" si="290"/>
        <v>6000</v>
      </c>
      <c r="ER58" s="113">
        <f t="shared" si="185"/>
        <v>4.9641327089767859E-2</v>
      </c>
      <c r="ES58" s="110">
        <f t="shared" si="186"/>
        <v>297.84796253860713</v>
      </c>
      <c r="ET58" s="115">
        <f t="shared" si="187"/>
        <v>0</v>
      </c>
      <c r="EU58" s="110">
        <f t="shared" si="188"/>
        <v>297.84796253860713</v>
      </c>
      <c r="EV58" s="52">
        <f>Summ.!$A67</f>
        <v>51210</v>
      </c>
      <c r="EW58" s="119" t="str">
        <f>Summ.!$B67</f>
        <v>Plumbing Repairs</v>
      </c>
      <c r="EX58" s="134">
        <f t="shared" si="237"/>
        <v>6000</v>
      </c>
      <c r="EY58" s="110">
        <v>0</v>
      </c>
      <c r="EZ58" s="110">
        <f t="shared" si="238"/>
        <v>6000</v>
      </c>
      <c r="FA58" s="113">
        <f t="shared" si="189"/>
        <v>2.3961343030786092E-2</v>
      </c>
      <c r="FB58" s="110">
        <f t="shared" si="190"/>
        <v>143.76805818471655</v>
      </c>
      <c r="FC58" s="115">
        <f t="shared" si="191"/>
        <v>0</v>
      </c>
      <c r="FD58" s="110">
        <f t="shared" si="192"/>
        <v>143.76805818471655</v>
      </c>
      <c r="FE58" s="52">
        <f>Summ.!$A67</f>
        <v>51210</v>
      </c>
      <c r="FF58" s="119" t="str">
        <f>Summ.!$B67</f>
        <v>Plumbing Repairs</v>
      </c>
      <c r="FG58" s="134">
        <f t="shared" si="239"/>
        <v>6000</v>
      </c>
      <c r="FH58" s="110">
        <f t="shared" si="240"/>
        <v>0</v>
      </c>
      <c r="FI58" s="110">
        <f t="shared" si="241"/>
        <v>6000</v>
      </c>
      <c r="FJ58" s="113">
        <f t="shared" si="193"/>
        <v>9.2258643020822956E-2</v>
      </c>
      <c r="FK58" s="110">
        <f t="shared" si="194"/>
        <v>553.55185812493778</v>
      </c>
      <c r="FL58" s="115">
        <f t="shared" si="195"/>
        <v>0</v>
      </c>
      <c r="FM58" s="110">
        <f t="shared" si="196"/>
        <v>553.55185812493778</v>
      </c>
    </row>
    <row r="59" spans="1:169" ht="12.75" customHeight="1">
      <c r="A59" s="52">
        <f>Summ.!A68</f>
        <v>51220</v>
      </c>
      <c r="B59" s="45" t="str">
        <f>Summ.!B68</f>
        <v>Painting</v>
      </c>
      <c r="C59" s="45"/>
      <c r="D59" s="45"/>
      <c r="E59" s="45"/>
      <c r="F59" s="106">
        <f>+Summ.!O68</f>
        <v>0</v>
      </c>
      <c r="G59" s="71">
        <f>Rent!$B$41</f>
        <v>51058</v>
      </c>
      <c r="H59" s="52">
        <f>Summ.!$A68</f>
        <v>51220</v>
      </c>
      <c r="I59" s="119" t="str">
        <f>Summ.!$B68</f>
        <v>Painting</v>
      </c>
      <c r="J59" s="134">
        <f t="shared" si="197"/>
        <v>0</v>
      </c>
      <c r="K59" s="110">
        <v>0</v>
      </c>
      <c r="L59" s="110">
        <f t="shared" si="198"/>
        <v>0</v>
      </c>
      <c r="M59" s="113">
        <f t="shared" si="124"/>
        <v>7.5854910102236675E-2</v>
      </c>
      <c r="N59" s="110">
        <f t="shared" si="125"/>
        <v>0</v>
      </c>
      <c r="O59" s="115">
        <f t="shared" si="126"/>
        <v>0</v>
      </c>
      <c r="P59" s="110">
        <f t="shared" si="127"/>
        <v>0</v>
      </c>
      <c r="Q59" s="52">
        <f>Summ.!$A68</f>
        <v>51220</v>
      </c>
      <c r="R59" s="119" t="str">
        <f>Summ.!$B68</f>
        <v>Painting</v>
      </c>
      <c r="S59" s="134">
        <f t="shared" si="199"/>
        <v>0</v>
      </c>
      <c r="T59" s="110">
        <f t="shared" si="268"/>
        <v>0</v>
      </c>
      <c r="U59" s="110">
        <f t="shared" si="269"/>
        <v>0</v>
      </c>
      <c r="V59" s="113">
        <f t="shared" si="128"/>
        <v>2.1034901484586158E-2</v>
      </c>
      <c r="W59" s="110">
        <f t="shared" si="129"/>
        <v>0</v>
      </c>
      <c r="X59" s="115">
        <f t="shared" si="130"/>
        <v>0</v>
      </c>
      <c r="Y59" s="110">
        <f t="shared" si="131"/>
        <v>0</v>
      </c>
      <c r="Z59" s="52">
        <f>Summ.!$A68</f>
        <v>51220</v>
      </c>
      <c r="AA59" s="119" t="str">
        <f>Summ.!$B68</f>
        <v>Painting</v>
      </c>
      <c r="AB59" s="134">
        <f t="shared" si="202"/>
        <v>0</v>
      </c>
      <c r="AC59" s="110">
        <v>0</v>
      </c>
      <c r="AD59" s="110">
        <f t="shared" si="270"/>
        <v>0</v>
      </c>
      <c r="AE59" s="113">
        <f t="shared" si="132"/>
        <v>3.9171138705002152E-3</v>
      </c>
      <c r="AF59" s="110">
        <f t="shared" si="133"/>
        <v>0</v>
      </c>
      <c r="AG59" s="115">
        <f t="shared" si="134"/>
        <v>0</v>
      </c>
      <c r="AH59" s="110">
        <f t="shared" si="135"/>
        <v>0</v>
      </c>
      <c r="AI59" s="52">
        <f>Summ.!$A68</f>
        <v>51220</v>
      </c>
      <c r="AJ59" s="119" t="str">
        <f>Summ.!$B68</f>
        <v>Painting</v>
      </c>
      <c r="AK59" s="134">
        <f t="shared" si="204"/>
        <v>0</v>
      </c>
      <c r="AL59" s="110">
        <f t="shared" si="271"/>
        <v>0</v>
      </c>
      <c r="AM59" s="110">
        <f t="shared" si="272"/>
        <v>0</v>
      </c>
      <c r="AN59" s="113">
        <f t="shared" si="136"/>
        <v>1.0145324924595559E-2</v>
      </c>
      <c r="AO59" s="110">
        <f t="shared" si="137"/>
        <v>0</v>
      </c>
      <c r="AP59" s="115">
        <f t="shared" si="138"/>
        <v>0</v>
      </c>
      <c r="AQ59" s="110">
        <f t="shared" si="139"/>
        <v>0</v>
      </c>
      <c r="AR59" s="52">
        <f>Summ.!$A68</f>
        <v>51220</v>
      </c>
      <c r="AS59" s="119" t="str">
        <f>Summ.!$B68</f>
        <v>Painting</v>
      </c>
      <c r="AT59" s="134">
        <f t="shared" si="207"/>
        <v>0</v>
      </c>
      <c r="AU59" s="110">
        <f t="shared" si="273"/>
        <v>0</v>
      </c>
      <c r="AV59" s="110">
        <f t="shared" si="274"/>
        <v>0</v>
      </c>
      <c r="AW59" s="113">
        <f t="shared" si="140"/>
        <v>1.0282423910063065E-2</v>
      </c>
      <c r="AX59" s="110">
        <f t="shared" si="141"/>
        <v>0</v>
      </c>
      <c r="AY59" s="115">
        <f t="shared" si="142"/>
        <v>0</v>
      </c>
      <c r="AZ59" s="110">
        <f t="shared" si="143"/>
        <v>0</v>
      </c>
      <c r="BA59" s="52">
        <f>Summ.!$A68</f>
        <v>51220</v>
      </c>
      <c r="BB59" s="119" t="str">
        <f>Summ.!$B68</f>
        <v>Painting</v>
      </c>
      <c r="BC59" s="134">
        <f t="shared" si="210"/>
        <v>0</v>
      </c>
      <c r="BD59" s="110">
        <f t="shared" si="275"/>
        <v>0</v>
      </c>
      <c r="BE59" s="110">
        <f t="shared" si="276"/>
        <v>0</v>
      </c>
      <c r="BF59" s="113" t="e">
        <f t="shared" si="144"/>
        <v>#REF!</v>
      </c>
      <c r="BG59" s="110" t="e">
        <f t="shared" si="145"/>
        <v>#REF!</v>
      </c>
      <c r="BH59" s="115" t="e">
        <f t="shared" si="146"/>
        <v>#REF!</v>
      </c>
      <c r="BI59" s="110" t="e">
        <f t="shared" si="147"/>
        <v>#REF!</v>
      </c>
      <c r="BJ59" s="52">
        <f>Summ.!$A68</f>
        <v>51220</v>
      </c>
      <c r="BK59" s="119" t="str">
        <f>Summ.!$B68</f>
        <v>Painting</v>
      </c>
      <c r="BL59" s="134">
        <f t="shared" si="213"/>
        <v>0</v>
      </c>
      <c r="BM59" s="110">
        <f t="shared" si="148"/>
        <v>0</v>
      </c>
      <c r="BN59" s="110">
        <f t="shared" si="277"/>
        <v>0</v>
      </c>
      <c r="BO59" s="113">
        <f t="shared" si="149"/>
        <v>1.9468055936386071E-2</v>
      </c>
      <c r="BP59" s="110">
        <f t="shared" si="150"/>
        <v>0</v>
      </c>
      <c r="BQ59" s="115">
        <f t="shared" si="151"/>
        <v>0</v>
      </c>
      <c r="BR59" s="110">
        <f t="shared" si="152"/>
        <v>0</v>
      </c>
      <c r="BS59" s="52">
        <f>Summ.!$A68</f>
        <v>51220</v>
      </c>
      <c r="BT59" s="119" t="str">
        <f>Summ.!$B68</f>
        <v>Painting</v>
      </c>
      <c r="BU59" s="134">
        <f t="shared" si="215"/>
        <v>0</v>
      </c>
      <c r="BV59" s="110">
        <f t="shared" si="278"/>
        <v>0</v>
      </c>
      <c r="BW59" s="110">
        <f t="shared" si="279"/>
        <v>0</v>
      </c>
      <c r="BX59" s="113">
        <f t="shared" si="153"/>
        <v>2.0427748834658623E-2</v>
      </c>
      <c r="BY59" s="110">
        <f t="shared" si="154"/>
        <v>0</v>
      </c>
      <c r="BZ59" s="115">
        <f t="shared" si="155"/>
        <v>0</v>
      </c>
      <c r="CA59" s="110">
        <f t="shared" si="156"/>
        <v>0</v>
      </c>
      <c r="CB59" s="52">
        <f>Summ.!$A68</f>
        <v>51220</v>
      </c>
      <c r="CC59" s="119" t="str">
        <f>Summ.!$B68</f>
        <v>Painting</v>
      </c>
      <c r="CD59" s="134">
        <f t="shared" si="218"/>
        <v>0</v>
      </c>
      <c r="CE59" s="110">
        <v>0</v>
      </c>
      <c r="CF59" s="110">
        <f t="shared" si="280"/>
        <v>0</v>
      </c>
      <c r="CG59" s="113">
        <f t="shared" si="157"/>
        <v>6.9058717536918793E-2</v>
      </c>
      <c r="CH59" s="110">
        <f t="shared" si="158"/>
        <v>0</v>
      </c>
      <c r="CI59" s="115">
        <f t="shared" si="159"/>
        <v>0</v>
      </c>
      <c r="CJ59" s="110">
        <f t="shared" si="160"/>
        <v>0</v>
      </c>
      <c r="CK59" s="52">
        <f>Summ.!$A68</f>
        <v>51220</v>
      </c>
      <c r="CL59" s="119" t="str">
        <f>Summ.!$B68</f>
        <v>Painting</v>
      </c>
      <c r="CM59" s="134">
        <f t="shared" si="220"/>
        <v>0</v>
      </c>
      <c r="CN59" s="110">
        <f t="shared" si="281"/>
        <v>0</v>
      </c>
      <c r="CO59" s="110">
        <f t="shared" si="282"/>
        <v>0</v>
      </c>
      <c r="CP59" s="113">
        <f t="shared" si="161"/>
        <v>0.21027067256845156</v>
      </c>
      <c r="CQ59" s="110">
        <f t="shared" si="162"/>
        <v>0</v>
      </c>
      <c r="CR59" s="115">
        <f t="shared" si="163"/>
        <v>0</v>
      </c>
      <c r="CS59" s="110">
        <f t="shared" si="164"/>
        <v>0</v>
      </c>
      <c r="CT59" s="52">
        <f>Summ.!$A68</f>
        <v>51220</v>
      </c>
      <c r="CU59" s="119" t="str">
        <f>Summ.!$B68</f>
        <v>Painting</v>
      </c>
      <c r="CV59" s="134">
        <f t="shared" si="223"/>
        <v>0</v>
      </c>
      <c r="CW59" s="110">
        <v>0</v>
      </c>
      <c r="CX59" s="110">
        <f t="shared" si="283"/>
        <v>0</v>
      </c>
      <c r="CY59" s="113">
        <f t="shared" si="165"/>
        <v>5.8756708057503229E-2</v>
      </c>
      <c r="CZ59" s="110">
        <f t="shared" si="166"/>
        <v>0</v>
      </c>
      <c r="DA59" s="115">
        <f t="shared" si="167"/>
        <v>0</v>
      </c>
      <c r="DB59" s="110">
        <f t="shared" si="168"/>
        <v>0</v>
      </c>
      <c r="DC59" s="52">
        <f>Summ.!$A68</f>
        <v>51220</v>
      </c>
      <c r="DD59" s="119" t="str">
        <f>Summ.!$B68</f>
        <v>Painting</v>
      </c>
      <c r="DE59" s="134">
        <f t="shared" si="225"/>
        <v>0</v>
      </c>
      <c r="DF59" s="110">
        <v>0</v>
      </c>
      <c r="DG59" s="110">
        <f t="shared" si="284"/>
        <v>0</v>
      </c>
      <c r="DH59" s="113">
        <f t="shared" si="169"/>
        <v>9.7927846762505388E-3</v>
      </c>
      <c r="DI59" s="110">
        <f t="shared" si="170"/>
        <v>0</v>
      </c>
      <c r="DJ59" s="115">
        <f t="shared" si="171"/>
        <v>0</v>
      </c>
      <c r="DK59" s="110">
        <f t="shared" si="172"/>
        <v>0</v>
      </c>
      <c r="DL59" s="52">
        <f>Summ.!$A68</f>
        <v>51220</v>
      </c>
      <c r="DM59" s="119" t="str">
        <f>Summ.!$B68</f>
        <v>Painting</v>
      </c>
      <c r="DN59" s="134">
        <f t="shared" si="227"/>
        <v>0</v>
      </c>
      <c r="DO59" s="110">
        <v>0</v>
      </c>
      <c r="DP59" s="110">
        <f t="shared" si="285"/>
        <v>0</v>
      </c>
      <c r="DQ59" s="113">
        <f t="shared" si="173"/>
        <v>5.6719808844843123E-2</v>
      </c>
      <c r="DR59" s="110">
        <f t="shared" si="174"/>
        <v>0</v>
      </c>
      <c r="DS59" s="115">
        <f t="shared" si="175"/>
        <v>0</v>
      </c>
      <c r="DT59" s="110">
        <f t="shared" si="176"/>
        <v>0</v>
      </c>
      <c r="DU59" s="52">
        <f>Summ.!$A68</f>
        <v>51220</v>
      </c>
      <c r="DV59" s="119" t="str">
        <f>Summ.!$B68</f>
        <v>Painting</v>
      </c>
      <c r="DW59" s="134">
        <f t="shared" si="229"/>
        <v>0</v>
      </c>
      <c r="DX59" s="110">
        <f t="shared" si="286"/>
        <v>0</v>
      </c>
      <c r="DY59" s="110">
        <f t="shared" si="287"/>
        <v>0</v>
      </c>
      <c r="DZ59" s="113">
        <f t="shared" si="177"/>
        <v>0.15695875279094362</v>
      </c>
      <c r="EA59" s="110">
        <f t="shared" si="178"/>
        <v>0</v>
      </c>
      <c r="EB59" s="115">
        <f t="shared" si="179"/>
        <v>0</v>
      </c>
      <c r="EC59" s="110">
        <f t="shared" si="180"/>
        <v>0</v>
      </c>
      <c r="ED59" s="52">
        <f>Summ.!$A68</f>
        <v>51220</v>
      </c>
      <c r="EE59" s="119" t="str">
        <f>Summ.!$B68</f>
        <v>Painting</v>
      </c>
      <c r="EF59" s="134">
        <f t="shared" si="232"/>
        <v>0</v>
      </c>
      <c r="EG59" s="110">
        <f t="shared" si="288"/>
        <v>0</v>
      </c>
      <c r="EH59" s="110">
        <f t="shared" si="289"/>
        <v>0</v>
      </c>
      <c r="EI59" s="113">
        <f t="shared" si="181"/>
        <v>0.12730620079125701</v>
      </c>
      <c r="EJ59" s="110">
        <f t="shared" si="182"/>
        <v>0</v>
      </c>
      <c r="EK59" s="115">
        <f t="shared" si="183"/>
        <v>0</v>
      </c>
      <c r="EL59" s="110">
        <f t="shared" si="184"/>
        <v>0</v>
      </c>
      <c r="EM59" s="52">
        <f>Summ.!$A68</f>
        <v>51220</v>
      </c>
      <c r="EN59" s="119" t="str">
        <f>Summ.!$B68</f>
        <v>Painting</v>
      </c>
      <c r="EO59" s="134">
        <f t="shared" si="235"/>
        <v>0</v>
      </c>
      <c r="EP59" s="110">
        <v>0</v>
      </c>
      <c r="EQ59" s="110">
        <f t="shared" si="290"/>
        <v>0</v>
      </c>
      <c r="ER59" s="113">
        <f t="shared" si="185"/>
        <v>3.9034039719534647E-2</v>
      </c>
      <c r="ES59" s="110">
        <f t="shared" si="186"/>
        <v>0</v>
      </c>
      <c r="ET59" s="115">
        <f t="shared" si="187"/>
        <v>0</v>
      </c>
      <c r="EU59" s="110">
        <f t="shared" si="188"/>
        <v>0</v>
      </c>
      <c r="EV59" s="52">
        <f>Summ.!$A68</f>
        <v>51220</v>
      </c>
      <c r="EW59" s="119" t="str">
        <f>Summ.!$B68</f>
        <v>Painting</v>
      </c>
      <c r="EX59" s="134">
        <f t="shared" si="237"/>
        <v>0</v>
      </c>
      <c r="EY59" s="110">
        <v>0</v>
      </c>
      <c r="EZ59" s="110">
        <f t="shared" si="238"/>
        <v>0</v>
      </c>
      <c r="FA59" s="113">
        <f t="shared" si="189"/>
        <v>1.8841317717106038E-2</v>
      </c>
      <c r="FB59" s="110">
        <f t="shared" si="190"/>
        <v>0</v>
      </c>
      <c r="FC59" s="115">
        <f t="shared" si="191"/>
        <v>0</v>
      </c>
      <c r="FD59" s="110">
        <f t="shared" si="192"/>
        <v>0</v>
      </c>
      <c r="FE59" s="52">
        <f>Summ.!$A68</f>
        <v>51220</v>
      </c>
      <c r="FF59" s="119" t="str">
        <f>Summ.!$B68</f>
        <v>Painting</v>
      </c>
      <c r="FG59" s="134">
        <f t="shared" si="239"/>
        <v>0</v>
      </c>
      <c r="FH59" s="110">
        <f t="shared" si="240"/>
        <v>0</v>
      </c>
      <c r="FI59" s="110">
        <f t="shared" si="241"/>
        <v>0</v>
      </c>
      <c r="FJ59" s="113">
        <f t="shared" si="193"/>
        <v>7.254494888166399E-2</v>
      </c>
      <c r="FK59" s="110">
        <f t="shared" si="194"/>
        <v>0</v>
      </c>
      <c r="FL59" s="115">
        <f t="shared" si="195"/>
        <v>0</v>
      </c>
      <c r="FM59" s="110">
        <f t="shared" si="196"/>
        <v>0</v>
      </c>
    </row>
    <row r="60" spans="1:169" ht="12.75" customHeight="1">
      <c r="A60" s="52">
        <f>Summ.!A69</f>
        <v>0</v>
      </c>
      <c r="B60" s="45" t="str">
        <f>Summ.!B69</f>
        <v>Wall &amp; Block Repairs</v>
      </c>
      <c r="C60" s="45"/>
      <c r="D60" s="45"/>
      <c r="E60" s="45"/>
      <c r="F60" s="106">
        <f>+Summ.!O69</f>
        <v>0</v>
      </c>
      <c r="G60" s="71">
        <f>Rent!$B$41</f>
        <v>51058</v>
      </c>
      <c r="H60" s="52">
        <f>Summ.!$A69</f>
        <v>0</v>
      </c>
      <c r="I60" s="119" t="str">
        <f>Summ.!$B69</f>
        <v>Wall &amp; Block Repairs</v>
      </c>
      <c r="J60" s="134">
        <f t="shared" si="197"/>
        <v>0</v>
      </c>
      <c r="K60" s="110">
        <v>0</v>
      </c>
      <c r="L60" s="110">
        <f t="shared" si="198"/>
        <v>0</v>
      </c>
      <c r="M60" s="113">
        <f t="shared" si="124"/>
        <v>7.5854910102236675E-2</v>
      </c>
      <c r="N60" s="110">
        <f t="shared" si="125"/>
        <v>0</v>
      </c>
      <c r="O60" s="115">
        <f t="shared" si="126"/>
        <v>0</v>
      </c>
      <c r="P60" s="110">
        <f t="shared" si="127"/>
        <v>0</v>
      </c>
      <c r="Q60" s="52">
        <f>Summ.!$A69</f>
        <v>0</v>
      </c>
      <c r="R60" s="119" t="str">
        <f>Summ.!$B69</f>
        <v>Wall &amp; Block Repairs</v>
      </c>
      <c r="S60" s="134">
        <f t="shared" si="199"/>
        <v>0</v>
      </c>
      <c r="T60" s="110">
        <f t="shared" si="268"/>
        <v>0</v>
      </c>
      <c r="U60" s="110">
        <f t="shared" si="269"/>
        <v>0</v>
      </c>
      <c r="V60" s="113">
        <f t="shared" si="128"/>
        <v>2.1034901484586158E-2</v>
      </c>
      <c r="W60" s="110">
        <f t="shared" si="129"/>
        <v>0</v>
      </c>
      <c r="X60" s="115">
        <f t="shared" si="130"/>
        <v>0</v>
      </c>
      <c r="Y60" s="110">
        <f t="shared" si="131"/>
        <v>0</v>
      </c>
      <c r="Z60" s="52">
        <f>Summ.!$A69</f>
        <v>0</v>
      </c>
      <c r="AA60" s="119" t="str">
        <f>Summ.!$B69</f>
        <v>Wall &amp; Block Repairs</v>
      </c>
      <c r="AB60" s="134">
        <f t="shared" si="202"/>
        <v>0</v>
      </c>
      <c r="AC60" s="110">
        <v>0</v>
      </c>
      <c r="AD60" s="110">
        <f t="shared" si="270"/>
        <v>0</v>
      </c>
      <c r="AE60" s="113">
        <f t="shared" si="132"/>
        <v>3.9171138705002152E-3</v>
      </c>
      <c r="AF60" s="110">
        <f t="shared" si="133"/>
        <v>0</v>
      </c>
      <c r="AG60" s="115">
        <f t="shared" si="134"/>
        <v>0</v>
      </c>
      <c r="AH60" s="110">
        <f t="shared" si="135"/>
        <v>0</v>
      </c>
      <c r="AI60" s="52">
        <f>Summ.!$A69</f>
        <v>0</v>
      </c>
      <c r="AJ60" s="119" t="str">
        <f>Summ.!$B69</f>
        <v>Wall &amp; Block Repairs</v>
      </c>
      <c r="AK60" s="134">
        <f t="shared" si="204"/>
        <v>0</v>
      </c>
      <c r="AL60" s="110">
        <f t="shared" si="271"/>
        <v>0</v>
      </c>
      <c r="AM60" s="110">
        <f t="shared" si="272"/>
        <v>0</v>
      </c>
      <c r="AN60" s="113">
        <f t="shared" si="136"/>
        <v>1.0145324924595559E-2</v>
      </c>
      <c r="AO60" s="110">
        <f t="shared" si="137"/>
        <v>0</v>
      </c>
      <c r="AP60" s="115">
        <f t="shared" si="138"/>
        <v>0</v>
      </c>
      <c r="AQ60" s="110">
        <f t="shared" si="139"/>
        <v>0</v>
      </c>
      <c r="AR60" s="52">
        <f>Summ.!$A69</f>
        <v>0</v>
      </c>
      <c r="AS60" s="119" t="str">
        <f>Summ.!$B69</f>
        <v>Wall &amp; Block Repairs</v>
      </c>
      <c r="AT60" s="134">
        <f t="shared" si="207"/>
        <v>0</v>
      </c>
      <c r="AU60" s="110">
        <f t="shared" si="273"/>
        <v>0</v>
      </c>
      <c r="AV60" s="110">
        <f t="shared" si="274"/>
        <v>0</v>
      </c>
      <c r="AW60" s="113">
        <f t="shared" si="140"/>
        <v>1.0282423910063065E-2</v>
      </c>
      <c r="AX60" s="110">
        <f t="shared" si="141"/>
        <v>0</v>
      </c>
      <c r="AY60" s="115">
        <f t="shared" si="142"/>
        <v>0</v>
      </c>
      <c r="AZ60" s="110">
        <f t="shared" si="143"/>
        <v>0</v>
      </c>
      <c r="BA60" s="52">
        <f>Summ.!$A69</f>
        <v>0</v>
      </c>
      <c r="BB60" s="119" t="str">
        <f>Summ.!$B69</f>
        <v>Wall &amp; Block Repairs</v>
      </c>
      <c r="BC60" s="134">
        <f t="shared" si="210"/>
        <v>0</v>
      </c>
      <c r="BD60" s="110">
        <f t="shared" si="275"/>
        <v>0</v>
      </c>
      <c r="BE60" s="110">
        <f t="shared" si="276"/>
        <v>0</v>
      </c>
      <c r="BF60" s="113" t="e">
        <f t="shared" si="144"/>
        <v>#REF!</v>
      </c>
      <c r="BG60" s="110" t="e">
        <f t="shared" si="145"/>
        <v>#REF!</v>
      </c>
      <c r="BH60" s="115" t="e">
        <f t="shared" si="146"/>
        <v>#REF!</v>
      </c>
      <c r="BI60" s="110" t="e">
        <f t="shared" si="147"/>
        <v>#REF!</v>
      </c>
      <c r="BJ60" s="52">
        <f>Summ.!$A69</f>
        <v>0</v>
      </c>
      <c r="BK60" s="119" t="str">
        <f>Summ.!$B69</f>
        <v>Wall &amp; Block Repairs</v>
      </c>
      <c r="BL60" s="134">
        <f t="shared" si="213"/>
        <v>0</v>
      </c>
      <c r="BM60" s="110">
        <f t="shared" si="148"/>
        <v>0</v>
      </c>
      <c r="BN60" s="110">
        <f t="shared" si="277"/>
        <v>0</v>
      </c>
      <c r="BO60" s="113">
        <f t="shared" si="149"/>
        <v>1.9468055936386071E-2</v>
      </c>
      <c r="BP60" s="110">
        <f t="shared" si="150"/>
        <v>0</v>
      </c>
      <c r="BQ60" s="115">
        <f t="shared" si="151"/>
        <v>0</v>
      </c>
      <c r="BR60" s="110">
        <f t="shared" si="152"/>
        <v>0</v>
      </c>
      <c r="BS60" s="52">
        <f>Summ.!$A69</f>
        <v>0</v>
      </c>
      <c r="BT60" s="119" t="str">
        <f>Summ.!$B69</f>
        <v>Wall &amp; Block Repairs</v>
      </c>
      <c r="BU60" s="134">
        <f t="shared" si="215"/>
        <v>0</v>
      </c>
      <c r="BV60" s="110">
        <f t="shared" si="278"/>
        <v>0</v>
      </c>
      <c r="BW60" s="110">
        <f t="shared" si="279"/>
        <v>0</v>
      </c>
      <c r="BX60" s="113">
        <f t="shared" si="153"/>
        <v>2.0427748834658623E-2</v>
      </c>
      <c r="BY60" s="110">
        <f t="shared" si="154"/>
        <v>0</v>
      </c>
      <c r="BZ60" s="115">
        <f t="shared" si="155"/>
        <v>0</v>
      </c>
      <c r="CA60" s="110">
        <f t="shared" si="156"/>
        <v>0</v>
      </c>
      <c r="CB60" s="52">
        <f>Summ.!$A69</f>
        <v>0</v>
      </c>
      <c r="CC60" s="119" t="str">
        <f>Summ.!$B69</f>
        <v>Wall &amp; Block Repairs</v>
      </c>
      <c r="CD60" s="134">
        <f t="shared" si="218"/>
        <v>0</v>
      </c>
      <c r="CE60" s="110">
        <v>0</v>
      </c>
      <c r="CF60" s="110">
        <f t="shared" si="280"/>
        <v>0</v>
      </c>
      <c r="CG60" s="113">
        <f t="shared" si="157"/>
        <v>6.9058717536918793E-2</v>
      </c>
      <c r="CH60" s="110">
        <f t="shared" si="158"/>
        <v>0</v>
      </c>
      <c r="CI60" s="115">
        <f t="shared" si="159"/>
        <v>0</v>
      </c>
      <c r="CJ60" s="110">
        <f t="shared" si="160"/>
        <v>0</v>
      </c>
      <c r="CK60" s="52">
        <f>Summ.!$A69</f>
        <v>0</v>
      </c>
      <c r="CL60" s="119" t="str">
        <f>Summ.!$B69</f>
        <v>Wall &amp; Block Repairs</v>
      </c>
      <c r="CM60" s="134">
        <f t="shared" si="220"/>
        <v>0</v>
      </c>
      <c r="CN60" s="110">
        <f t="shared" si="281"/>
        <v>0</v>
      </c>
      <c r="CO60" s="110">
        <f t="shared" si="282"/>
        <v>0</v>
      </c>
      <c r="CP60" s="113">
        <f t="shared" si="161"/>
        <v>0.21027067256845156</v>
      </c>
      <c r="CQ60" s="110">
        <f t="shared" si="162"/>
        <v>0</v>
      </c>
      <c r="CR60" s="115">
        <f t="shared" si="163"/>
        <v>0</v>
      </c>
      <c r="CS60" s="110">
        <f t="shared" si="164"/>
        <v>0</v>
      </c>
      <c r="CT60" s="52">
        <f>Summ.!$A69</f>
        <v>0</v>
      </c>
      <c r="CU60" s="119" t="str">
        <f>Summ.!$B69</f>
        <v>Wall &amp; Block Repairs</v>
      </c>
      <c r="CV60" s="134">
        <f t="shared" si="223"/>
        <v>0</v>
      </c>
      <c r="CW60" s="110">
        <v>0</v>
      </c>
      <c r="CX60" s="110">
        <f t="shared" si="283"/>
        <v>0</v>
      </c>
      <c r="CY60" s="113">
        <f t="shared" si="165"/>
        <v>5.8756708057503229E-2</v>
      </c>
      <c r="CZ60" s="110">
        <f t="shared" si="166"/>
        <v>0</v>
      </c>
      <c r="DA60" s="115">
        <f t="shared" si="167"/>
        <v>0</v>
      </c>
      <c r="DB60" s="110">
        <f t="shared" si="168"/>
        <v>0</v>
      </c>
      <c r="DC60" s="52">
        <f>Summ.!$A69</f>
        <v>0</v>
      </c>
      <c r="DD60" s="119" t="str">
        <f>Summ.!$B69</f>
        <v>Wall &amp; Block Repairs</v>
      </c>
      <c r="DE60" s="134">
        <f t="shared" si="225"/>
        <v>0</v>
      </c>
      <c r="DF60" s="110">
        <v>0</v>
      </c>
      <c r="DG60" s="110">
        <f t="shared" si="284"/>
        <v>0</v>
      </c>
      <c r="DH60" s="113">
        <f t="shared" si="169"/>
        <v>9.7927846762505388E-3</v>
      </c>
      <c r="DI60" s="110">
        <f t="shared" si="170"/>
        <v>0</v>
      </c>
      <c r="DJ60" s="115">
        <f t="shared" si="171"/>
        <v>0</v>
      </c>
      <c r="DK60" s="110">
        <f t="shared" si="172"/>
        <v>0</v>
      </c>
      <c r="DL60" s="52">
        <f>Summ.!$A69</f>
        <v>0</v>
      </c>
      <c r="DM60" s="119" t="str">
        <f>Summ.!$B69</f>
        <v>Wall &amp; Block Repairs</v>
      </c>
      <c r="DN60" s="134">
        <f t="shared" si="227"/>
        <v>0</v>
      </c>
      <c r="DO60" s="110">
        <v>0</v>
      </c>
      <c r="DP60" s="110">
        <f t="shared" si="285"/>
        <v>0</v>
      </c>
      <c r="DQ60" s="113">
        <f t="shared" si="173"/>
        <v>5.6719808844843123E-2</v>
      </c>
      <c r="DR60" s="110">
        <f t="shared" si="174"/>
        <v>0</v>
      </c>
      <c r="DS60" s="115">
        <f t="shared" si="175"/>
        <v>0</v>
      </c>
      <c r="DT60" s="110">
        <f t="shared" si="176"/>
        <v>0</v>
      </c>
      <c r="DU60" s="52">
        <f>Summ.!$A69</f>
        <v>0</v>
      </c>
      <c r="DV60" s="119" t="str">
        <f>Summ.!$B69</f>
        <v>Wall &amp; Block Repairs</v>
      </c>
      <c r="DW60" s="134">
        <f t="shared" si="229"/>
        <v>0</v>
      </c>
      <c r="DX60" s="110">
        <f t="shared" si="286"/>
        <v>0</v>
      </c>
      <c r="DY60" s="110">
        <f t="shared" si="287"/>
        <v>0</v>
      </c>
      <c r="DZ60" s="113">
        <f t="shared" si="177"/>
        <v>0.15695875279094362</v>
      </c>
      <c r="EA60" s="110">
        <f t="shared" si="178"/>
        <v>0</v>
      </c>
      <c r="EB60" s="115">
        <f t="shared" si="179"/>
        <v>0</v>
      </c>
      <c r="EC60" s="110">
        <f t="shared" si="180"/>
        <v>0</v>
      </c>
      <c r="ED60" s="52">
        <f>Summ.!$A69</f>
        <v>0</v>
      </c>
      <c r="EE60" s="119" t="str">
        <f>Summ.!$B69</f>
        <v>Wall &amp; Block Repairs</v>
      </c>
      <c r="EF60" s="134">
        <f t="shared" si="232"/>
        <v>0</v>
      </c>
      <c r="EG60" s="110">
        <f t="shared" si="288"/>
        <v>0</v>
      </c>
      <c r="EH60" s="110">
        <f t="shared" si="289"/>
        <v>0</v>
      </c>
      <c r="EI60" s="113">
        <f t="shared" si="181"/>
        <v>0.12730620079125701</v>
      </c>
      <c r="EJ60" s="110">
        <f t="shared" si="182"/>
        <v>0</v>
      </c>
      <c r="EK60" s="115">
        <f t="shared" si="183"/>
        <v>0</v>
      </c>
      <c r="EL60" s="110">
        <f t="shared" si="184"/>
        <v>0</v>
      </c>
      <c r="EM60" s="52">
        <f>Summ.!$A69</f>
        <v>0</v>
      </c>
      <c r="EN60" s="119" t="str">
        <f>Summ.!$B69</f>
        <v>Wall &amp; Block Repairs</v>
      </c>
      <c r="EO60" s="134">
        <f t="shared" si="235"/>
        <v>0</v>
      </c>
      <c r="EP60" s="110">
        <v>0</v>
      </c>
      <c r="EQ60" s="110">
        <f t="shared" si="290"/>
        <v>0</v>
      </c>
      <c r="ER60" s="113">
        <f t="shared" si="185"/>
        <v>3.9034039719534647E-2</v>
      </c>
      <c r="ES60" s="110">
        <f t="shared" si="186"/>
        <v>0</v>
      </c>
      <c r="ET60" s="115">
        <f t="shared" si="187"/>
        <v>0</v>
      </c>
      <c r="EU60" s="110">
        <f t="shared" si="188"/>
        <v>0</v>
      </c>
      <c r="EV60" s="52">
        <f>Summ.!$A69</f>
        <v>0</v>
      </c>
      <c r="EW60" s="119" t="str">
        <f>Summ.!$B69</f>
        <v>Wall &amp; Block Repairs</v>
      </c>
      <c r="EX60" s="134">
        <f t="shared" si="237"/>
        <v>0</v>
      </c>
      <c r="EY60" s="110">
        <v>0</v>
      </c>
      <c r="EZ60" s="110">
        <f t="shared" si="238"/>
        <v>0</v>
      </c>
      <c r="FA60" s="113">
        <f t="shared" si="189"/>
        <v>1.8841317717106038E-2</v>
      </c>
      <c r="FB60" s="110">
        <f t="shared" si="190"/>
        <v>0</v>
      </c>
      <c r="FC60" s="115">
        <f t="shared" si="191"/>
        <v>0</v>
      </c>
      <c r="FD60" s="110">
        <f t="shared" si="192"/>
        <v>0</v>
      </c>
      <c r="FE60" s="52">
        <f>Summ.!$A69</f>
        <v>0</v>
      </c>
      <c r="FF60" s="119" t="str">
        <f>Summ.!$B69</f>
        <v>Wall &amp; Block Repairs</v>
      </c>
      <c r="FG60" s="134">
        <f t="shared" si="239"/>
        <v>0</v>
      </c>
      <c r="FH60" s="110">
        <f t="shared" si="240"/>
        <v>0</v>
      </c>
      <c r="FI60" s="110">
        <f t="shared" si="241"/>
        <v>0</v>
      </c>
      <c r="FJ60" s="113">
        <f t="shared" si="193"/>
        <v>7.254494888166399E-2</v>
      </c>
      <c r="FK60" s="110">
        <f t="shared" si="194"/>
        <v>0</v>
      </c>
      <c r="FL60" s="115">
        <f t="shared" si="195"/>
        <v>0</v>
      </c>
      <c r="FM60" s="110">
        <f t="shared" si="196"/>
        <v>0</v>
      </c>
    </row>
    <row r="61" spans="1:169" ht="12.75" customHeight="1">
      <c r="A61" s="52">
        <f>Summ.!A70</f>
        <v>0</v>
      </c>
      <c r="B61" s="45" t="str">
        <f>Summ.!B70</f>
        <v>Window Repairs</v>
      </c>
      <c r="C61" s="45"/>
      <c r="D61" s="45"/>
      <c r="E61" s="45"/>
      <c r="F61" s="106">
        <f>+Summ.!O70</f>
        <v>0</v>
      </c>
      <c r="G61" s="71">
        <f>Rent!$B$41</f>
        <v>51058</v>
      </c>
      <c r="H61" s="52">
        <f>Summ.!$A70</f>
        <v>0</v>
      </c>
      <c r="I61" s="119" t="str">
        <f>Summ.!$B70</f>
        <v>Window Repairs</v>
      </c>
      <c r="J61" s="134">
        <f t="shared" si="197"/>
        <v>0</v>
      </c>
      <c r="K61" s="110">
        <v>0</v>
      </c>
      <c r="L61" s="110">
        <f t="shared" si="198"/>
        <v>0</v>
      </c>
      <c r="M61" s="113">
        <f t="shared" si="124"/>
        <v>7.5854910102236675E-2</v>
      </c>
      <c r="N61" s="110">
        <f t="shared" si="125"/>
        <v>0</v>
      </c>
      <c r="O61" s="115">
        <f t="shared" si="126"/>
        <v>0</v>
      </c>
      <c r="P61" s="110">
        <f t="shared" si="127"/>
        <v>0</v>
      </c>
      <c r="Q61" s="52">
        <f>Summ.!$A70</f>
        <v>0</v>
      </c>
      <c r="R61" s="119" t="str">
        <f>Summ.!$B70</f>
        <v>Window Repairs</v>
      </c>
      <c r="S61" s="134">
        <f t="shared" si="199"/>
        <v>0</v>
      </c>
      <c r="T61" s="110">
        <f t="shared" si="268"/>
        <v>0</v>
      </c>
      <c r="U61" s="110">
        <f t="shared" si="269"/>
        <v>0</v>
      </c>
      <c r="V61" s="113">
        <f t="shared" si="128"/>
        <v>2.1034901484586158E-2</v>
      </c>
      <c r="W61" s="110">
        <f t="shared" si="129"/>
        <v>0</v>
      </c>
      <c r="X61" s="115">
        <f t="shared" si="130"/>
        <v>0</v>
      </c>
      <c r="Y61" s="110">
        <f t="shared" si="131"/>
        <v>0</v>
      </c>
      <c r="Z61" s="52">
        <f>Summ.!$A70</f>
        <v>0</v>
      </c>
      <c r="AA61" s="119" t="str">
        <f>Summ.!$B70</f>
        <v>Window Repairs</v>
      </c>
      <c r="AB61" s="134">
        <f t="shared" si="202"/>
        <v>0</v>
      </c>
      <c r="AC61" s="110">
        <v>0</v>
      </c>
      <c r="AD61" s="110">
        <f t="shared" si="270"/>
        <v>0</v>
      </c>
      <c r="AE61" s="113">
        <f t="shared" si="132"/>
        <v>3.9171138705002152E-3</v>
      </c>
      <c r="AF61" s="110">
        <f t="shared" si="133"/>
        <v>0</v>
      </c>
      <c r="AG61" s="115">
        <f t="shared" si="134"/>
        <v>0</v>
      </c>
      <c r="AH61" s="110">
        <f t="shared" si="135"/>
        <v>0</v>
      </c>
      <c r="AI61" s="52">
        <f>Summ.!$A70</f>
        <v>0</v>
      </c>
      <c r="AJ61" s="119" t="str">
        <f>Summ.!$B70</f>
        <v>Window Repairs</v>
      </c>
      <c r="AK61" s="134">
        <f t="shared" si="204"/>
        <v>0</v>
      </c>
      <c r="AL61" s="110">
        <f t="shared" si="271"/>
        <v>0</v>
      </c>
      <c r="AM61" s="110">
        <f t="shared" si="272"/>
        <v>0</v>
      </c>
      <c r="AN61" s="113">
        <f t="shared" si="136"/>
        <v>1.0145324924595559E-2</v>
      </c>
      <c r="AO61" s="110">
        <f t="shared" si="137"/>
        <v>0</v>
      </c>
      <c r="AP61" s="115">
        <f t="shared" si="138"/>
        <v>0</v>
      </c>
      <c r="AQ61" s="110">
        <f t="shared" si="139"/>
        <v>0</v>
      </c>
      <c r="AR61" s="52">
        <f>Summ.!$A70</f>
        <v>0</v>
      </c>
      <c r="AS61" s="119" t="str">
        <f>Summ.!$B70</f>
        <v>Window Repairs</v>
      </c>
      <c r="AT61" s="134">
        <f t="shared" si="207"/>
        <v>0</v>
      </c>
      <c r="AU61" s="110">
        <f t="shared" si="273"/>
        <v>0</v>
      </c>
      <c r="AV61" s="110">
        <f t="shared" si="274"/>
        <v>0</v>
      </c>
      <c r="AW61" s="113">
        <f t="shared" si="140"/>
        <v>1.0282423910063065E-2</v>
      </c>
      <c r="AX61" s="110">
        <f t="shared" si="141"/>
        <v>0</v>
      </c>
      <c r="AY61" s="115">
        <f t="shared" si="142"/>
        <v>0</v>
      </c>
      <c r="AZ61" s="110">
        <f t="shared" si="143"/>
        <v>0</v>
      </c>
      <c r="BA61" s="52">
        <f>Summ.!$A70</f>
        <v>0</v>
      </c>
      <c r="BB61" s="119" t="str">
        <f>Summ.!$B70</f>
        <v>Window Repairs</v>
      </c>
      <c r="BC61" s="134">
        <f t="shared" si="210"/>
        <v>0</v>
      </c>
      <c r="BD61" s="110">
        <f t="shared" si="275"/>
        <v>0</v>
      </c>
      <c r="BE61" s="110">
        <f t="shared" si="276"/>
        <v>0</v>
      </c>
      <c r="BF61" s="113" t="e">
        <f t="shared" si="144"/>
        <v>#REF!</v>
      </c>
      <c r="BG61" s="110" t="e">
        <f t="shared" si="145"/>
        <v>#REF!</v>
      </c>
      <c r="BH61" s="115" t="e">
        <f t="shared" si="146"/>
        <v>#REF!</v>
      </c>
      <c r="BI61" s="110" t="e">
        <f t="shared" si="147"/>
        <v>#REF!</v>
      </c>
      <c r="BJ61" s="52">
        <f>Summ.!$A70</f>
        <v>0</v>
      </c>
      <c r="BK61" s="119" t="str">
        <f>Summ.!$B70</f>
        <v>Window Repairs</v>
      </c>
      <c r="BL61" s="134">
        <f t="shared" si="213"/>
        <v>0</v>
      </c>
      <c r="BM61" s="110">
        <f t="shared" si="148"/>
        <v>0</v>
      </c>
      <c r="BN61" s="110">
        <f t="shared" si="277"/>
        <v>0</v>
      </c>
      <c r="BO61" s="113">
        <f t="shared" si="149"/>
        <v>1.9468055936386071E-2</v>
      </c>
      <c r="BP61" s="110">
        <f t="shared" si="150"/>
        <v>0</v>
      </c>
      <c r="BQ61" s="115">
        <f t="shared" si="151"/>
        <v>0</v>
      </c>
      <c r="BR61" s="110">
        <f t="shared" si="152"/>
        <v>0</v>
      </c>
      <c r="BS61" s="52">
        <f>Summ.!$A70</f>
        <v>0</v>
      </c>
      <c r="BT61" s="119" t="str">
        <f>Summ.!$B70</f>
        <v>Window Repairs</v>
      </c>
      <c r="BU61" s="134">
        <f t="shared" si="215"/>
        <v>0</v>
      </c>
      <c r="BV61" s="110">
        <f t="shared" si="278"/>
        <v>0</v>
      </c>
      <c r="BW61" s="110">
        <f t="shared" si="279"/>
        <v>0</v>
      </c>
      <c r="BX61" s="113">
        <f t="shared" si="153"/>
        <v>2.0427748834658623E-2</v>
      </c>
      <c r="BY61" s="110">
        <f t="shared" si="154"/>
        <v>0</v>
      </c>
      <c r="BZ61" s="115">
        <f t="shared" si="155"/>
        <v>0</v>
      </c>
      <c r="CA61" s="110">
        <f t="shared" si="156"/>
        <v>0</v>
      </c>
      <c r="CB61" s="52">
        <f>Summ.!$A70</f>
        <v>0</v>
      </c>
      <c r="CC61" s="119" t="str">
        <f>Summ.!$B70</f>
        <v>Window Repairs</v>
      </c>
      <c r="CD61" s="134">
        <f t="shared" si="218"/>
        <v>0</v>
      </c>
      <c r="CE61" s="110">
        <v>0</v>
      </c>
      <c r="CF61" s="110">
        <f t="shared" si="280"/>
        <v>0</v>
      </c>
      <c r="CG61" s="113">
        <f t="shared" si="157"/>
        <v>6.9058717536918793E-2</v>
      </c>
      <c r="CH61" s="110">
        <f t="shared" si="158"/>
        <v>0</v>
      </c>
      <c r="CI61" s="115">
        <f t="shared" si="159"/>
        <v>0</v>
      </c>
      <c r="CJ61" s="110">
        <f t="shared" si="160"/>
        <v>0</v>
      </c>
      <c r="CK61" s="52">
        <f>Summ.!$A70</f>
        <v>0</v>
      </c>
      <c r="CL61" s="119" t="str">
        <f>Summ.!$B70</f>
        <v>Window Repairs</v>
      </c>
      <c r="CM61" s="134">
        <f t="shared" si="220"/>
        <v>0</v>
      </c>
      <c r="CN61" s="110">
        <f t="shared" si="281"/>
        <v>0</v>
      </c>
      <c r="CO61" s="110">
        <f t="shared" si="282"/>
        <v>0</v>
      </c>
      <c r="CP61" s="113">
        <f t="shared" si="161"/>
        <v>0.21027067256845156</v>
      </c>
      <c r="CQ61" s="110">
        <f t="shared" si="162"/>
        <v>0</v>
      </c>
      <c r="CR61" s="115">
        <f t="shared" si="163"/>
        <v>0</v>
      </c>
      <c r="CS61" s="110">
        <f t="shared" si="164"/>
        <v>0</v>
      </c>
      <c r="CT61" s="52">
        <f>Summ.!$A70</f>
        <v>0</v>
      </c>
      <c r="CU61" s="119" t="str">
        <f>Summ.!$B70</f>
        <v>Window Repairs</v>
      </c>
      <c r="CV61" s="134">
        <f t="shared" si="223"/>
        <v>0</v>
      </c>
      <c r="CW61" s="110">
        <v>0</v>
      </c>
      <c r="CX61" s="110">
        <f t="shared" si="283"/>
        <v>0</v>
      </c>
      <c r="CY61" s="113">
        <f t="shared" si="165"/>
        <v>5.8756708057503229E-2</v>
      </c>
      <c r="CZ61" s="110">
        <f t="shared" si="166"/>
        <v>0</v>
      </c>
      <c r="DA61" s="115">
        <f t="shared" si="167"/>
        <v>0</v>
      </c>
      <c r="DB61" s="110">
        <f t="shared" si="168"/>
        <v>0</v>
      </c>
      <c r="DC61" s="52">
        <f>Summ.!$A70</f>
        <v>0</v>
      </c>
      <c r="DD61" s="119" t="str">
        <f>Summ.!$B70</f>
        <v>Window Repairs</v>
      </c>
      <c r="DE61" s="134">
        <f t="shared" si="225"/>
        <v>0</v>
      </c>
      <c r="DF61" s="110">
        <v>0</v>
      </c>
      <c r="DG61" s="110">
        <f t="shared" si="284"/>
        <v>0</v>
      </c>
      <c r="DH61" s="113">
        <f t="shared" si="169"/>
        <v>9.7927846762505388E-3</v>
      </c>
      <c r="DI61" s="110">
        <f t="shared" si="170"/>
        <v>0</v>
      </c>
      <c r="DJ61" s="115">
        <f t="shared" si="171"/>
        <v>0</v>
      </c>
      <c r="DK61" s="110">
        <f t="shared" si="172"/>
        <v>0</v>
      </c>
      <c r="DL61" s="52">
        <f>Summ.!$A70</f>
        <v>0</v>
      </c>
      <c r="DM61" s="119" t="str">
        <f>Summ.!$B70</f>
        <v>Window Repairs</v>
      </c>
      <c r="DN61" s="134">
        <f t="shared" si="227"/>
        <v>0</v>
      </c>
      <c r="DO61" s="110">
        <v>0</v>
      </c>
      <c r="DP61" s="110">
        <f t="shared" si="285"/>
        <v>0</v>
      </c>
      <c r="DQ61" s="113">
        <f t="shared" si="173"/>
        <v>5.6719808844843123E-2</v>
      </c>
      <c r="DR61" s="110">
        <f t="shared" si="174"/>
        <v>0</v>
      </c>
      <c r="DS61" s="115">
        <f t="shared" si="175"/>
        <v>0</v>
      </c>
      <c r="DT61" s="110">
        <f t="shared" si="176"/>
        <v>0</v>
      </c>
      <c r="DU61" s="52">
        <f>Summ.!$A70</f>
        <v>0</v>
      </c>
      <c r="DV61" s="119" t="str">
        <f>Summ.!$B70</f>
        <v>Window Repairs</v>
      </c>
      <c r="DW61" s="134">
        <f t="shared" si="229"/>
        <v>0</v>
      </c>
      <c r="DX61" s="110">
        <f t="shared" si="286"/>
        <v>0</v>
      </c>
      <c r="DY61" s="110">
        <f t="shared" si="287"/>
        <v>0</v>
      </c>
      <c r="DZ61" s="113">
        <f t="shared" si="177"/>
        <v>0.15695875279094362</v>
      </c>
      <c r="EA61" s="110">
        <f t="shared" si="178"/>
        <v>0</v>
      </c>
      <c r="EB61" s="115">
        <f t="shared" si="179"/>
        <v>0</v>
      </c>
      <c r="EC61" s="110">
        <f t="shared" si="180"/>
        <v>0</v>
      </c>
      <c r="ED61" s="52">
        <f>Summ.!$A70</f>
        <v>0</v>
      </c>
      <c r="EE61" s="119" t="str">
        <f>Summ.!$B70</f>
        <v>Window Repairs</v>
      </c>
      <c r="EF61" s="134">
        <f t="shared" si="232"/>
        <v>0</v>
      </c>
      <c r="EG61" s="110">
        <f t="shared" si="288"/>
        <v>0</v>
      </c>
      <c r="EH61" s="110">
        <f t="shared" si="289"/>
        <v>0</v>
      </c>
      <c r="EI61" s="113">
        <f t="shared" si="181"/>
        <v>0.12730620079125701</v>
      </c>
      <c r="EJ61" s="110">
        <f t="shared" si="182"/>
        <v>0</v>
      </c>
      <c r="EK61" s="115">
        <f t="shared" si="183"/>
        <v>0</v>
      </c>
      <c r="EL61" s="110">
        <f t="shared" si="184"/>
        <v>0</v>
      </c>
      <c r="EM61" s="52">
        <f>Summ.!$A70</f>
        <v>0</v>
      </c>
      <c r="EN61" s="119" t="str">
        <f>Summ.!$B70</f>
        <v>Window Repairs</v>
      </c>
      <c r="EO61" s="134">
        <f t="shared" si="235"/>
        <v>0</v>
      </c>
      <c r="EP61" s="110">
        <v>0</v>
      </c>
      <c r="EQ61" s="110">
        <f t="shared" si="290"/>
        <v>0</v>
      </c>
      <c r="ER61" s="113">
        <f t="shared" si="185"/>
        <v>3.9034039719534647E-2</v>
      </c>
      <c r="ES61" s="110">
        <f t="shared" si="186"/>
        <v>0</v>
      </c>
      <c r="ET61" s="115">
        <f t="shared" si="187"/>
        <v>0</v>
      </c>
      <c r="EU61" s="110">
        <f t="shared" si="188"/>
        <v>0</v>
      </c>
      <c r="EV61" s="52">
        <f>Summ.!$A70</f>
        <v>0</v>
      </c>
      <c r="EW61" s="119" t="str">
        <f>Summ.!$B70</f>
        <v>Window Repairs</v>
      </c>
      <c r="EX61" s="134">
        <f t="shared" si="237"/>
        <v>0</v>
      </c>
      <c r="EY61" s="110">
        <v>0</v>
      </c>
      <c r="EZ61" s="110">
        <f t="shared" si="238"/>
        <v>0</v>
      </c>
      <c r="FA61" s="113">
        <f t="shared" si="189"/>
        <v>1.8841317717106038E-2</v>
      </c>
      <c r="FB61" s="110">
        <f t="shared" si="190"/>
        <v>0</v>
      </c>
      <c r="FC61" s="115">
        <f t="shared" si="191"/>
        <v>0</v>
      </c>
      <c r="FD61" s="110">
        <f t="shared" si="192"/>
        <v>0</v>
      </c>
      <c r="FE61" s="52">
        <f>Summ.!$A70</f>
        <v>0</v>
      </c>
      <c r="FF61" s="119" t="str">
        <f>Summ.!$B70</f>
        <v>Window Repairs</v>
      </c>
      <c r="FG61" s="134">
        <f t="shared" si="239"/>
        <v>0</v>
      </c>
      <c r="FH61" s="110">
        <f t="shared" si="240"/>
        <v>0</v>
      </c>
      <c r="FI61" s="110">
        <f t="shared" si="241"/>
        <v>0</v>
      </c>
      <c r="FJ61" s="113">
        <f t="shared" si="193"/>
        <v>7.254494888166399E-2</v>
      </c>
      <c r="FK61" s="110">
        <f t="shared" si="194"/>
        <v>0</v>
      </c>
      <c r="FL61" s="115">
        <f t="shared" si="195"/>
        <v>0</v>
      </c>
      <c r="FM61" s="110">
        <f t="shared" si="196"/>
        <v>0</v>
      </c>
    </row>
    <row r="62" spans="1:169" ht="12.75" customHeight="1">
      <c r="A62" s="52">
        <f>Summ.!A71</f>
        <v>52010</v>
      </c>
      <c r="B62" s="45" t="str">
        <f>Summ.!B71</f>
        <v>Janitorial Supplies</v>
      </c>
      <c r="C62" s="45"/>
      <c r="D62" s="45"/>
      <c r="E62" s="45"/>
      <c r="F62" s="106">
        <f>+Summ.!O71</f>
        <v>24000</v>
      </c>
      <c r="G62" s="482">
        <f>G40</f>
        <v>40148</v>
      </c>
      <c r="H62" s="52">
        <f>Summ.!$A71</f>
        <v>52010</v>
      </c>
      <c r="I62" s="119" t="str">
        <f>Summ.!$B71</f>
        <v>Janitorial Supplies</v>
      </c>
      <c r="J62" s="134">
        <f t="shared" si="197"/>
        <v>24000</v>
      </c>
      <c r="K62" s="110">
        <v>0</v>
      </c>
      <c r="L62" s="110">
        <f t="shared" si="198"/>
        <v>24000</v>
      </c>
      <c r="M62" s="113">
        <f t="shared" si="124"/>
        <v>9.6468068147852942E-2</v>
      </c>
      <c r="N62" s="110">
        <f t="shared" si="125"/>
        <v>2315.2336355484708</v>
      </c>
      <c r="O62" s="115">
        <f t="shared" si="126"/>
        <v>0</v>
      </c>
      <c r="P62" s="110">
        <f t="shared" si="127"/>
        <v>2315.2336355484708</v>
      </c>
      <c r="Q62" s="52">
        <f>Summ.!$A71</f>
        <v>52010</v>
      </c>
      <c r="R62" s="119" t="str">
        <f>Summ.!$B71</f>
        <v>Janitorial Supplies</v>
      </c>
      <c r="S62" s="134">
        <f t="shared" si="199"/>
        <v>24000</v>
      </c>
      <c r="T62" s="110">
        <f t="shared" si="268"/>
        <v>0</v>
      </c>
      <c r="U62" s="110">
        <f t="shared" si="269"/>
        <v>24000</v>
      </c>
      <c r="V62" s="113">
        <f t="shared" si="128"/>
        <v>2.6751021221480521E-2</v>
      </c>
      <c r="W62" s="110">
        <f t="shared" si="129"/>
        <v>642.02450931553255</v>
      </c>
      <c r="X62" s="115">
        <f t="shared" si="130"/>
        <v>0</v>
      </c>
      <c r="Y62" s="110">
        <f t="shared" si="131"/>
        <v>642.02450931553255</v>
      </c>
      <c r="Z62" s="52">
        <f>Summ.!$A71</f>
        <v>52010</v>
      </c>
      <c r="AA62" s="119" t="str">
        <f>Summ.!$B71</f>
        <v>Janitorial Supplies</v>
      </c>
      <c r="AB62" s="134">
        <f t="shared" si="202"/>
        <v>24000</v>
      </c>
      <c r="AC62" s="110">
        <v>0</v>
      </c>
      <c r="AD62" s="110">
        <f t="shared" si="270"/>
        <v>24000</v>
      </c>
      <c r="AE62" s="113">
        <f t="shared" si="132"/>
        <v>4.9815681976686258E-3</v>
      </c>
      <c r="AF62" s="110">
        <f t="shared" si="133"/>
        <v>119.55763674404702</v>
      </c>
      <c r="AG62" s="115">
        <f t="shared" si="134"/>
        <v>0</v>
      </c>
      <c r="AH62" s="110">
        <f t="shared" si="135"/>
        <v>119.55763674404702</v>
      </c>
      <c r="AI62" s="52">
        <f>Summ.!$A71</f>
        <v>52010</v>
      </c>
      <c r="AJ62" s="119" t="str">
        <f>Summ.!$B71</f>
        <v>Janitorial Supplies</v>
      </c>
      <c r="AK62" s="134">
        <f t="shared" si="204"/>
        <v>24000</v>
      </c>
      <c r="AL62" s="110">
        <f t="shared" si="271"/>
        <v>0</v>
      </c>
      <c r="AM62" s="110">
        <f t="shared" si="272"/>
        <v>24000</v>
      </c>
      <c r="AN62" s="113">
        <f t="shared" si="136"/>
        <v>1.2902261631961742E-2</v>
      </c>
      <c r="AO62" s="110">
        <f t="shared" si="137"/>
        <v>309.65427916708182</v>
      </c>
      <c r="AP62" s="115">
        <f t="shared" si="138"/>
        <v>0</v>
      </c>
      <c r="AQ62" s="110">
        <f t="shared" si="139"/>
        <v>309.65427916708182</v>
      </c>
      <c r="AR62" s="52">
        <f>Summ.!$A71</f>
        <v>52010</v>
      </c>
      <c r="AS62" s="119" t="str">
        <f>Summ.!$B71</f>
        <v>Janitorial Supplies</v>
      </c>
      <c r="AT62" s="134">
        <f t="shared" si="207"/>
        <v>24000</v>
      </c>
      <c r="AU62" s="110">
        <f t="shared" si="273"/>
        <v>0</v>
      </c>
      <c r="AV62" s="110">
        <f t="shared" si="274"/>
        <v>24000</v>
      </c>
      <c r="AW62" s="113">
        <f t="shared" si="140"/>
        <v>1.3076616518880143E-2</v>
      </c>
      <c r="AX62" s="110">
        <f t="shared" si="141"/>
        <v>313.83879645312345</v>
      </c>
      <c r="AY62" s="115">
        <f t="shared" si="142"/>
        <v>0</v>
      </c>
      <c r="AZ62" s="110">
        <f t="shared" si="143"/>
        <v>313.83879645312345</v>
      </c>
      <c r="BA62" s="52">
        <f>Summ.!$A71</f>
        <v>52010</v>
      </c>
      <c r="BB62" s="119" t="str">
        <f>Summ.!$B71</f>
        <v>Janitorial Supplies</v>
      </c>
      <c r="BC62" s="134">
        <f t="shared" si="210"/>
        <v>24000</v>
      </c>
      <c r="BD62" s="110">
        <f t="shared" si="275"/>
        <v>0</v>
      </c>
      <c r="BE62" s="110">
        <f t="shared" si="276"/>
        <v>24000</v>
      </c>
      <c r="BF62" s="113" t="e">
        <f t="shared" si="144"/>
        <v>#REF!</v>
      </c>
      <c r="BG62" s="110" t="e">
        <f t="shared" si="145"/>
        <v>#REF!</v>
      </c>
      <c r="BH62" s="115" t="e">
        <f t="shared" si="146"/>
        <v>#REF!</v>
      </c>
      <c r="BI62" s="110" t="e">
        <f t="shared" si="147"/>
        <v>#REF!</v>
      </c>
      <c r="BJ62" s="52">
        <f>Summ.!$A71</f>
        <v>52010</v>
      </c>
      <c r="BK62" s="119" t="str">
        <f>Summ.!$B71</f>
        <v>Janitorial Supplies</v>
      </c>
      <c r="BL62" s="134">
        <f t="shared" si="213"/>
        <v>24000</v>
      </c>
      <c r="BM62" s="110">
        <f t="shared" si="148"/>
        <v>0</v>
      </c>
      <c r="BN62" s="110">
        <f t="shared" si="277"/>
        <v>24000</v>
      </c>
      <c r="BO62" s="113">
        <f t="shared" si="149"/>
        <v>2.4758393942413071E-2</v>
      </c>
      <c r="BP62" s="110">
        <f t="shared" si="150"/>
        <v>594.20145461791367</v>
      </c>
      <c r="BQ62" s="115">
        <f t="shared" si="151"/>
        <v>0</v>
      </c>
      <c r="BR62" s="110">
        <f t="shared" si="152"/>
        <v>594.20145461791367</v>
      </c>
      <c r="BS62" s="52">
        <f>Summ.!$A71</f>
        <v>52010</v>
      </c>
      <c r="BT62" s="119" t="str">
        <f>Summ.!$B71</f>
        <v>Janitorial Supplies</v>
      </c>
      <c r="BU62" s="134">
        <f t="shared" si="215"/>
        <v>24000</v>
      </c>
      <c r="BV62" s="110">
        <f t="shared" si="278"/>
        <v>0</v>
      </c>
      <c r="BW62" s="110">
        <f t="shared" si="279"/>
        <v>24000</v>
      </c>
      <c r="BX62" s="113">
        <f t="shared" si="153"/>
        <v>2.5978878150841885E-2</v>
      </c>
      <c r="BY62" s="110">
        <f t="shared" si="154"/>
        <v>623.49307562020522</v>
      </c>
      <c r="BZ62" s="115">
        <f t="shared" si="155"/>
        <v>0</v>
      </c>
      <c r="CA62" s="110">
        <f t="shared" si="156"/>
        <v>623.49307562020522</v>
      </c>
      <c r="CB62" s="52">
        <f>Summ.!$A71</f>
        <v>52010</v>
      </c>
      <c r="CC62" s="119" t="str">
        <f>Summ.!$B71</f>
        <v>Janitorial Supplies</v>
      </c>
      <c r="CD62" s="134">
        <f t="shared" si="218"/>
        <v>24000</v>
      </c>
      <c r="CE62" s="110">
        <v>0</v>
      </c>
      <c r="CF62" s="110">
        <f t="shared" si="280"/>
        <v>24000</v>
      </c>
      <c r="CG62" s="113">
        <f t="shared" si="157"/>
        <v>8.7825047324897876E-2</v>
      </c>
      <c r="CH62" s="110">
        <f t="shared" si="158"/>
        <v>2107.8011357975488</v>
      </c>
      <c r="CI62" s="115">
        <f t="shared" si="159"/>
        <v>0</v>
      </c>
      <c r="CJ62" s="110">
        <f t="shared" si="160"/>
        <v>2107.8011357975488</v>
      </c>
      <c r="CK62" s="52">
        <f>Summ.!$A71</f>
        <v>52010</v>
      </c>
      <c r="CL62" s="119" t="str">
        <f>Summ.!$B71</f>
        <v>Janitorial Supplies</v>
      </c>
      <c r="CM62" s="134">
        <f t="shared" si="220"/>
        <v>24000</v>
      </c>
      <c r="CN62" s="110">
        <f t="shared" si="281"/>
        <v>0</v>
      </c>
      <c r="CO62" s="110">
        <f t="shared" si="282"/>
        <v>24000</v>
      </c>
      <c r="CP62" s="113">
        <f t="shared" si="161"/>
        <v>0.26741058085085184</v>
      </c>
      <c r="CQ62" s="110">
        <f t="shared" si="162"/>
        <v>6417.8539404204439</v>
      </c>
      <c r="CR62" s="115">
        <f t="shared" si="163"/>
        <v>0</v>
      </c>
      <c r="CS62" s="110">
        <f t="shared" si="164"/>
        <v>6417.8539404204439</v>
      </c>
      <c r="CT62" s="52">
        <f>Summ.!$A71</f>
        <v>52010</v>
      </c>
      <c r="CU62" s="119" t="str">
        <f>Summ.!$B71</f>
        <v>Janitorial Supplies</v>
      </c>
      <c r="CV62" s="134">
        <f t="shared" si="223"/>
        <v>24000</v>
      </c>
      <c r="CW62" s="110">
        <v>0</v>
      </c>
      <c r="CX62" s="110">
        <f t="shared" si="283"/>
        <v>24000</v>
      </c>
      <c r="CY62" s="113">
        <f t="shared" si="165"/>
        <v>7.472352296502939E-2</v>
      </c>
      <c r="CZ62" s="110">
        <f t="shared" si="166"/>
        <v>1793.3645511607053</v>
      </c>
      <c r="DA62" s="115">
        <f t="shared" si="167"/>
        <v>0</v>
      </c>
      <c r="DB62" s="110">
        <f t="shared" si="168"/>
        <v>1793.3645511607053</v>
      </c>
      <c r="DC62" s="52">
        <f>Summ.!$A71</f>
        <v>52010</v>
      </c>
      <c r="DD62" s="119" t="str">
        <f>Summ.!$B71</f>
        <v>Janitorial Supplies</v>
      </c>
      <c r="DE62" s="134">
        <f t="shared" si="225"/>
        <v>24000</v>
      </c>
      <c r="DF62" s="110">
        <v>0</v>
      </c>
      <c r="DG62" s="110">
        <f t="shared" si="284"/>
        <v>24000</v>
      </c>
      <c r="DH62" s="113">
        <f t="shared" si="169"/>
        <v>1.2453920494171565E-2</v>
      </c>
      <c r="DI62" s="110">
        <f t="shared" si="170"/>
        <v>298.89409186011756</v>
      </c>
      <c r="DJ62" s="115">
        <f t="shared" si="171"/>
        <v>0</v>
      </c>
      <c r="DK62" s="110">
        <f t="shared" si="172"/>
        <v>298.89409186011756</v>
      </c>
      <c r="DL62" s="52">
        <f>Summ.!$A71</f>
        <v>52010</v>
      </c>
      <c r="DM62" s="119" t="str">
        <f>Summ.!$B71</f>
        <v>Janitorial Supplies</v>
      </c>
      <c r="DN62" s="134">
        <f t="shared" si="227"/>
        <v>24000</v>
      </c>
      <c r="DO62" s="110">
        <f>-DN62</f>
        <v>-24000</v>
      </c>
      <c r="DP62" s="110">
        <f t="shared" si="285"/>
        <v>0</v>
      </c>
      <c r="DQ62" s="113">
        <f t="shared" si="173"/>
        <v>7.2133107502241708E-2</v>
      </c>
      <c r="DR62" s="110">
        <f t="shared" si="174"/>
        <v>0</v>
      </c>
      <c r="DS62" s="115">
        <f t="shared" si="175"/>
        <v>0</v>
      </c>
      <c r="DT62" s="110">
        <f t="shared" si="176"/>
        <v>0</v>
      </c>
      <c r="DU62" s="52">
        <f>Summ.!$A71</f>
        <v>52010</v>
      </c>
      <c r="DV62" s="119" t="str">
        <f>Summ.!$B71</f>
        <v>Janitorial Supplies</v>
      </c>
      <c r="DW62" s="134">
        <f t="shared" si="229"/>
        <v>24000</v>
      </c>
      <c r="DX62" s="110">
        <f t="shared" si="286"/>
        <v>-24000</v>
      </c>
      <c r="DY62" s="110">
        <f t="shared" si="287"/>
        <v>0</v>
      </c>
      <c r="DZ62" s="113">
        <f t="shared" si="177"/>
        <v>0.19961143768058184</v>
      </c>
      <c r="EA62" s="110">
        <f t="shared" si="178"/>
        <v>0</v>
      </c>
      <c r="EB62" s="115">
        <f t="shared" si="179"/>
        <v>0</v>
      </c>
      <c r="EC62" s="110">
        <f t="shared" si="180"/>
        <v>0</v>
      </c>
      <c r="ED62" s="52">
        <f>Summ.!$A71</f>
        <v>52010</v>
      </c>
      <c r="EE62" s="119" t="str">
        <f>Summ.!$B71</f>
        <v>Janitorial Supplies</v>
      </c>
      <c r="EF62" s="134">
        <f t="shared" si="232"/>
        <v>24000</v>
      </c>
      <c r="EG62" s="110">
        <f t="shared" si="288"/>
        <v>-24000</v>
      </c>
      <c r="EH62" s="110">
        <f t="shared" si="289"/>
        <v>0</v>
      </c>
      <c r="EI62" s="113">
        <f t="shared" si="181"/>
        <v>0.16190096642423035</v>
      </c>
      <c r="EJ62" s="110">
        <f t="shared" si="182"/>
        <v>0</v>
      </c>
      <c r="EK62" s="115">
        <f t="shared" si="183"/>
        <v>0</v>
      </c>
      <c r="EL62" s="110">
        <f t="shared" si="184"/>
        <v>0</v>
      </c>
      <c r="EM62" s="52">
        <f>Summ.!$A71</f>
        <v>52010</v>
      </c>
      <c r="EN62" s="119" t="str">
        <f>Summ.!$B71</f>
        <v>Janitorial Supplies</v>
      </c>
      <c r="EO62" s="134">
        <f t="shared" si="235"/>
        <v>24000</v>
      </c>
      <c r="EP62" s="110">
        <v>0</v>
      </c>
      <c r="EQ62" s="110">
        <f t="shared" si="290"/>
        <v>24000</v>
      </c>
      <c r="ER62" s="113">
        <f t="shared" si="185"/>
        <v>4.9641327089767859E-2</v>
      </c>
      <c r="ES62" s="110">
        <f t="shared" si="186"/>
        <v>1191.3918501544285</v>
      </c>
      <c r="ET62" s="115">
        <f t="shared" si="187"/>
        <v>0</v>
      </c>
      <c r="EU62" s="110">
        <f t="shared" si="188"/>
        <v>1191.3918501544285</v>
      </c>
      <c r="EV62" s="52">
        <f>Summ.!$A71</f>
        <v>52010</v>
      </c>
      <c r="EW62" s="119" t="str">
        <f>Summ.!$B71</f>
        <v>Janitorial Supplies</v>
      </c>
      <c r="EX62" s="134">
        <f t="shared" si="237"/>
        <v>24000</v>
      </c>
      <c r="EY62" s="110">
        <v>0</v>
      </c>
      <c r="EZ62" s="110">
        <f t="shared" si="238"/>
        <v>24000</v>
      </c>
      <c r="FA62" s="113">
        <f t="shared" si="189"/>
        <v>2.3961343030786092E-2</v>
      </c>
      <c r="FB62" s="110">
        <f t="shared" si="190"/>
        <v>575.07223273886621</v>
      </c>
      <c r="FC62" s="115">
        <f t="shared" si="191"/>
        <v>0</v>
      </c>
      <c r="FD62" s="110">
        <f t="shared" si="192"/>
        <v>575.07223273886621</v>
      </c>
      <c r="FE62" s="52">
        <f>Summ.!$A71</f>
        <v>52010</v>
      </c>
      <c r="FF62" s="119" t="str">
        <f>Summ.!$B71</f>
        <v>Janitorial Supplies</v>
      </c>
      <c r="FG62" s="134">
        <f t="shared" si="239"/>
        <v>24000</v>
      </c>
      <c r="FH62" s="110">
        <f t="shared" si="240"/>
        <v>0</v>
      </c>
      <c r="FI62" s="110">
        <f t="shared" si="241"/>
        <v>24000</v>
      </c>
      <c r="FJ62" s="113">
        <f t="shared" si="193"/>
        <v>9.2258643020822956E-2</v>
      </c>
      <c r="FK62" s="110">
        <f t="shared" si="194"/>
        <v>2214.2074324997511</v>
      </c>
      <c r="FL62" s="115">
        <f t="shared" si="195"/>
        <v>0</v>
      </c>
      <c r="FM62" s="110">
        <f t="shared" si="196"/>
        <v>2214.2074324997511</v>
      </c>
    </row>
    <row r="63" spans="1:169" ht="12.75" customHeight="1">
      <c r="A63" s="52">
        <f>Summ.!A72</f>
        <v>0</v>
      </c>
      <c r="B63" s="45" t="str">
        <f>Summ.!B72</f>
        <v>Banners - Seasonal</v>
      </c>
      <c r="C63" s="45"/>
      <c r="D63" s="45"/>
      <c r="E63" s="45"/>
      <c r="F63" s="106">
        <f>+Summ.!O72</f>
        <v>0</v>
      </c>
      <c r="G63" s="71">
        <f>Rent!$B$41</f>
        <v>51058</v>
      </c>
      <c r="H63" s="52">
        <f>Summ.!$A72</f>
        <v>0</v>
      </c>
      <c r="I63" s="119" t="str">
        <f>Summ.!$B72</f>
        <v>Banners - Seasonal</v>
      </c>
      <c r="J63" s="134">
        <f t="shared" si="197"/>
        <v>0</v>
      </c>
      <c r="K63" s="110">
        <v>0</v>
      </c>
      <c r="L63" s="110">
        <f t="shared" si="198"/>
        <v>0</v>
      </c>
      <c r="M63" s="113">
        <f t="shared" si="124"/>
        <v>7.5854910102236675E-2</v>
      </c>
      <c r="N63" s="110">
        <f t="shared" si="125"/>
        <v>0</v>
      </c>
      <c r="O63" s="115">
        <f t="shared" si="126"/>
        <v>0</v>
      </c>
      <c r="P63" s="110">
        <f t="shared" si="127"/>
        <v>0</v>
      </c>
      <c r="Q63" s="52">
        <f>Summ.!$A72</f>
        <v>0</v>
      </c>
      <c r="R63" s="119" t="str">
        <f>Summ.!$B72</f>
        <v>Banners - Seasonal</v>
      </c>
      <c r="S63" s="134">
        <f t="shared" si="199"/>
        <v>0</v>
      </c>
      <c r="T63" s="110">
        <f t="shared" si="268"/>
        <v>0</v>
      </c>
      <c r="U63" s="110">
        <f t="shared" si="269"/>
        <v>0</v>
      </c>
      <c r="V63" s="113">
        <f t="shared" si="128"/>
        <v>2.1034901484586158E-2</v>
      </c>
      <c r="W63" s="110">
        <f t="shared" si="129"/>
        <v>0</v>
      </c>
      <c r="X63" s="115">
        <f t="shared" si="130"/>
        <v>0</v>
      </c>
      <c r="Y63" s="110">
        <f t="shared" si="131"/>
        <v>0</v>
      </c>
      <c r="Z63" s="52">
        <f>Summ.!$A72</f>
        <v>0</v>
      </c>
      <c r="AA63" s="119" t="str">
        <f>Summ.!$B72</f>
        <v>Banners - Seasonal</v>
      </c>
      <c r="AB63" s="134">
        <f t="shared" si="202"/>
        <v>0</v>
      </c>
      <c r="AC63" s="110">
        <v>0</v>
      </c>
      <c r="AD63" s="110">
        <f t="shared" si="270"/>
        <v>0</v>
      </c>
      <c r="AE63" s="113">
        <f t="shared" si="132"/>
        <v>3.9171138705002152E-3</v>
      </c>
      <c r="AF63" s="110">
        <f t="shared" si="133"/>
        <v>0</v>
      </c>
      <c r="AG63" s="115">
        <f t="shared" si="134"/>
        <v>0</v>
      </c>
      <c r="AH63" s="110">
        <f t="shared" si="135"/>
        <v>0</v>
      </c>
      <c r="AI63" s="52">
        <f>Summ.!$A72</f>
        <v>0</v>
      </c>
      <c r="AJ63" s="119" t="str">
        <f>Summ.!$B72</f>
        <v>Banners - Seasonal</v>
      </c>
      <c r="AK63" s="134">
        <f t="shared" si="204"/>
        <v>0</v>
      </c>
      <c r="AL63" s="110">
        <f t="shared" si="271"/>
        <v>0</v>
      </c>
      <c r="AM63" s="110">
        <f t="shared" si="272"/>
        <v>0</v>
      </c>
      <c r="AN63" s="113">
        <f t="shared" si="136"/>
        <v>1.0145324924595559E-2</v>
      </c>
      <c r="AO63" s="110">
        <f t="shared" si="137"/>
        <v>0</v>
      </c>
      <c r="AP63" s="115">
        <f t="shared" si="138"/>
        <v>0</v>
      </c>
      <c r="AQ63" s="110">
        <f t="shared" si="139"/>
        <v>0</v>
      </c>
      <c r="AR63" s="52">
        <f>Summ.!$A72</f>
        <v>0</v>
      </c>
      <c r="AS63" s="119" t="str">
        <f>Summ.!$B72</f>
        <v>Banners - Seasonal</v>
      </c>
      <c r="AT63" s="134">
        <f t="shared" si="207"/>
        <v>0</v>
      </c>
      <c r="AU63" s="110">
        <f t="shared" si="273"/>
        <v>0</v>
      </c>
      <c r="AV63" s="110">
        <f t="shared" si="274"/>
        <v>0</v>
      </c>
      <c r="AW63" s="113">
        <f t="shared" si="140"/>
        <v>1.0282423910063065E-2</v>
      </c>
      <c r="AX63" s="110">
        <f t="shared" si="141"/>
        <v>0</v>
      </c>
      <c r="AY63" s="115">
        <f t="shared" si="142"/>
        <v>0</v>
      </c>
      <c r="AZ63" s="110">
        <f t="shared" si="143"/>
        <v>0</v>
      </c>
      <c r="BA63" s="52">
        <f>Summ.!$A72</f>
        <v>0</v>
      </c>
      <c r="BB63" s="119" t="str">
        <f>Summ.!$B72</f>
        <v>Banners - Seasonal</v>
      </c>
      <c r="BC63" s="134">
        <f t="shared" si="210"/>
        <v>0</v>
      </c>
      <c r="BD63" s="110">
        <f t="shared" si="275"/>
        <v>0</v>
      </c>
      <c r="BE63" s="110">
        <f t="shared" si="276"/>
        <v>0</v>
      </c>
      <c r="BF63" s="113" t="e">
        <f t="shared" si="144"/>
        <v>#REF!</v>
      </c>
      <c r="BG63" s="110" t="e">
        <f t="shared" si="145"/>
        <v>#REF!</v>
      </c>
      <c r="BH63" s="115" t="e">
        <f t="shared" si="146"/>
        <v>#REF!</v>
      </c>
      <c r="BI63" s="110" t="e">
        <f t="shared" si="147"/>
        <v>#REF!</v>
      </c>
      <c r="BJ63" s="52">
        <f>Summ.!$A72</f>
        <v>0</v>
      </c>
      <c r="BK63" s="119" t="str">
        <f>Summ.!$B72</f>
        <v>Banners - Seasonal</v>
      </c>
      <c r="BL63" s="134">
        <f t="shared" si="213"/>
        <v>0</v>
      </c>
      <c r="BM63" s="110">
        <f t="shared" si="148"/>
        <v>0</v>
      </c>
      <c r="BN63" s="110">
        <f t="shared" si="277"/>
        <v>0</v>
      </c>
      <c r="BO63" s="113">
        <f t="shared" si="149"/>
        <v>1.9468055936386071E-2</v>
      </c>
      <c r="BP63" s="110">
        <f t="shared" si="150"/>
        <v>0</v>
      </c>
      <c r="BQ63" s="115">
        <f t="shared" si="151"/>
        <v>0</v>
      </c>
      <c r="BR63" s="110">
        <f t="shared" si="152"/>
        <v>0</v>
      </c>
      <c r="BS63" s="52">
        <f>Summ.!$A72</f>
        <v>0</v>
      </c>
      <c r="BT63" s="119" t="str">
        <f>Summ.!$B72</f>
        <v>Banners - Seasonal</v>
      </c>
      <c r="BU63" s="134">
        <f t="shared" si="215"/>
        <v>0</v>
      </c>
      <c r="BV63" s="110">
        <f t="shared" si="278"/>
        <v>0</v>
      </c>
      <c r="BW63" s="110">
        <f t="shared" si="279"/>
        <v>0</v>
      </c>
      <c r="BX63" s="113">
        <f t="shared" si="153"/>
        <v>2.0427748834658623E-2</v>
      </c>
      <c r="BY63" s="110">
        <f t="shared" si="154"/>
        <v>0</v>
      </c>
      <c r="BZ63" s="115">
        <f t="shared" si="155"/>
        <v>0</v>
      </c>
      <c r="CA63" s="110">
        <f t="shared" si="156"/>
        <v>0</v>
      </c>
      <c r="CB63" s="52">
        <f>Summ.!$A72</f>
        <v>0</v>
      </c>
      <c r="CC63" s="119" t="str">
        <f>Summ.!$B72</f>
        <v>Banners - Seasonal</v>
      </c>
      <c r="CD63" s="134">
        <f t="shared" si="218"/>
        <v>0</v>
      </c>
      <c r="CE63" s="110">
        <v>0</v>
      </c>
      <c r="CF63" s="110">
        <f t="shared" si="280"/>
        <v>0</v>
      </c>
      <c r="CG63" s="113">
        <f t="shared" si="157"/>
        <v>6.9058717536918793E-2</v>
      </c>
      <c r="CH63" s="110">
        <f t="shared" si="158"/>
        <v>0</v>
      </c>
      <c r="CI63" s="115">
        <f t="shared" si="159"/>
        <v>0</v>
      </c>
      <c r="CJ63" s="110">
        <f t="shared" si="160"/>
        <v>0</v>
      </c>
      <c r="CK63" s="52">
        <f>Summ.!$A72</f>
        <v>0</v>
      </c>
      <c r="CL63" s="119" t="str">
        <f>Summ.!$B72</f>
        <v>Banners - Seasonal</v>
      </c>
      <c r="CM63" s="134">
        <f t="shared" si="220"/>
        <v>0</v>
      </c>
      <c r="CN63" s="110">
        <f t="shared" si="281"/>
        <v>0</v>
      </c>
      <c r="CO63" s="110">
        <f t="shared" si="282"/>
        <v>0</v>
      </c>
      <c r="CP63" s="113">
        <f t="shared" si="161"/>
        <v>0.21027067256845156</v>
      </c>
      <c r="CQ63" s="110">
        <f t="shared" si="162"/>
        <v>0</v>
      </c>
      <c r="CR63" s="115">
        <f t="shared" si="163"/>
        <v>0</v>
      </c>
      <c r="CS63" s="110">
        <f t="shared" si="164"/>
        <v>0</v>
      </c>
      <c r="CT63" s="52">
        <f>Summ.!$A72</f>
        <v>0</v>
      </c>
      <c r="CU63" s="119" t="str">
        <f>Summ.!$B72</f>
        <v>Banners - Seasonal</v>
      </c>
      <c r="CV63" s="134">
        <f t="shared" si="223"/>
        <v>0</v>
      </c>
      <c r="CW63" s="110">
        <v>0</v>
      </c>
      <c r="CX63" s="110">
        <f t="shared" si="283"/>
        <v>0</v>
      </c>
      <c r="CY63" s="113">
        <f t="shared" si="165"/>
        <v>5.8756708057503229E-2</v>
      </c>
      <c r="CZ63" s="110">
        <f t="shared" si="166"/>
        <v>0</v>
      </c>
      <c r="DA63" s="115">
        <f t="shared" si="167"/>
        <v>0</v>
      </c>
      <c r="DB63" s="110">
        <f t="shared" si="168"/>
        <v>0</v>
      </c>
      <c r="DC63" s="52">
        <f>Summ.!$A72</f>
        <v>0</v>
      </c>
      <c r="DD63" s="119" t="str">
        <f>Summ.!$B72</f>
        <v>Banners - Seasonal</v>
      </c>
      <c r="DE63" s="134">
        <f t="shared" si="225"/>
        <v>0</v>
      </c>
      <c r="DF63" s="110">
        <v>0</v>
      </c>
      <c r="DG63" s="110">
        <f t="shared" si="284"/>
        <v>0</v>
      </c>
      <c r="DH63" s="113">
        <f t="shared" si="169"/>
        <v>9.7927846762505388E-3</v>
      </c>
      <c r="DI63" s="110">
        <f t="shared" si="170"/>
        <v>0</v>
      </c>
      <c r="DJ63" s="115">
        <f t="shared" si="171"/>
        <v>0</v>
      </c>
      <c r="DK63" s="110">
        <f t="shared" si="172"/>
        <v>0</v>
      </c>
      <c r="DL63" s="52">
        <f>Summ.!$A72</f>
        <v>0</v>
      </c>
      <c r="DM63" s="119" t="str">
        <f>Summ.!$B72</f>
        <v>Banners - Seasonal</v>
      </c>
      <c r="DN63" s="134">
        <f t="shared" si="227"/>
        <v>0</v>
      </c>
      <c r="DO63" s="110">
        <v>0</v>
      </c>
      <c r="DP63" s="110">
        <f t="shared" si="285"/>
        <v>0</v>
      </c>
      <c r="DQ63" s="113">
        <f t="shared" si="173"/>
        <v>5.6719808844843123E-2</v>
      </c>
      <c r="DR63" s="110">
        <f t="shared" si="174"/>
        <v>0</v>
      </c>
      <c r="DS63" s="115">
        <f t="shared" si="175"/>
        <v>0</v>
      </c>
      <c r="DT63" s="110">
        <f t="shared" si="176"/>
        <v>0</v>
      </c>
      <c r="DU63" s="52">
        <f>Summ.!$A72</f>
        <v>0</v>
      </c>
      <c r="DV63" s="119" t="str">
        <f>Summ.!$B72</f>
        <v>Banners - Seasonal</v>
      </c>
      <c r="DW63" s="134">
        <f t="shared" si="229"/>
        <v>0</v>
      </c>
      <c r="DX63" s="110">
        <f t="shared" si="286"/>
        <v>0</v>
      </c>
      <c r="DY63" s="110">
        <f t="shared" si="287"/>
        <v>0</v>
      </c>
      <c r="DZ63" s="113">
        <f t="shared" si="177"/>
        <v>0.15695875279094362</v>
      </c>
      <c r="EA63" s="110">
        <f t="shared" si="178"/>
        <v>0</v>
      </c>
      <c r="EB63" s="115">
        <f t="shared" si="179"/>
        <v>0</v>
      </c>
      <c r="EC63" s="110">
        <f t="shared" si="180"/>
        <v>0</v>
      </c>
      <c r="ED63" s="52">
        <f>Summ.!$A72</f>
        <v>0</v>
      </c>
      <c r="EE63" s="119" t="str">
        <f>Summ.!$B72</f>
        <v>Banners - Seasonal</v>
      </c>
      <c r="EF63" s="134">
        <f t="shared" si="232"/>
        <v>0</v>
      </c>
      <c r="EG63" s="110">
        <f t="shared" si="288"/>
        <v>0</v>
      </c>
      <c r="EH63" s="110">
        <f t="shared" si="289"/>
        <v>0</v>
      </c>
      <c r="EI63" s="113">
        <f t="shared" si="181"/>
        <v>0.12730620079125701</v>
      </c>
      <c r="EJ63" s="110">
        <f t="shared" si="182"/>
        <v>0</v>
      </c>
      <c r="EK63" s="115">
        <f t="shared" si="183"/>
        <v>0</v>
      </c>
      <c r="EL63" s="110">
        <f t="shared" si="184"/>
        <v>0</v>
      </c>
      <c r="EM63" s="52">
        <f>Summ.!$A72</f>
        <v>0</v>
      </c>
      <c r="EN63" s="119" t="str">
        <f>Summ.!$B72</f>
        <v>Banners - Seasonal</v>
      </c>
      <c r="EO63" s="134">
        <f t="shared" si="235"/>
        <v>0</v>
      </c>
      <c r="EP63" s="110">
        <v>0</v>
      </c>
      <c r="EQ63" s="110">
        <f t="shared" si="290"/>
        <v>0</v>
      </c>
      <c r="ER63" s="113">
        <f t="shared" si="185"/>
        <v>3.9034039719534647E-2</v>
      </c>
      <c r="ES63" s="110">
        <f t="shared" si="186"/>
        <v>0</v>
      </c>
      <c r="ET63" s="115">
        <f t="shared" si="187"/>
        <v>0</v>
      </c>
      <c r="EU63" s="110">
        <f t="shared" si="188"/>
        <v>0</v>
      </c>
      <c r="EV63" s="52">
        <f>Summ.!$A72</f>
        <v>0</v>
      </c>
      <c r="EW63" s="119" t="str">
        <f>Summ.!$B72</f>
        <v>Banners - Seasonal</v>
      </c>
      <c r="EX63" s="134">
        <f t="shared" si="237"/>
        <v>0</v>
      </c>
      <c r="EY63" s="110">
        <v>0</v>
      </c>
      <c r="EZ63" s="110">
        <f t="shared" si="238"/>
        <v>0</v>
      </c>
      <c r="FA63" s="113">
        <f t="shared" si="189"/>
        <v>1.8841317717106038E-2</v>
      </c>
      <c r="FB63" s="110">
        <f t="shared" si="190"/>
        <v>0</v>
      </c>
      <c r="FC63" s="115">
        <f t="shared" si="191"/>
        <v>0</v>
      </c>
      <c r="FD63" s="110">
        <f t="shared" si="192"/>
        <v>0</v>
      </c>
      <c r="FE63" s="52">
        <f>Summ.!$A72</f>
        <v>0</v>
      </c>
      <c r="FF63" s="119" t="str">
        <f>Summ.!$B72</f>
        <v>Banners - Seasonal</v>
      </c>
      <c r="FG63" s="134">
        <f t="shared" si="239"/>
        <v>0</v>
      </c>
      <c r="FH63" s="110">
        <f t="shared" si="240"/>
        <v>0</v>
      </c>
      <c r="FI63" s="110">
        <f t="shared" si="241"/>
        <v>0</v>
      </c>
      <c r="FJ63" s="113">
        <f t="shared" si="193"/>
        <v>7.254494888166399E-2</v>
      </c>
      <c r="FK63" s="110">
        <f t="shared" si="194"/>
        <v>0</v>
      </c>
      <c r="FL63" s="115">
        <f t="shared" si="195"/>
        <v>0</v>
      </c>
      <c r="FM63" s="110">
        <f t="shared" si="196"/>
        <v>0</v>
      </c>
    </row>
    <row r="64" spans="1:169" ht="12.75" customHeight="1">
      <c r="A64" s="52">
        <f>Summ.!A73</f>
        <v>55120</v>
      </c>
      <c r="B64" s="45" t="str">
        <f>Summ.!B73</f>
        <v>Trash Common Area - Split 20%</v>
      </c>
      <c r="C64" s="45"/>
      <c r="D64" s="45"/>
      <c r="E64" s="45"/>
      <c r="F64" s="106">
        <f>+Summ.!O73</f>
        <v>16200</v>
      </c>
      <c r="G64" s="71">
        <f>Rent!$B$41</f>
        <v>51058</v>
      </c>
      <c r="H64" s="52">
        <f>Summ.!$A73</f>
        <v>55120</v>
      </c>
      <c r="I64" s="119" t="str">
        <f>Summ.!$B73</f>
        <v>Trash Common Area - Split 20%</v>
      </c>
      <c r="J64" s="134">
        <f t="shared" si="197"/>
        <v>16200</v>
      </c>
      <c r="K64" s="110">
        <v>0</v>
      </c>
      <c r="L64" s="110">
        <f t="shared" si="198"/>
        <v>16200</v>
      </c>
      <c r="M64" s="113">
        <f t="shared" si="124"/>
        <v>7.5854910102236675E-2</v>
      </c>
      <c r="N64" s="110">
        <f t="shared" si="125"/>
        <v>1228.8495436562341</v>
      </c>
      <c r="O64" s="115">
        <f t="shared" si="126"/>
        <v>0</v>
      </c>
      <c r="P64" s="110">
        <f t="shared" si="127"/>
        <v>1228.8495436562341</v>
      </c>
      <c r="Q64" s="52">
        <f>Summ.!$A73</f>
        <v>55120</v>
      </c>
      <c r="R64" s="119" t="str">
        <f>Summ.!$B73</f>
        <v>Trash Common Area - Split 20%</v>
      </c>
      <c r="S64" s="134">
        <f t="shared" si="199"/>
        <v>16200</v>
      </c>
      <c r="T64" s="110">
        <f t="shared" si="268"/>
        <v>0</v>
      </c>
      <c r="U64" s="110">
        <f t="shared" si="269"/>
        <v>16200</v>
      </c>
      <c r="V64" s="113">
        <f t="shared" si="128"/>
        <v>2.1034901484586158E-2</v>
      </c>
      <c r="W64" s="110">
        <f t="shared" si="129"/>
        <v>340.76540405029573</v>
      </c>
      <c r="X64" s="115">
        <f t="shared" si="130"/>
        <v>0</v>
      </c>
      <c r="Y64" s="110">
        <f t="shared" si="131"/>
        <v>340.76540405029573</v>
      </c>
      <c r="Z64" s="52">
        <f>Summ.!$A73</f>
        <v>55120</v>
      </c>
      <c r="AA64" s="119" t="str">
        <f>Summ.!$B73</f>
        <v>Trash Common Area - Split 20%</v>
      </c>
      <c r="AB64" s="134">
        <f t="shared" si="202"/>
        <v>16200</v>
      </c>
      <c r="AC64" s="110">
        <v>0</v>
      </c>
      <c r="AD64" s="110">
        <f t="shared" si="270"/>
        <v>16200</v>
      </c>
      <c r="AE64" s="113">
        <f t="shared" si="132"/>
        <v>3.9171138705002152E-3</v>
      </c>
      <c r="AF64" s="110">
        <f t="shared" si="133"/>
        <v>63.457244702103488</v>
      </c>
      <c r="AG64" s="115">
        <f t="shared" si="134"/>
        <v>0</v>
      </c>
      <c r="AH64" s="110">
        <f t="shared" si="135"/>
        <v>63.457244702103488</v>
      </c>
      <c r="AI64" s="52">
        <f>Summ.!$A73</f>
        <v>55120</v>
      </c>
      <c r="AJ64" s="119" t="str">
        <f>Summ.!$B73</f>
        <v>Trash Common Area - Split 20%</v>
      </c>
      <c r="AK64" s="134">
        <f t="shared" si="204"/>
        <v>16200</v>
      </c>
      <c r="AL64" s="110">
        <f t="shared" si="271"/>
        <v>0</v>
      </c>
      <c r="AM64" s="110">
        <f t="shared" si="272"/>
        <v>16200</v>
      </c>
      <c r="AN64" s="113">
        <f t="shared" si="136"/>
        <v>1.0145324924595559E-2</v>
      </c>
      <c r="AO64" s="110">
        <f t="shared" si="137"/>
        <v>164.35426377844806</v>
      </c>
      <c r="AP64" s="115">
        <f t="shared" si="138"/>
        <v>0</v>
      </c>
      <c r="AQ64" s="110">
        <f t="shared" si="139"/>
        <v>164.35426377844806</v>
      </c>
      <c r="AR64" s="52">
        <f>Summ.!$A73</f>
        <v>55120</v>
      </c>
      <c r="AS64" s="119" t="str">
        <f>Summ.!$B73</f>
        <v>Trash Common Area - Split 20%</v>
      </c>
      <c r="AT64" s="134">
        <f t="shared" si="207"/>
        <v>16200</v>
      </c>
      <c r="AU64" s="110">
        <f t="shared" si="273"/>
        <v>0</v>
      </c>
      <c r="AV64" s="110">
        <f t="shared" si="274"/>
        <v>16200</v>
      </c>
      <c r="AW64" s="113">
        <f t="shared" si="140"/>
        <v>1.0282423910063065E-2</v>
      </c>
      <c r="AX64" s="110">
        <f t="shared" si="141"/>
        <v>166.57526734302166</v>
      </c>
      <c r="AY64" s="115">
        <f t="shared" si="142"/>
        <v>0</v>
      </c>
      <c r="AZ64" s="110">
        <f t="shared" si="143"/>
        <v>166.57526734302166</v>
      </c>
      <c r="BA64" s="52">
        <f>Summ.!$A73</f>
        <v>55120</v>
      </c>
      <c r="BB64" s="119" t="str">
        <f>Summ.!$B73</f>
        <v>Trash Common Area - Split 20%</v>
      </c>
      <c r="BC64" s="134">
        <f t="shared" si="210"/>
        <v>16200</v>
      </c>
      <c r="BD64" s="110">
        <f t="shared" si="275"/>
        <v>0</v>
      </c>
      <c r="BE64" s="110">
        <f t="shared" si="276"/>
        <v>16200</v>
      </c>
      <c r="BF64" s="113" t="e">
        <f t="shared" si="144"/>
        <v>#REF!</v>
      </c>
      <c r="BG64" s="110" t="e">
        <f t="shared" si="145"/>
        <v>#REF!</v>
      </c>
      <c r="BH64" s="115" t="e">
        <f t="shared" si="146"/>
        <v>#REF!</v>
      </c>
      <c r="BI64" s="110" t="e">
        <f t="shared" si="147"/>
        <v>#REF!</v>
      </c>
      <c r="BJ64" s="52">
        <f>Summ.!$A73</f>
        <v>55120</v>
      </c>
      <c r="BK64" s="119" t="str">
        <f>Summ.!$B73</f>
        <v>Trash Common Area - Split 20%</v>
      </c>
      <c r="BL64" s="134">
        <f t="shared" si="213"/>
        <v>16200</v>
      </c>
      <c r="BM64" s="110">
        <f t="shared" si="148"/>
        <v>0</v>
      </c>
      <c r="BN64" s="110">
        <f t="shared" si="277"/>
        <v>16200</v>
      </c>
      <c r="BO64" s="113">
        <f t="shared" si="149"/>
        <v>1.9468055936386071E-2</v>
      </c>
      <c r="BP64" s="110">
        <f t="shared" si="150"/>
        <v>315.38250616945436</v>
      </c>
      <c r="BQ64" s="115">
        <f t="shared" si="151"/>
        <v>0</v>
      </c>
      <c r="BR64" s="110">
        <f t="shared" si="152"/>
        <v>315.38250616945436</v>
      </c>
      <c r="BS64" s="52">
        <f>Summ.!$A73</f>
        <v>55120</v>
      </c>
      <c r="BT64" s="119" t="str">
        <f>Summ.!$B73</f>
        <v>Trash Common Area - Split 20%</v>
      </c>
      <c r="BU64" s="134">
        <f t="shared" si="215"/>
        <v>16200</v>
      </c>
      <c r="BV64" s="110">
        <f t="shared" si="278"/>
        <v>0</v>
      </c>
      <c r="BW64" s="110">
        <f t="shared" si="279"/>
        <v>16200</v>
      </c>
      <c r="BX64" s="113">
        <f t="shared" si="153"/>
        <v>2.0427748834658623E-2</v>
      </c>
      <c r="BY64" s="110">
        <f t="shared" si="154"/>
        <v>330.92953112146967</v>
      </c>
      <c r="BZ64" s="115">
        <f t="shared" si="155"/>
        <v>0</v>
      </c>
      <c r="CA64" s="110">
        <f t="shared" si="156"/>
        <v>330.92953112146967</v>
      </c>
      <c r="CB64" s="52">
        <f>Summ.!$A73</f>
        <v>55120</v>
      </c>
      <c r="CC64" s="119" t="str">
        <f>Summ.!$B73</f>
        <v>Trash Common Area - Split 20%</v>
      </c>
      <c r="CD64" s="134">
        <f t="shared" si="218"/>
        <v>16200</v>
      </c>
      <c r="CE64" s="110">
        <v>0</v>
      </c>
      <c r="CF64" s="110">
        <f t="shared" si="280"/>
        <v>16200</v>
      </c>
      <c r="CG64" s="113">
        <f t="shared" si="157"/>
        <v>6.9058717536918793E-2</v>
      </c>
      <c r="CH64" s="110">
        <f t="shared" si="158"/>
        <v>1118.7512240980845</v>
      </c>
      <c r="CI64" s="115">
        <f t="shared" si="159"/>
        <v>0</v>
      </c>
      <c r="CJ64" s="110">
        <f t="shared" si="160"/>
        <v>1118.7512240980845</v>
      </c>
      <c r="CK64" s="52">
        <f>Summ.!$A73</f>
        <v>55120</v>
      </c>
      <c r="CL64" s="119" t="str">
        <f>Summ.!$B73</f>
        <v>Trash Common Area - Split 20%</v>
      </c>
      <c r="CM64" s="134">
        <f t="shared" si="220"/>
        <v>16200</v>
      </c>
      <c r="CN64" s="110">
        <f t="shared" si="281"/>
        <v>0</v>
      </c>
      <c r="CO64" s="110">
        <f t="shared" si="282"/>
        <v>16200</v>
      </c>
      <c r="CP64" s="113">
        <f t="shared" si="161"/>
        <v>0.21027067256845156</v>
      </c>
      <c r="CQ64" s="110">
        <f t="shared" si="162"/>
        <v>3406.384895608915</v>
      </c>
      <c r="CR64" s="115">
        <f t="shared" si="163"/>
        <v>0</v>
      </c>
      <c r="CS64" s="110">
        <f t="shared" si="164"/>
        <v>3406.384895608915</v>
      </c>
      <c r="CT64" s="52">
        <f>Summ.!$A73</f>
        <v>55120</v>
      </c>
      <c r="CU64" s="119" t="str">
        <f>Summ.!$B73</f>
        <v>Trash Common Area - Split 20%</v>
      </c>
      <c r="CV64" s="134">
        <f t="shared" si="223"/>
        <v>16200</v>
      </c>
      <c r="CW64" s="110">
        <v>0</v>
      </c>
      <c r="CX64" s="110">
        <f t="shared" si="283"/>
        <v>16200</v>
      </c>
      <c r="CY64" s="113">
        <f t="shared" si="165"/>
        <v>5.8756708057503229E-2</v>
      </c>
      <c r="CZ64" s="110">
        <f t="shared" si="166"/>
        <v>951.85867053155232</v>
      </c>
      <c r="DA64" s="115">
        <f t="shared" si="167"/>
        <v>0</v>
      </c>
      <c r="DB64" s="110">
        <f t="shared" si="168"/>
        <v>951.85867053155232</v>
      </c>
      <c r="DC64" s="52">
        <f>Summ.!$A73</f>
        <v>55120</v>
      </c>
      <c r="DD64" s="119" t="str">
        <f>Summ.!$B73</f>
        <v>Trash Common Area - Split 20%</v>
      </c>
      <c r="DE64" s="134">
        <f t="shared" si="225"/>
        <v>16200</v>
      </c>
      <c r="DF64" s="110">
        <v>0</v>
      </c>
      <c r="DG64" s="110">
        <f t="shared" si="284"/>
        <v>16200</v>
      </c>
      <c r="DH64" s="113">
        <f t="shared" si="169"/>
        <v>9.7927846762505388E-3</v>
      </c>
      <c r="DI64" s="110">
        <f t="shared" si="170"/>
        <v>158.64311175525873</v>
      </c>
      <c r="DJ64" s="115">
        <f t="shared" si="171"/>
        <v>0</v>
      </c>
      <c r="DK64" s="110">
        <f t="shared" si="172"/>
        <v>158.64311175525873</v>
      </c>
      <c r="DL64" s="52">
        <f>Summ.!$A73</f>
        <v>55120</v>
      </c>
      <c r="DM64" s="119" t="str">
        <f>Summ.!$B73</f>
        <v>Trash Common Area - Split 20%</v>
      </c>
      <c r="DN64" s="134">
        <f t="shared" si="227"/>
        <v>16200</v>
      </c>
      <c r="DO64" s="110">
        <v>0</v>
      </c>
      <c r="DP64" s="110">
        <f t="shared" si="285"/>
        <v>16200</v>
      </c>
      <c r="DQ64" s="113">
        <f t="shared" si="173"/>
        <v>5.6719808844843123E-2</v>
      </c>
      <c r="DR64" s="110">
        <f t="shared" si="174"/>
        <v>918.86090328645855</v>
      </c>
      <c r="DS64" s="115">
        <f t="shared" si="175"/>
        <v>0</v>
      </c>
      <c r="DT64" s="110">
        <f t="shared" si="176"/>
        <v>918.86090328645855</v>
      </c>
      <c r="DU64" s="52">
        <f>Summ.!$A73</f>
        <v>55120</v>
      </c>
      <c r="DV64" s="119" t="str">
        <f>Summ.!$B73</f>
        <v>Trash Common Area - Split 20%</v>
      </c>
      <c r="DW64" s="134">
        <f t="shared" si="229"/>
        <v>16200</v>
      </c>
      <c r="DX64" s="110">
        <f t="shared" si="286"/>
        <v>0</v>
      </c>
      <c r="DY64" s="110">
        <f t="shared" si="287"/>
        <v>16200</v>
      </c>
      <c r="DZ64" s="113">
        <f t="shared" si="177"/>
        <v>0.15695875279094362</v>
      </c>
      <c r="EA64" s="110">
        <f t="shared" si="178"/>
        <v>2542.7317952132867</v>
      </c>
      <c r="EB64" s="115">
        <f t="shared" si="179"/>
        <v>0</v>
      </c>
      <c r="EC64" s="110">
        <f t="shared" si="180"/>
        <v>2542.7317952132867</v>
      </c>
      <c r="ED64" s="52">
        <f>Summ.!$A73</f>
        <v>55120</v>
      </c>
      <c r="EE64" s="119" t="str">
        <f>Summ.!$B73</f>
        <v>Trash Common Area - Split 20%</v>
      </c>
      <c r="EF64" s="134">
        <f t="shared" si="232"/>
        <v>16200</v>
      </c>
      <c r="EG64" s="110">
        <f t="shared" si="288"/>
        <v>0</v>
      </c>
      <c r="EH64" s="110">
        <f t="shared" si="289"/>
        <v>16200</v>
      </c>
      <c r="EI64" s="113">
        <f t="shared" si="181"/>
        <v>0.12730620079125701</v>
      </c>
      <c r="EJ64" s="110">
        <f t="shared" si="182"/>
        <v>2062.3604528183637</v>
      </c>
      <c r="EK64" s="115">
        <f t="shared" si="183"/>
        <v>309.35406792275455</v>
      </c>
      <c r="EL64" s="110">
        <f t="shared" si="184"/>
        <v>2371.7145207411181</v>
      </c>
      <c r="EM64" s="52">
        <f>Summ.!$A73</f>
        <v>55120</v>
      </c>
      <c r="EN64" s="119" t="str">
        <f>Summ.!$B73</f>
        <v>Trash Common Area - Split 20%</v>
      </c>
      <c r="EO64" s="134">
        <f t="shared" si="235"/>
        <v>16200</v>
      </c>
      <c r="EP64" s="110">
        <v>0</v>
      </c>
      <c r="EQ64" s="110">
        <f t="shared" si="290"/>
        <v>16200</v>
      </c>
      <c r="ER64" s="113">
        <f t="shared" si="185"/>
        <v>3.9034039719534647E-2</v>
      </c>
      <c r="ES64" s="110">
        <f t="shared" si="186"/>
        <v>632.35144345646131</v>
      </c>
      <c r="ET64" s="115">
        <f t="shared" si="187"/>
        <v>0</v>
      </c>
      <c r="EU64" s="110">
        <f t="shared" si="188"/>
        <v>632.35144345646131</v>
      </c>
      <c r="EV64" s="52">
        <f>Summ.!$A73</f>
        <v>55120</v>
      </c>
      <c r="EW64" s="119" t="str">
        <f>Summ.!$B73</f>
        <v>Trash Common Area - Split 20%</v>
      </c>
      <c r="EX64" s="134">
        <f t="shared" si="237"/>
        <v>16200</v>
      </c>
      <c r="EY64" s="110">
        <v>0</v>
      </c>
      <c r="EZ64" s="110">
        <f t="shared" si="238"/>
        <v>16200</v>
      </c>
      <c r="FA64" s="113">
        <f t="shared" si="189"/>
        <v>1.8841317717106038E-2</v>
      </c>
      <c r="FB64" s="110">
        <f t="shared" si="190"/>
        <v>305.22934701711779</v>
      </c>
      <c r="FC64" s="115">
        <f t="shared" si="191"/>
        <v>0</v>
      </c>
      <c r="FD64" s="110">
        <f t="shared" si="192"/>
        <v>305.22934701711779</v>
      </c>
      <c r="FE64" s="52">
        <f>Summ.!$A73</f>
        <v>55120</v>
      </c>
      <c r="FF64" s="119" t="str">
        <f>Summ.!$B73</f>
        <v>Trash Common Area - Split 20%</v>
      </c>
      <c r="FG64" s="134">
        <f t="shared" si="239"/>
        <v>16200</v>
      </c>
      <c r="FH64" s="110">
        <f t="shared" si="240"/>
        <v>0</v>
      </c>
      <c r="FI64" s="110">
        <f t="shared" si="241"/>
        <v>16200</v>
      </c>
      <c r="FJ64" s="113">
        <f t="shared" si="193"/>
        <v>7.254494888166399E-2</v>
      </c>
      <c r="FK64" s="110">
        <f t="shared" si="194"/>
        <v>1175.2281718829565</v>
      </c>
      <c r="FL64" s="115">
        <f t="shared" si="195"/>
        <v>0</v>
      </c>
      <c r="FM64" s="110">
        <f t="shared" si="196"/>
        <v>1175.2281718829565</v>
      </c>
    </row>
    <row r="65" spans="1:169" ht="12.75" customHeight="1">
      <c r="A65" s="52">
        <f>Summ.!A74</f>
        <v>50220</v>
      </c>
      <c r="B65" s="45" t="str">
        <f>Summ.!B74</f>
        <v>Street Light Maint.</v>
      </c>
      <c r="C65" s="45"/>
      <c r="D65" s="45"/>
      <c r="E65" s="45"/>
      <c r="F65" s="106">
        <f>+Summ.!O74</f>
        <v>0</v>
      </c>
      <c r="G65" s="71">
        <f>Rent!$B$41</f>
        <v>51058</v>
      </c>
      <c r="H65" s="52">
        <f>Summ.!$A74</f>
        <v>50220</v>
      </c>
      <c r="I65" s="119" t="str">
        <f>Summ.!$B74</f>
        <v>Street Light Maint.</v>
      </c>
      <c r="J65" s="134">
        <f t="shared" si="197"/>
        <v>0</v>
      </c>
      <c r="K65" s="110">
        <v>0</v>
      </c>
      <c r="L65" s="110">
        <f t="shared" si="198"/>
        <v>0</v>
      </c>
      <c r="M65" s="113">
        <f t="shared" si="124"/>
        <v>7.5854910102236675E-2</v>
      </c>
      <c r="N65" s="110">
        <f t="shared" si="125"/>
        <v>0</v>
      </c>
      <c r="O65" s="115">
        <f t="shared" si="126"/>
        <v>0</v>
      </c>
      <c r="P65" s="110">
        <f t="shared" si="127"/>
        <v>0</v>
      </c>
      <c r="Q65" s="52">
        <f>Summ.!$A74</f>
        <v>50220</v>
      </c>
      <c r="R65" s="119" t="str">
        <f>Summ.!$B74</f>
        <v>Street Light Maint.</v>
      </c>
      <c r="S65" s="134">
        <f t="shared" si="199"/>
        <v>0</v>
      </c>
      <c r="T65" s="110">
        <f t="shared" si="268"/>
        <v>0</v>
      </c>
      <c r="U65" s="110">
        <f t="shared" si="269"/>
        <v>0</v>
      </c>
      <c r="V65" s="113">
        <f t="shared" si="128"/>
        <v>2.1034901484586158E-2</v>
      </c>
      <c r="W65" s="110">
        <f t="shared" si="129"/>
        <v>0</v>
      </c>
      <c r="X65" s="115">
        <f t="shared" si="130"/>
        <v>0</v>
      </c>
      <c r="Y65" s="110">
        <f t="shared" si="131"/>
        <v>0</v>
      </c>
      <c r="Z65" s="52">
        <f>Summ.!$A74</f>
        <v>50220</v>
      </c>
      <c r="AA65" s="119" t="str">
        <f>Summ.!$B74</f>
        <v>Street Light Maint.</v>
      </c>
      <c r="AB65" s="134">
        <f t="shared" si="202"/>
        <v>0</v>
      </c>
      <c r="AC65" s="110">
        <v>0</v>
      </c>
      <c r="AD65" s="110">
        <f t="shared" si="270"/>
        <v>0</v>
      </c>
      <c r="AE65" s="113">
        <f t="shared" si="132"/>
        <v>3.9171138705002152E-3</v>
      </c>
      <c r="AF65" s="110">
        <f t="shared" si="133"/>
        <v>0</v>
      </c>
      <c r="AG65" s="115">
        <f t="shared" si="134"/>
        <v>0</v>
      </c>
      <c r="AH65" s="110">
        <f t="shared" si="135"/>
        <v>0</v>
      </c>
      <c r="AI65" s="52">
        <f>Summ.!$A74</f>
        <v>50220</v>
      </c>
      <c r="AJ65" s="119" t="str">
        <f>Summ.!$B74</f>
        <v>Street Light Maint.</v>
      </c>
      <c r="AK65" s="134">
        <f t="shared" si="204"/>
        <v>0</v>
      </c>
      <c r="AL65" s="110">
        <f t="shared" si="271"/>
        <v>0</v>
      </c>
      <c r="AM65" s="110">
        <f t="shared" si="272"/>
        <v>0</v>
      </c>
      <c r="AN65" s="113">
        <f t="shared" si="136"/>
        <v>1.0145324924595559E-2</v>
      </c>
      <c r="AO65" s="110">
        <f t="shared" si="137"/>
        <v>0</v>
      </c>
      <c r="AP65" s="115">
        <f t="shared" si="138"/>
        <v>0</v>
      </c>
      <c r="AQ65" s="110">
        <f t="shared" si="139"/>
        <v>0</v>
      </c>
      <c r="AR65" s="52">
        <f>Summ.!$A74</f>
        <v>50220</v>
      </c>
      <c r="AS65" s="119" t="str">
        <f>Summ.!$B74</f>
        <v>Street Light Maint.</v>
      </c>
      <c r="AT65" s="134">
        <f t="shared" si="207"/>
        <v>0</v>
      </c>
      <c r="AU65" s="110">
        <f t="shared" si="273"/>
        <v>0</v>
      </c>
      <c r="AV65" s="110">
        <f t="shared" si="274"/>
        <v>0</v>
      </c>
      <c r="AW65" s="113">
        <f t="shared" si="140"/>
        <v>1.0282423910063065E-2</v>
      </c>
      <c r="AX65" s="110">
        <f t="shared" si="141"/>
        <v>0</v>
      </c>
      <c r="AY65" s="115">
        <f t="shared" si="142"/>
        <v>0</v>
      </c>
      <c r="AZ65" s="110">
        <f t="shared" si="143"/>
        <v>0</v>
      </c>
      <c r="BA65" s="52">
        <f>Summ.!$A74</f>
        <v>50220</v>
      </c>
      <c r="BB65" s="119" t="str">
        <f>Summ.!$B74</f>
        <v>Street Light Maint.</v>
      </c>
      <c r="BC65" s="134">
        <f t="shared" si="210"/>
        <v>0</v>
      </c>
      <c r="BD65" s="110">
        <f t="shared" si="275"/>
        <v>0</v>
      </c>
      <c r="BE65" s="110">
        <f t="shared" si="276"/>
        <v>0</v>
      </c>
      <c r="BF65" s="113" t="e">
        <f t="shared" si="144"/>
        <v>#REF!</v>
      </c>
      <c r="BG65" s="110" t="e">
        <f t="shared" si="145"/>
        <v>#REF!</v>
      </c>
      <c r="BH65" s="115" t="e">
        <f t="shared" si="146"/>
        <v>#REF!</v>
      </c>
      <c r="BI65" s="110" t="e">
        <f t="shared" si="147"/>
        <v>#REF!</v>
      </c>
      <c r="BJ65" s="52">
        <f>Summ.!$A74</f>
        <v>50220</v>
      </c>
      <c r="BK65" s="119" t="str">
        <f>Summ.!$B74</f>
        <v>Street Light Maint.</v>
      </c>
      <c r="BL65" s="134">
        <f t="shared" si="213"/>
        <v>0</v>
      </c>
      <c r="BM65" s="110">
        <f t="shared" si="148"/>
        <v>0</v>
      </c>
      <c r="BN65" s="110">
        <f t="shared" si="277"/>
        <v>0</v>
      </c>
      <c r="BO65" s="113">
        <f t="shared" si="149"/>
        <v>1.9468055936386071E-2</v>
      </c>
      <c r="BP65" s="110">
        <f t="shared" si="150"/>
        <v>0</v>
      </c>
      <c r="BQ65" s="115">
        <f t="shared" si="151"/>
        <v>0</v>
      </c>
      <c r="BR65" s="110">
        <f t="shared" si="152"/>
        <v>0</v>
      </c>
      <c r="BS65" s="52">
        <f>Summ.!$A74</f>
        <v>50220</v>
      </c>
      <c r="BT65" s="119" t="str">
        <f>Summ.!$B74</f>
        <v>Street Light Maint.</v>
      </c>
      <c r="BU65" s="134">
        <f t="shared" si="215"/>
        <v>0</v>
      </c>
      <c r="BV65" s="110">
        <f t="shared" si="278"/>
        <v>0</v>
      </c>
      <c r="BW65" s="110">
        <f t="shared" si="279"/>
        <v>0</v>
      </c>
      <c r="BX65" s="113">
        <f t="shared" si="153"/>
        <v>2.0427748834658623E-2</v>
      </c>
      <c r="BY65" s="110">
        <f t="shared" si="154"/>
        <v>0</v>
      </c>
      <c r="BZ65" s="115">
        <f t="shared" si="155"/>
        <v>0</v>
      </c>
      <c r="CA65" s="110">
        <f t="shared" si="156"/>
        <v>0</v>
      </c>
      <c r="CB65" s="52">
        <f>Summ.!$A74</f>
        <v>50220</v>
      </c>
      <c r="CC65" s="119" t="str">
        <f>Summ.!$B74</f>
        <v>Street Light Maint.</v>
      </c>
      <c r="CD65" s="134">
        <f t="shared" si="218"/>
        <v>0</v>
      </c>
      <c r="CE65" s="110">
        <v>0</v>
      </c>
      <c r="CF65" s="110">
        <f t="shared" si="280"/>
        <v>0</v>
      </c>
      <c r="CG65" s="113">
        <f t="shared" si="157"/>
        <v>6.9058717536918793E-2</v>
      </c>
      <c r="CH65" s="110">
        <f t="shared" si="158"/>
        <v>0</v>
      </c>
      <c r="CI65" s="115">
        <f t="shared" si="159"/>
        <v>0</v>
      </c>
      <c r="CJ65" s="110">
        <f t="shared" si="160"/>
        <v>0</v>
      </c>
      <c r="CK65" s="52">
        <f>Summ.!$A74</f>
        <v>50220</v>
      </c>
      <c r="CL65" s="119" t="str">
        <f>Summ.!$B74</f>
        <v>Street Light Maint.</v>
      </c>
      <c r="CM65" s="134">
        <f t="shared" si="220"/>
        <v>0</v>
      </c>
      <c r="CN65" s="110">
        <f t="shared" si="281"/>
        <v>0</v>
      </c>
      <c r="CO65" s="110">
        <f t="shared" si="282"/>
        <v>0</v>
      </c>
      <c r="CP65" s="113">
        <f t="shared" si="161"/>
        <v>0.21027067256845156</v>
      </c>
      <c r="CQ65" s="110">
        <f t="shared" si="162"/>
        <v>0</v>
      </c>
      <c r="CR65" s="115">
        <f t="shared" si="163"/>
        <v>0</v>
      </c>
      <c r="CS65" s="110">
        <f t="shared" si="164"/>
        <v>0</v>
      </c>
      <c r="CT65" s="52">
        <f>Summ.!$A74</f>
        <v>50220</v>
      </c>
      <c r="CU65" s="119" t="str">
        <f>Summ.!$B74</f>
        <v>Street Light Maint.</v>
      </c>
      <c r="CV65" s="134">
        <f t="shared" si="223"/>
        <v>0</v>
      </c>
      <c r="CW65" s="110">
        <v>0</v>
      </c>
      <c r="CX65" s="110">
        <f t="shared" si="283"/>
        <v>0</v>
      </c>
      <c r="CY65" s="113">
        <f t="shared" si="165"/>
        <v>5.8756708057503229E-2</v>
      </c>
      <c r="CZ65" s="110">
        <f t="shared" si="166"/>
        <v>0</v>
      </c>
      <c r="DA65" s="115">
        <f t="shared" si="167"/>
        <v>0</v>
      </c>
      <c r="DB65" s="110">
        <f t="shared" si="168"/>
        <v>0</v>
      </c>
      <c r="DC65" s="52">
        <f>Summ.!$A74</f>
        <v>50220</v>
      </c>
      <c r="DD65" s="119" t="str">
        <f>Summ.!$B74</f>
        <v>Street Light Maint.</v>
      </c>
      <c r="DE65" s="134">
        <f t="shared" si="225"/>
        <v>0</v>
      </c>
      <c r="DF65" s="110">
        <v>0</v>
      </c>
      <c r="DG65" s="110">
        <f t="shared" si="284"/>
        <v>0</v>
      </c>
      <c r="DH65" s="113">
        <f t="shared" si="169"/>
        <v>9.7927846762505388E-3</v>
      </c>
      <c r="DI65" s="110">
        <f t="shared" si="170"/>
        <v>0</v>
      </c>
      <c r="DJ65" s="115">
        <f t="shared" si="171"/>
        <v>0</v>
      </c>
      <c r="DK65" s="110">
        <f t="shared" si="172"/>
        <v>0</v>
      </c>
      <c r="DL65" s="52">
        <f>Summ.!$A74</f>
        <v>50220</v>
      </c>
      <c r="DM65" s="119" t="str">
        <f>Summ.!$B74</f>
        <v>Street Light Maint.</v>
      </c>
      <c r="DN65" s="134">
        <f t="shared" si="227"/>
        <v>0</v>
      </c>
      <c r="DO65" s="110">
        <v>0</v>
      </c>
      <c r="DP65" s="110">
        <f t="shared" si="285"/>
        <v>0</v>
      </c>
      <c r="DQ65" s="113">
        <f t="shared" si="173"/>
        <v>5.6719808844843123E-2</v>
      </c>
      <c r="DR65" s="110">
        <f t="shared" si="174"/>
        <v>0</v>
      </c>
      <c r="DS65" s="115">
        <f t="shared" si="175"/>
        <v>0</v>
      </c>
      <c r="DT65" s="110">
        <f t="shared" si="176"/>
        <v>0</v>
      </c>
      <c r="DU65" s="52">
        <f>Summ.!$A74</f>
        <v>50220</v>
      </c>
      <c r="DV65" s="119" t="str">
        <f>Summ.!$B74</f>
        <v>Street Light Maint.</v>
      </c>
      <c r="DW65" s="134">
        <f t="shared" si="229"/>
        <v>0</v>
      </c>
      <c r="DX65" s="110">
        <f t="shared" si="286"/>
        <v>0</v>
      </c>
      <c r="DY65" s="110">
        <f t="shared" si="287"/>
        <v>0</v>
      </c>
      <c r="DZ65" s="113">
        <f t="shared" si="177"/>
        <v>0.15695875279094362</v>
      </c>
      <c r="EA65" s="110">
        <f t="shared" si="178"/>
        <v>0</v>
      </c>
      <c r="EB65" s="115">
        <f t="shared" si="179"/>
        <v>0</v>
      </c>
      <c r="EC65" s="110">
        <f t="shared" si="180"/>
        <v>0</v>
      </c>
      <c r="ED65" s="52">
        <f>Summ.!$A74</f>
        <v>50220</v>
      </c>
      <c r="EE65" s="119" t="str">
        <f>Summ.!$B74</f>
        <v>Street Light Maint.</v>
      </c>
      <c r="EF65" s="134">
        <f t="shared" si="232"/>
        <v>0</v>
      </c>
      <c r="EG65" s="110">
        <f t="shared" si="288"/>
        <v>0</v>
      </c>
      <c r="EH65" s="110">
        <f t="shared" si="289"/>
        <v>0</v>
      </c>
      <c r="EI65" s="113">
        <f t="shared" si="181"/>
        <v>0.12730620079125701</v>
      </c>
      <c r="EJ65" s="110">
        <f t="shared" si="182"/>
        <v>0</v>
      </c>
      <c r="EK65" s="115">
        <f t="shared" si="183"/>
        <v>0</v>
      </c>
      <c r="EL65" s="110">
        <f t="shared" si="184"/>
        <v>0</v>
      </c>
      <c r="EM65" s="52">
        <f>Summ.!$A74</f>
        <v>50220</v>
      </c>
      <c r="EN65" s="119" t="str">
        <f>Summ.!$B74</f>
        <v>Street Light Maint.</v>
      </c>
      <c r="EO65" s="134">
        <f t="shared" si="235"/>
        <v>0</v>
      </c>
      <c r="EP65" s="110">
        <v>0</v>
      </c>
      <c r="EQ65" s="110">
        <f t="shared" si="290"/>
        <v>0</v>
      </c>
      <c r="ER65" s="113">
        <f t="shared" si="185"/>
        <v>3.9034039719534647E-2</v>
      </c>
      <c r="ES65" s="110">
        <f t="shared" si="186"/>
        <v>0</v>
      </c>
      <c r="ET65" s="115">
        <f t="shared" si="187"/>
        <v>0</v>
      </c>
      <c r="EU65" s="110">
        <f t="shared" si="188"/>
        <v>0</v>
      </c>
      <c r="EV65" s="52">
        <f>Summ.!$A74</f>
        <v>50220</v>
      </c>
      <c r="EW65" s="119" t="str">
        <f>Summ.!$B74</f>
        <v>Street Light Maint.</v>
      </c>
      <c r="EX65" s="134">
        <f t="shared" si="237"/>
        <v>0</v>
      </c>
      <c r="EY65" s="110">
        <v>0</v>
      </c>
      <c r="EZ65" s="110">
        <f t="shared" si="238"/>
        <v>0</v>
      </c>
      <c r="FA65" s="113">
        <f t="shared" si="189"/>
        <v>1.8841317717106038E-2</v>
      </c>
      <c r="FB65" s="110">
        <f t="shared" si="190"/>
        <v>0</v>
      </c>
      <c r="FC65" s="115">
        <f t="shared" si="191"/>
        <v>0</v>
      </c>
      <c r="FD65" s="110">
        <f t="shared" si="192"/>
        <v>0</v>
      </c>
      <c r="FE65" s="52">
        <f>Summ.!$A74</f>
        <v>50220</v>
      </c>
      <c r="FF65" s="119" t="str">
        <f>Summ.!$B74</f>
        <v>Street Light Maint.</v>
      </c>
      <c r="FG65" s="134">
        <f t="shared" si="239"/>
        <v>0</v>
      </c>
      <c r="FH65" s="110">
        <f t="shared" si="240"/>
        <v>0</v>
      </c>
      <c r="FI65" s="110">
        <f t="shared" si="241"/>
        <v>0</v>
      </c>
      <c r="FJ65" s="113">
        <f t="shared" si="193"/>
        <v>7.254494888166399E-2</v>
      </c>
      <c r="FK65" s="110">
        <f t="shared" si="194"/>
        <v>0</v>
      </c>
      <c r="FL65" s="115">
        <f t="shared" si="195"/>
        <v>0</v>
      </c>
      <c r="FM65" s="110">
        <f t="shared" si="196"/>
        <v>0</v>
      </c>
    </row>
    <row r="66" spans="1:169" ht="12.75" customHeight="1">
      <c r="A66" s="52">
        <f>Summ.!A75</f>
        <v>55160</v>
      </c>
      <c r="B66" s="45" t="str">
        <f>Summ.!B75</f>
        <v>Gas</v>
      </c>
      <c r="C66" s="45"/>
      <c r="D66" s="45"/>
      <c r="E66" s="45"/>
      <c r="F66" s="106">
        <f>+Summ.!O75</f>
        <v>1344</v>
      </c>
      <c r="G66" s="71">
        <f>Rent!$B$41</f>
        <v>51058</v>
      </c>
      <c r="H66" s="52">
        <f>Summ.!$A75</f>
        <v>55160</v>
      </c>
      <c r="I66" s="119" t="str">
        <f>Summ.!$B75</f>
        <v>Gas</v>
      </c>
      <c r="J66" s="134">
        <f t="shared" si="197"/>
        <v>1344</v>
      </c>
      <c r="K66" s="110">
        <v>0</v>
      </c>
      <c r="L66" s="110">
        <f t="shared" si="198"/>
        <v>1344</v>
      </c>
      <c r="M66" s="113">
        <f t="shared" si="124"/>
        <v>7.5854910102236675E-2</v>
      </c>
      <c r="N66" s="110">
        <f t="shared" si="125"/>
        <v>101.94899917740609</v>
      </c>
      <c r="O66" s="115">
        <f t="shared" si="126"/>
        <v>0</v>
      </c>
      <c r="P66" s="110">
        <f t="shared" si="127"/>
        <v>101.94899917740609</v>
      </c>
      <c r="Q66" s="52">
        <f>Summ.!$A75</f>
        <v>55160</v>
      </c>
      <c r="R66" s="119" t="str">
        <f>Summ.!$B75</f>
        <v>Gas</v>
      </c>
      <c r="S66" s="134">
        <f t="shared" si="199"/>
        <v>1344</v>
      </c>
      <c r="T66" s="110">
        <f t="shared" si="268"/>
        <v>0</v>
      </c>
      <c r="U66" s="110">
        <f t="shared" si="269"/>
        <v>1344</v>
      </c>
      <c r="V66" s="113">
        <f t="shared" si="128"/>
        <v>2.1034901484586158E-2</v>
      </c>
      <c r="W66" s="110">
        <f t="shared" si="129"/>
        <v>28.270907595283795</v>
      </c>
      <c r="X66" s="115">
        <f t="shared" si="130"/>
        <v>0</v>
      </c>
      <c r="Y66" s="110">
        <f t="shared" si="131"/>
        <v>28.270907595283795</v>
      </c>
      <c r="Z66" s="52">
        <f>Summ.!$A75</f>
        <v>55160</v>
      </c>
      <c r="AA66" s="119" t="str">
        <f>Summ.!$B75</f>
        <v>Gas</v>
      </c>
      <c r="AB66" s="134">
        <f t="shared" si="202"/>
        <v>1344</v>
      </c>
      <c r="AC66" s="110">
        <v>0</v>
      </c>
      <c r="AD66" s="110">
        <f t="shared" si="270"/>
        <v>1344</v>
      </c>
      <c r="AE66" s="113">
        <f t="shared" si="132"/>
        <v>3.9171138705002152E-3</v>
      </c>
      <c r="AF66" s="110">
        <f t="shared" si="133"/>
        <v>5.2646010419522895</v>
      </c>
      <c r="AG66" s="115">
        <f t="shared" si="134"/>
        <v>0</v>
      </c>
      <c r="AH66" s="110">
        <f t="shared" si="135"/>
        <v>5.2646010419522895</v>
      </c>
      <c r="AI66" s="52">
        <f>Summ.!$A75</f>
        <v>55160</v>
      </c>
      <c r="AJ66" s="119" t="str">
        <f>Summ.!$B75</f>
        <v>Gas</v>
      </c>
      <c r="AK66" s="134">
        <f t="shared" si="204"/>
        <v>1344</v>
      </c>
      <c r="AL66" s="110">
        <f t="shared" si="271"/>
        <v>0</v>
      </c>
      <c r="AM66" s="110">
        <f t="shared" si="272"/>
        <v>1344</v>
      </c>
      <c r="AN66" s="113">
        <f t="shared" si="136"/>
        <v>1.0145324924595559E-2</v>
      </c>
      <c r="AO66" s="110">
        <f t="shared" si="137"/>
        <v>13.635316698656432</v>
      </c>
      <c r="AP66" s="115">
        <f t="shared" si="138"/>
        <v>0</v>
      </c>
      <c r="AQ66" s="110">
        <f t="shared" si="139"/>
        <v>13.635316698656432</v>
      </c>
      <c r="AR66" s="52">
        <f>Summ.!$A75</f>
        <v>55160</v>
      </c>
      <c r="AS66" s="119" t="str">
        <f>Summ.!$B75</f>
        <v>Gas</v>
      </c>
      <c r="AT66" s="134">
        <f t="shared" si="207"/>
        <v>1344</v>
      </c>
      <c r="AU66" s="110">
        <f t="shared" si="273"/>
        <v>0</v>
      </c>
      <c r="AV66" s="110">
        <f t="shared" si="274"/>
        <v>1344</v>
      </c>
      <c r="AW66" s="113">
        <f t="shared" si="140"/>
        <v>1.0282423910063065E-2</v>
      </c>
      <c r="AX66" s="110">
        <f t="shared" si="141"/>
        <v>13.81957773512476</v>
      </c>
      <c r="AY66" s="115">
        <f t="shared" si="142"/>
        <v>0</v>
      </c>
      <c r="AZ66" s="110">
        <f t="shared" si="143"/>
        <v>13.81957773512476</v>
      </c>
      <c r="BA66" s="52">
        <f>Summ.!$A75</f>
        <v>55160</v>
      </c>
      <c r="BB66" s="119" t="str">
        <f>Summ.!$B75</f>
        <v>Gas</v>
      </c>
      <c r="BC66" s="134">
        <f t="shared" si="210"/>
        <v>1344</v>
      </c>
      <c r="BD66" s="110">
        <f t="shared" si="275"/>
        <v>0</v>
      </c>
      <c r="BE66" s="110">
        <f t="shared" si="276"/>
        <v>1344</v>
      </c>
      <c r="BF66" s="113" t="e">
        <f t="shared" si="144"/>
        <v>#REF!</v>
      </c>
      <c r="BG66" s="110" t="e">
        <f t="shared" si="145"/>
        <v>#REF!</v>
      </c>
      <c r="BH66" s="115" t="e">
        <f t="shared" si="146"/>
        <v>#REF!</v>
      </c>
      <c r="BI66" s="110" t="e">
        <f t="shared" si="147"/>
        <v>#REF!</v>
      </c>
      <c r="BJ66" s="52">
        <f>Summ.!$A75</f>
        <v>55160</v>
      </c>
      <c r="BK66" s="119" t="str">
        <f>Summ.!$B75</f>
        <v>Gas</v>
      </c>
      <c r="BL66" s="134">
        <f t="shared" si="213"/>
        <v>1344</v>
      </c>
      <c r="BM66" s="110">
        <f t="shared" si="148"/>
        <v>0</v>
      </c>
      <c r="BN66" s="110">
        <f t="shared" si="277"/>
        <v>1344</v>
      </c>
      <c r="BO66" s="113">
        <f t="shared" si="149"/>
        <v>1.9468055936386071E-2</v>
      </c>
      <c r="BP66" s="110">
        <f t="shared" si="150"/>
        <v>26.165067178502881</v>
      </c>
      <c r="BQ66" s="115">
        <f t="shared" si="151"/>
        <v>0</v>
      </c>
      <c r="BR66" s="110">
        <f t="shared" si="152"/>
        <v>26.165067178502881</v>
      </c>
      <c r="BS66" s="52">
        <f>Summ.!$A75</f>
        <v>55160</v>
      </c>
      <c r="BT66" s="119" t="str">
        <f>Summ.!$B75</f>
        <v>Gas</v>
      </c>
      <c r="BU66" s="134">
        <f t="shared" si="215"/>
        <v>1344</v>
      </c>
      <c r="BV66" s="110">
        <f t="shared" si="278"/>
        <v>0</v>
      </c>
      <c r="BW66" s="110">
        <f t="shared" si="279"/>
        <v>1344</v>
      </c>
      <c r="BX66" s="113">
        <f t="shared" si="153"/>
        <v>2.0427748834658623E-2</v>
      </c>
      <c r="BY66" s="110">
        <f t="shared" si="154"/>
        <v>27.454894433781188</v>
      </c>
      <c r="BZ66" s="115">
        <f t="shared" si="155"/>
        <v>0</v>
      </c>
      <c r="CA66" s="110">
        <f t="shared" si="156"/>
        <v>27.454894433781188</v>
      </c>
      <c r="CB66" s="52">
        <f>Summ.!$A75</f>
        <v>55160</v>
      </c>
      <c r="CC66" s="119" t="str">
        <f>Summ.!$B75</f>
        <v>Gas</v>
      </c>
      <c r="CD66" s="134">
        <f t="shared" si="218"/>
        <v>1344</v>
      </c>
      <c r="CE66" s="110">
        <v>0</v>
      </c>
      <c r="CF66" s="110">
        <f t="shared" si="280"/>
        <v>1344</v>
      </c>
      <c r="CG66" s="113">
        <f t="shared" si="157"/>
        <v>6.9058717536918793E-2</v>
      </c>
      <c r="CH66" s="110">
        <f t="shared" si="158"/>
        <v>92.814916369618857</v>
      </c>
      <c r="CI66" s="115">
        <f t="shared" si="159"/>
        <v>0</v>
      </c>
      <c r="CJ66" s="110">
        <f t="shared" si="160"/>
        <v>92.814916369618857</v>
      </c>
      <c r="CK66" s="52">
        <f>Summ.!$A75</f>
        <v>55160</v>
      </c>
      <c r="CL66" s="119" t="str">
        <f>Summ.!$B75</f>
        <v>Gas</v>
      </c>
      <c r="CM66" s="134">
        <f t="shared" si="220"/>
        <v>1344</v>
      </c>
      <c r="CN66" s="110">
        <f t="shared" si="281"/>
        <v>0</v>
      </c>
      <c r="CO66" s="110">
        <f t="shared" si="282"/>
        <v>1344</v>
      </c>
      <c r="CP66" s="113">
        <f t="shared" si="161"/>
        <v>0.21027067256845156</v>
      </c>
      <c r="CQ66" s="110">
        <f t="shared" si="162"/>
        <v>282.60378393199892</v>
      </c>
      <c r="CR66" s="115">
        <f t="shared" si="163"/>
        <v>0</v>
      </c>
      <c r="CS66" s="110">
        <f t="shared" si="164"/>
        <v>282.60378393199892</v>
      </c>
      <c r="CT66" s="52">
        <f>Summ.!$A75</f>
        <v>55160</v>
      </c>
      <c r="CU66" s="119" t="str">
        <f>Summ.!$B75</f>
        <v>Gas</v>
      </c>
      <c r="CV66" s="134">
        <f t="shared" si="223"/>
        <v>1344</v>
      </c>
      <c r="CW66" s="110">
        <v>0</v>
      </c>
      <c r="CX66" s="110">
        <f t="shared" si="283"/>
        <v>1344</v>
      </c>
      <c r="CY66" s="113">
        <f t="shared" si="165"/>
        <v>5.8756708057503229E-2</v>
      </c>
      <c r="CZ66" s="110">
        <f t="shared" si="166"/>
        <v>78.969015629284343</v>
      </c>
      <c r="DA66" s="115">
        <f t="shared" si="167"/>
        <v>0</v>
      </c>
      <c r="DB66" s="110">
        <f t="shared" si="168"/>
        <v>78.969015629284343</v>
      </c>
      <c r="DC66" s="52">
        <f>Summ.!$A75</f>
        <v>55160</v>
      </c>
      <c r="DD66" s="119" t="str">
        <f>Summ.!$B75</f>
        <v>Gas</v>
      </c>
      <c r="DE66" s="134">
        <f t="shared" si="225"/>
        <v>1344</v>
      </c>
      <c r="DF66" s="110">
        <v>0</v>
      </c>
      <c r="DG66" s="110">
        <f t="shared" si="284"/>
        <v>1344</v>
      </c>
      <c r="DH66" s="113">
        <f t="shared" si="169"/>
        <v>9.7927846762505388E-3</v>
      </c>
      <c r="DI66" s="110">
        <f t="shared" si="170"/>
        <v>13.161502604880724</v>
      </c>
      <c r="DJ66" s="115">
        <f t="shared" si="171"/>
        <v>0</v>
      </c>
      <c r="DK66" s="110">
        <f t="shared" si="172"/>
        <v>13.161502604880724</v>
      </c>
      <c r="DL66" s="52">
        <f>Summ.!$A75</f>
        <v>55160</v>
      </c>
      <c r="DM66" s="119" t="str">
        <f>Summ.!$B75</f>
        <v>Gas</v>
      </c>
      <c r="DN66" s="134">
        <f t="shared" si="227"/>
        <v>1344</v>
      </c>
      <c r="DO66" s="110">
        <v>0</v>
      </c>
      <c r="DP66" s="110">
        <f t="shared" si="285"/>
        <v>1344</v>
      </c>
      <c r="DQ66" s="113">
        <f t="shared" si="173"/>
        <v>5.6719808844843123E-2</v>
      </c>
      <c r="DR66" s="110">
        <f t="shared" si="174"/>
        <v>76.231423087469153</v>
      </c>
      <c r="DS66" s="115">
        <f t="shared" si="175"/>
        <v>0</v>
      </c>
      <c r="DT66" s="110">
        <f t="shared" si="176"/>
        <v>76.231423087469153</v>
      </c>
      <c r="DU66" s="52">
        <f>Summ.!$A75</f>
        <v>55160</v>
      </c>
      <c r="DV66" s="119" t="str">
        <f>Summ.!$B75</f>
        <v>Gas</v>
      </c>
      <c r="DW66" s="134">
        <f t="shared" si="229"/>
        <v>1344</v>
      </c>
      <c r="DX66" s="110">
        <f t="shared" si="286"/>
        <v>0</v>
      </c>
      <c r="DY66" s="110">
        <f t="shared" si="287"/>
        <v>1344</v>
      </c>
      <c r="DZ66" s="113">
        <f t="shared" si="177"/>
        <v>0.15695875279094362</v>
      </c>
      <c r="EA66" s="110">
        <f t="shared" si="178"/>
        <v>210.95256375102824</v>
      </c>
      <c r="EB66" s="115">
        <f t="shared" si="179"/>
        <v>0</v>
      </c>
      <c r="EC66" s="110">
        <f t="shared" si="180"/>
        <v>210.95256375102824</v>
      </c>
      <c r="ED66" s="52">
        <f>Summ.!$A75</f>
        <v>55160</v>
      </c>
      <c r="EE66" s="119" t="str">
        <f>Summ.!$B75</f>
        <v>Gas</v>
      </c>
      <c r="EF66" s="134">
        <f t="shared" si="232"/>
        <v>1344</v>
      </c>
      <c r="EG66" s="110">
        <f t="shared" si="288"/>
        <v>0</v>
      </c>
      <c r="EH66" s="110">
        <f t="shared" si="289"/>
        <v>1344</v>
      </c>
      <c r="EI66" s="113">
        <f t="shared" si="181"/>
        <v>0.12730620079125701</v>
      </c>
      <c r="EJ66" s="110">
        <f t="shared" si="182"/>
        <v>171.09953386344944</v>
      </c>
      <c r="EK66" s="115">
        <f t="shared" si="183"/>
        <v>25.664930079517415</v>
      </c>
      <c r="EL66" s="110">
        <f t="shared" si="184"/>
        <v>196.76446394296684</v>
      </c>
      <c r="EM66" s="52">
        <f>Summ.!$A75</f>
        <v>55160</v>
      </c>
      <c r="EN66" s="119" t="str">
        <f>Summ.!$B75</f>
        <v>Gas</v>
      </c>
      <c r="EO66" s="134">
        <f t="shared" si="235"/>
        <v>1344</v>
      </c>
      <c r="EP66" s="110">
        <v>0</v>
      </c>
      <c r="EQ66" s="110">
        <f t="shared" si="290"/>
        <v>1344</v>
      </c>
      <c r="ER66" s="113">
        <f t="shared" si="185"/>
        <v>3.9034039719534647E-2</v>
      </c>
      <c r="ES66" s="110">
        <f t="shared" si="186"/>
        <v>52.461749383054567</v>
      </c>
      <c r="ET66" s="115">
        <f t="shared" si="187"/>
        <v>0</v>
      </c>
      <c r="EU66" s="110">
        <f t="shared" si="188"/>
        <v>52.461749383054567</v>
      </c>
      <c r="EV66" s="52">
        <f>Summ.!$A75</f>
        <v>55160</v>
      </c>
      <c r="EW66" s="119" t="str">
        <f>Summ.!$B75</f>
        <v>Gas</v>
      </c>
      <c r="EX66" s="134">
        <f t="shared" si="237"/>
        <v>1344</v>
      </c>
      <c r="EY66" s="110">
        <v>0</v>
      </c>
      <c r="EZ66" s="110">
        <f t="shared" si="238"/>
        <v>1344</v>
      </c>
      <c r="FA66" s="113">
        <f t="shared" si="189"/>
        <v>1.8841317717106038E-2</v>
      </c>
      <c r="FB66" s="110">
        <f t="shared" si="190"/>
        <v>25.322731011790516</v>
      </c>
      <c r="FC66" s="115">
        <f t="shared" si="191"/>
        <v>0</v>
      </c>
      <c r="FD66" s="110">
        <f t="shared" si="192"/>
        <v>25.322731011790516</v>
      </c>
      <c r="FE66" s="52">
        <f>Summ.!$A75</f>
        <v>55160</v>
      </c>
      <c r="FF66" s="119" t="str">
        <f>Summ.!$B75</f>
        <v>Gas</v>
      </c>
      <c r="FG66" s="134">
        <f t="shared" si="239"/>
        <v>1344</v>
      </c>
      <c r="FH66" s="110">
        <f t="shared" si="240"/>
        <v>0</v>
      </c>
      <c r="FI66" s="110">
        <f t="shared" si="241"/>
        <v>1344</v>
      </c>
      <c r="FJ66" s="113">
        <f t="shared" si="193"/>
        <v>7.254494888166399E-2</v>
      </c>
      <c r="FK66" s="110">
        <f t="shared" si="194"/>
        <v>97.500411296956401</v>
      </c>
      <c r="FL66" s="115">
        <f t="shared" si="195"/>
        <v>0</v>
      </c>
      <c r="FM66" s="110">
        <f t="shared" si="196"/>
        <v>97.500411296956401</v>
      </c>
    </row>
    <row r="67" spans="1:169" ht="12.75" customHeight="1">
      <c r="A67" s="52">
        <f>Summ.!A76</f>
        <v>55110</v>
      </c>
      <c r="B67" s="45" t="str">
        <f>Summ.!B76</f>
        <v>Electric/Common Area</v>
      </c>
      <c r="C67" s="45"/>
      <c r="D67" s="45"/>
      <c r="E67" s="45"/>
      <c r="F67" s="106">
        <f>+Summ.!O76</f>
        <v>33720</v>
      </c>
      <c r="G67" s="71">
        <f>Rent!$B$41</f>
        <v>51058</v>
      </c>
      <c r="H67" s="52">
        <f>Summ.!$A76</f>
        <v>55110</v>
      </c>
      <c r="I67" s="119" t="str">
        <f>Summ.!$B76</f>
        <v>Electric/Common Area</v>
      </c>
      <c r="J67" s="134">
        <f t="shared" si="197"/>
        <v>33720</v>
      </c>
      <c r="K67" s="110">
        <v>0</v>
      </c>
      <c r="L67" s="110">
        <f t="shared" si="198"/>
        <v>33720</v>
      </c>
      <c r="M67" s="113">
        <f t="shared" si="124"/>
        <v>7.5854910102236675E-2</v>
      </c>
      <c r="N67" s="110">
        <f t="shared" si="125"/>
        <v>2557.8275686474208</v>
      </c>
      <c r="O67" s="115">
        <f t="shared" si="126"/>
        <v>0</v>
      </c>
      <c r="P67" s="110">
        <f t="shared" si="127"/>
        <v>2557.8275686474208</v>
      </c>
      <c r="Q67" s="52">
        <f>Summ.!$A76</f>
        <v>55110</v>
      </c>
      <c r="R67" s="119" t="str">
        <f>Summ.!$B76</f>
        <v>Electric/Common Area</v>
      </c>
      <c r="S67" s="134">
        <f t="shared" si="199"/>
        <v>33720</v>
      </c>
      <c r="T67" s="110">
        <f t="shared" si="268"/>
        <v>0</v>
      </c>
      <c r="U67" s="110">
        <f t="shared" si="269"/>
        <v>33720</v>
      </c>
      <c r="V67" s="113">
        <f t="shared" si="128"/>
        <v>2.1034901484586158E-2</v>
      </c>
      <c r="W67" s="110">
        <f t="shared" si="129"/>
        <v>709.29687806024526</v>
      </c>
      <c r="X67" s="115">
        <f t="shared" si="130"/>
        <v>0</v>
      </c>
      <c r="Y67" s="110">
        <f t="shared" si="131"/>
        <v>709.29687806024526</v>
      </c>
      <c r="Z67" s="52">
        <f>Summ.!$A76</f>
        <v>55110</v>
      </c>
      <c r="AA67" s="119" t="str">
        <f>Summ.!$B76</f>
        <v>Electric/Common Area</v>
      </c>
      <c r="AB67" s="134">
        <f t="shared" si="202"/>
        <v>33720</v>
      </c>
      <c r="AC67" s="110">
        <v>0</v>
      </c>
      <c r="AD67" s="110">
        <f t="shared" si="270"/>
        <v>33720</v>
      </c>
      <c r="AE67" s="113">
        <f t="shared" si="132"/>
        <v>3.9171138705002152E-3</v>
      </c>
      <c r="AF67" s="110">
        <f t="shared" si="133"/>
        <v>132.08507971326725</v>
      </c>
      <c r="AG67" s="115">
        <f t="shared" si="134"/>
        <v>0</v>
      </c>
      <c r="AH67" s="110">
        <f t="shared" si="135"/>
        <v>132.08507971326725</v>
      </c>
      <c r="AI67" s="52">
        <f>Summ.!$A76</f>
        <v>55110</v>
      </c>
      <c r="AJ67" s="119" t="str">
        <f>Summ.!$B76</f>
        <v>Electric/Common Area</v>
      </c>
      <c r="AK67" s="134">
        <f t="shared" si="204"/>
        <v>33720</v>
      </c>
      <c r="AL67" s="110">
        <f t="shared" si="271"/>
        <v>0</v>
      </c>
      <c r="AM67" s="110">
        <f t="shared" si="272"/>
        <v>33720</v>
      </c>
      <c r="AN67" s="113">
        <f t="shared" si="136"/>
        <v>1.0145324924595559E-2</v>
      </c>
      <c r="AO67" s="110">
        <f t="shared" si="137"/>
        <v>342.10035645736224</v>
      </c>
      <c r="AP67" s="115">
        <f t="shared" si="138"/>
        <v>0</v>
      </c>
      <c r="AQ67" s="110">
        <f t="shared" si="139"/>
        <v>342.10035645736224</v>
      </c>
      <c r="AR67" s="52">
        <f>Summ.!$A76</f>
        <v>55110</v>
      </c>
      <c r="AS67" s="119" t="str">
        <f>Summ.!$B76</f>
        <v>Electric/Common Area</v>
      </c>
      <c r="AT67" s="134">
        <f t="shared" si="207"/>
        <v>33720</v>
      </c>
      <c r="AU67" s="110">
        <f t="shared" si="273"/>
        <v>0</v>
      </c>
      <c r="AV67" s="110">
        <f t="shared" si="274"/>
        <v>33720</v>
      </c>
      <c r="AW67" s="113">
        <f t="shared" si="140"/>
        <v>1.0282423910063065E-2</v>
      </c>
      <c r="AX67" s="110">
        <f t="shared" si="141"/>
        <v>346.72333424732659</v>
      </c>
      <c r="AY67" s="115">
        <f t="shared" si="142"/>
        <v>0</v>
      </c>
      <c r="AZ67" s="110">
        <f t="shared" si="143"/>
        <v>346.72333424732659</v>
      </c>
      <c r="BA67" s="52">
        <f>Summ.!$A76</f>
        <v>55110</v>
      </c>
      <c r="BB67" s="119" t="str">
        <f>Summ.!$B76</f>
        <v>Electric/Common Area</v>
      </c>
      <c r="BC67" s="134">
        <f t="shared" si="210"/>
        <v>33720</v>
      </c>
      <c r="BD67" s="110">
        <f t="shared" si="275"/>
        <v>0</v>
      </c>
      <c r="BE67" s="110">
        <f t="shared" si="276"/>
        <v>33720</v>
      </c>
      <c r="BF67" s="113" t="e">
        <f t="shared" si="144"/>
        <v>#REF!</v>
      </c>
      <c r="BG67" s="110" t="e">
        <f t="shared" si="145"/>
        <v>#REF!</v>
      </c>
      <c r="BH67" s="115" t="e">
        <f t="shared" si="146"/>
        <v>#REF!</v>
      </c>
      <c r="BI67" s="110" t="e">
        <f t="shared" si="147"/>
        <v>#REF!</v>
      </c>
      <c r="BJ67" s="52">
        <f>Summ.!$A76</f>
        <v>55110</v>
      </c>
      <c r="BK67" s="119" t="str">
        <f>Summ.!$B76</f>
        <v>Electric/Common Area</v>
      </c>
      <c r="BL67" s="134">
        <f t="shared" si="213"/>
        <v>33720</v>
      </c>
      <c r="BM67" s="110">
        <f t="shared" si="148"/>
        <v>0</v>
      </c>
      <c r="BN67" s="110">
        <f t="shared" si="277"/>
        <v>33720</v>
      </c>
      <c r="BO67" s="113">
        <f t="shared" si="149"/>
        <v>1.9468055936386071E-2</v>
      </c>
      <c r="BP67" s="110">
        <f t="shared" si="150"/>
        <v>656.46284617493836</v>
      </c>
      <c r="BQ67" s="115">
        <f t="shared" si="151"/>
        <v>0</v>
      </c>
      <c r="BR67" s="110">
        <f t="shared" si="152"/>
        <v>656.46284617493836</v>
      </c>
      <c r="BS67" s="52">
        <f>Summ.!$A76</f>
        <v>55110</v>
      </c>
      <c r="BT67" s="119" t="str">
        <f>Summ.!$B76</f>
        <v>Electric/Common Area</v>
      </c>
      <c r="BU67" s="134">
        <f t="shared" si="215"/>
        <v>33720</v>
      </c>
      <c r="BV67" s="110">
        <f t="shared" si="278"/>
        <v>0</v>
      </c>
      <c r="BW67" s="110">
        <f t="shared" si="279"/>
        <v>33720</v>
      </c>
      <c r="BX67" s="113">
        <f t="shared" si="153"/>
        <v>2.0427748834658623E-2</v>
      </c>
      <c r="BY67" s="110">
        <f t="shared" si="154"/>
        <v>688.82369070468872</v>
      </c>
      <c r="BZ67" s="115">
        <f t="shared" si="155"/>
        <v>0</v>
      </c>
      <c r="CA67" s="110">
        <f t="shared" si="156"/>
        <v>688.82369070468872</v>
      </c>
      <c r="CB67" s="52">
        <f>Summ.!$A76</f>
        <v>55110</v>
      </c>
      <c r="CC67" s="119" t="str">
        <f>Summ.!$B76</f>
        <v>Electric/Common Area</v>
      </c>
      <c r="CD67" s="134">
        <f t="shared" si="218"/>
        <v>33720</v>
      </c>
      <c r="CE67" s="110">
        <v>0</v>
      </c>
      <c r="CF67" s="110">
        <f t="shared" si="280"/>
        <v>33720</v>
      </c>
      <c r="CG67" s="113">
        <f t="shared" si="157"/>
        <v>6.9058717536918793E-2</v>
      </c>
      <c r="CH67" s="110">
        <f t="shared" si="158"/>
        <v>2328.6599553449018</v>
      </c>
      <c r="CI67" s="115">
        <f t="shared" si="159"/>
        <v>0</v>
      </c>
      <c r="CJ67" s="110">
        <f t="shared" si="160"/>
        <v>2328.6599553449018</v>
      </c>
      <c r="CK67" s="52">
        <f>Summ.!$A76</f>
        <v>55110</v>
      </c>
      <c r="CL67" s="119" t="str">
        <f>Summ.!$B76</f>
        <v>Electric/Common Area</v>
      </c>
      <c r="CM67" s="134">
        <f t="shared" si="220"/>
        <v>33720</v>
      </c>
      <c r="CN67" s="110">
        <f t="shared" si="281"/>
        <v>0</v>
      </c>
      <c r="CO67" s="110">
        <f t="shared" si="282"/>
        <v>33720</v>
      </c>
      <c r="CP67" s="113">
        <f t="shared" si="161"/>
        <v>0.21027067256845156</v>
      </c>
      <c r="CQ67" s="110">
        <f t="shared" si="162"/>
        <v>7090.327079008186</v>
      </c>
      <c r="CR67" s="115">
        <f t="shared" si="163"/>
        <v>0</v>
      </c>
      <c r="CS67" s="110">
        <f t="shared" si="164"/>
        <v>7090.327079008186</v>
      </c>
      <c r="CT67" s="52">
        <f>Summ.!$A76</f>
        <v>55110</v>
      </c>
      <c r="CU67" s="119" t="str">
        <f>Summ.!$B76</f>
        <v>Electric/Common Area</v>
      </c>
      <c r="CV67" s="134">
        <f t="shared" si="223"/>
        <v>33720</v>
      </c>
      <c r="CW67" s="110">
        <v>0</v>
      </c>
      <c r="CX67" s="110">
        <f t="shared" si="283"/>
        <v>33720</v>
      </c>
      <c r="CY67" s="113">
        <f t="shared" si="165"/>
        <v>5.8756708057503229E-2</v>
      </c>
      <c r="CZ67" s="110">
        <f t="shared" si="166"/>
        <v>1981.2761956990089</v>
      </c>
      <c r="DA67" s="115">
        <f t="shared" si="167"/>
        <v>0</v>
      </c>
      <c r="DB67" s="110">
        <f t="shared" si="168"/>
        <v>1981.2761956990089</v>
      </c>
      <c r="DC67" s="52">
        <f>Summ.!$A76</f>
        <v>55110</v>
      </c>
      <c r="DD67" s="119" t="str">
        <f>Summ.!$B76</f>
        <v>Electric/Common Area</v>
      </c>
      <c r="DE67" s="134">
        <f t="shared" si="225"/>
        <v>33720</v>
      </c>
      <c r="DF67" s="110">
        <v>0</v>
      </c>
      <c r="DG67" s="110">
        <f t="shared" si="284"/>
        <v>33720</v>
      </c>
      <c r="DH67" s="113">
        <f t="shared" si="169"/>
        <v>9.7927846762505388E-3</v>
      </c>
      <c r="DI67" s="110">
        <f t="shared" si="170"/>
        <v>330.21269928316815</v>
      </c>
      <c r="DJ67" s="115">
        <f t="shared" si="171"/>
        <v>0</v>
      </c>
      <c r="DK67" s="110">
        <f t="shared" si="172"/>
        <v>330.21269928316815</v>
      </c>
      <c r="DL67" s="52">
        <f>Summ.!$A76</f>
        <v>55110</v>
      </c>
      <c r="DM67" s="119" t="str">
        <f>Summ.!$B76</f>
        <v>Electric/Common Area</v>
      </c>
      <c r="DN67" s="134">
        <f t="shared" si="227"/>
        <v>33720</v>
      </c>
      <c r="DO67" s="110">
        <v>0</v>
      </c>
      <c r="DP67" s="110">
        <f t="shared" si="285"/>
        <v>33720</v>
      </c>
      <c r="DQ67" s="113">
        <f t="shared" si="173"/>
        <v>5.6719808844843123E-2</v>
      </c>
      <c r="DR67" s="110">
        <f t="shared" si="174"/>
        <v>1912.5919542481101</v>
      </c>
      <c r="DS67" s="115">
        <f t="shared" si="175"/>
        <v>0</v>
      </c>
      <c r="DT67" s="110">
        <f t="shared" si="176"/>
        <v>1912.5919542481101</v>
      </c>
      <c r="DU67" s="52">
        <f>Summ.!$A76</f>
        <v>55110</v>
      </c>
      <c r="DV67" s="119" t="str">
        <f>Summ.!$B76</f>
        <v>Electric/Common Area</v>
      </c>
      <c r="DW67" s="134">
        <f t="shared" si="229"/>
        <v>33720</v>
      </c>
      <c r="DX67" s="110">
        <f t="shared" si="286"/>
        <v>0</v>
      </c>
      <c r="DY67" s="110">
        <f t="shared" si="287"/>
        <v>33720</v>
      </c>
      <c r="DZ67" s="113">
        <f t="shared" si="177"/>
        <v>0.15695875279094362</v>
      </c>
      <c r="EA67" s="110">
        <f t="shared" si="178"/>
        <v>5292.6491441106191</v>
      </c>
      <c r="EB67" s="115">
        <f t="shared" si="179"/>
        <v>0</v>
      </c>
      <c r="EC67" s="110">
        <f t="shared" si="180"/>
        <v>5292.6491441106191</v>
      </c>
      <c r="ED67" s="52">
        <f>Summ.!$A76</f>
        <v>55110</v>
      </c>
      <c r="EE67" s="119" t="str">
        <f>Summ.!$B76</f>
        <v>Electric/Common Area</v>
      </c>
      <c r="EF67" s="134">
        <f t="shared" si="232"/>
        <v>33720</v>
      </c>
      <c r="EG67" s="110">
        <f t="shared" si="288"/>
        <v>0</v>
      </c>
      <c r="EH67" s="110">
        <f t="shared" si="289"/>
        <v>33720</v>
      </c>
      <c r="EI67" s="113">
        <f t="shared" si="181"/>
        <v>0.12730620079125701</v>
      </c>
      <c r="EJ67" s="110">
        <f t="shared" si="182"/>
        <v>4292.7650906811868</v>
      </c>
      <c r="EK67" s="115">
        <f t="shared" si="183"/>
        <v>643.91476360217803</v>
      </c>
      <c r="EL67" s="110">
        <f t="shared" si="184"/>
        <v>4936.6798542833649</v>
      </c>
      <c r="EM67" s="52">
        <f>Summ.!$A76</f>
        <v>55110</v>
      </c>
      <c r="EN67" s="119" t="str">
        <f>Summ.!$B76</f>
        <v>Electric/Common Area</v>
      </c>
      <c r="EO67" s="134">
        <f t="shared" si="235"/>
        <v>33720</v>
      </c>
      <c r="EP67" s="110">
        <v>0</v>
      </c>
      <c r="EQ67" s="110">
        <f t="shared" si="290"/>
        <v>33720</v>
      </c>
      <c r="ER67" s="113">
        <f t="shared" si="185"/>
        <v>3.9034039719534647E-2</v>
      </c>
      <c r="ES67" s="110">
        <f t="shared" si="186"/>
        <v>1316.2278193427082</v>
      </c>
      <c r="ET67" s="115">
        <f t="shared" si="187"/>
        <v>0</v>
      </c>
      <c r="EU67" s="110">
        <f t="shared" si="188"/>
        <v>1316.2278193427082</v>
      </c>
      <c r="EV67" s="52">
        <f>Summ.!$A76</f>
        <v>55110</v>
      </c>
      <c r="EW67" s="119" t="str">
        <f>Summ.!$B76</f>
        <v>Electric/Common Area</v>
      </c>
      <c r="EX67" s="134">
        <f t="shared" si="237"/>
        <v>33720</v>
      </c>
      <c r="EY67" s="110">
        <v>0</v>
      </c>
      <c r="EZ67" s="110">
        <f t="shared" si="238"/>
        <v>33720</v>
      </c>
      <c r="FA67" s="113">
        <f t="shared" si="189"/>
        <v>1.8841317717106038E-2</v>
      </c>
      <c r="FB67" s="110">
        <f t="shared" si="190"/>
        <v>635.32923342081563</v>
      </c>
      <c r="FC67" s="115">
        <f t="shared" si="191"/>
        <v>0</v>
      </c>
      <c r="FD67" s="110">
        <f t="shared" si="192"/>
        <v>635.32923342081563</v>
      </c>
      <c r="FE67" s="52">
        <f>Summ.!$A76</f>
        <v>55110</v>
      </c>
      <c r="FF67" s="119" t="str">
        <f>Summ.!$B76</f>
        <v>Electric/Common Area</v>
      </c>
      <c r="FG67" s="134">
        <f t="shared" si="239"/>
        <v>33720</v>
      </c>
      <c r="FH67" s="110">
        <f t="shared" si="240"/>
        <v>0</v>
      </c>
      <c r="FI67" s="110">
        <f t="shared" si="241"/>
        <v>33720</v>
      </c>
      <c r="FJ67" s="113">
        <f t="shared" si="193"/>
        <v>7.254494888166399E-2</v>
      </c>
      <c r="FK67" s="110">
        <f t="shared" si="194"/>
        <v>2446.2156762897098</v>
      </c>
      <c r="FL67" s="115">
        <f t="shared" si="195"/>
        <v>0</v>
      </c>
      <c r="FM67" s="110">
        <f t="shared" si="196"/>
        <v>2446.2156762897098</v>
      </c>
    </row>
    <row r="68" spans="1:169" ht="12.75" customHeight="1">
      <c r="A68" s="52">
        <f>Summ.!A77</f>
        <v>55140</v>
      </c>
      <c r="B68" s="45" t="str">
        <f>Summ.!B77</f>
        <v>Water/Common Area</v>
      </c>
      <c r="C68" s="45"/>
      <c r="D68" s="45"/>
      <c r="E68" s="45"/>
      <c r="F68" s="106">
        <f>+Summ.!O77</f>
        <v>66540</v>
      </c>
      <c r="G68" s="71">
        <f>Rent!$B$41</f>
        <v>51058</v>
      </c>
      <c r="H68" s="52">
        <f>Summ.!$A77</f>
        <v>55140</v>
      </c>
      <c r="I68" s="119" t="str">
        <f>Summ.!$B77</f>
        <v>Water/Common Area</v>
      </c>
      <c r="J68" s="134">
        <f t="shared" si="197"/>
        <v>66540</v>
      </c>
      <c r="K68" s="110">
        <v>0</v>
      </c>
      <c r="L68" s="110">
        <f t="shared" si="198"/>
        <v>66540</v>
      </c>
      <c r="M68" s="113">
        <f t="shared" si="124"/>
        <v>7.5854910102236675E-2</v>
      </c>
      <c r="N68" s="110">
        <f t="shared" si="125"/>
        <v>5047.3857182028287</v>
      </c>
      <c r="O68" s="115">
        <f t="shared" si="126"/>
        <v>0</v>
      </c>
      <c r="P68" s="110">
        <f t="shared" si="127"/>
        <v>5047.3857182028287</v>
      </c>
      <c r="Q68" s="52">
        <f>Summ.!$A77</f>
        <v>55140</v>
      </c>
      <c r="R68" s="119" t="str">
        <f>Summ.!$B77</f>
        <v>Water/Common Area</v>
      </c>
      <c r="S68" s="134">
        <f t="shared" si="199"/>
        <v>66540</v>
      </c>
      <c r="T68" s="110">
        <f t="shared" si="268"/>
        <v>0</v>
      </c>
      <c r="U68" s="110">
        <f t="shared" si="269"/>
        <v>66540</v>
      </c>
      <c r="V68" s="113">
        <f t="shared" si="128"/>
        <v>2.1034901484586158E-2</v>
      </c>
      <c r="W68" s="110">
        <f t="shared" si="129"/>
        <v>1399.6623447843629</v>
      </c>
      <c r="X68" s="115">
        <f t="shared" si="130"/>
        <v>0</v>
      </c>
      <c r="Y68" s="110">
        <f t="shared" si="131"/>
        <v>1399.6623447843629</v>
      </c>
      <c r="Z68" s="52">
        <f>Summ.!$A77</f>
        <v>55140</v>
      </c>
      <c r="AA68" s="119" t="str">
        <f>Summ.!$B77</f>
        <v>Water/Common Area</v>
      </c>
      <c r="AB68" s="134">
        <f t="shared" si="202"/>
        <v>66540</v>
      </c>
      <c r="AC68" s="110">
        <v>0</v>
      </c>
      <c r="AD68" s="110">
        <f t="shared" si="270"/>
        <v>66540</v>
      </c>
      <c r="AE68" s="113">
        <f t="shared" si="132"/>
        <v>3.9171138705002152E-3</v>
      </c>
      <c r="AF68" s="110">
        <f t="shared" si="133"/>
        <v>260.6447569430843</v>
      </c>
      <c r="AG68" s="115">
        <f t="shared" si="134"/>
        <v>0</v>
      </c>
      <c r="AH68" s="110">
        <f t="shared" si="135"/>
        <v>260.6447569430843</v>
      </c>
      <c r="AI68" s="52">
        <f>Summ.!$A77</f>
        <v>55140</v>
      </c>
      <c r="AJ68" s="119" t="str">
        <f>Summ.!$B77</f>
        <v>Water/Common Area</v>
      </c>
      <c r="AK68" s="134">
        <f t="shared" si="204"/>
        <v>66540</v>
      </c>
      <c r="AL68" s="110">
        <f t="shared" si="271"/>
        <v>0</v>
      </c>
      <c r="AM68" s="110">
        <f t="shared" si="272"/>
        <v>66540</v>
      </c>
      <c r="AN68" s="113">
        <f t="shared" si="136"/>
        <v>1.0145324924595559E-2</v>
      </c>
      <c r="AO68" s="110">
        <f t="shared" si="137"/>
        <v>675.06992048258849</v>
      </c>
      <c r="AP68" s="115">
        <f t="shared" si="138"/>
        <v>0</v>
      </c>
      <c r="AQ68" s="110">
        <f t="shared" si="139"/>
        <v>675.06992048258849</v>
      </c>
      <c r="AR68" s="52">
        <f>Summ.!$A77</f>
        <v>55140</v>
      </c>
      <c r="AS68" s="119" t="str">
        <f>Summ.!$B77</f>
        <v>Water/Common Area</v>
      </c>
      <c r="AT68" s="134">
        <f t="shared" si="207"/>
        <v>66540</v>
      </c>
      <c r="AU68" s="110">
        <f t="shared" si="273"/>
        <v>0</v>
      </c>
      <c r="AV68" s="110">
        <f t="shared" si="274"/>
        <v>66540</v>
      </c>
      <c r="AW68" s="113">
        <f t="shared" si="140"/>
        <v>1.0282423910063065E-2</v>
      </c>
      <c r="AX68" s="110">
        <f t="shared" si="141"/>
        <v>684.19248697559635</v>
      </c>
      <c r="AY68" s="115">
        <f t="shared" si="142"/>
        <v>0</v>
      </c>
      <c r="AZ68" s="110">
        <f t="shared" si="143"/>
        <v>684.19248697559635</v>
      </c>
      <c r="BA68" s="52">
        <f>Summ.!$A77</f>
        <v>55140</v>
      </c>
      <c r="BB68" s="119" t="str">
        <f>Summ.!$B77</f>
        <v>Water/Common Area</v>
      </c>
      <c r="BC68" s="134">
        <f t="shared" si="210"/>
        <v>66540</v>
      </c>
      <c r="BD68" s="110">
        <f t="shared" si="275"/>
        <v>0</v>
      </c>
      <c r="BE68" s="110">
        <f t="shared" si="276"/>
        <v>66540</v>
      </c>
      <c r="BF68" s="113" t="e">
        <f t="shared" si="144"/>
        <v>#REF!</v>
      </c>
      <c r="BG68" s="110" t="e">
        <f t="shared" si="145"/>
        <v>#REF!</v>
      </c>
      <c r="BH68" s="115" t="e">
        <f t="shared" si="146"/>
        <v>#REF!</v>
      </c>
      <c r="BI68" s="110" t="e">
        <f t="shared" si="147"/>
        <v>#REF!</v>
      </c>
      <c r="BJ68" s="52">
        <f>Summ.!$A77</f>
        <v>55140</v>
      </c>
      <c r="BK68" s="119" t="str">
        <f>Summ.!$B77</f>
        <v>Water/Common Area</v>
      </c>
      <c r="BL68" s="134">
        <f t="shared" si="213"/>
        <v>66540</v>
      </c>
      <c r="BM68" s="110">
        <f t="shared" si="148"/>
        <v>0</v>
      </c>
      <c r="BN68" s="110">
        <f t="shared" si="277"/>
        <v>66540</v>
      </c>
      <c r="BO68" s="113">
        <f t="shared" si="149"/>
        <v>1.9468055936386071E-2</v>
      </c>
      <c r="BP68" s="110">
        <f t="shared" si="150"/>
        <v>1295.4044420071291</v>
      </c>
      <c r="BQ68" s="115">
        <f t="shared" si="151"/>
        <v>0</v>
      </c>
      <c r="BR68" s="110">
        <f t="shared" si="152"/>
        <v>1295.4044420071291</v>
      </c>
      <c r="BS68" s="52">
        <f>Summ.!$A77</f>
        <v>55140</v>
      </c>
      <c r="BT68" s="119" t="str">
        <f>Summ.!$B77</f>
        <v>Water/Common Area</v>
      </c>
      <c r="BU68" s="134">
        <f t="shared" si="215"/>
        <v>66540</v>
      </c>
      <c r="BV68" s="110">
        <f t="shared" si="278"/>
        <v>0</v>
      </c>
      <c r="BW68" s="110">
        <f t="shared" si="279"/>
        <v>66540</v>
      </c>
      <c r="BX68" s="113">
        <f t="shared" si="153"/>
        <v>2.0427748834658623E-2</v>
      </c>
      <c r="BY68" s="110">
        <f t="shared" si="154"/>
        <v>1359.2624074581847</v>
      </c>
      <c r="BZ68" s="115">
        <f t="shared" si="155"/>
        <v>0</v>
      </c>
      <c r="CA68" s="110">
        <f t="shared" si="156"/>
        <v>1359.2624074581847</v>
      </c>
      <c r="CB68" s="52">
        <f>Summ.!$A77</f>
        <v>55140</v>
      </c>
      <c r="CC68" s="119" t="str">
        <f>Summ.!$B77</f>
        <v>Water/Common Area</v>
      </c>
      <c r="CD68" s="134">
        <f t="shared" si="218"/>
        <v>66540</v>
      </c>
      <c r="CE68" s="110">
        <v>0</v>
      </c>
      <c r="CF68" s="110">
        <f t="shared" si="280"/>
        <v>66540</v>
      </c>
      <c r="CG68" s="113">
        <f t="shared" si="157"/>
        <v>6.9058717536918793E-2</v>
      </c>
      <c r="CH68" s="110">
        <f t="shared" si="158"/>
        <v>4595.1670649065763</v>
      </c>
      <c r="CI68" s="115">
        <f t="shared" si="159"/>
        <v>0</v>
      </c>
      <c r="CJ68" s="110">
        <f t="shared" si="160"/>
        <v>4595.1670649065763</v>
      </c>
      <c r="CK68" s="52">
        <f>Summ.!$A77</f>
        <v>55140</v>
      </c>
      <c r="CL68" s="119" t="str">
        <f>Summ.!$B77</f>
        <v>Water/Common Area</v>
      </c>
      <c r="CM68" s="134">
        <f t="shared" si="220"/>
        <v>66540</v>
      </c>
      <c r="CN68" s="110">
        <f t="shared" si="281"/>
        <v>0</v>
      </c>
      <c r="CO68" s="110">
        <f t="shared" si="282"/>
        <v>66540</v>
      </c>
      <c r="CP68" s="113">
        <f t="shared" si="161"/>
        <v>0.21027067256845156</v>
      </c>
      <c r="CQ68" s="110">
        <f t="shared" si="162"/>
        <v>13991.410552704767</v>
      </c>
      <c r="CR68" s="115">
        <f t="shared" si="163"/>
        <v>0</v>
      </c>
      <c r="CS68" s="110">
        <f t="shared" si="164"/>
        <v>13991.410552704767</v>
      </c>
      <c r="CT68" s="52">
        <f>Summ.!$A77</f>
        <v>55140</v>
      </c>
      <c r="CU68" s="119" t="str">
        <f>Summ.!$B77</f>
        <v>Water/Common Area</v>
      </c>
      <c r="CV68" s="134">
        <f t="shared" si="223"/>
        <v>66540</v>
      </c>
      <c r="CW68" s="110">
        <v>0</v>
      </c>
      <c r="CX68" s="110">
        <f t="shared" si="283"/>
        <v>66540</v>
      </c>
      <c r="CY68" s="113">
        <f t="shared" si="165"/>
        <v>5.8756708057503229E-2</v>
      </c>
      <c r="CZ68" s="110">
        <f t="shared" si="166"/>
        <v>3909.671354146265</v>
      </c>
      <c r="DA68" s="115">
        <f t="shared" si="167"/>
        <v>0</v>
      </c>
      <c r="DB68" s="110">
        <f t="shared" si="168"/>
        <v>3909.671354146265</v>
      </c>
      <c r="DC68" s="52">
        <f>Summ.!$A77</f>
        <v>55140</v>
      </c>
      <c r="DD68" s="119" t="str">
        <f>Summ.!$B77</f>
        <v>Water/Common Area</v>
      </c>
      <c r="DE68" s="134">
        <f t="shared" si="225"/>
        <v>66540</v>
      </c>
      <c r="DF68" s="110">
        <v>0</v>
      </c>
      <c r="DG68" s="110">
        <f t="shared" si="284"/>
        <v>66540</v>
      </c>
      <c r="DH68" s="113">
        <f t="shared" si="169"/>
        <v>9.7927846762505388E-3</v>
      </c>
      <c r="DI68" s="110">
        <f t="shared" si="170"/>
        <v>651.61189235771087</v>
      </c>
      <c r="DJ68" s="115">
        <f t="shared" si="171"/>
        <v>0</v>
      </c>
      <c r="DK68" s="110">
        <f t="shared" si="172"/>
        <v>651.61189235771087</v>
      </c>
      <c r="DL68" s="52">
        <f>Summ.!$A77</f>
        <v>55140</v>
      </c>
      <c r="DM68" s="119" t="str">
        <f>Summ.!$B77</f>
        <v>Water/Common Area</v>
      </c>
      <c r="DN68" s="134">
        <f t="shared" si="227"/>
        <v>66540</v>
      </c>
      <c r="DO68" s="110">
        <v>0</v>
      </c>
      <c r="DP68" s="110">
        <f t="shared" si="285"/>
        <v>66540</v>
      </c>
      <c r="DQ68" s="113">
        <f t="shared" si="173"/>
        <v>5.6719808844843123E-2</v>
      </c>
      <c r="DR68" s="110">
        <f t="shared" si="174"/>
        <v>3774.1360805358613</v>
      </c>
      <c r="DS68" s="115">
        <f t="shared" si="175"/>
        <v>0</v>
      </c>
      <c r="DT68" s="110">
        <f t="shared" si="176"/>
        <v>3774.1360805358613</v>
      </c>
      <c r="DU68" s="52">
        <f>Summ.!$A77</f>
        <v>55140</v>
      </c>
      <c r="DV68" s="119" t="str">
        <f>Summ.!$B77</f>
        <v>Water/Common Area</v>
      </c>
      <c r="DW68" s="134">
        <f t="shared" si="229"/>
        <v>66540</v>
      </c>
      <c r="DX68" s="110">
        <f t="shared" si="286"/>
        <v>0</v>
      </c>
      <c r="DY68" s="110">
        <f t="shared" si="287"/>
        <v>66540</v>
      </c>
      <c r="DZ68" s="113">
        <f t="shared" si="177"/>
        <v>0.15695875279094362</v>
      </c>
      <c r="EA68" s="110">
        <f t="shared" si="178"/>
        <v>10444.035410709388</v>
      </c>
      <c r="EB68" s="115">
        <f t="shared" si="179"/>
        <v>0</v>
      </c>
      <c r="EC68" s="110">
        <f t="shared" si="180"/>
        <v>10444.035410709388</v>
      </c>
      <c r="ED68" s="52">
        <f>Summ.!$A77</f>
        <v>55140</v>
      </c>
      <c r="EE68" s="119" t="str">
        <f>Summ.!$B77</f>
        <v>Water/Common Area</v>
      </c>
      <c r="EF68" s="134">
        <f t="shared" si="232"/>
        <v>66540</v>
      </c>
      <c r="EG68" s="110">
        <f t="shared" si="288"/>
        <v>0</v>
      </c>
      <c r="EH68" s="110">
        <f t="shared" si="289"/>
        <v>66540</v>
      </c>
      <c r="EI68" s="113">
        <f t="shared" si="181"/>
        <v>0.12730620079125701</v>
      </c>
      <c r="EJ68" s="110">
        <f t="shared" si="182"/>
        <v>8470.9546006502424</v>
      </c>
      <c r="EK68" s="115">
        <f t="shared" si="183"/>
        <v>1270.6431900975363</v>
      </c>
      <c r="EL68" s="110">
        <f t="shared" si="184"/>
        <v>9741.5977907477791</v>
      </c>
      <c r="EM68" s="52">
        <f>Summ.!$A77</f>
        <v>55140</v>
      </c>
      <c r="EN68" s="119" t="str">
        <f>Summ.!$B77</f>
        <v>Water/Common Area</v>
      </c>
      <c r="EO68" s="134">
        <f t="shared" si="235"/>
        <v>66540</v>
      </c>
      <c r="EP68" s="110">
        <v>0</v>
      </c>
      <c r="EQ68" s="110">
        <f t="shared" si="290"/>
        <v>66540</v>
      </c>
      <c r="ER68" s="113">
        <f t="shared" si="185"/>
        <v>3.9034039719534647E-2</v>
      </c>
      <c r="ES68" s="110">
        <f t="shared" si="186"/>
        <v>2597.3250029378355</v>
      </c>
      <c r="ET68" s="115">
        <f t="shared" si="187"/>
        <v>0</v>
      </c>
      <c r="EU68" s="110">
        <f t="shared" si="188"/>
        <v>2597.3250029378355</v>
      </c>
      <c r="EV68" s="52">
        <f>Summ.!$A77</f>
        <v>55140</v>
      </c>
      <c r="EW68" s="119" t="str">
        <f>Summ.!$B77</f>
        <v>Water/Common Area</v>
      </c>
      <c r="EX68" s="134">
        <f t="shared" si="237"/>
        <v>66540</v>
      </c>
      <c r="EY68" s="110">
        <v>0</v>
      </c>
      <c r="EZ68" s="110">
        <f t="shared" si="238"/>
        <v>66540</v>
      </c>
      <c r="FA68" s="113">
        <f t="shared" si="189"/>
        <v>1.8841317717106038E-2</v>
      </c>
      <c r="FB68" s="110">
        <f t="shared" si="190"/>
        <v>1253.7012808962356</v>
      </c>
      <c r="FC68" s="115">
        <f t="shared" si="191"/>
        <v>0</v>
      </c>
      <c r="FD68" s="110">
        <f t="shared" si="192"/>
        <v>1253.7012808962356</v>
      </c>
      <c r="FE68" s="52">
        <f>Summ.!$A77</f>
        <v>55140</v>
      </c>
      <c r="FF68" s="119" t="str">
        <f>Summ.!$B77</f>
        <v>Water/Common Area</v>
      </c>
      <c r="FG68" s="134">
        <f t="shared" si="239"/>
        <v>66540</v>
      </c>
      <c r="FH68" s="110">
        <f t="shared" si="240"/>
        <v>0</v>
      </c>
      <c r="FI68" s="110">
        <f t="shared" si="241"/>
        <v>66540</v>
      </c>
      <c r="FJ68" s="113">
        <f t="shared" si="193"/>
        <v>7.254494888166399E-2</v>
      </c>
      <c r="FK68" s="110">
        <f t="shared" si="194"/>
        <v>4827.1408985859216</v>
      </c>
      <c r="FL68" s="115">
        <f t="shared" si="195"/>
        <v>0</v>
      </c>
      <c r="FM68" s="110">
        <f t="shared" si="196"/>
        <v>4827.1408985859216</v>
      </c>
    </row>
    <row r="69" spans="1:169" ht="12.75" customHeight="1">
      <c r="A69" s="52">
        <f>Summ.!A78</f>
        <v>55180</v>
      </c>
      <c r="B69" s="45" t="str">
        <f>Summ.!B78</f>
        <v>Sewer (do not use)</v>
      </c>
      <c r="C69" s="45"/>
      <c r="D69" s="45"/>
      <c r="E69" s="45"/>
      <c r="F69" s="106">
        <f>+Summ.!O78</f>
        <v>0</v>
      </c>
      <c r="G69" s="71">
        <f>Rent!$B$41</f>
        <v>51058</v>
      </c>
      <c r="H69" s="52">
        <f>Summ.!$A78</f>
        <v>55180</v>
      </c>
      <c r="I69" s="119" t="str">
        <f>Summ.!$B78</f>
        <v>Sewer (do not use)</v>
      </c>
      <c r="J69" s="134">
        <f t="shared" si="197"/>
        <v>0</v>
      </c>
      <c r="K69" s="110">
        <v>0</v>
      </c>
      <c r="L69" s="110">
        <f t="shared" si="198"/>
        <v>0</v>
      </c>
      <c r="M69" s="113">
        <f t="shared" si="124"/>
        <v>7.5854910102236675E-2</v>
      </c>
      <c r="N69" s="110">
        <f t="shared" si="125"/>
        <v>0</v>
      </c>
      <c r="O69" s="115">
        <f t="shared" si="126"/>
        <v>0</v>
      </c>
      <c r="P69" s="110">
        <f t="shared" si="127"/>
        <v>0</v>
      </c>
      <c r="Q69" s="52">
        <f>Summ.!$A78</f>
        <v>55180</v>
      </c>
      <c r="R69" s="119" t="str">
        <f>Summ.!$B78</f>
        <v>Sewer (do not use)</v>
      </c>
      <c r="S69" s="134">
        <f t="shared" si="199"/>
        <v>0</v>
      </c>
      <c r="T69" s="110">
        <f t="shared" si="268"/>
        <v>0</v>
      </c>
      <c r="U69" s="110">
        <f t="shared" si="269"/>
        <v>0</v>
      </c>
      <c r="V69" s="113">
        <f t="shared" si="128"/>
        <v>2.1034901484586158E-2</v>
      </c>
      <c r="W69" s="110">
        <f t="shared" si="129"/>
        <v>0</v>
      </c>
      <c r="X69" s="115">
        <f t="shared" si="130"/>
        <v>0</v>
      </c>
      <c r="Y69" s="110">
        <f t="shared" si="131"/>
        <v>0</v>
      </c>
      <c r="Z69" s="52">
        <f>Summ.!$A78</f>
        <v>55180</v>
      </c>
      <c r="AA69" s="119" t="str">
        <f>Summ.!$B78</f>
        <v>Sewer (do not use)</v>
      </c>
      <c r="AB69" s="134">
        <f t="shared" si="202"/>
        <v>0</v>
      </c>
      <c r="AC69" s="110">
        <v>0</v>
      </c>
      <c r="AD69" s="110">
        <f t="shared" si="270"/>
        <v>0</v>
      </c>
      <c r="AE69" s="113">
        <f t="shared" si="132"/>
        <v>3.9171138705002152E-3</v>
      </c>
      <c r="AF69" s="110">
        <f t="shared" si="133"/>
        <v>0</v>
      </c>
      <c r="AG69" s="115">
        <f t="shared" si="134"/>
        <v>0</v>
      </c>
      <c r="AH69" s="110">
        <f t="shared" si="135"/>
        <v>0</v>
      </c>
      <c r="AI69" s="52">
        <f>Summ.!$A78</f>
        <v>55180</v>
      </c>
      <c r="AJ69" s="119" t="str">
        <f>Summ.!$B78</f>
        <v>Sewer (do not use)</v>
      </c>
      <c r="AK69" s="134">
        <f t="shared" si="204"/>
        <v>0</v>
      </c>
      <c r="AL69" s="110">
        <f t="shared" si="271"/>
        <v>0</v>
      </c>
      <c r="AM69" s="110">
        <f t="shared" si="272"/>
        <v>0</v>
      </c>
      <c r="AN69" s="113">
        <f t="shared" si="136"/>
        <v>1.0145324924595559E-2</v>
      </c>
      <c r="AO69" s="110">
        <f t="shared" si="137"/>
        <v>0</v>
      </c>
      <c r="AP69" s="115">
        <f t="shared" si="138"/>
        <v>0</v>
      </c>
      <c r="AQ69" s="110">
        <f t="shared" si="139"/>
        <v>0</v>
      </c>
      <c r="AR69" s="52">
        <f>Summ.!$A78</f>
        <v>55180</v>
      </c>
      <c r="AS69" s="119" t="str">
        <f>Summ.!$B78</f>
        <v>Sewer (do not use)</v>
      </c>
      <c r="AT69" s="134">
        <f t="shared" si="207"/>
        <v>0</v>
      </c>
      <c r="AU69" s="110">
        <f t="shared" si="273"/>
        <v>0</v>
      </c>
      <c r="AV69" s="110">
        <f t="shared" si="274"/>
        <v>0</v>
      </c>
      <c r="AW69" s="113">
        <f t="shared" si="140"/>
        <v>1.0282423910063065E-2</v>
      </c>
      <c r="AX69" s="110">
        <f t="shared" si="141"/>
        <v>0</v>
      </c>
      <c r="AY69" s="115">
        <f t="shared" si="142"/>
        <v>0</v>
      </c>
      <c r="AZ69" s="110">
        <f t="shared" si="143"/>
        <v>0</v>
      </c>
      <c r="BA69" s="52">
        <f>Summ.!$A78</f>
        <v>55180</v>
      </c>
      <c r="BB69" s="119" t="str">
        <f>Summ.!$B78</f>
        <v>Sewer (do not use)</v>
      </c>
      <c r="BC69" s="134">
        <f t="shared" si="210"/>
        <v>0</v>
      </c>
      <c r="BD69" s="110">
        <f t="shared" si="275"/>
        <v>0</v>
      </c>
      <c r="BE69" s="110">
        <f t="shared" si="276"/>
        <v>0</v>
      </c>
      <c r="BF69" s="113" t="e">
        <f t="shared" si="144"/>
        <v>#REF!</v>
      </c>
      <c r="BG69" s="110" t="e">
        <f t="shared" si="145"/>
        <v>#REF!</v>
      </c>
      <c r="BH69" s="115" t="e">
        <f t="shared" si="146"/>
        <v>#REF!</v>
      </c>
      <c r="BI69" s="110" t="e">
        <f t="shared" si="147"/>
        <v>#REF!</v>
      </c>
      <c r="BJ69" s="52">
        <f>Summ.!$A78</f>
        <v>55180</v>
      </c>
      <c r="BK69" s="119" t="str">
        <f>Summ.!$B78</f>
        <v>Sewer (do not use)</v>
      </c>
      <c r="BL69" s="134">
        <f t="shared" si="213"/>
        <v>0</v>
      </c>
      <c r="BM69" s="110">
        <f t="shared" si="148"/>
        <v>0</v>
      </c>
      <c r="BN69" s="110">
        <f t="shared" si="277"/>
        <v>0</v>
      </c>
      <c r="BO69" s="113">
        <f t="shared" si="149"/>
        <v>1.9468055936386071E-2</v>
      </c>
      <c r="BP69" s="110">
        <f t="shared" si="150"/>
        <v>0</v>
      </c>
      <c r="BQ69" s="115">
        <f t="shared" si="151"/>
        <v>0</v>
      </c>
      <c r="BR69" s="110">
        <f t="shared" si="152"/>
        <v>0</v>
      </c>
      <c r="BS69" s="52">
        <f>Summ.!$A78</f>
        <v>55180</v>
      </c>
      <c r="BT69" s="119" t="str">
        <f>Summ.!$B78</f>
        <v>Sewer (do not use)</v>
      </c>
      <c r="BU69" s="134">
        <f t="shared" si="215"/>
        <v>0</v>
      </c>
      <c r="BV69" s="110">
        <f t="shared" si="278"/>
        <v>0</v>
      </c>
      <c r="BW69" s="110">
        <f t="shared" si="279"/>
        <v>0</v>
      </c>
      <c r="BX69" s="113">
        <f t="shared" si="153"/>
        <v>2.0427748834658623E-2</v>
      </c>
      <c r="BY69" s="110">
        <f t="shared" si="154"/>
        <v>0</v>
      </c>
      <c r="BZ69" s="115">
        <f t="shared" si="155"/>
        <v>0</v>
      </c>
      <c r="CA69" s="110">
        <f t="shared" si="156"/>
        <v>0</v>
      </c>
      <c r="CB69" s="52">
        <f>Summ.!$A78</f>
        <v>55180</v>
      </c>
      <c r="CC69" s="119" t="str">
        <f>Summ.!$B78</f>
        <v>Sewer (do not use)</v>
      </c>
      <c r="CD69" s="134">
        <f t="shared" si="218"/>
        <v>0</v>
      </c>
      <c r="CE69" s="110">
        <v>0</v>
      </c>
      <c r="CF69" s="110">
        <f t="shared" si="280"/>
        <v>0</v>
      </c>
      <c r="CG69" s="113">
        <f t="shared" si="157"/>
        <v>6.9058717536918793E-2</v>
      </c>
      <c r="CH69" s="110">
        <f t="shared" si="158"/>
        <v>0</v>
      </c>
      <c r="CI69" s="115">
        <f t="shared" si="159"/>
        <v>0</v>
      </c>
      <c r="CJ69" s="110">
        <f t="shared" si="160"/>
        <v>0</v>
      </c>
      <c r="CK69" s="52">
        <f>Summ.!$A78</f>
        <v>55180</v>
      </c>
      <c r="CL69" s="119" t="str">
        <f>Summ.!$B78</f>
        <v>Sewer (do not use)</v>
      </c>
      <c r="CM69" s="134">
        <f t="shared" si="220"/>
        <v>0</v>
      </c>
      <c r="CN69" s="110">
        <f t="shared" si="281"/>
        <v>0</v>
      </c>
      <c r="CO69" s="110">
        <f t="shared" si="282"/>
        <v>0</v>
      </c>
      <c r="CP69" s="113">
        <f t="shared" si="161"/>
        <v>0.21027067256845156</v>
      </c>
      <c r="CQ69" s="110">
        <f t="shared" si="162"/>
        <v>0</v>
      </c>
      <c r="CR69" s="115">
        <f t="shared" si="163"/>
        <v>0</v>
      </c>
      <c r="CS69" s="110">
        <f t="shared" si="164"/>
        <v>0</v>
      </c>
      <c r="CT69" s="52">
        <f>Summ.!$A78</f>
        <v>55180</v>
      </c>
      <c r="CU69" s="119" t="str">
        <f>Summ.!$B78</f>
        <v>Sewer (do not use)</v>
      </c>
      <c r="CV69" s="134">
        <f t="shared" si="223"/>
        <v>0</v>
      </c>
      <c r="CW69" s="110">
        <v>0</v>
      </c>
      <c r="CX69" s="110">
        <f t="shared" si="283"/>
        <v>0</v>
      </c>
      <c r="CY69" s="113">
        <f t="shared" si="165"/>
        <v>5.8756708057503229E-2</v>
      </c>
      <c r="CZ69" s="110">
        <f t="shared" si="166"/>
        <v>0</v>
      </c>
      <c r="DA69" s="115">
        <f t="shared" si="167"/>
        <v>0</v>
      </c>
      <c r="DB69" s="110">
        <f t="shared" si="168"/>
        <v>0</v>
      </c>
      <c r="DC69" s="52">
        <f>Summ.!$A78</f>
        <v>55180</v>
      </c>
      <c r="DD69" s="119" t="str">
        <f>Summ.!$B78</f>
        <v>Sewer (do not use)</v>
      </c>
      <c r="DE69" s="134">
        <f t="shared" si="225"/>
        <v>0</v>
      </c>
      <c r="DF69" s="110">
        <v>0</v>
      </c>
      <c r="DG69" s="110">
        <f t="shared" si="284"/>
        <v>0</v>
      </c>
      <c r="DH69" s="113">
        <f t="shared" si="169"/>
        <v>9.7927846762505388E-3</v>
      </c>
      <c r="DI69" s="110">
        <f t="shared" si="170"/>
        <v>0</v>
      </c>
      <c r="DJ69" s="115">
        <f t="shared" si="171"/>
        <v>0</v>
      </c>
      <c r="DK69" s="110">
        <f t="shared" si="172"/>
        <v>0</v>
      </c>
      <c r="DL69" s="52">
        <f>Summ.!$A78</f>
        <v>55180</v>
      </c>
      <c r="DM69" s="119" t="str">
        <f>Summ.!$B78</f>
        <v>Sewer (do not use)</v>
      </c>
      <c r="DN69" s="134">
        <f t="shared" si="227"/>
        <v>0</v>
      </c>
      <c r="DO69" s="110">
        <v>0</v>
      </c>
      <c r="DP69" s="110">
        <f t="shared" si="285"/>
        <v>0</v>
      </c>
      <c r="DQ69" s="113">
        <f t="shared" si="173"/>
        <v>5.6719808844843123E-2</v>
      </c>
      <c r="DR69" s="110">
        <f t="shared" si="174"/>
        <v>0</v>
      </c>
      <c r="DS69" s="115">
        <f t="shared" si="175"/>
        <v>0</v>
      </c>
      <c r="DT69" s="110">
        <f t="shared" si="176"/>
        <v>0</v>
      </c>
      <c r="DU69" s="52">
        <f>Summ.!$A78</f>
        <v>55180</v>
      </c>
      <c r="DV69" s="119" t="str">
        <f>Summ.!$B78</f>
        <v>Sewer (do not use)</v>
      </c>
      <c r="DW69" s="134">
        <f t="shared" si="229"/>
        <v>0</v>
      </c>
      <c r="DX69" s="110">
        <f t="shared" si="286"/>
        <v>0</v>
      </c>
      <c r="DY69" s="110">
        <f t="shared" si="287"/>
        <v>0</v>
      </c>
      <c r="DZ69" s="113">
        <f t="shared" si="177"/>
        <v>0.15695875279094362</v>
      </c>
      <c r="EA69" s="110">
        <f t="shared" si="178"/>
        <v>0</v>
      </c>
      <c r="EB69" s="115">
        <f t="shared" si="179"/>
        <v>0</v>
      </c>
      <c r="EC69" s="110">
        <f t="shared" si="180"/>
        <v>0</v>
      </c>
      <c r="ED69" s="52">
        <f>Summ.!$A78</f>
        <v>55180</v>
      </c>
      <c r="EE69" s="108" t="str">
        <f>Summ.!$B104</f>
        <v>Water/Building and Sewer</v>
      </c>
      <c r="EF69" s="110">
        <f>$F94</f>
        <v>79500</v>
      </c>
      <c r="EG69" s="110">
        <f>+DX94</f>
        <v>-79500</v>
      </c>
      <c r="EH69" s="110">
        <f>EF69+EG69</f>
        <v>0</v>
      </c>
      <c r="EI69" s="113">
        <f>EF$8/$G94</f>
        <v>0.16190096642423035</v>
      </c>
      <c r="EJ69" s="110">
        <f t="shared" si="182"/>
        <v>0</v>
      </c>
      <c r="EK69" s="115">
        <f t="shared" si="183"/>
        <v>0</v>
      </c>
      <c r="EL69" s="110">
        <f t="shared" si="184"/>
        <v>0</v>
      </c>
      <c r="EM69" s="52">
        <f>Summ.!$A78</f>
        <v>55180</v>
      </c>
      <c r="EN69" s="119" t="str">
        <f>Summ.!$B78</f>
        <v>Sewer (do not use)</v>
      </c>
      <c r="EO69" s="134">
        <f t="shared" si="235"/>
        <v>0</v>
      </c>
      <c r="EP69" s="110">
        <v>0</v>
      </c>
      <c r="EQ69" s="110">
        <f t="shared" si="290"/>
        <v>0</v>
      </c>
      <c r="ER69" s="113">
        <f t="shared" si="185"/>
        <v>3.9034039719534647E-2</v>
      </c>
      <c r="ES69" s="110">
        <f t="shared" si="186"/>
        <v>0</v>
      </c>
      <c r="ET69" s="115">
        <f t="shared" si="187"/>
        <v>0</v>
      </c>
      <c r="EU69" s="110">
        <f t="shared" si="188"/>
        <v>0</v>
      </c>
      <c r="EV69" s="52">
        <f>Summ.!$A78</f>
        <v>55180</v>
      </c>
      <c r="EW69" s="119" t="str">
        <f>Summ.!$B78</f>
        <v>Sewer (do not use)</v>
      </c>
      <c r="EX69" s="134">
        <f t="shared" si="237"/>
        <v>0</v>
      </c>
      <c r="EY69" s="110">
        <v>0</v>
      </c>
      <c r="EZ69" s="110">
        <f t="shared" si="238"/>
        <v>0</v>
      </c>
      <c r="FA69" s="113">
        <f t="shared" si="189"/>
        <v>1.8841317717106038E-2</v>
      </c>
      <c r="FB69" s="110">
        <f t="shared" si="190"/>
        <v>0</v>
      </c>
      <c r="FC69" s="115">
        <f t="shared" si="191"/>
        <v>0</v>
      </c>
      <c r="FD69" s="110">
        <f t="shared" si="192"/>
        <v>0</v>
      </c>
      <c r="FE69" s="52">
        <f>Summ.!$A78</f>
        <v>55180</v>
      </c>
      <c r="FF69" s="119" t="str">
        <f>Summ.!$B78</f>
        <v>Sewer (do not use)</v>
      </c>
      <c r="FG69" s="134">
        <f t="shared" si="239"/>
        <v>0</v>
      </c>
      <c r="FH69" s="110">
        <f t="shared" si="240"/>
        <v>0</v>
      </c>
      <c r="FI69" s="110">
        <f t="shared" si="241"/>
        <v>0</v>
      </c>
      <c r="FJ69" s="113">
        <f t="shared" si="193"/>
        <v>7.254494888166399E-2</v>
      </c>
      <c r="FK69" s="110">
        <f t="shared" si="194"/>
        <v>0</v>
      </c>
      <c r="FL69" s="115">
        <f t="shared" si="195"/>
        <v>0</v>
      </c>
      <c r="FM69" s="110">
        <f t="shared" si="196"/>
        <v>0</v>
      </c>
    </row>
    <row r="70" spans="1:169">
      <c r="A70" s="52"/>
      <c r="B70" s="45"/>
      <c r="C70" s="45"/>
      <c r="D70" s="45"/>
      <c r="E70" s="45"/>
      <c r="F70" s="106"/>
      <c r="G70" s="71"/>
      <c r="I70" s="119"/>
      <c r="J70" s="134"/>
      <c r="K70" s="110"/>
      <c r="L70" s="110"/>
      <c r="M70" s="113"/>
      <c r="N70" s="110"/>
      <c r="P70" s="110"/>
      <c r="R70" s="119"/>
      <c r="S70" s="134"/>
      <c r="T70" s="110"/>
      <c r="U70" s="110"/>
      <c r="V70" s="113"/>
      <c r="W70" s="110"/>
      <c r="Y70" s="110"/>
      <c r="AA70" s="119"/>
      <c r="AB70" s="134"/>
      <c r="AC70" s="110"/>
      <c r="AD70" s="110"/>
      <c r="AE70" s="113"/>
      <c r="AF70" s="110"/>
      <c r="AH70" s="110"/>
      <c r="AJ70" s="119"/>
      <c r="AK70" s="134"/>
      <c r="AL70" s="110"/>
      <c r="AM70" s="110"/>
      <c r="AN70" s="113"/>
      <c r="AO70" s="110"/>
      <c r="AQ70" s="110"/>
      <c r="AS70" s="119"/>
      <c r="AT70" s="134"/>
      <c r="AU70" s="110"/>
      <c r="AV70" s="110"/>
      <c r="AW70" s="113"/>
      <c r="AX70" s="110"/>
      <c r="AZ70" s="110"/>
      <c r="BB70" s="119"/>
      <c r="BC70" s="134"/>
      <c r="BD70" s="110"/>
      <c r="BE70" s="110"/>
      <c r="BF70" s="113"/>
      <c r="BG70" s="110"/>
      <c r="BI70" s="110"/>
      <c r="BK70" s="119"/>
      <c r="BL70" s="134"/>
      <c r="BM70" s="110"/>
      <c r="BN70" s="110"/>
      <c r="BO70" s="113"/>
      <c r="BP70" s="110"/>
      <c r="BR70" s="110"/>
      <c r="BT70" s="119"/>
      <c r="BU70" s="134"/>
      <c r="BV70" s="110"/>
      <c r="BW70" s="110"/>
      <c r="BX70" s="113"/>
      <c r="BY70" s="110"/>
      <c r="CA70" s="110"/>
      <c r="CC70" s="119"/>
      <c r="CD70" s="134"/>
      <c r="CE70" s="110"/>
      <c r="CF70" s="110"/>
      <c r="CG70" s="113"/>
      <c r="CH70" s="110"/>
      <c r="CJ70" s="110"/>
      <c r="CL70" s="119"/>
      <c r="CM70" s="134"/>
      <c r="CN70" s="110"/>
      <c r="CO70" s="110"/>
      <c r="CP70" s="113"/>
      <c r="CQ70" s="110"/>
      <c r="CS70" s="110"/>
      <c r="CU70" s="119"/>
      <c r="CV70" s="134"/>
      <c r="CW70" s="110"/>
      <c r="CX70" s="110"/>
      <c r="CY70" s="113"/>
      <c r="CZ70" s="110"/>
      <c r="DB70" s="110"/>
      <c r="DD70" s="119"/>
      <c r="DE70" s="134"/>
      <c r="DF70" s="110"/>
      <c r="DG70" s="110"/>
      <c r="DH70" s="113"/>
      <c r="DI70" s="110"/>
      <c r="DK70" s="110"/>
      <c r="DM70" s="119"/>
      <c r="DN70" s="134"/>
      <c r="DO70" s="110"/>
      <c r="DP70" s="110"/>
      <c r="DQ70" s="113"/>
      <c r="DR70" s="110"/>
      <c r="DT70" s="110"/>
      <c r="DV70" s="119"/>
      <c r="DW70" s="134"/>
      <c r="DX70" s="110"/>
      <c r="DY70" s="110"/>
      <c r="DZ70" s="113"/>
      <c r="EA70" s="110"/>
      <c r="EC70" s="110"/>
      <c r="EE70" s="119"/>
      <c r="EF70" s="134"/>
      <c r="EG70" s="110"/>
      <c r="EH70" s="110"/>
      <c r="EI70" s="113"/>
      <c r="EJ70" s="110"/>
      <c r="EL70" s="110"/>
      <c r="EN70" s="119"/>
      <c r="EO70" s="134"/>
      <c r="EP70" s="110"/>
      <c r="EQ70" s="110"/>
      <c r="ER70" s="113"/>
      <c r="ES70" s="110"/>
      <c r="EU70" s="110"/>
      <c r="EW70" s="119"/>
      <c r="EX70" s="134"/>
      <c r="EY70" s="110"/>
      <c r="EZ70" s="110"/>
      <c r="FA70" s="113"/>
      <c r="FB70" s="110"/>
      <c r="FD70" s="110"/>
      <c r="FF70" s="119"/>
      <c r="FG70" s="134"/>
      <c r="FH70" s="110"/>
      <c r="FI70" s="110"/>
      <c r="FJ70" s="113"/>
      <c r="FK70" s="110"/>
      <c r="FM70" s="110"/>
    </row>
    <row r="71" spans="1:169">
      <c r="A71" s="52"/>
      <c r="B71" s="169" t="str">
        <f>Summ.!B81</f>
        <v>SUBTOTAL COMMON AREA</v>
      </c>
      <c r="C71" s="265"/>
      <c r="D71" s="265"/>
      <c r="E71" s="265"/>
      <c r="F71" s="268">
        <f>SUM(F25:F70)</f>
        <v>886538.68734000006</v>
      </c>
      <c r="I71" s="170" t="s">
        <v>577</v>
      </c>
      <c r="J71" s="171">
        <f>SUM(J25:J70)</f>
        <v>886538.68734000006</v>
      </c>
      <c r="K71" s="171">
        <f t="shared" ref="K71:L71" si="291">SUM(K25:K70)</f>
        <v>0</v>
      </c>
      <c r="L71" s="171">
        <f t="shared" si="291"/>
        <v>886538.68734000006</v>
      </c>
      <c r="M71" s="171"/>
      <c r="N71" s="171">
        <f>SUM(N25:N70)</f>
        <v>73052.138846405796</v>
      </c>
      <c r="O71" s="171">
        <f>SUM(O25:O70)</f>
        <v>0</v>
      </c>
      <c r="P71" s="171">
        <f>SUM(P25:P70)</f>
        <v>73052.138846405796</v>
      </c>
      <c r="R71" s="170" t="s">
        <v>577</v>
      </c>
      <c r="S71" s="171">
        <f>SUM(S25:S70)</f>
        <v>886538.68734000006</v>
      </c>
      <c r="T71" s="171">
        <f t="shared" ref="T71" si="292">SUM(T25:T70)</f>
        <v>0</v>
      </c>
      <c r="U71" s="171">
        <f t="shared" ref="U71" si="293">SUM(U25:U70)</f>
        <v>886538.68734000006</v>
      </c>
      <c r="V71" s="171"/>
      <c r="W71" s="171">
        <f>SUM(W25:W70)</f>
        <v>20257.680640598981</v>
      </c>
      <c r="X71" s="171">
        <f>SUM(X25:X70)</f>
        <v>0</v>
      </c>
      <c r="Y71" s="173">
        <f>SUM(Y25:Y69)</f>
        <v>20257.680640598981</v>
      </c>
      <c r="AA71" s="170" t="s">
        <v>577</v>
      </c>
      <c r="AB71" s="171">
        <f>SUM(AB25:AB70)</f>
        <v>886538.68734000006</v>
      </c>
      <c r="AC71" s="171">
        <f t="shared" ref="AC71" si="294">SUM(AC25:AC70)</f>
        <v>0</v>
      </c>
      <c r="AD71" s="171">
        <f t="shared" ref="AD71" si="295">SUM(AD25:AD70)</f>
        <v>886538.68734000006</v>
      </c>
      <c r="AE71" s="171"/>
      <c r="AF71" s="171">
        <f>SUM(AF25:AF70)</f>
        <v>3772.3800075603299</v>
      </c>
      <c r="AG71" s="171">
        <f>SUM(AG25:AG70)</f>
        <v>0</v>
      </c>
      <c r="AH71" s="173">
        <f>SUM(AH25:AH69)</f>
        <v>3772.3800075603299</v>
      </c>
      <c r="AJ71" s="170" t="s">
        <v>577</v>
      </c>
      <c r="AK71" s="171">
        <f>SUM(AK25:AK70)</f>
        <v>886538.68734000006</v>
      </c>
      <c r="AL71" s="171">
        <f t="shared" ref="AL71" si="296">SUM(AL25:AL70)</f>
        <v>0</v>
      </c>
      <c r="AM71" s="171">
        <f t="shared" ref="AM71" si="297">SUM(AM25:AM70)</f>
        <v>886538.68734000006</v>
      </c>
      <c r="AN71" s="171"/>
      <c r="AO71" s="171">
        <f>SUM(AO25:AO70)</f>
        <v>9770.4642195812576</v>
      </c>
      <c r="AP71" s="171">
        <f>SUM(AP25:AP70)</f>
        <v>0</v>
      </c>
      <c r="AQ71" s="173">
        <f>SUM(AQ25:AQ69)</f>
        <v>9770.4642195812576</v>
      </c>
      <c r="AS71" s="170" t="s">
        <v>577</v>
      </c>
      <c r="AT71" s="171">
        <f>SUM(AT25:AT70)</f>
        <v>886538.68734000006</v>
      </c>
      <c r="AU71" s="171">
        <f t="shared" ref="AU71" si="298">SUM(AU25:AU70)</f>
        <v>0</v>
      </c>
      <c r="AV71" s="171">
        <f t="shared" ref="AV71" si="299">SUM(AV25:AV70)</f>
        <v>886538.68734000006</v>
      </c>
      <c r="AW71" s="171"/>
      <c r="AX71" s="171">
        <f>SUM(AX25:AX70)</f>
        <v>9902.4975198458651</v>
      </c>
      <c r="AY71" s="171">
        <f>SUM(AY25:AY70)</f>
        <v>0</v>
      </c>
      <c r="AZ71" s="173">
        <f>SUM(AZ25:AZ69)</f>
        <v>9902.4975198458651</v>
      </c>
      <c r="BB71" s="170" t="s">
        <v>577</v>
      </c>
      <c r="BC71" s="171">
        <f>SUM(BC25:BC70)</f>
        <v>886538.68734000006</v>
      </c>
      <c r="BD71" s="171">
        <f t="shared" ref="BD71" si="300">SUM(BD25:BD70)</f>
        <v>0</v>
      </c>
      <c r="BE71" s="171">
        <f t="shared" ref="BE71" si="301">SUM(BE25:BE70)</f>
        <v>886538.68734000006</v>
      </c>
      <c r="BF71" s="171"/>
      <c r="BG71" s="171" t="e">
        <f>SUM(BG25:BG70)</f>
        <v>#REF!</v>
      </c>
      <c r="BH71" s="171" t="e">
        <f>SUM(BH25:BH70)</f>
        <v>#REF!</v>
      </c>
      <c r="BI71" s="173" t="e">
        <f>SUM(BI25:BI69)</f>
        <v>#REF!</v>
      </c>
      <c r="BK71" s="170" t="s">
        <v>577</v>
      </c>
      <c r="BL71" s="171">
        <f>SUM(BL25:BL70)</f>
        <v>886538.68734000006</v>
      </c>
      <c r="BM71" s="171">
        <f t="shared" ref="BM71" si="302">SUM(BM25:BM70)</f>
        <v>0</v>
      </c>
      <c r="BN71" s="171">
        <f t="shared" ref="BN71" si="303">SUM(BN25:BN70)</f>
        <v>886538.68734000006</v>
      </c>
      <c r="BO71" s="171"/>
      <c r="BP71" s="171">
        <f>SUM(BP25:BP70)</f>
        <v>18748.728637574844</v>
      </c>
      <c r="BQ71" s="171">
        <f>SUM(BQ25:BQ70)</f>
        <v>0</v>
      </c>
      <c r="BR71" s="173">
        <f>SUM(BR25:BR69)</f>
        <v>18748.728637574844</v>
      </c>
      <c r="BT71" s="170" t="s">
        <v>577</v>
      </c>
      <c r="BU71" s="171">
        <f>SUM(BU25:BU70)</f>
        <v>886538.68734000006</v>
      </c>
      <c r="BV71" s="171">
        <f t="shared" ref="BV71" si="304">SUM(BV25:BV70)</f>
        <v>0</v>
      </c>
      <c r="BW71" s="171">
        <f t="shared" ref="BW71" si="305">SUM(BW25:BW70)</f>
        <v>886538.68734000006</v>
      </c>
      <c r="BX71" s="171"/>
      <c r="BY71" s="171">
        <f>SUM(BY25:BY70)</f>
        <v>19672.961739427119</v>
      </c>
      <c r="BZ71" s="171">
        <f>SUM(BZ25:BZ70)</f>
        <v>0</v>
      </c>
      <c r="CA71" s="173">
        <f>SUM(CA25:CA69)</f>
        <v>19672.961739427119</v>
      </c>
      <c r="CC71" s="170" t="s">
        <v>577</v>
      </c>
      <c r="CD71" s="171">
        <f>SUM(CD25:CD70)</f>
        <v>886538.68734000006</v>
      </c>
      <c r="CE71" s="171">
        <f t="shared" ref="CE71" si="306">SUM(CE25:CE70)</f>
        <v>0</v>
      </c>
      <c r="CF71" s="171">
        <f t="shared" ref="CF71" si="307">SUM(CF25:CF70)</f>
        <v>886538.68734000006</v>
      </c>
      <c r="CG71" s="171"/>
      <c r="CH71" s="171">
        <f>SUM(CH25:CH70)</f>
        <v>66507.05953328863</v>
      </c>
      <c r="CI71" s="171">
        <f>SUM(CI25:CI70)</f>
        <v>0</v>
      </c>
      <c r="CJ71" s="173">
        <f>SUM(CJ25:CJ69)</f>
        <v>66507.05953328863</v>
      </c>
      <c r="CL71" s="170" t="s">
        <v>577</v>
      </c>
      <c r="CM71" s="171">
        <f>SUM(CM25:CM70)</f>
        <v>886538.68734000006</v>
      </c>
      <c r="CN71" s="171">
        <f t="shared" ref="CN71" si="308">SUM(CN25:CN70)</f>
        <v>0</v>
      </c>
      <c r="CO71" s="171">
        <f t="shared" ref="CO71" si="309">SUM(CO25:CO70)</f>
        <v>886538.68734000006</v>
      </c>
      <c r="CP71" s="171"/>
      <c r="CQ71" s="171">
        <f>SUM(CQ25:CQ70)</f>
        <v>202501.35880583848</v>
      </c>
      <c r="CR71" s="171">
        <f>SUM(CR25:CR70)</f>
        <v>0</v>
      </c>
      <c r="CS71" s="173">
        <f>SUM(CS25:CS69)</f>
        <v>202501.35880583848</v>
      </c>
      <c r="CU71" s="170" t="s">
        <v>577</v>
      </c>
      <c r="CV71" s="171">
        <f>SUM(CV25:CV70)</f>
        <v>886538.68734000006</v>
      </c>
      <c r="CW71" s="171">
        <f t="shared" ref="CW71" si="310">SUM(CW25:CW70)</f>
        <v>0</v>
      </c>
      <c r="CX71" s="171">
        <f t="shared" ref="CX71" si="311">SUM(CX25:CX70)</f>
        <v>886538.68734000006</v>
      </c>
      <c r="CY71" s="171"/>
      <c r="CZ71" s="171">
        <f>SUM(CZ25:CZ70)</f>
        <v>56585.700113404957</v>
      </c>
      <c r="DA71" s="171">
        <f>SUM(DA25:DA70)</f>
        <v>0</v>
      </c>
      <c r="DB71" s="173">
        <f>SUM(DB25:DB69)</f>
        <v>56585.700113404957</v>
      </c>
      <c r="DD71" s="170" t="s">
        <v>577</v>
      </c>
      <c r="DE71" s="171">
        <f>SUM(DE25:DE70)</f>
        <v>886538.68734000006</v>
      </c>
      <c r="DF71" s="171">
        <f t="shared" ref="DF71" si="312">SUM(DF25:DF70)</f>
        <v>0</v>
      </c>
      <c r="DG71" s="171">
        <f t="shared" ref="DG71" si="313">SUM(DG25:DG70)</f>
        <v>886538.68734000006</v>
      </c>
      <c r="DH71" s="171"/>
      <c r="DI71" s="171">
        <f>SUM(DI25:DI70)</f>
        <v>9430.9500189008268</v>
      </c>
      <c r="DJ71" s="171">
        <f>SUM(DJ25:DJ70)</f>
        <v>0</v>
      </c>
      <c r="DK71" s="173">
        <f>SUM(DK25:DK69)</f>
        <v>9430.9500189008268</v>
      </c>
      <c r="DM71" s="170" t="s">
        <v>577</v>
      </c>
      <c r="DN71" s="171">
        <f>SUM(DN25:DN70)</f>
        <v>886538.68734000006</v>
      </c>
      <c r="DO71" s="171">
        <f t="shared" ref="DO71" si="314">SUM(DO25:DO70)</f>
        <v>-281559.30320000002</v>
      </c>
      <c r="DP71" s="171">
        <f t="shared" ref="DP71" si="315">SUM(DP25:DP70)</f>
        <v>604979.38413999998</v>
      </c>
      <c r="DQ71" s="171"/>
      <c r="DR71" s="171">
        <f>SUM(DR25:DR70)</f>
        <v>34314.315023491719</v>
      </c>
      <c r="DS71" s="171">
        <f>SUM(DS25:DS70)</f>
        <v>0</v>
      </c>
      <c r="DT71" s="173">
        <f>SUM(DT25:DT69)</f>
        <v>34314.315023491719</v>
      </c>
      <c r="DV71" s="170" t="s">
        <v>577</v>
      </c>
      <c r="DW71" s="171">
        <f>SUM(DW25:DW70)</f>
        <v>886538.68734000006</v>
      </c>
      <c r="DX71" s="171">
        <f t="shared" ref="DX71" si="316">SUM(DX25:DX70)</f>
        <v>-281559.30320000002</v>
      </c>
      <c r="DY71" s="171">
        <f t="shared" ref="DY71" si="317">SUM(DY25:DY70)</f>
        <v>604979.38413999998</v>
      </c>
      <c r="DZ71" s="171"/>
      <c r="EA71" s="171">
        <f>SUM(EA25:EA70)</f>
        <v>94956.809598847583</v>
      </c>
      <c r="EB71" s="171">
        <f>SUM(EB25:EB70)</f>
        <v>0</v>
      </c>
      <c r="EC71" s="173">
        <f>SUM(EC25:EC69)</f>
        <v>94956.809598847583</v>
      </c>
      <c r="EE71" s="170" t="s">
        <v>577</v>
      </c>
      <c r="EF71" s="171">
        <f>SUM(EF25:EF70)</f>
        <v>966038.68734000006</v>
      </c>
      <c r="EG71" s="171">
        <f t="shared" ref="EG71" si="318">SUM(EG25:EG70)</f>
        <v>-355059.30320000002</v>
      </c>
      <c r="EH71" s="171">
        <f t="shared" ref="EH71" si="319">SUM(EH25:EH70)</f>
        <v>610979.38413999998</v>
      </c>
      <c r="EI71" s="171"/>
      <c r="EJ71" s="171">
        <f>SUM(EJ25:EJ70)</f>
        <v>77989.032750443235</v>
      </c>
      <c r="EK71" s="171">
        <f>SUM(EK25:EK70)</f>
        <v>11698.354912566487</v>
      </c>
      <c r="EL71" s="173">
        <f>SUM(EL25:EL69)</f>
        <v>89687.387663009722</v>
      </c>
      <c r="EN71" s="170" t="s">
        <v>577</v>
      </c>
      <c r="EO71" s="171">
        <f>SUM(EO25:EO70)</f>
        <v>886538.68734000006</v>
      </c>
      <c r="EP71" s="171">
        <f t="shared" ref="EP71" si="320">SUM(EP25:EP70)</f>
        <v>0</v>
      </c>
      <c r="EQ71" s="171">
        <f t="shared" ref="EQ71" si="321">SUM(EQ25:EQ70)</f>
        <v>886538.68734000006</v>
      </c>
      <c r="ER71" s="171"/>
      <c r="ES71" s="171">
        <f>SUM(ES25:ES70)</f>
        <v>37591.766775338685</v>
      </c>
      <c r="ET71" s="171">
        <f>SUM(ET25:ET70)</f>
        <v>0</v>
      </c>
      <c r="EU71" s="173">
        <f>SUM(EU25:EU69)</f>
        <v>37591.766775338685</v>
      </c>
      <c r="EW71" s="170" t="s">
        <v>577</v>
      </c>
      <c r="EX71" s="171">
        <f>SUM(EX25:EX70)</f>
        <v>886538.68734000006</v>
      </c>
      <c r="EY71" s="171">
        <f t="shared" ref="EY71" si="322">SUM(EY25:EY70)</f>
        <v>0</v>
      </c>
      <c r="EZ71" s="171">
        <f t="shared" ref="EZ71" si="323">SUM(EZ25:EZ70)</f>
        <v>886538.68734000006</v>
      </c>
      <c r="FA71" s="171"/>
      <c r="FB71" s="171">
        <f>SUM(FB25:FB70)</f>
        <v>18145.147836365191</v>
      </c>
      <c r="FC71" s="171">
        <f>SUM(FC25:FC70)</f>
        <v>0</v>
      </c>
      <c r="FD71" s="173">
        <f>SUM(FD25:FD69)</f>
        <v>18145.147836365191</v>
      </c>
      <c r="FF71" s="170" t="s">
        <v>577</v>
      </c>
      <c r="FG71" s="171">
        <f>SUM(FG25:FG70)</f>
        <v>886538.68734000006</v>
      </c>
      <c r="FH71" s="171">
        <f t="shared" ref="FH71" si="324">SUM(FH25:FH70)</f>
        <v>0</v>
      </c>
      <c r="FI71" s="171">
        <f t="shared" ref="FI71" si="325">SUM(FI25:FI70)</f>
        <v>886538.68734000006</v>
      </c>
      <c r="FJ71" s="171"/>
      <c r="FK71" s="171">
        <f>SUM(FK25:FK70)</f>
        <v>69864.477740017304</v>
      </c>
      <c r="FL71" s="171">
        <f>SUM(FL25:FL70)</f>
        <v>0</v>
      </c>
      <c r="FM71" s="173">
        <f>SUM(FM25:FM69)</f>
        <v>69864.477740017304</v>
      </c>
    </row>
    <row r="72" spans="1:169">
      <c r="A72" s="52"/>
      <c r="B72" s="45"/>
      <c r="C72" s="45"/>
      <c r="D72" s="45"/>
      <c r="E72" s="45"/>
      <c r="F72" s="106"/>
      <c r="I72" s="108"/>
      <c r="J72" s="110"/>
      <c r="K72" s="110"/>
      <c r="L72" s="110"/>
      <c r="M72" s="110"/>
      <c r="N72" s="110"/>
      <c r="P72" s="110"/>
      <c r="R72" s="108"/>
      <c r="S72" s="110"/>
      <c r="T72" s="110"/>
      <c r="U72" s="110"/>
      <c r="V72" s="110"/>
      <c r="W72" s="110"/>
      <c r="Y72" s="110"/>
      <c r="AA72" s="108"/>
      <c r="AB72" s="110"/>
      <c r="AC72" s="110"/>
      <c r="AD72" s="110"/>
      <c r="AE72" s="110"/>
      <c r="AF72" s="110"/>
      <c r="AH72" s="110"/>
      <c r="AJ72" s="108"/>
      <c r="AK72" s="110"/>
      <c r="AL72" s="110"/>
      <c r="AM72" s="110"/>
      <c r="AN72" s="110"/>
      <c r="AO72" s="110"/>
      <c r="AQ72" s="110"/>
      <c r="AS72" s="108"/>
      <c r="AT72" s="110"/>
      <c r="AU72" s="110"/>
      <c r="AV72" s="110"/>
      <c r="AW72" s="110"/>
      <c r="AX72" s="110"/>
      <c r="AZ72" s="110"/>
      <c r="BB72" s="108"/>
      <c r="BC72" s="110"/>
      <c r="BD72" s="110"/>
      <c r="BE72" s="110"/>
      <c r="BF72" s="110"/>
      <c r="BG72" s="110"/>
      <c r="BI72" s="110"/>
      <c r="BK72" s="108"/>
      <c r="BL72" s="110"/>
      <c r="BM72" s="110"/>
      <c r="BN72" s="110"/>
      <c r="BO72" s="110"/>
      <c r="BP72" s="110"/>
      <c r="BR72" s="110"/>
      <c r="BT72" s="108"/>
      <c r="BU72" s="110"/>
      <c r="BV72" s="110"/>
      <c r="BW72" s="110"/>
      <c r="BX72" s="110"/>
      <c r="BY72" s="110"/>
      <c r="CA72" s="110"/>
      <c r="CC72" s="108"/>
      <c r="CD72" s="110"/>
      <c r="CE72" s="110"/>
      <c r="CF72" s="110"/>
      <c r="CG72" s="110"/>
      <c r="CH72" s="110"/>
      <c r="CJ72" s="110"/>
      <c r="CL72" s="108"/>
      <c r="CM72" s="110"/>
      <c r="CN72" s="110"/>
      <c r="CO72" s="110"/>
      <c r="CP72" s="110"/>
      <c r="CQ72" s="110"/>
      <c r="CS72" s="110"/>
      <c r="CU72" s="108"/>
      <c r="CV72" s="110"/>
      <c r="CW72" s="110"/>
      <c r="CX72" s="110"/>
      <c r="CY72" s="110"/>
      <c r="CZ72" s="110"/>
      <c r="DB72" s="110"/>
      <c r="DD72" s="108"/>
      <c r="DE72" s="110"/>
      <c r="DF72" s="110"/>
      <c r="DG72" s="110"/>
      <c r="DH72" s="110"/>
      <c r="DI72" s="110"/>
      <c r="DK72" s="110"/>
      <c r="DM72" s="108"/>
      <c r="DN72" s="110"/>
      <c r="DO72" s="110"/>
      <c r="DP72" s="110"/>
      <c r="DQ72" s="110"/>
      <c r="DR72" s="110"/>
      <c r="DT72" s="110"/>
      <c r="DV72" s="108"/>
      <c r="DW72" s="110"/>
      <c r="DX72" s="110"/>
      <c r="DY72" s="110"/>
      <c r="DZ72" s="110"/>
      <c r="EA72" s="110"/>
      <c r="EC72" s="110"/>
      <c r="EE72" s="108"/>
      <c r="EF72" s="110"/>
      <c r="EG72" s="110"/>
      <c r="EH72" s="110"/>
      <c r="EI72" s="110"/>
      <c r="EJ72" s="110"/>
      <c r="EL72" s="110"/>
      <c r="EN72" s="108"/>
      <c r="EO72" s="110"/>
      <c r="EP72" s="110"/>
      <c r="EQ72" s="110"/>
      <c r="ER72" s="110"/>
      <c r="ES72" s="110"/>
      <c r="EU72" s="110"/>
      <c r="EW72" s="108"/>
      <c r="EX72" s="110"/>
      <c r="EY72" s="110"/>
      <c r="EZ72" s="110"/>
      <c r="FA72" s="110"/>
      <c r="FB72" s="110"/>
      <c r="FD72" s="110"/>
      <c r="FF72" s="108"/>
      <c r="FG72" s="110"/>
      <c r="FH72" s="110"/>
      <c r="FI72" s="110"/>
      <c r="FJ72" s="110"/>
      <c r="FK72" s="110"/>
      <c r="FM72" s="110"/>
    </row>
    <row r="73" spans="1:169">
      <c r="A73" s="52"/>
      <c r="B73" s="51" t="str">
        <f>Summ.!B83</f>
        <v>FOOD COURT CAM</v>
      </c>
      <c r="C73" s="45"/>
      <c r="D73" s="45"/>
      <c r="E73" s="45"/>
      <c r="F73" s="106"/>
      <c r="I73" s="109" t="s">
        <v>578</v>
      </c>
      <c r="J73" s="110"/>
      <c r="K73" s="110"/>
      <c r="L73" s="110"/>
      <c r="M73" s="110"/>
      <c r="N73" s="110"/>
      <c r="P73" s="110"/>
      <c r="R73" s="109" t="s">
        <v>578</v>
      </c>
      <c r="S73" s="110"/>
      <c r="T73" s="110"/>
      <c r="U73" s="110"/>
      <c r="V73" s="110"/>
      <c r="W73" s="110"/>
      <c r="Y73" s="110"/>
      <c r="AA73" s="109" t="s">
        <v>578</v>
      </c>
      <c r="AB73" s="110"/>
      <c r="AC73" s="110"/>
      <c r="AD73" s="110"/>
      <c r="AE73" s="110"/>
      <c r="AF73" s="110"/>
      <c r="AH73" s="110"/>
      <c r="AJ73" s="109" t="s">
        <v>578</v>
      </c>
      <c r="AK73" s="110"/>
      <c r="AL73" s="110"/>
      <c r="AM73" s="110"/>
      <c r="AN73" s="110"/>
      <c r="AO73" s="110"/>
      <c r="AQ73" s="110"/>
      <c r="AS73" s="109" t="s">
        <v>578</v>
      </c>
      <c r="AT73" s="110"/>
      <c r="AU73" s="110"/>
      <c r="AV73" s="110"/>
      <c r="AW73" s="110"/>
      <c r="AX73" s="110"/>
      <c r="AZ73" s="110"/>
      <c r="BB73" s="109" t="s">
        <v>578</v>
      </c>
      <c r="BC73" s="110"/>
      <c r="BD73" s="110"/>
      <c r="BE73" s="110"/>
      <c r="BF73" s="110"/>
      <c r="BG73" s="110"/>
      <c r="BI73" s="110"/>
      <c r="BK73" s="109" t="s">
        <v>578</v>
      </c>
      <c r="BL73" s="110"/>
      <c r="BM73" s="110"/>
      <c r="BN73" s="110"/>
      <c r="BO73" s="110"/>
      <c r="BP73" s="110"/>
      <c r="BR73" s="110"/>
      <c r="BT73" s="109" t="s">
        <v>578</v>
      </c>
      <c r="BU73" s="110"/>
      <c r="BV73" s="110"/>
      <c r="BW73" s="110"/>
      <c r="BX73" s="110"/>
      <c r="BY73" s="110"/>
      <c r="CA73" s="110"/>
      <c r="CC73" s="109" t="s">
        <v>578</v>
      </c>
      <c r="CD73" s="110"/>
      <c r="CE73" s="110"/>
      <c r="CF73" s="110"/>
      <c r="CG73" s="110"/>
      <c r="CH73" s="110"/>
      <c r="CJ73" s="110"/>
      <c r="CL73" s="109" t="s">
        <v>578</v>
      </c>
      <c r="CM73" s="110"/>
      <c r="CN73" s="110"/>
      <c r="CO73" s="110"/>
      <c r="CP73" s="110"/>
      <c r="CQ73" s="110"/>
      <c r="CS73" s="110"/>
      <c r="CU73" s="109" t="s">
        <v>578</v>
      </c>
      <c r="CV73" s="110"/>
      <c r="CW73" s="110"/>
      <c r="CX73" s="110"/>
      <c r="CY73" s="110"/>
      <c r="CZ73" s="110"/>
      <c r="DB73" s="110"/>
      <c r="DD73" s="109" t="s">
        <v>578</v>
      </c>
      <c r="DE73" s="110"/>
      <c r="DF73" s="110"/>
      <c r="DG73" s="110"/>
      <c r="DH73" s="110"/>
      <c r="DI73" s="110"/>
      <c r="DK73" s="110"/>
      <c r="DM73" s="109" t="s">
        <v>578</v>
      </c>
      <c r="DN73" s="110"/>
      <c r="DO73" s="110"/>
      <c r="DP73" s="110"/>
      <c r="DQ73" s="110"/>
      <c r="DR73" s="110"/>
      <c r="DT73" s="110"/>
      <c r="DV73" s="109" t="s">
        <v>578</v>
      </c>
      <c r="DW73" s="110"/>
      <c r="DX73" s="110"/>
      <c r="DY73" s="110"/>
      <c r="DZ73" s="110"/>
      <c r="EA73" s="110"/>
      <c r="EC73" s="110"/>
      <c r="EE73" s="109" t="s">
        <v>578</v>
      </c>
      <c r="EF73" s="110"/>
      <c r="EG73" s="110"/>
      <c r="EH73" s="110"/>
      <c r="EI73" s="110"/>
      <c r="EJ73" s="110"/>
      <c r="EL73" s="110"/>
      <c r="EN73" s="109" t="s">
        <v>578</v>
      </c>
      <c r="EO73" s="110"/>
      <c r="EP73" s="110"/>
      <c r="EQ73" s="110"/>
      <c r="ER73" s="110"/>
      <c r="ES73" s="110"/>
      <c r="EU73" s="110"/>
      <c r="EW73" s="109" t="s">
        <v>578</v>
      </c>
      <c r="EX73" s="110"/>
      <c r="EY73" s="110"/>
      <c r="EZ73" s="110"/>
      <c r="FA73" s="110"/>
      <c r="FB73" s="110"/>
      <c r="FD73" s="110"/>
      <c r="FF73" s="109" t="s">
        <v>578</v>
      </c>
      <c r="FG73" s="110"/>
      <c r="FH73" s="110"/>
      <c r="FI73" s="110"/>
      <c r="FJ73" s="110"/>
      <c r="FK73" s="110"/>
      <c r="FM73" s="110"/>
    </row>
    <row r="74" spans="1:169">
      <c r="A74" s="52">
        <f>Summ.!A84</f>
        <v>57110</v>
      </c>
      <c r="B74" s="119" t="str">
        <f>Summ.!B84</f>
        <v>Janitorial and Supplies</v>
      </c>
      <c r="C74" s="45"/>
      <c r="D74" s="45"/>
      <c r="E74" s="45"/>
      <c r="F74" s="106">
        <f>Summ.!O84</f>
        <v>39600</v>
      </c>
      <c r="G74" s="482">
        <f>Rent!$B$43</f>
        <v>28021</v>
      </c>
      <c r="H74" s="52">
        <f>Summ.!$A84</f>
        <v>57110</v>
      </c>
      <c r="I74" s="119" t="str">
        <f>Summ.!$B84</f>
        <v>Janitorial and Supplies</v>
      </c>
      <c r="J74" s="134">
        <f>$F74</f>
        <v>39600</v>
      </c>
      <c r="K74" s="110">
        <v>0</v>
      </c>
      <c r="L74" s="110">
        <f t="shared" ref="L74" si="326">J74+K74</f>
        <v>39600</v>
      </c>
      <c r="M74" s="113">
        <f>J$8/$G74</f>
        <v>0.13821776524749296</v>
      </c>
      <c r="N74" s="110">
        <f t="shared" ref="N74:N77" si="327">L74*M74</f>
        <v>5473.4235038007209</v>
      </c>
      <c r="O74" s="115">
        <f t="shared" ref="O74:O77" si="328">N74*$O$11</f>
        <v>0</v>
      </c>
      <c r="P74" s="110">
        <f t="shared" ref="P74:P77" si="329">N74+O74</f>
        <v>5473.4235038007209</v>
      </c>
      <c r="Q74" s="52">
        <f>Summ.!$A84</f>
        <v>57110</v>
      </c>
      <c r="R74" s="119" t="str">
        <f>Summ.!$B84</f>
        <v>Janitorial and Supplies</v>
      </c>
      <c r="S74" s="134">
        <f>$F74</f>
        <v>39600</v>
      </c>
      <c r="T74" s="110">
        <v>0</v>
      </c>
      <c r="U74" s="110">
        <f t="shared" ref="U74:U77" si="330">S74+T74</f>
        <v>39600</v>
      </c>
      <c r="V74" s="113">
        <f>S$8/$G74</f>
        <v>3.8328396559723067E-2</v>
      </c>
      <c r="W74" s="110">
        <f t="shared" ref="W74:W77" si="331">U74*V74</f>
        <v>1517.8045037650334</v>
      </c>
      <c r="X74" s="115">
        <f t="shared" ref="X74:X77" si="332">W74*$O$11</f>
        <v>0</v>
      </c>
      <c r="Y74" s="110">
        <f t="shared" ref="Y74:Y77" si="333">W74+X74</f>
        <v>1517.8045037650334</v>
      </c>
      <c r="Z74" s="52">
        <f>Summ.!$A84</f>
        <v>57110</v>
      </c>
      <c r="AA74" s="119" t="str">
        <f>Summ.!$B84</f>
        <v>Janitorial and Supplies</v>
      </c>
      <c r="AB74" s="134">
        <f>$F74</f>
        <v>39600</v>
      </c>
      <c r="AC74" s="110">
        <v>0</v>
      </c>
      <c r="AD74" s="110">
        <f t="shared" ref="AD74:AD77" si="334">AB74+AC74</f>
        <v>39600</v>
      </c>
      <c r="AE74" s="113">
        <f>AB$8/$G74</f>
        <v>7.1375040148460083E-3</v>
      </c>
      <c r="AF74" s="110">
        <f t="shared" ref="AF74:AF77" si="335">AD74*AE74</f>
        <v>282.64515898790194</v>
      </c>
      <c r="AG74" s="115">
        <f t="shared" ref="AG74:AG77" si="336">AF74*$AG$11</f>
        <v>0</v>
      </c>
      <c r="AH74" s="110">
        <f t="shared" ref="AH74:AH77" si="337">AF74+AG74</f>
        <v>282.64515898790194</v>
      </c>
      <c r="AI74" s="52">
        <f>Summ.!$A84</f>
        <v>57110</v>
      </c>
      <c r="AJ74" s="119" t="str">
        <f>Summ.!$B84</f>
        <v>Janitorial and Supplies</v>
      </c>
      <c r="AK74" s="134">
        <f>$F74</f>
        <v>39600</v>
      </c>
      <c r="AL74" s="110">
        <v>0</v>
      </c>
      <c r="AM74" s="110">
        <f t="shared" ref="AM74:AM77" si="338">AK74+AL74</f>
        <v>39600</v>
      </c>
      <c r="AN74" s="113">
        <f>AK$8/$G74</f>
        <v>1.8486135398451162E-2</v>
      </c>
      <c r="AO74" s="110">
        <f t="shared" ref="AO74:AO77" si="339">AM74*AN74</f>
        <v>732.05096177866596</v>
      </c>
      <c r="AP74" s="115">
        <f t="shared" ref="AP74:AP77" si="340">AO74*$AP$11</f>
        <v>0</v>
      </c>
      <c r="AQ74" s="110">
        <f t="shared" ref="AQ74:AQ77" si="341">AO74+AP74</f>
        <v>732.05096177866596</v>
      </c>
      <c r="AR74" s="52">
        <f>Summ.!$A84</f>
        <v>57110</v>
      </c>
      <c r="AS74" s="119" t="str">
        <f>Summ.!$B84</f>
        <v>Janitorial and Supplies</v>
      </c>
      <c r="AT74" s="134">
        <f>$F74</f>
        <v>39600</v>
      </c>
      <c r="AU74" s="110">
        <f>-AT74</f>
        <v>-39600</v>
      </c>
      <c r="AV74" s="110">
        <f t="shared" ref="AV74:AV77" si="342">AT74+AU74</f>
        <v>0</v>
      </c>
      <c r="AW74" s="113">
        <f>AT$8/$G74</f>
        <v>1.8735948038970773E-2</v>
      </c>
      <c r="AX74" s="110">
        <f t="shared" ref="AX74:AX77" si="343">AV74*AW74</f>
        <v>0</v>
      </c>
      <c r="AY74" s="115">
        <f t="shared" ref="AY74:AY77" si="344">AX74*$AY$11</f>
        <v>0</v>
      </c>
      <c r="AZ74" s="110">
        <f t="shared" ref="AZ74:AZ77" si="345">AX74+AY74</f>
        <v>0</v>
      </c>
      <c r="BA74" s="52">
        <f>Summ.!$A84</f>
        <v>57110</v>
      </c>
      <c r="BB74" s="119" t="str">
        <f>Summ.!$B84</f>
        <v>Janitorial and Supplies</v>
      </c>
      <c r="BC74" s="134">
        <f>$F74</f>
        <v>39600</v>
      </c>
      <c r="BD74" s="110">
        <f>-BC74</f>
        <v>-39600</v>
      </c>
      <c r="BE74" s="110">
        <f t="shared" ref="BE74:BE77" si="346">BC74+BD74</f>
        <v>0</v>
      </c>
      <c r="BF74" s="113" t="e">
        <f>BC$8/$G74</f>
        <v>#REF!</v>
      </c>
      <c r="BG74" s="110" t="e">
        <f t="shared" ref="BG74:BG77" si="347">BE74*BF74</f>
        <v>#REF!</v>
      </c>
      <c r="BH74" s="115" t="e">
        <f t="shared" ref="BH74:BH77" si="348">BG74*$BH$11</f>
        <v>#REF!</v>
      </c>
      <c r="BI74" s="110" t="e">
        <f t="shared" ref="BI74:BI77" si="349">BG74+BH74</f>
        <v>#REF!</v>
      </c>
      <c r="BJ74" s="52">
        <f>Summ.!$A84</f>
        <v>57110</v>
      </c>
      <c r="BK74" s="119" t="str">
        <f>Summ.!$B84</f>
        <v>Janitorial and Supplies</v>
      </c>
      <c r="BL74" s="134">
        <f>$F74</f>
        <v>39600</v>
      </c>
      <c r="BM74" s="110">
        <v>0</v>
      </c>
      <c r="BN74" s="110">
        <f t="shared" ref="BN74:BN77" si="350">BL74+BM74</f>
        <v>39600</v>
      </c>
      <c r="BO74" s="113">
        <f>BL$8/$G74</f>
        <v>3.5473394953784661E-2</v>
      </c>
      <c r="BP74" s="110">
        <f t="shared" ref="BP74:BP77" si="351">BN74*BO74</f>
        <v>1404.7464401698726</v>
      </c>
      <c r="BQ74" s="115">
        <f t="shared" ref="BQ74:BQ77" si="352">BP74*$BQ$11</f>
        <v>0</v>
      </c>
      <c r="BR74" s="110">
        <f t="shared" ref="BR74:BR77" si="353">BP74+BQ74</f>
        <v>1404.7464401698726</v>
      </c>
      <c r="BS74" s="52">
        <f>Summ.!$A84</f>
        <v>57110</v>
      </c>
      <c r="BT74" s="119" t="str">
        <f>Summ.!$B84</f>
        <v>Janitorial and Supplies</v>
      </c>
      <c r="BU74" s="134">
        <f>$F74</f>
        <v>39600</v>
      </c>
      <c r="BV74" s="110">
        <f>-BU74</f>
        <v>-39600</v>
      </c>
      <c r="BW74" s="110">
        <f t="shared" ref="BW74:BW77" si="354">BU74+BV74</f>
        <v>0</v>
      </c>
      <c r="BX74" s="113">
        <f>BU$8/$G74</f>
        <v>3.7222083437421935E-2</v>
      </c>
      <c r="BY74" s="110">
        <f t="shared" ref="BY74:BY77" si="355">BW74*BX74</f>
        <v>0</v>
      </c>
      <c r="BZ74" s="115">
        <f t="shared" ref="BZ74:BZ77" si="356">BY74*$BZ$11</f>
        <v>0</v>
      </c>
      <c r="CA74" s="110">
        <f t="shared" ref="CA74:CA77" si="357">BY74+BZ74</f>
        <v>0</v>
      </c>
      <c r="CB74" s="52">
        <f>Summ.!$A84</f>
        <v>57110</v>
      </c>
      <c r="CC74" s="119" t="str">
        <f>Summ.!$B84</f>
        <v>Janitorial and Supplies</v>
      </c>
      <c r="CD74" s="134">
        <f>$F74</f>
        <v>39600</v>
      </c>
      <c r="CE74" s="110">
        <v>0</v>
      </c>
      <c r="CF74" s="110">
        <f t="shared" ref="CF74:CF77" si="358">CD74+CE74</f>
        <v>39600</v>
      </c>
      <c r="CG74" s="113">
        <f>CD$8/$G74</f>
        <v>0.12583419578173513</v>
      </c>
      <c r="CH74" s="110">
        <f t="shared" ref="CH74:CH77" si="359">CF74*CG74</f>
        <v>4983.0341529567113</v>
      </c>
      <c r="CI74" s="115">
        <f t="shared" ref="CI74:CI77" si="360">CH74*$CI$11</f>
        <v>0</v>
      </c>
      <c r="CJ74" s="110">
        <f t="shared" ref="CJ74:CJ77" si="361">CH74+CI74</f>
        <v>4983.0341529567113</v>
      </c>
      <c r="CK74" s="52">
        <f>Summ.!$A84</f>
        <v>57110</v>
      </c>
      <c r="CL74" s="119" t="str">
        <f>Summ.!$B84</f>
        <v>Janitorial and Supplies</v>
      </c>
      <c r="CM74" s="134">
        <f>$F74</f>
        <v>39600</v>
      </c>
      <c r="CN74" s="110">
        <v>0</v>
      </c>
      <c r="CO74" s="110">
        <f t="shared" ref="CO74:CO77" si="362">CM74+CN74</f>
        <v>39600</v>
      </c>
      <c r="CP74" s="113">
        <f>CM$8/$G74</f>
        <v>0.38314121551693375</v>
      </c>
      <c r="CQ74" s="110">
        <f t="shared" ref="CQ74:CQ77" si="363">CO74*CP74</f>
        <v>15172.392134470576</v>
      </c>
      <c r="CR74" s="115">
        <f t="shared" ref="CR74:CR77" si="364">CQ74*$CR$11</f>
        <v>0</v>
      </c>
      <c r="CS74" s="110">
        <f t="shared" ref="CS74:CS77" si="365">CQ74+CR74</f>
        <v>15172.392134470576</v>
      </c>
      <c r="CT74" s="52">
        <f>Summ.!$A84</f>
        <v>57110</v>
      </c>
      <c r="CU74" s="119" t="str">
        <f>Summ.!$B84</f>
        <v>Janitorial and Supplies</v>
      </c>
      <c r="CV74" s="134">
        <f>$F74</f>
        <v>39600</v>
      </c>
      <c r="CW74" s="110">
        <f>-CV74</f>
        <v>-39600</v>
      </c>
      <c r="CX74" s="110">
        <f t="shared" ref="CX74:CX77" si="366">CV74+CW74</f>
        <v>0</v>
      </c>
      <c r="CY74" s="113">
        <f>CV$8/$G74</f>
        <v>0.10706256022269013</v>
      </c>
      <c r="CZ74" s="110">
        <f t="shared" ref="CZ74:CZ77" si="367">CX74*CY74</f>
        <v>0</v>
      </c>
      <c r="DA74" s="115">
        <f t="shared" ref="DA74:DA77" si="368">CZ74*$DA$11</f>
        <v>0</v>
      </c>
      <c r="DB74" s="110">
        <f t="shared" ref="DB74:DB77" si="369">CZ74+DA74</f>
        <v>0</v>
      </c>
      <c r="DC74" s="52">
        <f>Summ.!$A84</f>
        <v>57110</v>
      </c>
      <c r="DD74" s="119" t="str">
        <f>Summ.!$B84</f>
        <v>Janitorial and Supplies</v>
      </c>
      <c r="DE74" s="134">
        <f>$F74</f>
        <v>39600</v>
      </c>
      <c r="DF74" s="110">
        <v>0</v>
      </c>
      <c r="DG74" s="110">
        <f t="shared" ref="DG74:DG77" si="370">DE74+DF74</f>
        <v>39600</v>
      </c>
      <c r="DH74" s="113">
        <f>DE$8/$G74</f>
        <v>1.784376003711502E-2</v>
      </c>
      <c r="DI74" s="110">
        <f t="shared" ref="DI74:DI77" si="371">DG74*DH74</f>
        <v>706.61289746975478</v>
      </c>
      <c r="DJ74" s="115">
        <f t="shared" ref="DJ74:DJ77" si="372">DI74*$DJ$11</f>
        <v>0</v>
      </c>
      <c r="DK74" s="110">
        <f t="shared" ref="DK74:DK77" si="373">DI74+DJ74</f>
        <v>706.61289746975478</v>
      </c>
      <c r="DL74" s="52">
        <f>Summ.!$A84</f>
        <v>57110</v>
      </c>
      <c r="DM74" s="119" t="str">
        <f>Summ.!$B84</f>
        <v>Janitorial and Supplies</v>
      </c>
      <c r="DN74" s="134">
        <f>$F74</f>
        <v>39600</v>
      </c>
      <c r="DO74" s="110">
        <v>0</v>
      </c>
      <c r="DP74" s="110">
        <f t="shared" ref="DP74:DP77" si="374">DN74+DO74</f>
        <v>39600</v>
      </c>
      <c r="DQ74" s="113">
        <f>DN$8/$G74</f>
        <v>0.1033510581349702</v>
      </c>
      <c r="DR74" s="110">
        <f t="shared" ref="DR74:DR77" si="375">DP74*DQ74</f>
        <v>4092.70190214482</v>
      </c>
      <c r="DS74" s="115">
        <f t="shared" ref="DS74:DS77" si="376">DR74*$DS$11</f>
        <v>0</v>
      </c>
      <c r="DT74" s="110">
        <f t="shared" ref="DT74:DT77" si="377">DR74+DS74</f>
        <v>4092.70190214482</v>
      </c>
      <c r="DU74" s="52">
        <f>Summ.!$A84</f>
        <v>57110</v>
      </c>
      <c r="DV74" s="119" t="str">
        <f>Summ.!$B84</f>
        <v>Janitorial and Supplies</v>
      </c>
      <c r="DW74" s="134">
        <f>$F74</f>
        <v>39600</v>
      </c>
      <c r="DX74" s="110">
        <f>-DW74</f>
        <v>-39600</v>
      </c>
      <c r="DY74" s="110">
        <f t="shared" ref="DY74:DY77" si="378">DW74+DX74</f>
        <v>0</v>
      </c>
      <c r="DZ74" s="113">
        <f>DW$8/$G74</f>
        <v>0.28599978587487956</v>
      </c>
      <c r="EA74" s="110">
        <f t="shared" ref="EA74:EA77" si="379">DY74*DZ74</f>
        <v>0</v>
      </c>
      <c r="EB74" s="115">
        <f t="shared" ref="EB74:EB77" si="380">EA74*$EB$11</f>
        <v>0</v>
      </c>
      <c r="EC74" s="110">
        <f t="shared" ref="EC74:EC77" si="381">EA74+EB74</f>
        <v>0</v>
      </c>
      <c r="ED74" s="52">
        <f>Summ.!$A84</f>
        <v>57110</v>
      </c>
      <c r="EE74" s="119" t="str">
        <f>Summ.!$B84</f>
        <v>Janitorial and Supplies</v>
      </c>
      <c r="EF74" s="134">
        <f>$F74</f>
        <v>39600</v>
      </c>
      <c r="EG74" s="110">
        <v>0</v>
      </c>
      <c r="EH74" s="110">
        <f t="shared" ref="EH74:EH77" si="382">EF74+EG74</f>
        <v>39600</v>
      </c>
      <c r="EI74" s="113">
        <f>EF$8/$G74</f>
        <v>0.23196888048249528</v>
      </c>
      <c r="EJ74" s="110">
        <f t="shared" ref="EJ74:EJ77" si="383">EH74*EI74</f>
        <v>9185.9676671068137</v>
      </c>
      <c r="EK74" s="115">
        <f t="shared" ref="EK74:EK77" si="384">EJ74*$EK$11</f>
        <v>1377.8951500660221</v>
      </c>
      <c r="EL74" s="110">
        <f t="shared" ref="EL74:EL77" si="385">EJ74+EK74</f>
        <v>10563.862817172836</v>
      </c>
      <c r="EM74" s="52">
        <f>Summ.!$A84</f>
        <v>57110</v>
      </c>
      <c r="EN74" s="119" t="str">
        <f>Summ.!$B84</f>
        <v>Janitorial and Supplies</v>
      </c>
      <c r="EO74" s="134">
        <f>$F74</f>
        <v>39600</v>
      </c>
      <c r="EP74" s="110">
        <v>0</v>
      </c>
      <c r="EQ74" s="110">
        <f t="shared" ref="EQ74:EQ77" si="386">EO74+EP74</f>
        <v>39600</v>
      </c>
      <c r="ER74" s="113">
        <f>EO$8/$G74</f>
        <v>7.1125227507940467E-2</v>
      </c>
      <c r="ES74" s="110">
        <f t="shared" ref="ES74:ES77" si="387">EQ74*ER74</f>
        <v>2816.5590093144424</v>
      </c>
      <c r="ET74" s="115">
        <f t="shared" ref="ET74:ET77" si="388">ES74*$ET$11</f>
        <v>0</v>
      </c>
      <c r="EU74" s="110">
        <f t="shared" ref="EU74:EU77" si="389">ES74+ET74</f>
        <v>2816.5590093144424</v>
      </c>
      <c r="EV74" s="52">
        <f>Summ.!$A84</f>
        <v>57110</v>
      </c>
      <c r="EW74" s="119" t="str">
        <f>Summ.!$B84</f>
        <v>Janitorial and Supplies</v>
      </c>
      <c r="EX74" s="134">
        <f>$F74</f>
        <v>39600</v>
      </c>
      <c r="EY74" s="110">
        <f>-EX74</f>
        <v>-39600</v>
      </c>
      <c r="EZ74" s="110">
        <f t="shared" ref="EZ74:EZ77" si="390">EX74+EY74</f>
        <v>0</v>
      </c>
      <c r="FA74" s="113">
        <f>EX$8/$G74</f>
        <v>3.4331394311409302E-2</v>
      </c>
      <c r="FB74" s="110">
        <f t="shared" ref="FB74:FB77" si="391">EZ74*FA74</f>
        <v>0</v>
      </c>
      <c r="FC74" s="115">
        <f t="shared" ref="FC74:FC77" si="392">FB74*$FC$11</f>
        <v>0</v>
      </c>
      <c r="FD74" s="110">
        <f t="shared" ref="FD74:FD77" si="393">FB74+FC74</f>
        <v>0</v>
      </c>
      <c r="FE74" s="52">
        <f>Summ.!$A84</f>
        <v>57110</v>
      </c>
      <c r="FF74" s="119" t="str">
        <f>Summ.!$B84</f>
        <v>Janitorial and Supplies</v>
      </c>
      <c r="FG74" s="134">
        <f>$F74</f>
        <v>39600</v>
      </c>
      <c r="FH74" s="110">
        <v>0</v>
      </c>
      <c r="FI74" s="110">
        <f t="shared" ref="FI74:FI77" si="394">FG74+FH74</f>
        <v>39600</v>
      </c>
      <c r="FJ74" s="113">
        <f>FG$8/$G74</f>
        <v>0.13218657435494807</v>
      </c>
      <c r="FK74" s="110">
        <f t="shared" ref="FK74:FK77" si="395">FI74*FJ74</f>
        <v>5234.588344455944</v>
      </c>
      <c r="FL74" s="115">
        <f t="shared" ref="FL74:FL77" si="396">FK74*$FL$11</f>
        <v>0</v>
      </c>
      <c r="FM74" s="110">
        <f t="shared" ref="FM74:FM77" si="397">FK74+FL74</f>
        <v>5234.588344455944</v>
      </c>
    </row>
    <row r="75" spans="1:169">
      <c r="A75" s="52">
        <f>Summ.!A85</f>
        <v>57120</v>
      </c>
      <c r="B75" s="119" t="str">
        <f>Summ.!B85</f>
        <v>Gas</v>
      </c>
      <c r="C75" s="45"/>
      <c r="D75" s="45"/>
      <c r="E75" s="45"/>
      <c r="F75" s="106">
        <f>Summ.!O85</f>
        <v>964.08000000000027</v>
      </c>
      <c r="G75" s="482">
        <f>Rent!$B$43</f>
        <v>28021</v>
      </c>
      <c r="H75" s="52">
        <f>Summ.!$A85</f>
        <v>57120</v>
      </c>
      <c r="I75" s="119" t="str">
        <f>Summ.!$B85</f>
        <v>Gas</v>
      </c>
      <c r="J75" s="134">
        <f>$F75</f>
        <v>964.08000000000027</v>
      </c>
      <c r="K75" s="110">
        <v>0</v>
      </c>
      <c r="L75" s="110">
        <f t="shared" ref="L75:L77" si="398">J75+K75</f>
        <v>964.08000000000027</v>
      </c>
      <c r="M75" s="113">
        <f>J$8/$G75</f>
        <v>0.13821776524749296</v>
      </c>
      <c r="N75" s="110">
        <f t="shared" si="327"/>
        <v>133.25298311980305</v>
      </c>
      <c r="O75" s="115">
        <f t="shared" si="328"/>
        <v>0</v>
      </c>
      <c r="P75" s="110">
        <f t="shared" si="329"/>
        <v>133.25298311980305</v>
      </c>
      <c r="Q75" s="52">
        <f>Summ.!$A85</f>
        <v>57120</v>
      </c>
      <c r="R75" s="119" t="str">
        <f>Summ.!$B85</f>
        <v>Gas</v>
      </c>
      <c r="S75" s="134">
        <f>$F75</f>
        <v>964.08000000000027</v>
      </c>
      <c r="T75" s="110">
        <v>0</v>
      </c>
      <c r="U75" s="110">
        <f t="shared" si="330"/>
        <v>964.08000000000027</v>
      </c>
      <c r="V75" s="113">
        <f>S$8/$G75</f>
        <v>3.8328396559723067E-2</v>
      </c>
      <c r="W75" s="110">
        <f t="shared" si="331"/>
        <v>36.951640555297828</v>
      </c>
      <c r="X75" s="115">
        <f t="shared" si="332"/>
        <v>0</v>
      </c>
      <c r="Y75" s="110">
        <f t="shared" si="333"/>
        <v>36.951640555297828</v>
      </c>
      <c r="Z75" s="52">
        <f>Summ.!$A85</f>
        <v>57120</v>
      </c>
      <c r="AA75" s="119" t="str">
        <f>Summ.!$B85</f>
        <v>Gas</v>
      </c>
      <c r="AB75" s="134">
        <f>$F75</f>
        <v>964.08000000000027</v>
      </c>
      <c r="AC75" s="110">
        <v>0</v>
      </c>
      <c r="AD75" s="110">
        <f t="shared" si="334"/>
        <v>964.08000000000027</v>
      </c>
      <c r="AE75" s="113">
        <f>AB$8/$G75</f>
        <v>7.1375040148460083E-3</v>
      </c>
      <c r="AF75" s="110">
        <f t="shared" si="335"/>
        <v>6.8811248706327417</v>
      </c>
      <c r="AG75" s="115">
        <f t="shared" si="336"/>
        <v>0</v>
      </c>
      <c r="AH75" s="110">
        <f t="shared" si="337"/>
        <v>6.8811248706327417</v>
      </c>
      <c r="AI75" s="52">
        <f>Summ.!$A85</f>
        <v>57120</v>
      </c>
      <c r="AJ75" s="119" t="str">
        <f>Summ.!$B85</f>
        <v>Gas</v>
      </c>
      <c r="AK75" s="134">
        <f>$F75</f>
        <v>964.08000000000027</v>
      </c>
      <c r="AL75" s="110">
        <v>0</v>
      </c>
      <c r="AM75" s="110">
        <f t="shared" si="338"/>
        <v>964.08000000000027</v>
      </c>
      <c r="AN75" s="113">
        <f>AK$8/$G75</f>
        <v>1.8486135398451162E-2</v>
      </c>
      <c r="AO75" s="110">
        <f t="shared" si="339"/>
        <v>17.822113414938801</v>
      </c>
      <c r="AP75" s="115">
        <f t="shared" si="340"/>
        <v>0</v>
      </c>
      <c r="AQ75" s="110">
        <f t="shared" si="341"/>
        <v>17.822113414938801</v>
      </c>
      <c r="AR75" s="52">
        <f>Summ.!$A85</f>
        <v>57120</v>
      </c>
      <c r="AS75" s="119" t="str">
        <f>Summ.!$B85</f>
        <v>Gas</v>
      </c>
      <c r="AT75" s="134">
        <f>$F75</f>
        <v>964.08000000000027</v>
      </c>
      <c r="AU75" s="110">
        <f t="shared" ref="AU75:AU77" si="399">-AT75</f>
        <v>-964.08000000000027</v>
      </c>
      <c r="AV75" s="110">
        <f t="shared" si="342"/>
        <v>0</v>
      </c>
      <c r="AW75" s="113">
        <f>AT$8/$G75</f>
        <v>1.8735948038970773E-2</v>
      </c>
      <c r="AX75" s="110">
        <f t="shared" si="343"/>
        <v>0</v>
      </c>
      <c r="AY75" s="115">
        <f t="shared" si="344"/>
        <v>0</v>
      </c>
      <c r="AZ75" s="110">
        <f t="shared" si="345"/>
        <v>0</v>
      </c>
      <c r="BA75" s="52">
        <f>Summ.!$A85</f>
        <v>57120</v>
      </c>
      <c r="BB75" s="119" t="str">
        <f>Summ.!$B85</f>
        <v>Gas</v>
      </c>
      <c r="BC75" s="134">
        <f>$F75</f>
        <v>964.08000000000027</v>
      </c>
      <c r="BD75" s="110">
        <f t="shared" ref="BD75:BD77" si="400">-BC75</f>
        <v>-964.08000000000027</v>
      </c>
      <c r="BE75" s="110">
        <f t="shared" si="346"/>
        <v>0</v>
      </c>
      <c r="BF75" s="113" t="e">
        <f>BC$8/$G75</f>
        <v>#REF!</v>
      </c>
      <c r="BG75" s="110" t="e">
        <f t="shared" si="347"/>
        <v>#REF!</v>
      </c>
      <c r="BH75" s="115" t="e">
        <f t="shared" si="348"/>
        <v>#REF!</v>
      </c>
      <c r="BI75" s="110" t="e">
        <f t="shared" si="349"/>
        <v>#REF!</v>
      </c>
      <c r="BJ75" s="52">
        <f>Summ.!$A85</f>
        <v>57120</v>
      </c>
      <c r="BK75" s="119" t="str">
        <f>Summ.!$B85</f>
        <v>Gas</v>
      </c>
      <c r="BL75" s="134">
        <f>$F75</f>
        <v>964.08000000000027</v>
      </c>
      <c r="BM75" s="110">
        <v>0</v>
      </c>
      <c r="BN75" s="110">
        <f t="shared" si="350"/>
        <v>964.08000000000027</v>
      </c>
      <c r="BO75" s="113">
        <f>BL$8/$G75</f>
        <v>3.5473394953784661E-2</v>
      </c>
      <c r="BP75" s="110">
        <f t="shared" si="351"/>
        <v>34.199190607044727</v>
      </c>
      <c r="BQ75" s="115">
        <f t="shared" si="352"/>
        <v>0</v>
      </c>
      <c r="BR75" s="110">
        <f t="shared" si="353"/>
        <v>34.199190607044727</v>
      </c>
      <c r="BS75" s="52">
        <f>Summ.!$A85</f>
        <v>57120</v>
      </c>
      <c r="BT75" s="119" t="str">
        <f>Summ.!$B85</f>
        <v>Gas</v>
      </c>
      <c r="BU75" s="134">
        <f>$F75</f>
        <v>964.08000000000027</v>
      </c>
      <c r="BV75" s="110">
        <f t="shared" ref="BV75:BV77" si="401">-BU75</f>
        <v>-964.08000000000027</v>
      </c>
      <c r="BW75" s="110">
        <f t="shared" si="354"/>
        <v>0</v>
      </c>
      <c r="BX75" s="113">
        <f>BU$8/$G75</f>
        <v>3.7222083437421935E-2</v>
      </c>
      <c r="BY75" s="110">
        <f t="shared" si="355"/>
        <v>0</v>
      </c>
      <c r="BZ75" s="115">
        <f t="shared" si="356"/>
        <v>0</v>
      </c>
      <c r="CA75" s="110">
        <f t="shared" si="357"/>
        <v>0</v>
      </c>
      <c r="CB75" s="52">
        <f>Summ.!$A85</f>
        <v>57120</v>
      </c>
      <c r="CC75" s="119" t="str">
        <f>Summ.!$B85</f>
        <v>Gas</v>
      </c>
      <c r="CD75" s="134">
        <f>$F75</f>
        <v>964.08000000000027</v>
      </c>
      <c r="CE75" s="110">
        <v>0</v>
      </c>
      <c r="CF75" s="110">
        <f t="shared" si="358"/>
        <v>964.08000000000027</v>
      </c>
      <c r="CG75" s="113">
        <f>CD$8/$G75</f>
        <v>0.12583419578173513</v>
      </c>
      <c r="CH75" s="110">
        <f t="shared" si="359"/>
        <v>121.31423146925523</v>
      </c>
      <c r="CI75" s="115">
        <f t="shared" si="360"/>
        <v>0</v>
      </c>
      <c r="CJ75" s="110">
        <f t="shared" si="361"/>
        <v>121.31423146925523</v>
      </c>
      <c r="CK75" s="52">
        <f>Summ.!$A85</f>
        <v>57120</v>
      </c>
      <c r="CL75" s="119" t="str">
        <f>Summ.!$B85</f>
        <v>Gas</v>
      </c>
      <c r="CM75" s="134">
        <f>$F75</f>
        <v>964.08000000000027</v>
      </c>
      <c r="CN75" s="110">
        <v>0</v>
      </c>
      <c r="CO75" s="110">
        <f t="shared" si="362"/>
        <v>964.08000000000027</v>
      </c>
      <c r="CP75" s="113">
        <f>CM$8/$G75</f>
        <v>0.38314121551693375</v>
      </c>
      <c r="CQ75" s="110">
        <f t="shared" si="363"/>
        <v>369.37878305556558</v>
      </c>
      <c r="CR75" s="115">
        <f t="shared" si="364"/>
        <v>0</v>
      </c>
      <c r="CS75" s="110">
        <f t="shared" si="365"/>
        <v>369.37878305556558</v>
      </c>
      <c r="CT75" s="52">
        <f>Summ.!$A85</f>
        <v>57120</v>
      </c>
      <c r="CU75" s="119" t="str">
        <f>Summ.!$B85</f>
        <v>Gas</v>
      </c>
      <c r="CV75" s="134">
        <f>$F75</f>
        <v>964.08000000000027</v>
      </c>
      <c r="CW75" s="110">
        <f t="shared" ref="CW75:CW77" si="402">-CV75</f>
        <v>-964.08000000000027</v>
      </c>
      <c r="CX75" s="110">
        <f t="shared" si="366"/>
        <v>0</v>
      </c>
      <c r="CY75" s="113">
        <f>CV$8/$G75</f>
        <v>0.10706256022269013</v>
      </c>
      <c r="CZ75" s="110">
        <f t="shared" si="367"/>
        <v>0</v>
      </c>
      <c r="DA75" s="115">
        <f t="shared" si="368"/>
        <v>0</v>
      </c>
      <c r="DB75" s="110">
        <f t="shared" si="369"/>
        <v>0</v>
      </c>
      <c r="DC75" s="52">
        <f>Summ.!$A85</f>
        <v>57120</v>
      </c>
      <c r="DD75" s="119" t="str">
        <f>Summ.!$B85</f>
        <v>Gas</v>
      </c>
      <c r="DE75" s="134">
        <f>$F75</f>
        <v>964.08000000000027</v>
      </c>
      <c r="DF75" s="110">
        <v>0</v>
      </c>
      <c r="DG75" s="110">
        <f t="shared" si="370"/>
        <v>964.08000000000027</v>
      </c>
      <c r="DH75" s="113">
        <f>DE$8/$G75</f>
        <v>1.784376003711502E-2</v>
      </c>
      <c r="DI75" s="110">
        <f t="shared" si="371"/>
        <v>17.202812176581851</v>
      </c>
      <c r="DJ75" s="115">
        <f t="shared" si="372"/>
        <v>0</v>
      </c>
      <c r="DK75" s="110">
        <f t="shared" si="373"/>
        <v>17.202812176581851</v>
      </c>
      <c r="DL75" s="52">
        <f>Summ.!$A85</f>
        <v>57120</v>
      </c>
      <c r="DM75" s="119" t="str">
        <f>Summ.!$B85</f>
        <v>Gas</v>
      </c>
      <c r="DN75" s="134">
        <f>$F75</f>
        <v>964.08000000000027</v>
      </c>
      <c r="DO75" s="110">
        <v>0</v>
      </c>
      <c r="DP75" s="110">
        <f t="shared" si="374"/>
        <v>964.08000000000027</v>
      </c>
      <c r="DQ75" s="113">
        <f>DN$8/$G75</f>
        <v>0.1033510581349702</v>
      </c>
      <c r="DR75" s="110">
        <f t="shared" si="375"/>
        <v>99.638688126762091</v>
      </c>
      <c r="DS75" s="115">
        <f t="shared" si="376"/>
        <v>0</v>
      </c>
      <c r="DT75" s="110">
        <f t="shared" si="377"/>
        <v>99.638688126762091</v>
      </c>
      <c r="DU75" s="52">
        <f>Summ.!$A85</f>
        <v>57120</v>
      </c>
      <c r="DV75" s="119" t="str">
        <f>Summ.!$B85</f>
        <v>Gas</v>
      </c>
      <c r="DW75" s="134">
        <f>$F75</f>
        <v>964.08000000000027</v>
      </c>
      <c r="DX75" s="110">
        <f t="shared" ref="DX75:DX77" si="403">-DW75</f>
        <v>-964.08000000000027</v>
      </c>
      <c r="DY75" s="110">
        <f t="shared" si="378"/>
        <v>0</v>
      </c>
      <c r="DZ75" s="113">
        <f>DW$8/$G75</f>
        <v>0.28599978587487956</v>
      </c>
      <c r="EA75" s="110">
        <f t="shared" si="379"/>
        <v>0</v>
      </c>
      <c r="EB75" s="115">
        <f t="shared" si="380"/>
        <v>0</v>
      </c>
      <c r="EC75" s="110">
        <f t="shared" si="381"/>
        <v>0</v>
      </c>
      <c r="ED75" s="52">
        <f>Summ.!$A85</f>
        <v>57120</v>
      </c>
      <c r="EE75" s="119" t="str">
        <f>Summ.!$B85</f>
        <v>Gas</v>
      </c>
      <c r="EF75" s="134">
        <f>$F75</f>
        <v>964.08000000000027</v>
      </c>
      <c r="EG75" s="110">
        <v>0</v>
      </c>
      <c r="EH75" s="110">
        <f t="shared" si="382"/>
        <v>964.08000000000027</v>
      </c>
      <c r="EI75" s="113">
        <f>EF$8/$G75</f>
        <v>0.23196888048249528</v>
      </c>
      <c r="EJ75" s="110">
        <f t="shared" si="383"/>
        <v>223.6365582955641</v>
      </c>
      <c r="EK75" s="115">
        <f t="shared" si="384"/>
        <v>33.545483744334611</v>
      </c>
      <c r="EL75" s="110">
        <f t="shared" si="385"/>
        <v>257.1820420398987</v>
      </c>
      <c r="EM75" s="52">
        <f>Summ.!$A85</f>
        <v>57120</v>
      </c>
      <c r="EN75" s="119" t="str">
        <f>Summ.!$B85</f>
        <v>Gas</v>
      </c>
      <c r="EO75" s="134">
        <f>$F75</f>
        <v>964.08000000000027</v>
      </c>
      <c r="EP75" s="110">
        <v>0</v>
      </c>
      <c r="EQ75" s="110">
        <f t="shared" si="386"/>
        <v>964.08000000000027</v>
      </c>
      <c r="ER75" s="113">
        <f>EO$8/$G75</f>
        <v>7.1125227507940467E-2</v>
      </c>
      <c r="ES75" s="110">
        <f t="shared" si="387"/>
        <v>68.57040933585526</v>
      </c>
      <c r="ET75" s="115">
        <f t="shared" si="388"/>
        <v>0</v>
      </c>
      <c r="EU75" s="110">
        <f t="shared" si="389"/>
        <v>68.57040933585526</v>
      </c>
      <c r="EV75" s="52">
        <f>Summ.!$A85</f>
        <v>57120</v>
      </c>
      <c r="EW75" s="119" t="str">
        <f>Summ.!$B85</f>
        <v>Gas</v>
      </c>
      <c r="EX75" s="134">
        <f>$F75</f>
        <v>964.08000000000027</v>
      </c>
      <c r="EY75" s="110">
        <f t="shared" ref="EY75:EY77" si="404">-EX75</f>
        <v>-964.08000000000027</v>
      </c>
      <c r="EZ75" s="110">
        <f t="shared" si="390"/>
        <v>0</v>
      </c>
      <c r="FA75" s="113">
        <f>EX$8/$G75</f>
        <v>3.4331394311409302E-2</v>
      </c>
      <c r="FB75" s="110">
        <f t="shared" si="391"/>
        <v>0</v>
      </c>
      <c r="FC75" s="115">
        <f t="shared" si="392"/>
        <v>0</v>
      </c>
      <c r="FD75" s="110">
        <f t="shared" si="393"/>
        <v>0</v>
      </c>
      <c r="FE75" s="52">
        <f>Summ.!$A85</f>
        <v>57120</v>
      </c>
      <c r="FF75" s="119" t="str">
        <f>Summ.!$B85</f>
        <v>Gas</v>
      </c>
      <c r="FG75" s="134">
        <f>$F75</f>
        <v>964.08000000000027</v>
      </c>
      <c r="FH75" s="110">
        <v>0</v>
      </c>
      <c r="FI75" s="110">
        <f t="shared" si="394"/>
        <v>964.08000000000027</v>
      </c>
      <c r="FJ75" s="113">
        <f>FG$8/$G75</f>
        <v>0.13218657435494807</v>
      </c>
      <c r="FK75" s="110">
        <f t="shared" si="395"/>
        <v>127.43843260411838</v>
      </c>
      <c r="FL75" s="115">
        <f t="shared" si="396"/>
        <v>0</v>
      </c>
      <c r="FM75" s="110">
        <f t="shared" si="397"/>
        <v>127.43843260411838</v>
      </c>
    </row>
    <row r="76" spans="1:169">
      <c r="A76" s="52">
        <f>Summ.!A86</f>
        <v>57130</v>
      </c>
      <c r="B76" s="119" t="str">
        <f>Summ.!B86</f>
        <v>Security - Split 20%</v>
      </c>
      <c r="C76" s="45"/>
      <c r="D76" s="45"/>
      <c r="E76" s="45"/>
      <c r="F76" s="106">
        <f>Summ.!O86</f>
        <v>31804</v>
      </c>
      <c r="G76" s="482">
        <f>Rent!$B$43</f>
        <v>28021</v>
      </c>
      <c r="H76" s="52">
        <f>Summ.!$A86</f>
        <v>57130</v>
      </c>
      <c r="I76" s="119" t="str">
        <f>Summ.!$B86</f>
        <v>Security - Split 20%</v>
      </c>
      <c r="J76" s="134">
        <f>$F76</f>
        <v>31804</v>
      </c>
      <c r="K76" s="110">
        <v>0</v>
      </c>
      <c r="L76" s="110">
        <f t="shared" si="398"/>
        <v>31804</v>
      </c>
      <c r="M76" s="113">
        <f>J$8/$G76</f>
        <v>0.13821776524749296</v>
      </c>
      <c r="N76" s="110">
        <f t="shared" si="327"/>
        <v>4395.8778059312663</v>
      </c>
      <c r="O76" s="115">
        <f t="shared" si="328"/>
        <v>0</v>
      </c>
      <c r="P76" s="110">
        <f t="shared" si="329"/>
        <v>4395.8778059312663</v>
      </c>
      <c r="Q76" s="52">
        <f>Summ.!$A86</f>
        <v>57130</v>
      </c>
      <c r="R76" s="119" t="str">
        <f>Summ.!$B86</f>
        <v>Security - Split 20%</v>
      </c>
      <c r="S76" s="134">
        <f>$F76</f>
        <v>31804</v>
      </c>
      <c r="T76" s="110">
        <v>0</v>
      </c>
      <c r="U76" s="110">
        <f t="shared" si="330"/>
        <v>31804</v>
      </c>
      <c r="V76" s="113">
        <f>S$8/$G76</f>
        <v>3.8328396559723067E-2</v>
      </c>
      <c r="W76" s="110">
        <f t="shared" si="331"/>
        <v>1218.9963241854325</v>
      </c>
      <c r="X76" s="115">
        <f t="shared" si="332"/>
        <v>0</v>
      </c>
      <c r="Y76" s="110">
        <f t="shared" si="333"/>
        <v>1218.9963241854325</v>
      </c>
      <c r="Z76" s="52">
        <f>Summ.!$A86</f>
        <v>57130</v>
      </c>
      <c r="AA76" s="119" t="str">
        <f>Summ.!$B86</f>
        <v>Security - Split 20%</v>
      </c>
      <c r="AB76" s="134">
        <f>$F76</f>
        <v>31804</v>
      </c>
      <c r="AC76" s="110">
        <v>0</v>
      </c>
      <c r="AD76" s="110">
        <f t="shared" si="334"/>
        <v>31804</v>
      </c>
      <c r="AE76" s="113">
        <f>AB$8/$G76</f>
        <v>7.1375040148460083E-3</v>
      </c>
      <c r="AF76" s="110">
        <f t="shared" si="335"/>
        <v>227.00117768816244</v>
      </c>
      <c r="AG76" s="115">
        <f t="shared" si="336"/>
        <v>0</v>
      </c>
      <c r="AH76" s="110">
        <f t="shared" si="337"/>
        <v>227.00117768816244</v>
      </c>
      <c r="AI76" s="52">
        <f>Summ.!$A86</f>
        <v>57130</v>
      </c>
      <c r="AJ76" s="119" t="str">
        <f>Summ.!$B86</f>
        <v>Security - Split 20%</v>
      </c>
      <c r="AK76" s="134">
        <f>$F76</f>
        <v>31804</v>
      </c>
      <c r="AL76" s="110">
        <v>0</v>
      </c>
      <c r="AM76" s="110">
        <f t="shared" si="338"/>
        <v>31804</v>
      </c>
      <c r="AN76" s="113">
        <f>AK$8/$G76</f>
        <v>1.8486135398451162E-2</v>
      </c>
      <c r="AO76" s="110">
        <f t="shared" si="339"/>
        <v>587.93305021234073</v>
      </c>
      <c r="AP76" s="115">
        <f t="shared" si="340"/>
        <v>0</v>
      </c>
      <c r="AQ76" s="110">
        <f t="shared" si="341"/>
        <v>587.93305021234073</v>
      </c>
      <c r="AR76" s="52">
        <f>Summ.!$A86</f>
        <v>57130</v>
      </c>
      <c r="AS76" s="119" t="str">
        <f>Summ.!$B86</f>
        <v>Security - Split 20%</v>
      </c>
      <c r="AT76" s="134">
        <f>$F76</f>
        <v>31804</v>
      </c>
      <c r="AU76" s="110">
        <f t="shared" si="399"/>
        <v>-31804</v>
      </c>
      <c r="AV76" s="110">
        <f t="shared" si="342"/>
        <v>0</v>
      </c>
      <c r="AW76" s="113">
        <f>AT$8/$G76</f>
        <v>1.8735948038970773E-2</v>
      </c>
      <c r="AX76" s="110">
        <f t="shared" si="343"/>
        <v>0</v>
      </c>
      <c r="AY76" s="115">
        <f t="shared" si="344"/>
        <v>0</v>
      </c>
      <c r="AZ76" s="110">
        <f t="shared" si="345"/>
        <v>0</v>
      </c>
      <c r="BA76" s="52">
        <f>Summ.!$A86</f>
        <v>57130</v>
      </c>
      <c r="BB76" s="119" t="str">
        <f>Summ.!$B86</f>
        <v>Security - Split 20%</v>
      </c>
      <c r="BC76" s="134">
        <f>$F76</f>
        <v>31804</v>
      </c>
      <c r="BD76" s="110">
        <f t="shared" si="400"/>
        <v>-31804</v>
      </c>
      <c r="BE76" s="110">
        <f t="shared" si="346"/>
        <v>0</v>
      </c>
      <c r="BF76" s="113" t="e">
        <f>BC$8/$G76</f>
        <v>#REF!</v>
      </c>
      <c r="BG76" s="110" t="e">
        <f t="shared" si="347"/>
        <v>#REF!</v>
      </c>
      <c r="BH76" s="115" t="e">
        <f t="shared" si="348"/>
        <v>#REF!</v>
      </c>
      <c r="BI76" s="110" t="e">
        <f t="shared" si="349"/>
        <v>#REF!</v>
      </c>
      <c r="BJ76" s="52">
        <f>Summ.!$A86</f>
        <v>57130</v>
      </c>
      <c r="BK76" s="119" t="str">
        <f>Summ.!$B86</f>
        <v>Security - Split 20%</v>
      </c>
      <c r="BL76" s="134">
        <f>$F76</f>
        <v>31804</v>
      </c>
      <c r="BM76" s="110">
        <v>0</v>
      </c>
      <c r="BN76" s="110">
        <f t="shared" si="350"/>
        <v>31804</v>
      </c>
      <c r="BO76" s="113">
        <f>BL$8/$G76</f>
        <v>3.5473394953784661E-2</v>
      </c>
      <c r="BP76" s="110">
        <f t="shared" si="351"/>
        <v>1128.1958531101673</v>
      </c>
      <c r="BQ76" s="115">
        <f t="shared" si="352"/>
        <v>0</v>
      </c>
      <c r="BR76" s="110">
        <f t="shared" si="353"/>
        <v>1128.1958531101673</v>
      </c>
      <c r="BS76" s="52">
        <f>Summ.!$A86</f>
        <v>57130</v>
      </c>
      <c r="BT76" s="119" t="str">
        <f>Summ.!$B86</f>
        <v>Security - Split 20%</v>
      </c>
      <c r="BU76" s="134">
        <f>$F76</f>
        <v>31804</v>
      </c>
      <c r="BV76" s="110">
        <f t="shared" si="401"/>
        <v>-31804</v>
      </c>
      <c r="BW76" s="110">
        <f t="shared" si="354"/>
        <v>0</v>
      </c>
      <c r="BX76" s="113">
        <f>BU$8/$G76</f>
        <v>3.7222083437421935E-2</v>
      </c>
      <c r="BY76" s="110">
        <f t="shared" si="355"/>
        <v>0</v>
      </c>
      <c r="BZ76" s="115">
        <f t="shared" si="356"/>
        <v>0</v>
      </c>
      <c r="CA76" s="110">
        <f t="shared" si="357"/>
        <v>0</v>
      </c>
      <c r="CB76" s="52">
        <f>Summ.!$A86</f>
        <v>57130</v>
      </c>
      <c r="CC76" s="119" t="str">
        <f>Summ.!$B86</f>
        <v>Security - Split 20%</v>
      </c>
      <c r="CD76" s="134">
        <f>$F76</f>
        <v>31804</v>
      </c>
      <c r="CE76" s="110">
        <v>0</v>
      </c>
      <c r="CF76" s="110">
        <f t="shared" si="358"/>
        <v>31804</v>
      </c>
      <c r="CG76" s="113">
        <f>CD$8/$G76</f>
        <v>0.12583419578173513</v>
      </c>
      <c r="CH76" s="110">
        <f t="shared" si="359"/>
        <v>4002.0307626423041</v>
      </c>
      <c r="CI76" s="115">
        <f t="shared" si="360"/>
        <v>0</v>
      </c>
      <c r="CJ76" s="110">
        <f t="shared" si="361"/>
        <v>4002.0307626423041</v>
      </c>
      <c r="CK76" s="52">
        <f>Summ.!$A86</f>
        <v>57130</v>
      </c>
      <c r="CL76" s="119" t="str">
        <f>Summ.!$B86</f>
        <v>Security - Split 20%</v>
      </c>
      <c r="CM76" s="134">
        <f>$F76</f>
        <v>31804</v>
      </c>
      <c r="CN76" s="110">
        <v>0</v>
      </c>
      <c r="CO76" s="110">
        <f t="shared" si="362"/>
        <v>31804</v>
      </c>
      <c r="CP76" s="113">
        <f>CM$8/$G76</f>
        <v>0.38314121551693375</v>
      </c>
      <c r="CQ76" s="110">
        <f t="shared" si="363"/>
        <v>12185.423218300561</v>
      </c>
      <c r="CR76" s="115">
        <f t="shared" si="364"/>
        <v>0</v>
      </c>
      <c r="CS76" s="110">
        <f t="shared" si="365"/>
        <v>12185.423218300561</v>
      </c>
      <c r="CT76" s="52">
        <f>Summ.!$A86</f>
        <v>57130</v>
      </c>
      <c r="CU76" s="119" t="str">
        <f>Summ.!$B86</f>
        <v>Security - Split 20%</v>
      </c>
      <c r="CV76" s="134">
        <f>$F76</f>
        <v>31804</v>
      </c>
      <c r="CW76" s="110">
        <f t="shared" si="402"/>
        <v>-31804</v>
      </c>
      <c r="CX76" s="110">
        <f t="shared" si="366"/>
        <v>0</v>
      </c>
      <c r="CY76" s="113">
        <f>CV$8/$G76</f>
        <v>0.10706256022269013</v>
      </c>
      <c r="CZ76" s="110">
        <f t="shared" si="367"/>
        <v>0</v>
      </c>
      <c r="DA76" s="115">
        <f t="shared" si="368"/>
        <v>0</v>
      </c>
      <c r="DB76" s="110">
        <f t="shared" si="369"/>
        <v>0</v>
      </c>
      <c r="DC76" s="52">
        <f>Summ.!$A86</f>
        <v>57130</v>
      </c>
      <c r="DD76" s="119" t="str">
        <f>Summ.!$B86</f>
        <v>Security - Split 20%</v>
      </c>
      <c r="DE76" s="134">
        <f>$F76</f>
        <v>31804</v>
      </c>
      <c r="DF76" s="110">
        <v>0</v>
      </c>
      <c r="DG76" s="110">
        <f t="shared" si="370"/>
        <v>31804</v>
      </c>
      <c r="DH76" s="113">
        <f>DE$8/$G76</f>
        <v>1.784376003711502E-2</v>
      </c>
      <c r="DI76" s="110">
        <f t="shared" si="371"/>
        <v>567.50294422040611</v>
      </c>
      <c r="DJ76" s="115">
        <f t="shared" si="372"/>
        <v>0</v>
      </c>
      <c r="DK76" s="110">
        <f t="shared" si="373"/>
        <v>567.50294422040611</v>
      </c>
      <c r="DL76" s="52">
        <f>Summ.!$A86</f>
        <v>57130</v>
      </c>
      <c r="DM76" s="119" t="str">
        <f>Summ.!$B86</f>
        <v>Security - Split 20%</v>
      </c>
      <c r="DN76" s="134">
        <f>$F76</f>
        <v>31804</v>
      </c>
      <c r="DO76" s="110">
        <v>0</v>
      </c>
      <c r="DP76" s="110">
        <f t="shared" si="374"/>
        <v>31804</v>
      </c>
      <c r="DQ76" s="113">
        <f>DN$8/$G76</f>
        <v>0.1033510581349702</v>
      </c>
      <c r="DR76" s="110">
        <f t="shared" si="375"/>
        <v>3286.977052924592</v>
      </c>
      <c r="DS76" s="115">
        <f t="shared" si="376"/>
        <v>0</v>
      </c>
      <c r="DT76" s="110">
        <f t="shared" si="377"/>
        <v>3286.977052924592</v>
      </c>
      <c r="DU76" s="52">
        <f>Summ.!$A86</f>
        <v>57130</v>
      </c>
      <c r="DV76" s="119" t="str">
        <f>Summ.!$B86</f>
        <v>Security - Split 20%</v>
      </c>
      <c r="DW76" s="134">
        <f>$F76</f>
        <v>31804</v>
      </c>
      <c r="DX76" s="110">
        <f t="shared" si="403"/>
        <v>-31804</v>
      </c>
      <c r="DY76" s="110">
        <f t="shared" si="378"/>
        <v>0</v>
      </c>
      <c r="DZ76" s="113">
        <f>DW$8/$G76</f>
        <v>0.28599978587487956</v>
      </c>
      <c r="EA76" s="110">
        <f t="shared" si="379"/>
        <v>0</v>
      </c>
      <c r="EB76" s="115">
        <f t="shared" si="380"/>
        <v>0</v>
      </c>
      <c r="EC76" s="110">
        <f t="shared" si="381"/>
        <v>0</v>
      </c>
      <c r="ED76" s="52">
        <f>Summ.!$A86</f>
        <v>57130</v>
      </c>
      <c r="EE76" s="119" t="str">
        <f>Summ.!$B86</f>
        <v>Security - Split 20%</v>
      </c>
      <c r="EF76" s="134">
        <f>$F76</f>
        <v>31804</v>
      </c>
      <c r="EG76" s="110">
        <v>0</v>
      </c>
      <c r="EH76" s="110">
        <f t="shared" si="382"/>
        <v>31804</v>
      </c>
      <c r="EI76" s="113">
        <f>EF$8/$G76</f>
        <v>0.23196888048249528</v>
      </c>
      <c r="EJ76" s="110">
        <f t="shared" si="383"/>
        <v>7377.5382748652801</v>
      </c>
      <c r="EK76" s="115">
        <f t="shared" si="384"/>
        <v>1106.630741229792</v>
      </c>
      <c r="EL76" s="110">
        <f t="shared" si="385"/>
        <v>8484.1690160950711</v>
      </c>
      <c r="EM76" s="52">
        <f>Summ.!$A86</f>
        <v>57130</v>
      </c>
      <c r="EN76" s="119" t="str">
        <f>Summ.!$B86</f>
        <v>Security - Split 20%</v>
      </c>
      <c r="EO76" s="134">
        <f>$F76</f>
        <v>31804</v>
      </c>
      <c r="EP76" s="110">
        <v>0</v>
      </c>
      <c r="EQ76" s="110">
        <f t="shared" si="386"/>
        <v>31804</v>
      </c>
      <c r="ER76" s="113">
        <f>EO$8/$G76</f>
        <v>7.1125227507940467E-2</v>
      </c>
      <c r="ES76" s="110">
        <f t="shared" si="387"/>
        <v>2262.0667356625386</v>
      </c>
      <c r="ET76" s="115">
        <f t="shared" si="388"/>
        <v>0</v>
      </c>
      <c r="EU76" s="110">
        <f t="shared" si="389"/>
        <v>2262.0667356625386</v>
      </c>
      <c r="EV76" s="52">
        <f>Summ.!$A86</f>
        <v>57130</v>
      </c>
      <c r="EW76" s="119" t="str">
        <f>Summ.!$B86</f>
        <v>Security - Split 20%</v>
      </c>
      <c r="EX76" s="134">
        <f>$F76</f>
        <v>31804</v>
      </c>
      <c r="EY76" s="110">
        <f t="shared" si="404"/>
        <v>-31804</v>
      </c>
      <c r="EZ76" s="110">
        <f t="shared" si="390"/>
        <v>0</v>
      </c>
      <c r="FA76" s="113">
        <f>EX$8/$G76</f>
        <v>3.4331394311409302E-2</v>
      </c>
      <c r="FB76" s="110">
        <f t="shared" si="391"/>
        <v>0</v>
      </c>
      <c r="FC76" s="115">
        <f t="shared" si="392"/>
        <v>0</v>
      </c>
      <c r="FD76" s="110">
        <f t="shared" si="393"/>
        <v>0</v>
      </c>
      <c r="FE76" s="52">
        <f>Summ.!$A86</f>
        <v>57130</v>
      </c>
      <c r="FF76" s="119" t="str">
        <f>Summ.!$B86</f>
        <v>Security - Split 20%</v>
      </c>
      <c r="FG76" s="134">
        <f>$F76</f>
        <v>31804</v>
      </c>
      <c r="FH76" s="110">
        <v>0</v>
      </c>
      <c r="FI76" s="110">
        <f t="shared" si="394"/>
        <v>31804</v>
      </c>
      <c r="FJ76" s="113">
        <f>FG$8/$G76</f>
        <v>0.13218657435494807</v>
      </c>
      <c r="FK76" s="110">
        <f t="shared" si="395"/>
        <v>4204.0618107847686</v>
      </c>
      <c r="FL76" s="115">
        <f t="shared" si="396"/>
        <v>0</v>
      </c>
      <c r="FM76" s="110">
        <f t="shared" si="397"/>
        <v>4204.0618107847686</v>
      </c>
    </row>
    <row r="77" spans="1:169">
      <c r="A77" s="52">
        <f>Summ.!A87</f>
        <v>57140</v>
      </c>
      <c r="B77" s="119" t="str">
        <f>Summ.!B87</f>
        <v>Trash - Split 80%</v>
      </c>
      <c r="C77" s="45"/>
      <c r="D77" s="45"/>
      <c r="E77" s="45"/>
      <c r="F77" s="106">
        <f>Summ.!O87</f>
        <v>64800</v>
      </c>
      <c r="G77" s="482">
        <f>Rent!$B$43</f>
        <v>28021</v>
      </c>
      <c r="H77" s="52">
        <f>Summ.!$A87</f>
        <v>57140</v>
      </c>
      <c r="I77" s="119" t="str">
        <f>Summ.!$B87</f>
        <v>Trash - Split 80%</v>
      </c>
      <c r="J77" s="134">
        <f>$F77</f>
        <v>64800</v>
      </c>
      <c r="K77" s="110">
        <v>0</v>
      </c>
      <c r="L77" s="110">
        <f t="shared" si="398"/>
        <v>64800</v>
      </c>
      <c r="M77" s="113">
        <f>J$8/$G77</f>
        <v>0.13821776524749296</v>
      </c>
      <c r="N77" s="110">
        <f t="shared" si="327"/>
        <v>8956.5111880375443</v>
      </c>
      <c r="O77" s="115">
        <f t="shared" si="328"/>
        <v>0</v>
      </c>
      <c r="P77" s="110">
        <f t="shared" si="329"/>
        <v>8956.5111880375443</v>
      </c>
      <c r="Q77" s="52">
        <f>Summ.!$A87</f>
        <v>57140</v>
      </c>
      <c r="R77" s="119" t="str">
        <f>Summ.!$B87</f>
        <v>Trash - Split 80%</v>
      </c>
      <c r="S77" s="134">
        <f>$F77</f>
        <v>64800</v>
      </c>
      <c r="T77" s="110">
        <v>0</v>
      </c>
      <c r="U77" s="110">
        <f t="shared" si="330"/>
        <v>64800</v>
      </c>
      <c r="V77" s="113">
        <f>S$8/$G77</f>
        <v>3.8328396559723067E-2</v>
      </c>
      <c r="W77" s="110">
        <f t="shared" si="331"/>
        <v>2483.6800970700547</v>
      </c>
      <c r="X77" s="115">
        <f t="shared" si="332"/>
        <v>0</v>
      </c>
      <c r="Y77" s="110">
        <f t="shared" si="333"/>
        <v>2483.6800970700547</v>
      </c>
      <c r="Z77" s="52">
        <f>Summ.!$A87</f>
        <v>57140</v>
      </c>
      <c r="AA77" s="119" t="str">
        <f>Summ.!$B87</f>
        <v>Trash - Split 80%</v>
      </c>
      <c r="AB77" s="134">
        <f>$F77</f>
        <v>64800</v>
      </c>
      <c r="AC77" s="110">
        <v>0</v>
      </c>
      <c r="AD77" s="110">
        <f t="shared" si="334"/>
        <v>64800</v>
      </c>
      <c r="AE77" s="113">
        <f>AB$8/$G77</f>
        <v>7.1375040148460083E-3</v>
      </c>
      <c r="AF77" s="110">
        <f t="shared" si="335"/>
        <v>462.51026016202132</v>
      </c>
      <c r="AG77" s="115">
        <f t="shared" si="336"/>
        <v>0</v>
      </c>
      <c r="AH77" s="110">
        <f t="shared" si="337"/>
        <v>462.51026016202132</v>
      </c>
      <c r="AI77" s="52">
        <f>Summ.!$A87</f>
        <v>57140</v>
      </c>
      <c r="AJ77" s="119" t="str">
        <f>Summ.!$B87</f>
        <v>Trash - Split 80%</v>
      </c>
      <c r="AK77" s="134">
        <f>$F77</f>
        <v>64800</v>
      </c>
      <c r="AL77" s="110">
        <v>0</v>
      </c>
      <c r="AM77" s="110">
        <f t="shared" si="338"/>
        <v>64800</v>
      </c>
      <c r="AN77" s="113">
        <f>AK$8/$G77</f>
        <v>1.8486135398451162E-2</v>
      </c>
      <c r="AO77" s="110">
        <f t="shared" si="339"/>
        <v>1197.9015738196354</v>
      </c>
      <c r="AP77" s="115">
        <f t="shared" si="340"/>
        <v>0</v>
      </c>
      <c r="AQ77" s="110">
        <f t="shared" si="341"/>
        <v>1197.9015738196354</v>
      </c>
      <c r="AR77" s="52">
        <f>Summ.!$A87</f>
        <v>57140</v>
      </c>
      <c r="AS77" s="119" t="str">
        <f>Summ.!$B87</f>
        <v>Trash - Split 80%</v>
      </c>
      <c r="AT77" s="134">
        <f>$F77</f>
        <v>64800</v>
      </c>
      <c r="AU77" s="110">
        <f t="shared" si="399"/>
        <v>-64800</v>
      </c>
      <c r="AV77" s="110">
        <f t="shared" si="342"/>
        <v>0</v>
      </c>
      <c r="AW77" s="113">
        <f>AT$8/$G77</f>
        <v>1.8735948038970773E-2</v>
      </c>
      <c r="AX77" s="110">
        <f t="shared" si="343"/>
        <v>0</v>
      </c>
      <c r="AY77" s="115">
        <f t="shared" si="344"/>
        <v>0</v>
      </c>
      <c r="AZ77" s="110">
        <f t="shared" si="345"/>
        <v>0</v>
      </c>
      <c r="BA77" s="52">
        <f>Summ.!$A87</f>
        <v>57140</v>
      </c>
      <c r="BB77" s="119" t="str">
        <f>Summ.!$B87</f>
        <v>Trash - Split 80%</v>
      </c>
      <c r="BC77" s="134">
        <f>$F77</f>
        <v>64800</v>
      </c>
      <c r="BD77" s="110">
        <f t="shared" si="400"/>
        <v>-64800</v>
      </c>
      <c r="BE77" s="110">
        <f t="shared" si="346"/>
        <v>0</v>
      </c>
      <c r="BF77" s="113" t="e">
        <f>BC$8/$G77</f>
        <v>#REF!</v>
      </c>
      <c r="BG77" s="110" t="e">
        <f t="shared" si="347"/>
        <v>#REF!</v>
      </c>
      <c r="BH77" s="115" t="e">
        <f t="shared" si="348"/>
        <v>#REF!</v>
      </c>
      <c r="BI77" s="110" t="e">
        <f t="shared" si="349"/>
        <v>#REF!</v>
      </c>
      <c r="BJ77" s="52">
        <f>Summ.!$A87</f>
        <v>57140</v>
      </c>
      <c r="BK77" s="119" t="str">
        <f>Summ.!$B87</f>
        <v>Trash - Split 80%</v>
      </c>
      <c r="BL77" s="134">
        <f>$F77</f>
        <v>64800</v>
      </c>
      <c r="BM77" s="110">
        <v>0</v>
      </c>
      <c r="BN77" s="110">
        <f t="shared" si="350"/>
        <v>64800</v>
      </c>
      <c r="BO77" s="113">
        <f>BL$8/$G77</f>
        <v>3.5473394953784661E-2</v>
      </c>
      <c r="BP77" s="110">
        <f t="shared" si="351"/>
        <v>2298.6759930052458</v>
      </c>
      <c r="BQ77" s="115">
        <f t="shared" si="352"/>
        <v>0</v>
      </c>
      <c r="BR77" s="110">
        <f t="shared" si="353"/>
        <v>2298.6759930052458</v>
      </c>
      <c r="BS77" s="52">
        <f>Summ.!$A87</f>
        <v>57140</v>
      </c>
      <c r="BT77" s="119" t="str">
        <f>Summ.!$B87</f>
        <v>Trash - Split 80%</v>
      </c>
      <c r="BU77" s="134">
        <f>$F77</f>
        <v>64800</v>
      </c>
      <c r="BV77" s="110">
        <f t="shared" si="401"/>
        <v>-64800</v>
      </c>
      <c r="BW77" s="110">
        <f t="shared" si="354"/>
        <v>0</v>
      </c>
      <c r="BX77" s="113">
        <f>BU$8/$G77</f>
        <v>3.7222083437421935E-2</v>
      </c>
      <c r="BY77" s="110">
        <f t="shared" si="355"/>
        <v>0</v>
      </c>
      <c r="BZ77" s="115">
        <f t="shared" si="356"/>
        <v>0</v>
      </c>
      <c r="CA77" s="110">
        <f t="shared" si="357"/>
        <v>0</v>
      </c>
      <c r="CB77" s="52">
        <f>Summ.!$A87</f>
        <v>57140</v>
      </c>
      <c r="CC77" s="119" t="str">
        <f>Summ.!$B87</f>
        <v>Trash - Split 80%</v>
      </c>
      <c r="CD77" s="134">
        <f>$F77</f>
        <v>64800</v>
      </c>
      <c r="CE77" s="110">
        <v>0</v>
      </c>
      <c r="CF77" s="110">
        <f t="shared" si="358"/>
        <v>64800</v>
      </c>
      <c r="CG77" s="113">
        <f>CD$8/$G77</f>
        <v>0.12583419578173513</v>
      </c>
      <c r="CH77" s="110">
        <f t="shared" si="359"/>
        <v>8154.0558866564361</v>
      </c>
      <c r="CI77" s="115">
        <f t="shared" si="360"/>
        <v>0</v>
      </c>
      <c r="CJ77" s="110">
        <f t="shared" si="361"/>
        <v>8154.0558866564361</v>
      </c>
      <c r="CK77" s="52">
        <f>Summ.!$A87</f>
        <v>57140</v>
      </c>
      <c r="CL77" s="119" t="str">
        <f>Summ.!$B87</f>
        <v>Trash - Split 80%</v>
      </c>
      <c r="CM77" s="134">
        <f>$F77</f>
        <v>64800</v>
      </c>
      <c r="CN77" s="110">
        <v>0</v>
      </c>
      <c r="CO77" s="110">
        <f t="shared" si="362"/>
        <v>64800</v>
      </c>
      <c r="CP77" s="113">
        <f>CM$8/$G77</f>
        <v>0.38314121551693375</v>
      </c>
      <c r="CQ77" s="110">
        <f t="shared" si="363"/>
        <v>24827.550765497308</v>
      </c>
      <c r="CR77" s="115">
        <f t="shared" si="364"/>
        <v>0</v>
      </c>
      <c r="CS77" s="110">
        <f t="shared" si="365"/>
        <v>24827.550765497308</v>
      </c>
      <c r="CT77" s="52">
        <f>Summ.!$A87</f>
        <v>57140</v>
      </c>
      <c r="CU77" s="119" t="str">
        <f>Summ.!$B87</f>
        <v>Trash - Split 80%</v>
      </c>
      <c r="CV77" s="134">
        <f>$F77</f>
        <v>64800</v>
      </c>
      <c r="CW77" s="110">
        <f t="shared" si="402"/>
        <v>-64800</v>
      </c>
      <c r="CX77" s="110">
        <f t="shared" si="366"/>
        <v>0</v>
      </c>
      <c r="CY77" s="113">
        <f>CV$8/$G77</f>
        <v>0.10706256022269013</v>
      </c>
      <c r="CZ77" s="110">
        <f t="shared" si="367"/>
        <v>0</v>
      </c>
      <c r="DA77" s="115">
        <f t="shared" si="368"/>
        <v>0</v>
      </c>
      <c r="DB77" s="110">
        <f t="shared" si="369"/>
        <v>0</v>
      </c>
      <c r="DC77" s="52">
        <f>Summ.!$A87</f>
        <v>57140</v>
      </c>
      <c r="DD77" s="119" t="str">
        <f>Summ.!$B87</f>
        <v>Trash - Split 80%</v>
      </c>
      <c r="DE77" s="134">
        <f>$F77</f>
        <v>64800</v>
      </c>
      <c r="DF77" s="110">
        <v>0</v>
      </c>
      <c r="DG77" s="110">
        <f t="shared" si="370"/>
        <v>64800</v>
      </c>
      <c r="DH77" s="113">
        <f>DE$8/$G77</f>
        <v>1.784376003711502E-2</v>
      </c>
      <c r="DI77" s="110">
        <f t="shared" si="371"/>
        <v>1156.2756504050533</v>
      </c>
      <c r="DJ77" s="115">
        <f t="shared" si="372"/>
        <v>0</v>
      </c>
      <c r="DK77" s="110">
        <f t="shared" si="373"/>
        <v>1156.2756504050533</v>
      </c>
      <c r="DL77" s="52">
        <f>Summ.!$A87</f>
        <v>57140</v>
      </c>
      <c r="DM77" s="119" t="str">
        <f>Summ.!$B87</f>
        <v>Trash - Split 80%</v>
      </c>
      <c r="DN77" s="134">
        <f>$F77</f>
        <v>64800</v>
      </c>
      <c r="DO77" s="110">
        <v>0</v>
      </c>
      <c r="DP77" s="110">
        <f t="shared" si="374"/>
        <v>64800</v>
      </c>
      <c r="DQ77" s="113">
        <f>DN$8/$G77</f>
        <v>0.1033510581349702</v>
      </c>
      <c r="DR77" s="110">
        <f t="shared" si="375"/>
        <v>6697.1485671460687</v>
      </c>
      <c r="DS77" s="115">
        <f t="shared" si="376"/>
        <v>0</v>
      </c>
      <c r="DT77" s="110">
        <f t="shared" si="377"/>
        <v>6697.1485671460687</v>
      </c>
      <c r="DU77" s="52">
        <f>Summ.!$A87</f>
        <v>57140</v>
      </c>
      <c r="DV77" s="119" t="str">
        <f>Summ.!$B87</f>
        <v>Trash - Split 80%</v>
      </c>
      <c r="DW77" s="134">
        <f>$F77</f>
        <v>64800</v>
      </c>
      <c r="DX77" s="110">
        <f t="shared" si="403"/>
        <v>-64800</v>
      </c>
      <c r="DY77" s="110">
        <f t="shared" si="378"/>
        <v>0</v>
      </c>
      <c r="DZ77" s="113">
        <f>DW$8/$G77</f>
        <v>0.28599978587487956</v>
      </c>
      <c r="EA77" s="110">
        <f t="shared" si="379"/>
        <v>0</v>
      </c>
      <c r="EB77" s="115">
        <f t="shared" si="380"/>
        <v>0</v>
      </c>
      <c r="EC77" s="110">
        <f t="shared" si="381"/>
        <v>0</v>
      </c>
      <c r="ED77" s="52">
        <f>Summ.!$A87</f>
        <v>57140</v>
      </c>
      <c r="EE77" s="119" t="str">
        <f>Summ.!$B87</f>
        <v>Trash - Split 80%</v>
      </c>
      <c r="EF77" s="134">
        <f>$F77</f>
        <v>64800</v>
      </c>
      <c r="EG77" s="110">
        <v>0</v>
      </c>
      <c r="EH77" s="110">
        <f t="shared" si="382"/>
        <v>64800</v>
      </c>
      <c r="EI77" s="113">
        <f>EF$8/$G77</f>
        <v>0.23196888048249528</v>
      </c>
      <c r="EJ77" s="110">
        <f t="shared" si="383"/>
        <v>15031.583455265694</v>
      </c>
      <c r="EK77" s="115">
        <f t="shared" si="384"/>
        <v>2254.7375182898541</v>
      </c>
      <c r="EL77" s="110">
        <f t="shared" si="385"/>
        <v>17286.32097355555</v>
      </c>
      <c r="EM77" s="52">
        <f>Summ.!$A87</f>
        <v>57140</v>
      </c>
      <c r="EN77" s="119" t="str">
        <f>Summ.!$B87</f>
        <v>Trash - Split 80%</v>
      </c>
      <c r="EO77" s="134">
        <f>$F77</f>
        <v>64800</v>
      </c>
      <c r="EP77" s="110">
        <v>0</v>
      </c>
      <c r="EQ77" s="110">
        <f t="shared" si="386"/>
        <v>64800</v>
      </c>
      <c r="ER77" s="113">
        <f>EO$8/$G77</f>
        <v>7.1125227507940467E-2</v>
      </c>
      <c r="ES77" s="110">
        <f t="shared" si="387"/>
        <v>4608.914742514542</v>
      </c>
      <c r="ET77" s="115">
        <f t="shared" si="388"/>
        <v>0</v>
      </c>
      <c r="EU77" s="110">
        <f t="shared" si="389"/>
        <v>4608.914742514542</v>
      </c>
      <c r="EV77" s="52">
        <f>Summ.!$A87</f>
        <v>57140</v>
      </c>
      <c r="EW77" s="119" t="str">
        <f>Summ.!$B87</f>
        <v>Trash - Split 80%</v>
      </c>
      <c r="EX77" s="134">
        <f>$F77</f>
        <v>64800</v>
      </c>
      <c r="EY77" s="110">
        <f t="shared" si="404"/>
        <v>-64800</v>
      </c>
      <c r="EZ77" s="110">
        <f t="shared" si="390"/>
        <v>0</v>
      </c>
      <c r="FA77" s="113">
        <f>EX$8/$G77</f>
        <v>3.4331394311409302E-2</v>
      </c>
      <c r="FB77" s="110">
        <f t="shared" si="391"/>
        <v>0</v>
      </c>
      <c r="FC77" s="115">
        <f t="shared" si="392"/>
        <v>0</v>
      </c>
      <c r="FD77" s="110">
        <f t="shared" si="393"/>
        <v>0</v>
      </c>
      <c r="FE77" s="52">
        <f>Summ.!$A87</f>
        <v>57140</v>
      </c>
      <c r="FF77" s="119" t="str">
        <f>Summ.!$B87</f>
        <v>Trash - Split 80%</v>
      </c>
      <c r="FG77" s="134">
        <f>$F77</f>
        <v>64800</v>
      </c>
      <c r="FH77" s="110">
        <v>0</v>
      </c>
      <c r="FI77" s="110">
        <f t="shared" si="394"/>
        <v>64800</v>
      </c>
      <c r="FJ77" s="113">
        <f>FG$8/$G77</f>
        <v>0.13218657435494807</v>
      </c>
      <c r="FK77" s="110">
        <f t="shared" si="395"/>
        <v>8565.6900182006357</v>
      </c>
      <c r="FL77" s="115">
        <f t="shared" si="396"/>
        <v>0</v>
      </c>
      <c r="FM77" s="110">
        <f t="shared" si="397"/>
        <v>8565.6900182006357</v>
      </c>
    </row>
    <row r="78" spans="1:169">
      <c r="A78" s="52"/>
      <c r="B78" s="52"/>
      <c r="C78" s="45"/>
      <c r="D78" s="45"/>
      <c r="E78" s="45"/>
      <c r="F78" s="106"/>
      <c r="I78" s="108"/>
      <c r="J78" s="110"/>
      <c r="K78" s="110"/>
      <c r="L78" s="110"/>
      <c r="M78" s="110"/>
      <c r="N78" s="110"/>
      <c r="P78" s="110"/>
      <c r="R78" s="108"/>
      <c r="S78" s="110"/>
      <c r="T78" s="110"/>
      <c r="U78" s="110"/>
      <c r="V78" s="110"/>
      <c r="W78" s="110"/>
      <c r="Y78" s="110"/>
      <c r="AA78" s="108"/>
      <c r="AB78" s="110"/>
      <c r="AC78" s="110"/>
      <c r="AD78" s="110"/>
      <c r="AE78" s="110"/>
      <c r="AF78" s="110"/>
      <c r="AH78" s="110"/>
      <c r="AJ78" s="108"/>
      <c r="AK78" s="110"/>
      <c r="AL78" s="110"/>
      <c r="AM78" s="110"/>
      <c r="AN78" s="110"/>
      <c r="AO78" s="110"/>
      <c r="AQ78" s="110"/>
      <c r="AS78" s="108"/>
      <c r="AT78" s="110"/>
      <c r="AU78" s="110"/>
      <c r="AV78" s="110"/>
      <c r="AW78" s="110"/>
      <c r="AX78" s="110"/>
      <c r="AZ78" s="110"/>
      <c r="BB78" s="108"/>
      <c r="BC78" s="110"/>
      <c r="BD78" s="110"/>
      <c r="BE78" s="110"/>
      <c r="BF78" s="110"/>
      <c r="BG78" s="110"/>
      <c r="BI78" s="110"/>
      <c r="BK78" s="108"/>
      <c r="BL78" s="110"/>
      <c r="BM78" s="110"/>
      <c r="BN78" s="110"/>
      <c r="BO78" s="110"/>
      <c r="BP78" s="110"/>
      <c r="BR78" s="110"/>
      <c r="BT78" s="108"/>
      <c r="BU78" s="110"/>
      <c r="BV78" s="110"/>
      <c r="BW78" s="110"/>
      <c r="BX78" s="110"/>
      <c r="BY78" s="110"/>
      <c r="CA78" s="110"/>
      <c r="CC78" s="108"/>
      <c r="CD78" s="110"/>
      <c r="CE78" s="110"/>
      <c r="CF78" s="110"/>
      <c r="CG78" s="110"/>
      <c r="CH78" s="110"/>
      <c r="CJ78" s="110"/>
      <c r="CL78" s="108"/>
      <c r="CM78" s="110"/>
      <c r="CN78" s="110"/>
      <c r="CO78" s="110"/>
      <c r="CP78" s="110"/>
      <c r="CQ78" s="110"/>
      <c r="CS78" s="110"/>
      <c r="CU78" s="108"/>
      <c r="CV78" s="110"/>
      <c r="CW78" s="110"/>
      <c r="CX78" s="110"/>
      <c r="CY78" s="110"/>
      <c r="CZ78" s="110"/>
      <c r="DB78" s="110"/>
      <c r="DD78" s="108"/>
      <c r="DE78" s="110"/>
      <c r="DF78" s="110"/>
      <c r="DG78" s="110"/>
      <c r="DH78" s="110"/>
      <c r="DI78" s="110"/>
      <c r="DK78" s="110"/>
      <c r="DM78" s="108"/>
      <c r="DN78" s="110"/>
      <c r="DO78" s="110"/>
      <c r="DP78" s="110"/>
      <c r="DQ78" s="110"/>
      <c r="DR78" s="110"/>
      <c r="DT78" s="110"/>
      <c r="DV78" s="108"/>
      <c r="DW78" s="110"/>
      <c r="DX78" s="110"/>
      <c r="DY78" s="110"/>
      <c r="DZ78" s="110"/>
      <c r="EA78" s="110"/>
      <c r="EC78" s="110"/>
      <c r="EE78" s="108"/>
      <c r="EF78" s="110"/>
      <c r="EG78" s="110"/>
      <c r="EH78" s="110"/>
      <c r="EI78" s="110"/>
      <c r="EJ78" s="110"/>
      <c r="EL78" s="110"/>
      <c r="EN78" s="108"/>
      <c r="EO78" s="110"/>
      <c r="EP78" s="110"/>
      <c r="EQ78" s="110"/>
      <c r="ER78" s="110"/>
      <c r="ES78" s="110"/>
      <c r="EU78" s="110"/>
      <c r="EW78" s="108"/>
      <c r="EX78" s="110"/>
      <c r="EY78" s="110"/>
      <c r="EZ78" s="110"/>
      <c r="FA78" s="110"/>
      <c r="FB78" s="110"/>
      <c r="FD78" s="110"/>
      <c r="FF78" s="108"/>
      <c r="FG78" s="110"/>
      <c r="FH78" s="110"/>
      <c r="FI78" s="110"/>
      <c r="FJ78" s="110"/>
      <c r="FK78" s="110"/>
      <c r="FM78" s="110"/>
    </row>
    <row r="79" spans="1:169">
      <c r="A79" s="52"/>
      <c r="B79" s="271" t="str">
        <f>Summ.!B89</f>
        <v>SUBTOTAL FOOD COURT</v>
      </c>
      <c r="C79" s="265"/>
      <c r="D79" s="265"/>
      <c r="E79" s="265"/>
      <c r="F79" s="268">
        <f>SUM(F74:F78)</f>
        <v>137168.08000000002</v>
      </c>
      <c r="I79" s="170" t="s">
        <v>579</v>
      </c>
      <c r="J79" s="171">
        <f>SUM(J74:J78)</f>
        <v>137168.08000000002</v>
      </c>
      <c r="K79" s="171">
        <f t="shared" ref="K79:L79" si="405">SUM(K74:K78)</f>
        <v>0</v>
      </c>
      <c r="L79" s="171">
        <f t="shared" si="405"/>
        <v>137168.08000000002</v>
      </c>
      <c r="M79" s="171"/>
      <c r="N79" s="171">
        <f>SUM(N74:N78)</f>
        <v>18959.065480889334</v>
      </c>
      <c r="O79" s="171">
        <f t="shared" ref="O79:P79" si="406">SUM(O74:O78)</f>
        <v>0</v>
      </c>
      <c r="P79" s="171">
        <f t="shared" si="406"/>
        <v>18959.065480889334</v>
      </c>
      <c r="R79" s="170" t="s">
        <v>579</v>
      </c>
      <c r="S79" s="171">
        <f>SUM(S74:S78)</f>
        <v>137168.08000000002</v>
      </c>
      <c r="T79" s="171">
        <f t="shared" ref="T79" si="407">SUM(T74:T78)</f>
        <v>0</v>
      </c>
      <c r="U79" s="171">
        <f t="shared" ref="U79" si="408">SUM(U74:U78)</f>
        <v>137168.08000000002</v>
      </c>
      <c r="V79" s="171"/>
      <c r="W79" s="171">
        <f>SUM(W74:W78)</f>
        <v>5257.4325655758184</v>
      </c>
      <c r="X79" s="171">
        <f t="shared" ref="X79" si="409">SUM(X74:X78)</f>
        <v>0</v>
      </c>
      <c r="Y79" s="173">
        <f>SUM(Y74:Y78)</f>
        <v>5257.4325655758184</v>
      </c>
      <c r="AA79" s="170" t="s">
        <v>579</v>
      </c>
      <c r="AB79" s="171">
        <f>SUM(AB74:AB78)</f>
        <v>137168.08000000002</v>
      </c>
      <c r="AC79" s="171">
        <f t="shared" ref="AC79" si="410">SUM(AC74:AC78)</f>
        <v>0</v>
      </c>
      <c r="AD79" s="171">
        <f t="shared" ref="AD79" si="411">SUM(AD74:AD78)</f>
        <v>137168.08000000002</v>
      </c>
      <c r="AE79" s="171"/>
      <c r="AF79" s="171">
        <f>SUM(AF74:AF78)</f>
        <v>979.03772170871844</v>
      </c>
      <c r="AG79" s="171">
        <f t="shared" ref="AG79" si="412">SUM(AG74:AG78)</f>
        <v>0</v>
      </c>
      <c r="AH79" s="173">
        <f>SUM(AH74:AH78)</f>
        <v>979.03772170871844</v>
      </c>
      <c r="AJ79" s="170" t="s">
        <v>579</v>
      </c>
      <c r="AK79" s="171">
        <f>SUM(AK74:AK78)</f>
        <v>137168.08000000002</v>
      </c>
      <c r="AL79" s="171">
        <f t="shared" ref="AL79" si="413">SUM(AL74:AL78)</f>
        <v>0</v>
      </c>
      <c r="AM79" s="171">
        <f t="shared" ref="AM79" si="414">SUM(AM74:AM78)</f>
        <v>137168.08000000002</v>
      </c>
      <c r="AN79" s="171"/>
      <c r="AO79" s="171">
        <f>SUM(AO74:AO78)</f>
        <v>2535.7076992255807</v>
      </c>
      <c r="AP79" s="171">
        <f t="shared" ref="AP79" si="415">SUM(AP74:AP78)</f>
        <v>0</v>
      </c>
      <c r="AQ79" s="173">
        <f>SUM(AQ74:AQ78)</f>
        <v>2535.7076992255807</v>
      </c>
      <c r="AS79" s="170" t="s">
        <v>579</v>
      </c>
      <c r="AT79" s="171">
        <f>SUM(AT74:AT78)</f>
        <v>137168.08000000002</v>
      </c>
      <c r="AU79" s="171">
        <f t="shared" ref="AU79" si="416">SUM(AU74:AU78)</f>
        <v>-137168.08000000002</v>
      </c>
      <c r="AV79" s="171">
        <f t="shared" ref="AV79" si="417">SUM(AV74:AV78)</f>
        <v>0</v>
      </c>
      <c r="AW79" s="171"/>
      <c r="AX79" s="171">
        <f>SUM(AX74:AX78)</f>
        <v>0</v>
      </c>
      <c r="AY79" s="171">
        <f t="shared" ref="AY79" si="418">SUM(AY74:AY78)</f>
        <v>0</v>
      </c>
      <c r="AZ79" s="173">
        <f>SUM(AZ74:AZ78)</f>
        <v>0</v>
      </c>
      <c r="BB79" s="170" t="s">
        <v>579</v>
      </c>
      <c r="BC79" s="171">
        <f>SUM(BC74:BC78)</f>
        <v>137168.08000000002</v>
      </c>
      <c r="BD79" s="171">
        <f t="shared" ref="BD79" si="419">SUM(BD74:BD78)</f>
        <v>-137168.08000000002</v>
      </c>
      <c r="BE79" s="171">
        <f t="shared" ref="BE79" si="420">SUM(BE74:BE78)</f>
        <v>0</v>
      </c>
      <c r="BF79" s="171"/>
      <c r="BG79" s="171" t="e">
        <f>SUM(BG74:BG78)</f>
        <v>#REF!</v>
      </c>
      <c r="BH79" s="171" t="e">
        <f t="shared" ref="BH79" si="421">SUM(BH74:BH78)</f>
        <v>#REF!</v>
      </c>
      <c r="BI79" s="173" t="e">
        <f>SUM(BI74:BI78)</f>
        <v>#REF!</v>
      </c>
      <c r="BK79" s="170" t="s">
        <v>579</v>
      </c>
      <c r="BL79" s="171">
        <f>SUM(BL74:BL78)</f>
        <v>137168.08000000002</v>
      </c>
      <c r="BM79" s="171">
        <f t="shared" ref="BM79" si="422">SUM(BM74:BM78)</f>
        <v>0</v>
      </c>
      <c r="BN79" s="171">
        <f t="shared" ref="BN79" si="423">SUM(BN74:BN78)</f>
        <v>137168.08000000002</v>
      </c>
      <c r="BO79" s="171"/>
      <c r="BP79" s="171">
        <f>SUM(BP74:BP78)</f>
        <v>4865.8174768923309</v>
      </c>
      <c r="BQ79" s="171">
        <f t="shared" ref="BQ79" si="424">SUM(BQ74:BQ78)</f>
        <v>0</v>
      </c>
      <c r="BR79" s="173">
        <f>SUM(BR74:BR78)</f>
        <v>4865.8174768923309</v>
      </c>
      <c r="BT79" s="170" t="s">
        <v>579</v>
      </c>
      <c r="BU79" s="171">
        <f>SUM(BU74:BU78)</f>
        <v>137168.08000000002</v>
      </c>
      <c r="BV79" s="171">
        <f t="shared" ref="BV79" si="425">SUM(BV74:BV78)</f>
        <v>-137168.08000000002</v>
      </c>
      <c r="BW79" s="171">
        <f t="shared" ref="BW79" si="426">SUM(BW74:BW78)</f>
        <v>0</v>
      </c>
      <c r="BX79" s="171"/>
      <c r="BY79" s="171">
        <f>SUM(BY74:BY78)</f>
        <v>0</v>
      </c>
      <c r="BZ79" s="171">
        <f t="shared" ref="BZ79" si="427">SUM(BZ74:BZ78)</f>
        <v>0</v>
      </c>
      <c r="CA79" s="173">
        <f>SUM(CA74:CA78)</f>
        <v>0</v>
      </c>
      <c r="CC79" s="170" t="s">
        <v>579</v>
      </c>
      <c r="CD79" s="171">
        <f>SUM(CD74:CD78)</f>
        <v>137168.08000000002</v>
      </c>
      <c r="CE79" s="171">
        <f t="shared" ref="CE79" si="428">SUM(CE74:CE78)</f>
        <v>0</v>
      </c>
      <c r="CF79" s="171">
        <f t="shared" ref="CF79" si="429">SUM(CF74:CF78)</f>
        <v>137168.08000000002</v>
      </c>
      <c r="CG79" s="171"/>
      <c r="CH79" s="171">
        <f>SUM(CH74:CH78)</f>
        <v>17260.435033724705</v>
      </c>
      <c r="CI79" s="171">
        <f t="shared" ref="CI79" si="430">SUM(CI74:CI78)</f>
        <v>0</v>
      </c>
      <c r="CJ79" s="173">
        <f>SUM(CJ74:CJ78)</f>
        <v>17260.435033724705</v>
      </c>
      <c r="CL79" s="170" t="s">
        <v>579</v>
      </c>
      <c r="CM79" s="171">
        <f>SUM(CM74:CM78)</f>
        <v>137168.08000000002</v>
      </c>
      <c r="CN79" s="171">
        <f t="shared" ref="CN79" si="431">SUM(CN74:CN78)</f>
        <v>0</v>
      </c>
      <c r="CO79" s="171">
        <f t="shared" ref="CO79" si="432">SUM(CO74:CO78)</f>
        <v>137168.08000000002</v>
      </c>
      <c r="CP79" s="171"/>
      <c r="CQ79" s="171">
        <f>SUM(CQ74:CQ78)</f>
        <v>52554.744901324011</v>
      </c>
      <c r="CR79" s="171">
        <f t="shared" ref="CR79" si="433">SUM(CR74:CR78)</f>
        <v>0</v>
      </c>
      <c r="CS79" s="173">
        <f>SUM(CS74:CS78)</f>
        <v>52554.744901324011</v>
      </c>
      <c r="CU79" s="170" t="s">
        <v>579</v>
      </c>
      <c r="CV79" s="171">
        <f>SUM(CV74:CV78)</f>
        <v>137168.08000000002</v>
      </c>
      <c r="CW79" s="171">
        <f t="shared" ref="CW79" si="434">SUM(CW74:CW78)</f>
        <v>-137168.08000000002</v>
      </c>
      <c r="CX79" s="171">
        <f t="shared" ref="CX79" si="435">SUM(CX74:CX78)</f>
        <v>0</v>
      </c>
      <c r="CY79" s="171"/>
      <c r="CZ79" s="171">
        <f>SUM(CZ74:CZ78)</f>
        <v>0</v>
      </c>
      <c r="DA79" s="171">
        <f t="shared" ref="DA79" si="436">SUM(DA74:DA78)</f>
        <v>0</v>
      </c>
      <c r="DB79" s="173">
        <f>SUM(DB74:DB78)</f>
        <v>0</v>
      </c>
      <c r="DD79" s="170" t="s">
        <v>579</v>
      </c>
      <c r="DE79" s="171">
        <f>SUM(DE74:DE78)</f>
        <v>137168.08000000002</v>
      </c>
      <c r="DF79" s="171">
        <f t="shared" ref="DF79" si="437">SUM(DF74:DF78)</f>
        <v>0</v>
      </c>
      <c r="DG79" s="171">
        <f t="shared" ref="DG79" si="438">SUM(DG74:DG78)</f>
        <v>137168.08000000002</v>
      </c>
      <c r="DH79" s="171"/>
      <c r="DI79" s="171">
        <f>SUM(DI74:DI78)</f>
        <v>2447.5943042717963</v>
      </c>
      <c r="DJ79" s="171">
        <f t="shared" ref="DJ79" si="439">SUM(DJ74:DJ78)</f>
        <v>0</v>
      </c>
      <c r="DK79" s="173">
        <f>SUM(DK74:DK78)</f>
        <v>2447.5943042717963</v>
      </c>
      <c r="DM79" s="170" t="s">
        <v>579</v>
      </c>
      <c r="DN79" s="171">
        <f>SUM(DN74:DN78)</f>
        <v>137168.08000000002</v>
      </c>
      <c r="DO79" s="171">
        <f t="shared" ref="DO79" si="440">SUM(DO74:DO78)</f>
        <v>0</v>
      </c>
      <c r="DP79" s="171">
        <f t="shared" ref="DP79" si="441">SUM(DP74:DP78)</f>
        <v>137168.08000000002</v>
      </c>
      <c r="DQ79" s="171"/>
      <c r="DR79" s="171">
        <f>SUM(DR74:DR78)</f>
        <v>14176.466210342243</v>
      </c>
      <c r="DS79" s="171">
        <f t="shared" ref="DS79" si="442">SUM(DS74:DS78)</f>
        <v>0</v>
      </c>
      <c r="DT79" s="173">
        <f>SUM(DT74:DT78)</f>
        <v>14176.466210342243</v>
      </c>
      <c r="DV79" s="170" t="s">
        <v>579</v>
      </c>
      <c r="DW79" s="171">
        <f>SUM(DW74:DW78)</f>
        <v>137168.08000000002</v>
      </c>
      <c r="DX79" s="171">
        <f t="shared" ref="DX79" si="443">SUM(DX74:DX78)</f>
        <v>-137168.08000000002</v>
      </c>
      <c r="DY79" s="171">
        <f t="shared" ref="DY79" si="444">SUM(DY74:DY78)</f>
        <v>0</v>
      </c>
      <c r="DZ79" s="171"/>
      <c r="EA79" s="171">
        <f>SUM(EA74:EA78)</f>
        <v>0</v>
      </c>
      <c r="EB79" s="171">
        <f t="shared" ref="EB79" si="445">SUM(EB74:EB78)</f>
        <v>0</v>
      </c>
      <c r="EC79" s="173">
        <f>SUM(EC74:EC78)</f>
        <v>0</v>
      </c>
      <c r="EE79" s="170" t="s">
        <v>579</v>
      </c>
      <c r="EF79" s="171">
        <f>SUM(EF74:EF78)</f>
        <v>137168.08000000002</v>
      </c>
      <c r="EG79" s="171">
        <f t="shared" ref="EG79" si="446">SUM(EG74:EG78)</f>
        <v>0</v>
      </c>
      <c r="EH79" s="171">
        <f t="shared" ref="EH79" si="447">SUM(EH74:EH78)</f>
        <v>137168.08000000002</v>
      </c>
      <c r="EI79" s="171"/>
      <c r="EJ79" s="171">
        <f>SUM(EJ74:EJ78)</f>
        <v>31818.725955533351</v>
      </c>
      <c r="EK79" s="171">
        <f t="shared" ref="EK79" si="448">SUM(EK74:EK78)</f>
        <v>4772.8088933300023</v>
      </c>
      <c r="EL79" s="173">
        <f>SUM(EL74:EL78)</f>
        <v>36591.534848863354</v>
      </c>
      <c r="EN79" s="170" t="s">
        <v>579</v>
      </c>
      <c r="EO79" s="171">
        <f>SUM(EO74:EO78)</f>
        <v>137168.08000000002</v>
      </c>
      <c r="EP79" s="171">
        <f t="shared" ref="EP79" si="449">SUM(EP74:EP78)</f>
        <v>0</v>
      </c>
      <c r="EQ79" s="171">
        <f t="shared" ref="EQ79" si="450">SUM(EQ74:EQ78)</f>
        <v>137168.08000000002</v>
      </c>
      <c r="ER79" s="171"/>
      <c r="ES79" s="171">
        <f>SUM(ES74:ES78)</f>
        <v>9756.1108968273784</v>
      </c>
      <c r="ET79" s="171">
        <f t="shared" ref="ET79" si="451">SUM(ET74:ET78)</f>
        <v>0</v>
      </c>
      <c r="EU79" s="173">
        <f>SUM(EU74:EU78)</f>
        <v>9756.1108968273784</v>
      </c>
      <c r="EW79" s="170" t="s">
        <v>579</v>
      </c>
      <c r="EX79" s="171">
        <f>SUM(EX74:EX78)</f>
        <v>137168.08000000002</v>
      </c>
      <c r="EY79" s="171">
        <f t="shared" ref="EY79" si="452">SUM(EY74:EY78)</f>
        <v>-137168.08000000002</v>
      </c>
      <c r="EZ79" s="171">
        <f t="shared" ref="EZ79" si="453">SUM(EZ74:EZ78)</f>
        <v>0</v>
      </c>
      <c r="FA79" s="171"/>
      <c r="FB79" s="171">
        <f>SUM(FB74:FB78)</f>
        <v>0</v>
      </c>
      <c r="FC79" s="171">
        <f t="shared" ref="FC79" si="454">SUM(FC74:FC78)</f>
        <v>0</v>
      </c>
      <c r="FD79" s="173">
        <f>SUM(FD74:FD78)</f>
        <v>0</v>
      </c>
      <c r="FF79" s="170" t="s">
        <v>579</v>
      </c>
      <c r="FG79" s="171">
        <f>SUM(FG74:FG78)</f>
        <v>137168.08000000002</v>
      </c>
      <c r="FH79" s="171">
        <f t="shared" ref="FH79" si="455">SUM(FH74:FH78)</f>
        <v>0</v>
      </c>
      <c r="FI79" s="171">
        <f t="shared" ref="FI79" si="456">SUM(FI74:FI78)</f>
        <v>137168.08000000002</v>
      </c>
      <c r="FJ79" s="171"/>
      <c r="FK79" s="171">
        <f>SUM(FK74:FK78)</f>
        <v>18131.778606045467</v>
      </c>
      <c r="FL79" s="171">
        <f t="shared" ref="FL79" si="457">SUM(FL74:FL78)</f>
        <v>0</v>
      </c>
      <c r="FM79" s="173">
        <f>SUM(FM74:FM78)</f>
        <v>18131.778606045467</v>
      </c>
    </row>
    <row r="80" spans="1:169">
      <c r="A80" s="52"/>
      <c r="B80" s="45"/>
      <c r="C80" s="45"/>
      <c r="D80" s="45"/>
      <c r="E80" s="45"/>
      <c r="F80" s="106"/>
      <c r="I80" s="108"/>
      <c r="J80" s="110"/>
      <c r="K80" s="110"/>
      <c r="L80" s="110"/>
      <c r="M80" s="110"/>
      <c r="N80" s="110"/>
      <c r="P80" s="110"/>
      <c r="R80" s="108"/>
      <c r="S80" s="110"/>
      <c r="T80" s="110"/>
      <c r="U80" s="110"/>
      <c r="V80" s="110"/>
      <c r="W80" s="110"/>
      <c r="Y80" s="110"/>
      <c r="AA80" s="108"/>
      <c r="AB80" s="110"/>
      <c r="AC80" s="110"/>
      <c r="AD80" s="110"/>
      <c r="AE80" s="110"/>
      <c r="AF80" s="110"/>
      <c r="AH80" s="110"/>
      <c r="AJ80" s="108"/>
      <c r="AK80" s="110"/>
      <c r="AL80" s="110"/>
      <c r="AM80" s="110"/>
      <c r="AN80" s="110"/>
      <c r="AO80" s="110"/>
      <c r="AQ80" s="110"/>
      <c r="AS80" s="108"/>
      <c r="AT80" s="110"/>
      <c r="AU80" s="110"/>
      <c r="AV80" s="110"/>
      <c r="AW80" s="110"/>
      <c r="AX80" s="110"/>
      <c r="AZ80" s="110"/>
      <c r="BB80" s="108"/>
      <c r="BC80" s="110"/>
      <c r="BD80" s="110"/>
      <c r="BE80" s="110"/>
      <c r="BF80" s="110"/>
      <c r="BG80" s="110"/>
      <c r="BI80" s="110"/>
      <c r="BK80" s="108"/>
      <c r="BL80" s="110"/>
      <c r="BM80" s="110"/>
      <c r="BN80" s="110"/>
      <c r="BO80" s="110"/>
      <c r="BP80" s="110"/>
      <c r="BR80" s="110"/>
      <c r="BT80" s="108"/>
      <c r="BU80" s="110"/>
      <c r="BV80" s="110"/>
      <c r="BW80" s="110"/>
      <c r="BX80" s="110"/>
      <c r="BY80" s="110"/>
      <c r="CA80" s="110"/>
      <c r="CC80" s="108"/>
      <c r="CD80" s="110"/>
      <c r="CE80" s="110"/>
      <c r="CF80" s="110"/>
      <c r="CG80" s="110"/>
      <c r="CH80" s="110"/>
      <c r="CJ80" s="110"/>
      <c r="CL80" s="108"/>
      <c r="CM80" s="110"/>
      <c r="CN80" s="110"/>
      <c r="CO80" s="110"/>
      <c r="CP80" s="110"/>
      <c r="CQ80" s="110"/>
      <c r="CS80" s="110"/>
      <c r="CU80" s="108"/>
      <c r="CV80" s="110"/>
      <c r="CW80" s="110"/>
      <c r="CX80" s="110"/>
      <c r="CY80" s="110"/>
      <c r="CZ80" s="110"/>
      <c r="DB80" s="110"/>
      <c r="DD80" s="108"/>
      <c r="DE80" s="110"/>
      <c r="DF80" s="110"/>
      <c r="DG80" s="110"/>
      <c r="DH80" s="110"/>
      <c r="DI80" s="110"/>
      <c r="DK80" s="110"/>
      <c r="DM80" s="108"/>
      <c r="DN80" s="110"/>
      <c r="DO80" s="110"/>
      <c r="DP80" s="110"/>
      <c r="DQ80" s="110"/>
      <c r="DR80" s="110"/>
      <c r="DT80" s="110"/>
      <c r="DV80" s="108"/>
      <c r="DW80" s="110"/>
      <c r="DX80" s="110"/>
      <c r="DY80" s="110"/>
      <c r="DZ80" s="110"/>
      <c r="EA80" s="110"/>
      <c r="EC80" s="110"/>
      <c r="EE80" s="108"/>
      <c r="EF80" s="110"/>
      <c r="EG80" s="110"/>
      <c r="EH80" s="110"/>
      <c r="EI80" s="110"/>
      <c r="EJ80" s="110"/>
      <c r="EL80" s="110"/>
      <c r="EN80" s="108"/>
      <c r="EO80" s="110"/>
      <c r="EP80" s="110"/>
      <c r="EQ80" s="110"/>
      <c r="ER80" s="110"/>
      <c r="ES80" s="110"/>
      <c r="EU80" s="110"/>
      <c r="EW80" s="108"/>
      <c r="EX80" s="110"/>
      <c r="EY80" s="110"/>
      <c r="EZ80" s="110"/>
      <c r="FA80" s="110"/>
      <c r="FB80" s="110"/>
      <c r="FD80" s="110"/>
      <c r="FF80" s="108"/>
      <c r="FG80" s="110"/>
      <c r="FH80" s="110"/>
      <c r="FI80" s="110"/>
      <c r="FJ80" s="110"/>
      <c r="FK80" s="110"/>
      <c r="FM80" s="110"/>
    </row>
    <row r="81" spans="1:169">
      <c r="A81" s="52"/>
      <c r="B81" s="47" t="str">
        <f>Summ.!B91</f>
        <v>BUILDING EXPENSE</v>
      </c>
      <c r="C81" s="45"/>
      <c r="D81" s="45"/>
      <c r="E81" s="45"/>
      <c r="F81" s="106"/>
      <c r="I81" s="109" t="s">
        <v>253</v>
      </c>
      <c r="J81" s="109"/>
      <c r="K81" s="109"/>
      <c r="L81" s="109"/>
      <c r="M81" s="109"/>
      <c r="N81" s="109"/>
      <c r="P81" s="112"/>
      <c r="R81" s="109" t="s">
        <v>253</v>
      </c>
      <c r="S81" s="109"/>
      <c r="T81" s="109"/>
      <c r="U81" s="109"/>
      <c r="V81" s="109"/>
      <c r="W81" s="109"/>
      <c r="Y81" s="112"/>
      <c r="AA81" s="109" t="s">
        <v>253</v>
      </c>
      <c r="AB81" s="109"/>
      <c r="AC81" s="109"/>
      <c r="AD81" s="109"/>
      <c r="AE81" s="109"/>
      <c r="AF81" s="109"/>
      <c r="AH81" s="112"/>
      <c r="AJ81" s="109" t="s">
        <v>253</v>
      </c>
      <c r="AK81" s="109"/>
      <c r="AL81" s="109"/>
      <c r="AM81" s="109"/>
      <c r="AN81" s="109"/>
      <c r="AO81" s="109"/>
      <c r="AQ81" s="112"/>
      <c r="AS81" s="109" t="s">
        <v>253</v>
      </c>
      <c r="AT81" s="109"/>
      <c r="AU81" s="109"/>
      <c r="AV81" s="109"/>
      <c r="AW81" s="109"/>
      <c r="AX81" s="109"/>
      <c r="AZ81" s="112"/>
      <c r="BB81" s="109" t="s">
        <v>253</v>
      </c>
      <c r="BC81" s="109"/>
      <c r="BD81" s="109"/>
      <c r="BE81" s="109"/>
      <c r="BF81" s="109"/>
      <c r="BG81" s="109"/>
      <c r="BI81" s="112"/>
      <c r="BK81" s="109" t="s">
        <v>253</v>
      </c>
      <c r="BL81" s="109"/>
      <c r="BM81" s="109"/>
      <c r="BN81" s="109"/>
      <c r="BO81" s="109"/>
      <c r="BP81" s="109"/>
      <c r="BR81" s="112"/>
      <c r="BT81" s="109" t="s">
        <v>253</v>
      </c>
      <c r="BU81" s="109"/>
      <c r="BV81" s="109"/>
      <c r="BW81" s="109"/>
      <c r="BX81" s="109"/>
      <c r="BY81" s="109"/>
      <c r="CA81" s="112"/>
      <c r="CC81" s="109" t="s">
        <v>253</v>
      </c>
      <c r="CD81" s="109"/>
      <c r="CE81" s="109"/>
      <c r="CF81" s="109"/>
      <c r="CG81" s="109"/>
      <c r="CH81" s="109"/>
      <c r="CJ81" s="112"/>
      <c r="CL81" s="109" t="s">
        <v>253</v>
      </c>
      <c r="CM81" s="109"/>
      <c r="CN81" s="109"/>
      <c r="CO81" s="109"/>
      <c r="CP81" s="109"/>
      <c r="CQ81" s="109"/>
      <c r="CS81" s="112"/>
      <c r="CU81" s="109" t="s">
        <v>253</v>
      </c>
      <c r="CV81" s="109"/>
      <c r="CW81" s="109"/>
      <c r="CX81" s="109"/>
      <c r="CY81" s="109"/>
      <c r="CZ81" s="109"/>
      <c r="DB81" s="112"/>
      <c r="DD81" s="109" t="s">
        <v>253</v>
      </c>
      <c r="DE81" s="109"/>
      <c r="DF81" s="109"/>
      <c r="DG81" s="109"/>
      <c r="DH81" s="109"/>
      <c r="DI81" s="109"/>
      <c r="DK81" s="112"/>
      <c r="DM81" s="109" t="s">
        <v>253</v>
      </c>
      <c r="DN81" s="109"/>
      <c r="DO81" s="109"/>
      <c r="DP81" s="109"/>
      <c r="DQ81" s="109"/>
      <c r="DR81" s="109"/>
      <c r="DT81" s="112"/>
      <c r="DV81" s="109" t="s">
        <v>253</v>
      </c>
      <c r="DW81" s="109"/>
      <c r="DX81" s="109"/>
      <c r="DY81" s="109"/>
      <c r="DZ81" s="109"/>
      <c r="EA81" s="109"/>
      <c r="EC81" s="112"/>
      <c r="EE81" s="109" t="s">
        <v>253</v>
      </c>
      <c r="EF81" s="109"/>
      <c r="EG81" s="109"/>
      <c r="EH81" s="109"/>
      <c r="EI81" s="109"/>
      <c r="EJ81" s="109"/>
      <c r="EL81" s="112"/>
      <c r="EN81" s="109" t="s">
        <v>253</v>
      </c>
      <c r="EO81" s="109"/>
      <c r="EP81" s="109"/>
      <c r="EQ81" s="109"/>
      <c r="ER81" s="109"/>
      <c r="ES81" s="109"/>
      <c r="EU81" s="112"/>
      <c r="EW81" s="109" t="s">
        <v>253</v>
      </c>
      <c r="EX81" s="109"/>
      <c r="EY81" s="109"/>
      <c r="EZ81" s="109"/>
      <c r="FA81" s="109"/>
      <c r="FB81" s="109"/>
      <c r="FD81" s="112"/>
      <c r="FF81" s="109" t="s">
        <v>253</v>
      </c>
      <c r="FG81" s="109"/>
      <c r="FH81" s="109"/>
      <c r="FI81" s="109"/>
      <c r="FJ81" s="109"/>
      <c r="FK81" s="109"/>
      <c r="FM81" s="112"/>
    </row>
    <row r="82" spans="1:169">
      <c r="A82" s="52">
        <f>Summ.!A92</f>
        <v>51060</v>
      </c>
      <c r="B82" s="45" t="str">
        <f>Summ.!B92</f>
        <v>Roof Maintenance</v>
      </c>
      <c r="C82" s="45"/>
      <c r="D82" s="45"/>
      <c r="E82" s="45"/>
      <c r="F82" s="106">
        <f>+Summ.!O92</f>
        <v>5000</v>
      </c>
      <c r="G82" s="71">
        <f>Rent!$B$42</f>
        <v>40148</v>
      </c>
      <c r="H82" s="52">
        <f>Summ.!$A92</f>
        <v>51060</v>
      </c>
      <c r="I82" s="108" t="str">
        <f>Summ.!$B92</f>
        <v>Roof Maintenance</v>
      </c>
      <c r="J82" s="110">
        <f>$F82</f>
        <v>5000</v>
      </c>
      <c r="K82" s="110">
        <v>0</v>
      </c>
      <c r="L82" s="110">
        <f>J82+K82</f>
        <v>5000</v>
      </c>
      <c r="M82" s="113">
        <f t="shared" ref="M82:M94" si="458">J$8/$G82</f>
        <v>9.6468068147852942E-2</v>
      </c>
      <c r="N82" s="110">
        <f t="shared" ref="N82:N94" si="459">L82*M82</f>
        <v>482.34034073926472</v>
      </c>
      <c r="O82" s="115">
        <f t="shared" ref="O82:O94" si="460">N82*$O$11</f>
        <v>0</v>
      </c>
      <c r="P82" s="110">
        <f t="shared" ref="P82:P94" si="461">N82+O82</f>
        <v>482.34034073926472</v>
      </c>
      <c r="Q82" s="52">
        <f>Summ.!$A92</f>
        <v>51060</v>
      </c>
      <c r="R82" s="108" t="str">
        <f>Summ.!$B92</f>
        <v>Roof Maintenance</v>
      </c>
      <c r="S82" s="110">
        <f>$F82</f>
        <v>5000</v>
      </c>
      <c r="T82" s="110">
        <f>+K82</f>
        <v>0</v>
      </c>
      <c r="U82" s="110">
        <f>S82+T82</f>
        <v>5000</v>
      </c>
      <c r="V82" s="113">
        <f t="shared" ref="V82:V94" si="462">S$8/$G82</f>
        <v>2.6751021221480521E-2</v>
      </c>
      <c r="W82" s="110">
        <f t="shared" ref="W82:W94" si="463">U82*V82</f>
        <v>133.75510610740261</v>
      </c>
      <c r="X82" s="115">
        <f t="shared" ref="X82:X94" si="464">W82*$X$11</f>
        <v>0</v>
      </c>
      <c r="Y82" s="110">
        <f t="shared" ref="Y82:Y94" si="465">W82+X82</f>
        <v>133.75510610740261</v>
      </c>
      <c r="Z82" s="52">
        <f>Summ.!$A92</f>
        <v>51060</v>
      </c>
      <c r="AA82" s="108" t="str">
        <f>Summ.!$B92</f>
        <v>Roof Maintenance</v>
      </c>
      <c r="AB82" s="110">
        <f>$F82</f>
        <v>5000</v>
      </c>
      <c r="AC82" s="110">
        <v>0</v>
      </c>
      <c r="AD82" s="110">
        <f>AB82+AC82</f>
        <v>5000</v>
      </c>
      <c r="AE82" s="113">
        <f t="shared" ref="AE82:AE94" si="466">AB$8/$G82</f>
        <v>4.9815681976686258E-3</v>
      </c>
      <c r="AF82" s="110">
        <f t="shared" ref="AF82:AF94" si="467">AD82*AE82</f>
        <v>24.907840988343128</v>
      </c>
      <c r="AG82" s="115">
        <f t="shared" ref="AG82:AG94" si="468">AF82*$AG$11</f>
        <v>0</v>
      </c>
      <c r="AH82" s="110">
        <f t="shared" ref="AH82:AH94" si="469">AF82+AG82</f>
        <v>24.907840988343128</v>
      </c>
      <c r="AI82" s="52">
        <f>Summ.!$A92</f>
        <v>51060</v>
      </c>
      <c r="AJ82" s="108" t="str">
        <f>Summ.!$B92</f>
        <v>Roof Maintenance</v>
      </c>
      <c r="AK82" s="110">
        <f>$F82</f>
        <v>5000</v>
      </c>
      <c r="AL82" s="110">
        <f>+AC82</f>
        <v>0</v>
      </c>
      <c r="AM82" s="110">
        <f>AK82+AL82</f>
        <v>5000</v>
      </c>
      <c r="AN82" s="113">
        <f t="shared" ref="AN82:AN94" si="470">AK$8/$G82</f>
        <v>1.2902261631961742E-2</v>
      </c>
      <c r="AO82" s="110">
        <f t="shared" ref="AO82:AO94" si="471">AM82*AN82</f>
        <v>64.511308159808706</v>
      </c>
      <c r="AP82" s="115">
        <f t="shared" ref="AP82:AP94" si="472">AO82*$AP$11</f>
        <v>0</v>
      </c>
      <c r="AQ82" s="110">
        <f t="shared" ref="AQ82:AQ94" si="473">AO82+AP82</f>
        <v>64.511308159808706</v>
      </c>
      <c r="AR82" s="52">
        <f>Summ.!$A92</f>
        <v>51060</v>
      </c>
      <c r="AS82" s="108" t="str">
        <f>Summ.!$B92</f>
        <v>Roof Maintenance</v>
      </c>
      <c r="AT82" s="110">
        <f>$F82</f>
        <v>5000</v>
      </c>
      <c r="AU82" s="110">
        <f>+AL82</f>
        <v>0</v>
      </c>
      <c r="AV82" s="110">
        <f>AT82+AU82</f>
        <v>5000</v>
      </c>
      <c r="AW82" s="113">
        <f t="shared" ref="AW82:AW94" si="474">AT$8/$G82</f>
        <v>1.3076616518880143E-2</v>
      </c>
      <c r="AX82" s="110">
        <f t="shared" ref="AX82:AX94" si="475">AV82*AW82</f>
        <v>65.383082594400719</v>
      </c>
      <c r="AY82" s="115">
        <f t="shared" ref="AY82:AY94" si="476">AX82*$AY$11</f>
        <v>0</v>
      </c>
      <c r="AZ82" s="110">
        <f t="shared" ref="AZ82:AZ94" si="477">AX82+AY82</f>
        <v>65.383082594400719</v>
      </c>
      <c r="BA82" s="52">
        <f>Summ.!$A92</f>
        <v>51060</v>
      </c>
      <c r="BB82" s="108" t="str">
        <f>Summ.!$B92</f>
        <v>Roof Maintenance</v>
      </c>
      <c r="BC82" s="110">
        <f>$F82</f>
        <v>5000</v>
      </c>
      <c r="BD82" s="110">
        <f>+AU82</f>
        <v>0</v>
      </c>
      <c r="BE82" s="110">
        <f>BC82+BD82</f>
        <v>5000</v>
      </c>
      <c r="BF82" s="113" t="e">
        <f t="shared" ref="BF82:BF94" si="478">BC$8/$G82</f>
        <v>#REF!</v>
      </c>
      <c r="BG82" s="110" t="e">
        <f t="shared" ref="BG82:BG94" si="479">BE82*BF82</f>
        <v>#REF!</v>
      </c>
      <c r="BH82" s="115" t="e">
        <f t="shared" ref="BH82:BH94" si="480">BG82*$BH$11</f>
        <v>#REF!</v>
      </c>
      <c r="BI82" s="110" t="e">
        <f t="shared" ref="BI82:BI94" si="481">BG82+BH82</f>
        <v>#REF!</v>
      </c>
      <c r="BJ82" s="52">
        <f>Summ.!$A92</f>
        <v>51060</v>
      </c>
      <c r="BK82" s="108" t="str">
        <f>Summ.!$B92</f>
        <v>Roof Maintenance</v>
      </c>
      <c r="BL82" s="110">
        <f>$F82</f>
        <v>5000</v>
      </c>
      <c r="BM82" s="110">
        <f t="shared" ref="BM82:BM94" si="482">+BD82</f>
        <v>0</v>
      </c>
      <c r="BN82" s="110">
        <f>BL82+BM82</f>
        <v>5000</v>
      </c>
      <c r="BO82" s="113">
        <f t="shared" ref="BO82:BO94" si="483">BL$8/$G82</f>
        <v>2.4758393942413071E-2</v>
      </c>
      <c r="BP82" s="110">
        <f t="shared" ref="BP82:BP94" si="484">BN82*BO82</f>
        <v>123.79196971206535</v>
      </c>
      <c r="BQ82" s="115">
        <f t="shared" ref="BQ82:BQ94" si="485">BP82*$BQ$11</f>
        <v>0</v>
      </c>
      <c r="BR82" s="110">
        <f t="shared" ref="BR82:BR94" si="486">BP82+BQ82</f>
        <v>123.79196971206535</v>
      </c>
      <c r="BS82" s="52">
        <f>Summ.!$A92</f>
        <v>51060</v>
      </c>
      <c r="BT82" s="108" t="str">
        <f>Summ.!$B92</f>
        <v>Roof Maintenance</v>
      </c>
      <c r="BU82" s="110">
        <f>$F82</f>
        <v>5000</v>
      </c>
      <c r="BV82" s="110">
        <f>+BM82</f>
        <v>0</v>
      </c>
      <c r="BW82" s="110">
        <f>BU82+BV82</f>
        <v>5000</v>
      </c>
      <c r="BX82" s="113">
        <f t="shared" ref="BX82:BX94" si="487">BU$8/$G82</f>
        <v>2.5978878150841885E-2</v>
      </c>
      <c r="BY82" s="110">
        <f t="shared" ref="BY82:BY94" si="488">BW82*BX82</f>
        <v>129.89439075420941</v>
      </c>
      <c r="BZ82" s="115">
        <f t="shared" ref="BZ82:BZ94" si="489">BY82*$BZ$11</f>
        <v>0</v>
      </c>
      <c r="CA82" s="110">
        <f t="shared" ref="CA82:CA94" si="490">BY82+BZ82</f>
        <v>129.89439075420941</v>
      </c>
      <c r="CB82" s="52">
        <f>Summ.!$A92</f>
        <v>51060</v>
      </c>
      <c r="CC82" s="108" t="str">
        <f>Summ.!$B92</f>
        <v>Roof Maintenance</v>
      </c>
      <c r="CD82" s="110">
        <f>$F82</f>
        <v>5000</v>
      </c>
      <c r="CE82" s="110">
        <v>0</v>
      </c>
      <c r="CF82" s="110">
        <f>CD82+CE82</f>
        <v>5000</v>
      </c>
      <c r="CG82" s="113">
        <f t="shared" ref="CG82:CG94" si="491">CD$8/$G82</f>
        <v>8.7825047324897876E-2</v>
      </c>
      <c r="CH82" s="110">
        <f t="shared" ref="CH82:CH94" si="492">CF82*CG82</f>
        <v>439.12523662448939</v>
      </c>
      <c r="CI82" s="115">
        <f t="shared" ref="CI82:CI94" si="493">CH82*$CI$11</f>
        <v>0</v>
      </c>
      <c r="CJ82" s="110">
        <f t="shared" ref="CJ82:CJ94" si="494">CH82+CI82</f>
        <v>439.12523662448939</v>
      </c>
      <c r="CK82" s="52">
        <f>Summ.!$A92</f>
        <v>51060</v>
      </c>
      <c r="CL82" s="108" t="str">
        <f>Summ.!$B92</f>
        <v>Roof Maintenance</v>
      </c>
      <c r="CM82" s="110">
        <f>$F82</f>
        <v>5000</v>
      </c>
      <c r="CN82" s="110">
        <f>+CE82</f>
        <v>0</v>
      </c>
      <c r="CO82" s="110">
        <f>CM82+CN82</f>
        <v>5000</v>
      </c>
      <c r="CP82" s="113">
        <f t="shared" ref="CP82:CP94" si="495">CM$8/$G82</f>
        <v>0.26741058085085184</v>
      </c>
      <c r="CQ82" s="110">
        <f t="shared" ref="CQ82:CQ94" si="496">CO82*CP82</f>
        <v>1337.0529042542591</v>
      </c>
      <c r="CR82" s="115">
        <f t="shared" ref="CR82:CR94" si="497">CQ82*$CR$11</f>
        <v>0</v>
      </c>
      <c r="CS82" s="110">
        <f t="shared" ref="CS82:CS94" si="498">CQ82+CR82</f>
        <v>1337.0529042542591</v>
      </c>
      <c r="CT82" s="52">
        <f>Summ.!$A92</f>
        <v>51060</v>
      </c>
      <c r="CU82" s="108" t="str">
        <f>Summ.!$B92</f>
        <v>Roof Maintenance</v>
      </c>
      <c r="CV82" s="110">
        <f>$F82</f>
        <v>5000</v>
      </c>
      <c r="CW82" s="110">
        <v>0</v>
      </c>
      <c r="CX82" s="110">
        <f>CV82+CW82</f>
        <v>5000</v>
      </c>
      <c r="CY82" s="113">
        <f t="shared" ref="CY82:CY94" si="499">CV$8/$G82</f>
        <v>7.472352296502939E-2</v>
      </c>
      <c r="CZ82" s="110">
        <f t="shared" ref="CZ82:CZ94" si="500">CX82*CY82</f>
        <v>373.61761482514697</v>
      </c>
      <c r="DA82" s="115">
        <f t="shared" ref="DA82:DA94" si="501">CZ82*$DA$11</f>
        <v>0</v>
      </c>
      <c r="DB82" s="110">
        <f t="shared" ref="DB82:DB94" si="502">CZ82+DA82</f>
        <v>373.61761482514697</v>
      </c>
      <c r="DC82" s="52">
        <f>Summ.!$A92</f>
        <v>51060</v>
      </c>
      <c r="DD82" s="108" t="str">
        <f>Summ.!$B92</f>
        <v>Roof Maintenance</v>
      </c>
      <c r="DE82" s="110">
        <f>$F82</f>
        <v>5000</v>
      </c>
      <c r="DF82" s="110">
        <v>0</v>
      </c>
      <c r="DG82" s="110">
        <f>DE82+DF82</f>
        <v>5000</v>
      </c>
      <c r="DH82" s="113">
        <f t="shared" ref="DH82:DH94" si="503">DE$8/$G82</f>
        <v>1.2453920494171565E-2</v>
      </c>
      <c r="DI82" s="110">
        <f t="shared" ref="DI82:DI94" si="504">DG82*DH82</f>
        <v>62.269602470857826</v>
      </c>
      <c r="DJ82" s="115">
        <f t="shared" ref="DJ82:DJ94" si="505">DI82*$DJ$11</f>
        <v>0</v>
      </c>
      <c r="DK82" s="110">
        <f t="shared" ref="DK82:DK94" si="506">DI82+DJ82</f>
        <v>62.269602470857826</v>
      </c>
      <c r="DL82" s="52">
        <f>Summ.!$A92</f>
        <v>51060</v>
      </c>
      <c r="DM82" s="108" t="str">
        <f>Summ.!$B92</f>
        <v>Roof Maintenance</v>
      </c>
      <c r="DN82" s="110">
        <f>$F82</f>
        <v>5000</v>
      </c>
      <c r="DO82" s="110">
        <f>-DN82</f>
        <v>-5000</v>
      </c>
      <c r="DP82" s="110">
        <f>DN82+DO82</f>
        <v>0</v>
      </c>
      <c r="DQ82" s="113">
        <f t="shared" ref="DQ82:DQ94" si="507">DN$8/$G82</f>
        <v>7.2133107502241708E-2</v>
      </c>
      <c r="DR82" s="110">
        <f t="shared" ref="DR82:DR94" si="508">DP82*DQ82</f>
        <v>0</v>
      </c>
      <c r="DS82" s="115">
        <f t="shared" ref="DS82:DS94" si="509">DR82*$DS$11</f>
        <v>0</v>
      </c>
      <c r="DT82" s="110">
        <f t="shared" ref="DT82:DT94" si="510">DR82+DS82</f>
        <v>0</v>
      </c>
      <c r="DU82" s="52">
        <f>Summ.!$A92</f>
        <v>51060</v>
      </c>
      <c r="DV82" s="108" t="str">
        <f>Summ.!$B92</f>
        <v>Roof Maintenance</v>
      </c>
      <c r="DW82" s="110">
        <f>$F82</f>
        <v>5000</v>
      </c>
      <c r="DX82" s="110">
        <f>+DO82</f>
        <v>-5000</v>
      </c>
      <c r="DY82" s="110">
        <f>DW82+DX82</f>
        <v>0</v>
      </c>
      <c r="DZ82" s="113">
        <f t="shared" ref="DZ82:DZ94" si="511">DW$8/$G82</f>
        <v>0.19961143768058184</v>
      </c>
      <c r="EA82" s="110">
        <f t="shared" ref="EA82:EA94" si="512">DY82*DZ82</f>
        <v>0</v>
      </c>
      <c r="EB82" s="115">
        <f t="shared" ref="EB82:EB94" si="513">EA82*$EB$11</f>
        <v>0</v>
      </c>
      <c r="EC82" s="110">
        <f t="shared" ref="EC82:EC94" si="514">EA82+EB82</f>
        <v>0</v>
      </c>
      <c r="ED82" s="52">
        <f>Summ.!$A92</f>
        <v>51060</v>
      </c>
      <c r="EE82" s="108" t="str">
        <f>Summ.!$B92</f>
        <v>Roof Maintenance</v>
      </c>
      <c r="EF82" s="110">
        <f>$F82</f>
        <v>5000</v>
      </c>
      <c r="EG82" s="110">
        <f>+DX82</f>
        <v>-5000</v>
      </c>
      <c r="EH82" s="110">
        <f>EF82+EG82</f>
        <v>0</v>
      </c>
      <c r="EI82" s="113">
        <f t="shared" ref="EI82:EI93" si="515">EF$8/$G82</f>
        <v>0.16190096642423035</v>
      </c>
      <c r="EJ82" s="110">
        <f t="shared" ref="EJ82:EJ94" si="516">EH82*EI82</f>
        <v>0</v>
      </c>
      <c r="EK82" s="115">
        <f t="shared" ref="EK82:EK94" si="517">EJ82*$EK$11</f>
        <v>0</v>
      </c>
      <c r="EL82" s="110">
        <f t="shared" ref="EL82:EL94" si="518">EJ82+EK82</f>
        <v>0</v>
      </c>
      <c r="EM82" s="52">
        <f>Summ.!$A92</f>
        <v>51060</v>
      </c>
      <c r="EN82" s="108" t="str">
        <f>Summ.!$B92</f>
        <v>Roof Maintenance</v>
      </c>
      <c r="EO82" s="110">
        <f>$F82</f>
        <v>5000</v>
      </c>
      <c r="EP82" s="110">
        <v>0</v>
      </c>
      <c r="EQ82" s="110">
        <f>EO82+EP82</f>
        <v>5000</v>
      </c>
      <c r="ER82" s="113">
        <f t="shared" ref="ER82:ER94" si="519">EO$8/$G82</f>
        <v>4.9641327089767859E-2</v>
      </c>
      <c r="ES82" s="110">
        <f t="shared" ref="ES82:ES94" si="520">EQ82*ER82</f>
        <v>248.20663544883931</v>
      </c>
      <c r="ET82" s="115">
        <f t="shared" ref="ET82:ET94" si="521">ES82*$ET$11</f>
        <v>0</v>
      </c>
      <c r="EU82" s="110">
        <f t="shared" ref="EU82:EU94" si="522">ES82+ET82</f>
        <v>248.20663544883931</v>
      </c>
      <c r="EV82" s="52">
        <f>Summ.!$A92</f>
        <v>51060</v>
      </c>
      <c r="EW82" s="108" t="str">
        <f>Summ.!$B92</f>
        <v>Roof Maintenance</v>
      </c>
      <c r="EX82" s="110">
        <f>$F82</f>
        <v>5000</v>
      </c>
      <c r="EY82" s="110">
        <f>+EP82</f>
        <v>0</v>
      </c>
      <c r="EZ82" s="110">
        <f>EX82+EY82</f>
        <v>5000</v>
      </c>
      <c r="FA82" s="113">
        <f t="shared" ref="FA82:FA94" si="523">EX$8/$G82</f>
        <v>2.3961343030786092E-2</v>
      </c>
      <c r="FB82" s="110">
        <f t="shared" ref="FB82:FB94" si="524">EZ82*FA82</f>
        <v>119.80671515393045</v>
      </c>
      <c r="FC82" s="115">
        <f t="shared" ref="FC82:FC94" si="525">FB82*$FC$11</f>
        <v>0</v>
      </c>
      <c r="FD82" s="110">
        <f t="shared" ref="FD82:FD94" si="526">FB82+FC82</f>
        <v>119.80671515393045</v>
      </c>
      <c r="FE82" s="52">
        <f>Summ.!$A92</f>
        <v>51060</v>
      </c>
      <c r="FF82" s="108" t="str">
        <f>Summ.!$B92</f>
        <v>Roof Maintenance</v>
      </c>
      <c r="FG82" s="110">
        <f>$F82</f>
        <v>5000</v>
      </c>
      <c r="FH82" s="110">
        <f>+EY82</f>
        <v>0</v>
      </c>
      <c r="FI82" s="110">
        <f>FG82+FH82</f>
        <v>5000</v>
      </c>
      <c r="FJ82" s="113">
        <f t="shared" ref="FJ82:FJ94" si="527">FG$8/$G82</f>
        <v>9.2258643020822956E-2</v>
      </c>
      <c r="FK82" s="110">
        <f t="shared" ref="FK82:FK94" si="528">FI82*FJ82</f>
        <v>461.29321510411478</v>
      </c>
      <c r="FL82" s="115">
        <f t="shared" ref="FL82:FL94" si="529">FK82*$FL$11</f>
        <v>0</v>
      </c>
      <c r="FM82" s="110">
        <f t="shared" ref="FM82:FM94" si="530">FK82+FL82</f>
        <v>461.29321510411478</v>
      </c>
    </row>
    <row r="83" spans="1:169">
      <c r="A83" s="52">
        <f>Summ.!A93</f>
        <v>51070</v>
      </c>
      <c r="B83" s="45" t="str">
        <f>Summ.!B93</f>
        <v>Roof Repairs</v>
      </c>
      <c r="C83" s="45"/>
      <c r="D83" s="45"/>
      <c r="E83" s="45"/>
      <c r="F83" s="106">
        <f>+Summ.!O93</f>
        <v>500</v>
      </c>
      <c r="G83" s="71">
        <f>Rent!$B$42</f>
        <v>40148</v>
      </c>
      <c r="H83" s="52">
        <f>Summ.!$A93</f>
        <v>51070</v>
      </c>
      <c r="I83" s="108" t="str">
        <f>Summ.!$B93</f>
        <v>Roof Repairs</v>
      </c>
      <c r="J83" s="110">
        <f t="shared" ref="J83:J94" si="531">$F83</f>
        <v>500</v>
      </c>
      <c r="K83" s="110">
        <v>0</v>
      </c>
      <c r="L83" s="110">
        <f t="shared" ref="L83:L94" si="532">J83+K83</f>
        <v>500</v>
      </c>
      <c r="M83" s="113">
        <f t="shared" si="458"/>
        <v>9.6468068147852942E-2</v>
      </c>
      <c r="N83" s="110">
        <f t="shared" si="459"/>
        <v>48.234034073926473</v>
      </c>
      <c r="O83" s="115">
        <f t="shared" si="460"/>
        <v>0</v>
      </c>
      <c r="P83" s="110">
        <f t="shared" si="461"/>
        <v>48.234034073926473</v>
      </c>
      <c r="Q83" s="52">
        <f>Summ.!$A93</f>
        <v>51070</v>
      </c>
      <c r="R83" s="108" t="str">
        <f>Summ.!$B93</f>
        <v>Roof Repairs</v>
      </c>
      <c r="S83" s="110">
        <f t="shared" ref="S83:S94" si="533">$F83</f>
        <v>500</v>
      </c>
      <c r="T83" s="110">
        <f t="shared" ref="T83:T94" si="534">+K83</f>
        <v>0</v>
      </c>
      <c r="U83" s="110">
        <f t="shared" ref="U83:U94" si="535">S83+T83</f>
        <v>500</v>
      </c>
      <c r="V83" s="113">
        <f t="shared" si="462"/>
        <v>2.6751021221480521E-2</v>
      </c>
      <c r="W83" s="110">
        <f t="shared" si="463"/>
        <v>13.37551061074026</v>
      </c>
      <c r="X83" s="115">
        <f t="shared" si="464"/>
        <v>0</v>
      </c>
      <c r="Y83" s="110">
        <f t="shared" si="465"/>
        <v>13.37551061074026</v>
      </c>
      <c r="Z83" s="52">
        <f>Summ.!$A93</f>
        <v>51070</v>
      </c>
      <c r="AA83" s="108" t="str">
        <f>Summ.!$B93</f>
        <v>Roof Repairs</v>
      </c>
      <c r="AB83" s="110">
        <f t="shared" ref="AB83:AB94" si="536">$F83</f>
        <v>500</v>
      </c>
      <c r="AC83" s="110">
        <v>0</v>
      </c>
      <c r="AD83" s="110">
        <f t="shared" ref="AD83:AD94" si="537">AB83+AC83</f>
        <v>500</v>
      </c>
      <c r="AE83" s="113">
        <f t="shared" si="466"/>
        <v>4.9815681976686258E-3</v>
      </c>
      <c r="AF83" s="110">
        <f t="shared" si="467"/>
        <v>2.4907840988343128</v>
      </c>
      <c r="AG83" s="115">
        <f t="shared" si="468"/>
        <v>0</v>
      </c>
      <c r="AH83" s="110">
        <f t="shared" si="469"/>
        <v>2.4907840988343128</v>
      </c>
      <c r="AI83" s="52">
        <f>Summ.!$A93</f>
        <v>51070</v>
      </c>
      <c r="AJ83" s="108" t="str">
        <f>Summ.!$B93</f>
        <v>Roof Repairs</v>
      </c>
      <c r="AK83" s="110">
        <f t="shared" ref="AK83:AK94" si="538">$F83</f>
        <v>500</v>
      </c>
      <c r="AL83" s="110">
        <f t="shared" ref="AL83:AL94" si="539">+AC83</f>
        <v>0</v>
      </c>
      <c r="AM83" s="110">
        <f t="shared" ref="AM83:AM94" si="540">AK83+AL83</f>
        <v>500</v>
      </c>
      <c r="AN83" s="113">
        <f t="shared" si="470"/>
        <v>1.2902261631961742E-2</v>
      </c>
      <c r="AO83" s="110">
        <f t="shared" si="471"/>
        <v>6.4511308159808705</v>
      </c>
      <c r="AP83" s="115">
        <f t="shared" si="472"/>
        <v>0</v>
      </c>
      <c r="AQ83" s="110">
        <f t="shared" si="473"/>
        <v>6.4511308159808705</v>
      </c>
      <c r="AR83" s="52">
        <f>Summ.!$A93</f>
        <v>51070</v>
      </c>
      <c r="AS83" s="108" t="str">
        <f>Summ.!$B93</f>
        <v>Roof Repairs</v>
      </c>
      <c r="AT83" s="110">
        <f t="shared" ref="AT83:AT94" si="541">$F83</f>
        <v>500</v>
      </c>
      <c r="AU83" s="110">
        <f t="shared" ref="AU83:AU94" si="542">+AL83</f>
        <v>0</v>
      </c>
      <c r="AV83" s="110">
        <f t="shared" ref="AV83:AV94" si="543">AT83+AU83</f>
        <v>500</v>
      </c>
      <c r="AW83" s="113">
        <f t="shared" si="474"/>
        <v>1.3076616518880143E-2</v>
      </c>
      <c r="AX83" s="110">
        <f t="shared" si="475"/>
        <v>6.5383082594400719</v>
      </c>
      <c r="AY83" s="115">
        <f t="shared" si="476"/>
        <v>0</v>
      </c>
      <c r="AZ83" s="110">
        <f t="shared" si="477"/>
        <v>6.5383082594400719</v>
      </c>
      <c r="BA83" s="52">
        <f>Summ.!$A93</f>
        <v>51070</v>
      </c>
      <c r="BB83" s="108" t="str">
        <f>Summ.!$B93</f>
        <v>Roof Repairs</v>
      </c>
      <c r="BC83" s="110">
        <f t="shared" ref="BC83:BC94" si="544">$F83</f>
        <v>500</v>
      </c>
      <c r="BD83" s="110">
        <f t="shared" ref="BD83:BD94" si="545">+AU83</f>
        <v>0</v>
      </c>
      <c r="BE83" s="110">
        <f t="shared" ref="BE83:BE94" si="546">BC83+BD83</f>
        <v>500</v>
      </c>
      <c r="BF83" s="113" t="e">
        <f t="shared" si="478"/>
        <v>#REF!</v>
      </c>
      <c r="BG83" s="110" t="e">
        <f t="shared" si="479"/>
        <v>#REF!</v>
      </c>
      <c r="BH83" s="115" t="e">
        <f t="shared" si="480"/>
        <v>#REF!</v>
      </c>
      <c r="BI83" s="110" t="e">
        <f t="shared" si="481"/>
        <v>#REF!</v>
      </c>
      <c r="BJ83" s="52">
        <f>Summ.!$A93</f>
        <v>51070</v>
      </c>
      <c r="BK83" s="108" t="str">
        <f>Summ.!$B93</f>
        <v>Roof Repairs</v>
      </c>
      <c r="BL83" s="110">
        <f t="shared" ref="BL83:BL94" si="547">$F83</f>
        <v>500</v>
      </c>
      <c r="BM83" s="110">
        <f t="shared" si="482"/>
        <v>0</v>
      </c>
      <c r="BN83" s="110">
        <f t="shared" ref="BN83:BN94" si="548">BL83+BM83</f>
        <v>500</v>
      </c>
      <c r="BO83" s="113">
        <f t="shared" si="483"/>
        <v>2.4758393942413071E-2</v>
      </c>
      <c r="BP83" s="110">
        <f t="shared" si="484"/>
        <v>12.379196971206536</v>
      </c>
      <c r="BQ83" s="115">
        <f t="shared" si="485"/>
        <v>0</v>
      </c>
      <c r="BR83" s="110">
        <f t="shared" si="486"/>
        <v>12.379196971206536</v>
      </c>
      <c r="BS83" s="52">
        <f>Summ.!$A93</f>
        <v>51070</v>
      </c>
      <c r="BT83" s="108" t="str">
        <f>Summ.!$B93</f>
        <v>Roof Repairs</v>
      </c>
      <c r="BU83" s="110">
        <f t="shared" ref="BU83:BU94" si="549">$F83</f>
        <v>500</v>
      </c>
      <c r="BV83" s="110">
        <f t="shared" ref="BV83:BV94" si="550">+BM83</f>
        <v>0</v>
      </c>
      <c r="BW83" s="110">
        <f t="shared" ref="BW83:BW94" si="551">BU83+BV83</f>
        <v>500</v>
      </c>
      <c r="BX83" s="113">
        <f t="shared" si="487"/>
        <v>2.5978878150841885E-2</v>
      </c>
      <c r="BY83" s="110">
        <f t="shared" si="488"/>
        <v>12.989439075420941</v>
      </c>
      <c r="BZ83" s="115">
        <f t="shared" si="489"/>
        <v>0</v>
      </c>
      <c r="CA83" s="110">
        <f t="shared" si="490"/>
        <v>12.989439075420941</v>
      </c>
      <c r="CB83" s="52">
        <f>Summ.!$A93</f>
        <v>51070</v>
      </c>
      <c r="CC83" s="108" t="str">
        <f>Summ.!$B93</f>
        <v>Roof Repairs</v>
      </c>
      <c r="CD83" s="110">
        <f t="shared" ref="CD83:CD94" si="552">$F83</f>
        <v>500</v>
      </c>
      <c r="CE83" s="110">
        <v>0</v>
      </c>
      <c r="CF83" s="110">
        <f t="shared" ref="CF83:CF94" si="553">CD83+CE83</f>
        <v>500</v>
      </c>
      <c r="CG83" s="113">
        <f t="shared" si="491"/>
        <v>8.7825047324897876E-2</v>
      </c>
      <c r="CH83" s="110">
        <f t="shared" si="492"/>
        <v>43.91252366244894</v>
      </c>
      <c r="CI83" s="115">
        <f t="shared" si="493"/>
        <v>0</v>
      </c>
      <c r="CJ83" s="110">
        <f t="shared" si="494"/>
        <v>43.91252366244894</v>
      </c>
      <c r="CK83" s="52">
        <f>Summ.!$A93</f>
        <v>51070</v>
      </c>
      <c r="CL83" s="108" t="str">
        <f>Summ.!$B93</f>
        <v>Roof Repairs</v>
      </c>
      <c r="CM83" s="110">
        <f t="shared" ref="CM83:CM94" si="554">$F83</f>
        <v>500</v>
      </c>
      <c r="CN83" s="110">
        <f t="shared" ref="CN83:CN94" si="555">+CE83</f>
        <v>0</v>
      </c>
      <c r="CO83" s="110">
        <f t="shared" ref="CO83:CO94" si="556">CM83+CN83</f>
        <v>500</v>
      </c>
      <c r="CP83" s="113">
        <f t="shared" si="495"/>
        <v>0.26741058085085184</v>
      </c>
      <c r="CQ83" s="110">
        <f t="shared" si="496"/>
        <v>133.70529042542591</v>
      </c>
      <c r="CR83" s="115">
        <f t="shared" si="497"/>
        <v>0</v>
      </c>
      <c r="CS83" s="110">
        <f t="shared" si="498"/>
        <v>133.70529042542591</v>
      </c>
      <c r="CT83" s="52">
        <f>Summ.!$A93</f>
        <v>51070</v>
      </c>
      <c r="CU83" s="108" t="str">
        <f>Summ.!$B93</f>
        <v>Roof Repairs</v>
      </c>
      <c r="CV83" s="110">
        <f t="shared" ref="CV83:CV94" si="557">$F83</f>
        <v>500</v>
      </c>
      <c r="CW83" s="110">
        <v>0</v>
      </c>
      <c r="CX83" s="110">
        <f t="shared" ref="CX83:CX94" si="558">CV83+CW83</f>
        <v>500</v>
      </c>
      <c r="CY83" s="113">
        <f t="shared" si="499"/>
        <v>7.472352296502939E-2</v>
      </c>
      <c r="CZ83" s="110">
        <f t="shared" si="500"/>
        <v>37.361761482514694</v>
      </c>
      <c r="DA83" s="115">
        <f t="shared" si="501"/>
        <v>0</v>
      </c>
      <c r="DB83" s="110">
        <f t="shared" si="502"/>
        <v>37.361761482514694</v>
      </c>
      <c r="DC83" s="52">
        <f>Summ.!$A93</f>
        <v>51070</v>
      </c>
      <c r="DD83" s="108" t="str">
        <f>Summ.!$B93</f>
        <v>Roof Repairs</v>
      </c>
      <c r="DE83" s="110">
        <f t="shared" ref="DE83:DE94" si="559">$F83</f>
        <v>500</v>
      </c>
      <c r="DF83" s="110">
        <v>0</v>
      </c>
      <c r="DG83" s="110">
        <f t="shared" ref="DG83:DG94" si="560">DE83+DF83</f>
        <v>500</v>
      </c>
      <c r="DH83" s="113">
        <f t="shared" si="503"/>
        <v>1.2453920494171565E-2</v>
      </c>
      <c r="DI83" s="110">
        <f t="shared" si="504"/>
        <v>6.2269602470857821</v>
      </c>
      <c r="DJ83" s="115">
        <f t="shared" si="505"/>
        <v>0</v>
      </c>
      <c r="DK83" s="110">
        <f t="shared" si="506"/>
        <v>6.2269602470857821</v>
      </c>
      <c r="DL83" s="52">
        <f>Summ.!$A93</f>
        <v>51070</v>
      </c>
      <c r="DM83" s="108" t="str">
        <f>Summ.!$B93</f>
        <v>Roof Repairs</v>
      </c>
      <c r="DN83" s="110">
        <f t="shared" ref="DN83:DN94" si="561">$F83</f>
        <v>500</v>
      </c>
      <c r="DO83" s="110">
        <f t="shared" ref="DO83:DO88" si="562">-DN83</f>
        <v>-500</v>
      </c>
      <c r="DP83" s="110">
        <f t="shared" ref="DP83:DP94" si="563">DN83+DO83</f>
        <v>0</v>
      </c>
      <c r="DQ83" s="113">
        <f t="shared" si="507"/>
        <v>7.2133107502241708E-2</v>
      </c>
      <c r="DR83" s="110">
        <f t="shared" si="508"/>
        <v>0</v>
      </c>
      <c r="DS83" s="115">
        <f t="shared" si="509"/>
        <v>0</v>
      </c>
      <c r="DT83" s="110">
        <f t="shared" si="510"/>
        <v>0</v>
      </c>
      <c r="DU83" s="52">
        <f>Summ.!$A93</f>
        <v>51070</v>
      </c>
      <c r="DV83" s="108" t="str">
        <f>Summ.!$B93</f>
        <v>Roof Repairs</v>
      </c>
      <c r="DW83" s="110">
        <f t="shared" ref="DW83:DW94" si="564">$F83</f>
        <v>500</v>
      </c>
      <c r="DX83" s="110">
        <f t="shared" ref="DX83:DX93" si="565">+DO83</f>
        <v>-500</v>
      </c>
      <c r="DY83" s="110">
        <f t="shared" ref="DY83:DY94" si="566">DW83+DX83</f>
        <v>0</v>
      </c>
      <c r="DZ83" s="113">
        <f t="shared" si="511"/>
        <v>0.19961143768058184</v>
      </c>
      <c r="EA83" s="110">
        <f t="shared" si="512"/>
        <v>0</v>
      </c>
      <c r="EB83" s="115">
        <f t="shared" si="513"/>
        <v>0</v>
      </c>
      <c r="EC83" s="110">
        <f t="shared" si="514"/>
        <v>0</v>
      </c>
      <c r="ED83" s="52">
        <f>Summ.!$A93</f>
        <v>51070</v>
      </c>
      <c r="EE83" s="108" t="str">
        <f>Summ.!$B93</f>
        <v>Roof Repairs</v>
      </c>
      <c r="EF83" s="110">
        <f t="shared" ref="EF83:EF93" si="567">$F83</f>
        <v>500</v>
      </c>
      <c r="EG83" s="110">
        <f t="shared" ref="EG83:EG93" si="568">+DX83</f>
        <v>-500</v>
      </c>
      <c r="EH83" s="110">
        <f t="shared" ref="EH83:EH93" si="569">EF83+EG83</f>
        <v>0</v>
      </c>
      <c r="EI83" s="113">
        <f t="shared" si="515"/>
        <v>0.16190096642423035</v>
      </c>
      <c r="EJ83" s="110">
        <f t="shared" si="516"/>
        <v>0</v>
      </c>
      <c r="EK83" s="115">
        <f t="shared" si="517"/>
        <v>0</v>
      </c>
      <c r="EL83" s="110">
        <f t="shared" si="518"/>
        <v>0</v>
      </c>
      <c r="EM83" s="52">
        <f>Summ.!$A93</f>
        <v>51070</v>
      </c>
      <c r="EN83" s="108" t="str">
        <f>Summ.!$B93</f>
        <v>Roof Repairs</v>
      </c>
      <c r="EO83" s="110">
        <f t="shared" ref="EO83:EO94" si="570">$F83</f>
        <v>500</v>
      </c>
      <c r="EP83" s="110">
        <v>0</v>
      </c>
      <c r="EQ83" s="110">
        <f t="shared" ref="EQ83:EQ94" si="571">EO83+EP83</f>
        <v>500</v>
      </c>
      <c r="ER83" s="113">
        <f t="shared" si="519"/>
        <v>4.9641327089767859E-2</v>
      </c>
      <c r="ES83" s="110">
        <f t="shared" si="520"/>
        <v>24.820663544883928</v>
      </c>
      <c r="ET83" s="115">
        <f t="shared" si="521"/>
        <v>0</v>
      </c>
      <c r="EU83" s="110">
        <f t="shared" si="522"/>
        <v>24.820663544883928</v>
      </c>
      <c r="EV83" s="52">
        <f>Summ.!$A93</f>
        <v>51070</v>
      </c>
      <c r="EW83" s="108" t="str">
        <f>Summ.!$B93</f>
        <v>Roof Repairs</v>
      </c>
      <c r="EX83" s="110">
        <f t="shared" ref="EX83:EX94" si="572">$F83</f>
        <v>500</v>
      </c>
      <c r="EY83" s="110">
        <f t="shared" ref="EY83:EY94" si="573">+EP83</f>
        <v>0</v>
      </c>
      <c r="EZ83" s="110">
        <f t="shared" ref="EZ83:EZ94" si="574">EX83+EY83</f>
        <v>500</v>
      </c>
      <c r="FA83" s="113">
        <f t="shared" si="523"/>
        <v>2.3961343030786092E-2</v>
      </c>
      <c r="FB83" s="110">
        <f t="shared" si="524"/>
        <v>11.980671515393047</v>
      </c>
      <c r="FC83" s="115">
        <f t="shared" si="525"/>
        <v>0</v>
      </c>
      <c r="FD83" s="110">
        <f t="shared" si="526"/>
        <v>11.980671515393047</v>
      </c>
      <c r="FE83" s="52">
        <f>Summ.!$A93</f>
        <v>51070</v>
      </c>
      <c r="FF83" s="108" t="str">
        <f>Summ.!$B93</f>
        <v>Roof Repairs</v>
      </c>
      <c r="FG83" s="110">
        <f t="shared" ref="FG83:FG94" si="575">$F83</f>
        <v>500</v>
      </c>
      <c r="FH83" s="110">
        <f t="shared" ref="FH83:FH94" si="576">+EY83</f>
        <v>0</v>
      </c>
      <c r="FI83" s="110">
        <f t="shared" ref="FI83:FI94" si="577">FG83+FH83</f>
        <v>500</v>
      </c>
      <c r="FJ83" s="113">
        <f t="shared" si="527"/>
        <v>9.2258643020822956E-2</v>
      </c>
      <c r="FK83" s="110">
        <f t="shared" si="528"/>
        <v>46.129321510411479</v>
      </c>
      <c r="FL83" s="115">
        <f t="shared" si="529"/>
        <v>0</v>
      </c>
      <c r="FM83" s="110">
        <f t="shared" si="530"/>
        <v>46.129321510411479</v>
      </c>
    </row>
    <row r="84" spans="1:169">
      <c r="A84" s="52">
        <f>Summ.!A94</f>
        <v>50210</v>
      </c>
      <c r="B84" s="45" t="str">
        <f>Summ.!B94</f>
        <v>Elevator Maint.</v>
      </c>
      <c r="C84" s="45"/>
      <c r="D84" s="45"/>
      <c r="E84" s="45"/>
      <c r="F84" s="106">
        <f>+Summ.!O94</f>
        <v>24380</v>
      </c>
      <c r="G84" s="71">
        <f>Rent!$B$42</f>
        <v>40148</v>
      </c>
      <c r="H84" s="52">
        <f>Summ.!$A94</f>
        <v>50210</v>
      </c>
      <c r="I84" s="108" t="str">
        <f>Summ.!$B94</f>
        <v>Elevator Maint.</v>
      </c>
      <c r="J84" s="110">
        <f t="shared" si="531"/>
        <v>24380</v>
      </c>
      <c r="K84" s="110">
        <v>0</v>
      </c>
      <c r="L84" s="110">
        <f t="shared" si="532"/>
        <v>24380</v>
      </c>
      <c r="M84" s="113">
        <f t="shared" si="458"/>
        <v>9.6468068147852942E-2</v>
      </c>
      <c r="N84" s="110">
        <f t="shared" si="459"/>
        <v>2351.8915014446548</v>
      </c>
      <c r="O84" s="115">
        <f t="shared" si="460"/>
        <v>0</v>
      </c>
      <c r="P84" s="110">
        <f t="shared" si="461"/>
        <v>2351.8915014446548</v>
      </c>
      <c r="Q84" s="52">
        <f>Summ.!$A94</f>
        <v>50210</v>
      </c>
      <c r="R84" s="108" t="str">
        <f>Summ.!$B94</f>
        <v>Elevator Maint.</v>
      </c>
      <c r="S84" s="110">
        <f t="shared" si="533"/>
        <v>24380</v>
      </c>
      <c r="T84" s="110">
        <f t="shared" si="534"/>
        <v>0</v>
      </c>
      <c r="U84" s="110">
        <f t="shared" si="535"/>
        <v>24380</v>
      </c>
      <c r="V84" s="113">
        <f t="shared" si="462"/>
        <v>2.6751021221480521E-2</v>
      </c>
      <c r="W84" s="110">
        <f t="shared" si="463"/>
        <v>652.18989737969514</v>
      </c>
      <c r="X84" s="115">
        <f t="shared" si="464"/>
        <v>0</v>
      </c>
      <c r="Y84" s="110">
        <f t="shared" si="465"/>
        <v>652.18989737969514</v>
      </c>
      <c r="Z84" s="52">
        <f>Summ.!$A94</f>
        <v>50210</v>
      </c>
      <c r="AA84" s="108" t="str">
        <f>Summ.!$B94</f>
        <v>Elevator Maint.</v>
      </c>
      <c r="AB84" s="110">
        <f t="shared" si="536"/>
        <v>24380</v>
      </c>
      <c r="AC84" s="110">
        <v>0</v>
      </c>
      <c r="AD84" s="110">
        <f t="shared" si="537"/>
        <v>24380</v>
      </c>
      <c r="AE84" s="113">
        <f t="shared" si="466"/>
        <v>4.9815681976686258E-3</v>
      </c>
      <c r="AF84" s="110">
        <f t="shared" si="467"/>
        <v>121.4506326591611</v>
      </c>
      <c r="AG84" s="115">
        <f t="shared" si="468"/>
        <v>0</v>
      </c>
      <c r="AH84" s="110">
        <f t="shared" si="469"/>
        <v>121.4506326591611</v>
      </c>
      <c r="AI84" s="52">
        <f>Summ.!$A94</f>
        <v>50210</v>
      </c>
      <c r="AJ84" s="108" t="str">
        <f>Summ.!$B94</f>
        <v>Elevator Maint.</v>
      </c>
      <c r="AK84" s="110">
        <f t="shared" si="538"/>
        <v>24380</v>
      </c>
      <c r="AL84" s="110">
        <f t="shared" si="539"/>
        <v>0</v>
      </c>
      <c r="AM84" s="110">
        <f t="shared" si="540"/>
        <v>24380</v>
      </c>
      <c r="AN84" s="113">
        <f t="shared" si="470"/>
        <v>1.2902261631961742E-2</v>
      </c>
      <c r="AO84" s="110">
        <f t="shared" si="471"/>
        <v>314.55713858722726</v>
      </c>
      <c r="AP84" s="115">
        <f t="shared" si="472"/>
        <v>0</v>
      </c>
      <c r="AQ84" s="110">
        <f t="shared" si="473"/>
        <v>314.55713858722726</v>
      </c>
      <c r="AR84" s="52">
        <f>Summ.!$A94</f>
        <v>50210</v>
      </c>
      <c r="AS84" s="108" t="str">
        <f>Summ.!$B94</f>
        <v>Elevator Maint.</v>
      </c>
      <c r="AT84" s="110">
        <f t="shared" si="541"/>
        <v>24380</v>
      </c>
      <c r="AU84" s="110">
        <f t="shared" si="542"/>
        <v>0</v>
      </c>
      <c r="AV84" s="110">
        <f t="shared" si="543"/>
        <v>24380</v>
      </c>
      <c r="AW84" s="113">
        <f t="shared" si="474"/>
        <v>1.3076616518880143E-2</v>
      </c>
      <c r="AX84" s="110">
        <f t="shared" si="475"/>
        <v>318.80791073029786</v>
      </c>
      <c r="AY84" s="115">
        <f t="shared" si="476"/>
        <v>0</v>
      </c>
      <c r="AZ84" s="110">
        <f t="shared" si="477"/>
        <v>318.80791073029786</v>
      </c>
      <c r="BA84" s="52">
        <f>Summ.!$A94</f>
        <v>50210</v>
      </c>
      <c r="BB84" s="108" t="str">
        <f>Summ.!$B94</f>
        <v>Elevator Maint.</v>
      </c>
      <c r="BC84" s="110">
        <f t="shared" si="544"/>
        <v>24380</v>
      </c>
      <c r="BD84" s="110">
        <f t="shared" si="545"/>
        <v>0</v>
      </c>
      <c r="BE84" s="110">
        <f t="shared" si="546"/>
        <v>24380</v>
      </c>
      <c r="BF84" s="113" t="e">
        <f t="shared" si="478"/>
        <v>#REF!</v>
      </c>
      <c r="BG84" s="110" t="e">
        <f t="shared" si="479"/>
        <v>#REF!</v>
      </c>
      <c r="BH84" s="115" t="e">
        <f t="shared" si="480"/>
        <v>#REF!</v>
      </c>
      <c r="BI84" s="110" t="e">
        <f t="shared" si="481"/>
        <v>#REF!</v>
      </c>
      <c r="BJ84" s="52">
        <f>Summ.!$A94</f>
        <v>50210</v>
      </c>
      <c r="BK84" s="108" t="str">
        <f>Summ.!$B94</f>
        <v>Elevator Maint.</v>
      </c>
      <c r="BL84" s="110">
        <f t="shared" si="547"/>
        <v>24380</v>
      </c>
      <c r="BM84" s="110">
        <f t="shared" si="482"/>
        <v>0</v>
      </c>
      <c r="BN84" s="110">
        <f t="shared" si="548"/>
        <v>24380</v>
      </c>
      <c r="BO84" s="113">
        <f t="shared" si="483"/>
        <v>2.4758393942413071E-2</v>
      </c>
      <c r="BP84" s="110">
        <f t="shared" si="484"/>
        <v>603.60964431603065</v>
      </c>
      <c r="BQ84" s="115">
        <f t="shared" si="485"/>
        <v>0</v>
      </c>
      <c r="BR84" s="110">
        <f t="shared" si="486"/>
        <v>603.60964431603065</v>
      </c>
      <c r="BS84" s="52">
        <f>Summ.!$A94</f>
        <v>50210</v>
      </c>
      <c r="BT84" s="108" t="str">
        <f>Summ.!$B94</f>
        <v>Elevator Maint.</v>
      </c>
      <c r="BU84" s="110">
        <f t="shared" si="549"/>
        <v>24380</v>
      </c>
      <c r="BV84" s="110">
        <f t="shared" si="550"/>
        <v>0</v>
      </c>
      <c r="BW84" s="110">
        <f t="shared" si="551"/>
        <v>24380</v>
      </c>
      <c r="BX84" s="113">
        <f t="shared" si="487"/>
        <v>2.5978878150841885E-2</v>
      </c>
      <c r="BY84" s="110">
        <f t="shared" si="488"/>
        <v>633.36504931752518</v>
      </c>
      <c r="BZ84" s="115">
        <f t="shared" si="489"/>
        <v>0</v>
      </c>
      <c r="CA84" s="110">
        <f t="shared" si="490"/>
        <v>633.36504931752518</v>
      </c>
      <c r="CB84" s="52">
        <f>Summ.!$A94</f>
        <v>50210</v>
      </c>
      <c r="CC84" s="108" t="str">
        <f>Summ.!$B94</f>
        <v>Elevator Maint.</v>
      </c>
      <c r="CD84" s="110">
        <f t="shared" si="552"/>
        <v>24380</v>
      </c>
      <c r="CE84" s="110">
        <v>0</v>
      </c>
      <c r="CF84" s="110">
        <f t="shared" si="553"/>
        <v>24380</v>
      </c>
      <c r="CG84" s="113">
        <f t="shared" si="491"/>
        <v>8.7825047324897876E-2</v>
      </c>
      <c r="CH84" s="110">
        <f t="shared" si="492"/>
        <v>2141.1746537810104</v>
      </c>
      <c r="CI84" s="115">
        <f t="shared" si="493"/>
        <v>0</v>
      </c>
      <c r="CJ84" s="110">
        <f t="shared" si="494"/>
        <v>2141.1746537810104</v>
      </c>
      <c r="CK84" s="52">
        <f>Summ.!$A94</f>
        <v>50210</v>
      </c>
      <c r="CL84" s="108" t="str">
        <f>Summ.!$B94</f>
        <v>Elevator Maint.</v>
      </c>
      <c r="CM84" s="110">
        <f t="shared" si="554"/>
        <v>24380</v>
      </c>
      <c r="CN84" s="110">
        <f t="shared" si="555"/>
        <v>0</v>
      </c>
      <c r="CO84" s="110">
        <f t="shared" si="556"/>
        <v>24380</v>
      </c>
      <c r="CP84" s="113">
        <f t="shared" si="495"/>
        <v>0.26741058085085184</v>
      </c>
      <c r="CQ84" s="110">
        <f t="shared" si="496"/>
        <v>6519.4699611437682</v>
      </c>
      <c r="CR84" s="115">
        <f t="shared" si="497"/>
        <v>0</v>
      </c>
      <c r="CS84" s="110">
        <f t="shared" si="498"/>
        <v>6519.4699611437682</v>
      </c>
      <c r="CT84" s="52">
        <f>Summ.!$A94</f>
        <v>50210</v>
      </c>
      <c r="CU84" s="108" t="str">
        <f>Summ.!$B94</f>
        <v>Elevator Maint.</v>
      </c>
      <c r="CV84" s="110">
        <f t="shared" si="557"/>
        <v>24380</v>
      </c>
      <c r="CW84" s="110">
        <v>0</v>
      </c>
      <c r="CX84" s="110">
        <f t="shared" si="558"/>
        <v>24380</v>
      </c>
      <c r="CY84" s="113">
        <f t="shared" si="499"/>
        <v>7.472352296502939E-2</v>
      </c>
      <c r="CZ84" s="110">
        <f t="shared" si="500"/>
        <v>1821.7594898874165</v>
      </c>
      <c r="DA84" s="115">
        <f t="shared" si="501"/>
        <v>0</v>
      </c>
      <c r="DB84" s="110">
        <f t="shared" si="502"/>
        <v>1821.7594898874165</v>
      </c>
      <c r="DC84" s="52">
        <f>Summ.!$A94</f>
        <v>50210</v>
      </c>
      <c r="DD84" s="108" t="str">
        <f>Summ.!$B94</f>
        <v>Elevator Maint.</v>
      </c>
      <c r="DE84" s="110">
        <f t="shared" si="559"/>
        <v>24380</v>
      </c>
      <c r="DF84" s="110">
        <v>0</v>
      </c>
      <c r="DG84" s="110">
        <f t="shared" si="560"/>
        <v>24380</v>
      </c>
      <c r="DH84" s="113">
        <f t="shared" si="503"/>
        <v>1.2453920494171565E-2</v>
      </c>
      <c r="DI84" s="110">
        <f t="shared" si="504"/>
        <v>303.62658164790275</v>
      </c>
      <c r="DJ84" s="115">
        <f t="shared" si="505"/>
        <v>0</v>
      </c>
      <c r="DK84" s="110">
        <f t="shared" si="506"/>
        <v>303.62658164790275</v>
      </c>
      <c r="DL84" s="52">
        <f>Summ.!$A94</f>
        <v>50210</v>
      </c>
      <c r="DM84" s="108" t="str">
        <f>Summ.!$B94</f>
        <v>Elevator Maint.</v>
      </c>
      <c r="DN84" s="110">
        <f t="shared" si="561"/>
        <v>24380</v>
      </c>
      <c r="DO84" s="110">
        <f t="shared" si="562"/>
        <v>-24380</v>
      </c>
      <c r="DP84" s="110">
        <f t="shared" si="563"/>
        <v>0</v>
      </c>
      <c r="DQ84" s="113">
        <f t="shared" si="507"/>
        <v>7.2133107502241708E-2</v>
      </c>
      <c r="DR84" s="110">
        <f t="shared" si="508"/>
        <v>0</v>
      </c>
      <c r="DS84" s="115">
        <f t="shared" si="509"/>
        <v>0</v>
      </c>
      <c r="DT84" s="110">
        <f t="shared" si="510"/>
        <v>0</v>
      </c>
      <c r="DU84" s="52">
        <f>Summ.!$A94</f>
        <v>50210</v>
      </c>
      <c r="DV84" s="108" t="str">
        <f>Summ.!$B94</f>
        <v>Elevator Maint.</v>
      </c>
      <c r="DW84" s="110">
        <f t="shared" si="564"/>
        <v>24380</v>
      </c>
      <c r="DX84" s="110">
        <f>-DW84</f>
        <v>-24380</v>
      </c>
      <c r="DY84" s="110">
        <f t="shared" si="566"/>
        <v>0</v>
      </c>
      <c r="DZ84" s="113">
        <f t="shared" si="511"/>
        <v>0.19961143768058184</v>
      </c>
      <c r="EA84" s="110">
        <f t="shared" si="512"/>
        <v>0</v>
      </c>
      <c r="EB84" s="115">
        <f t="shared" si="513"/>
        <v>0</v>
      </c>
      <c r="EC84" s="110">
        <f t="shared" si="514"/>
        <v>0</v>
      </c>
      <c r="ED84" s="52">
        <f>Summ.!$A94</f>
        <v>50210</v>
      </c>
      <c r="EE84" s="108" t="str">
        <f>Summ.!$B94</f>
        <v>Elevator Maint.</v>
      </c>
      <c r="EF84" s="110">
        <f t="shared" si="567"/>
        <v>24380</v>
      </c>
      <c r="EG84" s="110">
        <f>-EF84</f>
        <v>-24380</v>
      </c>
      <c r="EH84" s="110">
        <f t="shared" si="569"/>
        <v>0</v>
      </c>
      <c r="EI84" s="113">
        <f t="shared" si="515"/>
        <v>0.16190096642423035</v>
      </c>
      <c r="EJ84" s="110">
        <f t="shared" si="516"/>
        <v>0</v>
      </c>
      <c r="EK84" s="115">
        <f t="shared" si="517"/>
        <v>0</v>
      </c>
      <c r="EL84" s="110">
        <f t="shared" si="518"/>
        <v>0</v>
      </c>
      <c r="EM84" s="52">
        <f>Summ.!$A94</f>
        <v>50210</v>
      </c>
      <c r="EN84" s="108" t="str">
        <f>Summ.!$B94</f>
        <v>Elevator Maint.</v>
      </c>
      <c r="EO84" s="110">
        <f t="shared" si="570"/>
        <v>24380</v>
      </c>
      <c r="EP84" s="110">
        <v>0</v>
      </c>
      <c r="EQ84" s="110">
        <f t="shared" si="571"/>
        <v>24380</v>
      </c>
      <c r="ER84" s="113">
        <f t="shared" si="519"/>
        <v>4.9641327089767859E-2</v>
      </c>
      <c r="ES84" s="110">
        <f t="shared" si="520"/>
        <v>1210.2555544485404</v>
      </c>
      <c r="ET84" s="115">
        <f t="shared" si="521"/>
        <v>0</v>
      </c>
      <c r="EU84" s="110">
        <f t="shared" si="522"/>
        <v>1210.2555544485404</v>
      </c>
      <c r="EV84" s="52">
        <f>Summ.!$A94</f>
        <v>50210</v>
      </c>
      <c r="EW84" s="108" t="str">
        <f>Summ.!$B94</f>
        <v>Elevator Maint.</v>
      </c>
      <c r="EX84" s="110">
        <f t="shared" si="572"/>
        <v>24380</v>
      </c>
      <c r="EY84" s="110">
        <v>0</v>
      </c>
      <c r="EZ84" s="110">
        <f t="shared" si="574"/>
        <v>24380</v>
      </c>
      <c r="FA84" s="113">
        <f t="shared" si="523"/>
        <v>2.3961343030786092E-2</v>
      </c>
      <c r="FB84" s="110">
        <f t="shared" si="524"/>
        <v>584.17754309056488</v>
      </c>
      <c r="FC84" s="115">
        <f t="shared" si="525"/>
        <v>0</v>
      </c>
      <c r="FD84" s="110">
        <f t="shared" si="526"/>
        <v>584.17754309056488</v>
      </c>
      <c r="FE84" s="52">
        <f>Summ.!$A94</f>
        <v>50210</v>
      </c>
      <c r="FF84" s="108" t="str">
        <f>Summ.!$B94</f>
        <v>Elevator Maint.</v>
      </c>
      <c r="FG84" s="110">
        <f t="shared" si="575"/>
        <v>24380</v>
      </c>
      <c r="FH84" s="110">
        <v>0</v>
      </c>
      <c r="FI84" s="110">
        <f t="shared" si="577"/>
        <v>24380</v>
      </c>
      <c r="FJ84" s="113">
        <f t="shared" si="527"/>
        <v>9.2258643020822956E-2</v>
      </c>
      <c r="FK84" s="110">
        <f t="shared" si="528"/>
        <v>2249.2657168476635</v>
      </c>
      <c r="FL84" s="115">
        <f t="shared" si="529"/>
        <v>0</v>
      </c>
      <c r="FM84" s="110">
        <f t="shared" si="530"/>
        <v>2249.2657168476635</v>
      </c>
    </row>
    <row r="85" spans="1:169">
      <c r="A85" s="52">
        <f>Summ.!A95</f>
        <v>51110</v>
      </c>
      <c r="B85" s="45" t="str">
        <f>Summ.!B95</f>
        <v>Monitor Fire Sprinklers</v>
      </c>
      <c r="C85" s="45"/>
      <c r="D85" s="45"/>
      <c r="E85" s="45"/>
      <c r="F85" s="106">
        <f>+Summ.!O95</f>
        <v>3644</v>
      </c>
      <c r="G85" s="71">
        <f>Rent!$B$42</f>
        <v>40148</v>
      </c>
      <c r="H85" s="52">
        <f>Summ.!$A95</f>
        <v>51110</v>
      </c>
      <c r="I85" s="108" t="str">
        <f>Summ.!$B95</f>
        <v>Monitor Fire Sprinklers</v>
      </c>
      <c r="J85" s="110">
        <f t="shared" si="531"/>
        <v>3644</v>
      </c>
      <c r="K85" s="110">
        <v>0</v>
      </c>
      <c r="L85" s="110">
        <f t="shared" si="532"/>
        <v>3644</v>
      </c>
      <c r="M85" s="113">
        <f t="shared" si="458"/>
        <v>9.6468068147852942E-2</v>
      </c>
      <c r="N85" s="110">
        <f t="shared" si="459"/>
        <v>351.52964033077615</v>
      </c>
      <c r="O85" s="115">
        <f t="shared" si="460"/>
        <v>0</v>
      </c>
      <c r="P85" s="110">
        <f t="shared" si="461"/>
        <v>351.52964033077615</v>
      </c>
      <c r="Q85" s="52">
        <f>Summ.!$A95</f>
        <v>51110</v>
      </c>
      <c r="R85" s="108" t="str">
        <f>Summ.!$B95</f>
        <v>Monitor Fire Sprinklers</v>
      </c>
      <c r="S85" s="110">
        <f t="shared" si="533"/>
        <v>3644</v>
      </c>
      <c r="T85" s="110">
        <f t="shared" si="534"/>
        <v>0</v>
      </c>
      <c r="U85" s="110">
        <f t="shared" si="535"/>
        <v>3644</v>
      </c>
      <c r="V85" s="113">
        <f t="shared" si="462"/>
        <v>2.6751021221480521E-2</v>
      </c>
      <c r="W85" s="110">
        <f t="shared" si="463"/>
        <v>97.480721331075017</v>
      </c>
      <c r="X85" s="115">
        <f t="shared" si="464"/>
        <v>0</v>
      </c>
      <c r="Y85" s="110">
        <f t="shared" si="465"/>
        <v>97.480721331075017</v>
      </c>
      <c r="Z85" s="52">
        <f>Summ.!$A95</f>
        <v>51110</v>
      </c>
      <c r="AA85" s="108" t="str">
        <f>Summ.!$B95</f>
        <v>Monitor Fire Sprinklers</v>
      </c>
      <c r="AB85" s="110">
        <f t="shared" si="536"/>
        <v>3644</v>
      </c>
      <c r="AC85" s="110">
        <v>0</v>
      </c>
      <c r="AD85" s="110">
        <f t="shared" si="537"/>
        <v>3644</v>
      </c>
      <c r="AE85" s="113">
        <f t="shared" si="466"/>
        <v>4.9815681976686258E-3</v>
      </c>
      <c r="AF85" s="110">
        <f t="shared" si="467"/>
        <v>18.152834512304473</v>
      </c>
      <c r="AG85" s="115">
        <f t="shared" si="468"/>
        <v>0</v>
      </c>
      <c r="AH85" s="110">
        <f t="shared" si="469"/>
        <v>18.152834512304473</v>
      </c>
      <c r="AI85" s="52">
        <f>Summ.!$A95</f>
        <v>51110</v>
      </c>
      <c r="AJ85" s="108" t="str">
        <f>Summ.!$B95</f>
        <v>Monitor Fire Sprinklers</v>
      </c>
      <c r="AK85" s="110">
        <f t="shared" si="538"/>
        <v>3644</v>
      </c>
      <c r="AL85" s="110">
        <f t="shared" si="539"/>
        <v>0</v>
      </c>
      <c r="AM85" s="110">
        <f t="shared" si="540"/>
        <v>3644</v>
      </c>
      <c r="AN85" s="113">
        <f t="shared" si="470"/>
        <v>1.2902261631961742E-2</v>
      </c>
      <c r="AO85" s="110">
        <f t="shared" si="471"/>
        <v>47.015841386868587</v>
      </c>
      <c r="AP85" s="115">
        <f t="shared" si="472"/>
        <v>0</v>
      </c>
      <c r="AQ85" s="110">
        <f t="shared" si="473"/>
        <v>47.015841386868587</v>
      </c>
      <c r="AR85" s="52">
        <f>Summ.!$A95</f>
        <v>51110</v>
      </c>
      <c r="AS85" s="108" t="str">
        <f>Summ.!$B95</f>
        <v>Monitor Fire Sprinklers</v>
      </c>
      <c r="AT85" s="110">
        <f t="shared" si="541"/>
        <v>3644</v>
      </c>
      <c r="AU85" s="110">
        <f t="shared" si="542"/>
        <v>0</v>
      </c>
      <c r="AV85" s="110">
        <f t="shared" si="543"/>
        <v>3644</v>
      </c>
      <c r="AW85" s="113">
        <f t="shared" si="474"/>
        <v>1.3076616518880143E-2</v>
      </c>
      <c r="AX85" s="110">
        <f t="shared" si="475"/>
        <v>47.651190594799239</v>
      </c>
      <c r="AY85" s="115">
        <f t="shared" si="476"/>
        <v>0</v>
      </c>
      <c r="AZ85" s="110">
        <f t="shared" si="477"/>
        <v>47.651190594799239</v>
      </c>
      <c r="BA85" s="52">
        <f>Summ.!$A95</f>
        <v>51110</v>
      </c>
      <c r="BB85" s="108" t="str">
        <f>Summ.!$B95</f>
        <v>Monitor Fire Sprinklers</v>
      </c>
      <c r="BC85" s="110">
        <f t="shared" si="544"/>
        <v>3644</v>
      </c>
      <c r="BD85" s="110">
        <f t="shared" si="545"/>
        <v>0</v>
      </c>
      <c r="BE85" s="110">
        <f t="shared" si="546"/>
        <v>3644</v>
      </c>
      <c r="BF85" s="113" t="e">
        <f t="shared" si="478"/>
        <v>#REF!</v>
      </c>
      <c r="BG85" s="110" t="e">
        <f t="shared" si="479"/>
        <v>#REF!</v>
      </c>
      <c r="BH85" s="115" t="e">
        <f t="shared" si="480"/>
        <v>#REF!</v>
      </c>
      <c r="BI85" s="110" t="e">
        <f t="shared" si="481"/>
        <v>#REF!</v>
      </c>
      <c r="BJ85" s="52">
        <f>Summ.!$A95</f>
        <v>51110</v>
      </c>
      <c r="BK85" s="108" t="str">
        <f>Summ.!$B95</f>
        <v>Monitor Fire Sprinklers</v>
      </c>
      <c r="BL85" s="110">
        <f t="shared" si="547"/>
        <v>3644</v>
      </c>
      <c r="BM85" s="110">
        <f t="shared" si="482"/>
        <v>0</v>
      </c>
      <c r="BN85" s="110">
        <f t="shared" si="548"/>
        <v>3644</v>
      </c>
      <c r="BO85" s="113">
        <f t="shared" si="483"/>
        <v>2.4758393942413071E-2</v>
      </c>
      <c r="BP85" s="110">
        <f t="shared" si="484"/>
        <v>90.219587526153234</v>
      </c>
      <c r="BQ85" s="115">
        <f t="shared" si="485"/>
        <v>0</v>
      </c>
      <c r="BR85" s="110">
        <f t="shared" si="486"/>
        <v>90.219587526153234</v>
      </c>
      <c r="BS85" s="52">
        <f>Summ.!$A95</f>
        <v>51110</v>
      </c>
      <c r="BT85" s="108" t="str">
        <f>Summ.!$B95</f>
        <v>Monitor Fire Sprinklers</v>
      </c>
      <c r="BU85" s="110">
        <f t="shared" si="549"/>
        <v>3644</v>
      </c>
      <c r="BV85" s="110">
        <f t="shared" si="550"/>
        <v>0</v>
      </c>
      <c r="BW85" s="110">
        <f t="shared" si="551"/>
        <v>3644</v>
      </c>
      <c r="BX85" s="113">
        <f t="shared" si="487"/>
        <v>2.5978878150841885E-2</v>
      </c>
      <c r="BY85" s="110">
        <f t="shared" si="488"/>
        <v>94.667031981667833</v>
      </c>
      <c r="BZ85" s="115">
        <f t="shared" si="489"/>
        <v>0</v>
      </c>
      <c r="CA85" s="110">
        <f t="shared" si="490"/>
        <v>94.667031981667833</v>
      </c>
      <c r="CB85" s="52">
        <f>Summ.!$A95</f>
        <v>51110</v>
      </c>
      <c r="CC85" s="108" t="str">
        <f>Summ.!$B95</f>
        <v>Monitor Fire Sprinklers</v>
      </c>
      <c r="CD85" s="110">
        <f t="shared" si="552"/>
        <v>3644</v>
      </c>
      <c r="CE85" s="110">
        <v>0</v>
      </c>
      <c r="CF85" s="110">
        <f t="shared" si="553"/>
        <v>3644</v>
      </c>
      <c r="CG85" s="113">
        <f t="shared" si="491"/>
        <v>8.7825047324897876E-2</v>
      </c>
      <c r="CH85" s="110">
        <f t="shared" si="492"/>
        <v>320.03447245192785</v>
      </c>
      <c r="CI85" s="115">
        <f t="shared" si="493"/>
        <v>0</v>
      </c>
      <c r="CJ85" s="110">
        <f t="shared" si="494"/>
        <v>320.03447245192785</v>
      </c>
      <c r="CK85" s="52">
        <f>Summ.!$A95</f>
        <v>51110</v>
      </c>
      <c r="CL85" s="108" t="str">
        <f>Summ.!$B95</f>
        <v>Monitor Fire Sprinklers</v>
      </c>
      <c r="CM85" s="110">
        <f t="shared" si="554"/>
        <v>3644</v>
      </c>
      <c r="CN85" s="110">
        <f t="shared" si="555"/>
        <v>0</v>
      </c>
      <c r="CO85" s="110">
        <f t="shared" si="556"/>
        <v>3644</v>
      </c>
      <c r="CP85" s="113">
        <f t="shared" si="495"/>
        <v>0.26741058085085184</v>
      </c>
      <c r="CQ85" s="110">
        <f t="shared" si="496"/>
        <v>974.44415662050415</v>
      </c>
      <c r="CR85" s="115">
        <f t="shared" si="497"/>
        <v>0</v>
      </c>
      <c r="CS85" s="110">
        <f t="shared" si="498"/>
        <v>974.44415662050415</v>
      </c>
      <c r="CT85" s="52">
        <f>Summ.!$A95</f>
        <v>51110</v>
      </c>
      <c r="CU85" s="108" t="str">
        <f>Summ.!$B95</f>
        <v>Monitor Fire Sprinklers</v>
      </c>
      <c r="CV85" s="110">
        <f t="shared" si="557"/>
        <v>3644</v>
      </c>
      <c r="CW85" s="110">
        <v>0</v>
      </c>
      <c r="CX85" s="110">
        <f t="shared" si="558"/>
        <v>3644</v>
      </c>
      <c r="CY85" s="113">
        <f t="shared" si="499"/>
        <v>7.472352296502939E-2</v>
      </c>
      <c r="CZ85" s="110">
        <f t="shared" si="500"/>
        <v>272.29251768456709</v>
      </c>
      <c r="DA85" s="115">
        <f t="shared" si="501"/>
        <v>0</v>
      </c>
      <c r="DB85" s="110">
        <f t="shared" si="502"/>
        <v>272.29251768456709</v>
      </c>
      <c r="DC85" s="52">
        <f>Summ.!$A95</f>
        <v>51110</v>
      </c>
      <c r="DD85" s="108" t="str">
        <f>Summ.!$B95</f>
        <v>Monitor Fire Sprinklers</v>
      </c>
      <c r="DE85" s="110">
        <f t="shared" si="559"/>
        <v>3644</v>
      </c>
      <c r="DF85" s="110">
        <v>0</v>
      </c>
      <c r="DG85" s="110">
        <f t="shared" si="560"/>
        <v>3644</v>
      </c>
      <c r="DH85" s="113">
        <f t="shared" si="503"/>
        <v>1.2453920494171565E-2</v>
      </c>
      <c r="DI85" s="110">
        <f t="shared" si="504"/>
        <v>45.382086280761186</v>
      </c>
      <c r="DJ85" s="115">
        <f t="shared" si="505"/>
        <v>0</v>
      </c>
      <c r="DK85" s="110">
        <f t="shared" si="506"/>
        <v>45.382086280761186</v>
      </c>
      <c r="DL85" s="52">
        <f>Summ.!$A95</f>
        <v>51110</v>
      </c>
      <c r="DM85" s="108" t="str">
        <f>Summ.!$B95</f>
        <v>Monitor Fire Sprinklers</v>
      </c>
      <c r="DN85" s="110">
        <f t="shared" si="561"/>
        <v>3644</v>
      </c>
      <c r="DO85" s="110">
        <f t="shared" si="562"/>
        <v>-3644</v>
      </c>
      <c r="DP85" s="110">
        <f t="shared" si="563"/>
        <v>0</v>
      </c>
      <c r="DQ85" s="113">
        <f t="shared" si="507"/>
        <v>7.2133107502241708E-2</v>
      </c>
      <c r="DR85" s="110">
        <f t="shared" si="508"/>
        <v>0</v>
      </c>
      <c r="DS85" s="115">
        <f t="shared" si="509"/>
        <v>0</v>
      </c>
      <c r="DT85" s="110">
        <f t="shared" si="510"/>
        <v>0</v>
      </c>
      <c r="DU85" s="52">
        <f>Summ.!$A95</f>
        <v>51110</v>
      </c>
      <c r="DV85" s="108" t="str">
        <f>Summ.!$B95</f>
        <v>Monitor Fire Sprinklers</v>
      </c>
      <c r="DW85" s="110">
        <f t="shared" si="564"/>
        <v>3644</v>
      </c>
      <c r="DX85" s="110">
        <f>-DW85</f>
        <v>-3644</v>
      </c>
      <c r="DY85" s="110">
        <f t="shared" si="566"/>
        <v>0</v>
      </c>
      <c r="DZ85" s="113">
        <f t="shared" si="511"/>
        <v>0.19961143768058184</v>
      </c>
      <c r="EA85" s="110">
        <f t="shared" si="512"/>
        <v>0</v>
      </c>
      <c r="EB85" s="115">
        <f t="shared" si="513"/>
        <v>0</v>
      </c>
      <c r="EC85" s="110">
        <f t="shared" si="514"/>
        <v>0</v>
      </c>
      <c r="ED85" s="52">
        <f>Summ.!$A95</f>
        <v>51110</v>
      </c>
      <c r="EE85" s="108" t="str">
        <f>Summ.!$B95</f>
        <v>Monitor Fire Sprinklers</v>
      </c>
      <c r="EF85" s="110">
        <f t="shared" si="567"/>
        <v>3644</v>
      </c>
      <c r="EG85" s="110">
        <f>-EF85</f>
        <v>-3644</v>
      </c>
      <c r="EH85" s="110">
        <f t="shared" si="569"/>
        <v>0</v>
      </c>
      <c r="EI85" s="113">
        <f t="shared" si="515"/>
        <v>0.16190096642423035</v>
      </c>
      <c r="EJ85" s="110">
        <f t="shared" si="516"/>
        <v>0</v>
      </c>
      <c r="EK85" s="115">
        <f t="shared" si="517"/>
        <v>0</v>
      </c>
      <c r="EL85" s="110">
        <f t="shared" si="518"/>
        <v>0</v>
      </c>
      <c r="EM85" s="52">
        <f>Summ.!$A95</f>
        <v>51110</v>
      </c>
      <c r="EN85" s="108" t="str">
        <f>Summ.!$B95</f>
        <v>Monitor Fire Sprinklers</v>
      </c>
      <c r="EO85" s="110">
        <f t="shared" si="570"/>
        <v>3644</v>
      </c>
      <c r="EP85" s="110">
        <v>0</v>
      </c>
      <c r="EQ85" s="110">
        <f t="shared" si="571"/>
        <v>3644</v>
      </c>
      <c r="ER85" s="113">
        <f t="shared" si="519"/>
        <v>4.9641327089767859E-2</v>
      </c>
      <c r="ES85" s="110">
        <f t="shared" si="520"/>
        <v>180.89299591511408</v>
      </c>
      <c r="ET85" s="115">
        <f t="shared" si="521"/>
        <v>0</v>
      </c>
      <c r="EU85" s="110">
        <f t="shared" si="522"/>
        <v>180.89299591511408</v>
      </c>
      <c r="EV85" s="52">
        <f>Summ.!$A95</f>
        <v>51110</v>
      </c>
      <c r="EW85" s="108" t="str">
        <f>Summ.!$B95</f>
        <v>Monitor Fire Sprinklers</v>
      </c>
      <c r="EX85" s="110">
        <f t="shared" si="572"/>
        <v>3644</v>
      </c>
      <c r="EY85" s="110">
        <v>0</v>
      </c>
      <c r="EZ85" s="110">
        <f t="shared" si="574"/>
        <v>3644</v>
      </c>
      <c r="FA85" s="113">
        <f t="shared" si="523"/>
        <v>2.3961343030786092E-2</v>
      </c>
      <c r="FB85" s="110">
        <f t="shared" si="524"/>
        <v>87.315134004184515</v>
      </c>
      <c r="FC85" s="115">
        <f t="shared" si="525"/>
        <v>0</v>
      </c>
      <c r="FD85" s="110">
        <f t="shared" si="526"/>
        <v>87.315134004184515</v>
      </c>
      <c r="FE85" s="52">
        <f>Summ.!$A95</f>
        <v>51110</v>
      </c>
      <c r="FF85" s="108" t="str">
        <f>Summ.!$B95</f>
        <v>Monitor Fire Sprinklers</v>
      </c>
      <c r="FG85" s="110">
        <f t="shared" si="575"/>
        <v>3644</v>
      </c>
      <c r="FH85" s="110">
        <v>0</v>
      </c>
      <c r="FI85" s="110">
        <f t="shared" si="577"/>
        <v>3644</v>
      </c>
      <c r="FJ85" s="113">
        <f t="shared" si="527"/>
        <v>9.2258643020822956E-2</v>
      </c>
      <c r="FK85" s="110">
        <f t="shared" si="528"/>
        <v>336.19049516787885</v>
      </c>
      <c r="FL85" s="115">
        <f t="shared" si="529"/>
        <v>0</v>
      </c>
      <c r="FM85" s="110">
        <f t="shared" si="530"/>
        <v>336.19049516787885</v>
      </c>
    </row>
    <row r="86" spans="1:169">
      <c r="A86" s="52">
        <f>Summ.!A96</f>
        <v>51120</v>
      </c>
      <c r="B86" s="45" t="str">
        <f>Summ.!B96</f>
        <v>Fire Protection Repairs</v>
      </c>
      <c r="C86" s="45"/>
      <c r="D86" s="45"/>
      <c r="E86" s="45"/>
      <c r="F86" s="106">
        <f>+Summ.!O96</f>
        <v>1203</v>
      </c>
      <c r="G86" s="71">
        <f>Rent!$B$42</f>
        <v>40148</v>
      </c>
      <c r="H86" s="52">
        <f>Summ.!$A96</f>
        <v>51120</v>
      </c>
      <c r="I86" s="108" t="str">
        <f>Summ.!$B96</f>
        <v>Fire Protection Repairs</v>
      </c>
      <c r="J86" s="110">
        <f t="shared" si="531"/>
        <v>1203</v>
      </c>
      <c r="K86" s="110">
        <v>0</v>
      </c>
      <c r="L86" s="110">
        <f t="shared" ref="L86" si="578">J86+K86</f>
        <v>1203</v>
      </c>
      <c r="M86" s="113">
        <f t="shared" si="458"/>
        <v>9.6468068147852942E-2</v>
      </c>
      <c r="N86" s="110">
        <f t="shared" si="459"/>
        <v>116.05108598186709</v>
      </c>
      <c r="O86" s="115">
        <f t="shared" si="460"/>
        <v>0</v>
      </c>
      <c r="P86" s="110">
        <f t="shared" si="461"/>
        <v>116.05108598186709</v>
      </c>
      <c r="Q86" s="52">
        <f>Summ.!$A96</f>
        <v>51120</v>
      </c>
      <c r="R86" s="108" t="str">
        <f>Summ.!$B96</f>
        <v>Fire Protection Repairs</v>
      </c>
      <c r="S86" s="110">
        <f t="shared" si="533"/>
        <v>1203</v>
      </c>
      <c r="T86" s="110">
        <f t="shared" ref="T86" si="579">+K86</f>
        <v>0</v>
      </c>
      <c r="U86" s="110">
        <f t="shared" ref="U86" si="580">S86+T86</f>
        <v>1203</v>
      </c>
      <c r="V86" s="113">
        <f t="shared" si="462"/>
        <v>2.6751021221480521E-2</v>
      </c>
      <c r="W86" s="110">
        <f t="shared" si="463"/>
        <v>32.181478529441065</v>
      </c>
      <c r="X86" s="115">
        <f t="shared" si="464"/>
        <v>0</v>
      </c>
      <c r="Y86" s="110">
        <f t="shared" si="465"/>
        <v>32.181478529441065</v>
      </c>
      <c r="Z86" s="52">
        <f>Summ.!$A96</f>
        <v>51120</v>
      </c>
      <c r="AA86" s="108" t="str">
        <f>Summ.!$B96</f>
        <v>Fire Protection Repairs</v>
      </c>
      <c r="AB86" s="110">
        <f t="shared" si="536"/>
        <v>1203</v>
      </c>
      <c r="AC86" s="110"/>
      <c r="AD86" s="110">
        <f t="shared" ref="AD86" si="581">AB86+AC86</f>
        <v>1203</v>
      </c>
      <c r="AE86" s="113">
        <f t="shared" si="466"/>
        <v>4.9815681976686258E-3</v>
      </c>
      <c r="AF86" s="110">
        <f t="shared" si="467"/>
        <v>5.992826541795357</v>
      </c>
      <c r="AG86" s="115">
        <f t="shared" si="468"/>
        <v>0</v>
      </c>
      <c r="AH86" s="110">
        <f t="shared" si="469"/>
        <v>5.992826541795357</v>
      </c>
      <c r="AI86" s="52">
        <f>Summ.!$A96</f>
        <v>51120</v>
      </c>
      <c r="AJ86" s="108" t="str">
        <f>Summ.!$B96</f>
        <v>Fire Protection Repairs</v>
      </c>
      <c r="AK86" s="110">
        <f t="shared" si="538"/>
        <v>1203</v>
      </c>
      <c r="AL86" s="110">
        <f t="shared" ref="AL86" si="582">+AC86</f>
        <v>0</v>
      </c>
      <c r="AM86" s="110">
        <f t="shared" ref="AM86" si="583">AK86+AL86</f>
        <v>1203</v>
      </c>
      <c r="AN86" s="113">
        <f t="shared" si="470"/>
        <v>1.2902261631961742E-2</v>
      </c>
      <c r="AO86" s="110">
        <f t="shared" si="471"/>
        <v>15.521420743249974</v>
      </c>
      <c r="AP86" s="115">
        <f t="shared" si="472"/>
        <v>0</v>
      </c>
      <c r="AQ86" s="110">
        <f t="shared" si="473"/>
        <v>15.521420743249974</v>
      </c>
      <c r="AR86" s="52">
        <f>Summ.!$A96</f>
        <v>51120</v>
      </c>
      <c r="AS86" s="108" t="str">
        <f>Summ.!$B96</f>
        <v>Fire Protection Repairs</v>
      </c>
      <c r="AT86" s="110">
        <f t="shared" si="541"/>
        <v>1203</v>
      </c>
      <c r="AU86" s="110">
        <f t="shared" ref="AU86" si="584">+AL86</f>
        <v>0</v>
      </c>
      <c r="AV86" s="110">
        <f t="shared" ref="AV86" si="585">AT86+AU86</f>
        <v>1203</v>
      </c>
      <c r="AW86" s="113">
        <f t="shared" si="474"/>
        <v>1.3076616518880143E-2</v>
      </c>
      <c r="AX86" s="110">
        <f t="shared" si="475"/>
        <v>15.731169672212811</v>
      </c>
      <c r="AY86" s="115">
        <f t="shared" si="476"/>
        <v>0</v>
      </c>
      <c r="AZ86" s="110">
        <f t="shared" si="477"/>
        <v>15.731169672212811</v>
      </c>
      <c r="BA86" s="52">
        <f>Summ.!$A96</f>
        <v>51120</v>
      </c>
      <c r="BB86" s="108" t="str">
        <f>Summ.!$B96</f>
        <v>Fire Protection Repairs</v>
      </c>
      <c r="BC86" s="110">
        <f t="shared" si="544"/>
        <v>1203</v>
      </c>
      <c r="BD86" s="110">
        <f t="shared" ref="BD86" si="586">+AU86</f>
        <v>0</v>
      </c>
      <c r="BE86" s="110">
        <f t="shared" ref="BE86" si="587">BC86+BD86</f>
        <v>1203</v>
      </c>
      <c r="BF86" s="113" t="e">
        <f t="shared" si="478"/>
        <v>#REF!</v>
      </c>
      <c r="BG86" s="110" t="e">
        <f t="shared" si="479"/>
        <v>#REF!</v>
      </c>
      <c r="BH86" s="115" t="e">
        <f t="shared" si="480"/>
        <v>#REF!</v>
      </c>
      <c r="BI86" s="110" t="e">
        <f t="shared" si="481"/>
        <v>#REF!</v>
      </c>
      <c r="BJ86" s="52">
        <f>Summ.!$A96</f>
        <v>51120</v>
      </c>
      <c r="BK86" s="108" t="str">
        <f>Summ.!$B96</f>
        <v>Fire Protection Repairs</v>
      </c>
      <c r="BL86" s="110">
        <f t="shared" si="547"/>
        <v>1203</v>
      </c>
      <c r="BM86" s="110">
        <f t="shared" si="482"/>
        <v>0</v>
      </c>
      <c r="BN86" s="110">
        <f t="shared" ref="BN86" si="588">BL86+BM86</f>
        <v>1203</v>
      </c>
      <c r="BO86" s="113">
        <f t="shared" si="483"/>
        <v>2.4758393942413071E-2</v>
      </c>
      <c r="BP86" s="110">
        <f t="shared" si="484"/>
        <v>29.784347912722925</v>
      </c>
      <c r="BQ86" s="115">
        <f t="shared" si="485"/>
        <v>0</v>
      </c>
      <c r="BR86" s="110">
        <f t="shared" si="486"/>
        <v>29.784347912722925</v>
      </c>
      <c r="BS86" s="52">
        <f>Summ.!$A96</f>
        <v>51120</v>
      </c>
      <c r="BT86" s="108" t="str">
        <f>Summ.!$B96</f>
        <v>Fire Protection Repairs</v>
      </c>
      <c r="BU86" s="110">
        <f t="shared" si="549"/>
        <v>1203</v>
      </c>
      <c r="BV86" s="110">
        <f t="shared" ref="BV86" si="589">+BM86</f>
        <v>0</v>
      </c>
      <c r="BW86" s="110">
        <f t="shared" ref="BW86" si="590">BU86+BV86</f>
        <v>1203</v>
      </c>
      <c r="BX86" s="113">
        <f t="shared" si="487"/>
        <v>2.5978878150841885E-2</v>
      </c>
      <c r="BY86" s="110">
        <f t="shared" si="488"/>
        <v>31.252590415462787</v>
      </c>
      <c r="BZ86" s="115">
        <f t="shared" si="489"/>
        <v>0</v>
      </c>
      <c r="CA86" s="110">
        <f t="shared" si="490"/>
        <v>31.252590415462787</v>
      </c>
      <c r="CB86" s="52">
        <f>Summ.!$A96</f>
        <v>51120</v>
      </c>
      <c r="CC86" s="108" t="str">
        <f>Summ.!$B96</f>
        <v>Fire Protection Repairs</v>
      </c>
      <c r="CD86" s="110">
        <f t="shared" si="552"/>
        <v>1203</v>
      </c>
      <c r="CE86" s="110">
        <v>1</v>
      </c>
      <c r="CF86" s="110">
        <f t="shared" ref="CF86" si="591">CD86+CE86</f>
        <v>1204</v>
      </c>
      <c r="CG86" s="113">
        <f t="shared" si="491"/>
        <v>8.7825047324897876E-2</v>
      </c>
      <c r="CH86" s="110">
        <f t="shared" si="492"/>
        <v>105.74135697917704</v>
      </c>
      <c r="CI86" s="115">
        <f t="shared" si="493"/>
        <v>0</v>
      </c>
      <c r="CJ86" s="110">
        <f t="shared" si="494"/>
        <v>105.74135697917704</v>
      </c>
      <c r="CK86" s="52">
        <f>Summ.!$A96</f>
        <v>51120</v>
      </c>
      <c r="CL86" s="108" t="str">
        <f>Summ.!$B96</f>
        <v>Fire Protection Repairs</v>
      </c>
      <c r="CM86" s="110">
        <f t="shared" si="554"/>
        <v>1203</v>
      </c>
      <c r="CN86" s="110">
        <f t="shared" ref="CN86" si="592">+CE86</f>
        <v>1</v>
      </c>
      <c r="CO86" s="110">
        <f t="shared" ref="CO86" si="593">CM86+CN86</f>
        <v>1204</v>
      </c>
      <c r="CP86" s="113">
        <f t="shared" si="495"/>
        <v>0.26741058085085184</v>
      </c>
      <c r="CQ86" s="110">
        <f t="shared" si="496"/>
        <v>321.96233934442563</v>
      </c>
      <c r="CR86" s="115">
        <f t="shared" si="497"/>
        <v>0</v>
      </c>
      <c r="CS86" s="110">
        <f t="shared" si="498"/>
        <v>321.96233934442563</v>
      </c>
      <c r="CT86" s="52">
        <f>Summ.!$A96</f>
        <v>51120</v>
      </c>
      <c r="CU86" s="108" t="str">
        <f>Summ.!$B96</f>
        <v>Fire Protection Repairs</v>
      </c>
      <c r="CV86" s="110">
        <f t="shared" si="557"/>
        <v>1203</v>
      </c>
      <c r="CW86" s="110">
        <v>1</v>
      </c>
      <c r="CX86" s="110">
        <f t="shared" ref="CX86" si="594">CV86+CW86</f>
        <v>1204</v>
      </c>
      <c r="CY86" s="113">
        <f t="shared" si="499"/>
        <v>7.472352296502939E-2</v>
      </c>
      <c r="CZ86" s="110">
        <f t="shared" si="500"/>
        <v>89.96712164989539</v>
      </c>
      <c r="DA86" s="115">
        <f t="shared" si="501"/>
        <v>0</v>
      </c>
      <c r="DB86" s="110">
        <f t="shared" si="502"/>
        <v>89.96712164989539</v>
      </c>
      <c r="DC86" s="52">
        <f>Summ.!$A96</f>
        <v>51120</v>
      </c>
      <c r="DD86" s="108" t="str">
        <f>Summ.!$B96</f>
        <v>Fire Protection Repairs</v>
      </c>
      <c r="DE86" s="110">
        <f t="shared" si="559"/>
        <v>1203</v>
      </c>
      <c r="DF86" s="110">
        <v>1</v>
      </c>
      <c r="DG86" s="110">
        <f t="shared" ref="DG86" si="595">DE86+DF86</f>
        <v>1204</v>
      </c>
      <c r="DH86" s="113">
        <f t="shared" si="503"/>
        <v>1.2453920494171565E-2</v>
      </c>
      <c r="DI86" s="110">
        <f t="shared" si="504"/>
        <v>14.994520274982564</v>
      </c>
      <c r="DJ86" s="115">
        <f t="shared" si="505"/>
        <v>0</v>
      </c>
      <c r="DK86" s="110">
        <f t="shared" si="506"/>
        <v>14.994520274982564</v>
      </c>
      <c r="DL86" s="52">
        <f>Summ.!$A96</f>
        <v>51120</v>
      </c>
      <c r="DM86" s="108" t="str">
        <f>Summ.!$B96</f>
        <v>Fire Protection Repairs</v>
      </c>
      <c r="DN86" s="110">
        <f t="shared" si="561"/>
        <v>1203</v>
      </c>
      <c r="DO86" s="110">
        <f t="shared" ref="DO86" si="596">-DN86</f>
        <v>-1203</v>
      </c>
      <c r="DP86" s="110">
        <f t="shared" ref="DP86" si="597">DN86+DO86</f>
        <v>0</v>
      </c>
      <c r="DQ86" s="113">
        <f t="shared" si="507"/>
        <v>7.2133107502241708E-2</v>
      </c>
      <c r="DR86" s="110">
        <f t="shared" si="508"/>
        <v>0</v>
      </c>
      <c r="DS86" s="115">
        <f t="shared" si="509"/>
        <v>0</v>
      </c>
      <c r="DT86" s="110">
        <f t="shared" si="510"/>
        <v>0</v>
      </c>
      <c r="DU86" s="52">
        <f>Summ.!$A96</f>
        <v>51120</v>
      </c>
      <c r="DV86" s="108" t="str">
        <f>Summ.!$B96</f>
        <v>Fire Protection Repairs</v>
      </c>
      <c r="DW86" s="110">
        <f t="shared" si="564"/>
        <v>1203</v>
      </c>
      <c r="DX86" s="110">
        <f>-DW86</f>
        <v>-1203</v>
      </c>
      <c r="DY86" s="110">
        <f t="shared" ref="DY86" si="598">DW86+DX86</f>
        <v>0</v>
      </c>
      <c r="DZ86" s="113">
        <f t="shared" si="511"/>
        <v>0.19961143768058184</v>
      </c>
      <c r="EA86" s="110">
        <f t="shared" si="512"/>
        <v>0</v>
      </c>
      <c r="EB86" s="115">
        <f t="shared" si="513"/>
        <v>0</v>
      </c>
      <c r="EC86" s="110">
        <f t="shared" si="514"/>
        <v>0</v>
      </c>
      <c r="ED86" s="52">
        <f>Summ.!$A96</f>
        <v>51120</v>
      </c>
      <c r="EE86" s="108" t="str">
        <f>Summ.!$B96</f>
        <v>Fire Protection Repairs</v>
      </c>
      <c r="EF86" s="110">
        <f t="shared" si="567"/>
        <v>1203</v>
      </c>
      <c r="EG86" s="110">
        <f>-EF86</f>
        <v>-1203</v>
      </c>
      <c r="EH86" s="110">
        <f t="shared" ref="EH86" si="599">EF86+EG86</f>
        <v>0</v>
      </c>
      <c r="EI86" s="113">
        <f t="shared" si="515"/>
        <v>0.16190096642423035</v>
      </c>
      <c r="EJ86" s="110">
        <f t="shared" si="516"/>
        <v>0</v>
      </c>
      <c r="EK86" s="115">
        <f t="shared" si="517"/>
        <v>0</v>
      </c>
      <c r="EL86" s="110">
        <f t="shared" si="518"/>
        <v>0</v>
      </c>
      <c r="EM86" s="52">
        <f>Summ.!$A96</f>
        <v>51120</v>
      </c>
      <c r="EN86" s="108" t="str">
        <f>Summ.!$B96</f>
        <v>Fire Protection Repairs</v>
      </c>
      <c r="EO86" s="110">
        <f t="shared" si="570"/>
        <v>1203</v>
      </c>
      <c r="EP86" s="110">
        <v>1</v>
      </c>
      <c r="EQ86" s="110">
        <f t="shared" ref="EQ86" si="600">EO86+EP86</f>
        <v>1204</v>
      </c>
      <c r="ER86" s="113">
        <f t="shared" si="519"/>
        <v>4.9641327089767859E-2</v>
      </c>
      <c r="ES86" s="110">
        <f t="shared" si="520"/>
        <v>59.768157816080503</v>
      </c>
      <c r="ET86" s="115">
        <f t="shared" si="521"/>
        <v>0</v>
      </c>
      <c r="EU86" s="110">
        <f t="shared" si="522"/>
        <v>59.768157816080503</v>
      </c>
      <c r="EV86" s="52">
        <f>Summ.!$A96</f>
        <v>51120</v>
      </c>
      <c r="EW86" s="108" t="str">
        <f>Summ.!$B96</f>
        <v>Fire Protection Repairs</v>
      </c>
      <c r="EX86" s="110">
        <f t="shared" si="572"/>
        <v>1203</v>
      </c>
      <c r="EY86" s="110">
        <v>1</v>
      </c>
      <c r="EZ86" s="110">
        <f t="shared" ref="EZ86" si="601">EX86+EY86</f>
        <v>1204</v>
      </c>
      <c r="FA86" s="113">
        <f t="shared" si="523"/>
        <v>2.3961343030786092E-2</v>
      </c>
      <c r="FB86" s="110">
        <f t="shared" si="524"/>
        <v>28.849457009066455</v>
      </c>
      <c r="FC86" s="115">
        <f t="shared" si="525"/>
        <v>0</v>
      </c>
      <c r="FD86" s="110">
        <f t="shared" si="526"/>
        <v>28.849457009066455</v>
      </c>
      <c r="FE86" s="52">
        <f>Summ.!$A96</f>
        <v>51120</v>
      </c>
      <c r="FF86" s="108" t="str">
        <f>Summ.!$B96</f>
        <v>Fire Protection Repairs</v>
      </c>
      <c r="FG86" s="110">
        <f t="shared" si="575"/>
        <v>1203</v>
      </c>
      <c r="FH86" s="110">
        <v>1</v>
      </c>
      <c r="FI86" s="110">
        <f t="shared" ref="FI86" si="602">FG86+FH86</f>
        <v>1204</v>
      </c>
      <c r="FJ86" s="113">
        <f t="shared" si="527"/>
        <v>9.2258643020822956E-2</v>
      </c>
      <c r="FK86" s="110">
        <f t="shared" si="528"/>
        <v>111.07940619707084</v>
      </c>
      <c r="FL86" s="115">
        <f t="shared" si="529"/>
        <v>0</v>
      </c>
      <c r="FM86" s="110">
        <f t="shared" si="530"/>
        <v>111.07940619707084</v>
      </c>
    </row>
    <row r="87" spans="1:169">
      <c r="A87" s="52">
        <f>Summ.!A97</f>
        <v>51120</v>
      </c>
      <c r="B87" s="45" t="str">
        <f>Summ.!B97</f>
        <v>Elevator Repair</v>
      </c>
      <c r="C87" s="45"/>
      <c r="D87" s="45"/>
      <c r="E87" s="45"/>
      <c r="F87" s="106">
        <f>+Summ.!O97</f>
        <v>0</v>
      </c>
      <c r="G87" s="71">
        <f>Rent!$B$42</f>
        <v>40148</v>
      </c>
      <c r="H87" s="52">
        <f>Summ.!$A97</f>
        <v>51120</v>
      </c>
      <c r="I87" s="108" t="str">
        <f>Summ.!$B97</f>
        <v>Elevator Repair</v>
      </c>
      <c r="J87" s="110">
        <f t="shared" si="531"/>
        <v>0</v>
      </c>
      <c r="K87" s="110">
        <v>0</v>
      </c>
      <c r="L87" s="110">
        <f t="shared" si="532"/>
        <v>0</v>
      </c>
      <c r="M87" s="113">
        <f t="shared" si="458"/>
        <v>9.6468068147852942E-2</v>
      </c>
      <c r="N87" s="110">
        <f t="shared" si="459"/>
        <v>0</v>
      </c>
      <c r="O87" s="115">
        <f t="shared" si="460"/>
        <v>0</v>
      </c>
      <c r="P87" s="110">
        <f t="shared" si="461"/>
        <v>0</v>
      </c>
      <c r="Q87" s="52">
        <f>Summ.!$A97</f>
        <v>51120</v>
      </c>
      <c r="R87" s="108" t="str">
        <f>Summ.!$B97</f>
        <v>Elevator Repair</v>
      </c>
      <c r="S87" s="110">
        <f t="shared" si="533"/>
        <v>0</v>
      </c>
      <c r="T87" s="110">
        <f t="shared" si="534"/>
        <v>0</v>
      </c>
      <c r="U87" s="110">
        <f t="shared" si="535"/>
        <v>0</v>
      </c>
      <c r="V87" s="113">
        <f t="shared" si="462"/>
        <v>2.6751021221480521E-2</v>
      </c>
      <c r="W87" s="110">
        <f t="shared" si="463"/>
        <v>0</v>
      </c>
      <c r="X87" s="115">
        <f t="shared" si="464"/>
        <v>0</v>
      </c>
      <c r="Y87" s="110">
        <f t="shared" si="465"/>
        <v>0</v>
      </c>
      <c r="Z87" s="52">
        <f>Summ.!$A97</f>
        <v>51120</v>
      </c>
      <c r="AA87" s="108" t="str">
        <f>Summ.!$B97</f>
        <v>Elevator Repair</v>
      </c>
      <c r="AB87" s="110">
        <f t="shared" si="536"/>
        <v>0</v>
      </c>
      <c r="AC87" s="110">
        <v>0</v>
      </c>
      <c r="AD87" s="110">
        <f t="shared" si="537"/>
        <v>0</v>
      </c>
      <c r="AE87" s="113">
        <f t="shared" si="466"/>
        <v>4.9815681976686258E-3</v>
      </c>
      <c r="AF87" s="110">
        <f t="shared" si="467"/>
        <v>0</v>
      </c>
      <c r="AG87" s="115">
        <f t="shared" si="468"/>
        <v>0</v>
      </c>
      <c r="AH87" s="110">
        <f t="shared" si="469"/>
        <v>0</v>
      </c>
      <c r="AI87" s="52">
        <f>Summ.!$A97</f>
        <v>51120</v>
      </c>
      <c r="AJ87" s="108" t="str">
        <f>Summ.!$B97</f>
        <v>Elevator Repair</v>
      </c>
      <c r="AK87" s="110">
        <f t="shared" si="538"/>
        <v>0</v>
      </c>
      <c r="AL87" s="110">
        <f t="shared" si="539"/>
        <v>0</v>
      </c>
      <c r="AM87" s="110">
        <f t="shared" si="540"/>
        <v>0</v>
      </c>
      <c r="AN87" s="113">
        <f t="shared" si="470"/>
        <v>1.2902261631961742E-2</v>
      </c>
      <c r="AO87" s="110">
        <f t="shared" si="471"/>
        <v>0</v>
      </c>
      <c r="AP87" s="115">
        <f t="shared" si="472"/>
        <v>0</v>
      </c>
      <c r="AQ87" s="110">
        <f t="shared" si="473"/>
        <v>0</v>
      </c>
      <c r="AR87" s="52">
        <f>Summ.!$A97</f>
        <v>51120</v>
      </c>
      <c r="AS87" s="108" t="str">
        <f>Summ.!$B97</f>
        <v>Elevator Repair</v>
      </c>
      <c r="AT87" s="110">
        <f t="shared" si="541"/>
        <v>0</v>
      </c>
      <c r="AU87" s="110">
        <f t="shared" si="542"/>
        <v>0</v>
      </c>
      <c r="AV87" s="110">
        <f t="shared" si="543"/>
        <v>0</v>
      </c>
      <c r="AW87" s="113">
        <f t="shared" si="474"/>
        <v>1.3076616518880143E-2</v>
      </c>
      <c r="AX87" s="110">
        <f t="shared" si="475"/>
        <v>0</v>
      </c>
      <c r="AY87" s="115">
        <f t="shared" si="476"/>
        <v>0</v>
      </c>
      <c r="AZ87" s="110">
        <f t="shared" si="477"/>
        <v>0</v>
      </c>
      <c r="BA87" s="52">
        <f>Summ.!$A97</f>
        <v>51120</v>
      </c>
      <c r="BB87" s="108" t="str">
        <f>Summ.!$B97</f>
        <v>Elevator Repair</v>
      </c>
      <c r="BC87" s="110">
        <f t="shared" si="544"/>
        <v>0</v>
      </c>
      <c r="BD87" s="110">
        <f t="shared" si="545"/>
        <v>0</v>
      </c>
      <c r="BE87" s="110">
        <f t="shared" si="546"/>
        <v>0</v>
      </c>
      <c r="BF87" s="113" t="e">
        <f t="shared" si="478"/>
        <v>#REF!</v>
      </c>
      <c r="BG87" s="110" t="e">
        <f t="shared" si="479"/>
        <v>#REF!</v>
      </c>
      <c r="BH87" s="115" t="e">
        <f t="shared" si="480"/>
        <v>#REF!</v>
      </c>
      <c r="BI87" s="110" t="e">
        <f t="shared" si="481"/>
        <v>#REF!</v>
      </c>
      <c r="BJ87" s="52">
        <f>Summ.!$A97</f>
        <v>51120</v>
      </c>
      <c r="BK87" s="108" t="str">
        <f>Summ.!$B97</f>
        <v>Elevator Repair</v>
      </c>
      <c r="BL87" s="110">
        <f t="shared" si="547"/>
        <v>0</v>
      </c>
      <c r="BM87" s="110">
        <f t="shared" si="482"/>
        <v>0</v>
      </c>
      <c r="BN87" s="110">
        <f t="shared" si="548"/>
        <v>0</v>
      </c>
      <c r="BO87" s="113">
        <f t="shared" si="483"/>
        <v>2.4758393942413071E-2</v>
      </c>
      <c r="BP87" s="110">
        <f t="shared" si="484"/>
        <v>0</v>
      </c>
      <c r="BQ87" s="115">
        <f t="shared" si="485"/>
        <v>0</v>
      </c>
      <c r="BR87" s="110">
        <f t="shared" si="486"/>
        <v>0</v>
      </c>
      <c r="BS87" s="52">
        <f>Summ.!$A97</f>
        <v>51120</v>
      </c>
      <c r="BT87" s="108" t="str">
        <f>Summ.!$B97</f>
        <v>Elevator Repair</v>
      </c>
      <c r="BU87" s="110">
        <f t="shared" si="549"/>
        <v>0</v>
      </c>
      <c r="BV87" s="110">
        <f t="shared" si="550"/>
        <v>0</v>
      </c>
      <c r="BW87" s="110">
        <f t="shared" si="551"/>
        <v>0</v>
      </c>
      <c r="BX87" s="113">
        <f t="shared" si="487"/>
        <v>2.5978878150841885E-2</v>
      </c>
      <c r="BY87" s="110">
        <f t="shared" si="488"/>
        <v>0</v>
      </c>
      <c r="BZ87" s="115">
        <f t="shared" si="489"/>
        <v>0</v>
      </c>
      <c r="CA87" s="110">
        <f t="shared" si="490"/>
        <v>0</v>
      </c>
      <c r="CB87" s="52">
        <f>Summ.!$A97</f>
        <v>51120</v>
      </c>
      <c r="CC87" s="108" t="str">
        <f>Summ.!$B97</f>
        <v>Elevator Repair</v>
      </c>
      <c r="CD87" s="110">
        <f t="shared" si="552"/>
        <v>0</v>
      </c>
      <c r="CE87" s="110">
        <v>0</v>
      </c>
      <c r="CF87" s="110">
        <f t="shared" si="553"/>
        <v>0</v>
      </c>
      <c r="CG87" s="113">
        <f t="shared" si="491"/>
        <v>8.7825047324897876E-2</v>
      </c>
      <c r="CH87" s="110">
        <f t="shared" si="492"/>
        <v>0</v>
      </c>
      <c r="CI87" s="115">
        <f t="shared" si="493"/>
        <v>0</v>
      </c>
      <c r="CJ87" s="110">
        <f t="shared" si="494"/>
        <v>0</v>
      </c>
      <c r="CK87" s="52">
        <f>Summ.!$A97</f>
        <v>51120</v>
      </c>
      <c r="CL87" s="108" t="str">
        <f>Summ.!$B97</f>
        <v>Elevator Repair</v>
      </c>
      <c r="CM87" s="110">
        <f t="shared" si="554"/>
        <v>0</v>
      </c>
      <c r="CN87" s="110">
        <f t="shared" si="555"/>
        <v>0</v>
      </c>
      <c r="CO87" s="110">
        <f t="shared" si="556"/>
        <v>0</v>
      </c>
      <c r="CP87" s="113">
        <f t="shared" si="495"/>
        <v>0.26741058085085184</v>
      </c>
      <c r="CQ87" s="110">
        <f t="shared" si="496"/>
        <v>0</v>
      </c>
      <c r="CR87" s="115">
        <f t="shared" si="497"/>
        <v>0</v>
      </c>
      <c r="CS87" s="110">
        <f t="shared" si="498"/>
        <v>0</v>
      </c>
      <c r="CT87" s="52">
        <f>Summ.!$A97</f>
        <v>51120</v>
      </c>
      <c r="CU87" s="108" t="str">
        <f>Summ.!$B97</f>
        <v>Elevator Repair</v>
      </c>
      <c r="CV87" s="110">
        <f t="shared" si="557"/>
        <v>0</v>
      </c>
      <c r="CW87" s="110">
        <v>0</v>
      </c>
      <c r="CX87" s="110">
        <f t="shared" si="558"/>
        <v>0</v>
      </c>
      <c r="CY87" s="113">
        <f t="shared" si="499"/>
        <v>7.472352296502939E-2</v>
      </c>
      <c r="CZ87" s="110">
        <f t="shared" si="500"/>
        <v>0</v>
      </c>
      <c r="DA87" s="115">
        <f t="shared" si="501"/>
        <v>0</v>
      </c>
      <c r="DB87" s="110">
        <f t="shared" si="502"/>
        <v>0</v>
      </c>
      <c r="DC87" s="52">
        <f>Summ.!$A97</f>
        <v>51120</v>
      </c>
      <c r="DD87" s="108" t="str">
        <f>Summ.!$B97</f>
        <v>Elevator Repair</v>
      </c>
      <c r="DE87" s="110">
        <f t="shared" si="559"/>
        <v>0</v>
      </c>
      <c r="DF87" s="110">
        <v>0</v>
      </c>
      <c r="DG87" s="110">
        <f t="shared" si="560"/>
        <v>0</v>
      </c>
      <c r="DH87" s="113">
        <f t="shared" si="503"/>
        <v>1.2453920494171565E-2</v>
      </c>
      <c r="DI87" s="110">
        <f t="shared" si="504"/>
        <v>0</v>
      </c>
      <c r="DJ87" s="115">
        <f t="shared" si="505"/>
        <v>0</v>
      </c>
      <c r="DK87" s="110">
        <f t="shared" si="506"/>
        <v>0</v>
      </c>
      <c r="DL87" s="52">
        <f>Summ.!$A97</f>
        <v>51120</v>
      </c>
      <c r="DM87" s="108" t="str">
        <f>Summ.!$B97</f>
        <v>Elevator Repair</v>
      </c>
      <c r="DN87" s="110">
        <f t="shared" si="561"/>
        <v>0</v>
      </c>
      <c r="DO87" s="110">
        <f t="shared" si="562"/>
        <v>0</v>
      </c>
      <c r="DP87" s="110">
        <f t="shared" si="563"/>
        <v>0</v>
      </c>
      <c r="DQ87" s="113">
        <f t="shared" si="507"/>
        <v>7.2133107502241708E-2</v>
      </c>
      <c r="DR87" s="110">
        <f t="shared" si="508"/>
        <v>0</v>
      </c>
      <c r="DS87" s="115">
        <f t="shared" si="509"/>
        <v>0</v>
      </c>
      <c r="DT87" s="110">
        <f t="shared" si="510"/>
        <v>0</v>
      </c>
      <c r="DU87" s="52">
        <f>Summ.!$A97</f>
        <v>51120</v>
      </c>
      <c r="DV87" s="108" t="str">
        <f>Summ.!$B97</f>
        <v>Elevator Repair</v>
      </c>
      <c r="DW87" s="110">
        <f t="shared" si="564"/>
        <v>0</v>
      </c>
      <c r="DX87" s="110">
        <f t="shared" si="565"/>
        <v>0</v>
      </c>
      <c r="DY87" s="110">
        <f t="shared" si="566"/>
        <v>0</v>
      </c>
      <c r="DZ87" s="113">
        <f t="shared" si="511"/>
        <v>0.19961143768058184</v>
      </c>
      <c r="EA87" s="110">
        <f t="shared" si="512"/>
        <v>0</v>
      </c>
      <c r="EB87" s="115">
        <f t="shared" si="513"/>
        <v>0</v>
      </c>
      <c r="EC87" s="110">
        <f t="shared" si="514"/>
        <v>0</v>
      </c>
      <c r="ED87" s="52">
        <f>Summ.!$A97</f>
        <v>51120</v>
      </c>
      <c r="EE87" s="108" t="str">
        <f>Summ.!$B97</f>
        <v>Elevator Repair</v>
      </c>
      <c r="EF87" s="110">
        <f t="shared" si="567"/>
        <v>0</v>
      </c>
      <c r="EG87" s="110">
        <f t="shared" si="568"/>
        <v>0</v>
      </c>
      <c r="EH87" s="110">
        <f t="shared" si="569"/>
        <v>0</v>
      </c>
      <c r="EI87" s="113">
        <f t="shared" si="515"/>
        <v>0.16190096642423035</v>
      </c>
      <c r="EJ87" s="110">
        <f t="shared" si="516"/>
        <v>0</v>
      </c>
      <c r="EK87" s="115">
        <f t="shared" si="517"/>
        <v>0</v>
      </c>
      <c r="EL87" s="110">
        <f t="shared" si="518"/>
        <v>0</v>
      </c>
      <c r="EM87" s="52">
        <f>Summ.!$A97</f>
        <v>51120</v>
      </c>
      <c r="EN87" s="108" t="str">
        <f>Summ.!$B97</f>
        <v>Elevator Repair</v>
      </c>
      <c r="EO87" s="110">
        <f t="shared" si="570"/>
        <v>0</v>
      </c>
      <c r="EP87" s="110">
        <v>0</v>
      </c>
      <c r="EQ87" s="110">
        <f t="shared" si="571"/>
        <v>0</v>
      </c>
      <c r="ER87" s="113">
        <f t="shared" si="519"/>
        <v>4.9641327089767859E-2</v>
      </c>
      <c r="ES87" s="110">
        <f t="shared" si="520"/>
        <v>0</v>
      </c>
      <c r="ET87" s="115">
        <f t="shared" si="521"/>
        <v>0</v>
      </c>
      <c r="EU87" s="110">
        <f t="shared" si="522"/>
        <v>0</v>
      </c>
      <c r="EV87" s="52">
        <f>Summ.!$A97</f>
        <v>51120</v>
      </c>
      <c r="EW87" s="108" t="str">
        <f>Summ.!$B97</f>
        <v>Elevator Repair</v>
      </c>
      <c r="EX87" s="110">
        <f t="shared" si="572"/>
        <v>0</v>
      </c>
      <c r="EY87" s="110">
        <f t="shared" si="573"/>
        <v>0</v>
      </c>
      <c r="EZ87" s="110">
        <f t="shared" si="574"/>
        <v>0</v>
      </c>
      <c r="FA87" s="113">
        <f t="shared" si="523"/>
        <v>2.3961343030786092E-2</v>
      </c>
      <c r="FB87" s="110">
        <f t="shared" si="524"/>
        <v>0</v>
      </c>
      <c r="FC87" s="115">
        <f t="shared" si="525"/>
        <v>0</v>
      </c>
      <c r="FD87" s="110">
        <f t="shared" si="526"/>
        <v>0</v>
      </c>
      <c r="FE87" s="52">
        <f>Summ.!$A97</f>
        <v>51120</v>
      </c>
      <c r="FF87" s="108" t="str">
        <f>Summ.!$B97</f>
        <v>Elevator Repair</v>
      </c>
      <c r="FG87" s="110">
        <f t="shared" si="575"/>
        <v>0</v>
      </c>
      <c r="FH87" s="110">
        <f t="shared" si="576"/>
        <v>0</v>
      </c>
      <c r="FI87" s="110">
        <f t="shared" si="577"/>
        <v>0</v>
      </c>
      <c r="FJ87" s="113">
        <f t="shared" si="527"/>
        <v>9.2258643020822956E-2</v>
      </c>
      <c r="FK87" s="110">
        <f t="shared" si="528"/>
        <v>0</v>
      </c>
      <c r="FL87" s="115">
        <f t="shared" si="529"/>
        <v>0</v>
      </c>
      <c r="FM87" s="110">
        <f t="shared" si="530"/>
        <v>0</v>
      </c>
    </row>
    <row r="88" spans="1:169">
      <c r="A88" s="52">
        <f>Summ.!A98</f>
        <v>52020</v>
      </c>
      <c r="B88" s="45" t="str">
        <f>Summ.!B98</f>
        <v>Backflow Maintenance</v>
      </c>
      <c r="C88" s="45"/>
      <c r="D88" s="45"/>
      <c r="E88" s="45"/>
      <c r="F88" s="106">
        <f>+Summ.!O98</f>
        <v>1030</v>
      </c>
      <c r="G88" s="71">
        <f>Rent!$B$42</f>
        <v>40148</v>
      </c>
      <c r="H88" s="52">
        <f>Summ.!$A98</f>
        <v>52020</v>
      </c>
      <c r="I88" s="108" t="str">
        <f>Summ.!$B98</f>
        <v>Backflow Maintenance</v>
      </c>
      <c r="J88" s="110">
        <f t="shared" si="531"/>
        <v>1030</v>
      </c>
      <c r="K88" s="110">
        <v>0</v>
      </c>
      <c r="L88" s="110">
        <f t="shared" si="532"/>
        <v>1030</v>
      </c>
      <c r="M88" s="113">
        <f t="shared" si="458"/>
        <v>9.6468068147852942E-2</v>
      </c>
      <c r="N88" s="110">
        <f t="shared" si="459"/>
        <v>99.362110192288526</v>
      </c>
      <c r="O88" s="115">
        <f t="shared" si="460"/>
        <v>0</v>
      </c>
      <c r="P88" s="110">
        <f t="shared" si="461"/>
        <v>99.362110192288526</v>
      </c>
      <c r="Q88" s="52">
        <f>Summ.!$A98</f>
        <v>52020</v>
      </c>
      <c r="R88" s="108" t="str">
        <f>Summ.!$B98</f>
        <v>Backflow Maintenance</v>
      </c>
      <c r="S88" s="110">
        <f t="shared" si="533"/>
        <v>1030</v>
      </c>
      <c r="T88" s="110">
        <f t="shared" si="534"/>
        <v>0</v>
      </c>
      <c r="U88" s="110">
        <f t="shared" si="535"/>
        <v>1030</v>
      </c>
      <c r="V88" s="113">
        <f t="shared" si="462"/>
        <v>2.6751021221480521E-2</v>
      </c>
      <c r="W88" s="110">
        <f t="shared" si="463"/>
        <v>27.553551858124937</v>
      </c>
      <c r="X88" s="115">
        <f t="shared" si="464"/>
        <v>0</v>
      </c>
      <c r="Y88" s="110">
        <f t="shared" si="465"/>
        <v>27.553551858124937</v>
      </c>
      <c r="Z88" s="52">
        <f>Summ.!$A98</f>
        <v>52020</v>
      </c>
      <c r="AA88" s="108" t="str">
        <f>Summ.!$B98</f>
        <v>Backflow Maintenance</v>
      </c>
      <c r="AB88" s="110">
        <f t="shared" si="536"/>
        <v>1030</v>
      </c>
      <c r="AC88" s="110">
        <v>0</v>
      </c>
      <c r="AD88" s="110">
        <f t="shared" si="537"/>
        <v>1030</v>
      </c>
      <c r="AE88" s="113">
        <f t="shared" si="466"/>
        <v>4.9815681976686258E-3</v>
      </c>
      <c r="AF88" s="110">
        <f t="shared" si="467"/>
        <v>5.1310152435986849</v>
      </c>
      <c r="AG88" s="115">
        <f t="shared" si="468"/>
        <v>0</v>
      </c>
      <c r="AH88" s="110">
        <f t="shared" si="469"/>
        <v>5.1310152435986849</v>
      </c>
      <c r="AI88" s="52">
        <f>Summ.!$A98</f>
        <v>52020</v>
      </c>
      <c r="AJ88" s="108" t="str">
        <f>Summ.!$B98</f>
        <v>Backflow Maintenance</v>
      </c>
      <c r="AK88" s="110">
        <f t="shared" si="538"/>
        <v>1030</v>
      </c>
      <c r="AL88" s="110">
        <f t="shared" si="539"/>
        <v>0</v>
      </c>
      <c r="AM88" s="110">
        <f t="shared" si="540"/>
        <v>1030</v>
      </c>
      <c r="AN88" s="113">
        <f t="shared" si="470"/>
        <v>1.2902261631961742E-2</v>
      </c>
      <c r="AO88" s="110">
        <f t="shared" si="471"/>
        <v>13.289329480920594</v>
      </c>
      <c r="AP88" s="115">
        <f t="shared" si="472"/>
        <v>0</v>
      </c>
      <c r="AQ88" s="110">
        <f t="shared" si="473"/>
        <v>13.289329480920594</v>
      </c>
      <c r="AR88" s="52">
        <f>Summ.!$A98</f>
        <v>52020</v>
      </c>
      <c r="AS88" s="108" t="str">
        <f>Summ.!$B98</f>
        <v>Backflow Maintenance</v>
      </c>
      <c r="AT88" s="110">
        <f t="shared" si="541"/>
        <v>1030</v>
      </c>
      <c r="AU88" s="110">
        <f t="shared" si="542"/>
        <v>0</v>
      </c>
      <c r="AV88" s="110">
        <f t="shared" si="543"/>
        <v>1030</v>
      </c>
      <c r="AW88" s="113">
        <f t="shared" si="474"/>
        <v>1.3076616518880143E-2</v>
      </c>
      <c r="AX88" s="110">
        <f t="shared" si="475"/>
        <v>13.468915014446548</v>
      </c>
      <c r="AY88" s="115">
        <f t="shared" si="476"/>
        <v>0</v>
      </c>
      <c r="AZ88" s="110">
        <f t="shared" si="477"/>
        <v>13.468915014446548</v>
      </c>
      <c r="BA88" s="52">
        <f>Summ.!$A98</f>
        <v>52020</v>
      </c>
      <c r="BB88" s="108" t="str">
        <f>Summ.!$B98</f>
        <v>Backflow Maintenance</v>
      </c>
      <c r="BC88" s="110">
        <f t="shared" si="544"/>
        <v>1030</v>
      </c>
      <c r="BD88" s="110">
        <f t="shared" si="545"/>
        <v>0</v>
      </c>
      <c r="BE88" s="110">
        <f t="shared" si="546"/>
        <v>1030</v>
      </c>
      <c r="BF88" s="113" t="e">
        <f t="shared" si="478"/>
        <v>#REF!</v>
      </c>
      <c r="BG88" s="110" t="e">
        <f t="shared" si="479"/>
        <v>#REF!</v>
      </c>
      <c r="BH88" s="115" t="e">
        <f t="shared" si="480"/>
        <v>#REF!</v>
      </c>
      <c r="BI88" s="110" t="e">
        <f t="shared" si="481"/>
        <v>#REF!</v>
      </c>
      <c r="BJ88" s="52">
        <f>Summ.!$A98</f>
        <v>52020</v>
      </c>
      <c r="BK88" s="108" t="str">
        <f>Summ.!$B98</f>
        <v>Backflow Maintenance</v>
      </c>
      <c r="BL88" s="110">
        <f t="shared" si="547"/>
        <v>1030</v>
      </c>
      <c r="BM88" s="110">
        <f t="shared" si="482"/>
        <v>0</v>
      </c>
      <c r="BN88" s="110">
        <f t="shared" si="548"/>
        <v>1030</v>
      </c>
      <c r="BO88" s="113">
        <f t="shared" si="483"/>
        <v>2.4758393942413071E-2</v>
      </c>
      <c r="BP88" s="110">
        <f t="shared" si="484"/>
        <v>25.501145760685464</v>
      </c>
      <c r="BQ88" s="115">
        <f t="shared" si="485"/>
        <v>0</v>
      </c>
      <c r="BR88" s="110">
        <f t="shared" si="486"/>
        <v>25.501145760685464</v>
      </c>
      <c r="BS88" s="52">
        <f>Summ.!$A98</f>
        <v>52020</v>
      </c>
      <c r="BT88" s="108" t="str">
        <f>Summ.!$B98</f>
        <v>Backflow Maintenance</v>
      </c>
      <c r="BU88" s="110">
        <f t="shared" si="549"/>
        <v>1030</v>
      </c>
      <c r="BV88" s="110">
        <f t="shared" si="550"/>
        <v>0</v>
      </c>
      <c r="BW88" s="110">
        <f t="shared" si="551"/>
        <v>1030</v>
      </c>
      <c r="BX88" s="113">
        <f t="shared" si="487"/>
        <v>2.5978878150841885E-2</v>
      </c>
      <c r="BY88" s="110">
        <f t="shared" si="488"/>
        <v>26.758244495367141</v>
      </c>
      <c r="BZ88" s="115">
        <f t="shared" si="489"/>
        <v>0</v>
      </c>
      <c r="CA88" s="110">
        <f t="shared" si="490"/>
        <v>26.758244495367141</v>
      </c>
      <c r="CB88" s="52">
        <f>Summ.!$A98</f>
        <v>52020</v>
      </c>
      <c r="CC88" s="108" t="str">
        <f>Summ.!$B98</f>
        <v>Backflow Maintenance</v>
      </c>
      <c r="CD88" s="110">
        <f t="shared" si="552"/>
        <v>1030</v>
      </c>
      <c r="CE88" s="110">
        <v>0</v>
      </c>
      <c r="CF88" s="110">
        <f t="shared" si="553"/>
        <v>1030</v>
      </c>
      <c r="CG88" s="113">
        <f t="shared" si="491"/>
        <v>8.7825047324897876E-2</v>
      </c>
      <c r="CH88" s="110">
        <f t="shared" si="492"/>
        <v>90.459798744644814</v>
      </c>
      <c r="CI88" s="115">
        <f t="shared" si="493"/>
        <v>0</v>
      </c>
      <c r="CJ88" s="110">
        <f t="shared" si="494"/>
        <v>90.459798744644814</v>
      </c>
      <c r="CK88" s="52">
        <f>Summ.!$A98</f>
        <v>52020</v>
      </c>
      <c r="CL88" s="108" t="str">
        <f>Summ.!$B98</f>
        <v>Backflow Maintenance</v>
      </c>
      <c r="CM88" s="110">
        <f t="shared" si="554"/>
        <v>1030</v>
      </c>
      <c r="CN88" s="110">
        <f t="shared" si="555"/>
        <v>0</v>
      </c>
      <c r="CO88" s="110">
        <f t="shared" si="556"/>
        <v>1030</v>
      </c>
      <c r="CP88" s="113">
        <f t="shared" si="495"/>
        <v>0.26741058085085184</v>
      </c>
      <c r="CQ88" s="110">
        <f t="shared" si="496"/>
        <v>275.43289827637739</v>
      </c>
      <c r="CR88" s="115">
        <f t="shared" si="497"/>
        <v>0</v>
      </c>
      <c r="CS88" s="110">
        <f t="shared" si="498"/>
        <v>275.43289827637739</v>
      </c>
      <c r="CT88" s="52">
        <f>Summ.!$A98</f>
        <v>52020</v>
      </c>
      <c r="CU88" s="108" t="str">
        <f>Summ.!$B98</f>
        <v>Backflow Maintenance</v>
      </c>
      <c r="CV88" s="110">
        <f t="shared" si="557"/>
        <v>1030</v>
      </c>
      <c r="CW88" s="110">
        <v>0</v>
      </c>
      <c r="CX88" s="110">
        <f t="shared" si="558"/>
        <v>1030</v>
      </c>
      <c r="CY88" s="113">
        <f t="shared" si="499"/>
        <v>7.472352296502939E-2</v>
      </c>
      <c r="CZ88" s="110">
        <f t="shared" si="500"/>
        <v>76.965228653980276</v>
      </c>
      <c r="DA88" s="115">
        <f t="shared" si="501"/>
        <v>0</v>
      </c>
      <c r="DB88" s="110">
        <f t="shared" si="502"/>
        <v>76.965228653980276</v>
      </c>
      <c r="DC88" s="52">
        <f>Summ.!$A98</f>
        <v>52020</v>
      </c>
      <c r="DD88" s="108" t="str">
        <f>Summ.!$B98</f>
        <v>Backflow Maintenance</v>
      </c>
      <c r="DE88" s="110">
        <f t="shared" si="559"/>
        <v>1030</v>
      </c>
      <c r="DF88" s="110">
        <v>0</v>
      </c>
      <c r="DG88" s="110">
        <f t="shared" si="560"/>
        <v>1030</v>
      </c>
      <c r="DH88" s="113">
        <f t="shared" si="503"/>
        <v>1.2453920494171565E-2</v>
      </c>
      <c r="DI88" s="110">
        <f t="shared" si="504"/>
        <v>12.827538108996713</v>
      </c>
      <c r="DJ88" s="115">
        <f t="shared" si="505"/>
        <v>0</v>
      </c>
      <c r="DK88" s="110">
        <f t="shared" si="506"/>
        <v>12.827538108996713</v>
      </c>
      <c r="DL88" s="52">
        <f>Summ.!$A98</f>
        <v>52020</v>
      </c>
      <c r="DM88" s="108" t="str">
        <f>Summ.!$B98</f>
        <v>Backflow Maintenance</v>
      </c>
      <c r="DN88" s="110">
        <f t="shared" si="561"/>
        <v>1030</v>
      </c>
      <c r="DO88" s="110">
        <f t="shared" si="562"/>
        <v>-1030</v>
      </c>
      <c r="DP88" s="110">
        <f t="shared" si="563"/>
        <v>0</v>
      </c>
      <c r="DQ88" s="113">
        <f t="shared" si="507"/>
        <v>7.2133107502241708E-2</v>
      </c>
      <c r="DR88" s="110">
        <f t="shared" si="508"/>
        <v>0</v>
      </c>
      <c r="DS88" s="115">
        <f t="shared" si="509"/>
        <v>0</v>
      </c>
      <c r="DT88" s="110">
        <f t="shared" si="510"/>
        <v>0</v>
      </c>
      <c r="DU88" s="52">
        <f>Summ.!$A98</f>
        <v>52020</v>
      </c>
      <c r="DV88" s="108" t="str">
        <f>Summ.!$B98</f>
        <v>Backflow Maintenance</v>
      </c>
      <c r="DW88" s="110">
        <f t="shared" si="564"/>
        <v>1030</v>
      </c>
      <c r="DX88" s="110">
        <f t="shared" si="565"/>
        <v>-1030</v>
      </c>
      <c r="DY88" s="110">
        <f t="shared" si="566"/>
        <v>0</v>
      </c>
      <c r="DZ88" s="113">
        <f t="shared" si="511"/>
        <v>0.19961143768058184</v>
      </c>
      <c r="EA88" s="110">
        <f t="shared" si="512"/>
        <v>0</v>
      </c>
      <c r="EB88" s="115">
        <f t="shared" si="513"/>
        <v>0</v>
      </c>
      <c r="EC88" s="110">
        <f t="shared" si="514"/>
        <v>0</v>
      </c>
      <c r="ED88" s="52">
        <f>Summ.!$A98</f>
        <v>52020</v>
      </c>
      <c r="EE88" s="108" t="str">
        <f>Summ.!$B98</f>
        <v>Backflow Maintenance</v>
      </c>
      <c r="EF88" s="110">
        <f t="shared" si="567"/>
        <v>1030</v>
      </c>
      <c r="EG88" s="110">
        <f t="shared" si="568"/>
        <v>-1030</v>
      </c>
      <c r="EH88" s="110">
        <f t="shared" si="569"/>
        <v>0</v>
      </c>
      <c r="EI88" s="113">
        <f t="shared" si="515"/>
        <v>0.16190096642423035</v>
      </c>
      <c r="EJ88" s="110">
        <f t="shared" si="516"/>
        <v>0</v>
      </c>
      <c r="EK88" s="115">
        <f t="shared" si="517"/>
        <v>0</v>
      </c>
      <c r="EL88" s="110">
        <f t="shared" si="518"/>
        <v>0</v>
      </c>
      <c r="EM88" s="52">
        <f>Summ.!$A98</f>
        <v>52020</v>
      </c>
      <c r="EN88" s="108" t="str">
        <f>Summ.!$B98</f>
        <v>Backflow Maintenance</v>
      </c>
      <c r="EO88" s="110">
        <f t="shared" si="570"/>
        <v>1030</v>
      </c>
      <c r="EP88" s="110">
        <v>0</v>
      </c>
      <c r="EQ88" s="110">
        <f t="shared" si="571"/>
        <v>1030</v>
      </c>
      <c r="ER88" s="113">
        <f t="shared" si="519"/>
        <v>4.9641327089767859E-2</v>
      </c>
      <c r="ES88" s="110">
        <f t="shared" si="520"/>
        <v>51.130566902460892</v>
      </c>
      <c r="ET88" s="115">
        <f t="shared" si="521"/>
        <v>0</v>
      </c>
      <c r="EU88" s="110">
        <f t="shared" si="522"/>
        <v>51.130566902460892</v>
      </c>
      <c r="EV88" s="52">
        <f>Summ.!$A98</f>
        <v>52020</v>
      </c>
      <c r="EW88" s="108" t="str">
        <f>Summ.!$B98</f>
        <v>Backflow Maintenance</v>
      </c>
      <c r="EX88" s="110">
        <f t="shared" si="572"/>
        <v>1030</v>
      </c>
      <c r="EY88" s="110">
        <f t="shared" si="573"/>
        <v>0</v>
      </c>
      <c r="EZ88" s="110">
        <f t="shared" si="574"/>
        <v>1030</v>
      </c>
      <c r="FA88" s="113">
        <f t="shared" si="523"/>
        <v>2.3961343030786092E-2</v>
      </c>
      <c r="FB88" s="110">
        <f t="shared" si="524"/>
        <v>24.680183321709674</v>
      </c>
      <c r="FC88" s="115">
        <f t="shared" si="525"/>
        <v>0</v>
      </c>
      <c r="FD88" s="110">
        <f t="shared" si="526"/>
        <v>24.680183321709674</v>
      </c>
      <c r="FE88" s="52">
        <f>Summ.!$A98</f>
        <v>52020</v>
      </c>
      <c r="FF88" s="108" t="str">
        <f>Summ.!$B98</f>
        <v>Backflow Maintenance</v>
      </c>
      <c r="FG88" s="110">
        <f t="shared" si="575"/>
        <v>1030</v>
      </c>
      <c r="FH88" s="110">
        <f t="shared" si="576"/>
        <v>0</v>
      </c>
      <c r="FI88" s="110">
        <f t="shared" si="577"/>
        <v>1030</v>
      </c>
      <c r="FJ88" s="113">
        <f t="shared" si="527"/>
        <v>9.2258643020822956E-2</v>
      </c>
      <c r="FK88" s="110">
        <f t="shared" si="528"/>
        <v>95.02640231144764</v>
      </c>
      <c r="FL88" s="115">
        <f t="shared" si="529"/>
        <v>0</v>
      </c>
      <c r="FM88" s="110">
        <f t="shared" si="530"/>
        <v>95.02640231144764</v>
      </c>
    </row>
    <row r="89" spans="1:169">
      <c r="A89" s="52">
        <f>Summ.!A99</f>
        <v>0</v>
      </c>
      <c r="B89" s="45" t="str">
        <f>Summ.!B99</f>
        <v>Backflow Repairs</v>
      </c>
      <c r="C89" s="45"/>
      <c r="D89" s="45"/>
      <c r="E89" s="45"/>
      <c r="F89" s="106">
        <f>+Summ.!O99</f>
        <v>500</v>
      </c>
      <c r="G89" s="71">
        <f>Rent!$B$42</f>
        <v>40148</v>
      </c>
      <c r="H89" s="52">
        <f>Summ.!$A99</f>
        <v>0</v>
      </c>
      <c r="I89" s="108" t="str">
        <f>Summ.!$B99</f>
        <v>Backflow Repairs</v>
      </c>
      <c r="J89" s="110">
        <f t="shared" si="531"/>
        <v>500</v>
      </c>
      <c r="K89" s="110">
        <v>0</v>
      </c>
      <c r="L89" s="110">
        <f t="shared" ref="L89" si="603">J89+K89</f>
        <v>500</v>
      </c>
      <c r="M89" s="113">
        <f t="shared" si="458"/>
        <v>9.6468068147852942E-2</v>
      </c>
      <c r="N89" s="110">
        <f t="shared" si="459"/>
        <v>48.234034073926473</v>
      </c>
      <c r="O89" s="115">
        <f t="shared" si="460"/>
        <v>0</v>
      </c>
      <c r="P89" s="110">
        <f t="shared" si="461"/>
        <v>48.234034073926473</v>
      </c>
      <c r="Q89" s="52">
        <f>Summ.!$A99</f>
        <v>0</v>
      </c>
      <c r="R89" s="108" t="str">
        <f>Summ.!$B99</f>
        <v>Backflow Repairs</v>
      </c>
      <c r="S89" s="110">
        <f t="shared" si="533"/>
        <v>500</v>
      </c>
      <c r="T89" s="110">
        <f t="shared" ref="T89" si="604">+K89</f>
        <v>0</v>
      </c>
      <c r="U89" s="110">
        <f t="shared" ref="U89" si="605">S89+T89</f>
        <v>500</v>
      </c>
      <c r="V89" s="113">
        <f t="shared" si="462"/>
        <v>2.6751021221480521E-2</v>
      </c>
      <c r="W89" s="110">
        <f t="shared" si="463"/>
        <v>13.37551061074026</v>
      </c>
      <c r="X89" s="115">
        <f t="shared" si="464"/>
        <v>0</v>
      </c>
      <c r="Y89" s="110">
        <f t="shared" si="465"/>
        <v>13.37551061074026</v>
      </c>
      <c r="Z89" s="52">
        <f>Summ.!$A99</f>
        <v>0</v>
      </c>
      <c r="AA89" s="108" t="str">
        <f>Summ.!$B99</f>
        <v>Backflow Repairs</v>
      </c>
      <c r="AB89" s="110">
        <f t="shared" si="536"/>
        <v>500</v>
      </c>
      <c r="AC89" s="110"/>
      <c r="AD89" s="110">
        <f t="shared" ref="AD89" si="606">AB89+AC89</f>
        <v>500</v>
      </c>
      <c r="AE89" s="113">
        <f t="shared" si="466"/>
        <v>4.9815681976686258E-3</v>
      </c>
      <c r="AF89" s="110">
        <f t="shared" si="467"/>
        <v>2.4907840988343128</v>
      </c>
      <c r="AG89" s="115">
        <f t="shared" si="468"/>
        <v>0</v>
      </c>
      <c r="AH89" s="110">
        <f t="shared" si="469"/>
        <v>2.4907840988343128</v>
      </c>
      <c r="AI89" s="52">
        <f>Summ.!$A99</f>
        <v>0</v>
      </c>
      <c r="AJ89" s="108" t="str">
        <f>Summ.!$B99</f>
        <v>Backflow Repairs</v>
      </c>
      <c r="AK89" s="110">
        <f t="shared" si="538"/>
        <v>500</v>
      </c>
      <c r="AL89" s="110">
        <f t="shared" ref="AL89" si="607">+AC89</f>
        <v>0</v>
      </c>
      <c r="AM89" s="110">
        <f t="shared" ref="AM89" si="608">AK89+AL89</f>
        <v>500</v>
      </c>
      <c r="AN89" s="113">
        <f t="shared" si="470"/>
        <v>1.2902261631961742E-2</v>
      </c>
      <c r="AO89" s="110">
        <f t="shared" si="471"/>
        <v>6.4511308159808705</v>
      </c>
      <c r="AP89" s="115">
        <f t="shared" si="472"/>
        <v>0</v>
      </c>
      <c r="AQ89" s="110">
        <f t="shared" si="473"/>
        <v>6.4511308159808705</v>
      </c>
      <c r="AR89" s="52">
        <f>Summ.!$A99</f>
        <v>0</v>
      </c>
      <c r="AS89" s="108" t="str">
        <f>Summ.!$B99</f>
        <v>Backflow Repairs</v>
      </c>
      <c r="AT89" s="110">
        <f t="shared" si="541"/>
        <v>500</v>
      </c>
      <c r="AU89" s="110">
        <f t="shared" ref="AU89" si="609">+AL89</f>
        <v>0</v>
      </c>
      <c r="AV89" s="110">
        <f t="shared" ref="AV89" si="610">AT89+AU89</f>
        <v>500</v>
      </c>
      <c r="AW89" s="113">
        <f t="shared" si="474"/>
        <v>1.3076616518880143E-2</v>
      </c>
      <c r="AX89" s="110">
        <f t="shared" si="475"/>
        <v>6.5383082594400719</v>
      </c>
      <c r="AY89" s="115">
        <f t="shared" si="476"/>
        <v>0</v>
      </c>
      <c r="AZ89" s="110">
        <f t="shared" si="477"/>
        <v>6.5383082594400719</v>
      </c>
      <c r="BA89" s="52">
        <f>Summ.!$A99</f>
        <v>0</v>
      </c>
      <c r="BB89" s="108" t="str">
        <f>Summ.!$B99</f>
        <v>Backflow Repairs</v>
      </c>
      <c r="BC89" s="110">
        <f t="shared" si="544"/>
        <v>500</v>
      </c>
      <c r="BD89" s="110">
        <f t="shared" ref="BD89" si="611">+AU89</f>
        <v>0</v>
      </c>
      <c r="BE89" s="110">
        <f t="shared" ref="BE89" si="612">BC89+BD89</f>
        <v>500</v>
      </c>
      <c r="BF89" s="113" t="e">
        <f t="shared" si="478"/>
        <v>#REF!</v>
      </c>
      <c r="BG89" s="110" t="e">
        <f t="shared" si="479"/>
        <v>#REF!</v>
      </c>
      <c r="BH89" s="115" t="e">
        <f t="shared" si="480"/>
        <v>#REF!</v>
      </c>
      <c r="BI89" s="110" t="e">
        <f t="shared" si="481"/>
        <v>#REF!</v>
      </c>
      <c r="BJ89" s="52">
        <f>Summ.!$A99</f>
        <v>0</v>
      </c>
      <c r="BK89" s="108" t="str">
        <f>Summ.!$B99</f>
        <v>Backflow Repairs</v>
      </c>
      <c r="BL89" s="110">
        <f t="shared" si="547"/>
        <v>500</v>
      </c>
      <c r="BM89" s="110">
        <f t="shared" si="482"/>
        <v>0</v>
      </c>
      <c r="BN89" s="110">
        <f t="shared" ref="BN89" si="613">BL89+BM89</f>
        <v>500</v>
      </c>
      <c r="BO89" s="113">
        <f t="shared" si="483"/>
        <v>2.4758393942413071E-2</v>
      </c>
      <c r="BP89" s="110">
        <f t="shared" si="484"/>
        <v>12.379196971206536</v>
      </c>
      <c r="BQ89" s="115">
        <f t="shared" si="485"/>
        <v>0</v>
      </c>
      <c r="BR89" s="110">
        <f t="shared" si="486"/>
        <v>12.379196971206536</v>
      </c>
      <c r="BS89" s="52">
        <f>Summ.!$A99</f>
        <v>0</v>
      </c>
      <c r="BT89" s="108" t="str">
        <f>Summ.!$B99</f>
        <v>Backflow Repairs</v>
      </c>
      <c r="BU89" s="110">
        <f t="shared" si="549"/>
        <v>500</v>
      </c>
      <c r="BV89" s="110">
        <f t="shared" ref="BV89" si="614">+BM89</f>
        <v>0</v>
      </c>
      <c r="BW89" s="110">
        <f t="shared" ref="BW89" si="615">BU89+BV89</f>
        <v>500</v>
      </c>
      <c r="BX89" s="113">
        <f t="shared" si="487"/>
        <v>2.5978878150841885E-2</v>
      </c>
      <c r="BY89" s="110">
        <f t="shared" si="488"/>
        <v>12.989439075420941</v>
      </c>
      <c r="BZ89" s="115">
        <f t="shared" si="489"/>
        <v>0</v>
      </c>
      <c r="CA89" s="110">
        <f t="shared" si="490"/>
        <v>12.989439075420941</v>
      </c>
      <c r="CB89" s="52">
        <f>Summ.!$A99</f>
        <v>0</v>
      </c>
      <c r="CC89" s="108" t="str">
        <f>Summ.!$B99</f>
        <v>Backflow Repairs</v>
      </c>
      <c r="CD89" s="110">
        <f t="shared" si="552"/>
        <v>500</v>
      </c>
      <c r="CE89" s="110">
        <v>1</v>
      </c>
      <c r="CF89" s="110">
        <f t="shared" ref="CF89" si="616">CD89+CE89</f>
        <v>501</v>
      </c>
      <c r="CG89" s="113">
        <f t="shared" si="491"/>
        <v>8.7825047324897876E-2</v>
      </c>
      <c r="CH89" s="110">
        <f t="shared" si="492"/>
        <v>44.000348709773839</v>
      </c>
      <c r="CI89" s="115">
        <f t="shared" si="493"/>
        <v>0</v>
      </c>
      <c r="CJ89" s="110">
        <f t="shared" si="494"/>
        <v>44.000348709773839</v>
      </c>
      <c r="CK89" s="52">
        <f>Summ.!$A99</f>
        <v>0</v>
      </c>
      <c r="CL89" s="108" t="str">
        <f>Summ.!$B99</f>
        <v>Backflow Repairs</v>
      </c>
      <c r="CM89" s="110">
        <f t="shared" si="554"/>
        <v>500</v>
      </c>
      <c r="CN89" s="110">
        <f t="shared" ref="CN89" si="617">+CE89</f>
        <v>1</v>
      </c>
      <c r="CO89" s="110">
        <f t="shared" ref="CO89" si="618">CM89+CN89</f>
        <v>501</v>
      </c>
      <c r="CP89" s="113">
        <f t="shared" si="495"/>
        <v>0.26741058085085184</v>
      </c>
      <c r="CQ89" s="110">
        <f t="shared" si="496"/>
        <v>133.97270100627676</v>
      </c>
      <c r="CR89" s="115">
        <f t="shared" si="497"/>
        <v>0</v>
      </c>
      <c r="CS89" s="110">
        <f t="shared" si="498"/>
        <v>133.97270100627676</v>
      </c>
      <c r="CT89" s="52">
        <f>Summ.!$A99</f>
        <v>0</v>
      </c>
      <c r="CU89" s="108" t="str">
        <f>Summ.!$B99</f>
        <v>Backflow Repairs</v>
      </c>
      <c r="CV89" s="110">
        <f t="shared" si="557"/>
        <v>500</v>
      </c>
      <c r="CW89" s="110">
        <v>1</v>
      </c>
      <c r="CX89" s="110">
        <f t="shared" ref="CX89" si="619">CV89+CW89</f>
        <v>501</v>
      </c>
      <c r="CY89" s="113">
        <f t="shared" si="499"/>
        <v>7.472352296502939E-2</v>
      </c>
      <c r="CZ89" s="110">
        <f t="shared" si="500"/>
        <v>37.436485005479724</v>
      </c>
      <c r="DA89" s="115">
        <f t="shared" si="501"/>
        <v>0</v>
      </c>
      <c r="DB89" s="110">
        <f t="shared" si="502"/>
        <v>37.436485005479724</v>
      </c>
      <c r="DC89" s="52">
        <f>Summ.!$A99</f>
        <v>0</v>
      </c>
      <c r="DD89" s="108" t="str">
        <f>Summ.!$B99</f>
        <v>Backflow Repairs</v>
      </c>
      <c r="DE89" s="110">
        <f t="shared" si="559"/>
        <v>500</v>
      </c>
      <c r="DF89" s="110">
        <v>1</v>
      </c>
      <c r="DG89" s="110">
        <f t="shared" ref="DG89" si="620">DE89+DF89</f>
        <v>501</v>
      </c>
      <c r="DH89" s="113">
        <f t="shared" si="503"/>
        <v>1.2453920494171565E-2</v>
      </c>
      <c r="DI89" s="110">
        <f t="shared" si="504"/>
        <v>6.2394141675799544</v>
      </c>
      <c r="DJ89" s="115">
        <f t="shared" si="505"/>
        <v>0</v>
      </c>
      <c r="DK89" s="110">
        <f t="shared" si="506"/>
        <v>6.2394141675799544</v>
      </c>
      <c r="DL89" s="52">
        <f>Summ.!$A99</f>
        <v>0</v>
      </c>
      <c r="DM89" s="108" t="str">
        <f>Summ.!$B99</f>
        <v>Backflow Repairs</v>
      </c>
      <c r="DN89" s="110">
        <f t="shared" si="561"/>
        <v>500</v>
      </c>
      <c r="DO89" s="110">
        <f t="shared" ref="DO89:DO93" si="621">-DN89</f>
        <v>-500</v>
      </c>
      <c r="DP89" s="110">
        <f t="shared" ref="DP89" si="622">DN89+DO89</f>
        <v>0</v>
      </c>
      <c r="DQ89" s="113">
        <f t="shared" si="507"/>
        <v>7.2133107502241708E-2</v>
      </c>
      <c r="DR89" s="110">
        <f t="shared" si="508"/>
        <v>0</v>
      </c>
      <c r="DS89" s="115">
        <f t="shared" si="509"/>
        <v>0</v>
      </c>
      <c r="DT89" s="110">
        <f t="shared" si="510"/>
        <v>0</v>
      </c>
      <c r="DU89" s="52">
        <f>Summ.!$A99</f>
        <v>0</v>
      </c>
      <c r="DV89" s="108" t="str">
        <f>Summ.!$B99</f>
        <v>Backflow Repairs</v>
      </c>
      <c r="DW89" s="110">
        <f t="shared" si="564"/>
        <v>500</v>
      </c>
      <c r="DX89" s="110">
        <f t="shared" ref="DX89" si="623">+DO89</f>
        <v>-500</v>
      </c>
      <c r="DY89" s="110">
        <f t="shared" ref="DY89" si="624">DW89+DX89</f>
        <v>0</v>
      </c>
      <c r="DZ89" s="113">
        <f t="shared" si="511"/>
        <v>0.19961143768058184</v>
      </c>
      <c r="EA89" s="110">
        <f t="shared" si="512"/>
        <v>0</v>
      </c>
      <c r="EB89" s="115">
        <f t="shared" si="513"/>
        <v>0</v>
      </c>
      <c r="EC89" s="110">
        <f t="shared" si="514"/>
        <v>0</v>
      </c>
      <c r="ED89" s="52">
        <f>Summ.!$A99</f>
        <v>0</v>
      </c>
      <c r="EE89" s="108" t="str">
        <f>Summ.!$B99</f>
        <v>Backflow Repairs</v>
      </c>
      <c r="EF89" s="110">
        <f t="shared" si="567"/>
        <v>500</v>
      </c>
      <c r="EG89" s="110">
        <f t="shared" ref="EG89" si="625">+DX89</f>
        <v>-500</v>
      </c>
      <c r="EH89" s="110">
        <f t="shared" ref="EH89" si="626">EF89+EG89</f>
        <v>0</v>
      </c>
      <c r="EI89" s="113">
        <f t="shared" si="515"/>
        <v>0.16190096642423035</v>
      </c>
      <c r="EJ89" s="110">
        <f t="shared" si="516"/>
        <v>0</v>
      </c>
      <c r="EK89" s="115">
        <f t="shared" si="517"/>
        <v>0</v>
      </c>
      <c r="EL89" s="110">
        <f t="shared" si="518"/>
        <v>0</v>
      </c>
      <c r="EM89" s="52">
        <f>Summ.!$A99</f>
        <v>0</v>
      </c>
      <c r="EN89" s="108" t="str">
        <f>Summ.!$B99</f>
        <v>Backflow Repairs</v>
      </c>
      <c r="EO89" s="110">
        <f t="shared" si="570"/>
        <v>500</v>
      </c>
      <c r="EP89" s="110">
        <v>1</v>
      </c>
      <c r="EQ89" s="110">
        <f t="shared" ref="EQ89" si="627">EO89+EP89</f>
        <v>501</v>
      </c>
      <c r="ER89" s="113">
        <f t="shared" si="519"/>
        <v>4.9641327089767859E-2</v>
      </c>
      <c r="ES89" s="110">
        <f t="shared" si="520"/>
        <v>24.870304871973698</v>
      </c>
      <c r="ET89" s="115">
        <f t="shared" si="521"/>
        <v>0</v>
      </c>
      <c r="EU89" s="110">
        <f t="shared" si="522"/>
        <v>24.870304871973698</v>
      </c>
      <c r="EV89" s="52">
        <f>Summ.!$A99</f>
        <v>0</v>
      </c>
      <c r="EW89" s="108" t="str">
        <f>Summ.!$B99</f>
        <v>Backflow Repairs</v>
      </c>
      <c r="EX89" s="110">
        <f t="shared" si="572"/>
        <v>500</v>
      </c>
      <c r="EY89" s="110">
        <f t="shared" ref="EY89" si="628">+EP89</f>
        <v>1</v>
      </c>
      <c r="EZ89" s="110">
        <f t="shared" ref="EZ89" si="629">EX89+EY89</f>
        <v>501</v>
      </c>
      <c r="FA89" s="113">
        <f t="shared" si="523"/>
        <v>2.3961343030786092E-2</v>
      </c>
      <c r="FB89" s="110">
        <f t="shared" si="524"/>
        <v>12.004632858423832</v>
      </c>
      <c r="FC89" s="115">
        <f t="shared" si="525"/>
        <v>0</v>
      </c>
      <c r="FD89" s="110">
        <f t="shared" si="526"/>
        <v>12.004632858423832</v>
      </c>
      <c r="FE89" s="52">
        <f>Summ.!$A99</f>
        <v>0</v>
      </c>
      <c r="FF89" s="108" t="str">
        <f>Summ.!$B99</f>
        <v>Backflow Repairs</v>
      </c>
      <c r="FG89" s="110">
        <f t="shared" si="575"/>
        <v>500</v>
      </c>
      <c r="FH89" s="110">
        <f t="shared" ref="FH89" si="630">+EY89</f>
        <v>1</v>
      </c>
      <c r="FI89" s="110">
        <f t="shared" ref="FI89" si="631">FG89+FH89</f>
        <v>501</v>
      </c>
      <c r="FJ89" s="113">
        <f t="shared" si="527"/>
        <v>9.2258643020822956E-2</v>
      </c>
      <c r="FK89" s="110">
        <f t="shared" si="528"/>
        <v>46.221580153432299</v>
      </c>
      <c r="FL89" s="115">
        <f t="shared" si="529"/>
        <v>0</v>
      </c>
      <c r="FM89" s="110">
        <f t="shared" si="530"/>
        <v>46.221580153432299</v>
      </c>
    </row>
    <row r="90" spans="1:169">
      <c r="A90" s="52">
        <f>Summ.!A100</f>
        <v>0</v>
      </c>
      <c r="B90" s="45" t="str">
        <f>Summ.!B100</f>
        <v>Building Paint</v>
      </c>
      <c r="C90" s="45"/>
      <c r="D90" s="45"/>
      <c r="E90" s="45"/>
      <c r="F90" s="106">
        <f>+Summ.!O100</f>
        <v>0</v>
      </c>
      <c r="G90" s="71">
        <f>Rent!$B$42</f>
        <v>40148</v>
      </c>
      <c r="H90" s="52">
        <f>Summ.!$A100</f>
        <v>0</v>
      </c>
      <c r="I90" s="108" t="str">
        <f>Summ.!$B100</f>
        <v>Building Paint</v>
      </c>
      <c r="J90" s="110">
        <f t="shared" si="531"/>
        <v>0</v>
      </c>
      <c r="K90" s="110">
        <v>0</v>
      </c>
      <c r="L90" s="110">
        <f t="shared" si="532"/>
        <v>0</v>
      </c>
      <c r="M90" s="113">
        <f t="shared" si="458"/>
        <v>9.6468068147852942E-2</v>
      </c>
      <c r="N90" s="110">
        <f t="shared" si="459"/>
        <v>0</v>
      </c>
      <c r="O90" s="115">
        <f t="shared" si="460"/>
        <v>0</v>
      </c>
      <c r="P90" s="110">
        <f t="shared" si="461"/>
        <v>0</v>
      </c>
      <c r="Q90" s="52">
        <f>Summ.!$A100</f>
        <v>0</v>
      </c>
      <c r="R90" s="108" t="str">
        <f>Summ.!$B100</f>
        <v>Building Paint</v>
      </c>
      <c r="S90" s="110">
        <f t="shared" si="533"/>
        <v>0</v>
      </c>
      <c r="T90" s="110">
        <f t="shared" si="534"/>
        <v>0</v>
      </c>
      <c r="U90" s="110">
        <f t="shared" si="535"/>
        <v>0</v>
      </c>
      <c r="V90" s="113">
        <f t="shared" si="462"/>
        <v>2.6751021221480521E-2</v>
      </c>
      <c r="W90" s="110">
        <f t="shared" si="463"/>
        <v>0</v>
      </c>
      <c r="X90" s="115">
        <f t="shared" si="464"/>
        <v>0</v>
      </c>
      <c r="Y90" s="110">
        <f t="shared" si="465"/>
        <v>0</v>
      </c>
      <c r="Z90" s="52">
        <f>Summ.!$A100</f>
        <v>0</v>
      </c>
      <c r="AA90" s="108" t="str">
        <f>Summ.!$B100</f>
        <v>Building Paint</v>
      </c>
      <c r="AB90" s="110">
        <f t="shared" si="536"/>
        <v>0</v>
      </c>
      <c r="AC90" s="110">
        <v>0</v>
      </c>
      <c r="AD90" s="110">
        <f t="shared" si="537"/>
        <v>0</v>
      </c>
      <c r="AE90" s="113">
        <f t="shared" si="466"/>
        <v>4.9815681976686258E-3</v>
      </c>
      <c r="AF90" s="110">
        <f t="shared" si="467"/>
        <v>0</v>
      </c>
      <c r="AG90" s="115">
        <f t="shared" si="468"/>
        <v>0</v>
      </c>
      <c r="AH90" s="110">
        <f t="shared" si="469"/>
        <v>0</v>
      </c>
      <c r="AI90" s="52">
        <f>Summ.!$A100</f>
        <v>0</v>
      </c>
      <c r="AJ90" s="108" t="str">
        <f>Summ.!$B100</f>
        <v>Building Paint</v>
      </c>
      <c r="AK90" s="110">
        <f t="shared" si="538"/>
        <v>0</v>
      </c>
      <c r="AL90" s="110">
        <f t="shared" si="539"/>
        <v>0</v>
      </c>
      <c r="AM90" s="110">
        <f t="shared" si="540"/>
        <v>0</v>
      </c>
      <c r="AN90" s="113">
        <f t="shared" si="470"/>
        <v>1.2902261631961742E-2</v>
      </c>
      <c r="AO90" s="110">
        <f t="shared" si="471"/>
        <v>0</v>
      </c>
      <c r="AP90" s="115">
        <f t="shared" si="472"/>
        <v>0</v>
      </c>
      <c r="AQ90" s="110">
        <f t="shared" si="473"/>
        <v>0</v>
      </c>
      <c r="AR90" s="52">
        <f>Summ.!$A100</f>
        <v>0</v>
      </c>
      <c r="AS90" s="108" t="str">
        <f>Summ.!$B100</f>
        <v>Building Paint</v>
      </c>
      <c r="AT90" s="110">
        <f t="shared" si="541"/>
        <v>0</v>
      </c>
      <c r="AU90" s="110">
        <f t="shared" si="542"/>
        <v>0</v>
      </c>
      <c r="AV90" s="110">
        <f t="shared" si="543"/>
        <v>0</v>
      </c>
      <c r="AW90" s="113">
        <f t="shared" si="474"/>
        <v>1.3076616518880143E-2</v>
      </c>
      <c r="AX90" s="110">
        <f t="shared" si="475"/>
        <v>0</v>
      </c>
      <c r="AY90" s="115">
        <f t="shared" si="476"/>
        <v>0</v>
      </c>
      <c r="AZ90" s="110">
        <f t="shared" si="477"/>
        <v>0</v>
      </c>
      <c r="BA90" s="52">
        <f>Summ.!$A100</f>
        <v>0</v>
      </c>
      <c r="BB90" s="108" t="str">
        <f>Summ.!$B100</f>
        <v>Building Paint</v>
      </c>
      <c r="BC90" s="110">
        <f t="shared" si="544"/>
        <v>0</v>
      </c>
      <c r="BD90" s="110">
        <f t="shared" si="545"/>
        <v>0</v>
      </c>
      <c r="BE90" s="110">
        <f t="shared" si="546"/>
        <v>0</v>
      </c>
      <c r="BF90" s="113" t="e">
        <f t="shared" si="478"/>
        <v>#REF!</v>
      </c>
      <c r="BG90" s="110" t="e">
        <f t="shared" si="479"/>
        <v>#REF!</v>
      </c>
      <c r="BH90" s="115" t="e">
        <f t="shared" si="480"/>
        <v>#REF!</v>
      </c>
      <c r="BI90" s="110" t="e">
        <f t="shared" si="481"/>
        <v>#REF!</v>
      </c>
      <c r="BJ90" s="52">
        <f>Summ.!$A100</f>
        <v>0</v>
      </c>
      <c r="BK90" s="108" t="str">
        <f>Summ.!$B100</f>
        <v>Building Paint</v>
      </c>
      <c r="BL90" s="110">
        <f t="shared" si="547"/>
        <v>0</v>
      </c>
      <c r="BM90" s="110">
        <f t="shared" si="482"/>
        <v>0</v>
      </c>
      <c r="BN90" s="110">
        <f t="shared" si="548"/>
        <v>0</v>
      </c>
      <c r="BO90" s="113">
        <f t="shared" si="483"/>
        <v>2.4758393942413071E-2</v>
      </c>
      <c r="BP90" s="110">
        <f t="shared" si="484"/>
        <v>0</v>
      </c>
      <c r="BQ90" s="115">
        <f t="shared" si="485"/>
        <v>0</v>
      </c>
      <c r="BR90" s="110">
        <f t="shared" si="486"/>
        <v>0</v>
      </c>
      <c r="BS90" s="52">
        <f>Summ.!$A100</f>
        <v>0</v>
      </c>
      <c r="BT90" s="108" t="str">
        <f>Summ.!$B100</f>
        <v>Building Paint</v>
      </c>
      <c r="BU90" s="110">
        <f t="shared" si="549"/>
        <v>0</v>
      </c>
      <c r="BV90" s="110">
        <f t="shared" si="550"/>
        <v>0</v>
      </c>
      <c r="BW90" s="110">
        <f t="shared" si="551"/>
        <v>0</v>
      </c>
      <c r="BX90" s="113">
        <f t="shared" si="487"/>
        <v>2.5978878150841885E-2</v>
      </c>
      <c r="BY90" s="110">
        <f t="shared" si="488"/>
        <v>0</v>
      </c>
      <c r="BZ90" s="115">
        <f t="shared" si="489"/>
        <v>0</v>
      </c>
      <c r="CA90" s="110">
        <f t="shared" si="490"/>
        <v>0</v>
      </c>
      <c r="CB90" s="52">
        <f>Summ.!$A100</f>
        <v>0</v>
      </c>
      <c r="CC90" s="108" t="str">
        <f>Summ.!$B100</f>
        <v>Building Paint</v>
      </c>
      <c r="CD90" s="110">
        <f t="shared" si="552"/>
        <v>0</v>
      </c>
      <c r="CE90" s="110">
        <v>0</v>
      </c>
      <c r="CF90" s="110">
        <f t="shared" si="553"/>
        <v>0</v>
      </c>
      <c r="CG90" s="113">
        <f t="shared" si="491"/>
        <v>8.7825047324897876E-2</v>
      </c>
      <c r="CH90" s="110">
        <f t="shared" si="492"/>
        <v>0</v>
      </c>
      <c r="CI90" s="115">
        <f t="shared" si="493"/>
        <v>0</v>
      </c>
      <c r="CJ90" s="110">
        <f t="shared" si="494"/>
        <v>0</v>
      </c>
      <c r="CK90" s="52">
        <f>Summ.!$A100</f>
        <v>0</v>
      </c>
      <c r="CL90" s="108" t="str">
        <f>Summ.!$B100</f>
        <v>Building Paint</v>
      </c>
      <c r="CM90" s="110">
        <f t="shared" si="554"/>
        <v>0</v>
      </c>
      <c r="CN90" s="110">
        <f t="shared" si="555"/>
        <v>0</v>
      </c>
      <c r="CO90" s="110">
        <f t="shared" si="556"/>
        <v>0</v>
      </c>
      <c r="CP90" s="113">
        <f t="shared" si="495"/>
        <v>0.26741058085085184</v>
      </c>
      <c r="CQ90" s="110">
        <f t="shared" si="496"/>
        <v>0</v>
      </c>
      <c r="CR90" s="115">
        <f t="shared" si="497"/>
        <v>0</v>
      </c>
      <c r="CS90" s="110">
        <f t="shared" si="498"/>
        <v>0</v>
      </c>
      <c r="CT90" s="52">
        <f>Summ.!$A100</f>
        <v>0</v>
      </c>
      <c r="CU90" s="108" t="str">
        <f>Summ.!$B100</f>
        <v>Building Paint</v>
      </c>
      <c r="CV90" s="110">
        <f t="shared" si="557"/>
        <v>0</v>
      </c>
      <c r="CW90" s="110">
        <v>0</v>
      </c>
      <c r="CX90" s="110">
        <f t="shared" si="558"/>
        <v>0</v>
      </c>
      <c r="CY90" s="113">
        <f t="shared" si="499"/>
        <v>7.472352296502939E-2</v>
      </c>
      <c r="CZ90" s="110">
        <f t="shared" si="500"/>
        <v>0</v>
      </c>
      <c r="DA90" s="115">
        <f t="shared" si="501"/>
        <v>0</v>
      </c>
      <c r="DB90" s="110">
        <f t="shared" si="502"/>
        <v>0</v>
      </c>
      <c r="DC90" s="52">
        <f>Summ.!$A100</f>
        <v>0</v>
      </c>
      <c r="DD90" s="108" t="str">
        <f>Summ.!$B100</f>
        <v>Building Paint</v>
      </c>
      <c r="DE90" s="110">
        <f t="shared" si="559"/>
        <v>0</v>
      </c>
      <c r="DF90" s="110">
        <v>0</v>
      </c>
      <c r="DG90" s="110">
        <f t="shared" si="560"/>
        <v>0</v>
      </c>
      <c r="DH90" s="113">
        <f t="shared" si="503"/>
        <v>1.2453920494171565E-2</v>
      </c>
      <c r="DI90" s="110">
        <f t="shared" si="504"/>
        <v>0</v>
      </c>
      <c r="DJ90" s="115">
        <f t="shared" si="505"/>
        <v>0</v>
      </c>
      <c r="DK90" s="110">
        <f t="shared" si="506"/>
        <v>0</v>
      </c>
      <c r="DL90" s="52">
        <f>Summ.!$A100</f>
        <v>0</v>
      </c>
      <c r="DM90" s="108" t="str">
        <f>Summ.!$B100</f>
        <v>Building Paint</v>
      </c>
      <c r="DN90" s="110">
        <f t="shared" si="561"/>
        <v>0</v>
      </c>
      <c r="DO90" s="110">
        <f t="shared" si="621"/>
        <v>0</v>
      </c>
      <c r="DP90" s="110">
        <f t="shared" si="563"/>
        <v>0</v>
      </c>
      <c r="DQ90" s="113">
        <f t="shared" si="507"/>
        <v>7.2133107502241708E-2</v>
      </c>
      <c r="DR90" s="110">
        <f t="shared" si="508"/>
        <v>0</v>
      </c>
      <c r="DS90" s="115">
        <f t="shared" si="509"/>
        <v>0</v>
      </c>
      <c r="DT90" s="110">
        <f t="shared" si="510"/>
        <v>0</v>
      </c>
      <c r="DU90" s="52">
        <f>Summ.!$A100</f>
        <v>0</v>
      </c>
      <c r="DV90" s="108" t="str">
        <f>Summ.!$B100</f>
        <v>Building Paint</v>
      </c>
      <c r="DW90" s="110">
        <f t="shared" si="564"/>
        <v>0</v>
      </c>
      <c r="DX90" s="110">
        <f t="shared" si="565"/>
        <v>0</v>
      </c>
      <c r="DY90" s="110">
        <f t="shared" si="566"/>
        <v>0</v>
      </c>
      <c r="DZ90" s="113">
        <f t="shared" si="511"/>
        <v>0.19961143768058184</v>
      </c>
      <c r="EA90" s="110">
        <f t="shared" si="512"/>
        <v>0</v>
      </c>
      <c r="EB90" s="115">
        <f t="shared" si="513"/>
        <v>0</v>
      </c>
      <c r="EC90" s="110">
        <f t="shared" si="514"/>
        <v>0</v>
      </c>
      <c r="ED90" s="52">
        <f>Summ.!$A100</f>
        <v>0</v>
      </c>
      <c r="EE90" s="108" t="str">
        <f>Summ.!$B100</f>
        <v>Building Paint</v>
      </c>
      <c r="EF90" s="110">
        <f t="shared" si="567"/>
        <v>0</v>
      </c>
      <c r="EG90" s="110">
        <f t="shared" si="568"/>
        <v>0</v>
      </c>
      <c r="EH90" s="110">
        <f t="shared" si="569"/>
        <v>0</v>
      </c>
      <c r="EI90" s="113">
        <f t="shared" si="515"/>
        <v>0.16190096642423035</v>
      </c>
      <c r="EJ90" s="110">
        <f t="shared" si="516"/>
        <v>0</v>
      </c>
      <c r="EK90" s="115">
        <f t="shared" si="517"/>
        <v>0</v>
      </c>
      <c r="EL90" s="110">
        <f t="shared" si="518"/>
        <v>0</v>
      </c>
      <c r="EM90" s="52">
        <f>Summ.!$A100</f>
        <v>0</v>
      </c>
      <c r="EN90" s="108" t="str">
        <f>Summ.!$B100</f>
        <v>Building Paint</v>
      </c>
      <c r="EO90" s="110">
        <f t="shared" si="570"/>
        <v>0</v>
      </c>
      <c r="EP90" s="110">
        <v>0</v>
      </c>
      <c r="EQ90" s="110">
        <f t="shared" si="571"/>
        <v>0</v>
      </c>
      <c r="ER90" s="113">
        <f t="shared" si="519"/>
        <v>4.9641327089767859E-2</v>
      </c>
      <c r="ES90" s="110">
        <f t="shared" si="520"/>
        <v>0</v>
      </c>
      <c r="ET90" s="115">
        <f t="shared" si="521"/>
        <v>0</v>
      </c>
      <c r="EU90" s="110">
        <f t="shared" si="522"/>
        <v>0</v>
      </c>
      <c r="EV90" s="52">
        <f>Summ.!$A100</f>
        <v>0</v>
      </c>
      <c r="EW90" s="108" t="str">
        <f>Summ.!$B100</f>
        <v>Building Paint</v>
      </c>
      <c r="EX90" s="110">
        <f t="shared" si="572"/>
        <v>0</v>
      </c>
      <c r="EY90" s="110">
        <f t="shared" si="573"/>
        <v>0</v>
      </c>
      <c r="EZ90" s="110">
        <f t="shared" si="574"/>
        <v>0</v>
      </c>
      <c r="FA90" s="113">
        <f t="shared" si="523"/>
        <v>2.3961343030786092E-2</v>
      </c>
      <c r="FB90" s="110">
        <f t="shared" si="524"/>
        <v>0</v>
      </c>
      <c r="FC90" s="115">
        <f t="shared" si="525"/>
        <v>0</v>
      </c>
      <c r="FD90" s="110">
        <f t="shared" si="526"/>
        <v>0</v>
      </c>
      <c r="FE90" s="52">
        <f>Summ.!$A100</f>
        <v>0</v>
      </c>
      <c r="FF90" s="108" t="str">
        <f>Summ.!$B100</f>
        <v>Building Paint</v>
      </c>
      <c r="FG90" s="110">
        <f t="shared" si="575"/>
        <v>0</v>
      </c>
      <c r="FH90" s="110">
        <f t="shared" si="576"/>
        <v>0</v>
      </c>
      <c r="FI90" s="110">
        <f t="shared" si="577"/>
        <v>0</v>
      </c>
      <c r="FJ90" s="113">
        <f t="shared" si="527"/>
        <v>9.2258643020822956E-2</v>
      </c>
      <c r="FK90" s="110">
        <f t="shared" si="528"/>
        <v>0</v>
      </c>
      <c r="FL90" s="115">
        <f t="shared" si="529"/>
        <v>0</v>
      </c>
      <c r="FM90" s="110">
        <f t="shared" si="530"/>
        <v>0</v>
      </c>
    </row>
    <row r="91" spans="1:169">
      <c r="A91" s="52">
        <f>Summ.!A101</f>
        <v>51400</v>
      </c>
      <c r="B91" s="45" t="str">
        <f>Summ.!B101</f>
        <v>Building Repair and Maint.</v>
      </c>
      <c r="C91" s="45"/>
      <c r="D91" s="45"/>
      <c r="E91" s="45"/>
      <c r="F91" s="106">
        <f>+Summ.!O101</f>
        <v>0</v>
      </c>
      <c r="G91" s="71">
        <f>Rent!$B$42</f>
        <v>40148</v>
      </c>
      <c r="H91" s="52">
        <f>Summ.!$A101</f>
        <v>51400</v>
      </c>
      <c r="I91" s="108" t="str">
        <f>Summ.!$B101</f>
        <v>Building Repair and Maint.</v>
      </c>
      <c r="J91" s="110">
        <f t="shared" si="531"/>
        <v>0</v>
      </c>
      <c r="K91" s="110">
        <v>0</v>
      </c>
      <c r="L91" s="110">
        <f t="shared" si="532"/>
        <v>0</v>
      </c>
      <c r="M91" s="113">
        <f t="shared" si="458"/>
        <v>9.6468068147852942E-2</v>
      </c>
      <c r="N91" s="110">
        <f t="shared" si="459"/>
        <v>0</v>
      </c>
      <c r="O91" s="115">
        <f t="shared" si="460"/>
        <v>0</v>
      </c>
      <c r="P91" s="110">
        <f t="shared" si="461"/>
        <v>0</v>
      </c>
      <c r="Q91" s="52">
        <f>Summ.!$A101</f>
        <v>51400</v>
      </c>
      <c r="R91" s="108" t="str">
        <f>Summ.!$B101</f>
        <v>Building Repair and Maint.</v>
      </c>
      <c r="S91" s="110">
        <f t="shared" si="533"/>
        <v>0</v>
      </c>
      <c r="T91" s="110">
        <f t="shared" si="534"/>
        <v>0</v>
      </c>
      <c r="U91" s="110">
        <f t="shared" si="535"/>
        <v>0</v>
      </c>
      <c r="V91" s="113">
        <f t="shared" si="462"/>
        <v>2.6751021221480521E-2</v>
      </c>
      <c r="W91" s="110">
        <f t="shared" si="463"/>
        <v>0</v>
      </c>
      <c r="X91" s="115">
        <f t="shared" si="464"/>
        <v>0</v>
      </c>
      <c r="Y91" s="110">
        <f t="shared" si="465"/>
        <v>0</v>
      </c>
      <c r="Z91" s="52">
        <f>Summ.!$A101</f>
        <v>51400</v>
      </c>
      <c r="AA91" s="108" t="str">
        <f>Summ.!$B101</f>
        <v>Building Repair and Maint.</v>
      </c>
      <c r="AB91" s="110">
        <f t="shared" si="536"/>
        <v>0</v>
      </c>
      <c r="AC91" s="110">
        <v>0</v>
      </c>
      <c r="AD91" s="110">
        <f t="shared" si="537"/>
        <v>0</v>
      </c>
      <c r="AE91" s="113">
        <f t="shared" si="466"/>
        <v>4.9815681976686258E-3</v>
      </c>
      <c r="AF91" s="110">
        <f t="shared" si="467"/>
        <v>0</v>
      </c>
      <c r="AG91" s="115">
        <f t="shared" si="468"/>
        <v>0</v>
      </c>
      <c r="AH91" s="110">
        <f t="shared" si="469"/>
        <v>0</v>
      </c>
      <c r="AI91" s="52">
        <f>Summ.!$A101</f>
        <v>51400</v>
      </c>
      <c r="AJ91" s="108" t="str">
        <f>Summ.!$B101</f>
        <v>Building Repair and Maint.</v>
      </c>
      <c r="AK91" s="110">
        <f t="shared" si="538"/>
        <v>0</v>
      </c>
      <c r="AL91" s="110">
        <f t="shared" si="539"/>
        <v>0</v>
      </c>
      <c r="AM91" s="110">
        <f t="shared" si="540"/>
        <v>0</v>
      </c>
      <c r="AN91" s="113">
        <f t="shared" si="470"/>
        <v>1.2902261631961742E-2</v>
      </c>
      <c r="AO91" s="110">
        <f t="shared" si="471"/>
        <v>0</v>
      </c>
      <c r="AP91" s="115">
        <f t="shared" si="472"/>
        <v>0</v>
      </c>
      <c r="AQ91" s="110">
        <f t="shared" si="473"/>
        <v>0</v>
      </c>
      <c r="AR91" s="52">
        <f>Summ.!$A101</f>
        <v>51400</v>
      </c>
      <c r="AS91" s="108" t="str">
        <f>Summ.!$B101</f>
        <v>Building Repair and Maint.</v>
      </c>
      <c r="AT91" s="110">
        <f t="shared" si="541"/>
        <v>0</v>
      </c>
      <c r="AU91" s="110">
        <f t="shared" si="542"/>
        <v>0</v>
      </c>
      <c r="AV91" s="110">
        <f t="shared" si="543"/>
        <v>0</v>
      </c>
      <c r="AW91" s="113">
        <f t="shared" si="474"/>
        <v>1.3076616518880143E-2</v>
      </c>
      <c r="AX91" s="110">
        <f t="shared" si="475"/>
        <v>0</v>
      </c>
      <c r="AY91" s="115">
        <f t="shared" si="476"/>
        <v>0</v>
      </c>
      <c r="AZ91" s="110">
        <f t="shared" si="477"/>
        <v>0</v>
      </c>
      <c r="BA91" s="52">
        <f>Summ.!$A101</f>
        <v>51400</v>
      </c>
      <c r="BB91" s="108" t="str">
        <f>Summ.!$B101</f>
        <v>Building Repair and Maint.</v>
      </c>
      <c r="BC91" s="110">
        <f t="shared" si="544"/>
        <v>0</v>
      </c>
      <c r="BD91" s="110">
        <f t="shared" si="545"/>
        <v>0</v>
      </c>
      <c r="BE91" s="110">
        <f t="shared" si="546"/>
        <v>0</v>
      </c>
      <c r="BF91" s="113" t="e">
        <f t="shared" si="478"/>
        <v>#REF!</v>
      </c>
      <c r="BG91" s="110" t="e">
        <f t="shared" si="479"/>
        <v>#REF!</v>
      </c>
      <c r="BH91" s="115" t="e">
        <f t="shared" si="480"/>
        <v>#REF!</v>
      </c>
      <c r="BI91" s="110" t="e">
        <f t="shared" si="481"/>
        <v>#REF!</v>
      </c>
      <c r="BJ91" s="52">
        <f>Summ.!$A101</f>
        <v>51400</v>
      </c>
      <c r="BK91" s="108" t="str">
        <f>Summ.!$B101</f>
        <v>Building Repair and Maint.</v>
      </c>
      <c r="BL91" s="110">
        <f t="shared" si="547"/>
        <v>0</v>
      </c>
      <c r="BM91" s="110">
        <f t="shared" si="482"/>
        <v>0</v>
      </c>
      <c r="BN91" s="110">
        <f t="shared" si="548"/>
        <v>0</v>
      </c>
      <c r="BO91" s="113">
        <f t="shared" si="483"/>
        <v>2.4758393942413071E-2</v>
      </c>
      <c r="BP91" s="110">
        <f t="shared" si="484"/>
        <v>0</v>
      </c>
      <c r="BQ91" s="115">
        <f t="shared" si="485"/>
        <v>0</v>
      </c>
      <c r="BR91" s="110">
        <f t="shared" si="486"/>
        <v>0</v>
      </c>
      <c r="BS91" s="52">
        <f>Summ.!$A101</f>
        <v>51400</v>
      </c>
      <c r="BT91" s="108" t="str">
        <f>Summ.!$B101</f>
        <v>Building Repair and Maint.</v>
      </c>
      <c r="BU91" s="110">
        <f t="shared" si="549"/>
        <v>0</v>
      </c>
      <c r="BV91" s="110">
        <f t="shared" si="550"/>
        <v>0</v>
      </c>
      <c r="BW91" s="110">
        <f t="shared" si="551"/>
        <v>0</v>
      </c>
      <c r="BX91" s="113">
        <f t="shared" si="487"/>
        <v>2.5978878150841885E-2</v>
      </c>
      <c r="BY91" s="110">
        <f t="shared" si="488"/>
        <v>0</v>
      </c>
      <c r="BZ91" s="115">
        <f t="shared" si="489"/>
        <v>0</v>
      </c>
      <c r="CA91" s="110">
        <f t="shared" si="490"/>
        <v>0</v>
      </c>
      <c r="CB91" s="52">
        <f>Summ.!$A101</f>
        <v>51400</v>
      </c>
      <c r="CC91" s="108" t="str">
        <f>Summ.!$B101</f>
        <v>Building Repair and Maint.</v>
      </c>
      <c r="CD91" s="110">
        <f t="shared" si="552"/>
        <v>0</v>
      </c>
      <c r="CE91" s="110">
        <v>0</v>
      </c>
      <c r="CF91" s="110">
        <f t="shared" si="553"/>
        <v>0</v>
      </c>
      <c r="CG91" s="113">
        <f t="shared" si="491"/>
        <v>8.7825047324897876E-2</v>
      </c>
      <c r="CH91" s="110">
        <f t="shared" si="492"/>
        <v>0</v>
      </c>
      <c r="CI91" s="115">
        <f t="shared" si="493"/>
        <v>0</v>
      </c>
      <c r="CJ91" s="110">
        <f t="shared" si="494"/>
        <v>0</v>
      </c>
      <c r="CK91" s="52">
        <f>Summ.!$A101</f>
        <v>51400</v>
      </c>
      <c r="CL91" s="108" t="str">
        <f>Summ.!$B101</f>
        <v>Building Repair and Maint.</v>
      </c>
      <c r="CM91" s="110">
        <f t="shared" si="554"/>
        <v>0</v>
      </c>
      <c r="CN91" s="110">
        <f t="shared" si="555"/>
        <v>0</v>
      </c>
      <c r="CO91" s="110">
        <f t="shared" si="556"/>
        <v>0</v>
      </c>
      <c r="CP91" s="113">
        <f t="shared" si="495"/>
        <v>0.26741058085085184</v>
      </c>
      <c r="CQ91" s="110">
        <f t="shared" si="496"/>
        <v>0</v>
      </c>
      <c r="CR91" s="115">
        <f t="shared" si="497"/>
        <v>0</v>
      </c>
      <c r="CS91" s="110">
        <f t="shared" si="498"/>
        <v>0</v>
      </c>
      <c r="CT91" s="52">
        <f>Summ.!$A101</f>
        <v>51400</v>
      </c>
      <c r="CU91" s="108" t="str">
        <f>Summ.!$B101</f>
        <v>Building Repair and Maint.</v>
      </c>
      <c r="CV91" s="110">
        <f t="shared" si="557"/>
        <v>0</v>
      </c>
      <c r="CW91" s="110">
        <v>0</v>
      </c>
      <c r="CX91" s="110">
        <f t="shared" si="558"/>
        <v>0</v>
      </c>
      <c r="CY91" s="113">
        <f t="shared" si="499"/>
        <v>7.472352296502939E-2</v>
      </c>
      <c r="CZ91" s="110">
        <f t="shared" si="500"/>
        <v>0</v>
      </c>
      <c r="DA91" s="115">
        <f t="shared" si="501"/>
        <v>0</v>
      </c>
      <c r="DB91" s="110">
        <f t="shared" si="502"/>
        <v>0</v>
      </c>
      <c r="DC91" s="52">
        <f>Summ.!$A101</f>
        <v>51400</v>
      </c>
      <c r="DD91" s="108" t="str">
        <f>Summ.!$B101</f>
        <v>Building Repair and Maint.</v>
      </c>
      <c r="DE91" s="110">
        <f t="shared" si="559"/>
        <v>0</v>
      </c>
      <c r="DF91" s="110">
        <v>0</v>
      </c>
      <c r="DG91" s="110">
        <f t="shared" si="560"/>
        <v>0</v>
      </c>
      <c r="DH91" s="113">
        <f t="shared" si="503"/>
        <v>1.2453920494171565E-2</v>
      </c>
      <c r="DI91" s="110">
        <f t="shared" si="504"/>
        <v>0</v>
      </c>
      <c r="DJ91" s="115">
        <f t="shared" si="505"/>
        <v>0</v>
      </c>
      <c r="DK91" s="110">
        <f t="shared" si="506"/>
        <v>0</v>
      </c>
      <c r="DL91" s="52">
        <f>Summ.!$A101</f>
        <v>51400</v>
      </c>
      <c r="DM91" s="108" t="str">
        <f>Summ.!$B101</f>
        <v>Building Repair and Maint.</v>
      </c>
      <c r="DN91" s="110">
        <f t="shared" si="561"/>
        <v>0</v>
      </c>
      <c r="DO91" s="110">
        <f t="shared" si="621"/>
        <v>0</v>
      </c>
      <c r="DP91" s="110">
        <f t="shared" si="563"/>
        <v>0</v>
      </c>
      <c r="DQ91" s="113">
        <f t="shared" si="507"/>
        <v>7.2133107502241708E-2</v>
      </c>
      <c r="DR91" s="110">
        <f t="shared" si="508"/>
        <v>0</v>
      </c>
      <c r="DS91" s="115">
        <f t="shared" si="509"/>
        <v>0</v>
      </c>
      <c r="DT91" s="110">
        <f t="shared" si="510"/>
        <v>0</v>
      </c>
      <c r="DU91" s="52">
        <f>Summ.!$A101</f>
        <v>51400</v>
      </c>
      <c r="DV91" s="108" t="str">
        <f>Summ.!$B101</f>
        <v>Building Repair and Maint.</v>
      </c>
      <c r="DW91" s="110">
        <f t="shared" si="564"/>
        <v>0</v>
      </c>
      <c r="DX91" s="110">
        <f t="shared" si="565"/>
        <v>0</v>
      </c>
      <c r="DY91" s="110">
        <f t="shared" si="566"/>
        <v>0</v>
      </c>
      <c r="DZ91" s="113">
        <f t="shared" si="511"/>
        <v>0.19961143768058184</v>
      </c>
      <c r="EA91" s="110">
        <f t="shared" si="512"/>
        <v>0</v>
      </c>
      <c r="EB91" s="115">
        <f t="shared" si="513"/>
        <v>0</v>
      </c>
      <c r="EC91" s="110">
        <f t="shared" si="514"/>
        <v>0</v>
      </c>
      <c r="ED91" s="52">
        <f>Summ.!$A101</f>
        <v>51400</v>
      </c>
      <c r="EE91" s="108" t="str">
        <f>Summ.!$B101</f>
        <v>Building Repair and Maint.</v>
      </c>
      <c r="EF91" s="110">
        <f t="shared" si="567"/>
        <v>0</v>
      </c>
      <c r="EG91" s="110">
        <f t="shared" si="568"/>
        <v>0</v>
      </c>
      <c r="EH91" s="110">
        <f t="shared" si="569"/>
        <v>0</v>
      </c>
      <c r="EI91" s="113">
        <f t="shared" si="515"/>
        <v>0.16190096642423035</v>
      </c>
      <c r="EJ91" s="110">
        <f t="shared" si="516"/>
        <v>0</v>
      </c>
      <c r="EK91" s="115">
        <f t="shared" si="517"/>
        <v>0</v>
      </c>
      <c r="EL91" s="110">
        <f t="shared" si="518"/>
        <v>0</v>
      </c>
      <c r="EM91" s="52">
        <f>Summ.!$A101</f>
        <v>51400</v>
      </c>
      <c r="EN91" s="108" t="str">
        <f>Summ.!$B101</f>
        <v>Building Repair and Maint.</v>
      </c>
      <c r="EO91" s="110">
        <f t="shared" si="570"/>
        <v>0</v>
      </c>
      <c r="EP91" s="110">
        <v>0</v>
      </c>
      <c r="EQ91" s="110">
        <f t="shared" si="571"/>
        <v>0</v>
      </c>
      <c r="ER91" s="113">
        <f t="shared" si="519"/>
        <v>4.9641327089767859E-2</v>
      </c>
      <c r="ES91" s="110">
        <f t="shared" si="520"/>
        <v>0</v>
      </c>
      <c r="ET91" s="115">
        <f t="shared" si="521"/>
        <v>0</v>
      </c>
      <c r="EU91" s="110">
        <f t="shared" si="522"/>
        <v>0</v>
      </c>
      <c r="EV91" s="52">
        <f>Summ.!$A101</f>
        <v>51400</v>
      </c>
      <c r="EW91" s="108" t="str">
        <f>Summ.!$B101</f>
        <v>Building Repair and Maint.</v>
      </c>
      <c r="EX91" s="110">
        <f t="shared" si="572"/>
        <v>0</v>
      </c>
      <c r="EY91" s="110">
        <f t="shared" si="573"/>
        <v>0</v>
      </c>
      <c r="EZ91" s="110">
        <f t="shared" si="574"/>
        <v>0</v>
      </c>
      <c r="FA91" s="113">
        <f t="shared" si="523"/>
        <v>2.3961343030786092E-2</v>
      </c>
      <c r="FB91" s="110">
        <f t="shared" si="524"/>
        <v>0</v>
      </c>
      <c r="FC91" s="115">
        <f t="shared" si="525"/>
        <v>0</v>
      </c>
      <c r="FD91" s="110">
        <f t="shared" si="526"/>
        <v>0</v>
      </c>
      <c r="FE91" s="52">
        <f>Summ.!$A101</f>
        <v>51400</v>
      </c>
      <c r="FF91" s="108" t="str">
        <f>Summ.!$B101</f>
        <v>Building Repair and Maint.</v>
      </c>
      <c r="FG91" s="110">
        <f t="shared" si="575"/>
        <v>0</v>
      </c>
      <c r="FH91" s="110">
        <f t="shared" si="576"/>
        <v>0</v>
      </c>
      <c r="FI91" s="110">
        <f t="shared" si="577"/>
        <v>0</v>
      </c>
      <c r="FJ91" s="113">
        <f t="shared" si="527"/>
        <v>9.2258643020822956E-2</v>
      </c>
      <c r="FK91" s="110">
        <f t="shared" si="528"/>
        <v>0</v>
      </c>
      <c r="FL91" s="115">
        <f t="shared" si="529"/>
        <v>0</v>
      </c>
      <c r="FM91" s="110">
        <f t="shared" si="530"/>
        <v>0</v>
      </c>
    </row>
    <row r="92" spans="1:169">
      <c r="A92" s="52">
        <f>Summ.!A102</f>
        <v>55120</v>
      </c>
      <c r="B92" s="45" t="str">
        <f>Summ.!B102</f>
        <v>Trash Removal Foodcourt</v>
      </c>
      <c r="C92" s="45"/>
      <c r="D92" s="45"/>
      <c r="E92" s="45"/>
      <c r="F92" s="106">
        <f>+Summ.!O102</f>
        <v>0</v>
      </c>
      <c r="G92" s="71">
        <f>Rent!$B$42</f>
        <v>40148</v>
      </c>
      <c r="H92" s="52">
        <f>Summ.!$A102</f>
        <v>55120</v>
      </c>
      <c r="I92" s="108" t="str">
        <f>Summ.!$B102</f>
        <v>Trash Removal Foodcourt</v>
      </c>
      <c r="J92" s="110">
        <f t="shared" si="531"/>
        <v>0</v>
      </c>
      <c r="K92" s="110">
        <v>0</v>
      </c>
      <c r="L92" s="110">
        <f t="shared" si="532"/>
        <v>0</v>
      </c>
      <c r="M92" s="113">
        <f t="shared" si="458"/>
        <v>9.6468068147852942E-2</v>
      </c>
      <c r="N92" s="110">
        <f t="shared" si="459"/>
        <v>0</v>
      </c>
      <c r="O92" s="115">
        <f t="shared" si="460"/>
        <v>0</v>
      </c>
      <c r="P92" s="110">
        <f t="shared" si="461"/>
        <v>0</v>
      </c>
      <c r="Q92" s="52">
        <f>Summ.!$A102</f>
        <v>55120</v>
      </c>
      <c r="R92" s="108" t="str">
        <f>Summ.!$B102</f>
        <v>Trash Removal Foodcourt</v>
      </c>
      <c r="S92" s="110">
        <f t="shared" si="533"/>
        <v>0</v>
      </c>
      <c r="T92" s="110">
        <f t="shared" si="534"/>
        <v>0</v>
      </c>
      <c r="U92" s="110">
        <f t="shared" si="535"/>
        <v>0</v>
      </c>
      <c r="V92" s="113">
        <f t="shared" si="462"/>
        <v>2.6751021221480521E-2</v>
      </c>
      <c r="W92" s="110">
        <f t="shared" si="463"/>
        <v>0</v>
      </c>
      <c r="X92" s="115">
        <f t="shared" si="464"/>
        <v>0</v>
      </c>
      <c r="Y92" s="110">
        <f t="shared" si="465"/>
        <v>0</v>
      </c>
      <c r="Z92" s="52">
        <f>Summ.!$A102</f>
        <v>55120</v>
      </c>
      <c r="AA92" s="108" t="str">
        <f>Summ.!$B102</f>
        <v>Trash Removal Foodcourt</v>
      </c>
      <c r="AB92" s="110">
        <f t="shared" si="536"/>
        <v>0</v>
      </c>
      <c r="AC92" s="110">
        <v>0</v>
      </c>
      <c r="AD92" s="110">
        <f t="shared" si="537"/>
        <v>0</v>
      </c>
      <c r="AE92" s="113">
        <f t="shared" si="466"/>
        <v>4.9815681976686258E-3</v>
      </c>
      <c r="AF92" s="110">
        <f t="shared" si="467"/>
        <v>0</v>
      </c>
      <c r="AG92" s="115">
        <f t="shared" si="468"/>
        <v>0</v>
      </c>
      <c r="AH92" s="110">
        <f t="shared" si="469"/>
        <v>0</v>
      </c>
      <c r="AI92" s="52">
        <f>Summ.!$A102</f>
        <v>55120</v>
      </c>
      <c r="AJ92" s="108" t="str">
        <f>Summ.!$B102</f>
        <v>Trash Removal Foodcourt</v>
      </c>
      <c r="AK92" s="110">
        <f t="shared" si="538"/>
        <v>0</v>
      </c>
      <c r="AL92" s="110">
        <f t="shared" si="539"/>
        <v>0</v>
      </c>
      <c r="AM92" s="110">
        <f t="shared" si="540"/>
        <v>0</v>
      </c>
      <c r="AN92" s="113">
        <f t="shared" si="470"/>
        <v>1.2902261631961742E-2</v>
      </c>
      <c r="AO92" s="110">
        <f t="shared" si="471"/>
        <v>0</v>
      </c>
      <c r="AP92" s="115">
        <f t="shared" si="472"/>
        <v>0</v>
      </c>
      <c r="AQ92" s="110">
        <f t="shared" si="473"/>
        <v>0</v>
      </c>
      <c r="AR92" s="52">
        <f>Summ.!$A102</f>
        <v>55120</v>
      </c>
      <c r="AS92" s="108" t="str">
        <f>Summ.!$B102</f>
        <v>Trash Removal Foodcourt</v>
      </c>
      <c r="AT92" s="110">
        <f t="shared" si="541"/>
        <v>0</v>
      </c>
      <c r="AU92" s="110">
        <f t="shared" si="542"/>
        <v>0</v>
      </c>
      <c r="AV92" s="110">
        <f t="shared" si="543"/>
        <v>0</v>
      </c>
      <c r="AW92" s="113">
        <f t="shared" si="474"/>
        <v>1.3076616518880143E-2</v>
      </c>
      <c r="AX92" s="110">
        <f t="shared" si="475"/>
        <v>0</v>
      </c>
      <c r="AY92" s="115">
        <f t="shared" si="476"/>
        <v>0</v>
      </c>
      <c r="AZ92" s="110">
        <f t="shared" si="477"/>
        <v>0</v>
      </c>
      <c r="BA92" s="52">
        <f>Summ.!$A102</f>
        <v>55120</v>
      </c>
      <c r="BB92" s="108" t="str">
        <f>Summ.!$B102</f>
        <v>Trash Removal Foodcourt</v>
      </c>
      <c r="BC92" s="110">
        <f t="shared" si="544"/>
        <v>0</v>
      </c>
      <c r="BD92" s="110">
        <f t="shared" si="545"/>
        <v>0</v>
      </c>
      <c r="BE92" s="110">
        <f t="shared" si="546"/>
        <v>0</v>
      </c>
      <c r="BF92" s="113" t="e">
        <f t="shared" si="478"/>
        <v>#REF!</v>
      </c>
      <c r="BG92" s="110" t="e">
        <f t="shared" si="479"/>
        <v>#REF!</v>
      </c>
      <c r="BH92" s="115" t="e">
        <f t="shared" si="480"/>
        <v>#REF!</v>
      </c>
      <c r="BI92" s="110" t="e">
        <f t="shared" si="481"/>
        <v>#REF!</v>
      </c>
      <c r="BJ92" s="52">
        <f>Summ.!$A102</f>
        <v>55120</v>
      </c>
      <c r="BK92" s="108" t="str">
        <f>Summ.!$B102</f>
        <v>Trash Removal Foodcourt</v>
      </c>
      <c r="BL92" s="110">
        <f t="shared" si="547"/>
        <v>0</v>
      </c>
      <c r="BM92" s="110">
        <f t="shared" si="482"/>
        <v>0</v>
      </c>
      <c r="BN92" s="110">
        <f t="shared" si="548"/>
        <v>0</v>
      </c>
      <c r="BO92" s="113">
        <f t="shared" si="483"/>
        <v>2.4758393942413071E-2</v>
      </c>
      <c r="BP92" s="110">
        <f t="shared" si="484"/>
        <v>0</v>
      </c>
      <c r="BQ92" s="115">
        <f t="shared" si="485"/>
        <v>0</v>
      </c>
      <c r="BR92" s="110">
        <f t="shared" si="486"/>
        <v>0</v>
      </c>
      <c r="BS92" s="52">
        <f>Summ.!$A102</f>
        <v>55120</v>
      </c>
      <c r="BT92" s="108" t="str">
        <f>Summ.!$B102</f>
        <v>Trash Removal Foodcourt</v>
      </c>
      <c r="BU92" s="110">
        <f t="shared" si="549"/>
        <v>0</v>
      </c>
      <c r="BV92" s="110">
        <f t="shared" si="550"/>
        <v>0</v>
      </c>
      <c r="BW92" s="110">
        <f t="shared" si="551"/>
        <v>0</v>
      </c>
      <c r="BX92" s="113">
        <f t="shared" si="487"/>
        <v>2.5978878150841885E-2</v>
      </c>
      <c r="BY92" s="110">
        <f t="shared" si="488"/>
        <v>0</v>
      </c>
      <c r="BZ92" s="115">
        <f t="shared" si="489"/>
        <v>0</v>
      </c>
      <c r="CA92" s="110">
        <f t="shared" si="490"/>
        <v>0</v>
      </c>
      <c r="CB92" s="52">
        <f>Summ.!$A102</f>
        <v>55120</v>
      </c>
      <c r="CC92" s="108" t="str">
        <f>Summ.!$B102</f>
        <v>Trash Removal Foodcourt</v>
      </c>
      <c r="CD92" s="110">
        <f t="shared" si="552"/>
        <v>0</v>
      </c>
      <c r="CE92" s="110">
        <v>0</v>
      </c>
      <c r="CF92" s="110">
        <f t="shared" si="553"/>
        <v>0</v>
      </c>
      <c r="CG92" s="113">
        <f t="shared" si="491"/>
        <v>8.7825047324897876E-2</v>
      </c>
      <c r="CH92" s="110">
        <f t="shared" si="492"/>
        <v>0</v>
      </c>
      <c r="CI92" s="115">
        <f t="shared" si="493"/>
        <v>0</v>
      </c>
      <c r="CJ92" s="110">
        <f t="shared" si="494"/>
        <v>0</v>
      </c>
      <c r="CK92" s="52">
        <f>Summ.!$A102</f>
        <v>55120</v>
      </c>
      <c r="CL92" s="108" t="str">
        <f>Summ.!$B102</f>
        <v>Trash Removal Foodcourt</v>
      </c>
      <c r="CM92" s="110">
        <f t="shared" si="554"/>
        <v>0</v>
      </c>
      <c r="CN92" s="110">
        <f t="shared" si="555"/>
        <v>0</v>
      </c>
      <c r="CO92" s="110">
        <f t="shared" si="556"/>
        <v>0</v>
      </c>
      <c r="CP92" s="113">
        <f t="shared" si="495"/>
        <v>0.26741058085085184</v>
      </c>
      <c r="CQ92" s="110">
        <f t="shared" si="496"/>
        <v>0</v>
      </c>
      <c r="CR92" s="115">
        <f t="shared" si="497"/>
        <v>0</v>
      </c>
      <c r="CS92" s="110">
        <f t="shared" si="498"/>
        <v>0</v>
      </c>
      <c r="CT92" s="52">
        <f>Summ.!$A102</f>
        <v>55120</v>
      </c>
      <c r="CU92" s="108" t="str">
        <f>Summ.!$B102</f>
        <v>Trash Removal Foodcourt</v>
      </c>
      <c r="CV92" s="110">
        <f t="shared" si="557"/>
        <v>0</v>
      </c>
      <c r="CW92" s="110">
        <v>0</v>
      </c>
      <c r="CX92" s="110">
        <f t="shared" si="558"/>
        <v>0</v>
      </c>
      <c r="CY92" s="113">
        <f t="shared" si="499"/>
        <v>7.472352296502939E-2</v>
      </c>
      <c r="CZ92" s="110">
        <f t="shared" si="500"/>
        <v>0</v>
      </c>
      <c r="DA92" s="115">
        <f t="shared" si="501"/>
        <v>0</v>
      </c>
      <c r="DB92" s="110">
        <f t="shared" si="502"/>
        <v>0</v>
      </c>
      <c r="DC92" s="52">
        <f>Summ.!$A102</f>
        <v>55120</v>
      </c>
      <c r="DD92" s="108" t="str">
        <f>Summ.!$B102</f>
        <v>Trash Removal Foodcourt</v>
      </c>
      <c r="DE92" s="110">
        <f t="shared" si="559"/>
        <v>0</v>
      </c>
      <c r="DF92" s="110">
        <v>0</v>
      </c>
      <c r="DG92" s="110">
        <f t="shared" si="560"/>
        <v>0</v>
      </c>
      <c r="DH92" s="113">
        <f t="shared" si="503"/>
        <v>1.2453920494171565E-2</v>
      </c>
      <c r="DI92" s="110">
        <f t="shared" si="504"/>
        <v>0</v>
      </c>
      <c r="DJ92" s="115">
        <f t="shared" si="505"/>
        <v>0</v>
      </c>
      <c r="DK92" s="110">
        <f t="shared" si="506"/>
        <v>0</v>
      </c>
      <c r="DL92" s="52">
        <f>Summ.!$A102</f>
        <v>55120</v>
      </c>
      <c r="DM92" s="108" t="str">
        <f>Summ.!$B102</f>
        <v>Trash Removal Foodcourt</v>
      </c>
      <c r="DN92" s="110">
        <f t="shared" si="561"/>
        <v>0</v>
      </c>
      <c r="DO92" s="110">
        <f t="shared" si="621"/>
        <v>0</v>
      </c>
      <c r="DP92" s="110">
        <f t="shared" si="563"/>
        <v>0</v>
      </c>
      <c r="DQ92" s="113">
        <f t="shared" si="507"/>
        <v>7.2133107502241708E-2</v>
      </c>
      <c r="DR92" s="110">
        <f t="shared" si="508"/>
        <v>0</v>
      </c>
      <c r="DS92" s="115">
        <f t="shared" si="509"/>
        <v>0</v>
      </c>
      <c r="DT92" s="110">
        <f t="shared" si="510"/>
        <v>0</v>
      </c>
      <c r="DU92" s="52">
        <f>Summ.!$A102</f>
        <v>55120</v>
      </c>
      <c r="DV92" s="108" t="str">
        <f>Summ.!$B102</f>
        <v>Trash Removal Foodcourt</v>
      </c>
      <c r="DW92" s="110">
        <f t="shared" si="564"/>
        <v>0</v>
      </c>
      <c r="DX92" s="110">
        <f>-DW92</f>
        <v>0</v>
      </c>
      <c r="DY92" s="110">
        <f t="shared" si="566"/>
        <v>0</v>
      </c>
      <c r="DZ92" s="113">
        <f t="shared" si="511"/>
        <v>0.19961143768058184</v>
      </c>
      <c r="EA92" s="110">
        <f t="shared" si="512"/>
        <v>0</v>
      </c>
      <c r="EB92" s="115">
        <f t="shared" si="513"/>
        <v>0</v>
      </c>
      <c r="EC92" s="110">
        <f t="shared" si="514"/>
        <v>0</v>
      </c>
      <c r="ED92" s="52">
        <f>Summ.!$A102</f>
        <v>55120</v>
      </c>
      <c r="EE92" s="108" t="str">
        <f>Summ.!$B102</f>
        <v>Trash Removal Foodcourt</v>
      </c>
      <c r="EF92" s="110">
        <f t="shared" si="567"/>
        <v>0</v>
      </c>
      <c r="EG92" s="110">
        <f t="shared" si="568"/>
        <v>0</v>
      </c>
      <c r="EH92" s="110">
        <f t="shared" si="569"/>
        <v>0</v>
      </c>
      <c r="EI92" s="113">
        <f t="shared" si="515"/>
        <v>0.16190096642423035</v>
      </c>
      <c r="EJ92" s="110">
        <f t="shared" si="516"/>
        <v>0</v>
      </c>
      <c r="EK92" s="115">
        <f t="shared" si="517"/>
        <v>0</v>
      </c>
      <c r="EL92" s="110">
        <f t="shared" si="518"/>
        <v>0</v>
      </c>
      <c r="EM92" s="52">
        <f>Summ.!$A102</f>
        <v>55120</v>
      </c>
      <c r="EN92" s="108" t="str">
        <f>Summ.!$B102</f>
        <v>Trash Removal Foodcourt</v>
      </c>
      <c r="EO92" s="110">
        <f t="shared" si="570"/>
        <v>0</v>
      </c>
      <c r="EP92" s="110">
        <f t="shared" ref="EP92:EP93" si="632">+EG92</f>
        <v>0</v>
      </c>
      <c r="EQ92" s="110">
        <f t="shared" si="571"/>
        <v>0</v>
      </c>
      <c r="ER92" s="113">
        <f t="shared" si="519"/>
        <v>4.9641327089767859E-2</v>
      </c>
      <c r="ES92" s="110">
        <f t="shared" si="520"/>
        <v>0</v>
      </c>
      <c r="ET92" s="115">
        <f t="shared" si="521"/>
        <v>0</v>
      </c>
      <c r="EU92" s="110">
        <f t="shared" si="522"/>
        <v>0</v>
      </c>
      <c r="EV92" s="52">
        <f>Summ.!$A102</f>
        <v>55120</v>
      </c>
      <c r="EW92" s="108" t="str">
        <f>Summ.!$B102</f>
        <v>Trash Removal Foodcourt</v>
      </c>
      <c r="EX92" s="110">
        <f t="shared" si="572"/>
        <v>0</v>
      </c>
      <c r="EY92" s="110">
        <f t="shared" si="573"/>
        <v>0</v>
      </c>
      <c r="EZ92" s="110">
        <f t="shared" si="574"/>
        <v>0</v>
      </c>
      <c r="FA92" s="113">
        <f t="shared" si="523"/>
        <v>2.3961343030786092E-2</v>
      </c>
      <c r="FB92" s="110">
        <f t="shared" si="524"/>
        <v>0</v>
      </c>
      <c r="FC92" s="115">
        <f t="shared" si="525"/>
        <v>0</v>
      </c>
      <c r="FD92" s="110">
        <f t="shared" si="526"/>
        <v>0</v>
      </c>
      <c r="FE92" s="52">
        <f>Summ.!$A102</f>
        <v>55120</v>
      </c>
      <c r="FF92" s="108" t="str">
        <f>Summ.!$B102</f>
        <v>Trash Removal Foodcourt</v>
      </c>
      <c r="FG92" s="110">
        <f t="shared" si="575"/>
        <v>0</v>
      </c>
      <c r="FH92" s="110">
        <f t="shared" si="576"/>
        <v>0</v>
      </c>
      <c r="FI92" s="110">
        <f t="shared" si="577"/>
        <v>0</v>
      </c>
      <c r="FJ92" s="113">
        <f t="shared" si="527"/>
        <v>9.2258643020822956E-2</v>
      </c>
      <c r="FK92" s="110">
        <f t="shared" si="528"/>
        <v>0</v>
      </c>
      <c r="FL92" s="115">
        <f t="shared" si="529"/>
        <v>0</v>
      </c>
      <c r="FM92" s="110">
        <f t="shared" si="530"/>
        <v>0</v>
      </c>
    </row>
    <row r="93" spans="1:169">
      <c r="A93" s="52">
        <f>Summ.!A103</f>
        <v>51180</v>
      </c>
      <c r="B93" s="45" t="str">
        <f>Summ.!B103</f>
        <v>Grease Trap Maintenance</v>
      </c>
      <c r="C93" s="45"/>
      <c r="D93" s="45"/>
      <c r="E93" s="45"/>
      <c r="F93" s="106">
        <f>+Summ.!O103</f>
        <v>0</v>
      </c>
      <c r="G93" s="71">
        <f>Rent!$B$42</f>
        <v>40148</v>
      </c>
      <c r="H93" s="52">
        <f>Summ.!$A103</f>
        <v>51180</v>
      </c>
      <c r="I93" s="108" t="str">
        <f>Summ.!$B103</f>
        <v>Grease Trap Maintenance</v>
      </c>
      <c r="J93" s="110">
        <f t="shared" si="531"/>
        <v>0</v>
      </c>
      <c r="K93" s="110">
        <v>0</v>
      </c>
      <c r="L93" s="110">
        <f t="shared" si="532"/>
        <v>0</v>
      </c>
      <c r="M93" s="113">
        <f t="shared" si="458"/>
        <v>9.6468068147852942E-2</v>
      </c>
      <c r="N93" s="110">
        <f t="shared" si="459"/>
        <v>0</v>
      </c>
      <c r="O93" s="115">
        <f t="shared" si="460"/>
        <v>0</v>
      </c>
      <c r="P93" s="110">
        <f t="shared" si="461"/>
        <v>0</v>
      </c>
      <c r="Q93" s="52">
        <f>Summ.!$A103</f>
        <v>51180</v>
      </c>
      <c r="R93" s="108" t="str">
        <f>Summ.!$B103</f>
        <v>Grease Trap Maintenance</v>
      </c>
      <c r="S93" s="110">
        <f t="shared" si="533"/>
        <v>0</v>
      </c>
      <c r="T93" s="110">
        <f t="shared" si="534"/>
        <v>0</v>
      </c>
      <c r="U93" s="110">
        <f t="shared" si="535"/>
        <v>0</v>
      </c>
      <c r="V93" s="113">
        <f t="shared" si="462"/>
        <v>2.6751021221480521E-2</v>
      </c>
      <c r="W93" s="110">
        <f t="shared" si="463"/>
        <v>0</v>
      </c>
      <c r="X93" s="115">
        <f t="shared" si="464"/>
        <v>0</v>
      </c>
      <c r="Y93" s="110">
        <f t="shared" si="465"/>
        <v>0</v>
      </c>
      <c r="Z93" s="52">
        <f>Summ.!$A103</f>
        <v>51180</v>
      </c>
      <c r="AA93" s="108" t="str">
        <f>Summ.!$B103</f>
        <v>Grease Trap Maintenance</v>
      </c>
      <c r="AB93" s="110">
        <f t="shared" si="536"/>
        <v>0</v>
      </c>
      <c r="AC93" s="110">
        <v>0</v>
      </c>
      <c r="AD93" s="110">
        <f t="shared" si="537"/>
        <v>0</v>
      </c>
      <c r="AE93" s="113">
        <f t="shared" si="466"/>
        <v>4.9815681976686258E-3</v>
      </c>
      <c r="AF93" s="110">
        <f t="shared" si="467"/>
        <v>0</v>
      </c>
      <c r="AG93" s="115">
        <f t="shared" si="468"/>
        <v>0</v>
      </c>
      <c r="AH93" s="110">
        <f t="shared" si="469"/>
        <v>0</v>
      </c>
      <c r="AI93" s="52">
        <f>Summ.!$A103</f>
        <v>51180</v>
      </c>
      <c r="AJ93" s="108" t="str">
        <f>Summ.!$B103</f>
        <v>Grease Trap Maintenance</v>
      </c>
      <c r="AK93" s="110">
        <f t="shared" si="538"/>
        <v>0</v>
      </c>
      <c r="AL93" s="110">
        <f t="shared" si="539"/>
        <v>0</v>
      </c>
      <c r="AM93" s="110">
        <f t="shared" si="540"/>
        <v>0</v>
      </c>
      <c r="AN93" s="113">
        <f t="shared" si="470"/>
        <v>1.2902261631961742E-2</v>
      </c>
      <c r="AO93" s="110">
        <f t="shared" si="471"/>
        <v>0</v>
      </c>
      <c r="AP93" s="115">
        <f t="shared" si="472"/>
        <v>0</v>
      </c>
      <c r="AQ93" s="110">
        <f t="shared" si="473"/>
        <v>0</v>
      </c>
      <c r="AR93" s="52">
        <f>Summ.!$A103</f>
        <v>51180</v>
      </c>
      <c r="AS93" s="108" t="str">
        <f>Summ.!$B103</f>
        <v>Grease Trap Maintenance</v>
      </c>
      <c r="AT93" s="110">
        <f t="shared" si="541"/>
        <v>0</v>
      </c>
      <c r="AU93" s="110">
        <f t="shared" si="542"/>
        <v>0</v>
      </c>
      <c r="AV93" s="110">
        <f t="shared" si="543"/>
        <v>0</v>
      </c>
      <c r="AW93" s="113">
        <f t="shared" si="474"/>
        <v>1.3076616518880143E-2</v>
      </c>
      <c r="AX93" s="110">
        <f t="shared" si="475"/>
        <v>0</v>
      </c>
      <c r="AY93" s="115">
        <f t="shared" si="476"/>
        <v>0</v>
      </c>
      <c r="AZ93" s="110">
        <f t="shared" si="477"/>
        <v>0</v>
      </c>
      <c r="BA93" s="52">
        <f>Summ.!$A103</f>
        <v>51180</v>
      </c>
      <c r="BB93" s="108" t="str">
        <f>Summ.!$B103</f>
        <v>Grease Trap Maintenance</v>
      </c>
      <c r="BC93" s="110">
        <f t="shared" si="544"/>
        <v>0</v>
      </c>
      <c r="BD93" s="110">
        <f t="shared" si="545"/>
        <v>0</v>
      </c>
      <c r="BE93" s="110">
        <f t="shared" si="546"/>
        <v>0</v>
      </c>
      <c r="BF93" s="113" t="e">
        <f t="shared" si="478"/>
        <v>#REF!</v>
      </c>
      <c r="BG93" s="110" t="e">
        <f t="shared" si="479"/>
        <v>#REF!</v>
      </c>
      <c r="BH93" s="115" t="e">
        <f t="shared" si="480"/>
        <v>#REF!</v>
      </c>
      <c r="BI93" s="110" t="e">
        <f t="shared" si="481"/>
        <v>#REF!</v>
      </c>
      <c r="BJ93" s="52">
        <f>Summ.!$A103</f>
        <v>51180</v>
      </c>
      <c r="BK93" s="108" t="str">
        <f>Summ.!$B103</f>
        <v>Grease Trap Maintenance</v>
      </c>
      <c r="BL93" s="110">
        <f t="shared" si="547"/>
        <v>0</v>
      </c>
      <c r="BM93" s="110">
        <f t="shared" si="482"/>
        <v>0</v>
      </c>
      <c r="BN93" s="110">
        <f t="shared" si="548"/>
        <v>0</v>
      </c>
      <c r="BO93" s="113">
        <f t="shared" si="483"/>
        <v>2.4758393942413071E-2</v>
      </c>
      <c r="BP93" s="110">
        <f t="shared" si="484"/>
        <v>0</v>
      </c>
      <c r="BQ93" s="115">
        <f t="shared" si="485"/>
        <v>0</v>
      </c>
      <c r="BR93" s="110">
        <f t="shared" si="486"/>
        <v>0</v>
      </c>
      <c r="BS93" s="52">
        <f>Summ.!$A103</f>
        <v>51180</v>
      </c>
      <c r="BT93" s="108" t="str">
        <f>Summ.!$B103</f>
        <v>Grease Trap Maintenance</v>
      </c>
      <c r="BU93" s="110">
        <f t="shared" si="549"/>
        <v>0</v>
      </c>
      <c r="BV93" s="110">
        <f t="shared" si="550"/>
        <v>0</v>
      </c>
      <c r="BW93" s="110">
        <f t="shared" si="551"/>
        <v>0</v>
      </c>
      <c r="BX93" s="113">
        <f t="shared" si="487"/>
        <v>2.5978878150841885E-2</v>
      </c>
      <c r="BY93" s="110">
        <f t="shared" si="488"/>
        <v>0</v>
      </c>
      <c r="BZ93" s="115">
        <f t="shared" si="489"/>
        <v>0</v>
      </c>
      <c r="CA93" s="110">
        <f t="shared" si="490"/>
        <v>0</v>
      </c>
      <c r="CB93" s="52">
        <f>Summ.!$A103</f>
        <v>51180</v>
      </c>
      <c r="CC93" s="108" t="str">
        <f>Summ.!$B103</f>
        <v>Grease Trap Maintenance</v>
      </c>
      <c r="CD93" s="110">
        <f t="shared" si="552"/>
        <v>0</v>
      </c>
      <c r="CE93" s="110">
        <v>0</v>
      </c>
      <c r="CF93" s="110">
        <f t="shared" si="553"/>
        <v>0</v>
      </c>
      <c r="CG93" s="113">
        <f t="shared" si="491"/>
        <v>8.7825047324897876E-2</v>
      </c>
      <c r="CH93" s="110">
        <f t="shared" si="492"/>
        <v>0</v>
      </c>
      <c r="CI93" s="115">
        <f t="shared" si="493"/>
        <v>0</v>
      </c>
      <c r="CJ93" s="110">
        <f t="shared" si="494"/>
        <v>0</v>
      </c>
      <c r="CK93" s="52">
        <f>Summ.!$A103</f>
        <v>51180</v>
      </c>
      <c r="CL93" s="108" t="str">
        <f>Summ.!$B103</f>
        <v>Grease Trap Maintenance</v>
      </c>
      <c r="CM93" s="110">
        <f t="shared" si="554"/>
        <v>0</v>
      </c>
      <c r="CN93" s="110">
        <f t="shared" si="555"/>
        <v>0</v>
      </c>
      <c r="CO93" s="110">
        <f t="shared" si="556"/>
        <v>0</v>
      </c>
      <c r="CP93" s="113">
        <f t="shared" si="495"/>
        <v>0.26741058085085184</v>
      </c>
      <c r="CQ93" s="110">
        <f t="shared" si="496"/>
        <v>0</v>
      </c>
      <c r="CR93" s="115">
        <f t="shared" si="497"/>
        <v>0</v>
      </c>
      <c r="CS93" s="110">
        <f t="shared" si="498"/>
        <v>0</v>
      </c>
      <c r="CT93" s="52">
        <f>Summ.!$A103</f>
        <v>51180</v>
      </c>
      <c r="CU93" s="108" t="str">
        <f>Summ.!$B103</f>
        <v>Grease Trap Maintenance</v>
      </c>
      <c r="CV93" s="110">
        <f t="shared" si="557"/>
        <v>0</v>
      </c>
      <c r="CW93" s="110">
        <v>0</v>
      </c>
      <c r="CX93" s="110">
        <f t="shared" si="558"/>
        <v>0</v>
      </c>
      <c r="CY93" s="113">
        <f t="shared" si="499"/>
        <v>7.472352296502939E-2</v>
      </c>
      <c r="CZ93" s="110">
        <f t="shared" si="500"/>
        <v>0</v>
      </c>
      <c r="DA93" s="115">
        <f t="shared" si="501"/>
        <v>0</v>
      </c>
      <c r="DB93" s="110">
        <f t="shared" si="502"/>
        <v>0</v>
      </c>
      <c r="DC93" s="52">
        <f>Summ.!$A103</f>
        <v>51180</v>
      </c>
      <c r="DD93" s="108" t="str">
        <f>Summ.!$B103</f>
        <v>Grease Trap Maintenance</v>
      </c>
      <c r="DE93" s="110">
        <f t="shared" si="559"/>
        <v>0</v>
      </c>
      <c r="DF93" s="110">
        <v>0</v>
      </c>
      <c r="DG93" s="110">
        <f t="shared" si="560"/>
        <v>0</v>
      </c>
      <c r="DH93" s="113">
        <f t="shared" si="503"/>
        <v>1.2453920494171565E-2</v>
      </c>
      <c r="DI93" s="110">
        <f t="shared" si="504"/>
        <v>0</v>
      </c>
      <c r="DJ93" s="115">
        <f t="shared" si="505"/>
        <v>0</v>
      </c>
      <c r="DK93" s="110">
        <f t="shared" si="506"/>
        <v>0</v>
      </c>
      <c r="DL93" s="52">
        <f>Summ.!$A103</f>
        <v>51180</v>
      </c>
      <c r="DM93" s="108" t="str">
        <f>Summ.!$B103</f>
        <v>Grease Trap Maintenance</v>
      </c>
      <c r="DN93" s="110">
        <f t="shared" si="561"/>
        <v>0</v>
      </c>
      <c r="DO93" s="110">
        <f t="shared" si="621"/>
        <v>0</v>
      </c>
      <c r="DP93" s="110">
        <f t="shared" si="563"/>
        <v>0</v>
      </c>
      <c r="DQ93" s="113">
        <f t="shared" si="507"/>
        <v>7.2133107502241708E-2</v>
      </c>
      <c r="DR93" s="110">
        <f t="shared" si="508"/>
        <v>0</v>
      </c>
      <c r="DS93" s="115">
        <f t="shared" si="509"/>
        <v>0</v>
      </c>
      <c r="DT93" s="110">
        <f t="shared" si="510"/>
        <v>0</v>
      </c>
      <c r="DU93" s="52">
        <f>Summ.!$A103</f>
        <v>51180</v>
      </c>
      <c r="DV93" s="108" t="str">
        <f>Summ.!$B103</f>
        <v>Grease Trap Maintenance</v>
      </c>
      <c r="DW93" s="110">
        <f t="shared" si="564"/>
        <v>0</v>
      </c>
      <c r="DX93" s="110">
        <f t="shared" si="565"/>
        <v>0</v>
      </c>
      <c r="DY93" s="110">
        <f t="shared" si="566"/>
        <v>0</v>
      </c>
      <c r="DZ93" s="113">
        <f t="shared" si="511"/>
        <v>0.19961143768058184</v>
      </c>
      <c r="EA93" s="110">
        <f t="shared" si="512"/>
        <v>0</v>
      </c>
      <c r="EB93" s="115">
        <f t="shared" si="513"/>
        <v>0</v>
      </c>
      <c r="EC93" s="110">
        <f t="shared" si="514"/>
        <v>0</v>
      </c>
      <c r="ED93" s="52">
        <f>Summ.!$A103</f>
        <v>51180</v>
      </c>
      <c r="EE93" s="108" t="str">
        <f>Summ.!$B103</f>
        <v>Grease Trap Maintenance</v>
      </c>
      <c r="EF93" s="110">
        <f t="shared" si="567"/>
        <v>0</v>
      </c>
      <c r="EG93" s="110">
        <f t="shared" si="568"/>
        <v>0</v>
      </c>
      <c r="EH93" s="110">
        <f t="shared" si="569"/>
        <v>0</v>
      </c>
      <c r="EI93" s="113">
        <f t="shared" si="515"/>
        <v>0.16190096642423035</v>
      </c>
      <c r="EJ93" s="110">
        <f t="shared" si="516"/>
        <v>0</v>
      </c>
      <c r="EK93" s="115">
        <f t="shared" si="517"/>
        <v>0</v>
      </c>
      <c r="EL93" s="110">
        <f t="shared" si="518"/>
        <v>0</v>
      </c>
      <c r="EM93" s="52">
        <f>Summ.!$A103</f>
        <v>51180</v>
      </c>
      <c r="EN93" s="108" t="str">
        <f>Summ.!$B103</f>
        <v>Grease Trap Maintenance</v>
      </c>
      <c r="EO93" s="110">
        <f t="shared" si="570"/>
        <v>0</v>
      </c>
      <c r="EP93" s="110">
        <f t="shared" si="632"/>
        <v>0</v>
      </c>
      <c r="EQ93" s="110">
        <f t="shared" si="571"/>
        <v>0</v>
      </c>
      <c r="ER93" s="113">
        <f t="shared" si="519"/>
        <v>4.9641327089767859E-2</v>
      </c>
      <c r="ES93" s="110">
        <f t="shared" si="520"/>
        <v>0</v>
      </c>
      <c r="ET93" s="115">
        <f t="shared" si="521"/>
        <v>0</v>
      </c>
      <c r="EU93" s="110">
        <f t="shared" si="522"/>
        <v>0</v>
      </c>
      <c r="EV93" s="52">
        <f>Summ.!$A103</f>
        <v>51180</v>
      </c>
      <c r="EW93" s="108" t="str">
        <f>Summ.!$B103</f>
        <v>Grease Trap Maintenance</v>
      </c>
      <c r="EX93" s="110">
        <f t="shared" si="572"/>
        <v>0</v>
      </c>
      <c r="EY93" s="110">
        <f t="shared" si="573"/>
        <v>0</v>
      </c>
      <c r="EZ93" s="110">
        <f t="shared" si="574"/>
        <v>0</v>
      </c>
      <c r="FA93" s="113">
        <f t="shared" si="523"/>
        <v>2.3961343030786092E-2</v>
      </c>
      <c r="FB93" s="110">
        <f t="shared" si="524"/>
        <v>0</v>
      </c>
      <c r="FC93" s="115">
        <f t="shared" si="525"/>
        <v>0</v>
      </c>
      <c r="FD93" s="110">
        <f t="shared" si="526"/>
        <v>0</v>
      </c>
      <c r="FE93" s="52">
        <f>Summ.!$A103</f>
        <v>51180</v>
      </c>
      <c r="FF93" s="108" t="str">
        <f>Summ.!$B103</f>
        <v>Grease Trap Maintenance</v>
      </c>
      <c r="FG93" s="110">
        <f t="shared" si="575"/>
        <v>0</v>
      </c>
      <c r="FH93" s="110">
        <f t="shared" si="576"/>
        <v>0</v>
      </c>
      <c r="FI93" s="110">
        <f t="shared" si="577"/>
        <v>0</v>
      </c>
      <c r="FJ93" s="113">
        <f t="shared" si="527"/>
        <v>9.2258643020822956E-2</v>
      </c>
      <c r="FK93" s="110">
        <f t="shared" si="528"/>
        <v>0</v>
      </c>
      <c r="FL93" s="115">
        <f t="shared" si="529"/>
        <v>0</v>
      </c>
      <c r="FM93" s="110">
        <f t="shared" si="530"/>
        <v>0</v>
      </c>
    </row>
    <row r="94" spans="1:169">
      <c r="A94" s="52">
        <f>Summ.!A104</f>
        <v>55180</v>
      </c>
      <c r="B94" s="45" t="str">
        <f>Summ.!B104</f>
        <v>Water/Building and Sewer</v>
      </c>
      <c r="C94" s="45"/>
      <c r="D94" s="45"/>
      <c r="E94" s="45"/>
      <c r="F94" s="106">
        <f>+Summ.!O104</f>
        <v>79500</v>
      </c>
      <c r="G94" s="71">
        <f>Rent!$B$42</f>
        <v>40148</v>
      </c>
      <c r="H94" s="52">
        <f>Summ.!$A104</f>
        <v>55180</v>
      </c>
      <c r="I94" s="108" t="str">
        <f>Summ.!$B104</f>
        <v>Water/Building and Sewer</v>
      </c>
      <c r="J94" s="110">
        <f t="shared" si="531"/>
        <v>79500</v>
      </c>
      <c r="K94" s="110">
        <v>0</v>
      </c>
      <c r="L94" s="110">
        <f t="shared" si="532"/>
        <v>79500</v>
      </c>
      <c r="M94" s="113">
        <f t="shared" si="458"/>
        <v>9.6468068147852942E-2</v>
      </c>
      <c r="N94" s="110">
        <f t="shared" si="459"/>
        <v>7669.211417754309</v>
      </c>
      <c r="O94" s="115">
        <f t="shared" si="460"/>
        <v>0</v>
      </c>
      <c r="P94" s="110">
        <f t="shared" si="461"/>
        <v>7669.211417754309</v>
      </c>
      <c r="Q94" s="52">
        <f>Summ.!$A104</f>
        <v>55180</v>
      </c>
      <c r="R94" s="108" t="str">
        <f>Summ.!$B104</f>
        <v>Water/Building and Sewer</v>
      </c>
      <c r="S94" s="110">
        <f t="shared" si="533"/>
        <v>79500</v>
      </c>
      <c r="T94" s="110">
        <f t="shared" si="534"/>
        <v>0</v>
      </c>
      <c r="U94" s="110">
        <f t="shared" si="535"/>
        <v>79500</v>
      </c>
      <c r="V94" s="113">
        <f t="shared" si="462"/>
        <v>2.6751021221480521E-2</v>
      </c>
      <c r="W94" s="110">
        <f t="shared" si="463"/>
        <v>2126.7061871077012</v>
      </c>
      <c r="X94" s="115">
        <f t="shared" si="464"/>
        <v>0</v>
      </c>
      <c r="Y94" s="110">
        <f t="shared" si="465"/>
        <v>2126.7061871077012</v>
      </c>
      <c r="Z94" s="52">
        <f>Summ.!$A104</f>
        <v>55180</v>
      </c>
      <c r="AA94" s="108" t="str">
        <f>Summ.!$B104</f>
        <v>Water/Building and Sewer</v>
      </c>
      <c r="AB94" s="110">
        <f t="shared" si="536"/>
        <v>79500</v>
      </c>
      <c r="AC94" s="110">
        <v>0</v>
      </c>
      <c r="AD94" s="110">
        <f t="shared" si="537"/>
        <v>79500</v>
      </c>
      <c r="AE94" s="113">
        <f t="shared" si="466"/>
        <v>4.9815681976686258E-3</v>
      </c>
      <c r="AF94" s="110">
        <f t="shared" si="467"/>
        <v>396.03467171465576</v>
      </c>
      <c r="AG94" s="115">
        <f t="shared" si="468"/>
        <v>0</v>
      </c>
      <c r="AH94" s="110">
        <f t="shared" si="469"/>
        <v>396.03467171465576</v>
      </c>
      <c r="AI94" s="52">
        <f>Summ.!$A104</f>
        <v>55180</v>
      </c>
      <c r="AJ94" s="108" t="str">
        <f>Summ.!$B104</f>
        <v>Water/Building and Sewer</v>
      </c>
      <c r="AK94" s="110">
        <f t="shared" si="538"/>
        <v>79500</v>
      </c>
      <c r="AL94" s="110">
        <f t="shared" si="539"/>
        <v>0</v>
      </c>
      <c r="AM94" s="110">
        <f t="shared" si="540"/>
        <v>79500</v>
      </c>
      <c r="AN94" s="113">
        <f t="shared" si="470"/>
        <v>1.2902261631961742E-2</v>
      </c>
      <c r="AO94" s="110">
        <f t="shared" si="471"/>
        <v>1025.7297997409585</v>
      </c>
      <c r="AP94" s="115">
        <f t="shared" si="472"/>
        <v>0</v>
      </c>
      <c r="AQ94" s="110">
        <f t="shared" si="473"/>
        <v>1025.7297997409585</v>
      </c>
      <c r="AR94" s="52">
        <f>Summ.!$A104</f>
        <v>55180</v>
      </c>
      <c r="AS94" s="108" t="str">
        <f>Summ.!$B104</f>
        <v>Water/Building and Sewer</v>
      </c>
      <c r="AT94" s="110">
        <f t="shared" si="541"/>
        <v>79500</v>
      </c>
      <c r="AU94" s="110">
        <f t="shared" si="542"/>
        <v>0</v>
      </c>
      <c r="AV94" s="110">
        <f t="shared" si="543"/>
        <v>79500</v>
      </c>
      <c r="AW94" s="113">
        <f t="shared" si="474"/>
        <v>1.3076616518880143E-2</v>
      </c>
      <c r="AX94" s="110">
        <f t="shared" si="475"/>
        <v>1039.5910132509714</v>
      </c>
      <c r="AY94" s="115">
        <f t="shared" si="476"/>
        <v>0</v>
      </c>
      <c r="AZ94" s="110">
        <f t="shared" si="477"/>
        <v>1039.5910132509714</v>
      </c>
      <c r="BA94" s="52">
        <f>Summ.!$A104</f>
        <v>55180</v>
      </c>
      <c r="BB94" s="108" t="str">
        <f>Summ.!$B104</f>
        <v>Water/Building and Sewer</v>
      </c>
      <c r="BC94" s="110">
        <f t="shared" si="544"/>
        <v>79500</v>
      </c>
      <c r="BD94" s="110">
        <f t="shared" si="545"/>
        <v>0</v>
      </c>
      <c r="BE94" s="110">
        <f t="shared" si="546"/>
        <v>79500</v>
      </c>
      <c r="BF94" s="113" t="e">
        <f t="shared" si="478"/>
        <v>#REF!</v>
      </c>
      <c r="BG94" s="110" t="e">
        <f t="shared" si="479"/>
        <v>#REF!</v>
      </c>
      <c r="BH94" s="115" t="e">
        <f t="shared" si="480"/>
        <v>#REF!</v>
      </c>
      <c r="BI94" s="110" t="e">
        <f t="shared" si="481"/>
        <v>#REF!</v>
      </c>
      <c r="BJ94" s="52">
        <f>Summ.!$A104</f>
        <v>55180</v>
      </c>
      <c r="BK94" s="108" t="str">
        <f>Summ.!$B104</f>
        <v>Water/Building and Sewer</v>
      </c>
      <c r="BL94" s="110">
        <f t="shared" si="547"/>
        <v>79500</v>
      </c>
      <c r="BM94" s="110">
        <f t="shared" si="482"/>
        <v>0</v>
      </c>
      <c r="BN94" s="110">
        <f t="shared" si="548"/>
        <v>79500</v>
      </c>
      <c r="BO94" s="113">
        <f t="shared" si="483"/>
        <v>2.4758393942413071E-2</v>
      </c>
      <c r="BP94" s="110">
        <f t="shared" si="484"/>
        <v>1968.2923184218391</v>
      </c>
      <c r="BQ94" s="115">
        <f t="shared" si="485"/>
        <v>0</v>
      </c>
      <c r="BR94" s="110">
        <f t="shared" si="486"/>
        <v>1968.2923184218391</v>
      </c>
      <c r="BS94" s="52">
        <f>Summ.!$A104</f>
        <v>55180</v>
      </c>
      <c r="BT94" s="108" t="str">
        <f>Summ.!$B104</f>
        <v>Water/Building and Sewer</v>
      </c>
      <c r="BU94" s="110">
        <f t="shared" si="549"/>
        <v>79500</v>
      </c>
      <c r="BV94" s="110">
        <f t="shared" si="550"/>
        <v>0</v>
      </c>
      <c r="BW94" s="110">
        <f t="shared" si="551"/>
        <v>79500</v>
      </c>
      <c r="BX94" s="113">
        <f t="shared" si="487"/>
        <v>2.5978878150841885E-2</v>
      </c>
      <c r="BY94" s="110">
        <f t="shared" si="488"/>
        <v>2065.3208129919299</v>
      </c>
      <c r="BZ94" s="115">
        <f t="shared" si="489"/>
        <v>0</v>
      </c>
      <c r="CA94" s="110">
        <f t="shared" si="490"/>
        <v>2065.3208129919299</v>
      </c>
      <c r="CB94" s="52">
        <f>Summ.!$A104</f>
        <v>55180</v>
      </c>
      <c r="CC94" s="108" t="str">
        <f>Summ.!$B104</f>
        <v>Water/Building and Sewer</v>
      </c>
      <c r="CD94" s="110">
        <f t="shared" si="552"/>
        <v>79500</v>
      </c>
      <c r="CE94" s="110">
        <v>0</v>
      </c>
      <c r="CF94" s="110">
        <f t="shared" si="553"/>
        <v>79500</v>
      </c>
      <c r="CG94" s="113">
        <f t="shared" si="491"/>
        <v>8.7825047324897876E-2</v>
      </c>
      <c r="CH94" s="110">
        <f t="shared" si="492"/>
        <v>6982.0912623293807</v>
      </c>
      <c r="CI94" s="115">
        <f t="shared" si="493"/>
        <v>0</v>
      </c>
      <c r="CJ94" s="110">
        <f t="shared" si="494"/>
        <v>6982.0912623293807</v>
      </c>
      <c r="CK94" s="52">
        <f>Summ.!$A104</f>
        <v>55180</v>
      </c>
      <c r="CL94" s="108" t="str">
        <f>Summ.!$B104</f>
        <v>Water/Building and Sewer</v>
      </c>
      <c r="CM94" s="110">
        <f t="shared" si="554"/>
        <v>79500</v>
      </c>
      <c r="CN94" s="110">
        <f t="shared" si="555"/>
        <v>0</v>
      </c>
      <c r="CO94" s="110">
        <f t="shared" si="556"/>
        <v>79500</v>
      </c>
      <c r="CP94" s="113">
        <f t="shared" si="495"/>
        <v>0.26741058085085184</v>
      </c>
      <c r="CQ94" s="110">
        <f t="shared" si="496"/>
        <v>21259.141177642723</v>
      </c>
      <c r="CR94" s="115">
        <f t="shared" si="497"/>
        <v>0</v>
      </c>
      <c r="CS94" s="110">
        <f t="shared" si="498"/>
        <v>21259.141177642723</v>
      </c>
      <c r="CT94" s="52">
        <f>Summ.!$A104</f>
        <v>55180</v>
      </c>
      <c r="CU94" s="108" t="str">
        <f>Summ.!$B104</f>
        <v>Water/Building and Sewer</v>
      </c>
      <c r="CV94" s="110">
        <f t="shared" si="557"/>
        <v>79500</v>
      </c>
      <c r="CW94" s="110">
        <v>0</v>
      </c>
      <c r="CX94" s="110">
        <f t="shared" si="558"/>
        <v>79500</v>
      </c>
      <c r="CY94" s="113">
        <f t="shared" si="499"/>
        <v>7.472352296502939E-2</v>
      </c>
      <c r="CZ94" s="110">
        <f t="shared" si="500"/>
        <v>5940.5200757198363</v>
      </c>
      <c r="DA94" s="115">
        <f t="shared" si="501"/>
        <v>0</v>
      </c>
      <c r="DB94" s="110">
        <f t="shared" si="502"/>
        <v>5940.5200757198363</v>
      </c>
      <c r="DC94" s="52">
        <f>Summ.!$A104</f>
        <v>55180</v>
      </c>
      <c r="DD94" s="108" t="str">
        <f>Summ.!$B104</f>
        <v>Water/Building and Sewer</v>
      </c>
      <c r="DE94" s="110">
        <f t="shared" si="559"/>
        <v>79500</v>
      </c>
      <c r="DF94" s="110">
        <v>0</v>
      </c>
      <c r="DG94" s="110">
        <f t="shared" si="560"/>
        <v>79500</v>
      </c>
      <c r="DH94" s="113">
        <f t="shared" si="503"/>
        <v>1.2453920494171565E-2</v>
      </c>
      <c r="DI94" s="110">
        <f t="shared" si="504"/>
        <v>990.08667928663942</v>
      </c>
      <c r="DJ94" s="115">
        <f t="shared" si="505"/>
        <v>0</v>
      </c>
      <c r="DK94" s="110">
        <f t="shared" si="506"/>
        <v>990.08667928663942</v>
      </c>
      <c r="DL94" s="52">
        <f>Summ.!$A104</f>
        <v>55180</v>
      </c>
      <c r="DM94" s="108" t="str">
        <f>Summ.!$B104</f>
        <v>Water/Building and Sewer</v>
      </c>
      <c r="DN94" s="110">
        <f t="shared" si="561"/>
        <v>79500</v>
      </c>
      <c r="DO94" s="110">
        <f>-DN94</f>
        <v>-79500</v>
      </c>
      <c r="DP94" s="110">
        <f t="shared" si="563"/>
        <v>0</v>
      </c>
      <c r="DQ94" s="113">
        <f t="shared" si="507"/>
        <v>7.2133107502241708E-2</v>
      </c>
      <c r="DR94" s="110">
        <f t="shared" si="508"/>
        <v>0</v>
      </c>
      <c r="DS94" s="115">
        <f t="shared" si="509"/>
        <v>0</v>
      </c>
      <c r="DT94" s="110">
        <f t="shared" si="510"/>
        <v>0</v>
      </c>
      <c r="DU94" s="52">
        <f>Summ.!$A104</f>
        <v>55180</v>
      </c>
      <c r="DV94" s="108" t="str">
        <f>Summ.!$B104</f>
        <v>Water/Building and Sewer</v>
      </c>
      <c r="DW94" s="110">
        <f t="shared" si="564"/>
        <v>79500</v>
      </c>
      <c r="DX94" s="110">
        <f>-DW94</f>
        <v>-79500</v>
      </c>
      <c r="DY94" s="110">
        <f t="shared" si="566"/>
        <v>0</v>
      </c>
      <c r="DZ94" s="113">
        <f t="shared" si="511"/>
        <v>0.19961143768058184</v>
      </c>
      <c r="EA94" s="110">
        <f t="shared" si="512"/>
        <v>0</v>
      </c>
      <c r="EB94" s="115">
        <f t="shared" si="513"/>
        <v>0</v>
      </c>
      <c r="EC94" s="110">
        <f t="shared" si="514"/>
        <v>0</v>
      </c>
      <c r="ED94" s="52">
        <f>Summ.!$A104</f>
        <v>55180</v>
      </c>
      <c r="EJ94" s="110">
        <f t="shared" si="516"/>
        <v>0</v>
      </c>
      <c r="EK94" s="115">
        <f t="shared" si="517"/>
        <v>0</v>
      </c>
      <c r="EL94" s="110">
        <f t="shared" si="518"/>
        <v>0</v>
      </c>
      <c r="EM94" s="52">
        <f>Summ.!$A104</f>
        <v>55180</v>
      </c>
      <c r="EN94" s="108" t="str">
        <f>Summ.!$B104</f>
        <v>Water/Building and Sewer</v>
      </c>
      <c r="EO94" s="110">
        <f t="shared" si="570"/>
        <v>79500</v>
      </c>
      <c r="EP94" s="110">
        <f>+EG69</f>
        <v>-79500</v>
      </c>
      <c r="EQ94" s="110">
        <f t="shared" si="571"/>
        <v>0</v>
      </c>
      <c r="ER94" s="113">
        <f t="shared" si="519"/>
        <v>4.9641327089767859E-2</v>
      </c>
      <c r="ES94" s="110">
        <f t="shared" si="520"/>
        <v>0</v>
      </c>
      <c r="ET94" s="115">
        <f t="shared" si="521"/>
        <v>0</v>
      </c>
      <c r="EU94" s="110">
        <f t="shared" si="522"/>
        <v>0</v>
      </c>
      <c r="EV94" s="52">
        <f>Summ.!$A104</f>
        <v>55180</v>
      </c>
      <c r="EW94" s="108" t="str">
        <f>Summ.!$B104</f>
        <v>Water/Building and Sewer</v>
      </c>
      <c r="EX94" s="110">
        <f t="shared" si="572"/>
        <v>79500</v>
      </c>
      <c r="EY94" s="110">
        <f t="shared" si="573"/>
        <v>-79500</v>
      </c>
      <c r="EZ94" s="110">
        <f t="shared" si="574"/>
        <v>0</v>
      </c>
      <c r="FA94" s="113">
        <f t="shared" si="523"/>
        <v>2.3961343030786092E-2</v>
      </c>
      <c r="FB94" s="110">
        <f t="shared" si="524"/>
        <v>0</v>
      </c>
      <c r="FC94" s="115">
        <f t="shared" si="525"/>
        <v>0</v>
      </c>
      <c r="FD94" s="110">
        <f t="shared" si="526"/>
        <v>0</v>
      </c>
      <c r="FE94" s="52">
        <f>Summ.!$A104</f>
        <v>55180</v>
      </c>
      <c r="FF94" s="108" t="str">
        <f>Summ.!$B104</f>
        <v>Water/Building and Sewer</v>
      </c>
      <c r="FG94" s="110">
        <f t="shared" si="575"/>
        <v>79500</v>
      </c>
      <c r="FH94" s="110">
        <f t="shared" si="576"/>
        <v>-79500</v>
      </c>
      <c r="FI94" s="110">
        <f t="shared" si="577"/>
        <v>0</v>
      </c>
      <c r="FJ94" s="113">
        <f t="shared" si="527"/>
        <v>9.2258643020822956E-2</v>
      </c>
      <c r="FK94" s="110">
        <f t="shared" si="528"/>
        <v>0</v>
      </c>
      <c r="FL94" s="115">
        <f t="shared" si="529"/>
        <v>0</v>
      </c>
      <c r="FM94" s="110">
        <f t="shared" si="530"/>
        <v>0</v>
      </c>
    </row>
    <row r="95" spans="1:169">
      <c r="A95" s="52"/>
      <c r="B95" s="45"/>
      <c r="C95" s="45"/>
      <c r="D95" s="45"/>
      <c r="E95" s="45"/>
      <c r="F95" s="106"/>
      <c r="I95" s="117"/>
      <c r="J95" s="110"/>
      <c r="K95" s="110"/>
      <c r="L95" s="110"/>
      <c r="M95" s="113"/>
      <c r="N95" s="110"/>
      <c r="P95" s="110"/>
      <c r="R95" s="117"/>
      <c r="S95" s="110"/>
      <c r="T95" s="110"/>
      <c r="U95" s="110"/>
      <c r="V95" s="113"/>
      <c r="W95" s="110"/>
      <c r="Y95" s="110"/>
      <c r="AA95" s="117"/>
      <c r="AB95" s="110"/>
      <c r="AC95" s="110"/>
      <c r="AD95" s="110"/>
      <c r="AE95" s="113"/>
      <c r="AF95" s="110"/>
      <c r="AH95" s="110"/>
      <c r="AJ95" s="117"/>
      <c r="AK95" s="110"/>
      <c r="AL95" s="110"/>
      <c r="AM95" s="110"/>
      <c r="AN95" s="113"/>
      <c r="AO95" s="110"/>
      <c r="AQ95" s="110"/>
      <c r="AS95" s="117"/>
      <c r="AT95" s="110"/>
      <c r="AU95" s="110"/>
      <c r="AV95" s="110"/>
      <c r="AW95" s="113"/>
      <c r="AX95" s="110"/>
      <c r="AZ95" s="110"/>
      <c r="BB95" s="117"/>
      <c r="BC95" s="110"/>
      <c r="BD95" s="110"/>
      <c r="BE95" s="110"/>
      <c r="BF95" s="113"/>
      <c r="BG95" s="110"/>
      <c r="BI95" s="110"/>
      <c r="BK95" s="117"/>
      <c r="BL95" s="110"/>
      <c r="BM95" s="110"/>
      <c r="BN95" s="110"/>
      <c r="BO95" s="113"/>
      <c r="BP95" s="110"/>
      <c r="BR95" s="110"/>
      <c r="BT95" s="117"/>
      <c r="BU95" s="110"/>
      <c r="BV95" s="110"/>
      <c r="BW95" s="110"/>
      <c r="BX95" s="113"/>
      <c r="BY95" s="110"/>
      <c r="CA95" s="110"/>
      <c r="CC95" s="117"/>
      <c r="CD95" s="110"/>
      <c r="CE95" s="110"/>
      <c r="CF95" s="110"/>
      <c r="CG95" s="113"/>
      <c r="CH95" s="110"/>
      <c r="CJ95" s="110"/>
      <c r="CL95" s="117"/>
      <c r="CM95" s="110"/>
      <c r="CN95" s="110"/>
      <c r="CO95" s="110"/>
      <c r="CP95" s="113"/>
      <c r="CQ95" s="110"/>
      <c r="CS95" s="110"/>
      <c r="CU95" s="117"/>
      <c r="CV95" s="110"/>
      <c r="CW95" s="110"/>
      <c r="CX95" s="110"/>
      <c r="CY95" s="113"/>
      <c r="CZ95" s="110"/>
      <c r="DB95" s="110"/>
      <c r="DD95" s="117"/>
      <c r="DE95" s="110"/>
      <c r="DF95" s="110"/>
      <c r="DG95" s="110"/>
      <c r="DH95" s="113"/>
      <c r="DI95" s="110"/>
      <c r="DK95" s="110"/>
      <c r="DM95" s="117"/>
      <c r="DN95" s="110"/>
      <c r="DO95" s="110"/>
      <c r="DP95" s="110"/>
      <c r="DQ95" s="113"/>
      <c r="DR95" s="110"/>
      <c r="DT95" s="110"/>
      <c r="DV95" s="117"/>
      <c r="DW95" s="110"/>
      <c r="DX95" s="110"/>
      <c r="DY95" s="110"/>
      <c r="DZ95" s="113"/>
      <c r="EA95" s="110"/>
      <c r="EC95" s="110"/>
      <c r="EE95" s="117"/>
      <c r="EF95" s="110"/>
      <c r="EG95" s="110"/>
      <c r="EH95" s="110"/>
      <c r="EI95" s="113"/>
      <c r="EJ95" s="110"/>
      <c r="EL95" s="110"/>
      <c r="EN95" s="117"/>
      <c r="EO95" s="110"/>
      <c r="EP95" s="110"/>
      <c r="EQ95" s="110"/>
      <c r="ER95" s="113"/>
      <c r="ES95" s="110"/>
      <c r="EU95" s="110"/>
      <c r="EW95" s="117"/>
      <c r="EX95" s="110"/>
      <c r="EY95" s="110"/>
      <c r="EZ95" s="110"/>
      <c r="FA95" s="113"/>
      <c r="FB95" s="110"/>
      <c r="FD95" s="110"/>
      <c r="FF95" s="117"/>
      <c r="FG95" s="110"/>
      <c r="FH95" s="110"/>
      <c r="FI95" s="110"/>
      <c r="FJ95" s="113"/>
      <c r="FK95" s="110"/>
      <c r="FM95" s="110"/>
    </row>
    <row r="96" spans="1:169">
      <c r="A96" s="52"/>
      <c r="B96" s="169" t="str">
        <f>Summ.!B106</f>
        <v>SUBTOTAL BUILDING EXP.</v>
      </c>
      <c r="C96" s="265"/>
      <c r="D96" s="265"/>
      <c r="E96" s="265"/>
      <c r="F96" s="268">
        <f>SUM(F82:F95)</f>
        <v>115757</v>
      </c>
      <c r="I96" s="170" t="s">
        <v>270</v>
      </c>
      <c r="J96" s="171">
        <f>SUM(J82:J95)</f>
        <v>115757</v>
      </c>
      <c r="K96" s="171">
        <f>SUM(K82:K95)</f>
        <v>0</v>
      </c>
      <c r="L96" s="171">
        <f>SUM(L82:L95)</f>
        <v>115757</v>
      </c>
      <c r="M96" s="229"/>
      <c r="N96" s="171">
        <f>SUM(N82:N95)</f>
        <v>11166.854164591014</v>
      </c>
      <c r="O96" s="171">
        <f>SUM(O82:O95)</f>
        <v>0</v>
      </c>
      <c r="P96" s="173">
        <f>SUM(P82:P95)</f>
        <v>11166.854164591014</v>
      </c>
      <c r="R96" s="170" t="s">
        <v>270</v>
      </c>
      <c r="S96" s="171">
        <f>SUM(S82:S95)</f>
        <v>115757</v>
      </c>
      <c r="T96" s="171">
        <f>SUM(T82:T94)</f>
        <v>0</v>
      </c>
      <c r="U96" s="171">
        <f>SUM(U82:U95)</f>
        <v>115757</v>
      </c>
      <c r="V96" s="229"/>
      <c r="W96" s="171">
        <f>SUM(W82:W95)</f>
        <v>3096.6179635349204</v>
      </c>
      <c r="X96" s="171">
        <f>SUM(X82:X95)</f>
        <v>0</v>
      </c>
      <c r="Y96" s="173">
        <f>SUM(Y82:Y95)</f>
        <v>3096.6179635349204</v>
      </c>
      <c r="AA96" s="170" t="s">
        <v>270</v>
      </c>
      <c r="AB96" s="171">
        <f>SUM(AB82:AB95)</f>
        <v>115757</v>
      </c>
      <c r="AC96" s="171">
        <f>SUM(AC82:AC93)</f>
        <v>0</v>
      </c>
      <c r="AD96" s="171">
        <f>SUM(AD82:AD95)</f>
        <v>115757</v>
      </c>
      <c r="AE96" s="229"/>
      <c r="AF96" s="171">
        <f>SUM(AF82:AF95)</f>
        <v>576.65138985752719</v>
      </c>
      <c r="AG96" s="171">
        <f>SUM(AG82:AG95)</f>
        <v>0</v>
      </c>
      <c r="AH96" s="173">
        <f>SUM(AH82:AH95)</f>
        <v>576.65138985752719</v>
      </c>
      <c r="AJ96" s="170" t="s">
        <v>270</v>
      </c>
      <c r="AK96" s="171">
        <f>SUM(AK82:AK95)</f>
        <v>115757</v>
      </c>
      <c r="AL96" s="171">
        <f>SUM(AL82:AL93)</f>
        <v>0</v>
      </c>
      <c r="AM96" s="171">
        <f>SUM(AM82:AM95)</f>
        <v>115757</v>
      </c>
      <c r="AN96" s="229"/>
      <c r="AO96" s="171">
        <f>SUM(AO82:AO95)</f>
        <v>1493.5270997309954</v>
      </c>
      <c r="AP96" s="171">
        <f>SUM(AP82:AP95)</f>
        <v>0</v>
      </c>
      <c r="AQ96" s="173">
        <f>SUM(AQ82:AQ95)</f>
        <v>1493.5270997309954</v>
      </c>
      <c r="AS96" s="170" t="s">
        <v>270</v>
      </c>
      <c r="AT96" s="171">
        <f>SUM(AT82:AT95)</f>
        <v>115757</v>
      </c>
      <c r="AU96" s="171">
        <f>SUM(AU82:AU93)</f>
        <v>0</v>
      </c>
      <c r="AV96" s="171">
        <f>SUM(AV82:AV95)</f>
        <v>115757</v>
      </c>
      <c r="AW96" s="229"/>
      <c r="AX96" s="171">
        <f>SUM(AX82:AX95)</f>
        <v>1513.7098983760088</v>
      </c>
      <c r="AY96" s="171">
        <f>SUM(AY82:AY95)</f>
        <v>0</v>
      </c>
      <c r="AZ96" s="173">
        <f>SUM(AZ82:AZ95)</f>
        <v>1513.7098983760088</v>
      </c>
      <c r="BB96" s="170" t="s">
        <v>270</v>
      </c>
      <c r="BC96" s="171">
        <f>SUM(BC82:BC95)</f>
        <v>115757</v>
      </c>
      <c r="BD96" s="171">
        <f>SUM(BD82:BD93)</f>
        <v>0</v>
      </c>
      <c r="BE96" s="171">
        <f>SUM(BE82:BE95)</f>
        <v>115757</v>
      </c>
      <c r="BF96" s="229"/>
      <c r="BG96" s="171" t="e">
        <f>SUM(BG82:BG95)</f>
        <v>#REF!</v>
      </c>
      <c r="BH96" s="171" t="e">
        <f>SUM(BH82:BH95)</f>
        <v>#REF!</v>
      </c>
      <c r="BI96" s="173" t="e">
        <f>SUM(BI82:BI95)</f>
        <v>#REF!</v>
      </c>
      <c r="BK96" s="170" t="s">
        <v>270</v>
      </c>
      <c r="BL96" s="171">
        <f>SUM(BL82:BL95)</f>
        <v>115757</v>
      </c>
      <c r="BM96" s="171">
        <f>SUM(BM82:BM93)</f>
        <v>0</v>
      </c>
      <c r="BN96" s="171">
        <f>SUM(BN82:BN95)</f>
        <v>115757</v>
      </c>
      <c r="BO96" s="229"/>
      <c r="BP96" s="171">
        <f>SUM(BP82:BP95)</f>
        <v>2865.9574075919099</v>
      </c>
      <c r="BQ96" s="171">
        <f>SUM(BQ82:BQ95)</f>
        <v>0</v>
      </c>
      <c r="BR96" s="173">
        <f>SUM(BR82:BR95)</f>
        <v>2865.9574075919099</v>
      </c>
      <c r="BT96" s="170" t="s">
        <v>270</v>
      </c>
      <c r="BU96" s="171">
        <f>SUM(BU82:BU95)</f>
        <v>115757</v>
      </c>
      <c r="BV96" s="171">
        <f>SUM(BV82:BV93)</f>
        <v>0</v>
      </c>
      <c r="BW96" s="171">
        <f>SUM(BW82:BW95)</f>
        <v>115757</v>
      </c>
      <c r="BX96" s="229"/>
      <c r="BY96" s="171">
        <f>SUM(BY82:BY95)</f>
        <v>3007.2369981070042</v>
      </c>
      <c r="BZ96" s="171">
        <f>SUM(BZ82:BZ95)</f>
        <v>0</v>
      </c>
      <c r="CA96" s="173">
        <f>SUM(CA82:CA95)</f>
        <v>3007.2369981070042</v>
      </c>
      <c r="CC96" s="170" t="s">
        <v>270</v>
      </c>
      <c r="CD96" s="171">
        <f>SUM(CD82:CD95)</f>
        <v>115757</v>
      </c>
      <c r="CE96" s="171">
        <f>SUM(CE82:CE93)</f>
        <v>2</v>
      </c>
      <c r="CF96" s="171">
        <f>SUM(CF82:CF95)</f>
        <v>115759</v>
      </c>
      <c r="CG96" s="229"/>
      <c r="CH96" s="171">
        <f>SUM(CH82:CH95)</f>
        <v>10166.539653282853</v>
      </c>
      <c r="CI96" s="171">
        <f>SUM(CI82:CI95)</f>
        <v>0</v>
      </c>
      <c r="CJ96" s="173">
        <f>SUM(CJ82:CJ95)</f>
        <v>10166.539653282853</v>
      </c>
      <c r="CL96" s="170" t="s">
        <v>270</v>
      </c>
      <c r="CM96" s="171">
        <f>SUM(CM82:CM95)</f>
        <v>115757</v>
      </c>
      <c r="CN96" s="171">
        <f>SUM(CN82:CN93)</f>
        <v>2</v>
      </c>
      <c r="CO96" s="171">
        <f>SUM(CO82:CO95)</f>
        <v>115759</v>
      </c>
      <c r="CP96" s="229"/>
      <c r="CQ96" s="171">
        <f>SUM(CQ82:CQ95)</f>
        <v>30955.18142871376</v>
      </c>
      <c r="CR96" s="171">
        <f>SUM(CR82:CR95)</f>
        <v>0</v>
      </c>
      <c r="CS96" s="173">
        <f>SUM(CS82:CS95)</f>
        <v>30955.18142871376</v>
      </c>
      <c r="CU96" s="170" t="s">
        <v>270</v>
      </c>
      <c r="CV96" s="171">
        <f>SUM(CV82:CV95)</f>
        <v>115757</v>
      </c>
      <c r="CW96" s="171">
        <f>SUM(CW82:CW93)</f>
        <v>2</v>
      </c>
      <c r="CX96" s="171">
        <f>SUM(CX82:CX95)</f>
        <v>115759</v>
      </c>
      <c r="CY96" s="229"/>
      <c r="CZ96" s="171">
        <f>SUM(CZ82:CZ95)</f>
        <v>8649.9202949088376</v>
      </c>
      <c r="DA96" s="171">
        <f>SUM(DA82:DA95)</f>
        <v>0</v>
      </c>
      <c r="DB96" s="173">
        <f>SUM(DB82:DB95)</f>
        <v>8649.9202949088376</v>
      </c>
      <c r="DD96" s="170" t="s">
        <v>270</v>
      </c>
      <c r="DE96" s="171">
        <f>SUM(DE82:DE95)</f>
        <v>115757</v>
      </c>
      <c r="DF96" s="171">
        <f>SUM(DF82:DF93)</f>
        <v>2</v>
      </c>
      <c r="DG96" s="171">
        <f>SUM(DG82:DG95)</f>
        <v>115759</v>
      </c>
      <c r="DH96" s="229"/>
      <c r="DI96" s="171">
        <f>SUM(DI82:DI95)</f>
        <v>1441.6533824848061</v>
      </c>
      <c r="DJ96" s="171">
        <f>SUM(DJ82:DJ95)</f>
        <v>0</v>
      </c>
      <c r="DK96" s="173">
        <f>SUM(DK82:DK95)</f>
        <v>1441.6533824848061</v>
      </c>
      <c r="DM96" s="170" t="s">
        <v>270</v>
      </c>
      <c r="DN96" s="171">
        <f>SUM(DN82:DN95)</f>
        <v>115757</v>
      </c>
      <c r="DO96" s="171">
        <f>SUM(DO82:DO94)</f>
        <v>-115757</v>
      </c>
      <c r="DP96" s="171">
        <f>SUM(DP82:DP95)</f>
        <v>0</v>
      </c>
      <c r="DQ96" s="229"/>
      <c r="DR96" s="171">
        <f>SUM(DR82:DR95)</f>
        <v>0</v>
      </c>
      <c r="DS96" s="171">
        <f>SUM(DS82:DS95)</f>
        <v>0</v>
      </c>
      <c r="DT96" s="173">
        <f>SUM(DT82:DT95)</f>
        <v>0</v>
      </c>
      <c r="DV96" s="170" t="s">
        <v>270</v>
      </c>
      <c r="DW96" s="171">
        <f>SUM(DW82:DW95)</f>
        <v>115757</v>
      </c>
      <c r="DX96" s="171">
        <f>SUM(DX82:DX94)</f>
        <v>-115757</v>
      </c>
      <c r="DY96" s="171">
        <f>SUM(DY82:DY95)</f>
        <v>0</v>
      </c>
      <c r="DZ96" s="229"/>
      <c r="EA96" s="171">
        <f>SUM(EA82:EA95)</f>
        <v>0</v>
      </c>
      <c r="EB96" s="171">
        <f>SUM(EB82:EB95)</f>
        <v>0</v>
      </c>
      <c r="EC96" s="173">
        <f>SUM(EC82:EC95)</f>
        <v>0</v>
      </c>
      <c r="EE96" s="170" t="s">
        <v>270</v>
      </c>
      <c r="EF96" s="171">
        <f>SUM(EF82:EF95)</f>
        <v>36257</v>
      </c>
      <c r="EG96" s="171">
        <f>SUM(EG82:EG93)</f>
        <v>-36257</v>
      </c>
      <c r="EH96" s="171">
        <f>SUM(EH82:EH95)</f>
        <v>0</v>
      </c>
      <c r="EI96" s="229"/>
      <c r="EJ96" s="171">
        <f>SUM(EJ82:EJ95)</f>
        <v>0</v>
      </c>
      <c r="EK96" s="171">
        <f>SUM(EK82:EK95)</f>
        <v>0</v>
      </c>
      <c r="EL96" s="173">
        <f>SUM(EL82:EL95)</f>
        <v>0</v>
      </c>
      <c r="EN96" s="170" t="s">
        <v>270</v>
      </c>
      <c r="EO96" s="171">
        <f>SUM(EO82:EO95)</f>
        <v>115757</v>
      </c>
      <c r="EP96" s="171">
        <f>SUM(EP82:EP93)</f>
        <v>2</v>
      </c>
      <c r="EQ96" s="171">
        <f>SUM(EQ82:EQ95)</f>
        <v>36259</v>
      </c>
      <c r="ER96" s="229"/>
      <c r="ES96" s="171">
        <f>SUM(ES82:ES95)</f>
        <v>1799.9448789478929</v>
      </c>
      <c r="ET96" s="171">
        <f>SUM(ET82:ET95)</f>
        <v>0</v>
      </c>
      <c r="EU96" s="173">
        <f>SUM(EU82:EU95)</f>
        <v>1799.9448789478929</v>
      </c>
      <c r="EW96" s="170" t="s">
        <v>270</v>
      </c>
      <c r="EX96" s="171">
        <f>SUM(EX82:EX95)</f>
        <v>115757</v>
      </c>
      <c r="EY96" s="171">
        <f>SUM(EY82:EY93)</f>
        <v>2</v>
      </c>
      <c r="EZ96" s="171">
        <f>SUM(EZ82:EZ95)</f>
        <v>36259</v>
      </c>
      <c r="FA96" s="229"/>
      <c r="FB96" s="171">
        <f>SUM(FB82:FB95)</f>
        <v>868.81433695327291</v>
      </c>
      <c r="FC96" s="171">
        <f>SUM(FC82:FC95)</f>
        <v>0</v>
      </c>
      <c r="FD96" s="173">
        <f>SUM(FD82:FD95)</f>
        <v>868.81433695327291</v>
      </c>
      <c r="FF96" s="170" t="s">
        <v>270</v>
      </c>
      <c r="FG96" s="171">
        <f>SUM(FG82:FG95)</f>
        <v>115757</v>
      </c>
      <c r="FH96" s="171">
        <f>SUM(FH82:FH93)</f>
        <v>2</v>
      </c>
      <c r="FI96" s="171">
        <f>SUM(FI82:FI95)</f>
        <v>36259</v>
      </c>
      <c r="FJ96" s="229"/>
      <c r="FK96" s="171">
        <f>SUM(FK82:FK95)</f>
        <v>3345.2061372920198</v>
      </c>
      <c r="FL96" s="171">
        <f>SUM(FL82:FL95)</f>
        <v>0</v>
      </c>
      <c r="FM96" s="173">
        <f>SUM(FM82:FM95)</f>
        <v>3345.2061372920198</v>
      </c>
    </row>
    <row r="97" spans="1:169">
      <c r="A97" s="52"/>
      <c r="B97" s="45"/>
      <c r="C97" s="45"/>
      <c r="D97" s="45"/>
      <c r="E97" s="45"/>
      <c r="F97" s="106"/>
      <c r="I97" s="117"/>
      <c r="J97" s="110"/>
      <c r="K97" s="110"/>
      <c r="L97" s="110"/>
      <c r="M97" s="120"/>
      <c r="N97" s="110"/>
      <c r="P97" s="110"/>
      <c r="R97" s="117"/>
      <c r="S97" s="110"/>
      <c r="T97" s="110"/>
      <c r="U97" s="110"/>
      <c r="V97" s="120"/>
      <c r="W97" s="110"/>
      <c r="Y97" s="110"/>
      <c r="AA97" s="117"/>
      <c r="AB97" s="110"/>
      <c r="AC97" s="110"/>
      <c r="AD97" s="110"/>
      <c r="AE97" s="120"/>
      <c r="AF97" s="110"/>
      <c r="AH97" s="110"/>
      <c r="AJ97" s="117"/>
      <c r="AK97" s="110"/>
      <c r="AL97" s="110"/>
      <c r="AM97" s="110"/>
      <c r="AN97" s="120"/>
      <c r="AO97" s="110"/>
      <c r="AQ97" s="110"/>
      <c r="AS97" s="117"/>
      <c r="AT97" s="110"/>
      <c r="AU97" s="110"/>
      <c r="AV97" s="110"/>
      <c r="AW97" s="120"/>
      <c r="AX97" s="110"/>
      <c r="AZ97" s="110"/>
      <c r="BB97" s="117"/>
      <c r="BC97" s="110"/>
      <c r="BD97" s="110"/>
      <c r="BE97" s="110"/>
      <c r="BF97" s="120"/>
      <c r="BG97" s="110"/>
      <c r="BI97" s="110"/>
      <c r="BK97" s="117"/>
      <c r="BL97" s="110"/>
      <c r="BM97" s="110"/>
      <c r="BN97" s="110"/>
      <c r="BO97" s="120"/>
      <c r="BP97" s="110"/>
      <c r="BR97" s="110"/>
      <c r="BT97" s="117"/>
      <c r="BU97" s="110"/>
      <c r="BV97" s="110"/>
      <c r="BW97" s="110"/>
      <c r="BX97" s="120"/>
      <c r="BY97" s="110"/>
      <c r="CA97" s="110"/>
      <c r="CC97" s="117"/>
      <c r="CD97" s="110"/>
      <c r="CE97" s="110"/>
      <c r="CF97" s="110"/>
      <c r="CG97" s="120"/>
      <c r="CH97" s="110"/>
      <c r="CJ97" s="110"/>
      <c r="CL97" s="117"/>
      <c r="CM97" s="110"/>
      <c r="CN97" s="110"/>
      <c r="CO97" s="110"/>
      <c r="CP97" s="120"/>
      <c r="CQ97" s="110"/>
      <c r="CS97" s="110"/>
      <c r="CU97" s="117"/>
      <c r="CV97" s="110"/>
      <c r="CW97" s="110"/>
      <c r="CX97" s="110"/>
      <c r="CY97" s="120"/>
      <c r="CZ97" s="110"/>
      <c r="DB97" s="110"/>
      <c r="DD97" s="117"/>
      <c r="DE97" s="110"/>
      <c r="DF97" s="110"/>
      <c r="DG97" s="110"/>
      <c r="DH97" s="120"/>
      <c r="DI97" s="110"/>
      <c r="DK97" s="110"/>
      <c r="DM97" s="117"/>
      <c r="DN97" s="110"/>
      <c r="DO97" s="110"/>
      <c r="DP97" s="110"/>
      <c r="DQ97" s="120"/>
      <c r="DR97" s="110"/>
      <c r="DT97" s="110"/>
      <c r="DV97" s="117"/>
      <c r="DW97" s="110"/>
      <c r="DX97" s="110"/>
      <c r="DY97" s="110"/>
      <c r="DZ97" s="120"/>
      <c r="EA97" s="110"/>
      <c r="EC97" s="110"/>
      <c r="EE97" s="117"/>
      <c r="EF97" s="110"/>
      <c r="EG97" s="110"/>
      <c r="EH97" s="110"/>
      <c r="EI97" s="120"/>
      <c r="EJ97" s="110"/>
      <c r="EL97" s="110"/>
      <c r="EN97" s="117"/>
      <c r="EO97" s="110"/>
      <c r="EP97" s="110"/>
      <c r="EQ97" s="110"/>
      <c r="ER97" s="120"/>
      <c r="ES97" s="110"/>
      <c r="EU97" s="110"/>
      <c r="EW97" s="117"/>
      <c r="EX97" s="110"/>
      <c r="EY97" s="110"/>
      <c r="EZ97" s="110"/>
      <c r="FA97" s="120"/>
      <c r="FB97" s="110"/>
      <c r="FD97" s="110"/>
      <c r="FF97" s="117"/>
      <c r="FG97" s="110"/>
      <c r="FH97" s="110"/>
      <c r="FI97" s="110"/>
      <c r="FJ97" s="120"/>
      <c r="FK97" s="110"/>
      <c r="FM97" s="110"/>
    </row>
    <row r="98" spans="1:169">
      <c r="A98" s="52"/>
      <c r="B98" s="47" t="str">
        <f>Summ.!B119</f>
        <v>PROPERTY TAXES</v>
      </c>
      <c r="C98" s="45"/>
      <c r="D98" s="45"/>
      <c r="E98" s="45"/>
      <c r="F98" s="45"/>
      <c r="I98" s="109" t="s">
        <v>132</v>
      </c>
      <c r="J98" s="110"/>
      <c r="K98" s="110"/>
      <c r="L98" s="110"/>
      <c r="M98" s="110"/>
      <c r="N98" s="110"/>
      <c r="P98" s="112">
        <f>M90*M96</f>
        <v>0</v>
      </c>
      <c r="R98" s="109" t="s">
        <v>132</v>
      </c>
      <c r="S98" s="110"/>
      <c r="T98" s="110"/>
      <c r="U98" s="110"/>
      <c r="V98" s="110"/>
      <c r="W98" s="110"/>
      <c r="Y98" s="112">
        <f>V90*V96</f>
        <v>0</v>
      </c>
      <c r="AA98" s="109" t="s">
        <v>132</v>
      </c>
      <c r="AB98" s="110"/>
      <c r="AC98" s="110"/>
      <c r="AD98" s="110"/>
      <c r="AE98" s="110"/>
      <c r="AF98" s="110"/>
      <c r="AH98" s="112">
        <f>AE90*AE96</f>
        <v>0</v>
      </c>
      <c r="AJ98" s="109" t="s">
        <v>132</v>
      </c>
      <c r="AK98" s="110"/>
      <c r="AL98" s="110"/>
      <c r="AM98" s="110"/>
      <c r="AN98" s="110"/>
      <c r="AO98" s="110"/>
      <c r="AQ98" s="112">
        <f>AN90*AN96</f>
        <v>0</v>
      </c>
      <c r="AS98" s="109" t="s">
        <v>132</v>
      </c>
      <c r="AT98" s="110"/>
      <c r="AU98" s="110"/>
      <c r="AV98" s="110"/>
      <c r="AW98" s="110"/>
      <c r="AX98" s="110"/>
      <c r="AZ98" s="112">
        <f>AW90*AW96</f>
        <v>0</v>
      </c>
      <c r="BB98" s="109" t="s">
        <v>132</v>
      </c>
      <c r="BC98" s="110"/>
      <c r="BD98" s="110"/>
      <c r="BE98" s="110"/>
      <c r="BF98" s="110"/>
      <c r="BG98" s="110"/>
      <c r="BI98" s="112" t="e">
        <f>BF90*BF96</f>
        <v>#REF!</v>
      </c>
      <c r="BK98" s="109" t="s">
        <v>132</v>
      </c>
      <c r="BL98" s="110"/>
      <c r="BM98" s="110"/>
      <c r="BN98" s="110"/>
      <c r="BO98" s="110"/>
      <c r="BP98" s="110"/>
      <c r="BR98" s="112">
        <f>BO90*BO96</f>
        <v>0</v>
      </c>
      <c r="BT98" s="109" t="s">
        <v>132</v>
      </c>
      <c r="BU98" s="110"/>
      <c r="BV98" s="110"/>
      <c r="BW98" s="110"/>
      <c r="BX98" s="110"/>
      <c r="BY98" s="110"/>
      <c r="CA98" s="112">
        <f>BX90*BX96</f>
        <v>0</v>
      </c>
      <c r="CC98" s="109" t="s">
        <v>132</v>
      </c>
      <c r="CD98" s="110"/>
      <c r="CE98" s="110"/>
      <c r="CF98" s="110"/>
      <c r="CG98" s="110"/>
      <c r="CH98" s="110"/>
      <c r="CJ98" s="112">
        <f>CG90*CG96</f>
        <v>0</v>
      </c>
      <c r="CL98" s="109" t="s">
        <v>132</v>
      </c>
      <c r="CM98" s="110"/>
      <c r="CN98" s="110"/>
      <c r="CO98" s="110"/>
      <c r="CP98" s="110"/>
      <c r="CQ98" s="110"/>
      <c r="CS98" s="112">
        <f>CP90*CP96</f>
        <v>0</v>
      </c>
      <c r="CU98" s="109" t="s">
        <v>132</v>
      </c>
      <c r="CV98" s="110"/>
      <c r="CW98" s="110"/>
      <c r="CX98" s="110"/>
      <c r="CY98" s="110"/>
      <c r="CZ98" s="110"/>
      <c r="DB98" s="112">
        <f>CY90*CY96</f>
        <v>0</v>
      </c>
      <c r="DD98" s="109" t="s">
        <v>132</v>
      </c>
      <c r="DE98" s="110"/>
      <c r="DF98" s="110"/>
      <c r="DG98" s="110"/>
      <c r="DH98" s="110"/>
      <c r="DI98" s="110"/>
      <c r="DK98" s="112">
        <f>DH90*DH96</f>
        <v>0</v>
      </c>
      <c r="DM98" s="109" t="s">
        <v>132</v>
      </c>
      <c r="DN98" s="110"/>
      <c r="DO98" s="110"/>
      <c r="DP98" s="110"/>
      <c r="DQ98" s="110"/>
      <c r="DR98" s="110"/>
      <c r="DT98" s="112">
        <f>DQ90*DQ96</f>
        <v>0</v>
      </c>
      <c r="DV98" s="109" t="s">
        <v>132</v>
      </c>
      <c r="DW98" s="110"/>
      <c r="DX98" s="110"/>
      <c r="DY98" s="110"/>
      <c r="DZ98" s="110"/>
      <c r="EA98" s="110"/>
      <c r="EC98" s="112">
        <f>DZ90*DZ96</f>
        <v>0</v>
      </c>
      <c r="EE98" s="109" t="s">
        <v>132</v>
      </c>
      <c r="EF98" s="110"/>
      <c r="EG98" s="110"/>
      <c r="EH98" s="110"/>
      <c r="EI98" s="110"/>
      <c r="EJ98" s="110"/>
      <c r="EL98" s="112">
        <f>EI90*EI96</f>
        <v>0</v>
      </c>
      <c r="EN98" s="109" t="s">
        <v>132</v>
      </c>
      <c r="EO98" s="110"/>
      <c r="EP98" s="110"/>
      <c r="EQ98" s="110"/>
      <c r="ER98" s="110"/>
      <c r="ES98" s="110"/>
      <c r="EU98" s="112">
        <f>ER90*ER96</f>
        <v>0</v>
      </c>
      <c r="EW98" s="109" t="s">
        <v>132</v>
      </c>
      <c r="EX98" s="110"/>
      <c r="EY98" s="110"/>
      <c r="EZ98" s="110"/>
      <c r="FA98" s="110"/>
      <c r="FB98" s="110"/>
      <c r="FD98" s="112">
        <f>FA90*FA96</f>
        <v>0</v>
      </c>
      <c r="FF98" s="109" t="s">
        <v>132</v>
      </c>
      <c r="FG98" s="110"/>
      <c r="FH98" s="110"/>
      <c r="FI98" s="110"/>
      <c r="FJ98" s="110"/>
      <c r="FK98" s="110"/>
      <c r="FM98" s="112">
        <f>FJ90*FJ96</f>
        <v>0</v>
      </c>
    </row>
    <row r="99" spans="1:169">
      <c r="A99" s="52">
        <f>Summ.!A120</f>
        <v>54000</v>
      </c>
      <c r="B99" s="45" t="str">
        <f>Summ.!B120</f>
        <v>Property Tax</v>
      </c>
      <c r="C99" s="45"/>
      <c r="D99" s="45"/>
      <c r="E99" s="45"/>
      <c r="F99" s="106">
        <f>Summ.!O120</f>
        <v>190662</v>
      </c>
      <c r="G99" s="71">
        <f>Rent!$B$41</f>
        <v>51058</v>
      </c>
      <c r="H99" s="52">
        <f>Summ.!$A120</f>
        <v>54000</v>
      </c>
      <c r="I99" s="108" t="str">
        <f>Summ.!$B120</f>
        <v>Property Tax</v>
      </c>
      <c r="J99" s="110">
        <f>$F99</f>
        <v>190662</v>
      </c>
      <c r="K99" s="110">
        <v>0</v>
      </c>
      <c r="L99" s="110">
        <f>J99+K99</f>
        <v>190662</v>
      </c>
      <c r="M99" s="113">
        <f>J$8/$G99</f>
        <v>7.5854910102236675E-2</v>
      </c>
      <c r="N99" s="110">
        <f>L99*M99</f>
        <v>14462.648869912649</v>
      </c>
      <c r="O99" s="115">
        <f>N99*$O$11</f>
        <v>0</v>
      </c>
      <c r="P99" s="110">
        <f>N99+O99</f>
        <v>14462.648869912649</v>
      </c>
      <c r="Q99" s="52">
        <f>Summ.!$A120</f>
        <v>54000</v>
      </c>
      <c r="R99" s="108" t="str">
        <f>Summ.!$B120</f>
        <v>Property Tax</v>
      </c>
      <c r="S99" s="110">
        <f>$F99</f>
        <v>190662</v>
      </c>
      <c r="T99" s="110">
        <v>0</v>
      </c>
      <c r="U99" s="110">
        <f>S99+T99</f>
        <v>190662</v>
      </c>
      <c r="V99" s="113">
        <f>S$8/$G99</f>
        <v>2.1034901484586158E-2</v>
      </c>
      <c r="W99" s="110">
        <f>U99*V99</f>
        <v>4010.5563868541658</v>
      </c>
      <c r="X99" s="115">
        <f t="shared" ref="X99" si="633">W99*$X$11</f>
        <v>0</v>
      </c>
      <c r="Y99" s="110">
        <f>W99+X99</f>
        <v>4010.5563868541658</v>
      </c>
      <c r="Z99" s="52">
        <f>Summ.!$A120</f>
        <v>54000</v>
      </c>
      <c r="AA99" s="108" t="str">
        <f>Summ.!$B120</f>
        <v>Property Tax</v>
      </c>
      <c r="AB99" s="110">
        <f>$F99</f>
        <v>190662</v>
      </c>
      <c r="AC99" s="110">
        <v>0</v>
      </c>
      <c r="AD99" s="110">
        <f>AB99+AC99</f>
        <v>190662</v>
      </c>
      <c r="AE99" s="113">
        <f>AB$8/$G99</f>
        <v>3.9171138705002152E-3</v>
      </c>
      <c r="AF99" s="110">
        <f>AD99*AE99</f>
        <v>746.84476477731198</v>
      </c>
      <c r="AG99" s="115">
        <f t="shared" ref="AG99" si="634">AF99*$AG$11</f>
        <v>0</v>
      </c>
      <c r="AH99" s="110">
        <f>AF99+AG99</f>
        <v>746.84476477731198</v>
      </c>
      <c r="AI99" s="52">
        <f>Summ.!$A120</f>
        <v>54000</v>
      </c>
      <c r="AJ99" s="108" t="str">
        <f>Summ.!$B120</f>
        <v>Property Tax</v>
      </c>
      <c r="AK99" s="110">
        <f>$F99</f>
        <v>190662</v>
      </c>
      <c r="AL99" s="110">
        <f>+AC99</f>
        <v>0</v>
      </c>
      <c r="AM99" s="110">
        <f>AK99+AL99</f>
        <v>190662</v>
      </c>
      <c r="AN99" s="113">
        <f>AK$8/$G99</f>
        <v>1.0145324924595559E-2</v>
      </c>
      <c r="AO99" s="110">
        <f>AM99*AN99</f>
        <v>1934.3279407732384</v>
      </c>
      <c r="AP99" s="115">
        <f t="shared" ref="AP99" si="635">AO99*$AP$11</f>
        <v>0</v>
      </c>
      <c r="AQ99" s="110">
        <f>AO99+AP99</f>
        <v>1934.3279407732384</v>
      </c>
      <c r="AR99" s="52">
        <f>Summ.!$A120</f>
        <v>54000</v>
      </c>
      <c r="AS99" s="108" t="str">
        <f>Summ.!$B120</f>
        <v>Property Tax</v>
      </c>
      <c r="AT99" s="110">
        <f>$F99</f>
        <v>190662</v>
      </c>
      <c r="AU99" s="110">
        <f>+AL99</f>
        <v>0</v>
      </c>
      <c r="AV99" s="110">
        <f>AT99+AU99</f>
        <v>190662</v>
      </c>
      <c r="AW99" s="113">
        <f>AT$8/$G99</f>
        <v>1.0282423910063065E-2</v>
      </c>
      <c r="AX99" s="110">
        <f>AV99*AW99</f>
        <v>1960.4675075404441</v>
      </c>
      <c r="AY99" s="115">
        <f t="shared" ref="AY99" si="636">AX99*$AY$11</f>
        <v>0</v>
      </c>
      <c r="AZ99" s="110">
        <f>AX99+AY99</f>
        <v>1960.4675075404441</v>
      </c>
      <c r="BA99" s="52">
        <f>Summ.!$A120</f>
        <v>54000</v>
      </c>
      <c r="BB99" s="108" t="str">
        <f>Summ.!$B120</f>
        <v>Property Tax</v>
      </c>
      <c r="BC99" s="110">
        <f>$F99</f>
        <v>190662</v>
      </c>
      <c r="BD99" s="110">
        <f>+AU99</f>
        <v>0</v>
      </c>
      <c r="BE99" s="110">
        <f>BC99+BD99</f>
        <v>190662</v>
      </c>
      <c r="BF99" s="113" t="e">
        <f>BC$8/$G99</f>
        <v>#REF!</v>
      </c>
      <c r="BG99" s="110" t="e">
        <f>BE99*BF99</f>
        <v>#REF!</v>
      </c>
      <c r="BH99" s="115" t="e">
        <f t="shared" ref="BH99" si="637">BG99*$BH$11</f>
        <v>#REF!</v>
      </c>
      <c r="BI99" s="110" t="e">
        <f>BG99+BH99</f>
        <v>#REF!</v>
      </c>
      <c r="BJ99" s="52">
        <f>Summ.!$A120</f>
        <v>54000</v>
      </c>
      <c r="BK99" s="108" t="str">
        <f>Summ.!$B120</f>
        <v>Property Tax</v>
      </c>
      <c r="BL99" s="110">
        <f>$F99</f>
        <v>190662</v>
      </c>
      <c r="BM99" s="110">
        <f>+BD99</f>
        <v>0</v>
      </c>
      <c r="BN99" s="110">
        <f>BL99+BM99</f>
        <v>190662</v>
      </c>
      <c r="BO99" s="113">
        <f>BL$8/$G99</f>
        <v>1.9468055936386071E-2</v>
      </c>
      <c r="BP99" s="110">
        <f>BN99*BO99</f>
        <v>3711.818480943241</v>
      </c>
      <c r="BQ99" s="115">
        <f t="shared" ref="BQ99" si="638">BP99*$BQ$11</f>
        <v>0</v>
      </c>
      <c r="BR99" s="110">
        <f>BP99+BQ99</f>
        <v>3711.818480943241</v>
      </c>
      <c r="BS99" s="52">
        <f>Summ.!$A120</f>
        <v>54000</v>
      </c>
      <c r="BT99" s="108" t="str">
        <f>Summ.!$B120</f>
        <v>Property Tax</v>
      </c>
      <c r="BU99" s="110">
        <f>$F99</f>
        <v>190662</v>
      </c>
      <c r="BV99" s="110">
        <f>+BM99</f>
        <v>0</v>
      </c>
      <c r="BW99" s="110">
        <f>BU99+BV99</f>
        <v>190662</v>
      </c>
      <c r="BX99" s="113">
        <f>BU$8/$G99</f>
        <v>2.0427748834658623E-2</v>
      </c>
      <c r="BY99" s="110">
        <f>BW99*BX99</f>
        <v>3894.7954483136823</v>
      </c>
      <c r="BZ99" s="115">
        <f t="shared" ref="BZ99" si="639">BY99*$BZ$11</f>
        <v>0</v>
      </c>
      <c r="CA99" s="110">
        <f>BY99+BZ99</f>
        <v>3894.7954483136823</v>
      </c>
      <c r="CB99" s="52">
        <f>Summ.!$A120</f>
        <v>54000</v>
      </c>
      <c r="CC99" s="108" t="str">
        <f>Summ.!$B120</f>
        <v>Property Tax</v>
      </c>
      <c r="CD99" s="110">
        <f>$F99</f>
        <v>190662</v>
      </c>
      <c r="CE99" s="110">
        <v>0</v>
      </c>
      <c r="CF99" s="110">
        <f>CD99+CE99</f>
        <v>190662</v>
      </c>
      <c r="CG99" s="113">
        <f>CD$8/$G99</f>
        <v>6.9058717536918793E-2</v>
      </c>
      <c r="CH99" s="110">
        <f>CF99*CG99</f>
        <v>13166.873203024012</v>
      </c>
      <c r="CI99" s="115">
        <f t="shared" ref="CI99" si="640">CH99*$CI$11</f>
        <v>0</v>
      </c>
      <c r="CJ99" s="110">
        <f>CH99+CI99</f>
        <v>13166.873203024012</v>
      </c>
      <c r="CK99" s="52">
        <f>Summ.!$A120</f>
        <v>54000</v>
      </c>
      <c r="CL99" s="108" t="str">
        <f>Summ.!$B120</f>
        <v>Property Tax</v>
      </c>
      <c r="CM99" s="110">
        <f>$F99</f>
        <v>190662</v>
      </c>
      <c r="CN99" s="110">
        <f>+CE99</f>
        <v>0</v>
      </c>
      <c r="CO99" s="110">
        <f>CM99+CN99</f>
        <v>190662</v>
      </c>
      <c r="CP99" s="113">
        <f>CM$8/$G99</f>
        <v>0.21027067256845156</v>
      </c>
      <c r="CQ99" s="110">
        <f>CO99*CP99</f>
        <v>40090.626973246108</v>
      </c>
      <c r="CR99" s="115">
        <f t="shared" ref="CR99" si="641">CQ99*$CR$11</f>
        <v>0</v>
      </c>
      <c r="CS99" s="110">
        <f>CQ99+CR99</f>
        <v>40090.626973246108</v>
      </c>
      <c r="CT99" s="52">
        <f>Summ.!$A120</f>
        <v>54000</v>
      </c>
      <c r="CU99" s="108" t="str">
        <f>Summ.!$B120</f>
        <v>Property Tax</v>
      </c>
      <c r="CV99" s="110">
        <f>$F99</f>
        <v>190662</v>
      </c>
      <c r="CW99" s="110">
        <v>0</v>
      </c>
      <c r="CX99" s="110">
        <f>CV99+CW99</f>
        <v>190662</v>
      </c>
      <c r="CY99" s="113">
        <f>CV$8/$G99</f>
        <v>5.8756708057503229E-2</v>
      </c>
      <c r="CZ99" s="110">
        <f>CX99*CY99</f>
        <v>11202.67147165968</v>
      </c>
      <c r="DA99" s="115">
        <f t="shared" ref="DA99" si="642">CZ99*$DA$11</f>
        <v>0</v>
      </c>
      <c r="DB99" s="110">
        <f>CZ99+DA99</f>
        <v>11202.67147165968</v>
      </c>
      <c r="DC99" s="52">
        <f>Summ.!$A120</f>
        <v>54000</v>
      </c>
      <c r="DD99" s="108" t="str">
        <f>Summ.!$B120</f>
        <v>Property Tax</v>
      </c>
      <c r="DE99" s="110">
        <f>$F99</f>
        <v>190662</v>
      </c>
      <c r="DF99" s="110">
        <v>0</v>
      </c>
      <c r="DG99" s="110">
        <f>DE99+DF99</f>
        <v>190662</v>
      </c>
      <c r="DH99" s="113">
        <f>DE$8/$G99</f>
        <v>9.7927846762505388E-3</v>
      </c>
      <c r="DI99" s="110">
        <f>DG99*DH99</f>
        <v>1867.1119119432801</v>
      </c>
      <c r="DJ99" s="115">
        <f t="shared" ref="DJ99" si="643">DI99*$DJ$11</f>
        <v>0</v>
      </c>
      <c r="DK99" s="110">
        <f>DI99+DJ99</f>
        <v>1867.1119119432801</v>
      </c>
      <c r="DL99" s="52">
        <f>Summ.!$A120</f>
        <v>54000</v>
      </c>
      <c r="DM99" s="108" t="str">
        <f>Summ.!$B120</f>
        <v>Property Tax</v>
      </c>
      <c r="DN99" s="110">
        <f>$F99</f>
        <v>190662</v>
      </c>
      <c r="DO99" s="110">
        <v>0</v>
      </c>
      <c r="DP99" s="110">
        <f>DN99+DO99</f>
        <v>190662</v>
      </c>
      <c r="DQ99" s="113">
        <f>DN$8/$G99</f>
        <v>5.6719808844843123E-2</v>
      </c>
      <c r="DR99" s="110">
        <f>DP99*DQ99</f>
        <v>10814.31219397548</v>
      </c>
      <c r="DS99" s="115">
        <f>DR99*$DS$11</f>
        <v>0</v>
      </c>
      <c r="DT99" s="110">
        <f>DR99+DS99</f>
        <v>10814.31219397548</v>
      </c>
      <c r="DU99" s="52">
        <f>Summ.!$A120</f>
        <v>54000</v>
      </c>
      <c r="DV99" s="108" t="str">
        <f>Summ.!$B120</f>
        <v>Property Tax</v>
      </c>
      <c r="DW99" s="110">
        <f>$F99</f>
        <v>190662</v>
      </c>
      <c r="DX99" s="110">
        <f>+DO99</f>
        <v>0</v>
      </c>
      <c r="DY99" s="110">
        <f>DW99+DX99</f>
        <v>190662</v>
      </c>
      <c r="DZ99" s="113">
        <f>DW$8/$G99</f>
        <v>0.15695875279094362</v>
      </c>
      <c r="EA99" s="110">
        <f>DY99*DZ99</f>
        <v>29926.069724626894</v>
      </c>
      <c r="EB99" s="115">
        <f t="shared" ref="EB99" si="644">EA99*$EB$11</f>
        <v>0</v>
      </c>
      <c r="EC99" s="110">
        <f>EA99+EB99</f>
        <v>29926.069724626894</v>
      </c>
      <c r="ED99" s="52">
        <f>Summ.!$A120</f>
        <v>54000</v>
      </c>
      <c r="EE99" s="108" t="str">
        <f>Summ.!$B120</f>
        <v>Property Tax</v>
      </c>
      <c r="EF99" s="110">
        <f>$F99</f>
        <v>190662</v>
      </c>
      <c r="EG99" s="110">
        <f>+DX99</f>
        <v>0</v>
      </c>
      <c r="EH99" s="110">
        <f>EF99+EG99</f>
        <v>190662</v>
      </c>
      <c r="EI99" s="113">
        <f>EF$8/$G99</f>
        <v>0.12730620079125701</v>
      </c>
      <c r="EJ99" s="110">
        <f>EH99*EI99</f>
        <v>24272.454855262644</v>
      </c>
      <c r="EK99" s="115">
        <f t="shared" ref="EK99" si="645">EJ99*$EK$11</f>
        <v>3640.8682282893965</v>
      </c>
      <c r="EL99" s="110">
        <f>EJ99+EK99</f>
        <v>27913.323083552041</v>
      </c>
      <c r="EM99" s="52">
        <f>Summ.!$A120</f>
        <v>54000</v>
      </c>
      <c r="EN99" s="108" t="str">
        <f>Summ.!$B120</f>
        <v>Property Tax</v>
      </c>
      <c r="EO99" s="110">
        <f>$F99</f>
        <v>190662</v>
      </c>
      <c r="EP99" s="110">
        <f>+EG99</f>
        <v>0</v>
      </c>
      <c r="EQ99" s="110">
        <f>EO99+EP99</f>
        <v>190662</v>
      </c>
      <c r="ER99" s="113">
        <f>EO$8/$G99</f>
        <v>3.9034039719534647E-2</v>
      </c>
      <c r="ES99" s="110">
        <f>EQ99*ER99</f>
        <v>7442.3080810059146</v>
      </c>
      <c r="ET99" s="115">
        <f t="shared" ref="ET99" si="646">ES99*$ET$11</f>
        <v>0</v>
      </c>
      <c r="EU99" s="110">
        <f>ES99+ET99</f>
        <v>7442.3080810059146</v>
      </c>
      <c r="EV99" s="52">
        <f>Summ.!$A120</f>
        <v>54000</v>
      </c>
      <c r="EW99" s="108" t="str">
        <f>Summ.!$B120</f>
        <v>Property Tax</v>
      </c>
      <c r="EX99" s="110">
        <f>$F99</f>
        <v>190662</v>
      </c>
      <c r="EY99" s="110">
        <f>+EP99</f>
        <v>0</v>
      </c>
      <c r="EZ99" s="110">
        <f>EX99+EY99</f>
        <v>190662</v>
      </c>
      <c r="FA99" s="113">
        <f>EX$8/$G99</f>
        <v>1.8841317717106038E-2</v>
      </c>
      <c r="FB99" s="110">
        <f>EZ99*FA99</f>
        <v>3592.3233185788713</v>
      </c>
      <c r="FC99" s="115">
        <f t="shared" ref="FC99" si="647">FB99*$FC$11</f>
        <v>0</v>
      </c>
      <c r="FD99" s="110">
        <f>FB99+FC99</f>
        <v>3592.3233185788713</v>
      </c>
      <c r="FE99" s="52">
        <f>Summ.!$A120</f>
        <v>54000</v>
      </c>
      <c r="FF99" s="108" t="str">
        <f>Summ.!$B120</f>
        <v>Property Tax</v>
      </c>
      <c r="FG99" s="110">
        <f>$F99</f>
        <v>190662</v>
      </c>
      <c r="FH99" s="110">
        <f>+EY99</f>
        <v>0</v>
      </c>
      <c r="FI99" s="110">
        <f>FG99+FH99</f>
        <v>190662</v>
      </c>
      <c r="FJ99" s="113">
        <f>FG$8/$G99</f>
        <v>7.254494888166399E-2</v>
      </c>
      <c r="FK99" s="110">
        <f>FI99*FJ99</f>
        <v>13831.565043675819</v>
      </c>
      <c r="FL99" s="115">
        <f t="shared" ref="FL99" si="648">FK99*$FL$11</f>
        <v>0</v>
      </c>
      <c r="FM99" s="110">
        <f>FK99+FL99</f>
        <v>13831.565043675819</v>
      </c>
    </row>
    <row r="100" spans="1:169">
      <c r="A100" s="52"/>
      <c r="B100" s="45"/>
      <c r="C100" s="45"/>
      <c r="D100" s="45"/>
      <c r="E100" s="45"/>
      <c r="F100" s="45"/>
      <c r="I100" s="108"/>
      <c r="J100" s="110"/>
      <c r="K100" s="110"/>
      <c r="L100" s="110"/>
      <c r="M100" s="110"/>
      <c r="N100" s="110"/>
      <c r="O100" s="110"/>
      <c r="P100" s="110"/>
      <c r="R100" s="108"/>
      <c r="S100" s="110"/>
      <c r="T100" s="110"/>
      <c r="U100" s="110"/>
      <c r="V100" s="110"/>
      <c r="W100" s="110"/>
      <c r="X100" s="110"/>
      <c r="Y100" s="110"/>
      <c r="AA100" s="108"/>
      <c r="AB100" s="110"/>
      <c r="AC100" s="110"/>
      <c r="AD100" s="110"/>
      <c r="AE100" s="110"/>
      <c r="AF100" s="110"/>
      <c r="AG100" s="110"/>
      <c r="AH100" s="110"/>
      <c r="AJ100" s="108"/>
      <c r="AK100" s="110"/>
      <c r="AL100" s="110"/>
      <c r="AM100" s="110"/>
      <c r="AN100" s="110"/>
      <c r="AO100" s="110"/>
      <c r="AP100" s="110"/>
      <c r="AQ100" s="110"/>
      <c r="AS100" s="108"/>
      <c r="AT100" s="110"/>
      <c r="AU100" s="110"/>
      <c r="AV100" s="110"/>
      <c r="AW100" s="110"/>
      <c r="AX100" s="110"/>
      <c r="AY100" s="110"/>
      <c r="AZ100" s="110"/>
      <c r="BB100" s="108"/>
      <c r="BC100" s="110"/>
      <c r="BD100" s="110"/>
      <c r="BE100" s="110"/>
      <c r="BF100" s="110"/>
      <c r="BG100" s="110"/>
      <c r="BH100" s="110"/>
      <c r="BI100" s="110"/>
      <c r="BK100" s="108"/>
      <c r="BL100" s="110"/>
      <c r="BM100" s="110"/>
      <c r="BN100" s="110"/>
      <c r="BO100" s="110"/>
      <c r="BP100" s="110"/>
      <c r="BQ100" s="110"/>
      <c r="BR100" s="110"/>
      <c r="BT100" s="108"/>
      <c r="BU100" s="110"/>
      <c r="BV100" s="110"/>
      <c r="BW100" s="110"/>
      <c r="BX100" s="110"/>
      <c r="BY100" s="110"/>
      <c r="BZ100" s="110"/>
      <c r="CA100" s="110"/>
      <c r="CC100" s="108"/>
      <c r="CD100" s="110"/>
      <c r="CE100" s="110"/>
      <c r="CF100" s="110"/>
      <c r="CG100" s="110"/>
      <c r="CH100" s="110"/>
      <c r="CI100" s="110"/>
      <c r="CJ100" s="110"/>
      <c r="CL100" s="108"/>
      <c r="CM100" s="110"/>
      <c r="CN100" s="110"/>
      <c r="CO100" s="110"/>
      <c r="CP100" s="110"/>
      <c r="CQ100" s="110"/>
      <c r="CR100" s="110"/>
      <c r="CS100" s="110"/>
      <c r="CU100" s="108"/>
      <c r="CV100" s="110"/>
      <c r="CW100" s="110"/>
      <c r="CX100" s="110"/>
      <c r="CY100" s="110"/>
      <c r="CZ100" s="110"/>
      <c r="DA100" s="110"/>
      <c r="DB100" s="110"/>
      <c r="DD100" s="108"/>
      <c r="DE100" s="110"/>
      <c r="DF100" s="110"/>
      <c r="DG100" s="110"/>
      <c r="DH100" s="110"/>
      <c r="DI100" s="110"/>
      <c r="DJ100" s="110"/>
      <c r="DK100" s="110"/>
      <c r="DM100" s="108"/>
      <c r="DN100" s="110"/>
      <c r="DO100" s="110"/>
      <c r="DP100" s="110"/>
      <c r="DQ100" s="110"/>
      <c r="DR100" s="110"/>
      <c r="DS100" s="110"/>
      <c r="DT100" s="110"/>
      <c r="DV100" s="108"/>
      <c r="DW100" s="110"/>
      <c r="DX100" s="110"/>
      <c r="DY100" s="110"/>
      <c r="DZ100" s="110"/>
      <c r="EA100" s="110"/>
      <c r="EB100" s="110"/>
      <c r="EC100" s="110"/>
      <c r="EE100" s="108"/>
      <c r="EF100" s="110"/>
      <c r="EG100" s="110"/>
      <c r="EH100" s="110"/>
      <c r="EI100" s="110"/>
      <c r="EJ100" s="110"/>
      <c r="EK100" s="110"/>
      <c r="EL100" s="110"/>
      <c r="EN100" s="108"/>
      <c r="EO100" s="110"/>
      <c r="EP100" s="110"/>
      <c r="EQ100" s="110"/>
      <c r="ER100" s="110"/>
      <c r="ES100" s="110"/>
      <c r="ET100" s="110"/>
      <c r="EU100" s="110"/>
      <c r="EW100" s="108"/>
      <c r="EX100" s="110"/>
      <c r="EY100" s="110"/>
      <c r="EZ100" s="110"/>
      <c r="FA100" s="110"/>
      <c r="FB100" s="110"/>
      <c r="FC100" s="110"/>
      <c r="FD100" s="110"/>
      <c r="FF100" s="108"/>
      <c r="FG100" s="110"/>
      <c r="FH100" s="110"/>
      <c r="FI100" s="110"/>
      <c r="FJ100" s="110"/>
      <c r="FK100" s="110"/>
      <c r="FL100" s="110"/>
      <c r="FM100" s="110"/>
    </row>
    <row r="101" spans="1:169">
      <c r="A101" s="52"/>
      <c r="B101" s="169" t="str">
        <f>Summ.!B122</f>
        <v>SUBTOTAL TAXES</v>
      </c>
      <c r="C101" s="265"/>
      <c r="D101" s="265"/>
      <c r="E101" s="265"/>
      <c r="F101" s="268">
        <f>SUM(F99:F100)</f>
        <v>190662</v>
      </c>
      <c r="I101" s="170" t="s">
        <v>580</v>
      </c>
      <c r="J101" s="171">
        <f>SUM(J99:J100)</f>
        <v>190662</v>
      </c>
      <c r="K101" s="171">
        <f t="shared" ref="K101:O101" si="649">SUM(K99:K100)</f>
        <v>0</v>
      </c>
      <c r="L101" s="171">
        <f t="shared" si="649"/>
        <v>190662</v>
      </c>
      <c r="M101" s="171">
        <f>SUM(M100:M100)</f>
        <v>0</v>
      </c>
      <c r="N101" s="171">
        <f t="shared" si="649"/>
        <v>14462.648869912649</v>
      </c>
      <c r="O101" s="171">
        <f t="shared" si="649"/>
        <v>0</v>
      </c>
      <c r="P101" s="173">
        <f>P99</f>
        <v>14462.648869912649</v>
      </c>
      <c r="R101" s="170" t="s">
        <v>580</v>
      </c>
      <c r="S101" s="171">
        <f>S99</f>
        <v>190662</v>
      </c>
      <c r="T101" s="171">
        <f>T99</f>
        <v>0</v>
      </c>
      <c r="U101" s="171">
        <f>U99</f>
        <v>190662</v>
      </c>
      <c r="V101" s="171"/>
      <c r="W101" s="171">
        <f t="shared" ref="W101:X101" si="650">SUM(W99:W100)</f>
        <v>4010.5563868541658</v>
      </c>
      <c r="X101" s="171">
        <f t="shared" si="650"/>
        <v>0</v>
      </c>
      <c r="Y101" s="173">
        <f>Y99</f>
        <v>4010.5563868541658</v>
      </c>
      <c r="AA101" s="170" t="s">
        <v>580</v>
      </c>
      <c r="AB101" s="171">
        <f>AB99</f>
        <v>190662</v>
      </c>
      <c r="AC101" s="171">
        <f>AC99</f>
        <v>0</v>
      </c>
      <c r="AD101" s="171">
        <f>AD99</f>
        <v>190662</v>
      </c>
      <c r="AE101" s="171"/>
      <c r="AF101" s="171">
        <f t="shared" ref="AF101:AG101" si="651">SUM(AF99:AF100)</f>
        <v>746.84476477731198</v>
      </c>
      <c r="AG101" s="171">
        <f t="shared" si="651"/>
        <v>0</v>
      </c>
      <c r="AH101" s="173">
        <f>AH99</f>
        <v>746.84476477731198</v>
      </c>
      <c r="AJ101" s="170" t="s">
        <v>580</v>
      </c>
      <c r="AK101" s="171">
        <f>AK99</f>
        <v>190662</v>
      </c>
      <c r="AL101" s="171">
        <f>AL99</f>
        <v>0</v>
      </c>
      <c r="AM101" s="171">
        <f>AM99</f>
        <v>190662</v>
      </c>
      <c r="AN101" s="171"/>
      <c r="AO101" s="171">
        <f t="shared" ref="AO101:AP101" si="652">SUM(AO99:AO100)</f>
        <v>1934.3279407732384</v>
      </c>
      <c r="AP101" s="171">
        <f t="shared" si="652"/>
        <v>0</v>
      </c>
      <c r="AQ101" s="173">
        <f>AQ99</f>
        <v>1934.3279407732384</v>
      </c>
      <c r="AS101" s="170" t="s">
        <v>580</v>
      </c>
      <c r="AT101" s="171">
        <f>AT99</f>
        <v>190662</v>
      </c>
      <c r="AU101" s="171">
        <f>AU99</f>
        <v>0</v>
      </c>
      <c r="AV101" s="171">
        <f>AV99</f>
        <v>190662</v>
      </c>
      <c r="AW101" s="171"/>
      <c r="AX101" s="171">
        <f t="shared" ref="AX101:AY101" si="653">SUM(AX99:AX100)</f>
        <v>1960.4675075404441</v>
      </c>
      <c r="AY101" s="171">
        <f t="shared" si="653"/>
        <v>0</v>
      </c>
      <c r="AZ101" s="173">
        <f>AZ99</f>
        <v>1960.4675075404441</v>
      </c>
      <c r="BB101" s="170" t="s">
        <v>580</v>
      </c>
      <c r="BC101" s="171">
        <f>BC99</f>
        <v>190662</v>
      </c>
      <c r="BD101" s="171">
        <f>BD99</f>
        <v>0</v>
      </c>
      <c r="BE101" s="171">
        <f>BE99</f>
        <v>190662</v>
      </c>
      <c r="BF101" s="171"/>
      <c r="BG101" s="171" t="e">
        <f t="shared" ref="BG101:BH101" si="654">SUM(BG99:BG100)</f>
        <v>#REF!</v>
      </c>
      <c r="BH101" s="171" t="e">
        <f t="shared" si="654"/>
        <v>#REF!</v>
      </c>
      <c r="BI101" s="173" t="e">
        <f>BI99</f>
        <v>#REF!</v>
      </c>
      <c r="BK101" s="170" t="s">
        <v>580</v>
      </c>
      <c r="BL101" s="171">
        <f>BL99</f>
        <v>190662</v>
      </c>
      <c r="BM101" s="171">
        <f>BM99</f>
        <v>0</v>
      </c>
      <c r="BN101" s="171">
        <f>BN99</f>
        <v>190662</v>
      </c>
      <c r="BO101" s="171"/>
      <c r="BP101" s="171">
        <f t="shared" ref="BP101:BQ101" si="655">SUM(BP99:BP100)</f>
        <v>3711.818480943241</v>
      </c>
      <c r="BQ101" s="171">
        <f t="shared" si="655"/>
        <v>0</v>
      </c>
      <c r="BR101" s="173">
        <f>BR99</f>
        <v>3711.818480943241</v>
      </c>
      <c r="BT101" s="170" t="s">
        <v>580</v>
      </c>
      <c r="BU101" s="171">
        <f>BU99</f>
        <v>190662</v>
      </c>
      <c r="BV101" s="171">
        <f>BV99</f>
        <v>0</v>
      </c>
      <c r="BW101" s="171">
        <f>BW99</f>
        <v>190662</v>
      </c>
      <c r="BX101" s="171"/>
      <c r="BY101" s="171">
        <f t="shared" ref="BY101:BZ101" si="656">SUM(BY99:BY100)</f>
        <v>3894.7954483136823</v>
      </c>
      <c r="BZ101" s="171">
        <f t="shared" si="656"/>
        <v>0</v>
      </c>
      <c r="CA101" s="173">
        <f>CA99</f>
        <v>3894.7954483136823</v>
      </c>
      <c r="CC101" s="170" t="s">
        <v>580</v>
      </c>
      <c r="CD101" s="171">
        <f>CD99</f>
        <v>190662</v>
      </c>
      <c r="CE101" s="171">
        <f>CE99</f>
        <v>0</v>
      </c>
      <c r="CF101" s="171">
        <f>CF99</f>
        <v>190662</v>
      </c>
      <c r="CG101" s="171"/>
      <c r="CH101" s="171">
        <f t="shared" ref="CH101:CI101" si="657">SUM(CH99:CH100)</f>
        <v>13166.873203024012</v>
      </c>
      <c r="CI101" s="171">
        <f t="shared" si="657"/>
        <v>0</v>
      </c>
      <c r="CJ101" s="173">
        <f>CJ99</f>
        <v>13166.873203024012</v>
      </c>
      <c r="CL101" s="170" t="s">
        <v>580</v>
      </c>
      <c r="CM101" s="171">
        <f>CM99</f>
        <v>190662</v>
      </c>
      <c r="CN101" s="171">
        <f>CN99</f>
        <v>0</v>
      </c>
      <c r="CO101" s="171">
        <f>CO99</f>
        <v>190662</v>
      </c>
      <c r="CP101" s="171"/>
      <c r="CQ101" s="171">
        <f t="shared" ref="CQ101:CR101" si="658">SUM(CQ99:CQ100)</f>
        <v>40090.626973246108</v>
      </c>
      <c r="CR101" s="171">
        <f t="shared" si="658"/>
        <v>0</v>
      </c>
      <c r="CS101" s="173">
        <f>CS99</f>
        <v>40090.626973246108</v>
      </c>
      <c r="CU101" s="170" t="s">
        <v>580</v>
      </c>
      <c r="CV101" s="171">
        <f>CV99</f>
        <v>190662</v>
      </c>
      <c r="CW101" s="171">
        <f>CW99</f>
        <v>0</v>
      </c>
      <c r="CX101" s="171">
        <f>CX99</f>
        <v>190662</v>
      </c>
      <c r="CY101" s="171"/>
      <c r="CZ101" s="171">
        <f t="shared" ref="CZ101:DA101" si="659">SUM(CZ99:CZ100)</f>
        <v>11202.67147165968</v>
      </c>
      <c r="DA101" s="171">
        <f t="shared" si="659"/>
        <v>0</v>
      </c>
      <c r="DB101" s="173">
        <f>DB99</f>
        <v>11202.67147165968</v>
      </c>
      <c r="DD101" s="170" t="s">
        <v>580</v>
      </c>
      <c r="DE101" s="171">
        <f>DE99</f>
        <v>190662</v>
      </c>
      <c r="DF101" s="171">
        <f>DF99</f>
        <v>0</v>
      </c>
      <c r="DG101" s="171">
        <f>DG99</f>
        <v>190662</v>
      </c>
      <c r="DH101" s="171"/>
      <c r="DI101" s="171">
        <f t="shared" ref="DI101:DJ101" si="660">SUM(DI99:DI100)</f>
        <v>1867.1119119432801</v>
      </c>
      <c r="DJ101" s="171">
        <f t="shared" si="660"/>
        <v>0</v>
      </c>
      <c r="DK101" s="173">
        <f>DK99</f>
        <v>1867.1119119432801</v>
      </c>
      <c r="DM101" s="170" t="s">
        <v>580</v>
      </c>
      <c r="DN101" s="171">
        <f>DN99</f>
        <v>190662</v>
      </c>
      <c r="DO101" s="171">
        <f>DO99</f>
        <v>0</v>
      </c>
      <c r="DP101" s="171">
        <f>DP99</f>
        <v>190662</v>
      </c>
      <c r="DQ101" s="171"/>
      <c r="DR101" s="171">
        <f t="shared" ref="DR101:DS101" si="661">SUM(DR99:DR100)</f>
        <v>10814.31219397548</v>
      </c>
      <c r="DS101" s="171">
        <f t="shared" si="661"/>
        <v>0</v>
      </c>
      <c r="DT101" s="173">
        <f>DT99</f>
        <v>10814.31219397548</v>
      </c>
      <c r="DV101" s="170" t="s">
        <v>580</v>
      </c>
      <c r="DW101" s="171">
        <f>DW99</f>
        <v>190662</v>
      </c>
      <c r="DX101" s="171">
        <f>DX99</f>
        <v>0</v>
      </c>
      <c r="DY101" s="171">
        <f>DY99</f>
        <v>190662</v>
      </c>
      <c r="DZ101" s="171"/>
      <c r="EA101" s="171">
        <f t="shared" ref="EA101:EB101" si="662">SUM(EA99:EA100)</f>
        <v>29926.069724626894</v>
      </c>
      <c r="EB101" s="171">
        <f t="shared" si="662"/>
        <v>0</v>
      </c>
      <c r="EC101" s="173">
        <f>EC99</f>
        <v>29926.069724626894</v>
      </c>
      <c r="EE101" s="170" t="s">
        <v>580</v>
      </c>
      <c r="EF101" s="171">
        <f>EF99</f>
        <v>190662</v>
      </c>
      <c r="EG101" s="171">
        <f>EG99</f>
        <v>0</v>
      </c>
      <c r="EH101" s="171">
        <f>EH99</f>
        <v>190662</v>
      </c>
      <c r="EI101" s="171"/>
      <c r="EJ101" s="171">
        <f t="shared" ref="EJ101:EK101" si="663">SUM(EJ99:EJ100)</f>
        <v>24272.454855262644</v>
      </c>
      <c r="EK101" s="171">
        <f t="shared" si="663"/>
        <v>3640.8682282893965</v>
      </c>
      <c r="EL101" s="173">
        <f>EL99</f>
        <v>27913.323083552041</v>
      </c>
      <c r="EN101" s="170" t="s">
        <v>580</v>
      </c>
      <c r="EO101" s="171">
        <f>EO99</f>
        <v>190662</v>
      </c>
      <c r="EP101" s="171">
        <f>EP99</f>
        <v>0</v>
      </c>
      <c r="EQ101" s="171">
        <f>EQ99</f>
        <v>190662</v>
      </c>
      <c r="ER101" s="171"/>
      <c r="ES101" s="171">
        <f t="shared" ref="ES101:ET101" si="664">SUM(ES99:ES100)</f>
        <v>7442.3080810059146</v>
      </c>
      <c r="ET101" s="171">
        <f t="shared" si="664"/>
        <v>0</v>
      </c>
      <c r="EU101" s="173">
        <f>EU99</f>
        <v>7442.3080810059146</v>
      </c>
      <c r="EW101" s="170" t="s">
        <v>580</v>
      </c>
      <c r="EX101" s="171">
        <f>EX99</f>
        <v>190662</v>
      </c>
      <c r="EY101" s="171">
        <f>EY99</f>
        <v>0</v>
      </c>
      <c r="EZ101" s="171">
        <f>EZ99</f>
        <v>190662</v>
      </c>
      <c r="FA101" s="171"/>
      <c r="FB101" s="171">
        <f t="shared" ref="FB101:FC101" si="665">SUM(FB99:FB100)</f>
        <v>3592.3233185788713</v>
      </c>
      <c r="FC101" s="171">
        <f t="shared" si="665"/>
        <v>0</v>
      </c>
      <c r="FD101" s="173">
        <f>FD99</f>
        <v>3592.3233185788713</v>
      </c>
      <c r="FF101" s="170" t="s">
        <v>580</v>
      </c>
      <c r="FG101" s="171">
        <f>FG99</f>
        <v>190662</v>
      </c>
      <c r="FH101" s="171">
        <f>FH99</f>
        <v>0</v>
      </c>
      <c r="FI101" s="171">
        <f>FI99</f>
        <v>190662</v>
      </c>
      <c r="FJ101" s="171"/>
      <c r="FK101" s="171">
        <f t="shared" ref="FK101:FL101" si="666">SUM(FK99:FK100)</f>
        <v>13831.565043675819</v>
      </c>
      <c r="FL101" s="171">
        <f t="shared" si="666"/>
        <v>0</v>
      </c>
      <c r="FM101" s="173">
        <f>FM99</f>
        <v>13831.565043675819</v>
      </c>
    </row>
    <row r="102" spans="1:169">
      <c r="A102" s="52"/>
      <c r="B102" s="45"/>
      <c r="C102" s="45"/>
      <c r="D102" s="45"/>
      <c r="E102" s="45"/>
      <c r="F102" s="45"/>
      <c r="I102" s="108"/>
      <c r="J102" s="110"/>
      <c r="K102" s="110"/>
      <c r="L102" s="110"/>
      <c r="M102" s="110"/>
      <c r="N102" s="110"/>
      <c r="O102" s="110"/>
      <c r="P102" s="110"/>
      <c r="R102" s="108"/>
      <c r="S102" s="110"/>
      <c r="T102" s="110"/>
      <c r="U102" s="110"/>
      <c r="V102" s="110"/>
      <c r="W102" s="110"/>
      <c r="X102" s="110"/>
      <c r="Y102" s="110"/>
      <c r="AA102" s="108"/>
      <c r="AB102" s="110"/>
      <c r="AC102" s="110"/>
      <c r="AD102" s="110"/>
      <c r="AE102" s="110"/>
      <c r="AF102" s="110"/>
      <c r="AG102" s="110"/>
      <c r="AH102" s="110"/>
      <c r="AJ102" s="108"/>
      <c r="AK102" s="110"/>
      <c r="AL102" s="110"/>
      <c r="AM102" s="110"/>
      <c r="AN102" s="110"/>
      <c r="AO102" s="110"/>
      <c r="AP102" s="110"/>
      <c r="AQ102" s="110"/>
      <c r="AS102" s="108"/>
      <c r="AT102" s="110"/>
      <c r="AU102" s="110"/>
      <c r="AV102" s="110"/>
      <c r="AW102" s="110"/>
      <c r="AX102" s="110"/>
      <c r="AY102" s="110"/>
      <c r="AZ102" s="110"/>
      <c r="BB102" s="108"/>
      <c r="BC102" s="110"/>
      <c r="BD102" s="110"/>
      <c r="BE102" s="110"/>
      <c r="BF102" s="110"/>
      <c r="BG102" s="110"/>
      <c r="BH102" s="110"/>
      <c r="BI102" s="110"/>
      <c r="BK102" s="108"/>
      <c r="BL102" s="110"/>
      <c r="BM102" s="110"/>
      <c r="BN102" s="110"/>
      <c r="BO102" s="110"/>
      <c r="BP102" s="110"/>
      <c r="BQ102" s="110"/>
      <c r="BR102" s="110"/>
      <c r="BT102" s="108"/>
      <c r="BU102" s="110"/>
      <c r="BV102" s="110"/>
      <c r="BW102" s="110"/>
      <c r="BX102" s="110"/>
      <c r="BY102" s="110"/>
      <c r="BZ102" s="110"/>
      <c r="CA102" s="110"/>
      <c r="CC102" s="108"/>
      <c r="CD102" s="110"/>
      <c r="CE102" s="110"/>
      <c r="CF102" s="110"/>
      <c r="CG102" s="110"/>
      <c r="CH102" s="110"/>
      <c r="CI102" s="110"/>
      <c r="CJ102" s="110"/>
      <c r="CL102" s="108"/>
      <c r="CM102" s="110"/>
      <c r="CN102" s="110"/>
      <c r="CO102" s="110"/>
      <c r="CP102" s="110"/>
      <c r="CQ102" s="110"/>
      <c r="CR102" s="110"/>
      <c r="CS102" s="110"/>
      <c r="CU102" s="108"/>
      <c r="CV102" s="110"/>
      <c r="CW102" s="110"/>
      <c r="CX102" s="110"/>
      <c r="CY102" s="110"/>
      <c r="CZ102" s="110"/>
      <c r="DA102" s="110"/>
      <c r="DB102" s="110"/>
      <c r="DD102" s="108"/>
      <c r="DE102" s="110"/>
      <c r="DF102" s="110"/>
      <c r="DG102" s="110"/>
      <c r="DH102" s="110"/>
      <c r="DI102" s="110"/>
      <c r="DJ102" s="110"/>
      <c r="DK102" s="110"/>
      <c r="DM102" s="108"/>
      <c r="DN102" s="110"/>
      <c r="DO102" s="110"/>
      <c r="DP102" s="110"/>
      <c r="DQ102" s="110"/>
      <c r="DR102" s="110"/>
      <c r="DS102" s="110"/>
      <c r="DT102" s="110"/>
      <c r="DV102" s="108"/>
      <c r="DW102" s="110"/>
      <c r="DX102" s="110"/>
      <c r="DY102" s="110"/>
      <c r="DZ102" s="110"/>
      <c r="EA102" s="110"/>
      <c r="EB102" s="110"/>
      <c r="EC102" s="110"/>
      <c r="EE102" s="108"/>
      <c r="EF102" s="110"/>
      <c r="EG102" s="110"/>
      <c r="EH102" s="110"/>
      <c r="EI102" s="110"/>
      <c r="EJ102" s="110"/>
      <c r="EK102" s="110"/>
      <c r="EL102" s="110"/>
      <c r="EN102" s="108"/>
      <c r="EO102" s="110"/>
      <c r="EP102" s="110"/>
      <c r="EQ102" s="110"/>
      <c r="ER102" s="110"/>
      <c r="ES102" s="110"/>
      <c r="ET102" s="110"/>
      <c r="EU102" s="110"/>
      <c r="EW102" s="108"/>
      <c r="EX102" s="110"/>
      <c r="EY102" s="110"/>
      <c r="EZ102" s="110"/>
      <c r="FA102" s="110"/>
      <c r="FB102" s="110"/>
      <c r="FC102" s="110"/>
      <c r="FD102" s="110"/>
      <c r="FF102" s="108"/>
      <c r="FG102" s="110"/>
      <c r="FH102" s="110"/>
      <c r="FI102" s="110"/>
      <c r="FJ102" s="110"/>
      <c r="FK102" s="110"/>
      <c r="FL102" s="110"/>
      <c r="FM102" s="110"/>
    </row>
    <row r="103" spans="1:169">
      <c r="A103" s="52"/>
      <c r="B103" s="169" t="s">
        <v>581</v>
      </c>
      <c r="C103" s="265"/>
      <c r="D103" s="265"/>
      <c r="E103" s="265"/>
      <c r="F103" s="268">
        <f>F71+F96+F22+F101</f>
        <v>1385444.6873399999</v>
      </c>
      <c r="I103" s="170" t="s">
        <v>582</v>
      </c>
      <c r="J103" s="171">
        <f>J22+J71+J79+J96+J101</f>
        <v>1522612.76734</v>
      </c>
      <c r="K103" s="171">
        <f>K22+K71+K79+K96+K101</f>
        <v>0</v>
      </c>
      <c r="L103" s="171">
        <f>L22+L71+L79+L96+L101</f>
        <v>1522612.76734</v>
      </c>
      <c r="M103" s="171"/>
      <c r="N103" s="171">
        <f>N22+N71+N79+N96+N101</f>
        <v>135794.40945365163</v>
      </c>
      <c r="O103" s="171">
        <f>O22+O71+O79+O96+O101</f>
        <v>0</v>
      </c>
      <c r="P103" s="173">
        <f>P22+P71+P79+P96+P101</f>
        <v>135794.40945365163</v>
      </c>
      <c r="R103" s="170" t="s">
        <v>582</v>
      </c>
      <c r="S103" s="171">
        <f>S22+S71+S79+S96+S101</f>
        <v>1522612.76734</v>
      </c>
      <c r="T103" s="171">
        <f>T22+T71+T79+T96+T101</f>
        <v>0</v>
      </c>
      <c r="U103" s="171">
        <f>U22+U71+U79+U96+U101</f>
        <v>1522612.76734</v>
      </c>
      <c r="V103" s="171"/>
      <c r="W103" s="171">
        <f>W22+W71+W79+W96+W101</f>
        <v>37656.389298533926</v>
      </c>
      <c r="X103" s="171">
        <f>X22+X71+X79+X96+X101</f>
        <v>0</v>
      </c>
      <c r="Y103" s="173">
        <f>Y22+Y71+Y79+Y96+Y101</f>
        <v>37656.389298533926</v>
      </c>
      <c r="AA103" s="170" t="s">
        <v>582</v>
      </c>
      <c r="AB103" s="171">
        <f>AB22+AB71+AB79+AB96+AB101</f>
        <v>1522612.76734</v>
      </c>
      <c r="AC103" s="171">
        <f>AC22+AC71+AC79+AC96+AC101</f>
        <v>0</v>
      </c>
      <c r="AD103" s="171">
        <f>AD22+AD71+AD79+AD96+AD101</f>
        <v>1522612.76734</v>
      </c>
      <c r="AE103" s="171"/>
      <c r="AF103" s="171">
        <f>AF22+AF71+AF79+AF96+AF101</f>
        <v>7012.3629978647878</v>
      </c>
      <c r="AG103" s="171">
        <f>AG22+AG71+AG79+AG96+AG101</f>
        <v>0</v>
      </c>
      <c r="AH103" s="173">
        <f>AH22+AH71+AH79+AH96+AH101</f>
        <v>7012.3629978647878</v>
      </c>
      <c r="AJ103" s="170" t="s">
        <v>582</v>
      </c>
      <c r="AK103" s="171">
        <f>AK22+AK71+AK79+AK96+AK101</f>
        <v>1522612.76734</v>
      </c>
      <c r="AL103" s="171">
        <f>AL22+AL71+AL79+AL96+AL101</f>
        <v>0</v>
      </c>
      <c r="AM103" s="171">
        <f>AM22+AM71+AM79+AM96+AM101</f>
        <v>1522612.76734</v>
      </c>
      <c r="AN103" s="171"/>
      <c r="AO103" s="171">
        <f>AO22+AO71+AO79+AO96+AO101</f>
        <v>18162.020164469806</v>
      </c>
      <c r="AP103" s="171">
        <f>AP22+AP71+AP79+AP96+AP101</f>
        <v>0</v>
      </c>
      <c r="AQ103" s="173">
        <f>AQ22+AQ71+AQ79+AQ96+AQ101</f>
        <v>18162.020164469806</v>
      </c>
      <c r="AS103" s="170" t="s">
        <v>582</v>
      </c>
      <c r="AT103" s="171">
        <f>AT22+AT71+AT79+AT96+AT101</f>
        <v>1522612.76734</v>
      </c>
      <c r="AU103" s="171">
        <f>AU22+AU71+AU79+AU96+AU101</f>
        <v>-137168.08000000002</v>
      </c>
      <c r="AV103" s="171">
        <f>AV22+AV71+AV79+AV96+AV101</f>
        <v>1385444.6873399999</v>
      </c>
      <c r="AW103" s="171"/>
      <c r="AX103" s="171">
        <f>AX22+AX71+AX79+AX96+AX101</f>
        <v>15837.478849909687</v>
      </c>
      <c r="AY103" s="171">
        <f>AY22+AY71+AY79+AY96+AY101</f>
        <v>0</v>
      </c>
      <c r="AZ103" s="173">
        <f>AZ22+AZ71+AZ79+AZ96+AZ101</f>
        <v>15837.478849909687</v>
      </c>
      <c r="BB103" s="170" t="s">
        <v>582</v>
      </c>
      <c r="BC103" s="171">
        <f>BC22+BC71+BC79+BC96+BC101</f>
        <v>1522612.76734</v>
      </c>
      <c r="BD103" s="171">
        <f>BD22+BD71+BD79+BD96+BD101</f>
        <v>-137168.08000000002</v>
      </c>
      <c r="BE103" s="171">
        <f>BE22+BE71+BE79+BE96+BE101</f>
        <v>1385444.6873399999</v>
      </c>
      <c r="BF103" s="171"/>
      <c r="BG103" s="171" t="e">
        <f>BG22+BG71+BG79+BG96+BG101</f>
        <v>#REF!</v>
      </c>
      <c r="BH103" s="171" t="e">
        <f>BH22+BH71+BH79+BH96+BH101</f>
        <v>#REF!</v>
      </c>
      <c r="BI103" s="173" t="e">
        <f>BI22+BI71+BI79+BI96+BI101</f>
        <v>#REF!</v>
      </c>
      <c r="BK103" s="170" t="s">
        <v>582</v>
      </c>
      <c r="BL103" s="171">
        <f>BL22+BL71+BL79+BL96+BL101</f>
        <v>1522612.76734</v>
      </c>
      <c r="BM103" s="171">
        <f>BM22+BM71+BM79+BM96+BM101</f>
        <v>0</v>
      </c>
      <c r="BN103" s="171">
        <f>BN22+BN71+BN79+BN96+BN101</f>
        <v>1522612.76734</v>
      </c>
      <c r="BO103" s="171"/>
      <c r="BP103" s="171">
        <f>BP22+BP71+BP79+BP96+BP101</f>
        <v>34851.444099388013</v>
      </c>
      <c r="BQ103" s="171">
        <f>BQ22+BQ71+BQ79+BQ96+BQ101</f>
        <v>0</v>
      </c>
      <c r="BR103" s="173">
        <f>BR22+BR71+BR79+BR96+BR101</f>
        <v>34851.444099388013</v>
      </c>
      <c r="BT103" s="170" t="s">
        <v>582</v>
      </c>
      <c r="BU103" s="171">
        <f>BU22+BU71+BU79+BU96+BU101</f>
        <v>1522612.76734</v>
      </c>
      <c r="BV103" s="171">
        <f>BV22+BV71+BV79+BV96+BV101</f>
        <v>-137168.08000000002</v>
      </c>
      <c r="BW103" s="171">
        <f>BW22+BW71+BW79+BW96+BW101</f>
        <v>1385444.6873399999</v>
      </c>
      <c r="BX103" s="171"/>
      <c r="BY103" s="171">
        <f>BY22+BY71+BY79+BY96+BY101</f>
        <v>31463.791315153907</v>
      </c>
      <c r="BZ103" s="171">
        <f>BZ22+BZ71+BZ79+BZ96+BZ101</f>
        <v>0</v>
      </c>
      <c r="CA103" s="173">
        <f>CA22+CA71+CA79+CA96+CA101</f>
        <v>31463.791315153907</v>
      </c>
      <c r="CC103" s="170" t="s">
        <v>582</v>
      </c>
      <c r="CD103" s="171">
        <f>CD22+CD71+CD79+CD96+CD101</f>
        <v>1522612.76734</v>
      </c>
      <c r="CE103" s="171">
        <f>CE22+CE71+CE79+CE96+CE101</f>
        <v>2</v>
      </c>
      <c r="CF103" s="171">
        <f>CF22+CF71+CF79+CF96+CF101</f>
        <v>1522614.76734</v>
      </c>
      <c r="CG103" s="171"/>
      <c r="CH103" s="171">
        <f>CH22+CH71+CH79+CH96+CH101</f>
        <v>123628.13530245089</v>
      </c>
      <c r="CI103" s="171">
        <f>CI22+CI71+CI79+CI96+CI101</f>
        <v>0</v>
      </c>
      <c r="CJ103" s="173">
        <f>CJ22+CJ71+CJ79+CJ96+CJ101</f>
        <v>123628.13530245089</v>
      </c>
      <c r="CL103" s="170" t="s">
        <v>582</v>
      </c>
      <c r="CM103" s="171">
        <f>CM22+CM71+CM79+CM96+CM101</f>
        <v>1522612.76734</v>
      </c>
      <c r="CN103" s="171">
        <f>CN22+CN71+CN79+CN96+CN101</f>
        <v>2</v>
      </c>
      <c r="CO103" s="171">
        <f>CO22+CO71+CO79+CO96+CO101</f>
        <v>1522614.76734</v>
      </c>
      <c r="CP103" s="171"/>
      <c r="CQ103" s="171">
        <f>CQ22+CQ71+CQ79+CQ96+CQ101</f>
        <v>376424.18054654362</v>
      </c>
      <c r="CR103" s="171">
        <f>CR22+CR71+CR79+CR96+CR101</f>
        <v>0</v>
      </c>
      <c r="CS103" s="173">
        <f>CS22+CS71+CS79+CS96+CS101</f>
        <v>376424.18054654362</v>
      </c>
      <c r="CU103" s="170" t="s">
        <v>582</v>
      </c>
      <c r="CV103" s="171">
        <f>CV22+CV71+CV79+CV96+CV101</f>
        <v>1522612.76734</v>
      </c>
      <c r="CW103" s="171">
        <f>CW22+CW71+CW79+CW96+CW101</f>
        <v>-137166.08000000002</v>
      </c>
      <c r="CX103" s="171">
        <f>CX22+CX71+CX79+CX96+CX101</f>
        <v>1385446.6873399999</v>
      </c>
      <c r="CY103" s="171"/>
      <c r="CZ103" s="171">
        <f>CZ22+CZ71+CZ79+CZ96+CZ101</f>
        <v>90500.028589386988</v>
      </c>
      <c r="DA103" s="171">
        <f>DA22+DA71+DA79+DA96+DA101</f>
        <v>0</v>
      </c>
      <c r="DB103" s="173">
        <f>DB22+DB71+DB79+DB96+DB101</f>
        <v>90500.028589386988</v>
      </c>
      <c r="DD103" s="170" t="s">
        <v>582</v>
      </c>
      <c r="DE103" s="171">
        <f>DE22+DE71+DE79+DE96+DE101</f>
        <v>1522612.76734</v>
      </c>
      <c r="DF103" s="171">
        <f>DF22+DF71+DF79+DF96+DF101</f>
        <v>2</v>
      </c>
      <c r="DG103" s="171">
        <f>DG22+DG71+DG79+DG96+DG101</f>
        <v>1522614.76734</v>
      </c>
      <c r="DH103" s="171"/>
      <c r="DI103" s="171">
        <f>DI22+DI71+DI79+DI96+DI101</f>
        <v>17530.932402502964</v>
      </c>
      <c r="DJ103" s="171">
        <f>DJ22+DJ71+DJ79+DJ96+DJ101</f>
        <v>0</v>
      </c>
      <c r="DK103" s="173">
        <f>DK22+DK71+DK79+DK96+DK101</f>
        <v>17530.932402502964</v>
      </c>
      <c r="DM103" s="170" t="s">
        <v>582</v>
      </c>
      <c r="DN103" s="171">
        <f>DN22+DN71+DN79+DN96+DN101</f>
        <v>1522612.76734</v>
      </c>
      <c r="DO103" s="171">
        <f>DO22+DO71+DO79+DO96+DO101</f>
        <v>-569663.40320000006</v>
      </c>
      <c r="DP103" s="171">
        <f>DP22+DP71+DP79+DP96+DP101</f>
        <v>952949.36413999996</v>
      </c>
      <c r="DQ103" s="171"/>
      <c r="DR103" s="171">
        <f>DR22+DR71+DR79+DR96+DR101</f>
        <v>60447.424705963698</v>
      </c>
      <c r="DS103" s="171">
        <f>DS22+DS71+DS79+DS96+DS101</f>
        <v>0</v>
      </c>
      <c r="DT103" s="173">
        <f>DT22+DT71+DT79+DT96+DT101</f>
        <v>60447.424705963698</v>
      </c>
      <c r="DV103" s="170" t="s">
        <v>582</v>
      </c>
      <c r="DW103" s="171">
        <f>DW22+DW71+DW79+DW96+DW101</f>
        <v>1522612.76734</v>
      </c>
      <c r="DX103" s="171">
        <f>DX22+DX71+DX79+DX96+DX101</f>
        <v>-706831.48320000002</v>
      </c>
      <c r="DY103" s="171">
        <f>DY22+DY71+DY79+DY96+DY101</f>
        <v>815781.28414</v>
      </c>
      <c r="DZ103" s="171"/>
      <c r="EA103" s="171">
        <f>EA22+EA71+EA79+EA96+EA101</f>
        <v>128044.0129088088</v>
      </c>
      <c r="EB103" s="171">
        <f>EB22+EB71+EB79+EB96+EB101</f>
        <v>0</v>
      </c>
      <c r="EC103" s="173">
        <f>EC22+EC71+EC79+EC96+EC101</f>
        <v>128044.0129088088</v>
      </c>
      <c r="EE103" s="170" t="s">
        <v>582</v>
      </c>
      <c r="EF103" s="171">
        <f>EF22+EF71+EF79+EF96+EF101</f>
        <v>1522612.76734</v>
      </c>
      <c r="EG103" s="171">
        <f>EG22+EG71+EG79+EG96+EG101</f>
        <v>-391316.30320000002</v>
      </c>
      <c r="EH103" s="171">
        <f>EH22+EH71+EH79+EH96+EH101</f>
        <v>1131296.4641400001</v>
      </c>
      <c r="EI103" s="171"/>
      <c r="EJ103" s="171">
        <f>EJ22+EJ71+EJ79+EJ96+EJ101</f>
        <v>164547.30976496855</v>
      </c>
      <c r="EK103" s="171">
        <f>EK22+EK71+EK79+EK96+EK101</f>
        <v>24682.096464745282</v>
      </c>
      <c r="EL103" s="173">
        <f>EL22+EL71+EL79+EL96+EL101</f>
        <v>189229.40622971382</v>
      </c>
      <c r="EN103" s="170" t="s">
        <v>582</v>
      </c>
      <c r="EO103" s="171">
        <f>EO22+EO71+EO79+EO96+EO101</f>
        <v>1522612.76734</v>
      </c>
      <c r="EP103" s="171">
        <f>EP22+EP71+EP79+EP96+EP101</f>
        <v>2</v>
      </c>
      <c r="EQ103" s="171">
        <f>EQ22+EQ71+EQ79+EQ96+EQ101</f>
        <v>1443114.76734</v>
      </c>
      <c r="ER103" s="171"/>
      <c r="ES103" s="171">
        <f>ES22+ES71+ES79+ES96+ES101</f>
        <v>65931.81105274026</v>
      </c>
      <c r="ET103" s="171">
        <f>ET22+ET71+ET79+ET96+ET101</f>
        <v>0</v>
      </c>
      <c r="EU103" s="173">
        <f>EU22+EU71+EU79+EU96+EU101</f>
        <v>65931.81105274026</v>
      </c>
      <c r="EW103" s="170" t="s">
        <v>582</v>
      </c>
      <c r="EX103" s="171">
        <f>EX22+EX71+EX79+EX96+EX101</f>
        <v>1522612.76734</v>
      </c>
      <c r="EY103" s="171">
        <f>EY22+EY71+EY79+EY96+EY101</f>
        <v>-137166.08000000002</v>
      </c>
      <c r="EZ103" s="171">
        <f>EZ22+EZ71+EZ79+EZ96+EZ101</f>
        <v>1305946.6873399999</v>
      </c>
      <c r="FA103" s="171"/>
      <c r="FB103" s="171">
        <f>FB22+FB71+FB79+FB96+FB101</f>
        <v>27115.415730049273</v>
      </c>
      <c r="FC103" s="171">
        <f>FC22+FC71+FC79+FC96+FC101</f>
        <v>0</v>
      </c>
      <c r="FD103" s="173">
        <f>FD22+FD71+FD79+FD96+FD101</f>
        <v>27115.415730049273</v>
      </c>
      <c r="FF103" s="170" t="s">
        <v>582</v>
      </c>
      <c r="FG103" s="171">
        <f>FG22+FG71+FG79+FG96+FG101</f>
        <v>1522612.76734</v>
      </c>
      <c r="FH103" s="171">
        <f>FH22+FH71+FH79+FH96+FH101</f>
        <v>2</v>
      </c>
      <c r="FI103" s="171">
        <f>FI22+FI71+FI79+FI96+FI101</f>
        <v>1443114.76734</v>
      </c>
      <c r="FJ103" s="171"/>
      <c r="FK103" s="171">
        <f>FK22+FK71+FK79+FK96+FK101</f>
        <v>122534.5851175865</v>
      </c>
      <c r="FL103" s="171">
        <f>FL22+FL71+FL79+FL96+FL101</f>
        <v>0</v>
      </c>
      <c r="FM103" s="173">
        <f>FM22+FM71+FM79+FM96+FM101</f>
        <v>122534.5851175865</v>
      </c>
    </row>
    <row r="104" spans="1:169">
      <c r="A104" s="45"/>
      <c r="B104" s="45"/>
      <c r="C104" s="45"/>
      <c r="D104" s="45"/>
      <c r="E104" s="45"/>
      <c r="F104" s="45"/>
      <c r="I104" s="108"/>
      <c r="J104" s="108"/>
      <c r="K104" s="108"/>
      <c r="L104" s="108"/>
      <c r="M104" s="108"/>
      <c r="N104" s="108"/>
      <c r="O104" s="108"/>
      <c r="P104" s="110"/>
      <c r="R104" s="108"/>
      <c r="S104" s="108"/>
      <c r="T104" s="108"/>
      <c r="U104" s="108"/>
      <c r="V104" s="108"/>
      <c r="W104" s="108"/>
      <c r="X104" s="108"/>
      <c r="Y104" s="110"/>
      <c r="AA104" s="108"/>
      <c r="AB104" s="108"/>
      <c r="AC104" s="108"/>
      <c r="AD104" s="108"/>
      <c r="AE104" s="108"/>
      <c r="AF104" s="108"/>
      <c r="AG104" s="108"/>
      <c r="AH104" s="110"/>
      <c r="AJ104" s="108"/>
      <c r="AK104" s="108"/>
      <c r="AL104" s="108"/>
      <c r="AM104" s="108"/>
      <c r="AN104" s="108"/>
      <c r="AO104" s="108"/>
      <c r="AP104" s="108"/>
      <c r="AQ104" s="110"/>
      <c r="AS104" s="108"/>
      <c r="AT104" s="108"/>
      <c r="AU104" s="108"/>
      <c r="AV104" s="108"/>
      <c r="AW104" s="108"/>
      <c r="AX104" s="108"/>
      <c r="AY104" s="108"/>
      <c r="AZ104" s="110"/>
      <c r="BB104" s="108"/>
      <c r="BC104" s="108"/>
      <c r="BD104" s="108"/>
      <c r="BE104" s="108"/>
      <c r="BF104" s="108"/>
      <c r="BG104" s="108"/>
      <c r="BH104" s="108"/>
      <c r="BI104" s="110"/>
      <c r="BK104" s="108"/>
      <c r="BL104" s="108"/>
      <c r="BM104" s="108"/>
      <c r="BN104" s="108"/>
      <c r="BO104" s="108"/>
      <c r="BP104" s="108"/>
      <c r="BQ104" s="108"/>
      <c r="BR104" s="110"/>
      <c r="BT104" s="108"/>
      <c r="BU104" s="108"/>
      <c r="BV104" s="108"/>
      <c r="BW104" s="108"/>
      <c r="BX104" s="108"/>
      <c r="BY104" s="108"/>
      <c r="BZ104" s="108"/>
      <c r="CA104" s="110"/>
      <c r="CC104" s="108"/>
      <c r="CD104" s="108"/>
      <c r="CE104" s="108"/>
      <c r="CF104" s="108"/>
      <c r="CG104" s="108"/>
      <c r="CH104" s="108"/>
      <c r="CI104" s="108"/>
      <c r="CJ104" s="110"/>
      <c r="CL104" s="108"/>
      <c r="CM104" s="108"/>
      <c r="CN104" s="108"/>
      <c r="CO104" s="108"/>
      <c r="CP104" s="108"/>
      <c r="CQ104" s="108"/>
      <c r="CR104" s="108"/>
      <c r="CS104" s="110"/>
      <c r="CU104" s="108" t="s">
        <v>583</v>
      </c>
      <c r="CV104" s="108"/>
      <c r="CW104" s="108"/>
      <c r="CZ104" s="108"/>
      <c r="DA104" s="108" t="s">
        <v>584</v>
      </c>
      <c r="DB104" s="383">
        <f>52949.01*1.05</f>
        <v>55596.460500000001</v>
      </c>
      <c r="DD104" s="108"/>
      <c r="DE104" s="108"/>
      <c r="DF104" s="108"/>
      <c r="DG104" s="108"/>
      <c r="DH104" s="108"/>
      <c r="DI104" s="108"/>
      <c r="DJ104" s="108"/>
      <c r="DK104" s="110"/>
      <c r="DM104" s="108"/>
      <c r="DN104" s="108"/>
      <c r="DO104" s="108"/>
      <c r="DP104" s="108"/>
      <c r="DQ104" s="108"/>
      <c r="DR104" s="108"/>
      <c r="DS104" s="108"/>
      <c r="DT104" s="110"/>
      <c r="DV104" s="108"/>
      <c r="DW104" s="108"/>
      <c r="DX104" s="108"/>
      <c r="DY104" s="108"/>
      <c r="DZ104" s="108"/>
      <c r="EA104" s="108"/>
      <c r="EB104" s="108"/>
      <c r="EC104" s="110"/>
      <c r="EE104" s="108"/>
      <c r="EF104" s="108"/>
      <c r="EG104" s="108"/>
      <c r="EH104" s="108"/>
      <c r="EI104" s="108"/>
      <c r="EJ104" s="108"/>
      <c r="EK104" s="108"/>
      <c r="EL104" s="110"/>
      <c r="EN104" s="108"/>
      <c r="EO104" s="108"/>
      <c r="EP104" s="108"/>
      <c r="EQ104" s="108"/>
      <c r="ER104" s="108"/>
      <c r="ES104" s="108"/>
      <c r="ET104" s="108"/>
      <c r="EU104" s="110"/>
      <c r="EW104" s="108"/>
      <c r="EX104" s="108"/>
      <c r="EY104" s="108"/>
      <c r="EZ104" s="108"/>
      <c r="FA104" s="108"/>
      <c r="FB104" s="108"/>
      <c r="FC104" s="108"/>
      <c r="FD104" s="110"/>
      <c r="FF104" s="108"/>
      <c r="FG104" s="108"/>
      <c r="FH104" s="108"/>
      <c r="FI104" s="108"/>
      <c r="FJ104" s="108"/>
      <c r="FK104" s="108"/>
      <c r="FL104" s="108"/>
      <c r="FM104" s="110"/>
    </row>
    <row r="105" spans="1:169">
      <c r="A105" s="45"/>
      <c r="B105" s="45"/>
      <c r="C105" s="45"/>
      <c r="D105" s="45"/>
      <c r="E105" s="45"/>
      <c r="F105" s="45"/>
      <c r="I105" s="109" t="s">
        <v>585</v>
      </c>
      <c r="J105" s="108"/>
      <c r="K105" s="108"/>
      <c r="L105" s="108"/>
      <c r="M105" s="108"/>
      <c r="N105" s="108"/>
      <c r="O105" s="108"/>
      <c r="P105" s="112">
        <v>0</v>
      </c>
      <c r="R105" s="109" t="s">
        <v>585</v>
      </c>
      <c r="S105" s="108"/>
      <c r="T105" s="108"/>
      <c r="U105" s="108"/>
      <c r="V105" s="108"/>
      <c r="W105" s="108"/>
      <c r="X105" s="108"/>
      <c r="Y105" s="112">
        <v>0</v>
      </c>
      <c r="AA105" s="109" t="s">
        <v>585</v>
      </c>
      <c r="AB105" s="108"/>
      <c r="AC105" s="108"/>
      <c r="AD105" s="108"/>
      <c r="AE105" s="108"/>
      <c r="AF105" s="108"/>
      <c r="AG105" s="108"/>
      <c r="AH105" s="112">
        <v>0</v>
      </c>
      <c r="AJ105" s="109" t="s">
        <v>585</v>
      </c>
      <c r="AK105" s="108"/>
      <c r="AL105" s="108"/>
      <c r="AM105" s="108"/>
      <c r="AN105" s="108"/>
      <c r="AO105" s="108"/>
      <c r="AP105" s="108"/>
      <c r="AQ105" s="112">
        <v>0</v>
      </c>
      <c r="AS105" s="109" t="s">
        <v>585</v>
      </c>
      <c r="AT105" s="108"/>
      <c r="AU105" s="108"/>
      <c r="AV105" s="108"/>
      <c r="AW105" s="108"/>
      <c r="AX105" s="108"/>
      <c r="AY105" s="108"/>
      <c r="AZ105" s="112">
        <v>0</v>
      </c>
      <c r="BB105" s="109" t="s">
        <v>585</v>
      </c>
      <c r="BC105" s="108"/>
      <c r="BD105" s="108"/>
      <c r="BE105" s="108"/>
      <c r="BF105" s="108"/>
      <c r="BG105" s="108"/>
      <c r="BH105" s="108"/>
      <c r="BI105" s="112">
        <v>0</v>
      </c>
      <c r="BJ105" s="237"/>
      <c r="BK105" s="109" t="s">
        <v>585</v>
      </c>
      <c r="BL105" s="108"/>
      <c r="BM105" s="108"/>
      <c r="BN105" s="108"/>
      <c r="BO105" s="108"/>
      <c r="BP105" s="108"/>
      <c r="BQ105" s="108"/>
      <c r="BR105" s="112">
        <v>0</v>
      </c>
      <c r="BT105" s="109" t="s">
        <v>585</v>
      </c>
      <c r="BU105" s="108"/>
      <c r="BV105" s="108"/>
      <c r="BW105" s="108"/>
      <c r="BX105" s="108"/>
      <c r="BY105" s="108"/>
      <c r="BZ105" s="108"/>
      <c r="CA105" s="112">
        <v>0</v>
      </c>
      <c r="CC105" s="109" t="s">
        <v>585</v>
      </c>
      <c r="CD105" s="108"/>
      <c r="CE105" s="108"/>
      <c r="CF105" s="108"/>
      <c r="CG105" s="108"/>
      <c r="CH105" s="108"/>
      <c r="CI105" s="108"/>
      <c r="CJ105" s="112">
        <v>0</v>
      </c>
      <c r="CL105" s="109" t="s">
        <v>585</v>
      </c>
      <c r="CM105" s="108"/>
      <c r="CN105" s="108"/>
      <c r="CO105" s="108"/>
      <c r="CP105" s="108"/>
      <c r="CQ105" s="108"/>
      <c r="CR105" s="108"/>
      <c r="CS105" s="112">
        <v>0</v>
      </c>
      <c r="CU105" s="109" t="s">
        <v>585</v>
      </c>
      <c r="CV105" s="108"/>
      <c r="CW105" s="108"/>
      <c r="CX105" s="108"/>
      <c r="CY105" s="108"/>
      <c r="CZ105" s="108"/>
      <c r="DA105" s="108"/>
      <c r="DB105" s="112">
        <v>0</v>
      </c>
      <c r="DD105" s="109" t="s">
        <v>585</v>
      </c>
      <c r="DE105" s="108"/>
      <c r="DF105" s="108"/>
      <c r="DG105" s="108"/>
      <c r="DH105" s="108"/>
      <c r="DI105" s="108"/>
      <c r="DJ105" s="108"/>
      <c r="DK105" s="112">
        <v>0</v>
      </c>
      <c r="DM105" s="109" t="s">
        <v>585</v>
      </c>
      <c r="DN105" s="108"/>
      <c r="DO105" s="108"/>
      <c r="DP105" s="108"/>
      <c r="DQ105" s="108"/>
      <c r="DR105" s="108"/>
      <c r="DS105" s="108"/>
      <c r="DT105" s="112">
        <v>0</v>
      </c>
      <c r="DV105" s="109" t="s">
        <v>585</v>
      </c>
      <c r="DW105" s="108"/>
      <c r="DX105" s="108"/>
      <c r="DY105" s="108"/>
      <c r="DZ105" s="108"/>
      <c r="EA105" s="108"/>
      <c r="EB105" s="108"/>
      <c r="EC105" s="112">
        <v>0</v>
      </c>
      <c r="EE105" s="109" t="s">
        <v>585</v>
      </c>
      <c r="EF105" s="108"/>
      <c r="EG105" s="108"/>
      <c r="EH105" s="108"/>
      <c r="EI105" s="108"/>
      <c r="EJ105" s="108"/>
      <c r="EK105" s="108"/>
      <c r="EL105" s="112">
        <v>0</v>
      </c>
      <c r="EN105" s="109" t="s">
        <v>585</v>
      </c>
      <c r="EO105" s="108"/>
      <c r="EP105" s="108"/>
      <c r="EQ105" s="108"/>
      <c r="ER105" s="108"/>
      <c r="ES105" s="108"/>
      <c r="ET105" s="108"/>
      <c r="EU105" s="112">
        <v>0</v>
      </c>
      <c r="EW105" s="109" t="s">
        <v>585</v>
      </c>
      <c r="EX105" s="108"/>
      <c r="EY105" s="108"/>
      <c r="EZ105" s="108"/>
      <c r="FA105" s="108"/>
      <c r="FB105" s="108"/>
      <c r="FC105" s="108"/>
      <c r="FD105" s="112">
        <v>0</v>
      </c>
      <c r="FF105" s="109" t="s">
        <v>585</v>
      </c>
      <c r="FG105" s="108"/>
      <c r="FH105" s="108"/>
      <c r="FI105" s="108"/>
      <c r="FJ105" s="108"/>
      <c r="FK105" s="108"/>
      <c r="FL105" s="108"/>
      <c r="FM105" s="112">
        <v>0</v>
      </c>
    </row>
    <row r="106" spans="1:169">
      <c r="A106" s="45"/>
      <c r="B106" s="45"/>
      <c r="C106" s="45"/>
      <c r="D106" s="45"/>
      <c r="E106" s="45"/>
      <c r="F106" s="45"/>
      <c r="I106" s="108"/>
      <c r="J106" s="108"/>
      <c r="K106" s="108"/>
      <c r="L106" s="108"/>
      <c r="M106" s="108"/>
      <c r="N106" s="108"/>
      <c r="O106" s="108"/>
      <c r="P106" s="108"/>
      <c r="R106" s="108"/>
      <c r="S106" s="108"/>
      <c r="T106" s="108"/>
      <c r="U106" s="108"/>
      <c r="V106" s="108"/>
      <c r="W106" s="108"/>
      <c r="X106" s="108"/>
      <c r="Y106" s="108"/>
      <c r="AA106" s="108"/>
      <c r="AB106" s="108"/>
      <c r="AC106" s="108"/>
      <c r="AD106" s="108"/>
      <c r="AE106" s="108"/>
      <c r="AF106" s="108"/>
      <c r="AG106" s="108"/>
      <c r="AH106" s="108"/>
      <c r="AJ106" s="108"/>
      <c r="AK106" s="108"/>
      <c r="AL106" s="108"/>
      <c r="AM106" s="108"/>
      <c r="AN106" s="108"/>
      <c r="AO106" s="108"/>
      <c r="AP106" s="108"/>
      <c r="AQ106" s="108"/>
      <c r="AS106" s="108"/>
      <c r="AT106" s="108"/>
      <c r="AU106" s="108"/>
      <c r="AV106" s="108"/>
      <c r="AW106" s="108"/>
      <c r="AX106" s="108"/>
      <c r="AY106" s="108"/>
      <c r="AZ106" s="108"/>
      <c r="BB106" s="108"/>
      <c r="BC106" s="108"/>
      <c r="BD106" s="108"/>
      <c r="BE106" s="108"/>
      <c r="BF106" s="108"/>
      <c r="BG106" s="108"/>
      <c r="BH106" s="108"/>
      <c r="BI106" s="108"/>
      <c r="BJ106" s="237"/>
      <c r="BK106" s="108"/>
      <c r="BL106" s="108"/>
      <c r="BM106" s="108"/>
      <c r="BN106" s="108"/>
      <c r="BO106" s="108"/>
      <c r="BP106" s="108"/>
      <c r="BQ106" s="108"/>
      <c r="BR106" s="108"/>
      <c r="BT106" s="108"/>
      <c r="BU106" s="108"/>
      <c r="BV106" s="108"/>
      <c r="BW106" s="108"/>
      <c r="BX106" s="108"/>
      <c r="BY106" s="108"/>
      <c r="BZ106" s="108"/>
      <c r="CA106" s="108"/>
      <c r="CC106" s="108"/>
      <c r="CD106" s="108"/>
      <c r="CE106" s="108"/>
      <c r="CF106" s="108"/>
      <c r="CG106" s="108"/>
      <c r="CH106" s="108"/>
      <c r="CI106" s="108"/>
      <c r="CJ106" s="108"/>
      <c r="CL106" s="108"/>
      <c r="CM106" s="108"/>
      <c r="CN106" s="108"/>
      <c r="CO106" s="108"/>
      <c r="CP106" s="108"/>
      <c r="CQ106" s="108"/>
      <c r="CR106" s="108"/>
      <c r="CS106" s="108"/>
      <c r="CU106" s="108" t="s">
        <v>586</v>
      </c>
      <c r="CV106" s="108"/>
      <c r="CW106" s="108"/>
      <c r="CX106" s="108"/>
      <c r="CY106" s="108"/>
      <c r="CZ106" s="108"/>
      <c r="DA106" s="108"/>
      <c r="DB106" s="110">
        <f>DB101+DB22+DB64+DB68+DB94+DB66+DB67</f>
        <v>38126.703492799148</v>
      </c>
      <c r="DD106" s="108"/>
      <c r="DE106" s="108"/>
      <c r="DF106" s="108"/>
      <c r="DG106" s="108"/>
      <c r="DH106" s="108"/>
      <c r="DI106" s="108"/>
      <c r="DJ106" s="108"/>
      <c r="DK106" s="108"/>
      <c r="DL106" s="237"/>
      <c r="DM106" s="108"/>
      <c r="DN106" s="108"/>
      <c r="DO106" s="108"/>
      <c r="DP106" s="108"/>
      <c r="DQ106" s="108"/>
      <c r="DR106" s="108"/>
      <c r="DS106" s="108"/>
      <c r="DT106" s="108"/>
      <c r="DV106" s="108"/>
      <c r="DW106" s="108"/>
      <c r="DX106" s="108"/>
      <c r="DY106" s="108"/>
      <c r="DZ106" s="108"/>
      <c r="EA106" s="108"/>
      <c r="EB106" s="108"/>
      <c r="EC106" s="108"/>
      <c r="EE106" s="108"/>
      <c r="EF106" s="108"/>
      <c r="EG106" s="108"/>
      <c r="EH106" s="108"/>
      <c r="EI106" s="108"/>
      <c r="EJ106" s="108"/>
      <c r="EK106" s="108"/>
      <c r="EL106" s="108"/>
      <c r="EN106" s="108"/>
      <c r="EO106" s="108"/>
      <c r="EP106" s="108"/>
      <c r="EQ106" s="108"/>
      <c r="ER106" s="108"/>
      <c r="ES106" s="108"/>
      <c r="ET106" s="108"/>
      <c r="EU106" s="108"/>
      <c r="EW106" s="108"/>
      <c r="EX106" s="108"/>
      <c r="EY106" s="108"/>
      <c r="EZ106" s="108"/>
      <c r="FA106" s="108"/>
      <c r="FB106" s="108"/>
      <c r="FC106" s="108"/>
      <c r="FD106" s="108"/>
      <c r="FF106" s="108"/>
      <c r="FG106" s="108"/>
      <c r="FH106" s="108"/>
      <c r="FI106" s="108"/>
      <c r="FJ106" s="108"/>
      <c r="FK106" s="108"/>
      <c r="FL106" s="108"/>
      <c r="FM106" s="108"/>
    </row>
    <row r="107" spans="1:169">
      <c r="A107" s="259"/>
      <c r="B107" s="259"/>
      <c r="C107" s="259"/>
      <c r="D107" s="259"/>
      <c r="E107" s="259"/>
      <c r="F107" s="259"/>
      <c r="H107" s="136"/>
      <c r="I107" s="170" t="s">
        <v>587</v>
      </c>
      <c r="J107" s="171"/>
      <c r="K107" s="171"/>
      <c r="L107" s="171"/>
      <c r="M107" s="171"/>
      <c r="N107" s="171"/>
      <c r="O107" s="172"/>
      <c r="P107" s="173">
        <f>P103+P105</f>
        <v>135794.40945365163</v>
      </c>
      <c r="Q107" s="136"/>
      <c r="R107" s="170" t="s">
        <v>587</v>
      </c>
      <c r="S107" s="171"/>
      <c r="T107" s="171"/>
      <c r="U107" s="171"/>
      <c r="V107" s="171"/>
      <c r="W107" s="171"/>
      <c r="X107" s="172"/>
      <c r="Y107" s="173">
        <f>Y103+Y105</f>
        <v>37656.389298533926</v>
      </c>
      <c r="Z107" s="136"/>
      <c r="AA107" s="170" t="s">
        <v>587</v>
      </c>
      <c r="AB107" s="171"/>
      <c r="AC107" s="171"/>
      <c r="AD107" s="171"/>
      <c r="AE107" s="171"/>
      <c r="AF107" s="171"/>
      <c r="AG107" s="172"/>
      <c r="AH107" s="173">
        <f>AH103+AH105</f>
        <v>7012.3629978647878</v>
      </c>
      <c r="AI107" s="136"/>
      <c r="AJ107" s="170" t="s">
        <v>587</v>
      </c>
      <c r="AK107" s="171"/>
      <c r="AL107" s="171"/>
      <c r="AM107" s="171"/>
      <c r="AN107" s="171"/>
      <c r="AO107" s="171"/>
      <c r="AP107" s="172"/>
      <c r="AQ107" s="173">
        <f>AQ103+AQ105</f>
        <v>18162.020164469806</v>
      </c>
      <c r="AR107" s="136"/>
      <c r="AS107" s="170" t="s">
        <v>587</v>
      </c>
      <c r="AT107" s="171"/>
      <c r="AU107" s="171"/>
      <c r="AV107" s="171"/>
      <c r="AW107" s="171"/>
      <c r="AX107" s="171"/>
      <c r="AY107" s="172"/>
      <c r="AZ107" s="173">
        <f>AZ103+AZ105</f>
        <v>15837.478849909687</v>
      </c>
      <c r="BA107" s="136"/>
      <c r="BB107" s="170" t="s">
        <v>587</v>
      </c>
      <c r="BC107" s="171"/>
      <c r="BD107" s="171"/>
      <c r="BE107" s="171"/>
      <c r="BF107" s="171"/>
      <c r="BG107" s="171"/>
      <c r="BH107" s="172"/>
      <c r="BI107" s="173" t="e">
        <f>BI103+BI105</f>
        <v>#REF!</v>
      </c>
      <c r="BJ107" s="136"/>
      <c r="BK107" s="170" t="s">
        <v>587</v>
      </c>
      <c r="BL107" s="171"/>
      <c r="BM107" s="171"/>
      <c r="BN107" s="171"/>
      <c r="BO107" s="171"/>
      <c r="BP107" s="171"/>
      <c r="BQ107" s="172"/>
      <c r="BR107" s="173">
        <f>BR103+BR105</f>
        <v>34851.444099388013</v>
      </c>
      <c r="BS107" s="136"/>
      <c r="BT107" s="170" t="s">
        <v>587</v>
      </c>
      <c r="BU107" s="171"/>
      <c r="BV107" s="171"/>
      <c r="BW107" s="171"/>
      <c r="BX107" s="171"/>
      <c r="BY107" s="171"/>
      <c r="BZ107" s="172"/>
      <c r="CA107" s="173">
        <f>CA103+CA105</f>
        <v>31463.791315153907</v>
      </c>
      <c r="CB107" s="136"/>
      <c r="CC107" s="170" t="s">
        <v>587</v>
      </c>
      <c r="CD107" s="171"/>
      <c r="CE107" s="171"/>
      <c r="CF107" s="171"/>
      <c r="CG107" s="171"/>
      <c r="CH107" s="171"/>
      <c r="CI107" s="172"/>
      <c r="CJ107" s="173">
        <f>CJ103+CJ105</f>
        <v>123628.13530245089</v>
      </c>
      <c r="CK107" s="136"/>
      <c r="CL107" s="170" t="s">
        <v>587</v>
      </c>
      <c r="CM107" s="171"/>
      <c r="CN107" s="171"/>
      <c r="CO107" s="171"/>
      <c r="CP107" s="171"/>
      <c r="CQ107" s="171"/>
      <c r="CR107" s="172"/>
      <c r="CS107" s="173">
        <f>CS103+CS105</f>
        <v>376424.18054654362</v>
      </c>
      <c r="CT107" s="136"/>
      <c r="CU107" s="170" t="s">
        <v>587</v>
      </c>
      <c r="CV107" s="171"/>
      <c r="CW107" s="171"/>
      <c r="CX107" s="171"/>
      <c r="CY107" s="171"/>
      <c r="CZ107" s="171"/>
      <c r="DA107" s="172"/>
      <c r="DB107" s="173">
        <f>DB104+DB106</f>
        <v>93723.163992799149</v>
      </c>
      <c r="DC107" s="136"/>
      <c r="DD107" s="170" t="s">
        <v>587</v>
      </c>
      <c r="DE107" s="171"/>
      <c r="DF107" s="171"/>
      <c r="DG107" s="171"/>
      <c r="DH107" s="171"/>
      <c r="DI107" s="171"/>
      <c r="DJ107" s="172"/>
      <c r="DK107" s="173">
        <f>DK103+DK105</f>
        <v>17530.932402502964</v>
      </c>
      <c r="DL107" s="136"/>
      <c r="DM107" s="170" t="s">
        <v>587</v>
      </c>
      <c r="DN107" s="171"/>
      <c r="DO107" s="171"/>
      <c r="DP107" s="171"/>
      <c r="DQ107" s="171"/>
      <c r="DR107" s="171"/>
      <c r="DS107" s="172"/>
      <c r="DT107" s="173">
        <f>DT103+DT105</f>
        <v>60447.424705963698</v>
      </c>
      <c r="DU107" s="136"/>
      <c r="DV107" s="170" t="s">
        <v>587</v>
      </c>
      <c r="DW107" s="171"/>
      <c r="DX107" s="171"/>
      <c r="DY107" s="171"/>
      <c r="DZ107" s="171"/>
      <c r="EA107" s="171"/>
      <c r="EB107" s="172"/>
      <c r="EC107" s="173">
        <f>EC103+EC105</f>
        <v>128044.0129088088</v>
      </c>
      <c r="ED107" s="136"/>
      <c r="EE107" s="170" t="s">
        <v>587</v>
      </c>
      <c r="EF107" s="171"/>
      <c r="EG107" s="171"/>
      <c r="EH107" s="171"/>
      <c r="EI107" s="171"/>
      <c r="EJ107" s="171"/>
      <c r="EK107" s="172"/>
      <c r="EL107" s="173">
        <f>EL103+EL105</f>
        <v>189229.40622971382</v>
      </c>
      <c r="EM107" s="136"/>
      <c r="EN107" s="170" t="s">
        <v>587</v>
      </c>
      <c r="EO107" s="171"/>
      <c r="EP107" s="171"/>
      <c r="EQ107" s="171"/>
      <c r="ER107" s="171"/>
      <c r="ES107" s="171"/>
      <c r="ET107" s="172"/>
      <c r="EU107" s="173">
        <f>EU103+EU105</f>
        <v>65931.81105274026</v>
      </c>
      <c r="EV107" s="136"/>
      <c r="EW107" s="170" t="s">
        <v>587</v>
      </c>
      <c r="EX107" s="171"/>
      <c r="EY107" s="171"/>
      <c r="EZ107" s="171"/>
      <c r="FA107" s="171"/>
      <c r="FB107" s="171"/>
      <c r="FC107" s="172"/>
      <c r="FD107" s="173">
        <f>FD103+FD105</f>
        <v>27115.415730049273</v>
      </c>
      <c r="FE107" s="136"/>
      <c r="FF107" s="170" t="s">
        <v>587</v>
      </c>
      <c r="FG107" s="171"/>
      <c r="FH107" s="171"/>
      <c r="FI107" s="171"/>
      <c r="FJ107" s="171"/>
      <c r="FK107" s="171"/>
      <c r="FL107" s="172"/>
      <c r="FM107" s="173">
        <f>FM103+FM105</f>
        <v>122534.5851175865</v>
      </c>
    </row>
    <row r="108" spans="1:169">
      <c r="A108" s="259"/>
      <c r="B108" s="259"/>
      <c r="C108" s="259"/>
      <c r="D108" s="259"/>
      <c r="E108" s="259"/>
      <c r="F108" s="259"/>
      <c r="I108" s="111"/>
      <c r="J108" s="109"/>
      <c r="K108" s="109"/>
      <c r="L108" s="109"/>
      <c r="M108" s="109"/>
      <c r="N108" s="109"/>
      <c r="O108" s="109"/>
      <c r="P108" s="112"/>
      <c r="R108" s="111"/>
      <c r="S108" s="109"/>
      <c r="T108" s="109"/>
      <c r="U108" s="109"/>
      <c r="V108" s="109"/>
      <c r="W108" s="109"/>
      <c r="X108" s="109"/>
      <c r="Y108" s="112"/>
      <c r="AA108" s="111"/>
      <c r="AB108" s="109"/>
      <c r="AC108" s="109"/>
      <c r="AD108" s="109"/>
      <c r="AE108" s="109"/>
      <c r="AF108" s="109"/>
      <c r="AG108" s="109"/>
      <c r="AH108" s="112"/>
      <c r="AJ108" s="111"/>
      <c r="AK108" s="109"/>
      <c r="AL108" s="109"/>
      <c r="AM108" s="109"/>
      <c r="AN108" s="109"/>
      <c r="AO108" s="109"/>
      <c r="AP108" s="109"/>
      <c r="AQ108" s="112"/>
      <c r="AS108" s="111"/>
      <c r="AT108" s="109"/>
      <c r="AU108" s="109"/>
      <c r="AV108" s="109"/>
      <c r="AW108" s="109"/>
      <c r="AX108" s="109"/>
      <c r="AY108" s="109"/>
      <c r="AZ108" s="112"/>
      <c r="BB108" s="111"/>
      <c r="BC108" s="109"/>
      <c r="BD108" s="109"/>
      <c r="BE108" s="109"/>
      <c r="BF108" s="109"/>
      <c r="BG108" s="109"/>
      <c r="BH108" s="109"/>
      <c r="BI108" s="112"/>
      <c r="BK108" s="111"/>
      <c r="BL108" s="109"/>
      <c r="BM108" s="109"/>
      <c r="BN108" s="109"/>
      <c r="BO108" s="109"/>
      <c r="BP108" s="109"/>
      <c r="BQ108" s="109"/>
      <c r="BR108" s="112"/>
      <c r="BT108" s="111"/>
      <c r="BU108" s="109"/>
      <c r="BV108" s="109"/>
      <c r="BW108" s="109"/>
      <c r="BX108" s="109"/>
      <c r="BY108" s="109"/>
      <c r="BZ108" s="109"/>
      <c r="CA108" s="112"/>
      <c r="CC108" s="111"/>
      <c r="CD108" s="109"/>
      <c r="CE108" s="109"/>
      <c r="CF108" s="109"/>
      <c r="CG108" s="109"/>
      <c r="CH108" s="109"/>
      <c r="CI108" s="109"/>
      <c r="CJ108" s="112"/>
      <c r="CL108" s="111"/>
      <c r="CM108" s="109"/>
      <c r="CN108" s="109"/>
      <c r="CO108" s="109"/>
      <c r="CP108" s="109"/>
      <c r="CQ108" s="109"/>
      <c r="CR108" s="109"/>
      <c r="CS108" s="112"/>
      <c r="CU108" s="111"/>
      <c r="CV108" s="109"/>
      <c r="CW108" s="109"/>
      <c r="CX108" s="109"/>
      <c r="CY108" s="109"/>
      <c r="CZ108" s="109"/>
      <c r="DA108" s="109"/>
      <c r="DB108" s="112"/>
      <c r="DD108" s="111"/>
      <c r="DE108" s="109"/>
      <c r="DF108" s="109"/>
      <c r="DG108" s="109"/>
      <c r="DH108" s="109"/>
      <c r="DI108" s="109"/>
      <c r="DJ108" s="109"/>
      <c r="DK108" s="112"/>
      <c r="DM108" s="111"/>
      <c r="DN108" s="109"/>
      <c r="DO108" s="109"/>
      <c r="DP108" s="109"/>
      <c r="DQ108" s="109"/>
      <c r="DR108" s="109"/>
      <c r="DS108" s="109"/>
      <c r="DT108" s="112"/>
      <c r="DV108" s="111"/>
      <c r="DW108" s="109"/>
      <c r="DX108" s="109"/>
      <c r="DY108" s="109"/>
      <c r="DZ108" s="109"/>
      <c r="EA108" s="109"/>
      <c r="EB108" s="109"/>
      <c r="EC108" s="112"/>
      <c r="EE108" s="111"/>
      <c r="EF108" s="109"/>
      <c r="EG108" s="109"/>
      <c r="EH108" s="109"/>
      <c r="EI108" s="109"/>
      <c r="EJ108" s="109"/>
      <c r="EK108" s="109"/>
      <c r="EL108" s="112"/>
      <c r="EN108" s="111"/>
      <c r="EO108" s="109"/>
      <c r="EP108" s="109"/>
      <c r="EQ108" s="109"/>
      <c r="ER108" s="109"/>
      <c r="ES108" s="109"/>
      <c r="ET108" s="109"/>
      <c r="EU108" s="112"/>
      <c r="EW108" s="111"/>
      <c r="EX108" s="109"/>
      <c r="EY108" s="109"/>
      <c r="EZ108" s="109"/>
      <c r="FA108" s="109"/>
      <c r="FB108" s="109"/>
      <c r="FC108" s="109"/>
      <c r="FD108" s="112"/>
      <c r="FF108" s="111"/>
      <c r="FG108" s="109"/>
      <c r="FH108" s="109"/>
      <c r="FI108" s="109"/>
      <c r="FJ108" s="109"/>
      <c r="FK108" s="109"/>
      <c r="FL108" s="109"/>
      <c r="FM108" s="112"/>
    </row>
    <row r="109" spans="1:169">
      <c r="A109" s="259"/>
      <c r="B109" s="259"/>
      <c r="C109" s="259"/>
      <c r="D109" s="259"/>
      <c r="E109" s="259"/>
      <c r="F109" s="259"/>
      <c r="I109" s="170" t="s">
        <v>588</v>
      </c>
      <c r="J109" s="171"/>
      <c r="K109" s="171"/>
      <c r="L109" s="171"/>
      <c r="M109" s="171"/>
      <c r="N109" s="171"/>
      <c r="O109" s="172"/>
      <c r="P109" s="173">
        <f>+P107/12</f>
        <v>11316.200787804302</v>
      </c>
      <c r="R109" s="170" t="s">
        <v>588</v>
      </c>
      <c r="S109" s="171"/>
      <c r="T109" s="171"/>
      <c r="U109" s="171"/>
      <c r="V109" s="171"/>
      <c r="W109" s="171"/>
      <c r="X109" s="172"/>
      <c r="Y109" s="173">
        <f>+Y107/12</f>
        <v>3138.0324415444938</v>
      </c>
      <c r="AA109" s="170" t="s">
        <v>588</v>
      </c>
      <c r="AB109" s="171"/>
      <c r="AC109" s="171"/>
      <c r="AD109" s="171"/>
      <c r="AE109" s="171"/>
      <c r="AF109" s="171"/>
      <c r="AG109" s="172"/>
      <c r="AH109" s="173">
        <f>+AH107/12</f>
        <v>584.36358315539894</v>
      </c>
      <c r="AJ109" s="170" t="s">
        <v>588</v>
      </c>
      <c r="AK109" s="171"/>
      <c r="AL109" s="171"/>
      <c r="AM109" s="171"/>
      <c r="AN109" s="171"/>
      <c r="AO109" s="171"/>
      <c r="AP109" s="172"/>
      <c r="AQ109" s="173">
        <f>+AQ107/12</f>
        <v>1513.5016803724839</v>
      </c>
      <c r="AS109" s="170" t="s">
        <v>588</v>
      </c>
      <c r="AT109" s="171"/>
      <c r="AU109" s="171"/>
      <c r="AV109" s="171"/>
      <c r="AW109" s="171"/>
      <c r="AX109" s="171"/>
      <c r="AY109" s="172"/>
      <c r="AZ109" s="173">
        <f>+AZ107/12</f>
        <v>1319.7899041591406</v>
      </c>
      <c r="BB109" s="170" t="s">
        <v>588</v>
      </c>
      <c r="BC109" s="171"/>
      <c r="BD109" s="171"/>
      <c r="BE109" s="171"/>
      <c r="BF109" s="171"/>
      <c r="BG109" s="171"/>
      <c r="BH109" s="172"/>
      <c r="BI109" s="173" t="e">
        <f>+BI107/12</f>
        <v>#REF!</v>
      </c>
      <c r="BK109" s="170" t="s">
        <v>588</v>
      </c>
      <c r="BL109" s="171"/>
      <c r="BM109" s="171"/>
      <c r="BN109" s="171"/>
      <c r="BO109" s="171"/>
      <c r="BP109" s="171"/>
      <c r="BQ109" s="172"/>
      <c r="BR109" s="173">
        <f>+BR107/12</f>
        <v>2904.2870082823342</v>
      </c>
      <c r="BT109" s="170" t="s">
        <v>588</v>
      </c>
      <c r="BU109" s="171"/>
      <c r="BV109" s="171"/>
      <c r="BW109" s="171"/>
      <c r="BX109" s="171"/>
      <c r="BY109" s="171"/>
      <c r="BZ109" s="172"/>
      <c r="CA109" s="173">
        <f>+CA107/12</f>
        <v>2621.9826095961589</v>
      </c>
      <c r="CC109" s="170" t="s">
        <v>588</v>
      </c>
      <c r="CD109" s="171"/>
      <c r="CE109" s="171"/>
      <c r="CF109" s="171"/>
      <c r="CG109" s="171"/>
      <c r="CH109" s="171"/>
      <c r="CI109" s="172"/>
      <c r="CJ109" s="173">
        <f>+CJ107/12</f>
        <v>10302.344608537574</v>
      </c>
      <c r="CL109" s="170" t="s">
        <v>588</v>
      </c>
      <c r="CM109" s="171"/>
      <c r="CN109" s="171"/>
      <c r="CO109" s="171"/>
      <c r="CP109" s="171"/>
      <c r="CQ109" s="171"/>
      <c r="CR109" s="172"/>
      <c r="CS109" s="173">
        <f>+CS107/12</f>
        <v>31368.681712211968</v>
      </c>
      <c r="CU109" s="170" t="s">
        <v>588</v>
      </c>
      <c r="CV109" s="171"/>
      <c r="CW109" s="171"/>
      <c r="CX109" s="171"/>
      <c r="CY109" s="171"/>
      <c r="CZ109" s="171"/>
      <c r="DA109" s="172"/>
      <c r="DB109" s="173">
        <f>+DB107/12</f>
        <v>7810.2636660665958</v>
      </c>
      <c r="DD109" s="170" t="s">
        <v>588</v>
      </c>
      <c r="DE109" s="171"/>
      <c r="DF109" s="171"/>
      <c r="DG109" s="171"/>
      <c r="DH109" s="171"/>
      <c r="DI109" s="171"/>
      <c r="DJ109" s="172"/>
      <c r="DK109" s="173">
        <f>+DK107/12</f>
        <v>1460.9110335419136</v>
      </c>
      <c r="DM109" s="170" t="s">
        <v>588</v>
      </c>
      <c r="DN109" s="171"/>
      <c r="DO109" s="171"/>
      <c r="DP109" s="171"/>
      <c r="DQ109" s="171"/>
      <c r="DR109" s="171"/>
      <c r="DS109" s="172"/>
      <c r="DT109" s="173">
        <f>+DT107/12</f>
        <v>5037.2853921636415</v>
      </c>
      <c r="DV109" s="170" t="s">
        <v>588</v>
      </c>
      <c r="DW109" s="171"/>
      <c r="DX109" s="171"/>
      <c r="DY109" s="171"/>
      <c r="DZ109" s="171"/>
      <c r="EA109" s="171"/>
      <c r="EB109" s="172"/>
      <c r="EC109" s="173">
        <f>+EC107/12</f>
        <v>10670.3344090674</v>
      </c>
      <c r="EE109" s="170" t="s">
        <v>588</v>
      </c>
      <c r="EF109" s="171"/>
      <c r="EG109" s="171"/>
      <c r="EH109" s="171"/>
      <c r="EI109" s="171"/>
      <c r="EJ109" s="171"/>
      <c r="EK109" s="172"/>
      <c r="EL109" s="173">
        <f>+EL107/12</f>
        <v>15769.117185809484</v>
      </c>
      <c r="EN109" s="170" t="s">
        <v>588</v>
      </c>
      <c r="EO109" s="171"/>
      <c r="EP109" s="171"/>
      <c r="EQ109" s="171"/>
      <c r="ER109" s="171"/>
      <c r="ES109" s="171"/>
      <c r="ET109" s="172"/>
      <c r="EU109" s="173">
        <f>+EU107/12</f>
        <v>5494.3175877283547</v>
      </c>
      <c r="EW109" s="170" t="s">
        <v>588</v>
      </c>
      <c r="EX109" s="171"/>
      <c r="EY109" s="171"/>
      <c r="EZ109" s="171"/>
      <c r="FA109" s="171"/>
      <c r="FB109" s="171"/>
      <c r="FC109" s="171"/>
      <c r="FD109" s="173">
        <f>+FD107/12</f>
        <v>2259.617977504106</v>
      </c>
      <c r="FF109" s="170" t="s">
        <v>588</v>
      </c>
      <c r="FG109" s="171"/>
      <c r="FH109" s="171"/>
      <c r="FI109" s="171"/>
      <c r="FJ109" s="171"/>
      <c r="FK109" s="171"/>
      <c r="FL109" s="172"/>
      <c r="FM109" s="173">
        <f>+FM107/12</f>
        <v>10211.215426465542</v>
      </c>
    </row>
    <row r="110" spans="1:169">
      <c r="B110" s="281"/>
      <c r="C110" s="281"/>
      <c r="D110" s="281"/>
      <c r="E110" s="281"/>
      <c r="F110" s="45"/>
      <c r="I110" s="109"/>
      <c r="J110" s="108"/>
      <c r="K110" s="108"/>
      <c r="L110" s="108"/>
      <c r="M110" s="108"/>
      <c r="N110" s="108"/>
      <c r="O110" s="108"/>
      <c r="P110" s="108"/>
      <c r="R110" s="109"/>
      <c r="S110" s="108"/>
      <c r="T110" s="108"/>
      <c r="U110" s="108"/>
      <c r="V110" s="108"/>
      <c r="W110" s="108"/>
      <c r="X110" s="108"/>
      <c r="Y110" s="108"/>
      <c r="AA110" s="109"/>
      <c r="AB110" s="108"/>
      <c r="AC110" s="108"/>
      <c r="AD110" s="108"/>
      <c r="AE110" s="108"/>
      <c r="AF110" s="108"/>
      <c r="AG110" s="108"/>
      <c r="AH110" s="108"/>
      <c r="AJ110" s="109"/>
      <c r="AK110" s="108"/>
      <c r="AL110" s="108"/>
      <c r="AM110" s="108"/>
      <c r="AN110" s="108"/>
      <c r="AO110" s="108"/>
      <c r="AP110" s="108"/>
      <c r="AQ110" s="108"/>
      <c r="AS110" s="109"/>
      <c r="AT110" s="108"/>
      <c r="AU110" s="108"/>
      <c r="AV110" s="108"/>
      <c r="AW110" s="108"/>
      <c r="AX110" s="108"/>
      <c r="AY110" s="108"/>
      <c r="AZ110" s="108"/>
      <c r="BB110" s="109"/>
      <c r="BC110" s="108"/>
      <c r="BD110" s="108"/>
      <c r="BE110" s="108"/>
      <c r="BF110" s="108"/>
      <c r="BG110" s="108"/>
      <c r="BH110" s="108"/>
      <c r="BI110" s="108"/>
      <c r="BK110" s="109"/>
      <c r="BL110" s="108"/>
      <c r="BM110" s="108"/>
      <c r="BN110" s="108"/>
      <c r="BO110" s="108"/>
      <c r="BP110" s="108"/>
      <c r="BQ110" s="108"/>
      <c r="BR110" s="108"/>
      <c r="BT110" s="109"/>
      <c r="BU110" s="108"/>
      <c r="BV110" s="108"/>
      <c r="BW110" s="108"/>
      <c r="BX110" s="108"/>
      <c r="BY110" s="108"/>
      <c r="BZ110" s="108"/>
      <c r="CA110" s="108"/>
      <c r="CC110" s="109"/>
      <c r="CD110" s="108"/>
      <c r="CE110" s="108"/>
      <c r="CF110" s="108"/>
      <c r="CG110" s="108"/>
      <c r="CH110" s="108"/>
      <c r="CI110" s="108"/>
      <c r="CJ110" s="108"/>
      <c r="CL110" s="109"/>
      <c r="CM110" s="108"/>
      <c r="CN110" s="108"/>
      <c r="CO110" s="108"/>
      <c r="CP110" s="108"/>
      <c r="CQ110" s="108"/>
      <c r="CR110" s="108"/>
      <c r="CS110" s="108"/>
      <c r="CU110" s="109"/>
      <c r="CV110" s="108"/>
      <c r="CW110" s="108"/>
      <c r="CX110" s="108"/>
      <c r="CY110" s="108"/>
      <c r="CZ110" s="108"/>
      <c r="DA110" s="108"/>
      <c r="DB110" s="108"/>
      <c r="DD110" s="109"/>
      <c r="DE110" s="108"/>
      <c r="DF110" s="108"/>
      <c r="DG110" s="108"/>
      <c r="DH110" s="108"/>
      <c r="DI110" s="108"/>
      <c r="DJ110" s="108"/>
      <c r="DK110" s="108"/>
      <c r="DM110" s="109"/>
      <c r="DN110" s="108"/>
      <c r="DO110" s="108"/>
      <c r="DP110" s="108"/>
      <c r="DQ110" s="108"/>
      <c r="DR110" s="108"/>
      <c r="DS110" s="108"/>
      <c r="DT110" s="108"/>
      <c r="DV110" s="109"/>
      <c r="DW110" s="108"/>
      <c r="DX110" s="108"/>
      <c r="DY110" s="108"/>
      <c r="DZ110" s="108"/>
      <c r="EA110" s="108"/>
      <c r="EB110" s="108"/>
      <c r="EC110" s="108"/>
      <c r="EE110" s="109"/>
      <c r="EF110" s="108"/>
      <c r="EG110" s="108"/>
      <c r="EH110" s="108"/>
      <c r="EI110" s="108"/>
      <c r="EJ110" s="108"/>
      <c r="EK110" s="108"/>
      <c r="EL110" s="108"/>
      <c r="EN110" s="109"/>
      <c r="EO110" s="108"/>
      <c r="EP110" s="108"/>
      <c r="EQ110" s="108"/>
      <c r="ER110" s="108"/>
      <c r="ES110" s="108"/>
      <c r="ET110" s="108"/>
      <c r="EU110" s="108"/>
      <c r="EW110" s="109"/>
      <c r="EX110" s="108"/>
      <c r="EY110" s="108"/>
      <c r="EZ110" s="108"/>
      <c r="FA110" s="108"/>
      <c r="FB110" s="108"/>
      <c r="FC110" s="108"/>
      <c r="FD110" s="108"/>
      <c r="FF110" s="109"/>
      <c r="FG110" s="108"/>
      <c r="FH110" s="108"/>
      <c r="FI110" s="108"/>
      <c r="FJ110" s="108"/>
      <c r="FK110" s="108"/>
      <c r="FL110" s="108"/>
      <c r="FM110" s="108"/>
    </row>
    <row r="114" spans="137:137">
      <c r="EG114" s="115">
        <f>EL109+28557.06+13000</f>
        <v>57326.177185809487</v>
      </c>
    </row>
    <row r="225" spans="1:3">
      <c r="A225" s="109" t="s">
        <v>589</v>
      </c>
      <c r="C225" s="118"/>
    </row>
    <row r="226" spans="1:3">
      <c r="A226" s="114" t="s">
        <v>590</v>
      </c>
      <c r="B226" s="108" t="s">
        <v>591</v>
      </c>
      <c r="C226" s="118" t="e">
        <f>#REF!</f>
        <v>#REF!</v>
      </c>
    </row>
    <row r="227" spans="1:3">
      <c r="A227" s="114" t="s">
        <v>592</v>
      </c>
      <c r="B227" s="108" t="s">
        <v>593</v>
      </c>
      <c r="C227" s="118" t="e">
        <f>#REF!</f>
        <v>#REF!</v>
      </c>
    </row>
    <row r="228" spans="1:3">
      <c r="A228" s="114" t="s">
        <v>594</v>
      </c>
      <c r="B228" s="108" t="s">
        <v>595</v>
      </c>
      <c r="C228" s="118" t="e">
        <f>#REF!</f>
        <v>#REF!</v>
      </c>
    </row>
    <row r="229" spans="1:3">
      <c r="A229" s="114" t="s">
        <v>596</v>
      </c>
      <c r="B229" s="108" t="s">
        <v>597</v>
      </c>
      <c r="C229" s="118"/>
    </row>
    <row r="230" spans="1:3">
      <c r="A230" s="114" t="s">
        <v>598</v>
      </c>
      <c r="B230" s="108" t="s">
        <v>599</v>
      </c>
      <c r="C230" s="118" t="e">
        <f>#REF!</f>
        <v>#REF!</v>
      </c>
    </row>
    <row r="231" spans="1:3">
      <c r="B231" s="109" t="s">
        <v>395</v>
      </c>
      <c r="C231" s="118"/>
    </row>
    <row r="232" spans="1:3">
      <c r="C232" s="118"/>
    </row>
    <row r="233" spans="1:3">
      <c r="B233" s="109" t="s">
        <v>600</v>
      </c>
      <c r="C233" s="118"/>
    </row>
    <row r="234" spans="1:3">
      <c r="C234" s="116"/>
    </row>
    <row r="235" spans="1:3">
      <c r="A235" s="108" t="s">
        <v>601</v>
      </c>
      <c r="B235" s="108" t="s">
        <v>602</v>
      </c>
      <c r="C235" s="118" t="e">
        <f>#REF!</f>
        <v>#REF!</v>
      </c>
    </row>
    <row r="236" spans="1:3">
      <c r="A236" s="108" t="s">
        <v>603</v>
      </c>
      <c r="B236" s="108" t="s">
        <v>604</v>
      </c>
      <c r="C236" s="118" t="e">
        <f>#REF!</f>
        <v>#REF!</v>
      </c>
    </row>
    <row r="237" spans="1:3">
      <c r="A237" s="108" t="s">
        <v>605</v>
      </c>
      <c r="B237" s="108" t="s">
        <v>606</v>
      </c>
      <c r="C237" s="118" t="e">
        <f>#REF!</f>
        <v>#REF!</v>
      </c>
    </row>
    <row r="238" spans="1:3">
      <c r="A238" s="108" t="s">
        <v>607</v>
      </c>
      <c r="B238" s="108" t="s">
        <v>608</v>
      </c>
      <c r="C238" s="118" t="e">
        <f>#REF!</f>
        <v>#REF!</v>
      </c>
    </row>
    <row r="239" spans="1:3">
      <c r="A239" s="108" t="s">
        <v>609</v>
      </c>
      <c r="B239" s="108" t="s">
        <v>610</v>
      </c>
      <c r="C239" s="118" t="e">
        <f>#REF!</f>
        <v>#REF!</v>
      </c>
    </row>
    <row r="240" spans="1:3">
      <c r="A240" s="108" t="s">
        <v>611</v>
      </c>
      <c r="B240" s="108" t="s">
        <v>612</v>
      </c>
      <c r="C240" s="118" t="e">
        <f>#REF!</f>
        <v>#REF!</v>
      </c>
    </row>
    <row r="241" spans="2:3">
      <c r="B241" s="109" t="s">
        <v>395</v>
      </c>
      <c r="C241" s="118" t="e">
        <f>SUM(C226:C240)</f>
        <v>#REF!</v>
      </c>
    </row>
  </sheetData>
  <mergeCells count="57">
    <mergeCell ref="FE2:FM2"/>
    <mergeCell ref="FE3:FM3"/>
    <mergeCell ref="FE4:FM4"/>
    <mergeCell ref="A4:F4"/>
    <mergeCell ref="A3:F3"/>
    <mergeCell ref="A2:F2"/>
    <mergeCell ref="EV2:FD2"/>
    <mergeCell ref="EV3:FD3"/>
    <mergeCell ref="EV4:FD4"/>
    <mergeCell ref="EM2:EU2"/>
    <mergeCell ref="BA2:BI2"/>
    <mergeCell ref="BA3:BI3"/>
    <mergeCell ref="BA4:BI4"/>
    <mergeCell ref="EM3:EU3"/>
    <mergeCell ref="EM4:EU4"/>
    <mergeCell ref="DU2:EC2"/>
    <mergeCell ref="ED2:EL2"/>
    <mergeCell ref="ED3:EL3"/>
    <mergeCell ref="ED4:EL4"/>
    <mergeCell ref="CT2:DB2"/>
    <mergeCell ref="CT3:DB3"/>
    <mergeCell ref="CT4:DB4"/>
    <mergeCell ref="DC2:DK2"/>
    <mergeCell ref="DC3:DK3"/>
    <mergeCell ref="DC4:DK4"/>
    <mergeCell ref="DU3:EC3"/>
    <mergeCell ref="DU4:EC4"/>
    <mergeCell ref="DL3:DT3"/>
    <mergeCell ref="DL4:DT4"/>
    <mergeCell ref="DL2:DT2"/>
    <mergeCell ref="CK2:CS2"/>
    <mergeCell ref="CK3:CS3"/>
    <mergeCell ref="CK4:CS4"/>
    <mergeCell ref="CB3:CJ3"/>
    <mergeCell ref="CB4:CJ4"/>
    <mergeCell ref="CB2:CJ2"/>
    <mergeCell ref="BJ2:BR2"/>
    <mergeCell ref="BJ3:BR3"/>
    <mergeCell ref="BJ4:BR4"/>
    <mergeCell ref="BS2:CA2"/>
    <mergeCell ref="BS3:CA3"/>
    <mergeCell ref="BS4:CA4"/>
    <mergeCell ref="AI2:AQ2"/>
    <mergeCell ref="AI3:AQ3"/>
    <mergeCell ref="AI4:AQ4"/>
    <mergeCell ref="AR2:AZ2"/>
    <mergeCell ref="AR3:AZ3"/>
    <mergeCell ref="AR4:AZ4"/>
    <mergeCell ref="Z4:AH4"/>
    <mergeCell ref="Z3:AH3"/>
    <mergeCell ref="Z2:AH2"/>
    <mergeCell ref="H2:P2"/>
    <mergeCell ref="H3:P3"/>
    <mergeCell ref="H4:P4"/>
    <mergeCell ref="Q4:Y4"/>
    <mergeCell ref="Q3:Y3"/>
    <mergeCell ref="Q2:Y2"/>
  </mergeCells>
  <phoneticPr fontId="0" type="noConversion"/>
  <printOptions horizontalCentered="1"/>
  <pageMargins left="0.25" right="0.25" top="0.5" bottom="0.5" header="0.5" footer="0.5"/>
  <pageSetup scale="50" orientation="portrait" r:id="rId1"/>
  <headerFooter alignWithMargins="0"/>
  <rowBreaks count="2" manualBreakCount="2">
    <brk id="106" max="16383" man="1"/>
    <brk id="108" max="16383" man="1"/>
  </rowBreaks>
  <colBreaks count="18" manualBreakCount="18">
    <brk id="7" max="1048575" man="1"/>
    <brk id="16" max="91" man="1"/>
    <brk id="25" max="1048575" man="1"/>
    <brk id="34" max="1048575" man="1"/>
    <brk id="43" max="1048575" man="1"/>
    <brk id="52" max="1048575" man="1"/>
    <brk id="61" max="1048575" man="1"/>
    <brk id="70" max="1048575" man="1"/>
    <brk id="79" max="1048575" man="1"/>
    <brk id="88" max="1048575" man="1"/>
    <brk id="97" max="1048575" man="1"/>
    <brk id="106" max="1048575" man="1"/>
    <brk id="115" max="1048575" man="1"/>
    <brk id="124" max="1048575" man="1"/>
    <brk id="133" max="1048575" man="1"/>
    <brk id="142" max="1048575" man="1"/>
    <brk id="151" max="1048575" man="1"/>
    <brk id="160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W43"/>
  <sheetViews>
    <sheetView topLeftCell="C1" zoomScale="130" zoomScaleNormal="130" workbookViewId="0">
      <pane ySplit="8" topLeftCell="A9" activePane="bottomLeft" state="frozen"/>
      <selection activeCell="C1" sqref="C1"/>
      <selection pane="bottomLeft" activeCell="N5" sqref="N5"/>
    </sheetView>
  </sheetViews>
  <sheetFormatPr defaultColWidth="9.26953125" defaultRowHeight="13"/>
  <cols>
    <col min="1" max="2" width="10.54296875" style="45" hidden="1" customWidth="1"/>
    <col min="3" max="3" width="10.54296875" style="45" customWidth="1"/>
    <col min="4" max="4" width="33.453125" style="45" customWidth="1"/>
    <col min="5" max="5" width="12.7265625" style="45" customWidth="1"/>
    <col min="6" max="6" width="11.453125" style="45" customWidth="1"/>
    <col min="7" max="7" width="14.26953125" style="45" customWidth="1"/>
    <col min="8" max="9" width="12.7265625" style="45" customWidth="1"/>
    <col min="10" max="10" width="12.54296875" style="45" customWidth="1"/>
    <col min="11" max="11" width="12.7265625" style="45" customWidth="1"/>
    <col min="12" max="13" width="15.7265625" style="45" customWidth="1"/>
    <col min="14" max="14" width="13.7265625" style="45" customWidth="1"/>
    <col min="15" max="15" width="14.26953125" style="45" customWidth="1"/>
    <col min="16" max="16" width="14.7265625" style="45" customWidth="1"/>
    <col min="17" max="21" width="13" style="45" customWidth="1"/>
    <col min="22" max="22" width="9.26953125" style="45" customWidth="1"/>
    <col min="23" max="23" width="40.453125" style="45" customWidth="1"/>
    <col min="24" max="16384" width="9.26953125" style="45"/>
  </cols>
  <sheetData>
    <row r="1" spans="1:22" ht="13.5" customHeight="1">
      <c r="D1" s="47"/>
      <c r="E1"/>
      <c r="T1" s="45" t="str">
        <f>Summ.!R1</f>
        <v>Date Revised:</v>
      </c>
      <c r="U1" s="350" t="e">
        <f>Summ.!#REF!</f>
        <v>#REF!</v>
      </c>
      <c r="V1" s="45">
        <f>Summ.!T1</f>
        <v>0</v>
      </c>
    </row>
    <row r="2" spans="1:22" ht="15" customHeight="1">
      <c r="C2" s="47" t="str">
        <f>Summ.!A2</f>
        <v>ATHENA PROPERTY MANAGEMENT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2" ht="15" customHeight="1">
      <c r="C3" s="47" t="str">
        <f>Summ.!A3</f>
        <v>Coconut Grove -  Kona Hawaii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2" ht="15" customHeight="1">
      <c r="C4" s="47" t="str">
        <f>Summ.!A4</f>
        <v>PROJECT NO. 165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2" ht="15" customHeight="1">
      <c r="C5" s="47" t="str">
        <f>Summ.!A5</f>
        <v>01/01/26- 12/31/26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503"/>
      <c r="O5" s="47"/>
      <c r="P5" s="47"/>
      <c r="Q5" s="47"/>
      <c r="R5" s="47"/>
      <c r="S5" s="47"/>
      <c r="T5" s="47"/>
      <c r="U5" s="47"/>
    </row>
    <row r="6" spans="1:22" ht="15" customHeight="1">
      <c r="C6" s="47" t="str">
        <f>Summ.!A6</f>
        <v>2026 OPERATING BUDGET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2">
      <c r="D7" s="47" t="s">
        <v>613</v>
      </c>
      <c r="E7" s="47"/>
      <c r="K7" s="122"/>
      <c r="L7" s="121"/>
      <c r="M7" s="121"/>
    </row>
    <row r="8" spans="1:22" ht="59.65" customHeight="1">
      <c r="A8" s="123" t="s">
        <v>614</v>
      </c>
      <c r="B8" s="123" t="s">
        <v>614</v>
      </c>
      <c r="C8" s="316" t="s">
        <v>615</v>
      </c>
      <c r="D8" s="271" t="s">
        <v>120</v>
      </c>
      <c r="E8" s="271" t="s">
        <v>349</v>
      </c>
      <c r="F8" s="314" t="s">
        <v>616</v>
      </c>
      <c r="G8" s="315" t="s">
        <v>617</v>
      </c>
      <c r="H8" s="314" t="s">
        <v>130</v>
      </c>
      <c r="I8" s="314" t="s">
        <v>578</v>
      </c>
      <c r="J8" s="315" t="s">
        <v>618</v>
      </c>
      <c r="K8" s="314" t="s">
        <v>619</v>
      </c>
      <c r="L8" s="315" t="s">
        <v>620</v>
      </c>
      <c r="M8" s="315" t="s">
        <v>621</v>
      </c>
      <c r="N8" s="314" t="s">
        <v>622</v>
      </c>
      <c r="O8" s="315" t="s">
        <v>623</v>
      </c>
      <c r="P8" s="314" t="s">
        <v>624</v>
      </c>
      <c r="Q8" s="316" t="s">
        <v>625</v>
      </c>
      <c r="R8" s="316" t="s">
        <v>626</v>
      </c>
      <c r="S8" s="314" t="s">
        <v>627</v>
      </c>
      <c r="T8" s="476" t="s">
        <v>628</v>
      </c>
      <c r="U8" s="477" t="s">
        <v>629</v>
      </c>
    </row>
    <row r="9" spans="1:22" ht="16.5" customHeight="1">
      <c r="A9" s="263"/>
      <c r="B9" s="263"/>
      <c r="C9" s="263"/>
      <c r="D9" s="263"/>
      <c r="E9" s="263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3"/>
      <c r="R9" s="263"/>
      <c r="S9" s="263"/>
      <c r="T9" s="263"/>
      <c r="U9" s="263"/>
    </row>
    <row r="10" spans="1:22">
      <c r="B10" s="124"/>
      <c r="C10" s="124" t="s">
        <v>630</v>
      </c>
      <c r="D10" s="45" t="str">
        <f>Rent!A14</f>
        <v xml:space="preserve">ISLAND LAVA JAVA </v>
      </c>
      <c r="E10" s="55">
        <f>Rent!D14</f>
        <v>3873</v>
      </c>
      <c r="F10" s="304">
        <v>15803.54</v>
      </c>
      <c r="G10" s="304">
        <f>'CAM - SHOPS'!N71/12</f>
        <v>6087.6782372004827</v>
      </c>
      <c r="H10" s="304">
        <f>'CAM - SHOPS'!N96/12</f>
        <v>930.57118038258443</v>
      </c>
      <c r="I10" s="304">
        <f>'CAM - SHOPS'!N79/12</f>
        <v>1579.9221234074446</v>
      </c>
      <c r="J10" s="304">
        <f>'CAM - SHOPS'!N22/12</f>
        <v>1512.808507654405</v>
      </c>
      <c r="K10" s="304">
        <f>'CAM - SHOPS'!N101/12</f>
        <v>1205.2207391593874</v>
      </c>
      <c r="L10" s="304">
        <v>500</v>
      </c>
      <c r="M10" s="304"/>
      <c r="N10" s="304">
        <f>SUM(F10:L10)</f>
        <v>27619.740787804301</v>
      </c>
      <c r="O10" s="304">
        <f>SUM(G10:L10)</f>
        <v>11816.200787804304</v>
      </c>
      <c r="P10" s="397">
        <f>14049.58</f>
        <v>14049.58</v>
      </c>
      <c r="Q10" s="115">
        <f>+O10-P10</f>
        <v>-2233.3792121956958</v>
      </c>
      <c r="R10" s="85">
        <f>Q10/P10</f>
        <v>-0.158964126486037</v>
      </c>
      <c r="S10" s="317">
        <f>N10*0.04712</f>
        <v>1301.4421859213387</v>
      </c>
      <c r="T10" s="317">
        <f>(O10-L10)/E10</f>
        <v>2.9218179157769955</v>
      </c>
      <c r="U10" s="317">
        <f>O10/E10</f>
        <v>3.0509168055265437</v>
      </c>
      <c r="V10" s="107">
        <f t="shared" ref="V10:V27" si="0">SUM(1) - P10/O10</f>
        <v>-0.18900992394279581</v>
      </c>
    </row>
    <row r="11" spans="1:22">
      <c r="B11" s="124"/>
      <c r="C11" s="124" t="s">
        <v>631</v>
      </c>
      <c r="D11" s="45" t="str">
        <f>Rent!A15</f>
        <v>TAKA SUSHI</v>
      </c>
      <c r="E11" s="55">
        <f>Rent!D15</f>
        <v>1074</v>
      </c>
      <c r="F11" s="304">
        <v>3383.1</v>
      </c>
      <c r="G11" s="304">
        <f>'CAM - SHOPS'!W71/12</f>
        <v>1688.1400533832484</v>
      </c>
      <c r="H11" s="304">
        <f>'CAM - SHOPS'!W96/12</f>
        <v>258.05149696124334</v>
      </c>
      <c r="I11" s="304">
        <f>'CAM - SHOPS'!W79/12</f>
        <v>438.11938046465156</v>
      </c>
      <c r="J11" s="304">
        <f>'CAM - SHOPS'!W22/12</f>
        <v>419.50847849750352</v>
      </c>
      <c r="K11" s="304">
        <f>'CAM - SHOPS'!W101/12</f>
        <v>334.21303223784713</v>
      </c>
      <c r="L11" s="304">
        <v>0</v>
      </c>
      <c r="M11" s="304"/>
      <c r="N11" s="304">
        <f>SUM(F11:L11)</f>
        <v>6521.1324415444933</v>
      </c>
      <c r="O11" s="304">
        <f>SUM(G11:L11)</f>
        <v>3138.0324415444938</v>
      </c>
      <c r="P11" s="397">
        <f>3757.35</f>
        <v>3757.35</v>
      </c>
      <c r="Q11" s="115">
        <f t="shared" ref="Q11:Q27" si="1">+O11-P11</f>
        <v>-619.31755845550606</v>
      </c>
      <c r="R11" s="85">
        <v>0</v>
      </c>
      <c r="S11" s="317">
        <f t="shared" ref="S11:S27" si="2">N11*0.04712</f>
        <v>307.27576064557655</v>
      </c>
      <c r="T11" s="317">
        <f>(O11-L11)/E11</f>
        <v>2.9218179157769963</v>
      </c>
      <c r="U11" s="317">
        <f t="shared" ref="U11:U27" si="3">O11/E11</f>
        <v>2.9218179157769963</v>
      </c>
      <c r="V11" s="107">
        <f t="shared" si="0"/>
        <v>-0.19735855826611126</v>
      </c>
    </row>
    <row r="12" spans="1:22">
      <c r="B12" s="124"/>
      <c r="C12" s="124" t="s">
        <v>632</v>
      </c>
      <c r="D12" s="45" t="str">
        <f>Rent!A16</f>
        <v>KANAKA KAVA</v>
      </c>
      <c r="E12" s="55">
        <f>Rent!D16</f>
        <v>200</v>
      </c>
      <c r="F12" s="397">
        <f>Rent!F16</f>
        <v>2060</v>
      </c>
      <c r="G12" s="304">
        <f>'CAM - SHOPS'!AF71/12</f>
        <v>314.36500063002751</v>
      </c>
      <c r="H12" s="304">
        <f>'CAM - SHOPS'!AF96/12</f>
        <v>48.054282488127264</v>
      </c>
      <c r="I12" s="304">
        <f>'CAM - SHOPS'!AF79/12</f>
        <v>81.586476809059874</v>
      </c>
      <c r="J12" s="304">
        <f>'CAM - SHOPS'!AF22/12</f>
        <v>78.120759496741798</v>
      </c>
      <c r="K12" s="304">
        <f>'CAM - SHOPS'!AF101/12</f>
        <v>62.237063731442667</v>
      </c>
      <c r="L12" s="304">
        <v>220</v>
      </c>
      <c r="M12" s="304"/>
      <c r="N12" s="304">
        <f t="shared" ref="N12:N27" si="4">SUM(F12:L12)</f>
        <v>2864.3635831553993</v>
      </c>
      <c r="O12" s="304">
        <f>SUM(G12:L12)</f>
        <v>804.36358315539906</v>
      </c>
      <c r="P12" s="397">
        <f>919.69</f>
        <v>919.69</v>
      </c>
      <c r="Q12" s="115">
        <f t="shared" si="1"/>
        <v>-115.326416844601</v>
      </c>
      <c r="R12" s="85">
        <f t="shared" ref="R12:R27" si="5">Q12/P12</f>
        <v>-0.12539705427328882</v>
      </c>
      <c r="S12" s="317">
        <f t="shared" si="2"/>
        <v>134.96881203828241</v>
      </c>
      <c r="T12" s="317">
        <f t="shared" ref="T12:T27" si="6">(O12-L12)/E12</f>
        <v>2.9218179157769955</v>
      </c>
      <c r="U12" s="317">
        <f t="shared" si="3"/>
        <v>4.0218179157769951</v>
      </c>
      <c r="V12" s="107">
        <f t="shared" si="0"/>
        <v>-0.14337597979285999</v>
      </c>
    </row>
    <row r="13" spans="1:22">
      <c r="B13" s="124"/>
      <c r="C13" s="124" t="s">
        <v>633</v>
      </c>
      <c r="D13" s="45" t="str">
        <f>Rent!A17</f>
        <v>GECKO GIRLZ SHAVE ICE SHACK</v>
      </c>
      <c r="E13" s="55">
        <f>Rent!D17</f>
        <v>518</v>
      </c>
      <c r="F13" s="304">
        <v>2527.84</v>
      </c>
      <c r="G13" s="304">
        <f>'CAM - SHOPS'!AO71/12</f>
        <v>814.20535163177146</v>
      </c>
      <c r="H13" s="304">
        <f>'CAM - SHOPS'!AO96/12</f>
        <v>124.46059164424962</v>
      </c>
      <c r="I13" s="304">
        <f>'CAM - SHOPS'!AO79/12</f>
        <v>211.30897493546505</v>
      </c>
      <c r="J13" s="304">
        <f>'CAM - SHOPS'!AO22/12</f>
        <v>202.3327670965613</v>
      </c>
      <c r="K13" s="304">
        <f>'CAM - SHOPS'!AO101/12</f>
        <v>161.19399506443654</v>
      </c>
      <c r="L13" s="304">
        <v>0</v>
      </c>
      <c r="M13" s="304"/>
      <c r="N13" s="304">
        <f t="shared" si="4"/>
        <v>4041.341680372484</v>
      </c>
      <c r="O13" s="304">
        <f t="shared" ref="O13:O26" si="7">SUM(G13:L13)</f>
        <v>1513.5016803724839</v>
      </c>
      <c r="P13" s="397">
        <f>1812.21</f>
        <v>1812.21</v>
      </c>
      <c r="Q13" s="115">
        <f t="shared" si="1"/>
        <v>-298.70831962751618</v>
      </c>
      <c r="R13" s="85">
        <f t="shared" si="5"/>
        <v>-0.16483096309341422</v>
      </c>
      <c r="S13" s="317">
        <f t="shared" si="2"/>
        <v>190.42801997915146</v>
      </c>
      <c r="T13" s="317">
        <f t="shared" si="6"/>
        <v>2.9218179157769959</v>
      </c>
      <c r="U13" s="317">
        <f>O13/E13</f>
        <v>2.9218179157769959</v>
      </c>
      <c r="V13" s="107">
        <f t="shared" si="0"/>
        <v>-0.19736239708303582</v>
      </c>
    </row>
    <row r="14" spans="1:22">
      <c r="B14" s="124"/>
      <c r="C14" s="124" t="s">
        <v>634</v>
      </c>
      <c r="D14" s="45" t="str">
        <f>Rent!A18</f>
        <v>BIG ISLAND RUNNING CO.</v>
      </c>
      <c r="E14" s="55">
        <f>Rent!D18</f>
        <v>525</v>
      </c>
      <c r="F14" s="304">
        <f>Rent!F18</f>
        <v>2703.75</v>
      </c>
      <c r="G14" s="304">
        <f>'CAM - SHOPS'!AX71/12</f>
        <v>825.20812665382209</v>
      </c>
      <c r="H14" s="304">
        <f>'CAM - SHOPS'!AX96/12</f>
        <v>126.14249153133407</v>
      </c>
      <c r="I14" s="304">
        <f>'CAM - SHOPS'!AX79/12</f>
        <v>0</v>
      </c>
      <c r="J14" s="304">
        <f>'CAM - SHOPS'!AX22/12</f>
        <v>205.06699367894723</v>
      </c>
      <c r="K14" s="304">
        <f>'CAM - SHOPS'!AX101/12</f>
        <v>163.372292295037</v>
      </c>
      <c r="L14" s="304">
        <v>166.67</v>
      </c>
      <c r="M14" s="304"/>
      <c r="N14" s="304">
        <f t="shared" si="4"/>
        <v>4190.20990415914</v>
      </c>
      <c r="O14" s="304">
        <f t="shared" si="7"/>
        <v>1486.4599041591403</v>
      </c>
      <c r="P14" s="397">
        <f>1827.18</f>
        <v>1827.18</v>
      </c>
      <c r="Q14" s="115">
        <f t="shared" si="1"/>
        <v>-340.72009584085981</v>
      </c>
      <c r="R14" s="85">
        <f t="shared" si="5"/>
        <v>-0.18647319686120678</v>
      </c>
      <c r="S14" s="317">
        <f>N14*0.04712</f>
        <v>197.4426906839787</v>
      </c>
      <c r="T14" s="317">
        <f t="shared" si="6"/>
        <v>2.5138855317316957</v>
      </c>
      <c r="U14" s="317">
        <f t="shared" si="3"/>
        <v>2.8313521983983625</v>
      </c>
      <c r="V14" s="107">
        <f t="shared" si="0"/>
        <v>-0.22921579982582729</v>
      </c>
    </row>
    <row r="15" spans="1:22">
      <c r="B15" s="124"/>
      <c r="C15" s="124" t="s">
        <v>635</v>
      </c>
      <c r="D15" s="45" t="str">
        <f>Rent!A19</f>
        <v>CAFE KONA</v>
      </c>
      <c r="E15" s="55">
        <f>Rent!D19</f>
        <v>994</v>
      </c>
      <c r="F15" s="304">
        <v>3826.9</v>
      </c>
      <c r="G15" s="304">
        <f>'CAM - SHOPS'!BP71/12</f>
        <v>1562.3940531312371</v>
      </c>
      <c r="H15" s="304">
        <f>'CAM - SHOPS'!BP96/12</f>
        <v>238.8297839659925</v>
      </c>
      <c r="I15" s="304">
        <f>'CAM - SHOPS'!BP79/12</f>
        <v>405.48478974102756</v>
      </c>
      <c r="J15" s="304">
        <f>'CAM - SHOPS'!BP22/12</f>
        <v>388.26017469880679</v>
      </c>
      <c r="K15" s="304">
        <f>'CAM - SHOPS'!BP101/12</f>
        <v>309.31820674527006</v>
      </c>
      <c r="L15" s="304">
        <v>0</v>
      </c>
      <c r="M15" s="304"/>
      <c r="N15" s="304">
        <f t="shared" si="4"/>
        <v>6731.1870082823334</v>
      </c>
      <c r="O15" s="304">
        <f t="shared" si="7"/>
        <v>2904.2870082823338</v>
      </c>
      <c r="P15" s="397">
        <f>3477.48</f>
        <v>3477.48</v>
      </c>
      <c r="Q15" s="115">
        <f t="shared" si="1"/>
        <v>-573.19299171766625</v>
      </c>
      <c r="R15" s="85">
        <f t="shared" si="5"/>
        <v>-0.16482998945146091</v>
      </c>
      <c r="S15" s="317">
        <f t="shared" si="2"/>
        <v>317.17353183026358</v>
      </c>
      <c r="T15" s="317">
        <f t="shared" si="6"/>
        <v>2.9218179157769959</v>
      </c>
      <c r="U15" s="317">
        <f t="shared" si="3"/>
        <v>2.9218179157769959</v>
      </c>
      <c r="V15" s="107">
        <f t="shared" si="0"/>
        <v>-0.19736100119687094</v>
      </c>
    </row>
    <row r="16" spans="1:22">
      <c r="B16" s="124"/>
      <c r="C16" s="124" t="s">
        <v>636</v>
      </c>
      <c r="D16" s="45" t="s">
        <v>111</v>
      </c>
      <c r="E16" s="55">
        <v>0</v>
      </c>
      <c r="F16" s="397">
        <v>0</v>
      </c>
      <c r="G16" s="304"/>
      <c r="H16" s="304"/>
      <c r="I16" s="304"/>
      <c r="J16" s="304"/>
      <c r="K16" s="304"/>
      <c r="L16" s="304"/>
      <c r="M16" s="304"/>
      <c r="N16" s="304"/>
      <c r="O16" s="304"/>
      <c r="P16" s="397">
        <v>0</v>
      </c>
      <c r="Q16" s="115"/>
      <c r="R16" s="85"/>
      <c r="S16" s="317"/>
      <c r="T16" s="317"/>
      <c r="U16" s="317"/>
      <c r="V16" s="107"/>
    </row>
    <row r="17" spans="2:23">
      <c r="B17" s="124"/>
      <c r="C17" s="124" t="s">
        <v>637</v>
      </c>
      <c r="D17" s="45" t="str">
        <f>Rent!A20</f>
        <v>LUCASIE LTD</v>
      </c>
      <c r="E17" s="55">
        <f>Rent!D20</f>
        <v>1043</v>
      </c>
      <c r="F17" s="397">
        <v>7593.04</v>
      </c>
      <c r="G17" s="304">
        <f>'CAM - SHOPS'!BY71/12</f>
        <v>1639.4134782855933</v>
      </c>
      <c r="H17" s="304">
        <f>'CAM - SHOPS'!BY96/12</f>
        <v>250.60308317558369</v>
      </c>
      <c r="I17" s="304">
        <f>'CAM - SHOPS'!BY79/12</f>
        <v>0</v>
      </c>
      <c r="J17" s="304">
        <f>'CAM - SHOPS'!BY22/12</f>
        <v>407.39976077550847</v>
      </c>
      <c r="K17" s="304">
        <f>'CAM - SHOPS'!BY101/12</f>
        <v>324.56628735947351</v>
      </c>
      <c r="L17" s="304">
        <v>0</v>
      </c>
      <c r="M17" s="304"/>
      <c r="N17" s="304">
        <f t="shared" si="4"/>
        <v>10215.022609596159</v>
      </c>
      <c r="O17" s="304">
        <f t="shared" si="7"/>
        <v>2621.9826095961589</v>
      </c>
      <c r="P17" s="397">
        <f>3298.88</f>
        <v>3298.88</v>
      </c>
      <c r="Q17" s="115">
        <f t="shared" si="1"/>
        <v>-676.8973904038412</v>
      </c>
      <c r="R17" s="85">
        <f>Q17/P17</f>
        <v>-0.20519006159782749</v>
      </c>
      <c r="S17" s="317">
        <f t="shared" si="2"/>
        <v>481.33186536417105</v>
      </c>
      <c r="T17" s="317">
        <f t="shared" si="6"/>
        <v>2.5138855317316962</v>
      </c>
      <c r="U17" s="317">
        <f t="shared" si="3"/>
        <v>2.5138855317316962</v>
      </c>
      <c r="V17" s="107">
        <f t="shared" si="0"/>
        <v>-0.25816242561124292</v>
      </c>
    </row>
    <row r="18" spans="2:23">
      <c r="B18" s="124"/>
      <c r="C18" s="124" t="s">
        <v>638</v>
      </c>
      <c r="D18" s="45" t="str">
        <f>Rent!A21</f>
        <v>FOSTERS KITCHEN</v>
      </c>
      <c r="E18" s="55">
        <f>Rent!D21</f>
        <v>3526</v>
      </c>
      <c r="F18" s="304">
        <v>11905.63</v>
      </c>
      <c r="G18" s="304">
        <f>'CAM - SHOPS'!CH71/12</f>
        <v>5542.2549611073855</v>
      </c>
      <c r="H18" s="304">
        <f>'CAM - SHOPS'!CH96/12</f>
        <v>847.21163777357106</v>
      </c>
      <c r="I18" s="304">
        <f>'CAM - SHOPS'!CH79/12</f>
        <v>1438.3695861437254</v>
      </c>
      <c r="J18" s="304">
        <f>'CAM - SHOPS'!CH22/12</f>
        <v>1377.2689899275576</v>
      </c>
      <c r="K18" s="304">
        <f>'CAM - SHOPS'!CH101/12</f>
        <v>1097.2394335853344</v>
      </c>
      <c r="L18" s="304">
        <v>500</v>
      </c>
      <c r="M18" s="304"/>
      <c r="N18" s="304">
        <f t="shared" si="4"/>
        <v>22707.974608537574</v>
      </c>
      <c r="O18" s="304">
        <f t="shared" si="7"/>
        <v>10802.344608537574</v>
      </c>
      <c r="P18" s="397">
        <f>12835.63</f>
        <v>12835.63</v>
      </c>
      <c r="Q18" s="115">
        <f t="shared" si="1"/>
        <v>-2033.2853914624247</v>
      </c>
      <c r="R18" s="85">
        <f t="shared" si="5"/>
        <v>-0.1584094735873833</v>
      </c>
      <c r="S18" s="317">
        <f t="shared" si="2"/>
        <v>1069.9997635542904</v>
      </c>
      <c r="T18" s="317">
        <f t="shared" si="6"/>
        <v>2.9218220670838271</v>
      </c>
      <c r="U18" s="317">
        <f t="shared" si="3"/>
        <v>3.0636258107026588</v>
      </c>
      <c r="V18" s="107">
        <f t="shared" si="0"/>
        <v>-0.18822630319120059</v>
      </c>
    </row>
    <row r="19" spans="2:23">
      <c r="B19" s="124"/>
      <c r="C19" s="124" t="s">
        <v>639</v>
      </c>
      <c r="D19" s="45" t="str">
        <f>Rent!A22</f>
        <v>HUMPYS BIG ISLAND ALEHOUSE</v>
      </c>
      <c r="E19" s="55">
        <f>Rent!D22</f>
        <v>10736</v>
      </c>
      <c r="F19" s="397">
        <f>Rent!F22</f>
        <v>25000</v>
      </c>
      <c r="G19" s="463">
        <f>'CAM - SHOPS'!CQ71/12</f>
        <v>16875.113233819873</v>
      </c>
      <c r="H19" s="463">
        <f>'CAM - SHOPS'!CQ96/12</f>
        <v>2579.5984523928132</v>
      </c>
      <c r="I19" s="463">
        <f>'CAM - SHOPS'!CQ79/12</f>
        <v>4379.5620751103343</v>
      </c>
      <c r="J19" s="463">
        <f>'CAM - SHOPS'!CQ22/12</f>
        <v>4193.5223697850997</v>
      </c>
      <c r="K19" s="463">
        <f>'CAM - SHOPS'!CQ99/12</f>
        <v>3340.8855811038425</v>
      </c>
      <c r="L19" s="463"/>
      <c r="M19" s="463"/>
      <c r="N19" s="304">
        <f t="shared" si="4"/>
        <v>56368.681712211961</v>
      </c>
      <c r="O19" s="304">
        <f t="shared" si="7"/>
        <v>31368.681712211961</v>
      </c>
      <c r="P19" s="397">
        <f>34059.68</f>
        <v>34059.68</v>
      </c>
      <c r="Q19" s="115">
        <f t="shared" si="1"/>
        <v>-2690.9982877880393</v>
      </c>
      <c r="R19" s="85">
        <f t="shared" si="5"/>
        <v>-7.9008325615156666E-2</v>
      </c>
      <c r="S19" s="317">
        <f t="shared" si="2"/>
        <v>2656.0922822794278</v>
      </c>
      <c r="T19" s="317">
        <f t="shared" si="6"/>
        <v>2.9218220670838266</v>
      </c>
      <c r="U19" s="317">
        <f t="shared" si="3"/>
        <v>2.9218220670838266</v>
      </c>
      <c r="V19" s="107">
        <f t="shared" si="0"/>
        <v>-8.578614531768558E-2</v>
      </c>
      <c r="W19" s="440" t="s">
        <v>533</v>
      </c>
    </row>
    <row r="20" spans="2:23">
      <c r="B20" s="124"/>
      <c r="C20" s="124" t="s">
        <v>640</v>
      </c>
      <c r="D20" s="45" t="str">
        <f>Rent!A23</f>
        <v>ABC STORE #75</v>
      </c>
      <c r="E20" s="55">
        <f>Rent!D23</f>
        <v>4000</v>
      </c>
      <c r="F20" s="397">
        <f>Rent!F23</f>
        <v>24000</v>
      </c>
      <c r="G20" s="304">
        <f>'CAM - SHOPS'!CZ71/12</f>
        <v>4715.4750094504134</v>
      </c>
      <c r="H20" s="304">
        <f>'CAM - SHOPS'!CZ96/12</f>
        <v>720.82669124240317</v>
      </c>
      <c r="I20" s="304">
        <f>'CAM - SHOPS'!CZ79/12</f>
        <v>0</v>
      </c>
      <c r="J20" s="304">
        <f>'CAM - SHOPS'!CZ22/12</f>
        <v>1171.8113924511272</v>
      </c>
      <c r="K20" s="304">
        <f>'CAM - SHOPS'!CZ101/12</f>
        <v>933.55595597163995</v>
      </c>
      <c r="L20" s="304">
        <v>500</v>
      </c>
      <c r="M20" s="304">
        <v>2500</v>
      </c>
      <c r="N20" s="304">
        <f t="shared" si="4"/>
        <v>32041.669049115582</v>
      </c>
      <c r="O20" s="304">
        <f t="shared" si="7"/>
        <v>8041.6690491155841</v>
      </c>
      <c r="P20" s="397">
        <f>9988.64</f>
        <v>9988.64</v>
      </c>
      <c r="Q20" s="115">
        <f t="shared" si="1"/>
        <v>-1946.9709508844153</v>
      </c>
      <c r="R20" s="85">
        <f t="shared" si="5"/>
        <v>-0.19491852253003566</v>
      </c>
      <c r="S20" s="317">
        <f t="shared" si="2"/>
        <v>1509.8034455943264</v>
      </c>
      <c r="T20" s="317">
        <f t="shared" si="6"/>
        <v>1.8854172622788961</v>
      </c>
      <c r="U20" s="317">
        <f t="shared" si="3"/>
        <v>2.0104172622788958</v>
      </c>
      <c r="V20" s="107">
        <f t="shared" si="0"/>
        <v>-0.24211030558370727</v>
      </c>
    </row>
    <row r="21" spans="2:23">
      <c r="B21" s="124"/>
      <c r="C21" s="124" t="s">
        <v>641</v>
      </c>
      <c r="D21" s="45" t="str">
        <f>Rent!A24</f>
        <v>GYPSEA GALATO</v>
      </c>
      <c r="E21" s="55">
        <f>Rent!D24</f>
        <v>500</v>
      </c>
      <c r="F21" s="397">
        <f>Rent!F24</f>
        <v>2731.82</v>
      </c>
      <c r="G21" s="304">
        <f>'CAM - SHOPS'!DI71/12</f>
        <v>785.91250157506886</v>
      </c>
      <c r="H21" s="304">
        <f>'CAM - SHOPS'!DI96/12</f>
        <v>120.13778187373384</v>
      </c>
      <c r="I21" s="304">
        <f>'CAM - SHOPS'!DI79/12</f>
        <v>203.96619202264969</v>
      </c>
      <c r="J21" s="304">
        <f>'CAM - SHOPS'!DI22/12</f>
        <v>195.30189874185453</v>
      </c>
      <c r="K21" s="304">
        <f>'CAM - SHOPS'!DI101/12</f>
        <v>155.59265932860669</v>
      </c>
      <c r="L21" s="304">
        <v>0</v>
      </c>
      <c r="M21" s="304"/>
      <c r="N21" s="304">
        <f t="shared" si="4"/>
        <v>4192.7310335419133</v>
      </c>
      <c r="O21" s="304">
        <f t="shared" si="7"/>
        <v>1460.9110335419136</v>
      </c>
      <c r="P21" s="397">
        <f>1749.24</f>
        <v>1749.24</v>
      </c>
      <c r="Q21" s="115">
        <f t="shared" si="1"/>
        <v>-288.32896645808637</v>
      </c>
      <c r="R21" s="85">
        <f t="shared" si="5"/>
        <v>-0.16483099315021746</v>
      </c>
      <c r="S21" s="317">
        <f t="shared" si="2"/>
        <v>197.56148630049498</v>
      </c>
      <c r="T21" s="317">
        <f t="shared" si="6"/>
        <v>2.9218220670838271</v>
      </c>
      <c r="U21" s="317">
        <f t="shared" si="3"/>
        <v>2.9218220670838271</v>
      </c>
      <c r="V21" s="107">
        <f t="shared" si="0"/>
        <v>-0.19736244017477622</v>
      </c>
    </row>
    <row r="22" spans="2:23">
      <c r="B22" s="124"/>
      <c r="C22" s="124" t="s">
        <v>642</v>
      </c>
      <c r="D22" s="45" t="str">
        <f>Rent!A25</f>
        <v>OCEANS SPORTS BAR AND GRILL</v>
      </c>
      <c r="E22" s="55">
        <f>Rent!D25</f>
        <v>2896</v>
      </c>
      <c r="F22" s="397">
        <f>Rent!F25</f>
        <v>10049.120000000001</v>
      </c>
      <c r="G22" s="304">
        <f>'CAM - SHOPS'!DR71/12</f>
        <v>2859.5262519576431</v>
      </c>
      <c r="H22" s="304">
        <f>'CAM - SHOPS'!DR96/12</f>
        <v>0</v>
      </c>
      <c r="I22" s="304">
        <f>'CAM - SHOPS'!DR79/12</f>
        <v>1181.3721841951869</v>
      </c>
      <c r="J22" s="304">
        <f>'CAM - SHOPS'!DR22/12</f>
        <v>95.194273179521318</v>
      </c>
      <c r="K22" s="304">
        <f>'CAM - SHOPS'!DR101/12</f>
        <v>901.19268283128997</v>
      </c>
      <c r="L22" s="304">
        <v>869</v>
      </c>
      <c r="M22" s="304"/>
      <c r="N22" s="304">
        <f t="shared" si="4"/>
        <v>15955.40539216364</v>
      </c>
      <c r="O22" s="304">
        <f t="shared" si="7"/>
        <v>5906.2853921636415</v>
      </c>
      <c r="P22" s="397">
        <f>6606.61</f>
        <v>6606.61</v>
      </c>
      <c r="Q22" s="115">
        <f t="shared" si="1"/>
        <v>-700.32460783635815</v>
      </c>
      <c r="R22" s="85">
        <f t="shared" si="5"/>
        <v>-0.10600362482973237</v>
      </c>
      <c r="S22" s="317">
        <f t="shared" si="2"/>
        <v>751.81870207875079</v>
      </c>
      <c r="T22" s="317">
        <f t="shared" si="6"/>
        <v>1.7393941271283293</v>
      </c>
      <c r="U22" s="317">
        <f t="shared" si="3"/>
        <v>2.0394631879018101</v>
      </c>
      <c r="V22" s="107">
        <f t="shared" si="0"/>
        <v>-0.11857276804902406</v>
      </c>
    </row>
    <row r="23" spans="2:23">
      <c r="B23" s="124"/>
      <c r="C23" s="124" t="s">
        <v>643</v>
      </c>
      <c r="D23" s="45" t="str">
        <f>Rent!A26</f>
        <v>JACKS DIVE LOCKER</v>
      </c>
      <c r="E23" s="55">
        <f>Rent!D26</f>
        <v>8014</v>
      </c>
      <c r="F23" s="397">
        <f>Rent!F26</f>
        <v>23387.29</v>
      </c>
      <c r="G23" s="304">
        <f>'CAM - SHOPS'!EA71/12</f>
        <v>7913.067466570632</v>
      </c>
      <c r="H23" s="304">
        <f>'CAM - SHOPS'!EA96/12</f>
        <v>0</v>
      </c>
      <c r="I23" s="304">
        <f>'CAM - SHOPS'!EA79/12</f>
        <v>0</v>
      </c>
      <c r="J23" s="304">
        <f>'CAM - SHOPS'!EA22/12</f>
        <v>263.42779877786046</v>
      </c>
      <c r="K23" s="304">
        <f>'CAM - SHOPS'!EA101/12</f>
        <v>2493.839143718908</v>
      </c>
      <c r="L23" s="304">
        <v>0</v>
      </c>
      <c r="M23" s="304"/>
      <c r="N23" s="304">
        <f t="shared" si="4"/>
        <v>34057.624409067401</v>
      </c>
      <c r="O23" s="304">
        <f t="shared" si="7"/>
        <v>10670.3344090674</v>
      </c>
      <c r="P23" s="397">
        <f>13188.01</f>
        <v>13188.01</v>
      </c>
      <c r="Q23" s="115">
        <f t="shared" si="1"/>
        <v>-2517.6755909326002</v>
      </c>
      <c r="R23" s="85">
        <f t="shared" si="5"/>
        <v>-0.19090640596516079</v>
      </c>
      <c r="S23" s="317">
        <f t="shared" si="2"/>
        <v>1604.7952621552561</v>
      </c>
      <c r="T23" s="317">
        <f t="shared" si="6"/>
        <v>1.3314617430830298</v>
      </c>
      <c r="U23" s="317">
        <f t="shared" si="3"/>
        <v>1.3314617430830298</v>
      </c>
      <c r="V23" s="107">
        <f t="shared" si="0"/>
        <v>-0.23595095471357852</v>
      </c>
    </row>
    <row r="24" spans="2:23">
      <c r="B24" s="124"/>
      <c r="C24" s="124" t="s">
        <v>644</v>
      </c>
      <c r="D24" s="45" t="str">
        <f>Rent!A27</f>
        <v>QPOT</v>
      </c>
      <c r="E24" s="55">
        <f>Rent!D27</f>
        <v>6500</v>
      </c>
      <c r="F24" s="397">
        <f>Rent!F27</f>
        <v>0</v>
      </c>
      <c r="G24" s="304">
        <f>'CAM - SHOPS'!EJ71/12</f>
        <v>6499.086062536936</v>
      </c>
      <c r="H24" s="304">
        <f>'CAM - SHOPS'!EJ96/12</f>
        <v>0</v>
      </c>
      <c r="I24" s="304">
        <f>'CAM - SHOPS'!EJ79/12</f>
        <v>2651.5604962944458</v>
      </c>
      <c r="J24" s="304">
        <f>'CAM - SHOPS'!EJ22/12</f>
        <v>2538.9246836441084</v>
      </c>
      <c r="K24" s="304">
        <f>'CAM - SHOPS'!EJ101/12</f>
        <v>2022.7045712718871</v>
      </c>
      <c r="L24" s="304">
        <v>300</v>
      </c>
      <c r="M24" s="304"/>
      <c r="N24" s="304">
        <f t="shared" si="4"/>
        <v>14012.275813747377</v>
      </c>
      <c r="O24" s="304">
        <f>SUM(G24:L24)</f>
        <v>14012.275813747377</v>
      </c>
      <c r="P24" s="397"/>
      <c r="Q24" s="115">
        <f t="shared" si="1"/>
        <v>14012.275813747377</v>
      </c>
      <c r="R24" s="85" t="e">
        <f t="shared" si="5"/>
        <v>#DIV/0!</v>
      </c>
      <c r="S24" s="317">
        <f t="shared" si="2"/>
        <v>660.25843634377645</v>
      </c>
      <c r="T24" s="317">
        <f t="shared" si="6"/>
        <v>2.1095808944226735</v>
      </c>
      <c r="U24" s="317">
        <f t="shared" si="3"/>
        <v>2.1557347405765195</v>
      </c>
      <c r="V24" s="107">
        <f t="shared" si="0"/>
        <v>1</v>
      </c>
    </row>
    <row r="25" spans="2:23">
      <c r="B25" s="124"/>
      <c r="C25" s="124"/>
      <c r="D25" s="311" t="str">
        <f>Rent!A28</f>
        <v>BOWLS SUPERFOODS &amp; ORALE TACOS</v>
      </c>
      <c r="E25" s="357">
        <f>Rent!D28</f>
        <v>1993</v>
      </c>
      <c r="F25" s="397">
        <f>Rent!F28</f>
        <v>0</v>
      </c>
      <c r="G25" s="358"/>
      <c r="H25" s="358"/>
      <c r="I25" s="358"/>
      <c r="J25" s="358"/>
      <c r="K25" s="358"/>
      <c r="L25" s="358">
        <v>0</v>
      </c>
      <c r="M25" s="358"/>
      <c r="N25" s="358">
        <f t="shared" si="4"/>
        <v>0</v>
      </c>
      <c r="O25" s="358">
        <f t="shared" si="7"/>
        <v>0</v>
      </c>
      <c r="P25" s="397"/>
      <c r="Q25" s="359">
        <f t="shared" si="1"/>
        <v>0</v>
      </c>
      <c r="R25" s="360" t="e">
        <f t="shared" si="5"/>
        <v>#DIV/0!</v>
      </c>
      <c r="S25" s="361">
        <f t="shared" si="2"/>
        <v>0</v>
      </c>
      <c r="T25" s="361">
        <f t="shared" si="6"/>
        <v>0</v>
      </c>
      <c r="U25" s="361">
        <f t="shared" si="3"/>
        <v>0</v>
      </c>
      <c r="V25" s="362" t="e">
        <f t="shared" si="0"/>
        <v>#DIV/0!</v>
      </c>
    </row>
    <row r="26" spans="2:23">
      <c r="B26" s="124"/>
      <c r="C26" s="124" t="s">
        <v>645</v>
      </c>
      <c r="D26" s="45" t="str">
        <f>Rent!A29</f>
        <v>KONA GEAR INC.</v>
      </c>
      <c r="E26" s="55">
        <f>Rent!D29</f>
        <v>962</v>
      </c>
      <c r="F26" s="397">
        <v>6440.59</v>
      </c>
      <c r="G26" s="304">
        <f>'CAM - SHOPS'!FB71/12</f>
        <v>1512.0956530304327</v>
      </c>
      <c r="H26" s="304">
        <f>'CAM - SHOPS'!FB96/12</f>
        <v>72.401194746106071</v>
      </c>
      <c r="I26" s="304">
        <f>'CAM - SHOPS'!FB79/12</f>
        <v>0</v>
      </c>
      <c r="J26" s="304">
        <f>'CAM - SHOPS'!FB22/12</f>
        <v>375.76085317932808</v>
      </c>
      <c r="K26" s="304">
        <f>'CAM - SHOPS'!FB101/12</f>
        <v>299.36027654823926</v>
      </c>
      <c r="L26" s="304">
        <v>0</v>
      </c>
      <c r="M26" s="304"/>
      <c r="N26" s="304">
        <f t="shared" si="4"/>
        <v>8700.2079775041057</v>
      </c>
      <c r="O26" s="304">
        <f t="shared" si="7"/>
        <v>2259.617977504106</v>
      </c>
      <c r="P26" s="397">
        <f>2751.56</f>
        <v>2751.56</v>
      </c>
      <c r="Q26" s="115">
        <f t="shared" si="1"/>
        <v>-491.94202249589398</v>
      </c>
      <c r="R26" s="85">
        <f t="shared" si="5"/>
        <v>-0.17878658742527656</v>
      </c>
      <c r="S26" s="317">
        <f t="shared" si="2"/>
        <v>409.9537998999935</v>
      </c>
      <c r="T26" s="317">
        <f t="shared" si="6"/>
        <v>2.3488752364907546</v>
      </c>
      <c r="U26" s="317">
        <f t="shared" si="3"/>
        <v>2.3488752364907546</v>
      </c>
      <c r="V26" s="107">
        <f t="shared" si="0"/>
        <v>-0.21771026226268386</v>
      </c>
    </row>
    <row r="27" spans="2:23">
      <c r="B27" s="124"/>
      <c r="C27" s="124" t="s">
        <v>646</v>
      </c>
      <c r="D27" s="45" t="str">
        <f>Rent!A30</f>
        <v>LAVERNES</v>
      </c>
      <c r="E27" s="55">
        <f>Rent!D30</f>
        <v>3704</v>
      </c>
      <c r="F27" s="397">
        <f>Rent!F30</f>
        <v>7408</v>
      </c>
      <c r="G27" s="304">
        <f>'CAM - SHOPS'!FK71/12</f>
        <v>5822.039811668109</v>
      </c>
      <c r="H27" s="304">
        <f>'CAM - SHOPS'!FK96/12</f>
        <v>278.76717810766831</v>
      </c>
      <c r="I27" s="304">
        <f>'CAM - SHOPS'!FK79/12</f>
        <v>1510.9815505037889</v>
      </c>
      <c r="J27" s="304">
        <f>'CAM - SHOPS'!FK22/12</f>
        <v>1446.7964658796582</v>
      </c>
      <c r="K27" s="304">
        <f>'CAM - SHOPS'!FK101/12</f>
        <v>1152.6304203063182</v>
      </c>
      <c r="L27" s="304">
        <v>0</v>
      </c>
      <c r="M27" s="304"/>
      <c r="N27" s="304">
        <f t="shared" si="4"/>
        <v>17619.215426465544</v>
      </c>
      <c r="O27" s="304">
        <f>SUM(G27:L27)</f>
        <v>10211.215426465544</v>
      </c>
      <c r="P27" s="397">
        <f>10337.41</f>
        <v>10337.41</v>
      </c>
      <c r="Q27" s="115">
        <f t="shared" si="1"/>
        <v>-126.19457353445614</v>
      </c>
      <c r="R27" s="85">
        <f t="shared" si="5"/>
        <v>-1.2207562003872937E-2</v>
      </c>
      <c r="S27" s="317">
        <f t="shared" si="2"/>
        <v>830.21743089505651</v>
      </c>
      <c r="T27" s="317">
        <f t="shared" si="6"/>
        <v>2.7568076205360539</v>
      </c>
      <c r="U27" s="317">
        <f t="shared" si="3"/>
        <v>2.7568076205360539</v>
      </c>
      <c r="V27" s="107">
        <f t="shared" si="0"/>
        <v>-1.2358428283413048E-2</v>
      </c>
    </row>
    <row r="28" spans="2:23">
      <c r="B28" s="124"/>
      <c r="C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1"/>
      <c r="Q28" s="151"/>
      <c r="R28" s="151"/>
      <c r="S28" s="151"/>
      <c r="T28" s="151"/>
      <c r="U28" s="151"/>
    </row>
    <row r="29" spans="2:23">
      <c r="B29" s="124"/>
      <c r="C29" s="124"/>
      <c r="D29" s="169" t="s">
        <v>647</v>
      </c>
      <c r="E29" s="265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305"/>
    </row>
    <row r="30" spans="2:23">
      <c r="B30" s="124"/>
      <c r="C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1"/>
      <c r="Q30" s="151"/>
      <c r="R30" s="151"/>
      <c r="S30" s="151"/>
      <c r="T30" s="151"/>
      <c r="U30" s="151"/>
    </row>
    <row r="31" spans="2:23">
      <c r="F31" s="125"/>
      <c r="G31" s="125"/>
      <c r="H31" s="125"/>
      <c r="I31" s="125"/>
      <c r="J31" s="125"/>
      <c r="K31" s="126"/>
      <c r="L31" s="125"/>
      <c r="M31" s="125"/>
      <c r="N31" s="125"/>
      <c r="O31" s="125"/>
    </row>
    <row r="32" spans="2:23">
      <c r="D32" s="203" t="s">
        <v>648</v>
      </c>
      <c r="E32" s="306"/>
      <c r="F32" s="307">
        <f t="shared" ref="F32:Q32" si="8">SUM(F10:F27)</f>
        <v>148820.62</v>
      </c>
      <c r="G32" s="307">
        <f t="shared" si="8"/>
        <v>65455.975252632677</v>
      </c>
      <c r="H32" s="307">
        <f t="shared" si="8"/>
        <v>6595.65584628541</v>
      </c>
      <c r="I32" s="307">
        <f t="shared" si="8"/>
        <v>14082.233829627779</v>
      </c>
      <c r="J32" s="307">
        <f t="shared" si="8"/>
        <v>14871.506167464591</v>
      </c>
      <c r="K32" s="307">
        <f t="shared" si="8"/>
        <v>14957.122341258961</v>
      </c>
      <c r="L32" s="307">
        <f t="shared" si="8"/>
        <v>3055.67</v>
      </c>
      <c r="M32" s="307">
        <f t="shared" si="8"/>
        <v>2500</v>
      </c>
      <c r="N32" s="307">
        <f t="shared" si="8"/>
        <v>267838.78343726939</v>
      </c>
      <c r="O32" s="307">
        <f t="shared" si="8"/>
        <v>119018.1634372694</v>
      </c>
      <c r="P32" s="307">
        <f t="shared" si="8"/>
        <v>120659.15</v>
      </c>
      <c r="Q32" s="307">
        <f t="shared" si="8"/>
        <v>-1640.9865627305826</v>
      </c>
      <c r="R32" s="308"/>
      <c r="S32" s="308"/>
      <c r="T32" s="308"/>
      <c r="U32" s="309"/>
    </row>
    <row r="33" spans="4:21">
      <c r="D33" s="310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2"/>
    </row>
    <row r="34" spans="4:21">
      <c r="D34" s="298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13"/>
    </row>
    <row r="35" spans="4:21">
      <c r="G35" s="115">
        <f>+G32-G19-G24</f>
        <v>42081.775956275866</v>
      </c>
    </row>
    <row r="36" spans="4:21">
      <c r="G36" s="394" t="s">
        <v>649</v>
      </c>
      <c r="N36" s="115"/>
    </row>
    <row r="37" spans="4:21">
      <c r="D37" s="45" t="s">
        <v>650</v>
      </c>
      <c r="F37" s="234"/>
      <c r="G37" s="234"/>
      <c r="H37" s="122"/>
      <c r="I37" s="122"/>
      <c r="N37" s="115"/>
    </row>
    <row r="38" spans="4:21">
      <c r="F38" s="125"/>
      <c r="G38" s="125"/>
      <c r="H38" s="122"/>
      <c r="I38" s="122"/>
      <c r="N38" s="115"/>
    </row>
    <row r="39" spans="4:21">
      <c r="F39" s="125"/>
      <c r="G39" s="125"/>
      <c r="H39" s="122"/>
      <c r="I39" s="122"/>
    </row>
    <row r="40" spans="4:21" ht="14.5">
      <c r="D40" s="45" t="s">
        <v>651</v>
      </c>
      <c r="F40" s="234"/>
      <c r="G40" s="235"/>
    </row>
    <row r="41" spans="4:21">
      <c r="F41" s="125"/>
      <c r="G41" s="125"/>
      <c r="H41" s="122"/>
      <c r="I41" s="122"/>
      <c r="J41" s="122"/>
    </row>
    <row r="43" spans="4:21">
      <c r="D43" s="45" t="s">
        <v>652</v>
      </c>
    </row>
  </sheetData>
  <phoneticPr fontId="4" type="noConversion"/>
  <printOptions horizontalCentered="1"/>
  <pageMargins left="0" right="0" top="0" bottom="0" header="0" footer="0"/>
  <pageSetup paperSize="3" scale="80" orientation="landscape" r:id="rId1"/>
  <headerFooter alignWithMargins="0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6"/>
  <sheetViews>
    <sheetView workbookViewId="0">
      <selection activeCell="A3" sqref="A3"/>
    </sheetView>
  </sheetViews>
  <sheetFormatPr defaultColWidth="9.26953125" defaultRowHeight="13"/>
  <cols>
    <col min="1" max="1" width="30.453125" style="45" bestFit="1" customWidth="1"/>
    <col min="2" max="3" width="14.26953125" style="45" customWidth="1"/>
    <col min="4" max="4" width="16.7265625" style="45" customWidth="1"/>
    <col min="5" max="5" width="15.7265625" style="45" customWidth="1"/>
    <col min="6" max="6" width="14.26953125" style="45" customWidth="1"/>
    <col min="7" max="7" width="18.7265625" style="45" customWidth="1"/>
    <col min="8" max="9" width="14.26953125" style="45" customWidth="1"/>
    <col min="10" max="10" width="13.7265625" style="121" hidden="1" customWidth="1"/>
    <col min="11" max="11" width="13.453125" style="45" hidden="1" customWidth="1"/>
    <col min="12" max="12" width="9.26953125" style="45" hidden="1" customWidth="1"/>
    <col min="13" max="13" width="15.7265625" style="45" customWidth="1"/>
    <col min="14" max="16384" width="9.26953125" style="45"/>
  </cols>
  <sheetData>
    <row r="1" spans="1:15">
      <c r="A1" s="47" t="s">
        <v>653</v>
      </c>
    </row>
    <row r="2" spans="1:15">
      <c r="A2" s="434" t="s">
        <v>654</v>
      </c>
    </row>
    <row r="3" spans="1:15" ht="40.5" customHeight="1">
      <c r="A3" s="316" t="s">
        <v>120</v>
      </c>
      <c r="B3" s="314" t="s">
        <v>616</v>
      </c>
      <c r="C3" s="314" t="s">
        <v>617</v>
      </c>
      <c r="D3" s="314" t="s">
        <v>655</v>
      </c>
      <c r="E3" s="314" t="s">
        <v>618</v>
      </c>
      <c r="F3" s="314" t="s">
        <v>619</v>
      </c>
      <c r="G3" s="314" t="s">
        <v>656</v>
      </c>
      <c r="H3" s="314" t="s">
        <v>648</v>
      </c>
      <c r="I3" s="314" t="s">
        <v>389</v>
      </c>
      <c r="J3" s="346">
        <v>2007</v>
      </c>
      <c r="K3" s="314" t="s">
        <v>657</v>
      </c>
      <c r="L3" s="314" t="s">
        <v>658</v>
      </c>
      <c r="M3" s="314" t="s">
        <v>532</v>
      </c>
    </row>
    <row r="4" spans="1:15">
      <c r="A4" s="45" t="str">
        <f>Rent!A14</f>
        <v xml:space="preserve">ISLAND LAVA JAVA </v>
      </c>
      <c r="B4" s="304">
        <f>Rent!F14</f>
        <v>15803.54</v>
      </c>
      <c r="C4" s="304">
        <f>CAM!E14</f>
        <v>6087.6782372004827</v>
      </c>
      <c r="D4" s="304">
        <f>'Building Exp.'!E14</f>
        <v>930.57118038258443</v>
      </c>
      <c r="E4" s="304">
        <f>Ins.!F14</f>
        <v>1512.808507654405</v>
      </c>
      <c r="F4" s="343">
        <f>'RE Tax'!E14</f>
        <v>1205.2207391593874</v>
      </c>
      <c r="G4" s="304"/>
      <c r="H4" s="304">
        <f>SUM(B4:G4)</f>
        <v>25539.818664396858</v>
      </c>
      <c r="I4" s="304">
        <f>SUM(C4:G4)</f>
        <v>9736.2786643968593</v>
      </c>
      <c r="J4" s="344">
        <v>6975.6993300000013</v>
      </c>
      <c r="K4" s="115">
        <f t="shared" ref="K4:K20" si="0">H4-J4</f>
        <v>18564.119334396855</v>
      </c>
      <c r="L4" s="345">
        <f t="shared" ref="L4:L20" si="1">SUM((1)-(J4/H4))</f>
        <v>0.72686966099237427</v>
      </c>
      <c r="M4" s="115">
        <f>B4+I4</f>
        <v>25539.818664396858</v>
      </c>
    </row>
    <row r="5" spans="1:15">
      <c r="A5" s="45" t="str">
        <f>Rent!A15</f>
        <v>TAKA SUSHI</v>
      </c>
      <c r="B5" s="304">
        <f>Rent!F15</f>
        <v>3383.1</v>
      </c>
      <c r="C5" s="304">
        <f>CAM!E15</f>
        <v>1688.1400533832484</v>
      </c>
      <c r="D5" s="304">
        <f>'Building Exp.'!E15</f>
        <v>258.05149696124334</v>
      </c>
      <c r="E5" s="304">
        <f>Ins.!F15</f>
        <v>419.50847849750352</v>
      </c>
      <c r="F5" s="343">
        <f>'RE Tax'!E15</f>
        <v>334.21303223784713</v>
      </c>
      <c r="G5" s="304"/>
      <c r="H5" s="304">
        <f t="shared" ref="H5:H21" si="2">SUM(B5:G5)</f>
        <v>6083.0130610798415</v>
      </c>
      <c r="I5" s="304">
        <f>SUM(C5:G5)</f>
        <v>2699.9130610798425</v>
      </c>
      <c r="J5" s="344">
        <v>339.10241133333341</v>
      </c>
      <c r="K5" s="115">
        <f t="shared" si="0"/>
        <v>5743.9106497465082</v>
      </c>
      <c r="L5" s="345">
        <f t="shared" si="1"/>
        <v>0.94425420298651519</v>
      </c>
      <c r="M5" s="115">
        <f t="shared" ref="M5:M20" si="3">B5+I5</f>
        <v>6083.0130610798424</v>
      </c>
    </row>
    <row r="6" spans="1:15">
      <c r="A6" s="45" t="str">
        <f>Rent!A16</f>
        <v>KANAKA KAVA</v>
      </c>
      <c r="B6" s="304">
        <f>Rent!F16</f>
        <v>2060</v>
      </c>
      <c r="C6" s="304">
        <f>CAM!E16</f>
        <v>314.36500063002751</v>
      </c>
      <c r="D6" s="304">
        <f>'Building Exp.'!E16</f>
        <v>48.054282488127264</v>
      </c>
      <c r="E6" s="304">
        <f>Ins.!F16</f>
        <v>78.120759496741798</v>
      </c>
      <c r="F6" s="343">
        <f>'RE Tax'!E16</f>
        <v>62.237063731442667</v>
      </c>
      <c r="G6" s="304"/>
      <c r="H6" s="304">
        <f t="shared" si="2"/>
        <v>2562.7771063463392</v>
      </c>
      <c r="I6" s="304">
        <f t="shared" ref="I6:I20" si="4">SUM(C6:G6)</f>
        <v>502.77710634633928</v>
      </c>
      <c r="J6" s="344">
        <v>105044.67382477822</v>
      </c>
      <c r="K6" s="115">
        <f>H6-J6</f>
        <v>-102481.89671843188</v>
      </c>
      <c r="L6" s="345">
        <f>SUM((1)-(J6/H6))</f>
        <v>-39.988610973873065</v>
      </c>
      <c r="M6" s="115">
        <f>B6+I6</f>
        <v>2562.7771063463392</v>
      </c>
    </row>
    <row r="7" spans="1:15">
      <c r="A7" s="45" t="str">
        <f>Rent!A17</f>
        <v>GECKO GIRLZ SHAVE ICE SHACK</v>
      </c>
      <c r="B7" s="304">
        <f>Rent!F17</f>
        <v>2527.84</v>
      </c>
      <c r="C7" s="304">
        <f>CAM!E17</f>
        <v>814.20535163177146</v>
      </c>
      <c r="D7" s="304">
        <f>'Building Exp.'!E17</f>
        <v>124.46059164424962</v>
      </c>
      <c r="E7" s="304">
        <f>Ins.!F17</f>
        <v>202.3327670965613</v>
      </c>
      <c r="F7" s="343">
        <f>'RE Tax'!E17</f>
        <v>161.19399506443654</v>
      </c>
      <c r="G7" s="304"/>
      <c r="H7" s="304">
        <f t="shared" si="2"/>
        <v>3830.0327054370191</v>
      </c>
      <c r="I7" s="304">
        <f t="shared" si="4"/>
        <v>1302.192705437019</v>
      </c>
      <c r="J7" s="344">
        <v>36262.902357178813</v>
      </c>
      <c r="K7" s="115">
        <f t="shared" si="0"/>
        <v>-32432.869651741792</v>
      </c>
      <c r="L7" s="345">
        <f t="shared" si="1"/>
        <v>-8.4680398696598331</v>
      </c>
      <c r="M7" s="115">
        <f t="shared" si="3"/>
        <v>3830.0327054370191</v>
      </c>
      <c r="O7" s="236" t="s">
        <v>659</v>
      </c>
    </row>
    <row r="8" spans="1:15">
      <c r="A8" s="45" t="str">
        <f>Rent!A18</f>
        <v>BIG ISLAND RUNNING CO.</v>
      </c>
      <c r="B8" s="304">
        <f>Rent!F18</f>
        <v>2703.75</v>
      </c>
      <c r="C8" s="304">
        <f>CAM!E18</f>
        <v>825.20812665382209</v>
      </c>
      <c r="D8" s="304">
        <f>'Building Exp.'!E18</f>
        <v>126.14249153133407</v>
      </c>
      <c r="E8" s="304">
        <f>Ins.!F18</f>
        <v>205.06699367894723</v>
      </c>
      <c r="F8" s="343">
        <f>'RE Tax'!E18</f>
        <v>163.372292295037</v>
      </c>
      <c r="G8" s="304"/>
      <c r="H8" s="304">
        <f t="shared" si="2"/>
        <v>4023.5399041591404</v>
      </c>
      <c r="I8" s="304">
        <f t="shared" si="4"/>
        <v>1319.7899041591402</v>
      </c>
      <c r="J8" s="344">
        <v>9035.3584908679695</v>
      </c>
      <c r="K8" s="115">
        <f t="shared" si="0"/>
        <v>-5011.8185867088287</v>
      </c>
      <c r="L8" s="345">
        <f t="shared" si="1"/>
        <v>-1.245624178233725</v>
      </c>
      <c r="M8" s="115">
        <f t="shared" si="3"/>
        <v>4023.53990415914</v>
      </c>
    </row>
    <row r="9" spans="1:15">
      <c r="A9" s="45" t="str">
        <f>Rent!A19</f>
        <v>CAFE KONA</v>
      </c>
      <c r="B9" s="304">
        <f>Rent!F19</f>
        <v>3826.9</v>
      </c>
      <c r="C9" s="304">
        <f>CAM!E19</f>
        <v>1562.3940531312371</v>
      </c>
      <c r="D9" s="304">
        <f>'Building Exp.'!E19</f>
        <v>238.8297839659925</v>
      </c>
      <c r="E9" s="304">
        <f>Ins.!F19</f>
        <v>388.26017469880679</v>
      </c>
      <c r="F9" s="343">
        <f>'RE Tax'!E19</f>
        <v>309.31820674527006</v>
      </c>
      <c r="G9" s="304"/>
      <c r="H9" s="304">
        <f t="shared" si="2"/>
        <v>6325.7022185413061</v>
      </c>
      <c r="I9" s="304">
        <f t="shared" si="4"/>
        <v>2498.802218541306</v>
      </c>
      <c r="J9" s="344">
        <v>7580.6521539906716</v>
      </c>
      <c r="K9" s="115">
        <f t="shared" si="0"/>
        <v>-1254.9499354493655</v>
      </c>
      <c r="L9" s="345">
        <f t="shared" si="1"/>
        <v>-0.19838903130327146</v>
      </c>
      <c r="M9" s="115">
        <f t="shared" si="3"/>
        <v>6325.7022185413061</v>
      </c>
    </row>
    <row r="10" spans="1:15">
      <c r="A10" s="45" t="str">
        <f>Rent!A20</f>
        <v>LUCASIE LTD</v>
      </c>
      <c r="B10" s="304">
        <f>Rent!F20</f>
        <v>7593</v>
      </c>
      <c r="C10" s="304">
        <f>CAM!E20</f>
        <v>1639.4134782855933</v>
      </c>
      <c r="D10" s="304">
        <f>'Building Exp.'!E20</f>
        <v>250.60308317558369</v>
      </c>
      <c r="E10" s="304">
        <f>Ins.!F20</f>
        <v>407.39976077550847</v>
      </c>
      <c r="F10" s="343">
        <f>'RE Tax'!E20</f>
        <v>324.56628735947351</v>
      </c>
      <c r="G10" s="304"/>
      <c r="H10" s="304">
        <f t="shared" si="2"/>
        <v>10214.982609596158</v>
      </c>
      <c r="I10" s="304">
        <f t="shared" si="4"/>
        <v>2621.9826095961589</v>
      </c>
      <c r="J10" s="344">
        <v>4358.7637343404776</v>
      </c>
      <c r="K10" s="115">
        <f t="shared" si="0"/>
        <v>5856.2188752556804</v>
      </c>
      <c r="L10" s="345">
        <f t="shared" si="1"/>
        <v>0.57329699903299214</v>
      </c>
      <c r="M10" s="115">
        <f t="shared" si="3"/>
        <v>10214.982609596158</v>
      </c>
    </row>
    <row r="11" spans="1:15">
      <c r="A11" s="45" t="str">
        <f>Rent!A21</f>
        <v>FOSTERS KITCHEN</v>
      </c>
      <c r="B11" s="304">
        <f>Rent!F21</f>
        <v>11905.63</v>
      </c>
      <c r="C11" s="304">
        <f>CAM!E21</f>
        <v>5542.2549611073855</v>
      </c>
      <c r="D11" s="304">
        <f>'Building Exp.'!E21</f>
        <v>847.21163777357106</v>
      </c>
      <c r="E11" s="304">
        <f>Ins.!F21</f>
        <v>1377.2689899275576</v>
      </c>
      <c r="F11" s="343">
        <f>'RE Tax'!E21</f>
        <v>1097.2394335853344</v>
      </c>
      <c r="G11" s="304"/>
      <c r="H11" s="304">
        <f t="shared" si="2"/>
        <v>20769.605022393847</v>
      </c>
      <c r="I11" s="304">
        <f t="shared" si="4"/>
        <v>8863.9750223938481</v>
      </c>
      <c r="J11" s="344">
        <v>7883.5814146435259</v>
      </c>
      <c r="K11" s="115">
        <f t="shared" si="0"/>
        <v>12886.023607750321</v>
      </c>
      <c r="L11" s="345">
        <f t="shared" si="1"/>
        <v>0.62042699386226041</v>
      </c>
      <c r="M11" s="115">
        <f t="shared" si="3"/>
        <v>20769.605022393847</v>
      </c>
    </row>
    <row r="12" spans="1:15">
      <c r="A12" s="45" t="str">
        <f>Rent!A22</f>
        <v>HUMPYS BIG ISLAND ALEHOUSE</v>
      </c>
      <c r="B12" s="304">
        <f>Rent!F22</f>
        <v>25000</v>
      </c>
      <c r="C12" s="304">
        <f>CAM!E22</f>
        <v>0</v>
      </c>
      <c r="D12" s="304">
        <f>'Building Exp.'!E22</f>
        <v>0</v>
      </c>
      <c r="E12" s="304">
        <f>Ins.!F22</f>
        <v>0</v>
      </c>
      <c r="F12" s="343">
        <f>'RE Tax'!E22</f>
        <v>0</v>
      </c>
      <c r="G12" s="304"/>
      <c r="H12" s="304">
        <f t="shared" si="2"/>
        <v>25000</v>
      </c>
      <c r="I12" s="304">
        <f t="shared" si="4"/>
        <v>0</v>
      </c>
      <c r="J12" s="344">
        <v>6395.6369902504675</v>
      </c>
      <c r="K12" s="115">
        <f t="shared" si="0"/>
        <v>18604.363009749533</v>
      </c>
      <c r="L12" s="345">
        <f t="shared" si="1"/>
        <v>0.74417452038998122</v>
      </c>
      <c r="M12" s="115">
        <f>B12+I12</f>
        <v>25000</v>
      </c>
    </row>
    <row r="13" spans="1:15">
      <c r="A13" s="45" t="str">
        <f>Rent!A23</f>
        <v>ABC STORE #75</v>
      </c>
      <c r="B13" s="304">
        <f>Rent!F23</f>
        <v>24000</v>
      </c>
      <c r="C13" s="304">
        <f>CAM!E23</f>
        <v>4715.4750094504134</v>
      </c>
      <c r="D13" s="304">
        <f>'Building Exp.'!E23</f>
        <v>720.82669124240317</v>
      </c>
      <c r="E13" s="304">
        <f>Ins.!F23</f>
        <v>1171.8113924511272</v>
      </c>
      <c r="F13" s="343">
        <f>'RE Tax'!E23</f>
        <v>933.55595597163995</v>
      </c>
      <c r="G13" s="304"/>
      <c r="H13" s="304">
        <f t="shared" si="2"/>
        <v>31541.669049115582</v>
      </c>
      <c r="I13" s="304">
        <f t="shared" si="4"/>
        <v>7541.6690491155841</v>
      </c>
      <c r="J13" s="344">
        <v>9345.2232731791719</v>
      </c>
      <c r="K13" s="115">
        <f t="shared" si="0"/>
        <v>22196.445775936409</v>
      </c>
      <c r="L13" s="345">
        <f t="shared" si="1"/>
        <v>0.70371817488075483</v>
      </c>
      <c r="M13" s="115">
        <f>B13+I13</f>
        <v>31541.669049115582</v>
      </c>
    </row>
    <row r="14" spans="1:15">
      <c r="A14" s="45" t="str">
        <f>Rent!A24</f>
        <v>GYPSEA GALATO</v>
      </c>
      <c r="B14" s="304">
        <f>Rent!F24</f>
        <v>2731.82</v>
      </c>
      <c r="C14" s="304">
        <f>CAM!E24</f>
        <v>785.91250157506886</v>
      </c>
      <c r="D14" s="304">
        <f>'Building Exp.'!E24</f>
        <v>120.13778187373384</v>
      </c>
      <c r="E14" s="304">
        <f>Ins.!F24</f>
        <v>195.30189874185453</v>
      </c>
      <c r="F14" s="343">
        <f>'RE Tax'!E24</f>
        <v>155.59265932860669</v>
      </c>
      <c r="G14" s="304"/>
      <c r="H14" s="304">
        <f t="shared" si="2"/>
        <v>3988.7648415192639</v>
      </c>
      <c r="I14" s="304">
        <f t="shared" si="4"/>
        <v>1256.9448415192639</v>
      </c>
      <c r="J14" s="344">
        <v>7189.0719273814539</v>
      </c>
      <c r="K14" s="115">
        <f t="shared" si="0"/>
        <v>-3200.30708586219</v>
      </c>
      <c r="L14" s="345">
        <f t="shared" si="1"/>
        <v>-0.80233034862071206</v>
      </c>
      <c r="M14" s="115">
        <f t="shared" si="3"/>
        <v>3988.7648415192643</v>
      </c>
    </row>
    <row r="15" spans="1:15">
      <c r="A15" s="45" t="str">
        <f>Rent!A25</f>
        <v>OCEANS SPORTS BAR AND GRILL</v>
      </c>
      <c r="B15" s="304">
        <f>Rent!F25</f>
        <v>10049.120000000001</v>
      </c>
      <c r="C15" s="304">
        <f>CAM!E25</f>
        <v>2859.5262519576431</v>
      </c>
      <c r="D15" s="304">
        <f>'Building Exp.'!E25</f>
        <v>0</v>
      </c>
      <c r="E15" s="304">
        <f>Ins.!F25</f>
        <v>95.194273179521318</v>
      </c>
      <c r="F15" s="343">
        <f>'RE Tax'!E25</f>
        <v>901.19268283128997</v>
      </c>
      <c r="G15" s="304"/>
      <c r="H15" s="304">
        <f t="shared" si="2"/>
        <v>13905.033207968454</v>
      </c>
      <c r="I15" s="304">
        <f t="shared" si="4"/>
        <v>3855.9132079684541</v>
      </c>
      <c r="J15" s="344">
        <v>10212.806768304408</v>
      </c>
      <c r="K15" s="115">
        <f t="shared" si="0"/>
        <v>3692.2264396640458</v>
      </c>
      <c r="L15" s="345">
        <f t="shared" si="1"/>
        <v>0.26553165206021723</v>
      </c>
      <c r="M15" s="115">
        <f t="shared" si="3"/>
        <v>13905.033207968456</v>
      </c>
    </row>
    <row r="16" spans="1:15">
      <c r="A16" s="45" t="str">
        <f>Rent!A26</f>
        <v>JACKS DIVE LOCKER</v>
      </c>
      <c r="B16" s="304">
        <f>Rent!F26</f>
        <v>23387.29</v>
      </c>
      <c r="C16" s="304">
        <f>CAM!E26</f>
        <v>7913.067466570632</v>
      </c>
      <c r="D16" s="304">
        <f>'Building Exp.'!E26</f>
        <v>0</v>
      </c>
      <c r="E16" s="304">
        <f>Ins.!F26</f>
        <v>263.42779877786046</v>
      </c>
      <c r="F16" s="343">
        <f>'RE Tax'!E26</f>
        <v>2493.839143718908</v>
      </c>
      <c r="G16" s="304"/>
      <c r="H16" s="304">
        <f t="shared" si="2"/>
        <v>34057.624409067401</v>
      </c>
      <c r="I16" s="304">
        <f t="shared" si="4"/>
        <v>10670.3344090674</v>
      </c>
      <c r="J16" s="344">
        <v>8460.0628085452609</v>
      </c>
      <c r="K16" s="115">
        <f t="shared" si="0"/>
        <v>25597.561600522138</v>
      </c>
      <c r="L16" s="345">
        <f t="shared" si="1"/>
        <v>0.75159562784147449</v>
      </c>
      <c r="M16" s="115">
        <f t="shared" si="3"/>
        <v>34057.624409067401</v>
      </c>
    </row>
    <row r="17" spans="1:13">
      <c r="A17" s="45" t="str">
        <f>Rent!A27</f>
        <v>QPOT</v>
      </c>
      <c r="B17" s="304">
        <f>Rent!F27</f>
        <v>0</v>
      </c>
      <c r="C17" s="304">
        <f>CAM!E27</f>
        <v>0</v>
      </c>
      <c r="D17" s="304">
        <f>'Building Exp.'!E27</f>
        <v>0</v>
      </c>
      <c r="E17" s="304">
        <f>Ins.!F27</f>
        <v>0</v>
      </c>
      <c r="F17" s="343">
        <f>'RE Tax'!E27</f>
        <v>0</v>
      </c>
      <c r="G17" s="304"/>
      <c r="H17" s="304">
        <f t="shared" si="2"/>
        <v>0</v>
      </c>
      <c r="I17" s="304">
        <f t="shared" si="4"/>
        <v>0</v>
      </c>
      <c r="J17" s="344">
        <v>12557.597647703351</v>
      </c>
      <c r="K17" s="115">
        <f t="shared" si="0"/>
        <v>-12557.597647703351</v>
      </c>
      <c r="L17" s="345" t="e">
        <f t="shared" si="1"/>
        <v>#DIV/0!</v>
      </c>
      <c r="M17" s="115">
        <f t="shared" si="3"/>
        <v>0</v>
      </c>
    </row>
    <row r="18" spans="1:13">
      <c r="A18" s="45" t="str">
        <f>Rent!A28</f>
        <v>BOWLS SUPERFOODS &amp; ORALE TACOS</v>
      </c>
      <c r="B18" s="304">
        <f>Rent!F28</f>
        <v>0</v>
      </c>
      <c r="C18" s="304">
        <f>CAM!E28</f>
        <v>0</v>
      </c>
      <c r="D18" s="304">
        <f>'Building Exp.'!E28</f>
        <v>0</v>
      </c>
      <c r="E18" s="304">
        <f>Ins.!F28</f>
        <v>0</v>
      </c>
      <c r="F18" s="343">
        <f>'RE Tax'!E28</f>
        <v>0</v>
      </c>
      <c r="G18" s="304"/>
      <c r="H18" s="304">
        <f t="shared" si="2"/>
        <v>0</v>
      </c>
      <c r="I18" s="304">
        <f t="shared" si="4"/>
        <v>0</v>
      </c>
      <c r="J18" s="344">
        <v>4888.659881141788</v>
      </c>
      <c r="K18" s="115">
        <f t="shared" si="0"/>
        <v>-4888.659881141788</v>
      </c>
      <c r="L18" s="345" t="e">
        <f t="shared" si="1"/>
        <v>#DIV/0!</v>
      </c>
      <c r="M18" s="115">
        <f t="shared" si="3"/>
        <v>0</v>
      </c>
    </row>
    <row r="19" spans="1:13">
      <c r="A19" s="45" t="str">
        <f>Rent!A29</f>
        <v>KONA GEAR INC.</v>
      </c>
      <c r="B19" s="304">
        <f>Rent!F29</f>
        <v>6440.59</v>
      </c>
      <c r="C19" s="304">
        <f>CAM!E29</f>
        <v>1512.0956530304327</v>
      </c>
      <c r="D19" s="304">
        <f>'Building Exp.'!E29</f>
        <v>72.401194746106071</v>
      </c>
      <c r="E19" s="304">
        <f>Ins.!F29</f>
        <v>375.76085317932808</v>
      </c>
      <c r="F19" s="343">
        <f>'RE Tax'!E29</f>
        <v>299.36027654823926</v>
      </c>
      <c r="G19" s="304"/>
      <c r="H19" s="304">
        <f t="shared" si="2"/>
        <v>8700.2079775041057</v>
      </c>
      <c r="I19" s="304">
        <f t="shared" si="4"/>
        <v>2259.617977504106</v>
      </c>
      <c r="J19" s="344">
        <v>9399.8695009569165</v>
      </c>
      <c r="K19" s="115">
        <f t="shared" si="0"/>
        <v>-699.6615234528108</v>
      </c>
      <c r="L19" s="345">
        <f t="shared" si="1"/>
        <v>-8.0418942312862729E-2</v>
      </c>
      <c r="M19" s="115">
        <f t="shared" si="3"/>
        <v>8700.2079775041057</v>
      </c>
    </row>
    <row r="20" spans="1:13">
      <c r="A20" s="45" t="str">
        <f>Rent!A30</f>
        <v>LAVERNES</v>
      </c>
      <c r="B20" s="304">
        <f>Rent!F30</f>
        <v>7408</v>
      </c>
      <c r="C20" s="304">
        <f>CAM!E30</f>
        <v>5822.039811668109</v>
      </c>
      <c r="D20" s="304">
        <f>'Building Exp.'!E30</f>
        <v>278.76717810766831</v>
      </c>
      <c r="E20" s="304">
        <f>Ins.!F30</f>
        <v>1446.7964658796582</v>
      </c>
      <c r="F20" s="343">
        <f>'RE Tax'!E30</f>
        <v>1152.6304203063182</v>
      </c>
      <c r="G20" s="304"/>
      <c r="H20" s="304">
        <f t="shared" si="2"/>
        <v>16108.233875961756</v>
      </c>
      <c r="I20" s="304">
        <f t="shared" si="4"/>
        <v>8700.2338759617542</v>
      </c>
      <c r="J20" s="344">
        <v>7721.2150271284927</v>
      </c>
      <c r="K20" s="115">
        <f t="shared" si="0"/>
        <v>8387.0188488332642</v>
      </c>
      <c r="L20" s="345">
        <f t="shared" si="1"/>
        <v>0.5206665680058925</v>
      </c>
      <c r="M20" s="115">
        <f t="shared" si="3"/>
        <v>16108.233875961754</v>
      </c>
    </row>
    <row r="21" spans="1:13">
      <c r="B21" s="344"/>
      <c r="C21" s="344"/>
      <c r="D21" s="344"/>
      <c r="E21" s="344"/>
      <c r="F21" s="344"/>
      <c r="G21" s="344"/>
      <c r="H21" s="304">
        <f t="shared" si="2"/>
        <v>0</v>
      </c>
      <c r="I21" s="344"/>
      <c r="J21" s="344"/>
      <c r="K21" s="115"/>
      <c r="L21" s="345"/>
      <c r="M21" s="115"/>
    </row>
    <row r="22" spans="1:13">
      <c r="B22" s="121"/>
      <c r="C22" s="121"/>
      <c r="D22" s="121"/>
      <c r="E22" s="121"/>
      <c r="F22" s="121"/>
      <c r="G22" s="121"/>
      <c r="H22" s="121"/>
      <c r="I22" s="121"/>
      <c r="K22" s="122"/>
      <c r="L22" s="85"/>
    </row>
    <row r="23" spans="1:13" hidden="1">
      <c r="B23" s="121"/>
      <c r="C23" s="121"/>
      <c r="D23" s="121"/>
      <c r="E23" s="121"/>
      <c r="F23" s="121"/>
      <c r="G23" s="121"/>
      <c r="H23" s="121"/>
      <c r="I23" s="121"/>
      <c r="L23" s="85"/>
    </row>
    <row r="24" spans="1:13" hidden="1">
      <c r="A24" s="127" t="s">
        <v>648</v>
      </c>
      <c r="B24" s="128">
        <f>SUM(B4:B23)</f>
        <v>148820.58000000002</v>
      </c>
      <c r="C24" s="128">
        <f t="shared" ref="C24:K24" si="5">SUM(C4:C23)</f>
        <v>42081.775956275866</v>
      </c>
      <c r="D24" s="128">
        <f t="shared" si="5"/>
        <v>4016.0573938925972</v>
      </c>
      <c r="E24" s="128">
        <f t="shared" si="5"/>
        <v>8139.0591140353827</v>
      </c>
      <c r="F24" s="128">
        <f t="shared" si="5"/>
        <v>9593.5321888832295</v>
      </c>
      <c r="G24" s="128">
        <f t="shared" si="5"/>
        <v>0</v>
      </c>
      <c r="H24" s="128">
        <f t="shared" si="5"/>
        <v>212651.00465308706</v>
      </c>
      <c r="I24" s="128">
        <f t="shared" si="5"/>
        <v>63830.424653087081</v>
      </c>
      <c r="J24" s="129">
        <f t="shared" si="5"/>
        <v>253650.87754172427</v>
      </c>
      <c r="K24" s="128">
        <f t="shared" si="5"/>
        <v>-40999.872888637226</v>
      </c>
      <c r="L24" s="85">
        <f>SUM((1)-(J24/H24))</f>
        <v>-0.19280357012901606</v>
      </c>
    </row>
    <row r="26" spans="1:13">
      <c r="A26" s="45" t="s">
        <v>650</v>
      </c>
      <c r="B26" s="63"/>
      <c r="C26" s="63"/>
      <c r="D26" s="63"/>
      <c r="E26" s="63"/>
      <c r="F26" s="63"/>
      <c r="G26" s="63"/>
      <c r="H26" s="63"/>
      <c r="I26" s="63"/>
    </row>
  </sheetData>
  <phoneticPr fontId="4" type="noConversion"/>
  <pageMargins left="0.7" right="0.7" top="0.75" bottom="0.75" header="0.3" footer="0.3"/>
  <pageSetup paperSize="3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"/>
  <sheetViews>
    <sheetView workbookViewId="0"/>
  </sheetViews>
  <sheetFormatPr defaultColWidth="8.7265625" defaultRowHeight="12.5"/>
  <sheetData/>
  <phoneticPr fontId="4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pageSetUpPr fitToPage="1"/>
  </sheetPr>
  <dimension ref="A1:X98"/>
  <sheetViews>
    <sheetView topLeftCell="A19" workbookViewId="0">
      <selection activeCell="H1" sqref="H1:H1048576"/>
    </sheetView>
  </sheetViews>
  <sheetFormatPr defaultColWidth="9.26953125" defaultRowHeight="13"/>
  <cols>
    <col min="1" max="1" width="29.7265625" style="45" bestFit="1" customWidth="1"/>
    <col min="2" max="2" width="12.7265625" style="45" bestFit="1" customWidth="1"/>
    <col min="3" max="3" width="11.26953125" style="45" customWidth="1"/>
    <col min="4" max="9" width="10.26953125" style="45" bestFit="1" customWidth="1"/>
    <col min="10" max="11" width="11" style="45" bestFit="1" customWidth="1"/>
    <col min="12" max="12" width="10.7265625" style="45" customWidth="1"/>
    <col min="13" max="13" width="11.7265625" style="45" customWidth="1"/>
    <col min="14" max="14" width="10.26953125" style="45" bestFit="1" customWidth="1"/>
    <col min="15" max="15" width="11.26953125" style="45" customWidth="1"/>
    <col min="16" max="16" width="11" style="45" bestFit="1" customWidth="1"/>
    <col min="17" max="17" width="11.26953125" style="45" bestFit="1" customWidth="1"/>
    <col min="18" max="18" width="11" style="45" customWidth="1"/>
    <col min="19" max="19" width="11" style="45" bestFit="1" customWidth="1"/>
    <col min="20" max="20" width="10.26953125" style="45" customWidth="1"/>
    <col min="21" max="21" width="12.453125" style="45" bestFit="1" customWidth="1"/>
    <col min="22" max="22" width="11" style="45" bestFit="1" customWidth="1"/>
    <col min="23" max="23" width="9.453125" style="45" bestFit="1" customWidth="1"/>
    <col min="24" max="24" width="12" style="45" bestFit="1" customWidth="1"/>
    <col min="25" max="25" width="12.26953125" style="45" bestFit="1" customWidth="1"/>
    <col min="26" max="16384" width="9.26953125" style="45"/>
  </cols>
  <sheetData>
    <row r="1" spans="1:24">
      <c r="V1" s="45" t="str">
        <f>Summ.!R1</f>
        <v>Date Revised:</v>
      </c>
      <c r="W1" s="350" t="e">
        <f>Summ.!#REF!</f>
        <v>#REF!</v>
      </c>
      <c r="X1" s="45">
        <f>Summ.!T1</f>
        <v>0</v>
      </c>
    </row>
    <row r="2" spans="1:24">
      <c r="A2" s="631" t="str">
        <f>Summ.!A2</f>
        <v>ATHENA PROPERTY MANAGEMENT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</row>
    <row r="3" spans="1:24">
      <c r="A3" s="631" t="str">
        <f>Summ.!A3</f>
        <v>Coconut Grove -  Kona Hawaii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</row>
    <row r="4" spans="1:24">
      <c r="A4" s="631" t="str">
        <f>Summ.!A4</f>
        <v>PROJECT NO. 165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  <c r="S4" s="631"/>
      <c r="T4" s="631"/>
      <c r="U4" s="631"/>
      <c r="V4" s="631"/>
      <c r="W4" s="631"/>
    </row>
    <row r="5" spans="1:24">
      <c r="A5" s="631" t="str">
        <f>Summ.!A5</f>
        <v>01/01/26- 12/31/26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</row>
    <row r="6" spans="1:24">
      <c r="A6" s="631" t="str">
        <f>Summ.!A6</f>
        <v>2026 OPERATING BUDGET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</row>
    <row r="7" spans="1:24">
      <c r="A7" s="47" t="s">
        <v>660</v>
      </c>
    </row>
    <row r="8" spans="1:24" ht="195.75" customHeight="1">
      <c r="A8" s="47" t="s">
        <v>129</v>
      </c>
      <c r="C8" s="99" t="str">
        <f>Rent!A14</f>
        <v xml:space="preserve">ISLAND LAVA JAVA </v>
      </c>
      <c r="D8" s="99" t="str">
        <f>Rent!A15</f>
        <v>TAKA SUSHI</v>
      </c>
      <c r="E8" s="99" t="str">
        <f>Rent!A16</f>
        <v>KANAKA KAVA</v>
      </c>
      <c r="F8" s="99" t="str">
        <f>Rent!A17</f>
        <v>GECKO GIRLZ SHAVE ICE SHACK</v>
      </c>
      <c r="G8" s="99" t="str">
        <f>Rent!A18</f>
        <v>BIG ISLAND RUNNING CO.</v>
      </c>
      <c r="H8" s="99" t="str">
        <f>Rent!A19</f>
        <v>CAFE KONA</v>
      </c>
      <c r="I8" s="99" t="str">
        <f>Rent!A20</f>
        <v>LUCASIE LTD</v>
      </c>
      <c r="J8" s="99" t="str">
        <f>Rent!A21</f>
        <v>FOSTERS KITCHEN</v>
      </c>
      <c r="K8" s="99" t="str">
        <f>Rent!A22</f>
        <v>HUMPYS BIG ISLAND ALEHOUSE</v>
      </c>
      <c r="L8" s="99" t="str">
        <f>Rent!A23</f>
        <v>ABC STORE #75</v>
      </c>
      <c r="M8" s="99" t="str">
        <f>Rent!A24</f>
        <v>GYPSEA GALATO</v>
      </c>
      <c r="N8" s="99" t="str">
        <f>Rent!A25</f>
        <v>OCEANS SPORTS BAR AND GRILL</v>
      </c>
      <c r="O8" s="99" t="str">
        <f>Rent!A26</f>
        <v>JACKS DIVE LOCKER</v>
      </c>
      <c r="P8" s="99" t="str">
        <f>Rent!A27</f>
        <v>QPOT</v>
      </c>
      <c r="Q8" s="99" t="str">
        <f>Rent!A28</f>
        <v>BOWLS SUPERFOODS &amp; ORALE TACOS</v>
      </c>
      <c r="R8" s="99" t="str">
        <f>Rent!A29</f>
        <v>KONA GEAR INC.</v>
      </c>
      <c r="S8" s="99" t="str">
        <f>Rent!A30</f>
        <v>LAVERNES</v>
      </c>
      <c r="T8" s="99" t="str">
        <f>Rent!B30</f>
        <v>PC/U1</v>
      </c>
      <c r="U8" s="99" t="s">
        <v>532</v>
      </c>
      <c r="V8" s="99" t="s">
        <v>18</v>
      </c>
      <c r="W8" s="99" t="s">
        <v>661</v>
      </c>
      <c r="X8" s="100"/>
    </row>
    <row r="9" spans="1:24">
      <c r="A9" s="45" t="str">
        <f>Summ.!B33</f>
        <v>Landscape Consumables</v>
      </c>
      <c r="B9" s="101">
        <f>Summ.!O33</f>
        <v>26254.301739999999</v>
      </c>
      <c r="C9" s="101">
        <f>'CAM - SHOPS'!N25</f>
        <v>1991.5176982846958</v>
      </c>
      <c r="D9" s="101">
        <f>'CAM - SHOPS'!W25</f>
        <v>552.25665064749887</v>
      </c>
      <c r="E9" s="101">
        <f>'CAM - SHOPS'!AF25</f>
        <v>102.84108950605193</v>
      </c>
      <c r="F9" s="101">
        <f>'CAM - SHOPS'!AO25</f>
        <v>266.35842182067455</v>
      </c>
      <c r="G9" s="101">
        <f>'CAM - SHOPS'!AX25</f>
        <v>269.95785995338633</v>
      </c>
      <c r="H9" s="101">
        <f>'CAM - SHOPS'!BP25</f>
        <v>511.12021484507812</v>
      </c>
      <c r="I9" s="101">
        <f>'CAM - SHOPS'!BY25</f>
        <v>536.31628177406083</v>
      </c>
      <c r="J9" s="101">
        <f>'CAM - SHOPS'!CH25</f>
        <v>1813.0884079916955</v>
      </c>
      <c r="K9" s="101">
        <f>'CAM - SHOPS'!CQ25</f>
        <v>5520.5096846848674</v>
      </c>
      <c r="L9" s="101">
        <f>'CAM - SHOPS'!CZ25</f>
        <v>1542.6163425907789</v>
      </c>
      <c r="M9" s="101">
        <f>'CAM - SHOPS'!DI25</f>
        <v>257.10272376512984</v>
      </c>
      <c r="N9" s="101">
        <f>'CAM - SHOPS'!DR25</f>
        <v>1489.138976047632</v>
      </c>
      <c r="O9" s="101">
        <f>'CAM - SHOPS'!EA25</f>
        <v>4120.8424565075011</v>
      </c>
      <c r="P9" s="101">
        <f>'CAM - SHOPS'!EJ25</f>
        <v>3342.3354089466884</v>
      </c>
      <c r="Q9" s="101">
        <v>0</v>
      </c>
      <c r="R9" s="101">
        <f>'CAM - SHOPS'!FB25</f>
        <v>494.66564052410985</v>
      </c>
      <c r="S9" s="101">
        <f>'CAM - SHOPS'!FK25</f>
        <v>1904.6169776520819</v>
      </c>
      <c r="T9" s="101"/>
      <c r="U9" s="101">
        <f t="shared" ref="U9:U15" si="0">B9-T9</f>
        <v>26254.301739999999</v>
      </c>
      <c r="V9" s="101">
        <f t="shared" ref="V9:V15" si="1">B9-U9</f>
        <v>0</v>
      </c>
      <c r="W9" s="85">
        <f t="shared" ref="W9:W15" si="2">IF(V9=0,0,V9/B9)</f>
        <v>0</v>
      </c>
    </row>
    <row r="10" spans="1:24">
      <c r="A10" s="45" t="str">
        <f>Summ.!B34</f>
        <v>Landscape Sprinkler Repairs</v>
      </c>
      <c r="B10" s="101">
        <f>Summ.!O34</f>
        <v>1000</v>
      </c>
      <c r="C10" s="101">
        <f>'CAM - SHOPS'!N26</f>
        <v>75.854910102236673</v>
      </c>
      <c r="D10" s="101">
        <f>'CAM - SHOPS'!W26</f>
        <v>21.034901484586157</v>
      </c>
      <c r="E10" s="101">
        <f>'CAM - SHOPS'!AF26</f>
        <v>3.9171138705002151</v>
      </c>
      <c r="F10" s="101">
        <f>'CAM - SHOPS'!AO26</f>
        <v>10.14532492459556</v>
      </c>
      <c r="G10" s="101">
        <f>'CAM - SHOPS'!AX26</f>
        <v>10.282423910063066</v>
      </c>
      <c r="H10" s="101">
        <f>'CAM - SHOPS'!BP26</f>
        <v>19.468055936386072</v>
      </c>
      <c r="I10" s="101">
        <f>'CAM - SHOPS'!BY26</f>
        <v>20.427748834658622</v>
      </c>
      <c r="J10" s="101">
        <f>'CAM - SHOPS'!CH26</f>
        <v>69.058717536918792</v>
      </c>
      <c r="K10" s="101">
        <f>'CAM - SHOPS'!CQ26</f>
        <v>210.27067256845154</v>
      </c>
      <c r="L10" s="101">
        <f>'CAM - SHOPS'!CZ26</f>
        <v>58.756708057503232</v>
      </c>
      <c r="M10" s="101">
        <f>'CAM - SHOPS'!DI26</f>
        <v>9.7927846762505393</v>
      </c>
      <c r="N10" s="101">
        <f>'CAM - SHOPS'!DR26</f>
        <v>56.719808844843122</v>
      </c>
      <c r="O10" s="101">
        <f>'CAM - SHOPS'!EA26</f>
        <v>156.95875279094363</v>
      </c>
      <c r="P10" s="101">
        <f>'CAM - SHOPS'!EJ26</f>
        <v>127.30620079125701</v>
      </c>
      <c r="Q10" s="101">
        <v>0</v>
      </c>
      <c r="R10" s="101">
        <f>'CAM - SHOPS'!FB26</f>
        <v>18.841317717106037</v>
      </c>
      <c r="S10" s="101">
        <f>'CAM - SHOPS'!FK26</f>
        <v>72.544948881663984</v>
      </c>
      <c r="T10" s="101"/>
      <c r="U10" s="101">
        <f t="shared" si="0"/>
        <v>1000</v>
      </c>
      <c r="V10" s="101">
        <f t="shared" si="1"/>
        <v>0</v>
      </c>
      <c r="W10" s="85">
        <f t="shared" si="2"/>
        <v>0</v>
      </c>
    </row>
    <row r="11" spans="1:24">
      <c r="A11" s="45" t="str">
        <f>Summ.!B35</f>
        <v>Landscape Maintenance</v>
      </c>
      <c r="B11" s="101">
        <f>Summ.!O35</f>
        <v>96379.104000000007</v>
      </c>
      <c r="C11" s="101">
        <f>'CAM - SHOPS'!N27</f>
        <v>7310.82826965412</v>
      </c>
      <c r="D11" s="101">
        <f>'CAM - SHOPS'!W27</f>
        <v>2027.3249578126838</v>
      </c>
      <c r="E11" s="101">
        <f>'CAM - SHOPS'!AF27</f>
        <v>377.52792510478281</v>
      </c>
      <c r="F11" s="101">
        <f>'CAM - SHOPS'!AO27</f>
        <v>977.79732602138756</v>
      </c>
      <c r="G11" s="101">
        <f>'CAM - SHOPS'!AX27</f>
        <v>991.0108034000549</v>
      </c>
      <c r="H11" s="101">
        <f>'CAM - SHOPS'!BP27</f>
        <v>1876.3137877707707</v>
      </c>
      <c r="I11" s="101">
        <f>'CAM - SHOPS'!BY27</f>
        <v>1968.8081294214423</v>
      </c>
      <c r="J11" s="101">
        <f>'CAM - SHOPS'!CH27</f>
        <v>6655.8173195973204</v>
      </c>
      <c r="K11" s="101">
        <f>'CAM - SHOPS'!CQ27</f>
        <v>20265.699019624743</v>
      </c>
      <c r="L11" s="101">
        <f>'CAM - SHOPS'!CZ27</f>
        <v>5662.9188765717417</v>
      </c>
      <c r="M11" s="101">
        <f>'CAM - SHOPS'!DI27</f>
        <v>943.81981276195711</v>
      </c>
      <c r="N11" s="101">
        <f>'CAM - SHOPS'!DR27</f>
        <v>5466.6043555172555</v>
      </c>
      <c r="O11" s="101">
        <f>'CAM - SHOPS'!EA27</f>
        <v>15127.543958948647</v>
      </c>
      <c r="P11" s="101">
        <f>'CAM - SHOPS'!EJ27</f>
        <v>12269.657565905443</v>
      </c>
      <c r="Q11" s="101">
        <v>0</v>
      </c>
      <c r="R11" s="101">
        <f>'CAM - SHOPS'!FB27</f>
        <v>1815.9093197540055</v>
      </c>
      <c r="S11" s="101">
        <f>'CAM - SHOPS'!FK27</f>
        <v>6991.8171729405776</v>
      </c>
      <c r="T11" s="101"/>
      <c r="U11" s="101">
        <f t="shared" si="0"/>
        <v>96379.104000000007</v>
      </c>
      <c r="V11" s="101">
        <f t="shared" si="1"/>
        <v>0</v>
      </c>
      <c r="W11" s="85">
        <f t="shared" si="2"/>
        <v>0</v>
      </c>
    </row>
    <row r="12" spans="1:24">
      <c r="A12" s="45" t="str">
        <f>Summ.!B36</f>
        <v>Parking Lot Lights Maintenance</v>
      </c>
      <c r="B12" s="101">
        <f>Summ.!O36</f>
        <v>0</v>
      </c>
      <c r="C12" s="101">
        <f>'CAM - SHOPS'!N28</f>
        <v>0</v>
      </c>
      <c r="D12" s="101">
        <f>'CAM - SHOPS'!W28</f>
        <v>0</v>
      </c>
      <c r="E12" s="101">
        <f>'CAM - SHOPS'!AF28</f>
        <v>0</v>
      </c>
      <c r="F12" s="101">
        <f>'CAM - SHOPS'!AO28</f>
        <v>0</v>
      </c>
      <c r="G12" s="101">
        <f>'CAM - SHOPS'!AX28</f>
        <v>0</v>
      </c>
      <c r="H12" s="101">
        <f>'CAM - SHOPS'!BP28</f>
        <v>0</v>
      </c>
      <c r="I12" s="101">
        <f>'CAM - SHOPS'!BY28</f>
        <v>0</v>
      </c>
      <c r="J12" s="101">
        <f>'CAM - SHOPS'!CH28</f>
        <v>0</v>
      </c>
      <c r="K12" s="101">
        <f>'CAM - SHOPS'!CQ28</f>
        <v>0</v>
      </c>
      <c r="L12" s="101">
        <f>'CAM - SHOPS'!CZ28</f>
        <v>0</v>
      </c>
      <c r="M12" s="101">
        <f>'CAM - SHOPS'!DI28</f>
        <v>0</v>
      </c>
      <c r="N12" s="101">
        <f>'CAM - SHOPS'!DR28</f>
        <v>0</v>
      </c>
      <c r="O12" s="101">
        <f>'CAM - SHOPS'!EA28</f>
        <v>0</v>
      </c>
      <c r="P12" s="101">
        <f>'CAM - SHOPS'!EJ28</f>
        <v>0</v>
      </c>
      <c r="Q12" s="101">
        <v>0</v>
      </c>
      <c r="R12" s="101">
        <f>'CAM - SHOPS'!FB28</f>
        <v>0</v>
      </c>
      <c r="S12" s="101">
        <f>'CAM - SHOPS'!FK28</f>
        <v>0</v>
      </c>
      <c r="T12" s="101"/>
      <c r="U12" s="101">
        <f t="shared" si="0"/>
        <v>0</v>
      </c>
      <c r="V12" s="101">
        <f t="shared" si="1"/>
        <v>0</v>
      </c>
      <c r="W12" s="85">
        <f t="shared" si="2"/>
        <v>0</v>
      </c>
    </row>
    <row r="13" spans="1:24">
      <c r="A13" s="45" t="str">
        <f>Summ.!B37</f>
        <v>Parking Lot Maintenance</v>
      </c>
      <c r="B13" s="101">
        <f>Summ.!O37</f>
        <v>2000</v>
      </c>
      <c r="C13" s="101">
        <f>'CAM - SHOPS'!N29</f>
        <v>151.70982020447335</v>
      </c>
      <c r="D13" s="101">
        <f>'CAM - SHOPS'!W29</f>
        <v>42.069802969172315</v>
      </c>
      <c r="E13" s="101">
        <f>'CAM - SHOPS'!AF29</f>
        <v>7.8342277410004302</v>
      </c>
      <c r="F13" s="101">
        <f>'CAM - SHOPS'!AO29</f>
        <v>20.290649849191119</v>
      </c>
      <c r="G13" s="101">
        <f>'CAM - SHOPS'!AX29</f>
        <v>20.564847820126133</v>
      </c>
      <c r="H13" s="101">
        <f>'CAM - SHOPS'!BP29</f>
        <v>38.936111872772145</v>
      </c>
      <c r="I13" s="101">
        <f>'CAM - SHOPS'!BY29</f>
        <v>40.855497669317245</v>
      </c>
      <c r="J13" s="101">
        <f>'CAM - SHOPS'!CH29</f>
        <v>138.11743507383758</v>
      </c>
      <c r="K13" s="101">
        <f>'CAM - SHOPS'!CQ29</f>
        <v>420.54134513690309</v>
      </c>
      <c r="L13" s="101">
        <f>'CAM - SHOPS'!CZ29</f>
        <v>117.51341611500646</v>
      </c>
      <c r="M13" s="101">
        <f>'CAM - SHOPS'!DI29</f>
        <v>19.585569352501079</v>
      </c>
      <c r="N13" s="101">
        <f>'CAM - SHOPS'!DR29</f>
        <v>113.43961768968624</v>
      </c>
      <c r="O13" s="101">
        <f>'CAM - SHOPS'!EA29</f>
        <v>313.91750558188727</v>
      </c>
      <c r="P13" s="101">
        <f>'CAM - SHOPS'!EJ29</f>
        <v>254.61240158251402</v>
      </c>
      <c r="Q13" s="101">
        <v>0</v>
      </c>
      <c r="R13" s="101">
        <f>'CAM - SHOPS'!FB29</f>
        <v>37.682635434212074</v>
      </c>
      <c r="S13" s="101">
        <f>'CAM - SHOPS'!FK29</f>
        <v>145.08989776332797</v>
      </c>
      <c r="T13" s="101"/>
      <c r="U13" s="101">
        <f t="shared" si="0"/>
        <v>2000</v>
      </c>
      <c r="V13" s="101">
        <f t="shared" si="1"/>
        <v>0</v>
      </c>
      <c r="W13" s="85">
        <f t="shared" si="2"/>
        <v>0</v>
      </c>
    </row>
    <row r="14" spans="1:24">
      <c r="A14" s="45" t="str">
        <f>Summ.!B39</f>
        <v>Parking Lot Lights Repair</v>
      </c>
      <c r="B14" s="101">
        <f>Summ.!O39</f>
        <v>6000</v>
      </c>
      <c r="C14" s="101">
        <f>'CAM - SHOPS'!N30</f>
        <v>455.12946061342006</v>
      </c>
      <c r="D14" s="101">
        <f>'CAM - SHOPS'!W30</f>
        <v>126.20940890751694</v>
      </c>
      <c r="E14" s="101">
        <f>'CAM - SHOPS'!AF30</f>
        <v>23.502683223001291</v>
      </c>
      <c r="F14" s="101">
        <f>'CAM - SHOPS'!AO30</f>
        <v>60.871949547573351</v>
      </c>
      <c r="G14" s="101">
        <f>'CAM - SHOPS'!AX30</f>
        <v>61.694543460378391</v>
      </c>
      <c r="H14" s="101">
        <f>'CAM - SHOPS'!BP30</f>
        <v>116.80833561831642</v>
      </c>
      <c r="I14" s="101">
        <f>'CAM - SHOPS'!BY30</f>
        <v>122.56649300795173</v>
      </c>
      <c r="J14" s="101">
        <f>'CAM - SHOPS'!CH30</f>
        <v>414.35230522151278</v>
      </c>
      <c r="K14" s="101">
        <f>'CAM - SHOPS'!CQ30</f>
        <v>1261.6240354107094</v>
      </c>
      <c r="L14" s="101">
        <f>'CAM - SHOPS'!CZ30</f>
        <v>352.54024834501939</v>
      </c>
      <c r="M14" s="101">
        <f>'CAM - SHOPS'!DI30</f>
        <v>58.756708057503232</v>
      </c>
      <c r="N14" s="101">
        <f>'CAM - SHOPS'!DR30</f>
        <v>340.31885306905872</v>
      </c>
      <c r="O14" s="101">
        <f>'CAM - SHOPS'!EA30</f>
        <v>941.75251674566175</v>
      </c>
      <c r="P14" s="101">
        <f>'CAM - SHOPS'!EJ30</f>
        <v>763.83720474754205</v>
      </c>
      <c r="Q14" s="101">
        <v>0</v>
      </c>
      <c r="R14" s="101">
        <f>'CAM - SHOPS'!FB30</f>
        <v>113.04790630263622</v>
      </c>
      <c r="S14" s="101">
        <f>'CAM - SHOPS'!FK30</f>
        <v>435.26969328998393</v>
      </c>
      <c r="T14" s="101"/>
      <c r="U14" s="101">
        <f t="shared" si="0"/>
        <v>6000</v>
      </c>
      <c r="V14" s="101">
        <f t="shared" si="1"/>
        <v>0</v>
      </c>
      <c r="W14" s="85">
        <f t="shared" si="2"/>
        <v>0</v>
      </c>
    </row>
    <row r="15" spans="1:24">
      <c r="A15" s="45" t="str">
        <f>Summ.!B40</f>
        <v>Parking Lot Repairs</v>
      </c>
      <c r="B15" s="101">
        <f>Summ.!O40</f>
        <v>30250</v>
      </c>
      <c r="C15" s="101">
        <f>'CAM - SHOPS'!N31</f>
        <v>0</v>
      </c>
      <c r="D15" s="101">
        <f>'CAM - SHOPS'!W31</f>
        <v>0</v>
      </c>
      <c r="E15" s="101">
        <f>'CAM - SHOPS'!AF31</f>
        <v>0</v>
      </c>
      <c r="F15" s="101">
        <f>'CAM - SHOPS'!AO31</f>
        <v>0</v>
      </c>
      <c r="G15" s="101">
        <f>'CAM - SHOPS'!AX31</f>
        <v>0</v>
      </c>
      <c r="H15" s="101">
        <f>'CAM - SHOPS'!BP31</f>
        <v>0</v>
      </c>
      <c r="I15" s="101">
        <f>'CAM - SHOPS'!BY31</f>
        <v>0</v>
      </c>
      <c r="J15" s="101">
        <f>'CAM - SHOPS'!CH31</f>
        <v>0</v>
      </c>
      <c r="K15" s="101">
        <f>'CAM - SHOPS'!CQ31</f>
        <v>0</v>
      </c>
      <c r="L15" s="101">
        <f>'CAM - SHOPS'!CZ31</f>
        <v>0</v>
      </c>
      <c r="M15" s="101">
        <f>'CAM - SHOPS'!DI31</f>
        <v>0</v>
      </c>
      <c r="N15" s="101">
        <f>'CAM - SHOPS'!DR31</f>
        <v>0</v>
      </c>
      <c r="O15" s="101">
        <f>'CAM - SHOPS'!EA31</f>
        <v>0</v>
      </c>
      <c r="P15" s="101">
        <f>'CAM - SHOPS'!EJ31</f>
        <v>0</v>
      </c>
      <c r="Q15" s="101">
        <v>0</v>
      </c>
      <c r="R15" s="101">
        <f>'CAM - SHOPS'!FB31</f>
        <v>0</v>
      </c>
      <c r="S15" s="101">
        <f>'CAM - SHOPS'!FK31</f>
        <v>0</v>
      </c>
      <c r="T15" s="101"/>
      <c r="U15" s="101">
        <f t="shared" si="0"/>
        <v>30250</v>
      </c>
      <c r="V15" s="101">
        <f t="shared" si="1"/>
        <v>0</v>
      </c>
      <c r="W15" s="85">
        <f t="shared" si="2"/>
        <v>0</v>
      </c>
    </row>
    <row r="16" spans="1:24">
      <c r="A16" s="45" t="str">
        <f>Summ.!B41</f>
        <v>Fountain Maintenance</v>
      </c>
      <c r="B16" s="101">
        <f>Summ.!O41</f>
        <v>0</v>
      </c>
      <c r="C16" s="101">
        <f>'CAM - SHOPS'!N32</f>
        <v>0</v>
      </c>
      <c r="D16" s="101">
        <f>'CAM - SHOPS'!W32</f>
        <v>0</v>
      </c>
      <c r="E16" s="101">
        <f>'CAM - SHOPS'!AF32</f>
        <v>0</v>
      </c>
      <c r="F16" s="101">
        <f>'CAM - SHOPS'!AO32</f>
        <v>0</v>
      </c>
      <c r="G16" s="101">
        <f>'CAM - SHOPS'!AX32</f>
        <v>0</v>
      </c>
      <c r="H16" s="101">
        <f>'CAM - SHOPS'!BP32</f>
        <v>0</v>
      </c>
      <c r="I16" s="101">
        <f>'CAM - SHOPS'!BY32</f>
        <v>0</v>
      </c>
      <c r="J16" s="101">
        <f>'CAM - SHOPS'!CH32</f>
        <v>0</v>
      </c>
      <c r="K16" s="101">
        <f>'CAM - SHOPS'!CQ32</f>
        <v>0</v>
      </c>
      <c r="L16" s="101">
        <f>'CAM - SHOPS'!CZ32</f>
        <v>0</v>
      </c>
      <c r="M16" s="101">
        <f>'CAM - SHOPS'!DI32</f>
        <v>0</v>
      </c>
      <c r="N16" s="101">
        <f>'CAM - SHOPS'!DR32</f>
        <v>0</v>
      </c>
      <c r="O16" s="101">
        <f>'CAM - SHOPS'!EA32</f>
        <v>0</v>
      </c>
      <c r="P16" s="101">
        <f>'CAM - SHOPS'!EJ32</f>
        <v>0</v>
      </c>
      <c r="Q16" s="101"/>
      <c r="R16" s="101">
        <f>'CAM - SHOPS'!FB32</f>
        <v>0</v>
      </c>
      <c r="S16" s="101">
        <f>'CAM - SHOPS'!FK32</f>
        <v>0</v>
      </c>
      <c r="T16" s="101"/>
      <c r="U16" s="101"/>
      <c r="V16" s="101"/>
      <c r="W16" s="85"/>
    </row>
    <row r="17" spans="1:23">
      <c r="A17" s="45" t="str">
        <f>Summ.!B42</f>
        <v>Fountain Repair</v>
      </c>
      <c r="B17" s="101">
        <f>Summ.!O42</f>
        <v>0</v>
      </c>
      <c r="C17" s="101">
        <f>'CAM - SHOPS'!N33</f>
        <v>0</v>
      </c>
      <c r="D17" s="101">
        <f>'CAM - SHOPS'!W33</f>
        <v>0</v>
      </c>
      <c r="E17" s="101">
        <f>'CAM - SHOPS'!AF33</f>
        <v>0</v>
      </c>
      <c r="F17" s="101">
        <f>'CAM - SHOPS'!AO33</f>
        <v>0</v>
      </c>
      <c r="G17" s="101">
        <f>'CAM - SHOPS'!AX33</f>
        <v>0</v>
      </c>
      <c r="H17" s="101">
        <f>'CAM - SHOPS'!BP33</f>
        <v>0</v>
      </c>
      <c r="I17" s="101">
        <f>'CAM - SHOPS'!BY33</f>
        <v>0</v>
      </c>
      <c r="J17" s="101">
        <f>'CAM - SHOPS'!CH33</f>
        <v>0</v>
      </c>
      <c r="K17" s="101">
        <f>'CAM - SHOPS'!CQ33</f>
        <v>0</v>
      </c>
      <c r="L17" s="101">
        <f>'CAM - SHOPS'!CZ33</f>
        <v>0</v>
      </c>
      <c r="M17" s="101">
        <f>'CAM - SHOPS'!DI33</f>
        <v>0</v>
      </c>
      <c r="N17" s="101">
        <f>'CAM - SHOPS'!DR33</f>
        <v>0</v>
      </c>
      <c r="O17" s="101">
        <f>'CAM - SHOPS'!EA33</f>
        <v>0</v>
      </c>
      <c r="P17" s="101">
        <f>'CAM - SHOPS'!EJ33</f>
        <v>0</v>
      </c>
      <c r="Q17" s="101"/>
      <c r="R17" s="101">
        <f>'CAM - SHOPS'!FB33</f>
        <v>0</v>
      </c>
      <c r="S17" s="101">
        <f>'CAM - SHOPS'!FK33</f>
        <v>0</v>
      </c>
      <c r="T17" s="101"/>
      <c r="U17" s="101"/>
      <c r="V17" s="101"/>
      <c r="W17" s="85"/>
    </row>
    <row r="18" spans="1:23">
      <c r="A18" s="45" t="str">
        <f>Summ.!B43</f>
        <v>Sign Maintenance</v>
      </c>
      <c r="B18" s="101">
        <f>Summ.!O41</f>
        <v>0</v>
      </c>
      <c r="C18" s="101">
        <f>'CAM - SHOPS'!N34</f>
        <v>0</v>
      </c>
      <c r="D18" s="101">
        <f>'CAM - SHOPS'!W34</f>
        <v>0</v>
      </c>
      <c r="E18" s="101">
        <f>'CAM - SHOPS'!AF34</f>
        <v>0</v>
      </c>
      <c r="F18" s="101">
        <f>'CAM - SHOPS'!AO34</f>
        <v>0</v>
      </c>
      <c r="G18" s="101">
        <f>'CAM - SHOPS'!AX34</f>
        <v>0</v>
      </c>
      <c r="H18" s="101">
        <f>'CAM - SHOPS'!BP34</f>
        <v>0</v>
      </c>
      <c r="I18" s="101">
        <f>'CAM - SHOPS'!BY34</f>
        <v>0</v>
      </c>
      <c r="J18" s="101">
        <f>'CAM - SHOPS'!CH34</f>
        <v>0</v>
      </c>
      <c r="K18" s="101">
        <f>'CAM - SHOPS'!CQ34</f>
        <v>0</v>
      </c>
      <c r="L18" s="101">
        <f>'CAM - SHOPS'!CZ34</f>
        <v>0</v>
      </c>
      <c r="M18" s="101">
        <f>'CAM - SHOPS'!DI34</f>
        <v>0</v>
      </c>
      <c r="N18" s="101">
        <f>'CAM - SHOPS'!DR34</f>
        <v>0</v>
      </c>
      <c r="O18" s="101">
        <f>'CAM - SHOPS'!EA34</f>
        <v>0</v>
      </c>
      <c r="P18" s="101">
        <f>'CAM - SHOPS'!EJ34</f>
        <v>0</v>
      </c>
      <c r="Q18" s="101">
        <v>0</v>
      </c>
      <c r="R18" s="101">
        <f>'CAM - SHOPS'!FB34</f>
        <v>0</v>
      </c>
      <c r="S18" s="101">
        <f>'CAM - SHOPS'!FK34</f>
        <v>0</v>
      </c>
      <c r="T18" s="101"/>
      <c r="U18" s="101">
        <f t="shared" ref="U18:U52" si="3">B18-T18</f>
        <v>0</v>
      </c>
      <c r="V18" s="101">
        <f t="shared" ref="V18:V52" si="4">B18-U18</f>
        <v>0</v>
      </c>
      <c r="W18" s="85">
        <f t="shared" ref="W18:W52" si="5">IF(V18=0,0,V18/B18)</f>
        <v>0</v>
      </c>
    </row>
    <row r="19" spans="1:23">
      <c r="A19" s="45" t="str">
        <f>Summ.!B44</f>
        <v>Sign Repairs</v>
      </c>
      <c r="B19" s="101">
        <f>Summ.!O44</f>
        <v>800</v>
      </c>
      <c r="C19" s="101">
        <f>'CAM - SHOPS'!N35</f>
        <v>0</v>
      </c>
      <c r="D19" s="101">
        <f>'CAM - SHOPS'!W35</f>
        <v>0</v>
      </c>
      <c r="E19" s="101">
        <f>'CAM - SHOPS'!AF35</f>
        <v>0</v>
      </c>
      <c r="F19" s="101">
        <f>'CAM - SHOPS'!AO35</f>
        <v>0</v>
      </c>
      <c r="G19" s="101">
        <f>'CAM - SHOPS'!AX35</f>
        <v>0</v>
      </c>
      <c r="H19" s="101">
        <f>'CAM - SHOPS'!BP35</f>
        <v>0</v>
      </c>
      <c r="I19" s="101">
        <f>'CAM - SHOPS'!BY35</f>
        <v>0</v>
      </c>
      <c r="J19" s="101">
        <f>'CAM - SHOPS'!CH35</f>
        <v>0</v>
      </c>
      <c r="K19" s="101">
        <f>'CAM - SHOPS'!CQ35</f>
        <v>0</v>
      </c>
      <c r="L19" s="101">
        <f>'CAM - SHOPS'!CZ35</f>
        <v>0</v>
      </c>
      <c r="M19" s="101">
        <f>'CAM - SHOPS'!DI35</f>
        <v>0</v>
      </c>
      <c r="N19" s="101">
        <f>'CAM - SHOPS'!DR35</f>
        <v>0</v>
      </c>
      <c r="O19" s="101">
        <f>'CAM - SHOPS'!EA35</f>
        <v>0</v>
      </c>
      <c r="P19" s="101">
        <f>'CAM - SHOPS'!EJ35</f>
        <v>0</v>
      </c>
      <c r="Q19" s="101">
        <v>0</v>
      </c>
      <c r="R19" s="101">
        <f>'CAM - SHOPS'!FB35</f>
        <v>0</v>
      </c>
      <c r="S19" s="101">
        <f>'CAM - SHOPS'!FK35</f>
        <v>0</v>
      </c>
      <c r="T19" s="101"/>
      <c r="U19" s="101">
        <f t="shared" si="3"/>
        <v>800</v>
      </c>
      <c r="V19" s="101">
        <f t="shared" si="4"/>
        <v>0</v>
      </c>
      <c r="W19" s="85">
        <f t="shared" si="5"/>
        <v>0</v>
      </c>
    </row>
    <row r="20" spans="1:23">
      <c r="A20" s="45" t="str">
        <f>Summ.!B45</f>
        <v>Awning Maintenance</v>
      </c>
      <c r="B20" s="101">
        <f>Summ.!O43</f>
        <v>0</v>
      </c>
      <c r="C20" s="101">
        <f>'CAM - SHOPS'!N36</f>
        <v>0</v>
      </c>
      <c r="D20" s="101">
        <f>'CAM - SHOPS'!W36</f>
        <v>0</v>
      </c>
      <c r="E20" s="101">
        <f>'CAM - SHOPS'!AF36</f>
        <v>0</v>
      </c>
      <c r="F20" s="101">
        <f>'CAM - SHOPS'!AO36</f>
        <v>0</v>
      </c>
      <c r="G20" s="101">
        <f>'CAM - SHOPS'!AX36</f>
        <v>0</v>
      </c>
      <c r="H20" s="101">
        <f>'CAM - SHOPS'!BP36</f>
        <v>0</v>
      </c>
      <c r="I20" s="101">
        <f>'CAM - SHOPS'!BY36</f>
        <v>0</v>
      </c>
      <c r="J20" s="101">
        <f>'CAM - SHOPS'!CH36</f>
        <v>0</v>
      </c>
      <c r="K20" s="101">
        <f>'CAM - SHOPS'!CQ36</f>
        <v>0</v>
      </c>
      <c r="L20" s="101">
        <f>'CAM - SHOPS'!CZ36</f>
        <v>0</v>
      </c>
      <c r="M20" s="101">
        <f>'CAM - SHOPS'!DI36</f>
        <v>0</v>
      </c>
      <c r="N20" s="101">
        <f>'CAM - SHOPS'!DR36</f>
        <v>0</v>
      </c>
      <c r="O20" s="101">
        <f>'CAM - SHOPS'!EA36</f>
        <v>0</v>
      </c>
      <c r="P20" s="101">
        <f>'CAM - SHOPS'!EJ36</f>
        <v>0</v>
      </c>
      <c r="Q20" s="101">
        <v>0</v>
      </c>
      <c r="R20" s="101">
        <f>'CAM - SHOPS'!FB36</f>
        <v>0</v>
      </c>
      <c r="S20" s="101">
        <f>'CAM - SHOPS'!FK36</f>
        <v>0</v>
      </c>
      <c r="T20" s="101"/>
      <c r="U20" s="101">
        <f t="shared" si="3"/>
        <v>0</v>
      </c>
      <c r="V20" s="101">
        <f t="shared" si="4"/>
        <v>0</v>
      </c>
      <c r="W20" s="85">
        <f t="shared" si="5"/>
        <v>0</v>
      </c>
    </row>
    <row r="21" spans="1:23">
      <c r="A21" s="45" t="str">
        <f>Summ.!B46</f>
        <v>General Maintenance Site</v>
      </c>
      <c r="B21" s="101">
        <f>Summ.!O46</f>
        <v>15600</v>
      </c>
      <c r="C21" s="101">
        <f>'CAM - SHOPS'!N37</f>
        <v>1183.3365975948921</v>
      </c>
      <c r="D21" s="101">
        <f>'CAM - SHOPS'!W37</f>
        <v>328.14446315954405</v>
      </c>
      <c r="E21" s="101">
        <f>'CAM - SHOPS'!AF37</f>
        <v>61.106976379803356</v>
      </c>
      <c r="F21" s="101">
        <f>'CAM - SHOPS'!AO37</f>
        <v>158.26706882369072</v>
      </c>
      <c r="G21" s="101">
        <f>'CAM - SHOPS'!AX37</f>
        <v>160.40581299698383</v>
      </c>
      <c r="H21" s="101">
        <f>'CAM - SHOPS'!BP37</f>
        <v>303.7016726076227</v>
      </c>
      <c r="I21" s="101">
        <f>'CAM - SHOPS'!BY37</f>
        <v>318.67288182067449</v>
      </c>
      <c r="J21" s="101">
        <f>'CAM - SHOPS'!CH37</f>
        <v>1077.3159935759331</v>
      </c>
      <c r="K21" s="101">
        <f>'CAM - SHOPS'!CQ37</f>
        <v>3280.2224920678441</v>
      </c>
      <c r="L21" s="101">
        <f>'CAM - SHOPS'!CZ37</f>
        <v>916.60464569705039</v>
      </c>
      <c r="M21" s="101">
        <f>'CAM - SHOPS'!DI37</f>
        <v>152.7674409495084</v>
      </c>
      <c r="N21" s="101">
        <f>'CAM - SHOPS'!DR37</f>
        <v>884.82901797955276</v>
      </c>
      <c r="O21" s="101">
        <f>'CAM - SHOPS'!EA37</f>
        <v>2448.5565435387207</v>
      </c>
      <c r="P21" s="101">
        <f>'CAM - SHOPS'!EJ37</f>
        <v>1985.9767323436095</v>
      </c>
      <c r="Q21" s="101">
        <v>0</v>
      </c>
      <c r="R21" s="101">
        <f>'CAM - SHOPS'!FB37</f>
        <v>293.92455638685419</v>
      </c>
      <c r="S21" s="101">
        <f>'CAM - SHOPS'!FK37</f>
        <v>1131.7012025539582</v>
      </c>
      <c r="T21" s="101"/>
      <c r="U21" s="101">
        <f t="shared" si="3"/>
        <v>15600</v>
      </c>
      <c r="V21" s="101">
        <f t="shared" si="4"/>
        <v>0</v>
      </c>
      <c r="W21" s="85">
        <f t="shared" si="5"/>
        <v>0</v>
      </c>
    </row>
    <row r="22" spans="1:23">
      <c r="A22" s="45" t="str">
        <f>Summ.!B47</f>
        <v>Site Furnishing-Repairs</v>
      </c>
      <c r="B22" s="101">
        <f>Summ.!O45</f>
        <v>0</v>
      </c>
      <c r="C22" s="101">
        <f>'CAM - SHOPS'!N38</f>
        <v>0</v>
      </c>
      <c r="D22" s="101">
        <f>'CAM - SHOPS'!W38</f>
        <v>0</v>
      </c>
      <c r="E22" s="101">
        <f>'CAM - SHOPS'!AF38</f>
        <v>0</v>
      </c>
      <c r="F22" s="101">
        <f>'CAM - SHOPS'!AO38</f>
        <v>0</v>
      </c>
      <c r="G22" s="101">
        <f>'CAM - SHOPS'!AX38</f>
        <v>0</v>
      </c>
      <c r="H22" s="101">
        <f>'CAM - SHOPS'!BP38</f>
        <v>0</v>
      </c>
      <c r="I22" s="101">
        <f>'CAM - SHOPS'!BY38</f>
        <v>0</v>
      </c>
      <c r="J22" s="101">
        <f>'CAM - SHOPS'!CH38</f>
        <v>0</v>
      </c>
      <c r="K22" s="101">
        <f>'CAM - SHOPS'!CQ38</f>
        <v>0</v>
      </c>
      <c r="L22" s="101">
        <f>'CAM - SHOPS'!CZ38</f>
        <v>0</v>
      </c>
      <c r="M22" s="101">
        <f>'CAM - SHOPS'!DI38</f>
        <v>0</v>
      </c>
      <c r="N22" s="101">
        <f>'CAM - SHOPS'!DR38</f>
        <v>0</v>
      </c>
      <c r="O22" s="101">
        <f>'CAM - SHOPS'!EA38</f>
        <v>0</v>
      </c>
      <c r="P22" s="101">
        <f>'CAM - SHOPS'!EJ38</f>
        <v>0</v>
      </c>
      <c r="Q22" s="101">
        <v>0</v>
      </c>
      <c r="R22" s="101">
        <f>'CAM - SHOPS'!FB38</f>
        <v>0</v>
      </c>
      <c r="S22" s="101">
        <f>'CAM - SHOPS'!FK38</f>
        <v>0</v>
      </c>
      <c r="T22" s="101"/>
      <c r="U22" s="101">
        <f t="shared" si="3"/>
        <v>0</v>
      </c>
      <c r="V22" s="101">
        <f t="shared" si="4"/>
        <v>0</v>
      </c>
      <c r="W22" s="85">
        <f t="shared" si="5"/>
        <v>0</v>
      </c>
    </row>
    <row r="23" spans="1:23">
      <c r="A23" s="45" t="str">
        <f>Summ.!B48</f>
        <v>Misc. Maintenance &amp; Repairs</v>
      </c>
      <c r="B23" s="101">
        <f>Summ.!O48</f>
        <v>0</v>
      </c>
      <c r="C23" s="101">
        <f>'CAM - SHOPS'!N39</f>
        <v>0</v>
      </c>
      <c r="D23" s="101">
        <f>'CAM - SHOPS'!W39</f>
        <v>0</v>
      </c>
      <c r="E23" s="101">
        <f>'CAM - SHOPS'!AF39</f>
        <v>0</v>
      </c>
      <c r="F23" s="101">
        <f>'CAM - SHOPS'!AO39</f>
        <v>0</v>
      </c>
      <c r="G23" s="101">
        <f>'CAM - SHOPS'!AX39</f>
        <v>0</v>
      </c>
      <c r="H23" s="101">
        <f>'CAM - SHOPS'!BP39</f>
        <v>0</v>
      </c>
      <c r="I23" s="101">
        <f>'CAM - SHOPS'!BY39</f>
        <v>0</v>
      </c>
      <c r="J23" s="101">
        <f>'CAM - SHOPS'!CH39</f>
        <v>0</v>
      </c>
      <c r="K23" s="101">
        <f>'CAM - SHOPS'!CQ39</f>
        <v>0</v>
      </c>
      <c r="L23" s="101">
        <f>'CAM - SHOPS'!CZ39</f>
        <v>0</v>
      </c>
      <c r="M23" s="101">
        <f>'CAM - SHOPS'!DI39</f>
        <v>0</v>
      </c>
      <c r="N23" s="101">
        <f>'CAM - SHOPS'!DR39</f>
        <v>0</v>
      </c>
      <c r="O23" s="101">
        <f>'CAM - SHOPS'!EA39</f>
        <v>0</v>
      </c>
      <c r="P23" s="101">
        <f>'CAM - SHOPS'!EJ39</f>
        <v>0</v>
      </c>
      <c r="Q23" s="101">
        <v>0</v>
      </c>
      <c r="R23" s="101">
        <f>'CAM - SHOPS'!FB39</f>
        <v>0</v>
      </c>
      <c r="S23" s="101">
        <f>'CAM - SHOPS'!FK39</f>
        <v>0</v>
      </c>
      <c r="T23" s="101"/>
      <c r="U23" s="101">
        <f t="shared" si="3"/>
        <v>0</v>
      </c>
      <c r="V23" s="101">
        <f t="shared" si="4"/>
        <v>0</v>
      </c>
      <c r="W23" s="85">
        <f t="shared" si="5"/>
        <v>0</v>
      </c>
    </row>
    <row r="24" spans="1:23">
      <c r="A24" s="45" t="str">
        <f>Summ.!B49</f>
        <v>Janitorial/Day porter</v>
      </c>
      <c r="B24" s="101">
        <f>Summ.!O49</f>
        <v>134385.58320000005</v>
      </c>
      <c r="C24" s="101">
        <f>'CAM - SHOPS'!N40</f>
        <v>12963.917598226566</v>
      </c>
      <c r="D24" s="101">
        <f>'CAM - SHOPS'!W40</f>
        <v>3594.9515880442377</v>
      </c>
      <c r="E24" s="101">
        <f>'CAM - SHOPS'!AF40</f>
        <v>669.45094749427142</v>
      </c>
      <c r="F24" s="101">
        <f>'CAM - SHOPS'!AO40</f>
        <v>1733.877954010163</v>
      </c>
      <c r="G24" s="101">
        <f>'CAM - SHOPS'!AX40</f>
        <v>1757.3087371724625</v>
      </c>
      <c r="H24" s="101">
        <f>'CAM - SHOPS'!BP40</f>
        <v>3327.1712090465289</v>
      </c>
      <c r="I24" s="101">
        <f>'CAM - SHOPS'!BY40</f>
        <v>3491.1866911826255</v>
      </c>
      <c r="J24" s="101">
        <f>'CAM - SHOPS'!CH40</f>
        <v>11802.420204324006</v>
      </c>
      <c r="K24" s="101">
        <f>'CAM - SHOPS'!CQ40</f>
        <v>35936.126861492492</v>
      </c>
      <c r="L24" s="101">
        <f>'CAM - SHOPS'!CZ40</f>
        <v>10041.764212414071</v>
      </c>
      <c r="M24" s="101">
        <f>'CAM - SHOPS'!DI40</f>
        <v>1673.6273687356786</v>
      </c>
      <c r="N24" s="101">
        <f>'CAM - SHOPS'!DR40</f>
        <v>0</v>
      </c>
      <c r="O24" s="101">
        <f>'CAM - SHOPS'!EA40</f>
        <v>0</v>
      </c>
      <c r="P24" s="101">
        <f>'CAM - SHOPS'!EJ40</f>
        <v>0</v>
      </c>
      <c r="Q24" s="101">
        <v>0</v>
      </c>
      <c r="R24" s="101">
        <f>'CAM - SHOPS'!FB40</f>
        <v>3220.0590574474459</v>
      </c>
      <c r="S24" s="101">
        <f>'CAM - SHOPS'!FK40</f>
        <v>12398.231547593907</v>
      </c>
      <c r="T24" s="101"/>
      <c r="U24" s="101">
        <f t="shared" si="3"/>
        <v>134385.58320000005</v>
      </c>
      <c r="V24" s="101">
        <f t="shared" si="4"/>
        <v>0</v>
      </c>
      <c r="W24" s="85">
        <f t="shared" si="5"/>
        <v>0</v>
      </c>
    </row>
    <row r="25" spans="1:23">
      <c r="A25" s="45" t="str">
        <f>Summ.!B50</f>
        <v>Window Washing Maint.</v>
      </c>
      <c r="B25" s="101">
        <f>Summ.!O50</f>
        <v>0</v>
      </c>
      <c r="C25" s="101">
        <f>'CAM - SHOPS'!N41</f>
        <v>0</v>
      </c>
      <c r="D25" s="101">
        <f>'CAM - SHOPS'!W41</f>
        <v>0</v>
      </c>
      <c r="E25" s="101">
        <f>'CAM - SHOPS'!AF41</f>
        <v>0</v>
      </c>
      <c r="F25" s="101">
        <f>'CAM - SHOPS'!AO41</f>
        <v>0</v>
      </c>
      <c r="G25" s="101">
        <f>'CAM - SHOPS'!AX41</f>
        <v>0</v>
      </c>
      <c r="H25" s="101">
        <f>'CAM - SHOPS'!BP41</f>
        <v>0</v>
      </c>
      <c r="I25" s="101">
        <f>'CAM - SHOPS'!BY41</f>
        <v>0</v>
      </c>
      <c r="J25" s="101">
        <f>'CAM - SHOPS'!CH41</f>
        <v>0</v>
      </c>
      <c r="K25" s="101">
        <f>'CAM - SHOPS'!CQ41</f>
        <v>0</v>
      </c>
      <c r="L25" s="101">
        <f>'CAM - SHOPS'!CZ41</f>
        <v>0</v>
      </c>
      <c r="M25" s="101">
        <f>'CAM - SHOPS'!DI41</f>
        <v>0</v>
      </c>
      <c r="N25" s="101">
        <f>'CAM - SHOPS'!DR41</f>
        <v>0</v>
      </c>
      <c r="O25" s="101">
        <f>'CAM - SHOPS'!EA41</f>
        <v>0</v>
      </c>
      <c r="P25" s="101">
        <f>'CAM - SHOPS'!EJ41</f>
        <v>0</v>
      </c>
      <c r="Q25" s="101">
        <v>0</v>
      </c>
      <c r="R25" s="101">
        <f>'CAM - SHOPS'!FB41</f>
        <v>0</v>
      </c>
      <c r="S25" s="101">
        <f>'CAM - SHOPS'!FK41</f>
        <v>0</v>
      </c>
      <c r="T25" s="101"/>
      <c r="U25" s="101">
        <f t="shared" si="3"/>
        <v>0</v>
      </c>
      <c r="V25" s="101">
        <f t="shared" si="4"/>
        <v>0</v>
      </c>
      <c r="W25" s="85">
        <f t="shared" si="5"/>
        <v>0</v>
      </c>
    </row>
    <row r="26" spans="1:23">
      <c r="A26" s="45" t="str">
        <f>Summ.!B51</f>
        <v>Pest Control Maintenance</v>
      </c>
      <c r="B26" s="101">
        <f>Summ.!O51</f>
        <v>11540</v>
      </c>
      <c r="C26" s="101">
        <f>'CAM - SHOPS'!N42</f>
        <v>1113.2415064262229</v>
      </c>
      <c r="D26" s="101">
        <f>'CAM - SHOPS'!W42</f>
        <v>308.70678489588522</v>
      </c>
      <c r="E26" s="101">
        <f>'CAM - SHOPS'!AF42</f>
        <v>57.487297001095939</v>
      </c>
      <c r="F26" s="101">
        <f>'CAM - SHOPS'!AO42</f>
        <v>148.89209923283849</v>
      </c>
      <c r="G26" s="101">
        <f>'CAM - SHOPS'!AX42</f>
        <v>150.90415462787686</v>
      </c>
      <c r="H26" s="101">
        <f>'CAM - SHOPS'!BP42</f>
        <v>285.71186609544685</v>
      </c>
      <c r="I26" s="101">
        <f>'CAM - SHOPS'!BY42</f>
        <v>299.79625386071535</v>
      </c>
      <c r="J26" s="101">
        <f>'CAM - SHOPS'!CH42</f>
        <v>1013.5010461293215</v>
      </c>
      <c r="K26" s="101">
        <f>'CAM - SHOPS'!CQ42</f>
        <v>3085.9181030188302</v>
      </c>
      <c r="L26" s="101">
        <f>'CAM - SHOPS'!CZ42</f>
        <v>862.30945501643919</v>
      </c>
      <c r="M26" s="101">
        <f>'CAM - SHOPS'!DI42</f>
        <v>143.71824250273986</v>
      </c>
      <c r="N26" s="101">
        <f>'CAM - SHOPS'!DR42</f>
        <v>0</v>
      </c>
      <c r="O26" s="101">
        <f>'CAM - SHOPS'!EA42</f>
        <v>0</v>
      </c>
      <c r="P26" s="101">
        <f>'CAM - SHOPS'!EJ42</f>
        <v>0</v>
      </c>
      <c r="Q26" s="101">
        <v>0</v>
      </c>
      <c r="R26" s="101">
        <f>'CAM - SHOPS'!FB42</f>
        <v>276.51389857527153</v>
      </c>
      <c r="S26" s="101">
        <f>'CAM - SHOPS'!FK42</f>
        <v>1064.6647404602968</v>
      </c>
      <c r="T26" s="101"/>
      <c r="U26" s="101">
        <f t="shared" si="3"/>
        <v>11540</v>
      </c>
      <c r="V26" s="101">
        <f t="shared" si="4"/>
        <v>0</v>
      </c>
      <c r="W26" s="85">
        <f t="shared" si="5"/>
        <v>0</v>
      </c>
    </row>
    <row r="27" spans="1:23">
      <c r="A27" s="45" t="str">
        <f>Summ.!B52</f>
        <v>Advertising/Promo</v>
      </c>
      <c r="B27" s="101">
        <f>Summ.!O52</f>
        <v>0</v>
      </c>
      <c r="C27" s="101">
        <f>'CAM - SHOPS'!N43</f>
        <v>0</v>
      </c>
      <c r="D27" s="101">
        <f>'CAM - SHOPS'!W43</f>
        <v>0</v>
      </c>
      <c r="E27" s="101">
        <f>'CAM - SHOPS'!AF43</f>
        <v>0</v>
      </c>
      <c r="F27" s="101">
        <f>'CAM - SHOPS'!AO43</f>
        <v>0</v>
      </c>
      <c r="G27" s="101">
        <f>'CAM - SHOPS'!AX43</f>
        <v>0</v>
      </c>
      <c r="H27" s="101">
        <f>'CAM - SHOPS'!BP43</f>
        <v>0</v>
      </c>
      <c r="I27" s="101">
        <f>'CAM - SHOPS'!BY43</f>
        <v>0</v>
      </c>
      <c r="J27" s="101">
        <f>'CAM - SHOPS'!CH43</f>
        <v>0</v>
      </c>
      <c r="K27" s="101">
        <f>'CAM - SHOPS'!CQ43</f>
        <v>0</v>
      </c>
      <c r="L27" s="101">
        <f>'CAM - SHOPS'!CZ43</f>
        <v>0</v>
      </c>
      <c r="M27" s="101">
        <f>'CAM - SHOPS'!DI43</f>
        <v>0</v>
      </c>
      <c r="N27" s="101">
        <f>'CAM - SHOPS'!DR43</f>
        <v>0</v>
      </c>
      <c r="O27" s="101">
        <f>'CAM - SHOPS'!EA43</f>
        <v>0</v>
      </c>
      <c r="P27" s="101">
        <f>'CAM - SHOPS'!EJ43</f>
        <v>0</v>
      </c>
      <c r="R27" s="101">
        <f>'CAM - SHOPS'!FB43</f>
        <v>0</v>
      </c>
      <c r="S27" s="101">
        <f>'CAM - SHOPS'!FK43</f>
        <v>0</v>
      </c>
      <c r="T27" s="101"/>
      <c r="U27" s="101">
        <f t="shared" si="3"/>
        <v>0</v>
      </c>
      <c r="V27" s="101">
        <f t="shared" si="4"/>
        <v>0</v>
      </c>
      <c r="W27" s="85">
        <f t="shared" si="5"/>
        <v>0</v>
      </c>
    </row>
    <row r="28" spans="1:23">
      <c r="A28" s="45" t="str">
        <f>Summ.!B53</f>
        <v>Music System Maintenance</v>
      </c>
      <c r="B28" s="101">
        <f>Summ.!O53</f>
        <v>0</v>
      </c>
      <c r="C28" s="101">
        <f>'CAM - SHOPS'!N44</f>
        <v>0</v>
      </c>
      <c r="D28" s="101">
        <f>'CAM - SHOPS'!W44</f>
        <v>0</v>
      </c>
      <c r="E28" s="101">
        <f>'CAM - SHOPS'!AF44</f>
        <v>0</v>
      </c>
      <c r="F28" s="101">
        <f>'CAM - SHOPS'!AO44</f>
        <v>0</v>
      </c>
      <c r="G28" s="101">
        <f>'CAM - SHOPS'!AX44</f>
        <v>0</v>
      </c>
      <c r="H28" s="101">
        <f>'CAM - SHOPS'!BP44</f>
        <v>0</v>
      </c>
      <c r="I28" s="101">
        <f>'CAM - SHOPS'!BY44</f>
        <v>0</v>
      </c>
      <c r="J28" s="101">
        <f>'CAM - SHOPS'!CH44</f>
        <v>0</v>
      </c>
      <c r="K28" s="101">
        <f>'CAM - SHOPS'!CQ44</f>
        <v>0</v>
      </c>
      <c r="L28" s="101">
        <f>'CAM - SHOPS'!CZ44</f>
        <v>0</v>
      </c>
      <c r="M28" s="101">
        <f>'CAM - SHOPS'!DI44</f>
        <v>0</v>
      </c>
      <c r="N28" s="101">
        <f>'CAM - SHOPS'!DR44</f>
        <v>0</v>
      </c>
      <c r="O28" s="101">
        <f>'CAM - SHOPS'!EA44</f>
        <v>0</v>
      </c>
      <c r="P28" s="101">
        <f>'CAM - SHOPS'!EJ44</f>
        <v>0</v>
      </c>
      <c r="R28" s="101">
        <f>'CAM - SHOPS'!FB44</f>
        <v>0</v>
      </c>
      <c r="S28" s="101">
        <f>'CAM - SHOPS'!FK44</f>
        <v>0</v>
      </c>
      <c r="T28" s="101"/>
      <c r="U28" s="101">
        <f t="shared" si="3"/>
        <v>0</v>
      </c>
      <c r="V28" s="101">
        <f t="shared" si="4"/>
        <v>0</v>
      </c>
      <c r="W28" s="85">
        <f t="shared" si="5"/>
        <v>0</v>
      </c>
    </row>
    <row r="29" spans="1:23">
      <c r="A29" s="45" t="str">
        <f>Summ.!B54</f>
        <v>Music System Repairs</v>
      </c>
      <c r="B29" s="101">
        <f>Summ.!O54</f>
        <v>0</v>
      </c>
      <c r="C29" s="101">
        <f>'CAM - SHOPS'!N45</f>
        <v>0</v>
      </c>
      <c r="D29" s="101">
        <f>'CAM - SHOPS'!W45</f>
        <v>0</v>
      </c>
      <c r="E29" s="101">
        <f>'CAM - SHOPS'!AF45</f>
        <v>0</v>
      </c>
      <c r="F29" s="101">
        <f>'CAM - SHOPS'!AO45</f>
        <v>0</v>
      </c>
      <c r="G29" s="101">
        <f>'CAM - SHOPS'!AX45</f>
        <v>0</v>
      </c>
      <c r="H29" s="101">
        <f>'CAM - SHOPS'!BP45</f>
        <v>0</v>
      </c>
      <c r="I29" s="101">
        <f>'CAM - SHOPS'!BY45</f>
        <v>0</v>
      </c>
      <c r="J29" s="101">
        <f>'CAM - SHOPS'!CH45</f>
        <v>0</v>
      </c>
      <c r="K29" s="101">
        <f>'CAM - SHOPS'!CQ45</f>
        <v>0</v>
      </c>
      <c r="L29" s="101">
        <f>'CAM - SHOPS'!CZ45</f>
        <v>0</v>
      </c>
      <c r="M29" s="101">
        <f>'CAM - SHOPS'!DI45</f>
        <v>0</v>
      </c>
      <c r="N29" s="101">
        <f>'CAM - SHOPS'!DR45</f>
        <v>0</v>
      </c>
      <c r="O29" s="101">
        <f>'CAM - SHOPS'!EA45</f>
        <v>0</v>
      </c>
      <c r="P29" s="101">
        <f>'CAM - SHOPS'!EJ45</f>
        <v>0</v>
      </c>
      <c r="Q29" s="101">
        <v>0</v>
      </c>
      <c r="R29" s="101">
        <f>'CAM - SHOPS'!FB45</f>
        <v>0</v>
      </c>
      <c r="S29" s="101">
        <f>'CAM - SHOPS'!FK45</f>
        <v>0</v>
      </c>
      <c r="T29" s="101"/>
      <c r="U29" s="101">
        <f t="shared" si="3"/>
        <v>0</v>
      </c>
      <c r="V29" s="101">
        <f t="shared" si="4"/>
        <v>0</v>
      </c>
      <c r="W29" s="85">
        <f t="shared" si="5"/>
        <v>0</v>
      </c>
    </row>
    <row r="30" spans="1:23">
      <c r="A30" s="45" t="str">
        <f>Summ.!B55</f>
        <v>On-Site Management</v>
      </c>
      <c r="B30" s="101">
        <f>Summ.!O55</f>
        <v>154602</v>
      </c>
      <c r="C30" s="101">
        <f>'CAM - SHOPS'!N46</f>
        <v>11727.320811625994</v>
      </c>
      <c r="D30" s="101">
        <f>'CAM - SHOPS'!W46</f>
        <v>3252.037839319989</v>
      </c>
      <c r="E30" s="101">
        <f>'CAM - SHOPS'!AF46</f>
        <v>605.59363860707424</v>
      </c>
      <c r="F30" s="101">
        <f>'CAM - SHOPS'!AO46</f>
        <v>1568.4875239923226</v>
      </c>
      <c r="G30" s="101">
        <f>'CAM - SHOPS'!AX46</f>
        <v>1589.6833013435701</v>
      </c>
      <c r="H30" s="101">
        <f>'CAM - SHOPS'!BP46</f>
        <v>3009.8003838771592</v>
      </c>
      <c r="I30" s="101">
        <f>'CAM - SHOPS'!BY46</f>
        <v>3158.1708253358925</v>
      </c>
      <c r="J30" s="101">
        <f>'CAM - SHOPS'!CH46</f>
        <v>10676.615848642719</v>
      </c>
      <c r="K30" s="101">
        <f>'CAM - SHOPS'!CQ46</f>
        <v>32508.266520427747</v>
      </c>
      <c r="L30" s="101">
        <f>'CAM - SHOPS'!CZ46</f>
        <v>9083.9045791061144</v>
      </c>
      <c r="M30" s="101">
        <f>'CAM - SHOPS'!DI46</f>
        <v>1513.9840965176859</v>
      </c>
      <c r="N30" s="101">
        <f>'CAM - SHOPS'!DR46</f>
        <v>8768.9958870304363</v>
      </c>
      <c r="O30" s="101">
        <f>'CAM - SHOPS'!EA46</f>
        <v>24266.137098985466</v>
      </c>
      <c r="P30" s="101">
        <f>'CAM - SHOPS'!EJ46</f>
        <v>19681.793254729917</v>
      </c>
      <c r="Q30" s="101">
        <v>0</v>
      </c>
      <c r="R30" s="101">
        <f>'CAM - SHOPS'!FB46</f>
        <v>2912.9054017000276</v>
      </c>
      <c r="S30" s="101">
        <f>'CAM - SHOPS'!FK46</f>
        <v>11215.594187003016</v>
      </c>
      <c r="T30" s="101"/>
      <c r="U30" s="101">
        <f t="shared" si="3"/>
        <v>154602</v>
      </c>
      <c r="V30" s="101">
        <f t="shared" si="4"/>
        <v>0</v>
      </c>
      <c r="W30" s="85">
        <f t="shared" si="5"/>
        <v>0</v>
      </c>
    </row>
    <row r="31" spans="1:23">
      <c r="A31" s="45" t="str">
        <f>Summ.!B56</f>
        <v>Sidewalk Maintenance</v>
      </c>
      <c r="B31" s="101">
        <f>Summ.!O56</f>
        <v>0</v>
      </c>
      <c r="C31" s="101">
        <f>'CAM - SHOPS'!N47</f>
        <v>0</v>
      </c>
      <c r="D31" s="101">
        <f>'CAM - SHOPS'!W47</f>
        <v>0</v>
      </c>
      <c r="E31" s="101">
        <f>'CAM - SHOPS'!AF47</f>
        <v>0</v>
      </c>
      <c r="F31" s="101">
        <f>'CAM - SHOPS'!AO47</f>
        <v>0</v>
      </c>
      <c r="G31" s="101">
        <f>'CAM - SHOPS'!AX47</f>
        <v>0</v>
      </c>
      <c r="H31" s="101">
        <f>'CAM - SHOPS'!BP47</f>
        <v>0</v>
      </c>
      <c r="I31" s="101">
        <f>'CAM - SHOPS'!BY47</f>
        <v>0</v>
      </c>
      <c r="J31" s="101">
        <f>'CAM - SHOPS'!CH47</f>
        <v>0</v>
      </c>
      <c r="K31" s="101">
        <f>'CAM - SHOPS'!CQ47</f>
        <v>0</v>
      </c>
      <c r="L31" s="101">
        <f>'CAM - SHOPS'!CZ47</f>
        <v>0</v>
      </c>
      <c r="M31" s="101">
        <f>'CAM - SHOPS'!DI47</f>
        <v>0</v>
      </c>
      <c r="N31" s="101">
        <f>'CAM - SHOPS'!DR47</f>
        <v>0</v>
      </c>
      <c r="O31" s="101">
        <f>'CAM - SHOPS'!EA47</f>
        <v>0</v>
      </c>
      <c r="P31" s="101">
        <f>'CAM - SHOPS'!EJ47</f>
        <v>0</v>
      </c>
      <c r="Q31" s="101">
        <v>0</v>
      </c>
      <c r="R31" s="101">
        <f>'CAM - SHOPS'!FB47</f>
        <v>0</v>
      </c>
      <c r="S31" s="101">
        <f>'CAM - SHOPS'!FK47</f>
        <v>0</v>
      </c>
      <c r="T31" s="101"/>
      <c r="U31" s="101">
        <f t="shared" si="3"/>
        <v>0</v>
      </c>
      <c r="V31" s="101">
        <f t="shared" si="4"/>
        <v>0</v>
      </c>
      <c r="W31" s="85">
        <f t="shared" si="5"/>
        <v>0</v>
      </c>
    </row>
    <row r="32" spans="1:23">
      <c r="A32" s="45" t="str">
        <f>Summ.!B57</f>
        <v>Ground Lease State</v>
      </c>
      <c r="B32" s="101">
        <f>Summ.!O57</f>
        <v>32400</v>
      </c>
      <c r="C32" s="101">
        <f>'CAM - SHOPS'!N48</f>
        <v>2457.6990873124682</v>
      </c>
      <c r="D32" s="101">
        <f>'CAM - SHOPS'!W48</f>
        <v>681.53080810059146</v>
      </c>
      <c r="E32" s="101">
        <f>'CAM - SHOPS'!AF48</f>
        <v>126.91448940420698</v>
      </c>
      <c r="F32" s="101">
        <f>'CAM - SHOPS'!AO48</f>
        <v>328.70852755689612</v>
      </c>
      <c r="G32" s="101">
        <f>'CAM - SHOPS'!AX48</f>
        <v>333.15053468604333</v>
      </c>
      <c r="H32" s="101">
        <f>'CAM - SHOPS'!BP48</f>
        <v>630.76501233890872</v>
      </c>
      <c r="I32" s="101">
        <f>'CAM - SHOPS'!BY48</f>
        <v>661.85906224293933</v>
      </c>
      <c r="J32" s="101">
        <f>'CAM - SHOPS'!CH48</f>
        <v>2237.5024481961691</v>
      </c>
      <c r="K32" s="101">
        <f>'CAM - SHOPS'!CQ48</f>
        <v>6812.7697912178301</v>
      </c>
      <c r="L32" s="101">
        <f>'CAM - SHOPS'!CZ48</f>
        <v>1903.7173410631046</v>
      </c>
      <c r="M32" s="101">
        <f>'CAM - SHOPS'!DI48</f>
        <v>317.28622351051746</v>
      </c>
      <c r="N32" s="101">
        <f>'CAM - SHOPS'!DR48</f>
        <v>1837.7218065729171</v>
      </c>
      <c r="O32" s="101">
        <f>'CAM - SHOPS'!EA48</f>
        <v>5085.4635904265733</v>
      </c>
      <c r="P32" s="101">
        <f>'CAM - SHOPS'!EJ48</f>
        <v>4124.7209056367274</v>
      </c>
      <c r="Q32" s="101">
        <v>0</v>
      </c>
      <c r="R32" s="101">
        <f>'CAM - SHOPS'!FB48</f>
        <v>610.45869403423558</v>
      </c>
      <c r="S32" s="101">
        <f>'CAM - SHOPS'!FK48</f>
        <v>2350.4563437659131</v>
      </c>
      <c r="T32" s="101"/>
      <c r="U32" s="101">
        <f t="shared" si="3"/>
        <v>32400</v>
      </c>
      <c r="V32" s="101">
        <f t="shared" si="4"/>
        <v>0</v>
      </c>
      <c r="W32" s="85">
        <f t="shared" si="5"/>
        <v>0</v>
      </c>
    </row>
    <row r="33" spans="1:23">
      <c r="A33" s="45" t="str">
        <f>Summ.!B58</f>
        <v>Ground Lease Private</v>
      </c>
      <c r="B33" s="101">
        <f>Summ.!O58</f>
        <v>105633.71999999999</v>
      </c>
      <c r="C33" s="101">
        <f>'CAM - SHOPS'!N49</f>
        <v>10190.280899671216</v>
      </c>
      <c r="D33" s="101">
        <f>'CAM - SHOPS'!W49</f>
        <v>2825.8098854239311</v>
      </c>
      <c r="E33" s="101">
        <f>'CAM - SHOPS'!AF49</f>
        <v>526.22158015343223</v>
      </c>
      <c r="F33" s="101">
        <f>'CAM - SHOPS'!AO49</f>
        <v>1362.9138925973896</v>
      </c>
      <c r="G33" s="101">
        <f>'CAM - SHOPS'!AX49</f>
        <v>1381.3316479027596</v>
      </c>
      <c r="H33" s="101">
        <f>'CAM - SHOPS'!BP49</f>
        <v>2615.3212533625583</v>
      </c>
      <c r="I33" s="101">
        <f>'CAM - SHOPS'!BY49</f>
        <v>2744.2455405001492</v>
      </c>
      <c r="J33" s="101">
        <f>'CAM - SHOPS'!CH49</f>
        <v>9277.2864581050108</v>
      </c>
      <c r="K33" s="101">
        <f>'CAM - SHOPS'!CQ49</f>
        <v>28247.57442263624</v>
      </c>
      <c r="L33" s="101">
        <f>'CAM - SHOPS'!CZ49</f>
        <v>7893.3237023014835</v>
      </c>
      <c r="M33" s="101">
        <f>'CAM - SHOPS'!DI49</f>
        <v>1315.5539503835805</v>
      </c>
      <c r="N33" s="101">
        <f>'CAM - SHOPS'!DR49</f>
        <v>0</v>
      </c>
      <c r="O33" s="101">
        <f>'CAM - SHOPS'!EA49</f>
        <v>0</v>
      </c>
      <c r="P33" s="101">
        <f>'CAM - SHOPS'!EJ49</f>
        <v>0</v>
      </c>
      <c r="Q33" s="101">
        <v>0</v>
      </c>
      <c r="R33" s="101">
        <f>'CAM - SHOPS'!FB49</f>
        <v>2531.1258005380091</v>
      </c>
      <c r="S33" s="101">
        <f>'CAM - SHOPS'!FK49</f>
        <v>9745.6236644415658</v>
      </c>
      <c r="T33" s="101"/>
      <c r="U33" s="101">
        <f t="shared" si="3"/>
        <v>105633.71999999999</v>
      </c>
      <c r="V33" s="101">
        <f t="shared" si="4"/>
        <v>0</v>
      </c>
      <c r="W33" s="85">
        <f t="shared" si="5"/>
        <v>0</v>
      </c>
    </row>
    <row r="34" spans="1:23">
      <c r="A34" s="45" t="str">
        <f>Summ.!B59</f>
        <v>Sweeping</v>
      </c>
      <c r="B34" s="101">
        <f>Summ.!O59</f>
        <v>30923.978400000007</v>
      </c>
      <c r="C34" s="101">
        <f>'CAM - SHOPS'!N50</f>
        <v>2345.7356015355094</v>
      </c>
      <c r="D34" s="101">
        <f>'CAM - SHOPS'!W50</f>
        <v>650.4828391554704</v>
      </c>
      <c r="E34" s="101">
        <f>'CAM - SHOPS'!AF50</f>
        <v>121.13274472168908</v>
      </c>
      <c r="F34" s="101">
        <f>'CAM - SHOPS'!AO50</f>
        <v>313.73380882917479</v>
      </c>
      <c r="G34" s="101">
        <f>'CAM - SHOPS'!AX50</f>
        <v>317.97345489443387</v>
      </c>
      <c r="H34" s="101">
        <f>'CAM - SHOPS'!BP50</f>
        <v>602.02974126679476</v>
      </c>
      <c r="I34" s="101">
        <f>'CAM - SHOPS'!BY50</f>
        <v>631.70726372360855</v>
      </c>
      <c r="J34" s="101">
        <f>'CAM - SHOPS'!CH50</f>
        <v>2135.5702894433784</v>
      </c>
      <c r="K34" s="101">
        <f>'CAM - SHOPS'!CQ50</f>
        <v>6502.4057366602701</v>
      </c>
      <c r="L34" s="101">
        <f>'CAM - SHOPS'!CZ50</f>
        <v>1816.9911708253362</v>
      </c>
      <c r="M34" s="101">
        <f>'CAM - SHOPS'!DI50</f>
        <v>302.83186180422274</v>
      </c>
      <c r="N34" s="101">
        <f>'CAM - SHOPS'!DR50</f>
        <v>1754.002143570058</v>
      </c>
      <c r="O34" s="101">
        <f>'CAM - SHOPS'!EA50</f>
        <v>4853.7890809980818</v>
      </c>
      <c r="P34" s="101">
        <f>'CAM - SHOPS'!EJ50</f>
        <v>3936.8142034548955</v>
      </c>
      <c r="Q34" s="101">
        <v>0</v>
      </c>
      <c r="R34" s="101">
        <f>'CAM - SHOPS'!FB50</f>
        <v>582.64850211132455</v>
      </c>
      <c r="S34" s="101">
        <f>'CAM - SHOPS'!FK50</f>
        <v>2243.3784322456818</v>
      </c>
      <c r="T34" s="101"/>
      <c r="U34" s="101">
        <f t="shared" si="3"/>
        <v>30923.978400000007</v>
      </c>
      <c r="V34" s="101">
        <f t="shared" si="4"/>
        <v>0</v>
      </c>
      <c r="W34" s="85">
        <f t="shared" si="5"/>
        <v>0</v>
      </c>
    </row>
    <row r="35" spans="1:23">
      <c r="A35" s="45" t="str">
        <f>Summ.!B60</f>
        <v>Security - Split 80%</v>
      </c>
      <c r="B35" s="101">
        <f>Summ.!O60</f>
        <v>122016</v>
      </c>
      <c r="C35" s="101">
        <f>'CAM - SHOPS'!N51</f>
        <v>9255.5127110345093</v>
      </c>
      <c r="D35" s="101">
        <f>'CAM - SHOPS'!W51</f>
        <v>2566.5945395432645</v>
      </c>
      <c r="E35" s="101">
        <f>'CAM - SHOPS'!AF51</f>
        <v>477.95056602295426</v>
      </c>
      <c r="F35" s="101">
        <f>'CAM - SHOPS'!AO51</f>
        <v>1237.8919659994517</v>
      </c>
      <c r="G35" s="101">
        <f>'CAM - SHOPS'!AX51</f>
        <v>1254.6202358102551</v>
      </c>
      <c r="H35" s="101">
        <f>'CAM - SHOPS'!BP51</f>
        <v>2375.4143131340829</v>
      </c>
      <c r="I35" s="101">
        <f>'CAM - SHOPS'!BY51</f>
        <v>2492.5122018097063</v>
      </c>
      <c r="J35" s="101">
        <f>'CAM - SHOPS'!CH51</f>
        <v>8426.2684789846826</v>
      </c>
      <c r="K35" s="101">
        <f>'CAM - SHOPS'!CQ51</f>
        <v>25656.386384112186</v>
      </c>
      <c r="L35" s="101">
        <f>'CAM - SHOPS'!CZ51</f>
        <v>7169.2584903443139</v>
      </c>
      <c r="M35" s="101">
        <f>'CAM - SHOPS'!DI51</f>
        <v>1194.8764150573857</v>
      </c>
      <c r="N35" s="101">
        <f>'CAM - SHOPS'!DR51</f>
        <v>6920.7241960123783</v>
      </c>
      <c r="O35" s="101">
        <f>'CAM - SHOPS'!EA51</f>
        <v>19151.479180539776</v>
      </c>
      <c r="P35" s="101">
        <f>'CAM - SHOPS'!EJ51</f>
        <v>15533.393395746016</v>
      </c>
      <c r="Q35" s="101">
        <v>0</v>
      </c>
      <c r="R35" s="101">
        <f>'CAM - SHOPS'!FB51</f>
        <v>2298.9422225704102</v>
      </c>
      <c r="S35" s="101">
        <f>'CAM - SHOPS'!FK51</f>
        <v>8851.6444827451141</v>
      </c>
      <c r="T35" s="101"/>
      <c r="U35" s="101">
        <f t="shared" si="3"/>
        <v>122016</v>
      </c>
      <c r="V35" s="101">
        <f t="shared" si="4"/>
        <v>0</v>
      </c>
      <c r="W35" s="85">
        <f t="shared" si="5"/>
        <v>0</v>
      </c>
    </row>
    <row r="36" spans="1:23">
      <c r="A36" s="45" t="str">
        <f>Summ.!B61</f>
        <v>Security - Cameras</v>
      </c>
      <c r="B36" s="101">
        <f>Summ.!O61</f>
        <v>0</v>
      </c>
      <c r="C36" s="101">
        <f>'CAM - SHOPS'!N52</f>
        <v>0</v>
      </c>
      <c r="D36" s="101">
        <f>'CAM - SHOPS'!W52</f>
        <v>0</v>
      </c>
      <c r="E36" s="101">
        <f>'CAM - SHOPS'!AF52</f>
        <v>0</v>
      </c>
      <c r="F36" s="101">
        <f>'CAM - SHOPS'!AO52</f>
        <v>0</v>
      </c>
      <c r="G36" s="101">
        <f>'CAM - SHOPS'!AX52</f>
        <v>0</v>
      </c>
      <c r="H36" s="101">
        <f>'CAM - SHOPS'!BP52</f>
        <v>0</v>
      </c>
      <c r="I36" s="101">
        <f>'CAM - SHOPS'!BY52</f>
        <v>0</v>
      </c>
      <c r="J36" s="101">
        <f>'CAM - SHOPS'!CH52</f>
        <v>0</v>
      </c>
      <c r="K36" s="101">
        <f>'CAM - SHOPS'!CQ52</f>
        <v>0</v>
      </c>
      <c r="L36" s="101">
        <f>'CAM - SHOPS'!CZ52</f>
        <v>0</v>
      </c>
      <c r="M36" s="101">
        <f>'CAM - SHOPS'!DI52</f>
        <v>0</v>
      </c>
      <c r="N36" s="101">
        <f>'CAM - SHOPS'!DR52</f>
        <v>0</v>
      </c>
      <c r="O36" s="101">
        <f>'CAM - SHOPS'!EA52</f>
        <v>0</v>
      </c>
      <c r="P36" s="101">
        <f>'CAM - SHOPS'!EJ52</f>
        <v>0</v>
      </c>
      <c r="Q36" s="101">
        <v>0</v>
      </c>
      <c r="R36" s="101">
        <f>'CAM - SHOPS'!FB52</f>
        <v>0</v>
      </c>
      <c r="S36" s="101">
        <f>'CAM - SHOPS'!FK52</f>
        <v>0</v>
      </c>
      <c r="T36" s="101"/>
      <c r="U36" s="101">
        <f t="shared" si="3"/>
        <v>0</v>
      </c>
      <c r="V36" s="101">
        <f t="shared" si="4"/>
        <v>0</v>
      </c>
      <c r="W36" s="85">
        <f t="shared" si="5"/>
        <v>0</v>
      </c>
    </row>
    <row r="37" spans="1:23">
      <c r="A37" s="45" t="str">
        <f>Summ.!B62</f>
        <v>Permits &amp; Fee - Waste Insp. Fee</v>
      </c>
      <c r="B37" s="101">
        <f>Summ.!O62</f>
        <v>0</v>
      </c>
      <c r="C37" s="101">
        <f>'CAM - SHOPS'!N53</f>
        <v>0</v>
      </c>
      <c r="D37" s="101">
        <f>'CAM - SHOPS'!W53</f>
        <v>0</v>
      </c>
      <c r="E37" s="101">
        <f>'CAM - SHOPS'!AF53</f>
        <v>0</v>
      </c>
      <c r="F37" s="101">
        <f>'CAM - SHOPS'!AO53</f>
        <v>0</v>
      </c>
      <c r="G37" s="101">
        <f>'CAM - SHOPS'!AX53</f>
        <v>0</v>
      </c>
      <c r="H37" s="101">
        <f>'CAM - SHOPS'!BP53</f>
        <v>0</v>
      </c>
      <c r="I37" s="101">
        <f>'CAM - SHOPS'!BY53</f>
        <v>0</v>
      </c>
      <c r="J37" s="101">
        <f>'CAM - SHOPS'!CH53</f>
        <v>0</v>
      </c>
      <c r="K37" s="101">
        <f>'CAM - SHOPS'!CQ53</f>
        <v>0</v>
      </c>
      <c r="L37" s="101">
        <f>'CAM - SHOPS'!CZ53</f>
        <v>0</v>
      </c>
      <c r="M37" s="101">
        <f>'CAM - SHOPS'!DI53</f>
        <v>0</v>
      </c>
      <c r="N37" s="101">
        <f>'CAM - SHOPS'!DR53</f>
        <v>0</v>
      </c>
      <c r="O37" s="101">
        <f>'CAM - SHOPS'!EA53</f>
        <v>0</v>
      </c>
      <c r="P37" s="101">
        <f>'CAM - SHOPS'!EJ53</f>
        <v>0</v>
      </c>
      <c r="R37" s="101">
        <f>'CAM - SHOPS'!FB53</f>
        <v>0</v>
      </c>
      <c r="S37" s="101">
        <f>'CAM - SHOPS'!FK53</f>
        <v>0</v>
      </c>
      <c r="T37" s="101"/>
      <c r="U37" s="101">
        <f t="shared" si="3"/>
        <v>0</v>
      </c>
      <c r="V37" s="101">
        <f t="shared" si="4"/>
        <v>0</v>
      </c>
      <c r="W37" s="85">
        <f t="shared" si="5"/>
        <v>0</v>
      </c>
    </row>
    <row r="38" spans="1:23">
      <c r="A38" s="45" t="str">
        <f>Summ.!B63</f>
        <v>Locksmith</v>
      </c>
      <c r="B38" s="101">
        <f>Summ.!O63</f>
        <v>0</v>
      </c>
      <c r="C38" s="101">
        <f>'CAM - SHOPS'!N54</f>
        <v>0</v>
      </c>
      <c r="D38" s="101">
        <f>'CAM - SHOPS'!W54</f>
        <v>0</v>
      </c>
      <c r="E38" s="101">
        <f>'CAM - SHOPS'!AF54</f>
        <v>0</v>
      </c>
      <c r="F38" s="101">
        <f>'CAM - SHOPS'!AO54</f>
        <v>0</v>
      </c>
      <c r="G38" s="101">
        <f>'CAM - SHOPS'!AX54</f>
        <v>0</v>
      </c>
      <c r="H38" s="101">
        <f>'CAM - SHOPS'!BP54</f>
        <v>0</v>
      </c>
      <c r="I38" s="101">
        <f>'CAM - SHOPS'!BY54</f>
        <v>0</v>
      </c>
      <c r="J38" s="101">
        <f>'CAM - SHOPS'!CH54</f>
        <v>0</v>
      </c>
      <c r="K38" s="101">
        <f>'CAM - SHOPS'!CQ54</f>
        <v>0</v>
      </c>
      <c r="L38" s="101">
        <f>'CAM - SHOPS'!CZ54</f>
        <v>0</v>
      </c>
      <c r="M38" s="101">
        <f>'CAM - SHOPS'!DI54</f>
        <v>0</v>
      </c>
      <c r="N38" s="101">
        <f>'CAM - SHOPS'!DR54</f>
        <v>0</v>
      </c>
      <c r="O38" s="101">
        <f>'CAM - SHOPS'!EA54</f>
        <v>0</v>
      </c>
      <c r="P38" s="101">
        <f>'CAM - SHOPS'!EJ54</f>
        <v>0</v>
      </c>
      <c r="R38" s="101">
        <f>'CAM - SHOPS'!FB54</f>
        <v>0</v>
      </c>
      <c r="S38" s="101">
        <f>'CAM - SHOPS'!FK54</f>
        <v>0</v>
      </c>
      <c r="T38" s="101"/>
      <c r="U38" s="101">
        <f t="shared" si="3"/>
        <v>0</v>
      </c>
      <c r="V38" s="101">
        <f t="shared" si="4"/>
        <v>0</v>
      </c>
      <c r="W38" s="85">
        <f t="shared" si="5"/>
        <v>0</v>
      </c>
    </row>
    <row r="39" spans="1:23">
      <c r="A39" s="45" t="str">
        <f>Summ.!B64</f>
        <v>Electrical Repairs/Building</v>
      </c>
      <c r="B39" s="101">
        <f>Summ.!O64</f>
        <v>0</v>
      </c>
      <c r="C39" s="101">
        <f>'CAM - SHOPS'!N55</f>
        <v>0</v>
      </c>
      <c r="D39" s="101">
        <f>'CAM - SHOPS'!W55</f>
        <v>0</v>
      </c>
      <c r="E39" s="101">
        <f>'CAM - SHOPS'!AF55</f>
        <v>0</v>
      </c>
      <c r="F39" s="101">
        <f>'CAM - SHOPS'!AO55</f>
        <v>0</v>
      </c>
      <c r="G39" s="101">
        <f>'CAM - SHOPS'!AX55</f>
        <v>0</v>
      </c>
      <c r="H39" s="101">
        <f>'CAM - SHOPS'!BP55</f>
        <v>0</v>
      </c>
      <c r="I39" s="101">
        <f>'CAM - SHOPS'!BY55</f>
        <v>0</v>
      </c>
      <c r="J39" s="101">
        <f>'CAM - SHOPS'!CH55</f>
        <v>0</v>
      </c>
      <c r="K39" s="101">
        <f>'CAM - SHOPS'!CQ55</f>
        <v>0</v>
      </c>
      <c r="L39" s="101">
        <f>'CAM - SHOPS'!CZ55</f>
        <v>0</v>
      </c>
      <c r="M39" s="101">
        <f>'CAM - SHOPS'!DI55</f>
        <v>0</v>
      </c>
      <c r="N39" s="101">
        <f>'CAM - SHOPS'!DR55</f>
        <v>0</v>
      </c>
      <c r="O39" s="101">
        <f>'CAM - SHOPS'!EA55</f>
        <v>0</v>
      </c>
      <c r="P39" s="101">
        <f>'CAM - SHOPS'!EJ55</f>
        <v>0</v>
      </c>
      <c r="Q39" s="101">
        <v>0</v>
      </c>
      <c r="R39" s="101">
        <f>'CAM - SHOPS'!FB55</f>
        <v>0</v>
      </c>
      <c r="S39" s="101">
        <f>'CAM - SHOPS'!FK55</f>
        <v>0</v>
      </c>
      <c r="T39" s="101"/>
      <c r="U39" s="101">
        <f t="shared" si="3"/>
        <v>0</v>
      </c>
      <c r="V39" s="101">
        <f t="shared" si="4"/>
        <v>0</v>
      </c>
      <c r="W39" s="85">
        <f t="shared" si="5"/>
        <v>0</v>
      </c>
    </row>
    <row r="40" spans="1:23">
      <c r="A40" s="45" t="str">
        <f>Summ.!B65</f>
        <v>Electrical Repairs/Common Area</v>
      </c>
      <c r="B40" s="101">
        <f>Summ.!O65</f>
        <v>0</v>
      </c>
      <c r="C40" s="101">
        <f>'CAM - SHOPS'!N56</f>
        <v>0</v>
      </c>
      <c r="D40" s="101">
        <f>'CAM - SHOPS'!W56</f>
        <v>0</v>
      </c>
      <c r="E40" s="101">
        <f>'CAM - SHOPS'!AF56</f>
        <v>0</v>
      </c>
      <c r="F40" s="101">
        <f>'CAM - SHOPS'!AO56</f>
        <v>0</v>
      </c>
      <c r="G40" s="101">
        <f>'CAM - SHOPS'!AX56</f>
        <v>0</v>
      </c>
      <c r="H40" s="101">
        <f>'CAM - SHOPS'!BP56</f>
        <v>0</v>
      </c>
      <c r="I40" s="101">
        <f>'CAM - SHOPS'!BY56</f>
        <v>0</v>
      </c>
      <c r="J40" s="101">
        <f>'CAM - SHOPS'!CH56</f>
        <v>0</v>
      </c>
      <c r="K40" s="101">
        <f>'CAM - SHOPS'!CQ56</f>
        <v>0</v>
      </c>
      <c r="L40" s="101">
        <f>'CAM - SHOPS'!CZ56</f>
        <v>0</v>
      </c>
      <c r="M40" s="101">
        <f>'CAM - SHOPS'!DI56</f>
        <v>0</v>
      </c>
      <c r="N40" s="101">
        <f>'CAM - SHOPS'!DR56</f>
        <v>0</v>
      </c>
      <c r="O40" s="101">
        <f>'CAM - SHOPS'!EA56</f>
        <v>0</v>
      </c>
      <c r="P40" s="101">
        <f>'CAM - SHOPS'!EJ56</f>
        <v>0</v>
      </c>
      <c r="Q40" s="101">
        <v>0</v>
      </c>
      <c r="R40" s="101">
        <f>'CAM - SHOPS'!FB56</f>
        <v>0</v>
      </c>
      <c r="S40" s="101">
        <f>'CAM - SHOPS'!FK56</f>
        <v>0</v>
      </c>
      <c r="T40" s="101"/>
      <c r="U40" s="101">
        <f t="shared" si="3"/>
        <v>0</v>
      </c>
      <c r="V40" s="101">
        <f t="shared" si="4"/>
        <v>0</v>
      </c>
      <c r="W40" s="85">
        <f t="shared" si="5"/>
        <v>0</v>
      </c>
    </row>
    <row r="41" spans="1:23">
      <c r="A41" s="45" t="str">
        <f>Summ.!B66</f>
        <v>Supplies Electrical</v>
      </c>
      <c r="B41" s="101">
        <f>Summ.!O64</f>
        <v>0</v>
      </c>
      <c r="C41" s="101">
        <f>'CAM - SHOPS'!N57</f>
        <v>0</v>
      </c>
      <c r="D41" s="101">
        <f>'CAM - SHOPS'!W57</f>
        <v>0</v>
      </c>
      <c r="E41" s="101">
        <f>'CAM - SHOPS'!AF57</f>
        <v>0</v>
      </c>
      <c r="F41" s="101">
        <f>'CAM - SHOPS'!AO57</f>
        <v>0</v>
      </c>
      <c r="G41" s="101">
        <f>'CAM - SHOPS'!AX57</f>
        <v>0</v>
      </c>
      <c r="H41" s="101">
        <f>'CAM - SHOPS'!BP57</f>
        <v>0</v>
      </c>
      <c r="I41" s="101">
        <f>'CAM - SHOPS'!BY57</f>
        <v>0</v>
      </c>
      <c r="J41" s="101">
        <f>'CAM - SHOPS'!CH57</f>
        <v>0</v>
      </c>
      <c r="K41" s="101">
        <f>'CAM - SHOPS'!CQ57</f>
        <v>0</v>
      </c>
      <c r="L41" s="101">
        <f>'CAM - SHOPS'!CZ57</f>
        <v>0</v>
      </c>
      <c r="M41" s="101">
        <f>'CAM - SHOPS'!DI57</f>
        <v>0</v>
      </c>
      <c r="N41" s="101">
        <f>'CAM - SHOPS'!DR57</f>
        <v>0</v>
      </c>
      <c r="O41" s="101">
        <f>'CAM - SHOPS'!EA57</f>
        <v>0</v>
      </c>
      <c r="P41" s="101">
        <f>'CAM - SHOPS'!EJ57</f>
        <v>0</v>
      </c>
      <c r="Q41" s="101">
        <v>0</v>
      </c>
      <c r="R41" s="101">
        <f>'CAM - SHOPS'!FB57</f>
        <v>0</v>
      </c>
      <c r="S41" s="101">
        <f>'CAM - SHOPS'!FK57</f>
        <v>0</v>
      </c>
      <c r="T41" s="101"/>
      <c r="U41" s="101">
        <f t="shared" si="3"/>
        <v>0</v>
      </c>
      <c r="V41" s="101">
        <f t="shared" si="4"/>
        <v>0</v>
      </c>
      <c r="W41" s="85">
        <f t="shared" si="5"/>
        <v>0</v>
      </c>
    </row>
    <row r="42" spans="1:23">
      <c r="A42" s="45" t="str">
        <f>Summ.!B67</f>
        <v>Plumbing Repairs</v>
      </c>
      <c r="B42" s="101">
        <f>Summ.!O67</f>
        <v>6000</v>
      </c>
      <c r="C42" s="101">
        <f>'CAM - SHOPS'!N58</f>
        <v>578.80840888711771</v>
      </c>
      <c r="D42" s="101">
        <f>'CAM - SHOPS'!W58</f>
        <v>160.50612732888314</v>
      </c>
      <c r="E42" s="101">
        <f>'CAM - SHOPS'!AF58</f>
        <v>29.889409186011754</v>
      </c>
      <c r="F42" s="101">
        <f>'CAM - SHOPS'!AO58</f>
        <v>77.413569791770456</v>
      </c>
      <c r="G42" s="101">
        <f>'CAM - SHOPS'!AX58</f>
        <v>78.459699113280863</v>
      </c>
      <c r="H42" s="101">
        <f>'CAM - SHOPS'!BP58</f>
        <v>148.55036365447842</v>
      </c>
      <c r="I42" s="101">
        <f>'CAM - SHOPS'!BY58</f>
        <v>155.8732689050513</v>
      </c>
      <c r="J42" s="101">
        <f>'CAM - SHOPS'!CH58</f>
        <v>526.9502839493872</v>
      </c>
      <c r="K42" s="101">
        <f>'CAM - SHOPS'!CQ58</f>
        <v>1604.463485105111</v>
      </c>
      <c r="L42" s="101">
        <f>'CAM - SHOPS'!CZ58</f>
        <v>448.34113779017633</v>
      </c>
      <c r="M42" s="101">
        <f>'CAM - SHOPS'!DI58</f>
        <v>74.723522965029389</v>
      </c>
      <c r="N42" s="101">
        <f>'CAM - SHOPS'!DR58</f>
        <v>0</v>
      </c>
      <c r="O42" s="101">
        <f>'CAM - SHOPS'!EA58</f>
        <v>0</v>
      </c>
      <c r="P42" s="101">
        <f>'CAM - SHOPS'!EJ58</f>
        <v>971.40579854538214</v>
      </c>
      <c r="Q42" s="101">
        <v>0</v>
      </c>
      <c r="R42" s="101">
        <f>'CAM - SHOPS'!FB58</f>
        <v>143.76805818471655</v>
      </c>
      <c r="S42" s="101">
        <f>'CAM - SHOPS'!FK58</f>
        <v>553.55185812493778</v>
      </c>
      <c r="T42" s="101"/>
      <c r="U42" s="101">
        <f t="shared" si="3"/>
        <v>6000</v>
      </c>
      <c r="V42" s="101">
        <f t="shared" si="4"/>
        <v>0</v>
      </c>
      <c r="W42" s="85">
        <f t="shared" si="5"/>
        <v>0</v>
      </c>
    </row>
    <row r="43" spans="1:23">
      <c r="A43" s="45" t="str">
        <f>Summ.!B68</f>
        <v>Painting</v>
      </c>
      <c r="B43" s="101">
        <f>Summ.!O68</f>
        <v>0</v>
      </c>
      <c r="C43" s="101">
        <f>'CAM - SHOPS'!N59</f>
        <v>0</v>
      </c>
      <c r="D43" s="101">
        <f>'CAM - SHOPS'!W59</f>
        <v>0</v>
      </c>
      <c r="E43" s="101">
        <f>'CAM - SHOPS'!AF59</f>
        <v>0</v>
      </c>
      <c r="F43" s="101">
        <f>'CAM - SHOPS'!AO59</f>
        <v>0</v>
      </c>
      <c r="G43" s="101">
        <f>'CAM - SHOPS'!AX59</f>
        <v>0</v>
      </c>
      <c r="H43" s="101">
        <f>'CAM - SHOPS'!BP59</f>
        <v>0</v>
      </c>
      <c r="I43" s="101">
        <f>'CAM - SHOPS'!BY59</f>
        <v>0</v>
      </c>
      <c r="J43" s="101">
        <f>'CAM - SHOPS'!CH59</f>
        <v>0</v>
      </c>
      <c r="K43" s="101">
        <f>'CAM - SHOPS'!CQ59</f>
        <v>0</v>
      </c>
      <c r="L43" s="101">
        <f>'CAM - SHOPS'!CZ59</f>
        <v>0</v>
      </c>
      <c r="M43" s="101">
        <f>'CAM - SHOPS'!DI59</f>
        <v>0</v>
      </c>
      <c r="N43" s="101">
        <f>'CAM - SHOPS'!DR59</f>
        <v>0</v>
      </c>
      <c r="O43" s="101">
        <f>'CAM - SHOPS'!EA59</f>
        <v>0</v>
      </c>
      <c r="P43" s="101">
        <f>'CAM - SHOPS'!EJ59</f>
        <v>0</v>
      </c>
      <c r="Q43" s="101">
        <v>0</v>
      </c>
      <c r="R43" s="101">
        <f>'CAM - SHOPS'!FB59</f>
        <v>0</v>
      </c>
      <c r="S43" s="101">
        <f>'CAM - SHOPS'!FK59</f>
        <v>0</v>
      </c>
      <c r="T43" s="101"/>
      <c r="U43" s="101">
        <f t="shared" si="3"/>
        <v>0</v>
      </c>
      <c r="V43" s="101">
        <f t="shared" si="4"/>
        <v>0</v>
      </c>
      <c r="W43" s="85">
        <f t="shared" si="5"/>
        <v>0</v>
      </c>
    </row>
    <row r="44" spans="1:23">
      <c r="A44" s="45" t="str">
        <f>Summ.!B69</f>
        <v>Wall &amp; Block Repairs</v>
      </c>
      <c r="B44" s="101">
        <f>Summ.!O69</f>
        <v>0</v>
      </c>
      <c r="C44" s="101">
        <f>'CAM - SHOPS'!N60</f>
        <v>0</v>
      </c>
      <c r="D44" s="101">
        <f>'CAM - SHOPS'!W60</f>
        <v>0</v>
      </c>
      <c r="E44" s="101">
        <f>'CAM - SHOPS'!AF60</f>
        <v>0</v>
      </c>
      <c r="F44" s="101">
        <f>'CAM - SHOPS'!AO60</f>
        <v>0</v>
      </c>
      <c r="G44" s="101">
        <f>'CAM - SHOPS'!AX60</f>
        <v>0</v>
      </c>
      <c r="H44" s="101">
        <f>'CAM - SHOPS'!BP60</f>
        <v>0</v>
      </c>
      <c r="I44" s="101">
        <f>'CAM - SHOPS'!BY60</f>
        <v>0</v>
      </c>
      <c r="J44" s="101">
        <f>'CAM - SHOPS'!CH60</f>
        <v>0</v>
      </c>
      <c r="K44" s="101">
        <f>'CAM - SHOPS'!CQ60</f>
        <v>0</v>
      </c>
      <c r="L44" s="101">
        <f>'CAM - SHOPS'!CZ60</f>
        <v>0</v>
      </c>
      <c r="M44" s="101">
        <f>'CAM - SHOPS'!DI60</f>
        <v>0</v>
      </c>
      <c r="N44" s="101">
        <f>'CAM - SHOPS'!DR60</f>
        <v>0</v>
      </c>
      <c r="O44" s="101">
        <f>'CAM - SHOPS'!EA60</f>
        <v>0</v>
      </c>
      <c r="P44" s="101">
        <f>'CAM - SHOPS'!EJ60</f>
        <v>0</v>
      </c>
      <c r="Q44" s="101">
        <v>0</v>
      </c>
      <c r="R44" s="101">
        <f>'CAM - SHOPS'!FB60</f>
        <v>0</v>
      </c>
      <c r="S44" s="101">
        <f>'CAM - SHOPS'!FK60</f>
        <v>0</v>
      </c>
      <c r="T44" s="101"/>
      <c r="U44" s="101">
        <f t="shared" si="3"/>
        <v>0</v>
      </c>
      <c r="V44" s="101">
        <f t="shared" si="4"/>
        <v>0</v>
      </c>
      <c r="W44" s="85">
        <f t="shared" si="5"/>
        <v>0</v>
      </c>
    </row>
    <row r="45" spans="1:23">
      <c r="A45" s="45" t="str">
        <f>Summ.!B70</f>
        <v>Window Repairs</v>
      </c>
      <c r="B45" s="101">
        <f>Summ.!O70</f>
        <v>0</v>
      </c>
      <c r="C45" s="101">
        <f>'CAM - SHOPS'!N61</f>
        <v>0</v>
      </c>
      <c r="D45" s="101">
        <f>'CAM - SHOPS'!W61</f>
        <v>0</v>
      </c>
      <c r="E45" s="101">
        <f>'CAM - SHOPS'!AF61</f>
        <v>0</v>
      </c>
      <c r="F45" s="101">
        <f>'CAM - SHOPS'!AO61</f>
        <v>0</v>
      </c>
      <c r="G45" s="101">
        <f>'CAM - SHOPS'!AX61</f>
        <v>0</v>
      </c>
      <c r="H45" s="101">
        <f>'CAM - SHOPS'!BP61</f>
        <v>0</v>
      </c>
      <c r="I45" s="101">
        <f>'CAM - SHOPS'!BY61</f>
        <v>0</v>
      </c>
      <c r="J45" s="101">
        <f>'CAM - SHOPS'!CH61</f>
        <v>0</v>
      </c>
      <c r="K45" s="101">
        <f>'CAM - SHOPS'!CQ61</f>
        <v>0</v>
      </c>
      <c r="L45" s="101">
        <f>'CAM - SHOPS'!CZ61</f>
        <v>0</v>
      </c>
      <c r="M45" s="101">
        <f>'CAM - SHOPS'!DI61</f>
        <v>0</v>
      </c>
      <c r="N45" s="101">
        <f>'CAM - SHOPS'!DR61</f>
        <v>0</v>
      </c>
      <c r="O45" s="101">
        <f>'CAM - SHOPS'!EA61</f>
        <v>0</v>
      </c>
      <c r="P45" s="101">
        <f>'CAM - SHOPS'!EJ61</f>
        <v>0</v>
      </c>
      <c r="Q45" s="101">
        <v>0</v>
      </c>
      <c r="R45" s="101">
        <f>'CAM - SHOPS'!FB61</f>
        <v>0</v>
      </c>
      <c r="S45" s="101">
        <f>'CAM - SHOPS'!FK61</f>
        <v>0</v>
      </c>
      <c r="T45" s="101"/>
      <c r="U45" s="101">
        <f t="shared" si="3"/>
        <v>0</v>
      </c>
      <c r="V45" s="101">
        <f t="shared" si="4"/>
        <v>0</v>
      </c>
      <c r="W45" s="85">
        <f t="shared" si="5"/>
        <v>0</v>
      </c>
    </row>
    <row r="46" spans="1:23">
      <c r="A46" s="45" t="str">
        <f>Summ.!B71</f>
        <v>Janitorial Supplies</v>
      </c>
      <c r="B46" s="101">
        <f>Summ.!O71</f>
        <v>24000</v>
      </c>
      <c r="C46" s="101">
        <f>'CAM - SHOPS'!N62</f>
        <v>2315.2336355484708</v>
      </c>
      <c r="D46" s="101">
        <f>'CAM - SHOPS'!W62</f>
        <v>642.02450931553255</v>
      </c>
      <c r="E46" s="101">
        <f>'CAM - SHOPS'!AF62</f>
        <v>119.55763674404702</v>
      </c>
      <c r="F46" s="101">
        <f>'CAM - SHOPS'!AO62</f>
        <v>309.65427916708182</v>
      </c>
      <c r="G46" s="101">
        <f>'CAM - SHOPS'!AX62</f>
        <v>313.83879645312345</v>
      </c>
      <c r="H46" s="101">
        <f>'CAM - SHOPS'!BP62</f>
        <v>594.20145461791367</v>
      </c>
      <c r="I46" s="101">
        <f>'CAM - SHOPS'!BY62</f>
        <v>623.49307562020522</v>
      </c>
      <c r="J46" s="101">
        <f>'CAM - SHOPS'!CH62</f>
        <v>2107.8011357975488</v>
      </c>
      <c r="K46" s="101">
        <f>'CAM - SHOPS'!CQ62</f>
        <v>6417.8539404204439</v>
      </c>
      <c r="L46" s="101">
        <f>'CAM - SHOPS'!CZ62</f>
        <v>1793.3645511607053</v>
      </c>
      <c r="M46" s="101">
        <f>'CAM - SHOPS'!DI62</f>
        <v>298.89409186011756</v>
      </c>
      <c r="N46" s="101">
        <f>'CAM - SHOPS'!DR62</f>
        <v>0</v>
      </c>
      <c r="O46" s="101">
        <f>'CAM - SHOPS'!EA62</f>
        <v>0</v>
      </c>
      <c r="P46" s="101">
        <f>'CAM - SHOPS'!EJ62</f>
        <v>0</v>
      </c>
      <c r="Q46" s="101">
        <v>0</v>
      </c>
      <c r="R46" s="101">
        <f>'CAM - SHOPS'!FB62</f>
        <v>575.07223273886621</v>
      </c>
      <c r="S46" s="101">
        <f>'CAM - SHOPS'!FK62</f>
        <v>2214.2074324997511</v>
      </c>
      <c r="T46" s="101"/>
      <c r="U46" s="101">
        <f t="shared" si="3"/>
        <v>24000</v>
      </c>
      <c r="V46" s="101">
        <f t="shared" si="4"/>
        <v>0</v>
      </c>
      <c r="W46" s="85">
        <f t="shared" si="5"/>
        <v>0</v>
      </c>
    </row>
    <row r="47" spans="1:23">
      <c r="A47" s="45" t="str">
        <f>Summ.!B72</f>
        <v>Banners - Seasonal</v>
      </c>
      <c r="B47" s="101">
        <f>Summ.!O72</f>
        <v>0</v>
      </c>
      <c r="C47" s="101">
        <f>'CAM - SHOPS'!N63</f>
        <v>0</v>
      </c>
      <c r="D47" s="101">
        <f>'CAM - SHOPS'!W63</f>
        <v>0</v>
      </c>
      <c r="E47" s="101">
        <f>'CAM - SHOPS'!AF63</f>
        <v>0</v>
      </c>
      <c r="F47" s="101">
        <f>'CAM - SHOPS'!AO63</f>
        <v>0</v>
      </c>
      <c r="G47" s="101">
        <f>'CAM - SHOPS'!AX63</f>
        <v>0</v>
      </c>
      <c r="H47" s="101">
        <f>'CAM - SHOPS'!BP63</f>
        <v>0</v>
      </c>
      <c r="I47" s="101">
        <f>'CAM - SHOPS'!BY63</f>
        <v>0</v>
      </c>
      <c r="J47" s="101">
        <f>'CAM - SHOPS'!CH63</f>
        <v>0</v>
      </c>
      <c r="K47" s="101">
        <f>'CAM - SHOPS'!CQ63</f>
        <v>0</v>
      </c>
      <c r="L47" s="101">
        <f>'CAM - SHOPS'!CZ63</f>
        <v>0</v>
      </c>
      <c r="M47" s="101">
        <f>'CAM - SHOPS'!DI63</f>
        <v>0</v>
      </c>
      <c r="N47" s="101">
        <f>'CAM - SHOPS'!DR63</f>
        <v>0</v>
      </c>
      <c r="O47" s="101">
        <f>'CAM - SHOPS'!EA63</f>
        <v>0</v>
      </c>
      <c r="P47" s="101">
        <f>'CAM - SHOPS'!EJ63</f>
        <v>0</v>
      </c>
      <c r="Q47" s="101">
        <v>0</v>
      </c>
      <c r="R47" s="101">
        <f>'CAM - SHOPS'!FB63</f>
        <v>0</v>
      </c>
      <c r="S47" s="101">
        <f>'CAM - SHOPS'!FK63</f>
        <v>0</v>
      </c>
      <c r="T47" s="101"/>
      <c r="U47" s="101">
        <f t="shared" si="3"/>
        <v>0</v>
      </c>
      <c r="V47" s="101">
        <f t="shared" si="4"/>
        <v>0</v>
      </c>
      <c r="W47" s="85">
        <f t="shared" si="5"/>
        <v>0</v>
      </c>
    </row>
    <row r="48" spans="1:23">
      <c r="A48" s="45" t="str">
        <f>Summ.!B73</f>
        <v>Trash Common Area - Split 20%</v>
      </c>
      <c r="B48" s="101">
        <f>Summ.!O73</f>
        <v>16200</v>
      </c>
      <c r="C48" s="101">
        <f>'CAM - SHOPS'!N64</f>
        <v>1228.8495436562341</v>
      </c>
      <c r="D48" s="101">
        <f>'CAM - SHOPS'!W64</f>
        <v>340.76540405029573</v>
      </c>
      <c r="E48" s="101">
        <f>'CAM - SHOPS'!AF64</f>
        <v>63.457244702103488</v>
      </c>
      <c r="F48" s="101">
        <f>'CAM - SHOPS'!AO64</f>
        <v>164.35426377844806</v>
      </c>
      <c r="G48" s="101">
        <f>'CAM - SHOPS'!AX64</f>
        <v>166.57526734302166</v>
      </c>
      <c r="H48" s="101">
        <f>'CAM - SHOPS'!BP64</f>
        <v>315.38250616945436</v>
      </c>
      <c r="I48" s="101">
        <f>'CAM - SHOPS'!BY64</f>
        <v>330.92953112146967</v>
      </c>
      <c r="J48" s="101">
        <f>'CAM - SHOPS'!CH64</f>
        <v>1118.7512240980845</v>
      </c>
      <c r="K48" s="101">
        <f>'CAM - SHOPS'!CQ64</f>
        <v>3406.384895608915</v>
      </c>
      <c r="L48" s="101">
        <f>'CAM - SHOPS'!CZ64</f>
        <v>951.85867053155232</v>
      </c>
      <c r="M48" s="101">
        <f>'CAM - SHOPS'!DI64</f>
        <v>158.64311175525873</v>
      </c>
      <c r="N48" s="101">
        <f>'CAM - SHOPS'!DR64</f>
        <v>918.86090328645855</v>
      </c>
      <c r="O48" s="101">
        <f>'CAM - SHOPS'!EA64</f>
        <v>2542.7317952132867</v>
      </c>
      <c r="P48" s="101">
        <f>'CAM - SHOPS'!EJ64</f>
        <v>2062.3604528183637</v>
      </c>
      <c r="Q48" s="101">
        <v>0</v>
      </c>
      <c r="R48" s="101">
        <f>'CAM - SHOPS'!FB64</f>
        <v>305.22934701711779</v>
      </c>
      <c r="S48" s="101">
        <f>'CAM - SHOPS'!FK64</f>
        <v>1175.2281718829565</v>
      </c>
      <c r="T48" s="101"/>
      <c r="U48" s="101">
        <f t="shared" si="3"/>
        <v>16200</v>
      </c>
      <c r="V48" s="101">
        <f t="shared" si="4"/>
        <v>0</v>
      </c>
      <c r="W48" s="85">
        <f t="shared" si="5"/>
        <v>0</v>
      </c>
    </row>
    <row r="49" spans="1:23">
      <c r="A49" s="45" t="str">
        <f>Summ.!B74</f>
        <v>Street Light Maint.</v>
      </c>
      <c r="B49" s="101">
        <f>Summ.!O74</f>
        <v>0</v>
      </c>
      <c r="C49" s="101">
        <f>'CAM - SHOPS'!N65</f>
        <v>0</v>
      </c>
      <c r="D49" s="101">
        <f>'CAM - SHOPS'!W65</f>
        <v>0</v>
      </c>
      <c r="E49" s="101">
        <f>'CAM - SHOPS'!AF65</f>
        <v>0</v>
      </c>
      <c r="F49" s="101">
        <f>'CAM - SHOPS'!AO65</f>
        <v>0</v>
      </c>
      <c r="G49" s="101">
        <f>'CAM - SHOPS'!AX65</f>
        <v>0</v>
      </c>
      <c r="H49" s="101">
        <f>'CAM - SHOPS'!BP65</f>
        <v>0</v>
      </c>
      <c r="I49" s="101">
        <f>'CAM - SHOPS'!BY65</f>
        <v>0</v>
      </c>
      <c r="J49" s="101">
        <f>'CAM - SHOPS'!CH65</f>
        <v>0</v>
      </c>
      <c r="K49" s="101">
        <f>'CAM - SHOPS'!CQ65</f>
        <v>0</v>
      </c>
      <c r="L49" s="101">
        <f>'CAM - SHOPS'!CZ65</f>
        <v>0</v>
      </c>
      <c r="M49" s="101">
        <f>'CAM - SHOPS'!DI65</f>
        <v>0</v>
      </c>
      <c r="N49" s="101">
        <f>'CAM - SHOPS'!DR65</f>
        <v>0</v>
      </c>
      <c r="O49" s="101">
        <f>'CAM - SHOPS'!EA65</f>
        <v>0</v>
      </c>
      <c r="P49" s="101">
        <f>'CAM - SHOPS'!EJ65</f>
        <v>0</v>
      </c>
      <c r="Q49" s="101">
        <v>0</v>
      </c>
      <c r="R49" s="101">
        <f>'CAM - SHOPS'!FB65</f>
        <v>0</v>
      </c>
      <c r="S49" s="101">
        <f>'CAM - SHOPS'!FK65</f>
        <v>0</v>
      </c>
      <c r="T49" s="101"/>
      <c r="U49" s="101">
        <f t="shared" si="3"/>
        <v>0</v>
      </c>
      <c r="V49" s="101">
        <f t="shared" si="4"/>
        <v>0</v>
      </c>
      <c r="W49" s="85">
        <f t="shared" si="5"/>
        <v>0</v>
      </c>
    </row>
    <row r="50" spans="1:23">
      <c r="A50" s="45" t="str">
        <f>Summ.!B75</f>
        <v>Gas</v>
      </c>
      <c r="B50" s="101">
        <f>Summ.!O75</f>
        <v>1344</v>
      </c>
      <c r="C50" s="101">
        <f>'CAM - SHOPS'!N66</f>
        <v>101.94899917740609</v>
      </c>
      <c r="D50" s="101">
        <f>'CAM - SHOPS'!W66</f>
        <v>28.270907595283795</v>
      </c>
      <c r="E50" s="101">
        <f>'CAM - SHOPS'!AF66</f>
        <v>5.2646010419522895</v>
      </c>
      <c r="F50" s="101">
        <f>'CAM - SHOPS'!AO66</f>
        <v>13.635316698656432</v>
      </c>
      <c r="G50" s="101">
        <f>'CAM - SHOPS'!AX66</f>
        <v>13.81957773512476</v>
      </c>
      <c r="H50" s="101">
        <f>'CAM - SHOPS'!BP66</f>
        <v>26.165067178502881</v>
      </c>
      <c r="I50" s="101">
        <f>'CAM - SHOPS'!BY66</f>
        <v>27.454894433781188</v>
      </c>
      <c r="J50" s="101">
        <f>'CAM - SHOPS'!CH66</f>
        <v>92.814916369618857</v>
      </c>
      <c r="K50" s="101">
        <f>'CAM - SHOPS'!CQ66</f>
        <v>282.60378393199892</v>
      </c>
      <c r="L50" s="101">
        <f>'CAM - SHOPS'!CZ66</f>
        <v>78.969015629284343</v>
      </c>
      <c r="M50" s="101">
        <f>'CAM - SHOPS'!DI66</f>
        <v>13.161502604880724</v>
      </c>
      <c r="N50" s="101">
        <f>'CAM - SHOPS'!DR66</f>
        <v>76.231423087469153</v>
      </c>
      <c r="O50" s="101">
        <f>'CAM - SHOPS'!EA66</f>
        <v>210.95256375102824</v>
      </c>
      <c r="P50" s="101">
        <f>'CAM - SHOPS'!EJ66</f>
        <v>171.09953386344944</v>
      </c>
      <c r="Q50" s="101">
        <v>0</v>
      </c>
      <c r="R50" s="101">
        <f>'CAM - SHOPS'!FB66</f>
        <v>25.322731011790516</v>
      </c>
      <c r="S50" s="101">
        <f>'CAM - SHOPS'!FK66</f>
        <v>97.500411296956401</v>
      </c>
      <c r="T50" s="101"/>
      <c r="U50" s="101">
        <f t="shared" si="3"/>
        <v>1344</v>
      </c>
      <c r="V50" s="101">
        <f t="shared" si="4"/>
        <v>0</v>
      </c>
      <c r="W50" s="85">
        <f t="shared" si="5"/>
        <v>0</v>
      </c>
    </row>
    <row r="51" spans="1:23">
      <c r="A51" s="45" t="str">
        <f>Summ.!B76</f>
        <v>Electric/Common Area</v>
      </c>
      <c r="B51" s="101">
        <f>Summ.!O76</f>
        <v>33720</v>
      </c>
      <c r="C51" s="101">
        <f>'CAM - SHOPS'!N67</f>
        <v>2557.8275686474208</v>
      </c>
      <c r="D51" s="101">
        <f>'CAM - SHOPS'!W67</f>
        <v>709.29687806024526</v>
      </c>
      <c r="E51" s="101">
        <f>'CAM - SHOPS'!AF67</f>
        <v>132.08507971326725</v>
      </c>
      <c r="F51" s="101">
        <f>'CAM - SHOPS'!AO67</f>
        <v>342.10035645736224</v>
      </c>
      <c r="G51" s="101">
        <f>'CAM - SHOPS'!AX67</f>
        <v>346.72333424732659</v>
      </c>
      <c r="H51" s="101">
        <f>'CAM - SHOPS'!BP67</f>
        <v>656.46284617493836</v>
      </c>
      <c r="I51" s="101">
        <f>'CAM - SHOPS'!BY67</f>
        <v>688.82369070468872</v>
      </c>
      <c r="J51" s="101">
        <f>'CAM - SHOPS'!CH67</f>
        <v>2328.6599553449018</v>
      </c>
      <c r="K51" s="101">
        <f>'CAM - SHOPS'!CQ67</f>
        <v>7090.327079008186</v>
      </c>
      <c r="L51" s="101">
        <f>'CAM - SHOPS'!CZ67</f>
        <v>1981.2761956990089</v>
      </c>
      <c r="M51" s="101">
        <f>'CAM - SHOPS'!DI67</f>
        <v>330.21269928316815</v>
      </c>
      <c r="N51" s="101">
        <f>'CAM - SHOPS'!DR67</f>
        <v>1912.5919542481101</v>
      </c>
      <c r="O51" s="101">
        <f>'CAM - SHOPS'!EA67</f>
        <v>5292.6491441106191</v>
      </c>
      <c r="P51" s="101">
        <f>'CAM - SHOPS'!EJ67</f>
        <v>4292.7650906811868</v>
      </c>
      <c r="Q51" s="101"/>
      <c r="R51" s="101">
        <f>'CAM - SHOPS'!FB67</f>
        <v>635.32923342081563</v>
      </c>
      <c r="S51" s="101">
        <f>'CAM - SHOPS'!FK67</f>
        <v>2446.2156762897098</v>
      </c>
      <c r="T51" s="101"/>
      <c r="U51" s="101">
        <f t="shared" si="3"/>
        <v>33720</v>
      </c>
      <c r="V51" s="101">
        <f t="shared" si="4"/>
        <v>0</v>
      </c>
      <c r="W51" s="85">
        <f t="shared" si="5"/>
        <v>0</v>
      </c>
    </row>
    <row r="52" spans="1:23">
      <c r="A52" s="45" t="str">
        <f>Summ.!B77</f>
        <v>Water/Common Area</v>
      </c>
      <c r="B52" s="101">
        <f>Summ.!O77</f>
        <v>66540</v>
      </c>
      <c r="C52" s="101">
        <f>'CAM - SHOPS'!N68</f>
        <v>5047.3857182028287</v>
      </c>
      <c r="D52" s="101">
        <f>'CAM - SHOPS'!W68</f>
        <v>1399.6623447843629</v>
      </c>
      <c r="E52" s="101">
        <f>'CAM - SHOPS'!AF68</f>
        <v>260.6447569430843</v>
      </c>
      <c r="F52" s="101">
        <f>'CAM - SHOPS'!AO68</f>
        <v>675.06992048258849</v>
      </c>
      <c r="G52" s="101">
        <f>'CAM - SHOPS'!AX68</f>
        <v>684.19248697559635</v>
      </c>
      <c r="H52" s="101">
        <f>'CAM - SHOPS'!BP68</f>
        <v>1295.4044420071291</v>
      </c>
      <c r="I52" s="101">
        <f>'CAM - SHOPS'!BY68</f>
        <v>1359.2624074581847</v>
      </c>
      <c r="J52" s="101">
        <f>'CAM - SHOPS'!CH68</f>
        <v>4595.1670649065763</v>
      </c>
      <c r="K52" s="101">
        <f>'CAM - SHOPS'!CQ68</f>
        <v>13991.410552704767</v>
      </c>
      <c r="L52" s="101">
        <f>'CAM - SHOPS'!CZ68</f>
        <v>3909.671354146265</v>
      </c>
      <c r="M52" s="101">
        <f>'CAM - SHOPS'!DI68</f>
        <v>651.61189235771087</v>
      </c>
      <c r="N52" s="101">
        <f>'CAM - SHOPS'!DR68</f>
        <v>3774.1360805358613</v>
      </c>
      <c r="O52" s="101">
        <f>'CAM - SHOPS'!EA68</f>
        <v>10444.035410709388</v>
      </c>
      <c r="P52" s="101">
        <f>'CAM - SHOPS'!EJ68</f>
        <v>8470.9546006502424</v>
      </c>
      <c r="Q52" s="101"/>
      <c r="R52" s="101">
        <f>'CAM - SHOPS'!FB68</f>
        <v>1253.7012808962356</v>
      </c>
      <c r="S52" s="101">
        <f>'CAM - SHOPS'!FK68</f>
        <v>4827.1408985859216</v>
      </c>
      <c r="T52" s="101"/>
      <c r="U52" s="101">
        <f t="shared" si="3"/>
        <v>66540</v>
      </c>
      <c r="V52" s="101">
        <f t="shared" si="4"/>
        <v>0</v>
      </c>
      <c r="W52" s="85">
        <f t="shared" si="5"/>
        <v>0</v>
      </c>
    </row>
    <row r="53" spans="1:23">
      <c r="A53" s="45" t="str">
        <f>Summ.!B78</f>
        <v>Sewer (do not use)</v>
      </c>
      <c r="B53" s="101">
        <f>Summ.!O78</f>
        <v>0</v>
      </c>
      <c r="C53" s="101">
        <f>'CAM - SHOPS'!N69</f>
        <v>0</v>
      </c>
      <c r="D53" s="101">
        <f>'CAM - SHOPS'!W69</f>
        <v>0</v>
      </c>
      <c r="E53" s="101">
        <f>'CAM - SHOPS'!AF69</f>
        <v>0</v>
      </c>
      <c r="F53" s="101">
        <f>'CAM - SHOPS'!AO69</f>
        <v>0</v>
      </c>
      <c r="G53" s="101">
        <f>'CAM - SHOPS'!AX69</f>
        <v>0</v>
      </c>
      <c r="H53" s="101">
        <f>'CAM - SHOPS'!BP69</f>
        <v>0</v>
      </c>
      <c r="I53" s="101">
        <f>'CAM - SHOPS'!BY69</f>
        <v>0</v>
      </c>
      <c r="J53" s="101">
        <f>'CAM - SHOPS'!CH69</f>
        <v>0</v>
      </c>
      <c r="K53" s="101">
        <f>'CAM - SHOPS'!CQ69</f>
        <v>0</v>
      </c>
      <c r="L53" s="101">
        <f>'CAM - SHOPS'!CZ69</f>
        <v>0</v>
      </c>
      <c r="M53" s="101">
        <f>'CAM - SHOPS'!DI69</f>
        <v>0</v>
      </c>
      <c r="N53" s="101">
        <f>'CAM - SHOPS'!DR69</f>
        <v>0</v>
      </c>
      <c r="O53" s="101">
        <f>'CAM - SHOPS'!EA69</f>
        <v>0</v>
      </c>
      <c r="P53" s="101">
        <f>'CAM - SHOPS'!EJ69</f>
        <v>0</v>
      </c>
      <c r="Q53" s="101"/>
      <c r="R53" s="101">
        <f>'CAM - SHOPS'!FB69</f>
        <v>0</v>
      </c>
      <c r="S53" s="101">
        <f>'CAM - SHOPS'!FK69</f>
        <v>0</v>
      </c>
      <c r="T53" s="101"/>
      <c r="U53" s="101"/>
      <c r="V53" s="101"/>
      <c r="W53" s="85"/>
    </row>
    <row r="54" spans="1:23"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85">
        <f>IF(V54=0,0,V54/B54)</f>
        <v>0</v>
      </c>
    </row>
    <row r="55" spans="1:23" s="47" customFormat="1">
      <c r="A55" s="102" t="str">
        <f>Summ.!B81</f>
        <v>SUBTOTAL COMMON AREA</v>
      </c>
      <c r="B55" s="103">
        <f>SUM(B9:B54)</f>
        <v>917588.68734000006</v>
      </c>
      <c r="C55" s="103">
        <f>SUM(C9:C53)</f>
        <v>73052.138846405796</v>
      </c>
      <c r="D55" s="103">
        <f t="shared" ref="D55:T55" si="6">SUM(D9:D53)</f>
        <v>20257.680640598981</v>
      </c>
      <c r="E55" s="103">
        <f t="shared" si="6"/>
        <v>3772.3800075603299</v>
      </c>
      <c r="F55" s="103">
        <f t="shared" si="6"/>
        <v>9770.4642195812576</v>
      </c>
      <c r="G55" s="103">
        <f t="shared" si="6"/>
        <v>9902.4975198458651</v>
      </c>
      <c r="H55" s="103">
        <f t="shared" si="6"/>
        <v>18748.728637574844</v>
      </c>
      <c r="I55" s="103">
        <f t="shared" si="6"/>
        <v>19672.961739427119</v>
      </c>
      <c r="J55" s="103">
        <f t="shared" si="6"/>
        <v>66507.05953328863</v>
      </c>
      <c r="K55" s="103">
        <f t="shared" si="6"/>
        <v>202501.35880583848</v>
      </c>
      <c r="L55" s="103">
        <f t="shared" si="6"/>
        <v>56585.700113404957</v>
      </c>
      <c r="M55" s="103">
        <f t="shared" si="6"/>
        <v>9430.9500189008268</v>
      </c>
      <c r="N55" s="103">
        <f t="shared" si="6"/>
        <v>34314.315023491719</v>
      </c>
      <c r="O55" s="103">
        <f t="shared" si="6"/>
        <v>94956.809598847583</v>
      </c>
      <c r="P55" s="103">
        <f t="shared" si="6"/>
        <v>77989.032750443235</v>
      </c>
      <c r="Q55" s="103">
        <f t="shared" si="6"/>
        <v>0</v>
      </c>
      <c r="R55" s="103">
        <f t="shared" si="6"/>
        <v>18145.147836365191</v>
      </c>
      <c r="S55" s="103">
        <f t="shared" si="6"/>
        <v>69864.477740017304</v>
      </c>
      <c r="T55" s="103">
        <f t="shared" si="6"/>
        <v>0</v>
      </c>
      <c r="U55" s="103">
        <f>SUM(C55:S55)</f>
        <v>785471.70303159219</v>
      </c>
      <c r="V55" s="104">
        <f>B55-U55</f>
        <v>132116.98430840787</v>
      </c>
      <c r="W55" s="105">
        <f>IF(V55=0,0,V55/B55)</f>
        <v>0.14398279548476356</v>
      </c>
    </row>
    <row r="56" spans="1:23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386"/>
    </row>
    <row r="57" spans="1:23">
      <c r="A57" s="45" t="str">
        <f>Summ.!B84</f>
        <v>Janitorial and Supplies</v>
      </c>
      <c r="B57" s="101">
        <f>Summ.!O84</f>
        <v>39600</v>
      </c>
      <c r="C57" s="101">
        <f>'CAM - SHOPS'!N74</f>
        <v>5473.4235038007209</v>
      </c>
      <c r="D57" s="101">
        <f>'CAM - SHOPS'!W74</f>
        <v>1517.8045037650334</v>
      </c>
      <c r="E57" s="101">
        <f>'CAM - SHOPS'!AF74</f>
        <v>282.64515898790194</v>
      </c>
      <c r="F57" s="101">
        <f>'CAM - SHOPS'!AO74</f>
        <v>732.05096177866596</v>
      </c>
      <c r="G57" s="101">
        <f>'CAM - SHOPS'!AX74</f>
        <v>0</v>
      </c>
      <c r="H57" s="101">
        <f>'CAM - SHOPS'!BP74</f>
        <v>1404.7464401698726</v>
      </c>
      <c r="I57" s="101">
        <f>'CAM - SHOPS'!BY74</f>
        <v>0</v>
      </c>
      <c r="J57" s="101">
        <f>'CAM - SHOPS'!CH74</f>
        <v>4983.0341529567113</v>
      </c>
      <c r="K57" s="101">
        <f>'CAM - SHOPS'!CQ74</f>
        <v>15172.392134470576</v>
      </c>
      <c r="L57" s="101">
        <f>'CAM - SHOPS'!CZ74</f>
        <v>0</v>
      </c>
      <c r="M57" s="101">
        <f>'CAM - SHOPS'!DI74</f>
        <v>706.61289746975478</v>
      </c>
      <c r="N57" s="101">
        <f>'CAM - SHOPS'!DR74</f>
        <v>4092.70190214482</v>
      </c>
      <c r="O57" s="101">
        <f>'CAM - SHOPS'!EA74</f>
        <v>0</v>
      </c>
      <c r="P57" s="101">
        <f>'CAM - SHOPS'!EJ74</f>
        <v>9185.9676671068137</v>
      </c>
      <c r="Q57" s="101"/>
      <c r="R57" s="101">
        <f>'CAM - SHOPS'!FB74</f>
        <v>0</v>
      </c>
      <c r="S57" s="101">
        <f>'CAM - SHOPS'!FK74</f>
        <v>5234.588344455944</v>
      </c>
      <c r="T57" s="101"/>
      <c r="U57" s="101"/>
      <c r="V57" s="101"/>
      <c r="W57" s="386"/>
    </row>
    <row r="58" spans="1:23">
      <c r="A58" s="45" t="str">
        <f>Summ.!B85</f>
        <v>Gas</v>
      </c>
      <c r="B58" s="101">
        <f>Summ.!O85</f>
        <v>964.08000000000027</v>
      </c>
      <c r="C58" s="101">
        <f>'CAM - SHOPS'!N75</f>
        <v>133.25298311980305</v>
      </c>
      <c r="D58" s="101">
        <f>'CAM - SHOPS'!W75</f>
        <v>36.951640555297828</v>
      </c>
      <c r="E58" s="101">
        <f>'CAM - SHOPS'!AF75</f>
        <v>6.8811248706327417</v>
      </c>
      <c r="F58" s="101">
        <f>'CAM - SHOPS'!AO75</f>
        <v>17.822113414938801</v>
      </c>
      <c r="G58" s="101">
        <f>'CAM - SHOPS'!AX75</f>
        <v>0</v>
      </c>
      <c r="H58" s="101">
        <f>'CAM - SHOPS'!BP75</f>
        <v>34.199190607044727</v>
      </c>
      <c r="I58" s="101">
        <f>'CAM - SHOPS'!BY75</f>
        <v>0</v>
      </c>
      <c r="J58" s="101">
        <f>'CAM - SHOPS'!CH75</f>
        <v>121.31423146925523</v>
      </c>
      <c r="K58" s="101">
        <f>'CAM - SHOPS'!CQ75</f>
        <v>369.37878305556558</v>
      </c>
      <c r="L58" s="101">
        <f>'CAM - SHOPS'!CZ75</f>
        <v>0</v>
      </c>
      <c r="M58" s="101">
        <f>'CAM - SHOPS'!DI75</f>
        <v>17.202812176581851</v>
      </c>
      <c r="N58" s="101">
        <f>'CAM - SHOPS'!DR75</f>
        <v>99.638688126762091</v>
      </c>
      <c r="O58" s="101">
        <f>'CAM - SHOPS'!EA75</f>
        <v>0</v>
      </c>
      <c r="P58" s="101">
        <f>'CAM - SHOPS'!EJ75</f>
        <v>223.6365582955641</v>
      </c>
      <c r="Q58" s="101"/>
      <c r="R58" s="101">
        <f>'CAM - SHOPS'!FB75</f>
        <v>0</v>
      </c>
      <c r="S58" s="101">
        <f>'CAM - SHOPS'!FK75</f>
        <v>127.43843260411838</v>
      </c>
      <c r="T58" s="101"/>
      <c r="U58" s="101"/>
      <c r="V58" s="101"/>
      <c r="W58" s="386"/>
    </row>
    <row r="59" spans="1:23">
      <c r="A59" s="45" t="str">
        <f>Summ.!B86</f>
        <v>Security - Split 20%</v>
      </c>
      <c r="B59" s="101">
        <f>Summ.!O86</f>
        <v>31804</v>
      </c>
      <c r="C59" s="101">
        <f>'CAM - SHOPS'!N76</f>
        <v>4395.8778059312663</v>
      </c>
      <c r="D59" s="101">
        <f>'CAM - SHOPS'!W76</f>
        <v>1218.9963241854325</v>
      </c>
      <c r="E59" s="101">
        <f>'CAM - SHOPS'!AF76</f>
        <v>227.00117768816244</v>
      </c>
      <c r="F59" s="101">
        <f>'CAM - SHOPS'!AO76</f>
        <v>587.93305021234073</v>
      </c>
      <c r="G59" s="101">
        <f>'CAM - SHOPS'!AX76</f>
        <v>0</v>
      </c>
      <c r="H59" s="101">
        <f>'CAM - SHOPS'!BP76</f>
        <v>1128.1958531101673</v>
      </c>
      <c r="I59" s="101">
        <f>'CAM - SHOPS'!BY76</f>
        <v>0</v>
      </c>
      <c r="J59" s="101">
        <f>'CAM - SHOPS'!CH76</f>
        <v>4002.0307626423041</v>
      </c>
      <c r="K59" s="101">
        <f>'CAM - SHOPS'!CQ76</f>
        <v>12185.423218300561</v>
      </c>
      <c r="L59" s="101">
        <f>'CAM - SHOPS'!CZ76</f>
        <v>0</v>
      </c>
      <c r="M59" s="101">
        <f>'CAM - SHOPS'!DI76</f>
        <v>567.50294422040611</v>
      </c>
      <c r="N59" s="101">
        <f>'CAM - SHOPS'!DR76</f>
        <v>3286.977052924592</v>
      </c>
      <c r="O59" s="101">
        <f>'CAM - SHOPS'!EA76</f>
        <v>0</v>
      </c>
      <c r="P59" s="101">
        <f>'CAM - SHOPS'!EJ76</f>
        <v>7377.5382748652801</v>
      </c>
      <c r="Q59" s="101"/>
      <c r="R59" s="101">
        <f>'CAM - SHOPS'!FB76</f>
        <v>0</v>
      </c>
      <c r="S59" s="101">
        <f>'CAM - SHOPS'!FK76</f>
        <v>4204.0618107847686</v>
      </c>
      <c r="T59" s="101"/>
      <c r="U59" s="101"/>
      <c r="V59" s="101"/>
      <c r="W59" s="386"/>
    </row>
    <row r="60" spans="1:23">
      <c r="A60" s="45" t="str">
        <f>Summ.!B87</f>
        <v>Trash - Split 80%</v>
      </c>
      <c r="B60" s="101">
        <f>Summ.!O87</f>
        <v>64800</v>
      </c>
      <c r="C60" s="101">
        <f>'CAM - SHOPS'!N77</f>
        <v>8956.5111880375443</v>
      </c>
      <c r="D60" s="101">
        <f>'CAM - SHOPS'!W77</f>
        <v>2483.6800970700547</v>
      </c>
      <c r="E60" s="101">
        <f>'CAM - SHOPS'!AF77</f>
        <v>462.51026016202132</v>
      </c>
      <c r="F60" s="101">
        <f>'CAM - SHOPS'!AO77</f>
        <v>1197.9015738196354</v>
      </c>
      <c r="G60" s="101">
        <f>'CAM - SHOPS'!AX77</f>
        <v>0</v>
      </c>
      <c r="H60" s="101">
        <f>'CAM - SHOPS'!BP77</f>
        <v>2298.6759930052458</v>
      </c>
      <c r="I60" s="101">
        <f>'CAM - SHOPS'!BY77</f>
        <v>0</v>
      </c>
      <c r="J60" s="101">
        <f>'CAM - SHOPS'!CH77</f>
        <v>8154.0558866564361</v>
      </c>
      <c r="K60" s="101">
        <f>'CAM - SHOPS'!CQ77</f>
        <v>24827.550765497308</v>
      </c>
      <c r="L60" s="101">
        <f>'CAM - SHOPS'!CZ77</f>
        <v>0</v>
      </c>
      <c r="M60" s="101">
        <f>'CAM - SHOPS'!DI77</f>
        <v>1156.2756504050533</v>
      </c>
      <c r="N60" s="101">
        <f>'CAM - SHOPS'!DR77</f>
        <v>6697.1485671460687</v>
      </c>
      <c r="O60" s="101">
        <f>'CAM - SHOPS'!EA77</f>
        <v>0</v>
      </c>
      <c r="P60" s="101">
        <f>'CAM - SHOPS'!EJ77</f>
        <v>15031.583455265694</v>
      </c>
      <c r="Q60" s="101"/>
      <c r="R60" s="101">
        <f>'CAM - SHOPS'!FB77</f>
        <v>0</v>
      </c>
      <c r="S60" s="101">
        <f>'CAM - SHOPS'!FK77</f>
        <v>8565.6900182006357</v>
      </c>
      <c r="T60" s="101"/>
      <c r="U60" s="101"/>
      <c r="V60" s="101"/>
      <c r="W60" s="386"/>
    </row>
    <row r="61" spans="1:23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386"/>
    </row>
    <row r="62" spans="1:23" s="384" customFormat="1">
      <c r="A62" s="384" t="s">
        <v>252</v>
      </c>
      <c r="B62" s="385">
        <f>SUM(B57:B61)</f>
        <v>137168.08000000002</v>
      </c>
      <c r="C62" s="385">
        <f>SUM(C57:C61)</f>
        <v>18959.065480889334</v>
      </c>
      <c r="D62" s="385">
        <f t="shared" ref="D62:T62" si="7">SUM(D57:D61)</f>
        <v>5257.4325655758184</v>
      </c>
      <c r="E62" s="385">
        <f t="shared" si="7"/>
        <v>979.03772170871844</v>
      </c>
      <c r="F62" s="385">
        <f t="shared" si="7"/>
        <v>2535.7076992255807</v>
      </c>
      <c r="G62" s="385">
        <f t="shared" si="7"/>
        <v>0</v>
      </c>
      <c r="H62" s="385">
        <f t="shared" si="7"/>
        <v>4865.8174768923309</v>
      </c>
      <c r="I62" s="385">
        <f t="shared" si="7"/>
        <v>0</v>
      </c>
      <c r="J62" s="385">
        <f t="shared" si="7"/>
        <v>17260.435033724705</v>
      </c>
      <c r="K62" s="385">
        <f t="shared" si="7"/>
        <v>52554.744901324011</v>
      </c>
      <c r="L62" s="385">
        <f t="shared" si="7"/>
        <v>0</v>
      </c>
      <c r="M62" s="385">
        <f t="shared" si="7"/>
        <v>2447.5943042717963</v>
      </c>
      <c r="N62" s="385">
        <f t="shared" si="7"/>
        <v>14176.466210342243</v>
      </c>
      <c r="O62" s="385">
        <f t="shared" si="7"/>
        <v>0</v>
      </c>
      <c r="P62" s="385">
        <f t="shared" si="7"/>
        <v>31818.725955533351</v>
      </c>
      <c r="Q62" s="385">
        <f t="shared" si="7"/>
        <v>0</v>
      </c>
      <c r="R62" s="385">
        <f t="shared" si="7"/>
        <v>0</v>
      </c>
      <c r="S62" s="385">
        <f t="shared" si="7"/>
        <v>18131.778606045467</v>
      </c>
      <c r="T62" s="385">
        <f t="shared" si="7"/>
        <v>0</v>
      </c>
      <c r="U62" s="385">
        <f>SUM(C62:T62)</f>
        <v>168986.80595553337</v>
      </c>
      <c r="V62" s="385">
        <f>B62-U62</f>
        <v>-31818.725955533359</v>
      </c>
      <c r="W62" s="387">
        <f>IF(V62=0,0,V62/B62)</f>
        <v>-0.23196888048249531</v>
      </c>
    </row>
    <row r="63" spans="1:23"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85"/>
    </row>
    <row r="64" spans="1:23">
      <c r="A64" s="47" t="str">
        <f>Summ.!B91</f>
        <v>BUILDING EXPENSE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85">
        <f t="shared" ref="W64:W98" si="8">IF(V64=0,0,V64/B64)</f>
        <v>0</v>
      </c>
    </row>
    <row r="65" spans="1:23">
      <c r="A65" s="45" t="str">
        <f>Summ.!B92</f>
        <v>Roof Maintenance</v>
      </c>
      <c r="B65" s="101">
        <f>Summ.!O92</f>
        <v>5000</v>
      </c>
      <c r="C65" s="101">
        <f>'CAM - SHOPS'!N82</f>
        <v>482.34034073926472</v>
      </c>
      <c r="D65" s="101">
        <f>'CAM - SHOPS'!W82</f>
        <v>133.75510610740261</v>
      </c>
      <c r="E65" s="101">
        <f>'CAM - SHOPS'!AF82</f>
        <v>24.907840988343128</v>
      </c>
      <c r="F65" s="101">
        <f>'CAM - SHOPS'!AO82</f>
        <v>64.511308159808706</v>
      </c>
      <c r="G65" s="101">
        <f>'CAM - SHOPS'!AX82</f>
        <v>65.383082594400719</v>
      </c>
      <c r="H65" s="101">
        <f>'CAM - SHOPS'!BP82</f>
        <v>123.79196971206535</v>
      </c>
      <c r="I65" s="101">
        <f>'CAM - SHOPS'!BY82</f>
        <v>129.89439075420941</v>
      </c>
      <c r="J65" s="101">
        <f>'CAM - SHOPS'!CH82</f>
        <v>439.12523662448939</v>
      </c>
      <c r="K65" s="101">
        <f>'CAM - SHOPS'!CQ82</f>
        <v>1337.0529042542591</v>
      </c>
      <c r="L65" s="101">
        <f>'CAM - SHOPS'!CZ82</f>
        <v>373.61761482514697</v>
      </c>
      <c r="M65" s="101">
        <f>'CAM - SHOPS'!DI82</f>
        <v>62.269602470857826</v>
      </c>
      <c r="N65" s="101">
        <f>'CAM - SHOPS'!DR82</f>
        <v>0</v>
      </c>
      <c r="O65" s="101">
        <f>'CAM - SHOPS'!EA82</f>
        <v>0</v>
      </c>
      <c r="P65" s="101">
        <f>'CAM - SHOPS'!EJ82</f>
        <v>0</v>
      </c>
      <c r="Q65" s="101">
        <v>0</v>
      </c>
      <c r="R65" s="101">
        <f>'CAM - SHOPS'!FB82</f>
        <v>119.80671515393045</v>
      </c>
      <c r="S65" s="101">
        <f>'CAM - SHOPS'!FK82</f>
        <v>461.29321510411478</v>
      </c>
      <c r="T65" s="101"/>
      <c r="U65" s="101">
        <f t="shared" ref="U65:U77" si="9">B65-T65</f>
        <v>5000</v>
      </c>
      <c r="V65" s="101">
        <f t="shared" ref="V65:V77" si="10">B65-U65</f>
        <v>0</v>
      </c>
      <c r="W65" s="85">
        <f t="shared" si="8"/>
        <v>0</v>
      </c>
    </row>
    <row r="66" spans="1:23">
      <c r="A66" s="45" t="str">
        <f>Summ.!B93</f>
        <v>Roof Repairs</v>
      </c>
      <c r="B66" s="101">
        <f>Summ.!O93</f>
        <v>500</v>
      </c>
      <c r="C66" s="101">
        <f>'CAM - SHOPS'!N83</f>
        <v>48.234034073926473</v>
      </c>
      <c r="D66" s="101">
        <f>'CAM - SHOPS'!W83</f>
        <v>13.37551061074026</v>
      </c>
      <c r="E66" s="101">
        <f>'CAM - SHOPS'!AF83</f>
        <v>2.4907840988343128</v>
      </c>
      <c r="F66" s="101">
        <f>'CAM - SHOPS'!AO83</f>
        <v>6.4511308159808705</v>
      </c>
      <c r="G66" s="101">
        <f>'CAM - SHOPS'!AX83</f>
        <v>6.5383082594400719</v>
      </c>
      <c r="H66" s="101">
        <f>'CAM - SHOPS'!BP83</f>
        <v>12.379196971206536</v>
      </c>
      <c r="I66" s="101">
        <f>'CAM - SHOPS'!BY83</f>
        <v>12.989439075420941</v>
      </c>
      <c r="J66" s="101">
        <f>'CAM - SHOPS'!CH83</f>
        <v>43.91252366244894</v>
      </c>
      <c r="K66" s="101">
        <f>'CAM - SHOPS'!CQ83</f>
        <v>133.70529042542591</v>
      </c>
      <c r="L66" s="101">
        <f>'CAM - SHOPS'!CZ83</f>
        <v>37.361761482514694</v>
      </c>
      <c r="M66" s="101">
        <f>'CAM - SHOPS'!DI83</f>
        <v>6.2269602470857821</v>
      </c>
      <c r="N66" s="101">
        <f>'CAM - SHOPS'!DR83</f>
        <v>0</v>
      </c>
      <c r="O66" s="101">
        <f>'CAM - SHOPS'!EA83</f>
        <v>0</v>
      </c>
      <c r="P66" s="101">
        <f>'CAM - SHOPS'!EJ83</f>
        <v>0</v>
      </c>
      <c r="Q66" s="101">
        <v>0</v>
      </c>
      <c r="R66" s="101">
        <f>'CAM - SHOPS'!FB83</f>
        <v>11.980671515393047</v>
      </c>
      <c r="S66" s="101">
        <f>'CAM - SHOPS'!FK83</f>
        <v>46.129321510411479</v>
      </c>
      <c r="T66" s="101"/>
      <c r="U66" s="101">
        <f t="shared" si="9"/>
        <v>500</v>
      </c>
      <c r="V66" s="101">
        <f t="shared" si="10"/>
        <v>0</v>
      </c>
      <c r="W66" s="85">
        <f t="shared" si="8"/>
        <v>0</v>
      </c>
    </row>
    <row r="67" spans="1:23">
      <c r="A67" s="45" t="str">
        <f>Summ.!B94</f>
        <v>Elevator Maint.</v>
      </c>
      <c r="B67" s="101">
        <f>Summ.!O94</f>
        <v>24380</v>
      </c>
      <c r="C67" s="101">
        <f>'CAM - SHOPS'!N84</f>
        <v>2351.8915014446548</v>
      </c>
      <c r="D67" s="101">
        <f>'CAM - SHOPS'!W84</f>
        <v>652.18989737969514</v>
      </c>
      <c r="E67" s="101">
        <f>'CAM - SHOPS'!AF84</f>
        <v>121.4506326591611</v>
      </c>
      <c r="F67" s="101">
        <f>'CAM - SHOPS'!AO84</f>
        <v>314.55713858722726</v>
      </c>
      <c r="G67" s="101">
        <f>'CAM - SHOPS'!AX84</f>
        <v>318.80791073029786</v>
      </c>
      <c r="H67" s="101">
        <f>'CAM - SHOPS'!BP84</f>
        <v>603.60964431603065</v>
      </c>
      <c r="I67" s="101">
        <f>'CAM - SHOPS'!BY84</f>
        <v>633.36504931752518</v>
      </c>
      <c r="J67" s="101">
        <f>'CAM - SHOPS'!CH84</f>
        <v>2141.1746537810104</v>
      </c>
      <c r="K67" s="101">
        <f>'CAM - SHOPS'!CQ84</f>
        <v>6519.4699611437682</v>
      </c>
      <c r="L67" s="101">
        <f>'CAM - SHOPS'!CZ84</f>
        <v>1821.7594898874165</v>
      </c>
      <c r="M67" s="101">
        <f>'CAM - SHOPS'!DI84</f>
        <v>303.62658164790275</v>
      </c>
      <c r="N67" s="101">
        <f>'CAM - SHOPS'!DR84</f>
        <v>0</v>
      </c>
      <c r="O67" s="101">
        <f>'CAM - SHOPS'!EA84</f>
        <v>0</v>
      </c>
      <c r="P67" s="101">
        <f>'CAM - SHOPS'!EJ84</f>
        <v>0</v>
      </c>
      <c r="Q67" s="101">
        <v>0</v>
      </c>
      <c r="R67" s="101">
        <f>'CAM - SHOPS'!FB84</f>
        <v>584.17754309056488</v>
      </c>
      <c r="S67" s="101">
        <f>'CAM - SHOPS'!FK84</f>
        <v>2249.2657168476635</v>
      </c>
      <c r="T67" s="101"/>
      <c r="U67" s="101">
        <f t="shared" si="9"/>
        <v>24380</v>
      </c>
      <c r="V67" s="101">
        <f t="shared" si="10"/>
        <v>0</v>
      </c>
      <c r="W67" s="85">
        <f t="shared" si="8"/>
        <v>0</v>
      </c>
    </row>
    <row r="68" spans="1:23">
      <c r="A68" s="45" t="str">
        <f>Summ.!B95</f>
        <v>Monitor Fire Sprinklers</v>
      </c>
      <c r="B68" s="101">
        <f>Summ.!O95</f>
        <v>3644</v>
      </c>
      <c r="C68" s="101">
        <f>'CAM - SHOPS'!N85</f>
        <v>351.52964033077615</v>
      </c>
      <c r="D68" s="101">
        <f>'CAM - SHOPS'!W85</f>
        <v>97.480721331075017</v>
      </c>
      <c r="E68" s="101">
        <f>'CAM - SHOPS'!AF85</f>
        <v>18.152834512304473</v>
      </c>
      <c r="F68" s="101">
        <f>'CAM - SHOPS'!AO85</f>
        <v>47.015841386868587</v>
      </c>
      <c r="G68" s="101">
        <f>'CAM - SHOPS'!AX85</f>
        <v>47.651190594799239</v>
      </c>
      <c r="H68" s="101">
        <f>'CAM - SHOPS'!BP85</f>
        <v>90.219587526153234</v>
      </c>
      <c r="I68" s="101">
        <f>'CAM - SHOPS'!BY85</f>
        <v>94.667031981667833</v>
      </c>
      <c r="J68" s="101">
        <f>'CAM - SHOPS'!CH85</f>
        <v>320.03447245192785</v>
      </c>
      <c r="K68" s="101">
        <f>'CAM - SHOPS'!CQ85</f>
        <v>974.44415662050415</v>
      </c>
      <c r="L68" s="101">
        <f>'CAM - SHOPS'!CZ85</f>
        <v>272.29251768456709</v>
      </c>
      <c r="M68" s="101">
        <f>'CAM - SHOPS'!DI85</f>
        <v>45.382086280761186</v>
      </c>
      <c r="N68" s="101">
        <f>'CAM - SHOPS'!DR85</f>
        <v>0</v>
      </c>
      <c r="O68" s="101">
        <f>'CAM - SHOPS'!EA85</f>
        <v>0</v>
      </c>
      <c r="P68" s="101">
        <f>'CAM - SHOPS'!EJ85</f>
        <v>0</v>
      </c>
      <c r="Q68" s="101">
        <v>0</v>
      </c>
      <c r="R68" s="101">
        <f>'CAM - SHOPS'!FB85</f>
        <v>87.315134004184515</v>
      </c>
      <c r="S68" s="101">
        <f>'CAM - SHOPS'!FK85</f>
        <v>336.19049516787885</v>
      </c>
      <c r="T68" s="101"/>
      <c r="U68" s="101">
        <f t="shared" si="9"/>
        <v>3644</v>
      </c>
      <c r="V68" s="101">
        <f t="shared" si="10"/>
        <v>0</v>
      </c>
      <c r="W68" s="85">
        <f t="shared" si="8"/>
        <v>0</v>
      </c>
    </row>
    <row r="69" spans="1:23">
      <c r="A69" s="45" t="str">
        <f>Summ.!B96</f>
        <v>Fire Protection Repairs</v>
      </c>
      <c r="B69" s="101">
        <f>Summ.!O96</f>
        <v>1203</v>
      </c>
      <c r="C69" s="101">
        <f>'CAM - SHOPS'!N86</f>
        <v>116.05108598186709</v>
      </c>
      <c r="D69" s="101">
        <f>'CAM - SHOPS'!W86</f>
        <v>32.181478529441065</v>
      </c>
      <c r="E69" s="101">
        <f>'CAM - SHOPS'!AF86</f>
        <v>5.992826541795357</v>
      </c>
      <c r="F69" s="101">
        <f>'CAM - SHOPS'!AO86</f>
        <v>15.521420743249974</v>
      </c>
      <c r="G69" s="101">
        <f>'CAM - SHOPS'!AX86</f>
        <v>15.731169672212811</v>
      </c>
      <c r="H69" s="101">
        <f>'CAM - SHOPS'!BP86</f>
        <v>29.784347912722925</v>
      </c>
      <c r="I69" s="101">
        <f>'CAM - SHOPS'!BY86</f>
        <v>31.252590415462787</v>
      </c>
      <c r="J69" s="101">
        <f>'CAM - SHOPS'!CH86</f>
        <v>105.74135697917704</v>
      </c>
      <c r="K69" s="101">
        <f>'CAM - SHOPS'!CQ86</f>
        <v>321.96233934442563</v>
      </c>
      <c r="L69" s="101">
        <f>'CAM - SHOPS'!CZ86</f>
        <v>89.96712164989539</v>
      </c>
      <c r="M69" s="101">
        <f>'CAM - SHOPS'!DI86</f>
        <v>14.994520274982564</v>
      </c>
      <c r="N69" s="101">
        <f>'CAM - SHOPS'!DR86</f>
        <v>0</v>
      </c>
      <c r="O69" s="101">
        <f>'CAM - SHOPS'!EA86</f>
        <v>0</v>
      </c>
      <c r="P69" s="101">
        <f>'CAM - SHOPS'!EJ86</f>
        <v>0</v>
      </c>
      <c r="Q69" s="101">
        <v>0</v>
      </c>
      <c r="R69" s="101">
        <f>'CAM - SHOPS'!FB86</f>
        <v>28.849457009066455</v>
      </c>
      <c r="S69" s="101">
        <f>'CAM - SHOPS'!FK86</f>
        <v>111.07940619707084</v>
      </c>
      <c r="T69" s="101"/>
      <c r="U69" s="101">
        <f t="shared" si="9"/>
        <v>1203</v>
      </c>
      <c r="V69" s="101">
        <f t="shared" si="10"/>
        <v>0</v>
      </c>
      <c r="W69" s="85">
        <f t="shared" si="8"/>
        <v>0</v>
      </c>
    </row>
    <row r="70" spans="1:23">
      <c r="A70" s="45" t="str">
        <f>Summ.!B97</f>
        <v>Elevator Repair</v>
      </c>
      <c r="B70" s="101">
        <f>Summ.!O97</f>
        <v>0</v>
      </c>
      <c r="C70" s="101">
        <f>'CAM - SHOPS'!N87</f>
        <v>0</v>
      </c>
      <c r="D70" s="101">
        <f>'CAM - SHOPS'!W87</f>
        <v>0</v>
      </c>
      <c r="E70" s="101">
        <f>'CAM - SHOPS'!AF87</f>
        <v>0</v>
      </c>
      <c r="F70" s="101">
        <f>'CAM - SHOPS'!AO87</f>
        <v>0</v>
      </c>
      <c r="G70" s="101">
        <f>'CAM - SHOPS'!AX87</f>
        <v>0</v>
      </c>
      <c r="H70" s="101">
        <f>'CAM - SHOPS'!BP87</f>
        <v>0</v>
      </c>
      <c r="I70" s="101">
        <f>'CAM - SHOPS'!BY87</f>
        <v>0</v>
      </c>
      <c r="J70" s="101">
        <f>'CAM - SHOPS'!CH87</f>
        <v>0</v>
      </c>
      <c r="K70" s="101">
        <f>'CAM - SHOPS'!CQ87</f>
        <v>0</v>
      </c>
      <c r="L70" s="101">
        <f>'CAM - SHOPS'!CZ87</f>
        <v>0</v>
      </c>
      <c r="M70" s="101">
        <f>'CAM - SHOPS'!DI87</f>
        <v>0</v>
      </c>
      <c r="N70" s="101">
        <f>'CAM - SHOPS'!DR87</f>
        <v>0</v>
      </c>
      <c r="O70" s="101">
        <f>'CAM - SHOPS'!EA87</f>
        <v>0</v>
      </c>
      <c r="P70" s="101">
        <f>'CAM - SHOPS'!EJ87</f>
        <v>0</v>
      </c>
      <c r="Q70" s="101">
        <v>0</v>
      </c>
      <c r="R70" s="101">
        <f>'CAM - SHOPS'!FB87</f>
        <v>0</v>
      </c>
      <c r="S70" s="101">
        <f>'CAM - SHOPS'!FK87</f>
        <v>0</v>
      </c>
      <c r="T70" s="101"/>
      <c r="U70" s="101">
        <f t="shared" si="9"/>
        <v>0</v>
      </c>
      <c r="V70" s="101">
        <f t="shared" si="10"/>
        <v>0</v>
      </c>
      <c r="W70" s="85">
        <f t="shared" si="8"/>
        <v>0</v>
      </c>
    </row>
    <row r="71" spans="1:23">
      <c r="A71" s="45" t="str">
        <f>Summ.!B98</f>
        <v>Backflow Maintenance</v>
      </c>
      <c r="B71" s="101">
        <f>Summ.!O98</f>
        <v>1030</v>
      </c>
      <c r="C71" s="101">
        <f>'CAM - SHOPS'!N88</f>
        <v>99.362110192288526</v>
      </c>
      <c r="D71" s="101">
        <f>'CAM - SHOPS'!W88</f>
        <v>27.553551858124937</v>
      </c>
      <c r="E71" s="101">
        <f>'CAM - SHOPS'!AF88</f>
        <v>5.1310152435986849</v>
      </c>
      <c r="F71" s="101">
        <f>'CAM - SHOPS'!AO88</f>
        <v>13.289329480920594</v>
      </c>
      <c r="G71" s="101">
        <f>'CAM - SHOPS'!AX88</f>
        <v>13.468915014446548</v>
      </c>
      <c r="H71" s="101">
        <f>'CAM - SHOPS'!BP88</f>
        <v>25.501145760685464</v>
      </c>
      <c r="I71" s="101">
        <f>'CAM - SHOPS'!BY88</f>
        <v>26.758244495367141</v>
      </c>
      <c r="J71" s="101">
        <f>'CAM - SHOPS'!CH88</f>
        <v>90.459798744644814</v>
      </c>
      <c r="K71" s="101">
        <f>'CAM - SHOPS'!CQ88</f>
        <v>275.43289827637739</v>
      </c>
      <c r="L71" s="101">
        <f>'CAM - SHOPS'!CZ88</f>
        <v>76.965228653980276</v>
      </c>
      <c r="M71" s="101">
        <f>'CAM - SHOPS'!DI88</f>
        <v>12.827538108996713</v>
      </c>
      <c r="N71" s="101">
        <f>'CAM - SHOPS'!DR88</f>
        <v>0</v>
      </c>
      <c r="O71" s="101">
        <f>'CAM - SHOPS'!EA88</f>
        <v>0</v>
      </c>
      <c r="P71" s="101">
        <f>'CAM - SHOPS'!EJ88</f>
        <v>0</v>
      </c>
      <c r="Q71" s="101">
        <v>0</v>
      </c>
      <c r="R71" s="101">
        <f>'CAM - SHOPS'!FB88</f>
        <v>24.680183321709674</v>
      </c>
      <c r="S71" s="101">
        <f>'CAM - SHOPS'!FK88</f>
        <v>95.02640231144764</v>
      </c>
      <c r="T71" s="101"/>
      <c r="U71" s="101">
        <f t="shared" si="9"/>
        <v>1030</v>
      </c>
      <c r="V71" s="101">
        <f t="shared" si="10"/>
        <v>0</v>
      </c>
      <c r="W71" s="85">
        <f t="shared" si="8"/>
        <v>0</v>
      </c>
    </row>
    <row r="72" spans="1:23">
      <c r="A72" s="45" t="str">
        <f>Summ.!B99</f>
        <v>Backflow Repairs</v>
      </c>
      <c r="B72" s="101">
        <f>Summ.!O99</f>
        <v>500</v>
      </c>
      <c r="C72" s="101">
        <f>'CAM - SHOPS'!N89</f>
        <v>48.234034073926473</v>
      </c>
      <c r="D72" s="101">
        <f>'CAM - SHOPS'!W89</f>
        <v>13.37551061074026</v>
      </c>
      <c r="E72" s="101">
        <f>'CAM - SHOPS'!AF89</f>
        <v>2.4907840988343128</v>
      </c>
      <c r="F72" s="101">
        <f>'CAM - SHOPS'!AO89</f>
        <v>6.4511308159808705</v>
      </c>
      <c r="G72" s="101">
        <f>'CAM - SHOPS'!AX89</f>
        <v>6.5383082594400719</v>
      </c>
      <c r="H72" s="101">
        <f>'CAM - SHOPS'!BP89</f>
        <v>12.379196971206536</v>
      </c>
      <c r="I72" s="101">
        <f>'CAM - SHOPS'!BY89</f>
        <v>12.989439075420941</v>
      </c>
      <c r="J72" s="101">
        <f>'CAM - SHOPS'!CH89</f>
        <v>44.000348709773839</v>
      </c>
      <c r="K72" s="101">
        <f>'CAM - SHOPS'!CQ89</f>
        <v>133.97270100627676</v>
      </c>
      <c r="L72" s="101">
        <f>'CAM - SHOPS'!CZ89</f>
        <v>37.436485005479724</v>
      </c>
      <c r="M72" s="101">
        <f>'CAM - SHOPS'!DI89</f>
        <v>6.2394141675799544</v>
      </c>
      <c r="N72" s="101">
        <f>'CAM - SHOPS'!DR89</f>
        <v>0</v>
      </c>
      <c r="O72" s="101">
        <f>'CAM - SHOPS'!EA89</f>
        <v>0</v>
      </c>
      <c r="P72" s="101">
        <f>'CAM - SHOPS'!EJ89</f>
        <v>0</v>
      </c>
      <c r="Q72" s="101">
        <v>0</v>
      </c>
      <c r="R72" s="101">
        <f>'CAM - SHOPS'!FB89</f>
        <v>12.004632858423832</v>
      </c>
      <c r="S72" s="101">
        <f>'CAM - SHOPS'!FK89</f>
        <v>46.221580153432299</v>
      </c>
      <c r="T72" s="101"/>
      <c r="U72" s="101">
        <f t="shared" si="9"/>
        <v>500</v>
      </c>
      <c r="V72" s="101">
        <f t="shared" si="10"/>
        <v>0</v>
      </c>
      <c r="W72" s="85">
        <f t="shared" si="8"/>
        <v>0</v>
      </c>
    </row>
    <row r="73" spans="1:23" ht="13.5" customHeight="1">
      <c r="A73" s="45" t="str">
        <f>Summ.!B100</f>
        <v>Building Paint</v>
      </c>
      <c r="B73" s="101">
        <f>Summ.!O100</f>
        <v>0</v>
      </c>
      <c r="C73" s="101">
        <f>'CAM - SHOPS'!N90</f>
        <v>0</v>
      </c>
      <c r="D73" s="101">
        <f>'CAM - SHOPS'!W90</f>
        <v>0</v>
      </c>
      <c r="E73" s="101">
        <f>'CAM - SHOPS'!AF90</f>
        <v>0</v>
      </c>
      <c r="F73" s="101">
        <f>'CAM - SHOPS'!AO90</f>
        <v>0</v>
      </c>
      <c r="G73" s="101">
        <f>'CAM - SHOPS'!AX90</f>
        <v>0</v>
      </c>
      <c r="H73" s="101">
        <f>'CAM - SHOPS'!BP90</f>
        <v>0</v>
      </c>
      <c r="I73" s="101">
        <f>'CAM - SHOPS'!BY90</f>
        <v>0</v>
      </c>
      <c r="J73" s="101">
        <f>'CAM - SHOPS'!CH90</f>
        <v>0</v>
      </c>
      <c r="K73" s="101">
        <f>'CAM - SHOPS'!CQ90</f>
        <v>0</v>
      </c>
      <c r="L73" s="101">
        <f>'CAM - SHOPS'!CZ90</f>
        <v>0</v>
      </c>
      <c r="M73" s="101">
        <f>'CAM - SHOPS'!DI90</f>
        <v>0</v>
      </c>
      <c r="N73" s="101">
        <f>'CAM - SHOPS'!DR90</f>
        <v>0</v>
      </c>
      <c r="O73" s="101">
        <f>'CAM - SHOPS'!EA90</f>
        <v>0</v>
      </c>
      <c r="P73" s="101">
        <f>'CAM - SHOPS'!EJ90</f>
        <v>0</v>
      </c>
      <c r="Q73" s="101">
        <v>0</v>
      </c>
      <c r="R73" s="101">
        <f>'CAM - SHOPS'!FB90</f>
        <v>0</v>
      </c>
      <c r="S73" s="101">
        <f>'CAM - SHOPS'!FK90</f>
        <v>0</v>
      </c>
      <c r="T73" s="101"/>
      <c r="U73" s="101">
        <f t="shared" si="9"/>
        <v>0</v>
      </c>
      <c r="V73" s="101">
        <f t="shared" si="10"/>
        <v>0</v>
      </c>
      <c r="W73" s="85">
        <f t="shared" si="8"/>
        <v>0</v>
      </c>
    </row>
    <row r="74" spans="1:23">
      <c r="A74" s="45" t="str">
        <f>Summ.!B101</f>
        <v>Building Repair and Maint.</v>
      </c>
      <c r="B74" s="101">
        <f>Summ.!O101</f>
        <v>0</v>
      </c>
      <c r="C74" s="101">
        <f>'CAM - SHOPS'!N91</f>
        <v>0</v>
      </c>
      <c r="D74" s="101">
        <f>'CAM - SHOPS'!W91</f>
        <v>0</v>
      </c>
      <c r="E74" s="101">
        <f>'CAM - SHOPS'!AF91</f>
        <v>0</v>
      </c>
      <c r="F74" s="101">
        <f>'CAM - SHOPS'!AO91</f>
        <v>0</v>
      </c>
      <c r="G74" s="101">
        <f>'CAM - SHOPS'!AX91</f>
        <v>0</v>
      </c>
      <c r="H74" s="101">
        <f>'CAM - SHOPS'!BP91</f>
        <v>0</v>
      </c>
      <c r="I74" s="101">
        <f>'CAM - SHOPS'!BY91</f>
        <v>0</v>
      </c>
      <c r="J74" s="101">
        <f>'CAM - SHOPS'!CH91</f>
        <v>0</v>
      </c>
      <c r="K74" s="101">
        <f>'CAM - SHOPS'!CQ91</f>
        <v>0</v>
      </c>
      <c r="L74" s="101">
        <f>'CAM - SHOPS'!CZ91</f>
        <v>0</v>
      </c>
      <c r="M74" s="101">
        <f>'CAM - SHOPS'!DI91</f>
        <v>0</v>
      </c>
      <c r="N74" s="101">
        <f>'CAM - SHOPS'!DR91</f>
        <v>0</v>
      </c>
      <c r="O74" s="101">
        <f>'CAM - SHOPS'!EA91</f>
        <v>0</v>
      </c>
      <c r="P74" s="101">
        <f>'CAM - SHOPS'!EJ91</f>
        <v>0</v>
      </c>
      <c r="Q74" s="101">
        <v>0</v>
      </c>
      <c r="R74" s="101">
        <f>'CAM - SHOPS'!FB91</f>
        <v>0</v>
      </c>
      <c r="S74" s="101">
        <f>'CAM - SHOPS'!FK91</f>
        <v>0</v>
      </c>
      <c r="T74" s="101"/>
      <c r="U74" s="101">
        <f t="shared" si="9"/>
        <v>0</v>
      </c>
      <c r="V74" s="101">
        <f t="shared" si="10"/>
        <v>0</v>
      </c>
      <c r="W74" s="85">
        <f t="shared" si="8"/>
        <v>0</v>
      </c>
    </row>
    <row r="75" spans="1:23">
      <c r="A75" s="45" t="str">
        <f>Summ.!B102</f>
        <v>Trash Removal Foodcourt</v>
      </c>
      <c r="B75" s="101">
        <f>Summ.!O102</f>
        <v>0</v>
      </c>
      <c r="C75" s="101">
        <f>'CAM - SHOPS'!N92</f>
        <v>0</v>
      </c>
      <c r="D75" s="101">
        <f>'CAM - SHOPS'!W92</f>
        <v>0</v>
      </c>
      <c r="E75" s="101">
        <f>'CAM - SHOPS'!AF92</f>
        <v>0</v>
      </c>
      <c r="F75" s="101">
        <f>'CAM - SHOPS'!AO92</f>
        <v>0</v>
      </c>
      <c r="G75" s="101">
        <f>'CAM - SHOPS'!AX92</f>
        <v>0</v>
      </c>
      <c r="H75" s="101">
        <f>'CAM - SHOPS'!BP92</f>
        <v>0</v>
      </c>
      <c r="I75" s="101">
        <f>'CAM - SHOPS'!BY92</f>
        <v>0</v>
      </c>
      <c r="J75" s="101">
        <f>'CAM - SHOPS'!CH92</f>
        <v>0</v>
      </c>
      <c r="K75" s="101">
        <f>'CAM - SHOPS'!CQ92</f>
        <v>0</v>
      </c>
      <c r="L75" s="101">
        <f>'CAM - SHOPS'!CZ92</f>
        <v>0</v>
      </c>
      <c r="M75" s="101">
        <f>'CAM - SHOPS'!DI92</f>
        <v>0</v>
      </c>
      <c r="N75" s="101">
        <f>'CAM - SHOPS'!DR92</f>
        <v>0</v>
      </c>
      <c r="O75" s="101">
        <f>'CAM - SHOPS'!EA92</f>
        <v>0</v>
      </c>
      <c r="P75" s="101">
        <f>'CAM - SHOPS'!EJ92</f>
        <v>0</v>
      </c>
      <c r="Q75" s="101">
        <v>0</v>
      </c>
      <c r="R75" s="101">
        <f>'CAM - SHOPS'!FB92</f>
        <v>0</v>
      </c>
      <c r="S75" s="101">
        <f>'CAM - SHOPS'!FK92</f>
        <v>0</v>
      </c>
      <c r="T75" s="101"/>
      <c r="U75" s="101">
        <f t="shared" si="9"/>
        <v>0</v>
      </c>
      <c r="V75" s="101">
        <f t="shared" si="10"/>
        <v>0</v>
      </c>
      <c r="W75" s="85">
        <f t="shared" si="8"/>
        <v>0</v>
      </c>
    </row>
    <row r="76" spans="1:23">
      <c r="A76" s="45" t="str">
        <f>Summ.!B103</f>
        <v>Grease Trap Maintenance</v>
      </c>
      <c r="B76" s="101">
        <f>Summ.!O103</f>
        <v>0</v>
      </c>
      <c r="C76" s="101">
        <f>'CAM - SHOPS'!N93</f>
        <v>0</v>
      </c>
      <c r="D76" s="101">
        <f>'CAM - SHOPS'!W93</f>
        <v>0</v>
      </c>
      <c r="E76" s="101">
        <f>'CAM - SHOPS'!AF93</f>
        <v>0</v>
      </c>
      <c r="F76" s="101">
        <f>'CAM - SHOPS'!AO93</f>
        <v>0</v>
      </c>
      <c r="G76" s="101">
        <f>'CAM - SHOPS'!AX93</f>
        <v>0</v>
      </c>
      <c r="H76" s="101">
        <f>'CAM - SHOPS'!BP93</f>
        <v>0</v>
      </c>
      <c r="I76" s="101">
        <f>'CAM - SHOPS'!BY93</f>
        <v>0</v>
      </c>
      <c r="J76" s="101">
        <f>'CAM - SHOPS'!CH93</f>
        <v>0</v>
      </c>
      <c r="K76" s="101">
        <f>'CAM - SHOPS'!CQ93</f>
        <v>0</v>
      </c>
      <c r="L76" s="101">
        <f>'CAM - SHOPS'!CZ93</f>
        <v>0</v>
      </c>
      <c r="M76" s="101">
        <f>'CAM - SHOPS'!DI93</f>
        <v>0</v>
      </c>
      <c r="N76" s="101">
        <f>'CAM - SHOPS'!DR93</f>
        <v>0</v>
      </c>
      <c r="O76" s="101">
        <f>'CAM - SHOPS'!EA93</f>
        <v>0</v>
      </c>
      <c r="P76" s="101">
        <f>'CAM - SHOPS'!EJ93</f>
        <v>0</v>
      </c>
      <c r="Q76" s="101">
        <v>0</v>
      </c>
      <c r="R76" s="101">
        <f>'CAM - SHOPS'!FB93</f>
        <v>0</v>
      </c>
      <c r="S76" s="101">
        <f>'CAM - SHOPS'!FK93</f>
        <v>0</v>
      </c>
      <c r="T76" s="101"/>
      <c r="U76" s="101">
        <f t="shared" si="9"/>
        <v>0</v>
      </c>
      <c r="V76" s="101">
        <f t="shared" si="10"/>
        <v>0</v>
      </c>
      <c r="W76" s="85">
        <f t="shared" si="8"/>
        <v>0</v>
      </c>
    </row>
    <row r="77" spans="1:23">
      <c r="A77" s="45" t="str">
        <f>Summ.!B104</f>
        <v>Water/Building and Sewer</v>
      </c>
      <c r="B77" s="101">
        <f>Summ.!O104</f>
        <v>79500</v>
      </c>
      <c r="C77" s="101">
        <f>'CAM - SHOPS'!N94</f>
        <v>7669.211417754309</v>
      </c>
      <c r="D77" s="101">
        <f>'CAM - SHOPS'!W94</f>
        <v>2126.7061871077012</v>
      </c>
      <c r="E77" s="101">
        <f>'CAM - SHOPS'!AF94</f>
        <v>396.03467171465576</v>
      </c>
      <c r="F77" s="101">
        <f>'CAM - SHOPS'!AO94</f>
        <v>1025.7297997409585</v>
      </c>
      <c r="G77" s="101">
        <f>'CAM - SHOPS'!AX94</f>
        <v>1039.5910132509714</v>
      </c>
      <c r="H77" s="101">
        <f>'CAM - SHOPS'!BP94</f>
        <v>1968.2923184218391</v>
      </c>
      <c r="I77" s="101">
        <f>'CAM - SHOPS'!BY94</f>
        <v>2065.3208129919299</v>
      </c>
      <c r="J77" s="101">
        <f>'CAM - SHOPS'!CH94</f>
        <v>6982.0912623293807</v>
      </c>
      <c r="K77" s="101">
        <f>'CAM - SHOPS'!CQ94</f>
        <v>21259.141177642723</v>
      </c>
      <c r="L77" s="101">
        <f>'CAM - SHOPS'!CZ94</f>
        <v>5940.5200757198363</v>
      </c>
      <c r="M77" s="101">
        <f>'CAM - SHOPS'!DI94</f>
        <v>990.08667928663942</v>
      </c>
      <c r="N77" s="101">
        <f>'CAM - SHOPS'!DR94</f>
        <v>0</v>
      </c>
      <c r="O77" s="101">
        <f>'CAM - SHOPS'!EA94</f>
        <v>0</v>
      </c>
      <c r="P77" s="101">
        <f>'CAM - SHOPS'!EJ94</f>
        <v>0</v>
      </c>
      <c r="Q77" s="101">
        <v>0</v>
      </c>
      <c r="R77" s="101">
        <f>'CAM - SHOPS'!FB94</f>
        <v>0</v>
      </c>
      <c r="S77" s="101">
        <f>'CAM - SHOPS'!FK94</f>
        <v>0</v>
      </c>
      <c r="T77" s="101"/>
      <c r="U77" s="101">
        <f t="shared" si="9"/>
        <v>79500</v>
      </c>
      <c r="V77" s="101">
        <f t="shared" si="10"/>
        <v>0</v>
      </c>
      <c r="W77" s="85">
        <f t="shared" si="8"/>
        <v>0</v>
      </c>
    </row>
    <row r="78" spans="1:23"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85">
        <f t="shared" si="8"/>
        <v>0</v>
      </c>
    </row>
    <row r="79" spans="1:23" s="47" customFormat="1">
      <c r="A79" s="102" t="str">
        <f>Summ.!B106</f>
        <v>SUBTOTAL BUILDING EXP.</v>
      </c>
      <c r="B79" s="103">
        <f t="shared" ref="B79:P79" si="11">SUM(B65:B77)</f>
        <v>115757</v>
      </c>
      <c r="C79" s="103">
        <f t="shared" si="11"/>
        <v>11166.854164591014</v>
      </c>
      <c r="D79" s="103">
        <f t="shared" si="11"/>
        <v>3096.6179635349204</v>
      </c>
      <c r="E79" s="103">
        <f t="shared" si="11"/>
        <v>576.65138985752719</v>
      </c>
      <c r="F79" s="103">
        <f t="shared" si="11"/>
        <v>1493.5270997309954</v>
      </c>
      <c r="G79" s="103">
        <f t="shared" si="11"/>
        <v>1513.7098983760088</v>
      </c>
      <c r="H79" s="103">
        <f t="shared" si="11"/>
        <v>2865.9574075919099</v>
      </c>
      <c r="I79" s="103">
        <f t="shared" si="11"/>
        <v>3007.2369981070042</v>
      </c>
      <c r="J79" s="103">
        <f t="shared" si="11"/>
        <v>10166.539653282853</v>
      </c>
      <c r="K79" s="103">
        <f t="shared" si="11"/>
        <v>30955.18142871376</v>
      </c>
      <c r="L79" s="103">
        <f t="shared" si="11"/>
        <v>8649.9202949088376</v>
      </c>
      <c r="M79" s="103">
        <f t="shared" si="11"/>
        <v>1441.6533824848061</v>
      </c>
      <c r="N79" s="103">
        <f t="shared" si="11"/>
        <v>0</v>
      </c>
      <c r="O79" s="103">
        <f t="shared" si="11"/>
        <v>0</v>
      </c>
      <c r="P79" s="103">
        <f t="shared" si="11"/>
        <v>0</v>
      </c>
      <c r="Q79" s="103">
        <v>0</v>
      </c>
      <c r="R79" s="103">
        <f>SUM(R65:R77)</f>
        <v>868.81433695327291</v>
      </c>
      <c r="S79" s="103">
        <f>SUM(S65:S77)</f>
        <v>3345.2061372920198</v>
      </c>
      <c r="T79" s="103"/>
      <c r="U79" s="103">
        <f>SUM(C79:S79)</f>
        <v>79147.870155424927</v>
      </c>
      <c r="V79" s="104">
        <f>B79-U79</f>
        <v>36609.129844575073</v>
      </c>
      <c r="W79" s="105">
        <f t="shared" si="8"/>
        <v>0.31625845386952905</v>
      </c>
    </row>
    <row r="80" spans="1:23"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85">
        <f t="shared" si="8"/>
        <v>0</v>
      </c>
    </row>
    <row r="81" spans="1:23">
      <c r="A81" s="47" t="str">
        <f>Summ.!B108</f>
        <v>INSURANCE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85">
        <f t="shared" si="8"/>
        <v>0</v>
      </c>
    </row>
    <row r="82" spans="1:23">
      <c r="A82" s="45" t="str">
        <f>Summ.!B109</f>
        <v>Insurance - Property</v>
      </c>
      <c r="B82" s="101">
        <f>Summ.!O109</f>
        <v>172347.09999999998</v>
      </c>
      <c r="C82" s="101">
        <f>'CAM - SHOPS'!N14</f>
        <v>16625.991787884825</v>
      </c>
      <c r="D82" s="101">
        <f>'CAM - SHOPS'!W14</f>
        <v>4610.4609295606251</v>
      </c>
      <c r="E82" s="101">
        <f>'CAM - SHOPS'!AF14</f>
        <v>858.55883232041435</v>
      </c>
      <c r="F82" s="101">
        <f>'CAM - SHOPS'!AO14</f>
        <v>2223.6673757098733</v>
      </c>
      <c r="G82" s="101">
        <f>'CAM - SHOPS'!AX14</f>
        <v>2253.7169348410876</v>
      </c>
      <c r="H82" s="101">
        <f>'CAM - SHOPS'!BP14</f>
        <v>4267.0373966324596</v>
      </c>
      <c r="I82" s="101">
        <f>'CAM - SHOPS'!BY14</f>
        <v>4477.3843105509604</v>
      </c>
      <c r="J82" s="101">
        <f>'CAM - SHOPS'!CH14</f>
        <v>15136.392213808904</v>
      </c>
      <c r="K82" s="101">
        <f>'CAM - SHOPS'!CQ14</f>
        <v>46087.438118959843</v>
      </c>
      <c r="L82" s="101">
        <f>'CAM - SHOPS'!CZ14</f>
        <v>12878.382484806216</v>
      </c>
      <c r="M82" s="101">
        <f>'CAM - SHOPS'!DI14</f>
        <v>2146.3970808010358</v>
      </c>
      <c r="N82" s="101">
        <f>'CAM - SHOPS'!DR14</f>
        <v>0</v>
      </c>
      <c r="O82" s="101">
        <f>'CAM - SHOPS'!EA14</f>
        <v>0</v>
      </c>
      <c r="P82" s="101">
        <f>'CAM - SHOPS'!EJ14</f>
        <v>27903.162050413466</v>
      </c>
      <c r="Q82" s="101">
        <v>0</v>
      </c>
      <c r="R82" s="101">
        <f>'CAM - SHOPS'!FB14</f>
        <v>4129.6679834611932</v>
      </c>
      <c r="S82" s="101">
        <f>'CAM - SHOPS'!FK14</f>
        <v>15900.509574574075</v>
      </c>
      <c r="T82" s="101"/>
      <c r="U82" s="101">
        <f>B82-T82</f>
        <v>172347.09999999998</v>
      </c>
      <c r="V82" s="101">
        <f t="shared" ref="V82:V88" si="12">B82-U82</f>
        <v>0</v>
      </c>
      <c r="W82" s="85">
        <f t="shared" si="8"/>
        <v>0</v>
      </c>
    </row>
    <row r="83" spans="1:23">
      <c r="A83" s="45" t="str">
        <f>Summ.!B110</f>
        <v>Insurance - General Liability</v>
      </c>
      <c r="B83" s="101">
        <f>Summ.!O110</f>
        <v>16470.3</v>
      </c>
      <c r="C83" s="101">
        <f>'CAM - SHOPS'!N15</f>
        <v>1249.3531258568687</v>
      </c>
      <c r="D83" s="101">
        <f>'CAM - SHOPS'!W15</f>
        <v>346.4511379215794</v>
      </c>
      <c r="E83" s="101">
        <f>'CAM - SHOPS'!AF15</f>
        <v>64.516040581299691</v>
      </c>
      <c r="F83" s="101">
        <f>'CAM - SHOPS'!AO15</f>
        <v>167.09654510556624</v>
      </c>
      <c r="G83" s="101">
        <f>'CAM - SHOPS'!AX15</f>
        <v>169.35460652591169</v>
      </c>
      <c r="H83" s="101">
        <f>'CAM - SHOPS'!BP15</f>
        <v>320.64472168905951</v>
      </c>
      <c r="I83" s="101">
        <f>'CAM - SHOPS'!BY15</f>
        <v>336.4511516314779</v>
      </c>
      <c r="J83" s="101">
        <f>'CAM - SHOPS'!CH15</f>
        <v>1137.4177954483137</v>
      </c>
      <c r="K83" s="101">
        <f>'CAM - SHOPS'!CQ15</f>
        <v>3463.2210584041677</v>
      </c>
      <c r="L83" s="101">
        <f>'CAM - SHOPS'!CZ15</f>
        <v>967.74060871949541</v>
      </c>
      <c r="M83" s="101">
        <f>'CAM - SHOPS'!DI15</f>
        <v>161.29010145324924</v>
      </c>
      <c r="N83" s="101">
        <f>'CAM - SHOPS'!DR15</f>
        <v>934.19226761721961</v>
      </c>
      <c r="O83" s="101">
        <f>'CAM - SHOPS'!EA15</f>
        <v>2585.1577460926787</v>
      </c>
      <c r="P83" s="101">
        <f>'CAM - SHOPS'!EJ15</f>
        <v>2096.7713188922403</v>
      </c>
      <c r="Q83" s="101">
        <v>0</v>
      </c>
      <c r="R83" s="101">
        <f>'CAM - SHOPS'!FB15</f>
        <v>310.32215519605154</v>
      </c>
      <c r="S83" s="101">
        <f>'CAM - SHOPS'!FK15</f>
        <v>1194.8370715656704</v>
      </c>
      <c r="T83" s="101"/>
      <c r="U83" s="101">
        <f>B83-T83</f>
        <v>16470.3</v>
      </c>
      <c r="V83" s="101">
        <f t="shared" si="12"/>
        <v>0</v>
      </c>
      <c r="W83" s="85">
        <f t="shared" si="8"/>
        <v>0</v>
      </c>
    </row>
    <row r="84" spans="1:23">
      <c r="A84" s="45" t="str">
        <f>Summ.!B111</f>
        <v>Insurance - Fire / Extd Covg</v>
      </c>
      <c r="B84" s="101">
        <f>Summ.!O111</f>
        <v>0</v>
      </c>
      <c r="C84" s="101">
        <f>'CAM - SHOPS'!N16</f>
        <v>0</v>
      </c>
      <c r="D84" s="101">
        <f>'CAM - SHOPS'!W16</f>
        <v>0</v>
      </c>
      <c r="E84" s="101">
        <f>'CAM - SHOPS'!AF16</f>
        <v>0</v>
      </c>
      <c r="F84" s="101">
        <f>'CAM - SHOPS'!AO16</f>
        <v>0</v>
      </c>
      <c r="G84" s="101">
        <f>'CAM - SHOPS'!AX16</f>
        <v>0</v>
      </c>
      <c r="H84" s="101">
        <f>'CAM - SHOPS'!BP16</f>
        <v>0</v>
      </c>
      <c r="I84" s="101">
        <f>'CAM - SHOPS'!BY16</f>
        <v>0</v>
      </c>
      <c r="J84" s="101">
        <f>'CAM - SHOPS'!CH16</f>
        <v>0</v>
      </c>
      <c r="K84" s="101">
        <f>'CAM - SHOPS'!CQ16</f>
        <v>0</v>
      </c>
      <c r="L84" s="101">
        <f>'CAM - SHOPS'!CZ16</f>
        <v>0</v>
      </c>
      <c r="M84" s="101">
        <f>'CAM - SHOPS'!DI16</f>
        <v>0</v>
      </c>
      <c r="N84" s="101">
        <f>'CAM - SHOPS'!DR16</f>
        <v>0</v>
      </c>
      <c r="O84" s="101">
        <f>'CAM - SHOPS'!EA16</f>
        <v>0</v>
      </c>
      <c r="P84" s="101">
        <f>'CAM - SHOPS'!EJ16</f>
        <v>0</v>
      </c>
      <c r="Q84" s="101">
        <v>0</v>
      </c>
      <c r="R84" s="101">
        <f>'CAM - SHOPS'!FB16</f>
        <v>0</v>
      </c>
      <c r="S84" s="101">
        <f>'CAM - SHOPS'!FK16</f>
        <v>0</v>
      </c>
      <c r="T84" s="101">
        <v>0</v>
      </c>
      <c r="U84" s="101">
        <f>SUM(C84:T84)</f>
        <v>0</v>
      </c>
      <c r="V84" s="101">
        <f t="shared" si="12"/>
        <v>0</v>
      </c>
      <c r="W84" s="85">
        <f t="shared" si="8"/>
        <v>0</v>
      </c>
    </row>
    <row r="85" spans="1:23">
      <c r="A85" s="45" t="str">
        <f>Summ.!B112</f>
        <v>Insurance - Umbrella</v>
      </c>
      <c r="B85" s="101">
        <f>Summ.!O112</f>
        <v>3669.6000000000008</v>
      </c>
      <c r="C85" s="101">
        <f>'CAM - SHOPS'!N17</f>
        <v>278.35717811116774</v>
      </c>
      <c r="D85" s="101">
        <f>'CAM - SHOPS'!W17</f>
        <v>77.18967448783738</v>
      </c>
      <c r="E85" s="101">
        <f>'CAM - SHOPS'!AF17</f>
        <v>14.374241059187593</v>
      </c>
      <c r="F85" s="101">
        <f>'CAM - SHOPS'!AO17</f>
        <v>37.229284343295873</v>
      </c>
      <c r="G85" s="101">
        <f>'CAM - SHOPS'!AX17</f>
        <v>37.732382780367431</v>
      </c>
      <c r="H85" s="101">
        <f>'CAM - SHOPS'!BP17</f>
        <v>71.439978064162347</v>
      </c>
      <c r="I85" s="101">
        <f>'CAM - SHOPS'!BY17</f>
        <v>74.961667123663304</v>
      </c>
      <c r="J85" s="101">
        <f>'CAM - SHOPS'!CH17</f>
        <v>253.41786987347726</v>
      </c>
      <c r="K85" s="101">
        <f>'CAM - SHOPS'!CQ17</f>
        <v>771.60926005719</v>
      </c>
      <c r="L85" s="101">
        <f>'CAM - SHOPS'!CZ17</f>
        <v>215.61361588781389</v>
      </c>
      <c r="M85" s="101">
        <f>'CAM - SHOPS'!DI17</f>
        <v>35.935602647968985</v>
      </c>
      <c r="N85" s="101">
        <f>'CAM - SHOPS'!DR17</f>
        <v>208.13901053703637</v>
      </c>
      <c r="O85" s="101">
        <f>'CAM - SHOPS'!EA17</f>
        <v>575.9758392416469</v>
      </c>
      <c r="P85" s="101">
        <f>'CAM - SHOPS'!EJ17</f>
        <v>467.16283442359685</v>
      </c>
      <c r="Q85" s="101">
        <v>0</v>
      </c>
      <c r="R85" s="101">
        <f>'CAM - SHOPS'!FB17</f>
        <v>69.140099494692336</v>
      </c>
      <c r="S85" s="101">
        <f>'CAM - SHOPS'!FK17</f>
        <v>266.21094441615423</v>
      </c>
      <c r="T85" s="101">
        <v>0</v>
      </c>
      <c r="U85" s="101">
        <f>SUM(C85:T85)</f>
        <v>3454.4894825492588</v>
      </c>
      <c r="V85" s="101">
        <f t="shared" si="12"/>
        <v>215.11051745074201</v>
      </c>
      <c r="W85" s="85">
        <f t="shared" si="8"/>
        <v>5.8619609072035631E-2</v>
      </c>
    </row>
    <row r="86" spans="1:23">
      <c r="A86" s="45" t="str">
        <f>Summ.!B113</f>
        <v>Insurance - Flood/Earthquake</v>
      </c>
      <c r="B86" s="101">
        <f>Summ.!O113</f>
        <v>0</v>
      </c>
      <c r="C86" s="101">
        <f>'CAM - SHOPS'!N18</f>
        <v>0</v>
      </c>
      <c r="D86" s="101">
        <f>'CAM - SHOPS'!W18</f>
        <v>0</v>
      </c>
      <c r="E86" s="101">
        <f>'CAM - SHOPS'!AF18</f>
        <v>0</v>
      </c>
      <c r="F86" s="101">
        <f>'CAM - SHOPS'!AO18</f>
        <v>0</v>
      </c>
      <c r="G86" s="101">
        <f>'CAM - SHOPS'!AX18</f>
        <v>0</v>
      </c>
      <c r="H86" s="101">
        <f>'CAM - SHOPS'!BP18</f>
        <v>0</v>
      </c>
      <c r="I86" s="101">
        <f>'CAM - SHOPS'!BY18</f>
        <v>0</v>
      </c>
      <c r="J86" s="101">
        <f>'CAM - SHOPS'!CH18</f>
        <v>0</v>
      </c>
      <c r="K86" s="101">
        <f>'CAM - SHOPS'!CQ18</f>
        <v>0</v>
      </c>
      <c r="L86" s="101">
        <f>'CAM - SHOPS'!CZ18</f>
        <v>0</v>
      </c>
      <c r="M86" s="101">
        <f>'CAM - SHOPS'!DI18</f>
        <v>0</v>
      </c>
      <c r="N86" s="101">
        <f>'CAM - SHOPS'!DR18</f>
        <v>0</v>
      </c>
      <c r="O86" s="101">
        <f>'CAM - SHOPS'!EA18</f>
        <v>0</v>
      </c>
      <c r="P86" s="101">
        <f>'CAM - SHOPS'!EJ18</f>
        <v>0</v>
      </c>
      <c r="Q86" s="101">
        <v>0</v>
      </c>
      <c r="R86" s="101">
        <f>'CAM - SHOPS'!FB18</f>
        <v>0</v>
      </c>
      <c r="S86" s="101">
        <f>'CAM - SHOPS'!FK18</f>
        <v>0</v>
      </c>
      <c r="T86" s="101">
        <v>0</v>
      </c>
      <c r="U86" s="101">
        <f>SUM(C86:T86)</f>
        <v>0</v>
      </c>
      <c r="V86" s="101">
        <f t="shared" si="12"/>
        <v>0</v>
      </c>
      <c r="W86" s="85">
        <f t="shared" si="8"/>
        <v>0</v>
      </c>
    </row>
    <row r="87" spans="1:23">
      <c r="A87" s="45" t="str">
        <f>Summ.!B114</f>
        <v>Insurance - Pollution</v>
      </c>
      <c r="B87" s="101">
        <f>Summ.!O114</f>
        <v>0</v>
      </c>
      <c r="C87" s="101">
        <f>'CAM - SHOPS'!N19</f>
        <v>0</v>
      </c>
      <c r="D87" s="101">
        <f>'CAM - SHOPS'!W19</f>
        <v>0</v>
      </c>
      <c r="E87" s="101">
        <f>'CAM - SHOPS'!AF19</f>
        <v>0</v>
      </c>
      <c r="F87" s="101">
        <f>'CAM - SHOPS'!AO19</f>
        <v>0</v>
      </c>
      <c r="G87" s="101">
        <f>'CAM - SHOPS'!AX19</f>
        <v>0</v>
      </c>
      <c r="H87" s="101">
        <f>'CAM - SHOPS'!BP19</f>
        <v>0</v>
      </c>
      <c r="I87" s="101">
        <f>'CAM - SHOPS'!BY19</f>
        <v>0</v>
      </c>
      <c r="J87" s="101">
        <f>'CAM - SHOPS'!CH19</f>
        <v>0</v>
      </c>
      <c r="K87" s="101">
        <f>'CAM - SHOPS'!CQ19</f>
        <v>0</v>
      </c>
      <c r="L87" s="101">
        <f>'CAM - SHOPS'!CZ19</f>
        <v>0</v>
      </c>
      <c r="M87" s="101">
        <f>'CAM - SHOPS'!DI19</f>
        <v>0</v>
      </c>
      <c r="N87" s="101">
        <f>'CAM - SHOPS'!DR19</f>
        <v>0</v>
      </c>
      <c r="O87" s="101">
        <f>'CAM - SHOPS'!EA19</f>
        <v>0</v>
      </c>
      <c r="P87" s="101">
        <f>'CAM - SHOPS'!EJ19</f>
        <v>0</v>
      </c>
      <c r="Q87" s="101">
        <v>0</v>
      </c>
      <c r="R87" s="101">
        <f>'CAM - SHOPS'!FB19</f>
        <v>0</v>
      </c>
      <c r="S87" s="101">
        <f>'CAM - SHOPS'!FK19</f>
        <v>0</v>
      </c>
      <c r="T87" s="101">
        <v>0</v>
      </c>
      <c r="U87" s="101">
        <f>SUM(C87:T87)</f>
        <v>0</v>
      </c>
      <c r="V87" s="101">
        <f t="shared" si="12"/>
        <v>0</v>
      </c>
      <c r="W87" s="85">
        <f t="shared" si="8"/>
        <v>0</v>
      </c>
    </row>
    <row r="88" spans="1:23">
      <c r="A88" s="45" t="str">
        <f>Summ.!B115</f>
        <v>Insurance - Miscellaneous</v>
      </c>
      <c r="B88" s="101">
        <f>Summ.!O115</f>
        <v>0</v>
      </c>
      <c r="C88" s="101">
        <f>'CAM - SHOPS'!N20</f>
        <v>0</v>
      </c>
      <c r="D88" s="101">
        <f>'CAM - SHOPS'!W20</f>
        <v>0</v>
      </c>
      <c r="E88" s="101">
        <f>'CAM - SHOPS'!AF20</f>
        <v>0</v>
      </c>
      <c r="F88" s="101">
        <f>'CAM - SHOPS'!AO20</f>
        <v>0</v>
      </c>
      <c r="G88" s="101">
        <f>'CAM - SHOPS'!AX20</f>
        <v>0</v>
      </c>
      <c r="H88" s="101">
        <f>'CAM - SHOPS'!BP20</f>
        <v>0</v>
      </c>
      <c r="I88" s="101">
        <f>'CAM - SHOPS'!BY20</f>
        <v>0</v>
      </c>
      <c r="J88" s="101">
        <f>'CAM - SHOPS'!CH20</f>
        <v>0</v>
      </c>
      <c r="K88" s="101">
        <f>'CAM - SHOPS'!CQ20</f>
        <v>0</v>
      </c>
      <c r="L88" s="101">
        <f>'CAM - SHOPS'!CZ20</f>
        <v>0</v>
      </c>
      <c r="M88" s="101">
        <f>'CAM - SHOPS'!DI20</f>
        <v>0</v>
      </c>
      <c r="N88" s="101">
        <f>'CAM - SHOPS'!DR20</f>
        <v>0</v>
      </c>
      <c r="O88" s="101">
        <f>'CAM - SHOPS'!EA20</f>
        <v>0</v>
      </c>
      <c r="P88" s="101">
        <f>'CAM - SHOPS'!EJ20</f>
        <v>0</v>
      </c>
      <c r="Q88" s="101">
        <v>0</v>
      </c>
      <c r="R88" s="101">
        <f>'CAM - SHOPS'!FB20</f>
        <v>0</v>
      </c>
      <c r="S88" s="101">
        <f>'CAM - SHOPS'!FK20</f>
        <v>0</v>
      </c>
      <c r="T88" s="101">
        <v>0</v>
      </c>
      <c r="U88" s="101">
        <f>SUM(C88:T88)</f>
        <v>0</v>
      </c>
      <c r="V88" s="101">
        <f t="shared" si="12"/>
        <v>0</v>
      </c>
      <c r="W88" s="85">
        <f t="shared" si="8"/>
        <v>0</v>
      </c>
    </row>
    <row r="89" spans="1:23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85">
        <f t="shared" si="8"/>
        <v>0</v>
      </c>
    </row>
    <row r="90" spans="1:23" s="47" customFormat="1">
      <c r="A90" s="102" t="str">
        <f>Summ.!B117</f>
        <v>SUBTOTAL INSURANCE</v>
      </c>
      <c r="B90" s="103">
        <f>SUM(B82:B89)</f>
        <v>192486.99999999997</v>
      </c>
      <c r="C90" s="103">
        <f>SUM(C82:C89)</f>
        <v>18153.702091852861</v>
      </c>
      <c r="D90" s="103">
        <f t="shared" ref="D90:S90" si="13">SUM(D82:D89)</f>
        <v>5034.101741970042</v>
      </c>
      <c r="E90" s="103">
        <f t="shared" si="13"/>
        <v>937.44911396090163</v>
      </c>
      <c r="F90" s="103">
        <f t="shared" si="13"/>
        <v>2427.9932051587357</v>
      </c>
      <c r="G90" s="103">
        <f t="shared" si="13"/>
        <v>2460.8039241473666</v>
      </c>
      <c r="H90" s="103">
        <f t="shared" si="13"/>
        <v>4659.1220963856813</v>
      </c>
      <c r="I90" s="103">
        <f t="shared" si="13"/>
        <v>4888.7971293061019</v>
      </c>
      <c r="J90" s="103">
        <f t="shared" si="13"/>
        <v>16527.227879130693</v>
      </c>
      <c r="K90" s="103">
        <f t="shared" si="13"/>
        <v>50322.268437421197</v>
      </c>
      <c r="L90" s="103">
        <f t="shared" si="13"/>
        <v>14061.736709413526</v>
      </c>
      <c r="M90" s="103">
        <f t="shared" si="13"/>
        <v>2343.6227849022544</v>
      </c>
      <c r="N90" s="103">
        <f t="shared" si="13"/>
        <v>1142.3312781542559</v>
      </c>
      <c r="O90" s="103">
        <f t="shared" si="13"/>
        <v>3161.1335853343257</v>
      </c>
      <c r="P90" s="103">
        <f t="shared" si="13"/>
        <v>30467.096203729303</v>
      </c>
      <c r="Q90" s="103">
        <f t="shared" si="13"/>
        <v>0</v>
      </c>
      <c r="R90" s="103">
        <f t="shared" si="13"/>
        <v>4509.1302381519372</v>
      </c>
      <c r="S90" s="103">
        <f t="shared" si="13"/>
        <v>17361.557590555898</v>
      </c>
      <c r="T90" s="103"/>
      <c r="U90" s="103">
        <f>SUM(C90:S90)</f>
        <v>178458.07400957507</v>
      </c>
      <c r="V90" s="104">
        <f>B90-U90</f>
        <v>14028.925990424905</v>
      </c>
      <c r="W90" s="105">
        <f t="shared" si="8"/>
        <v>7.288245954492982E-2</v>
      </c>
    </row>
    <row r="91" spans="1:23"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85">
        <f t="shared" si="8"/>
        <v>0</v>
      </c>
    </row>
    <row r="92" spans="1:23">
      <c r="A92" s="47" t="str">
        <f>Summ.!B119</f>
        <v>PROPERTY TAXES</v>
      </c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85">
        <f t="shared" si="8"/>
        <v>0</v>
      </c>
    </row>
    <row r="93" spans="1:23">
      <c r="A93" s="45" t="str">
        <f>Summ.!B120</f>
        <v>Property Tax</v>
      </c>
      <c r="B93" s="101">
        <f>Summ.!O122</f>
        <v>190662</v>
      </c>
      <c r="C93" s="101">
        <f>'CAM - SHOPS'!N99</f>
        <v>14462.648869912649</v>
      </c>
      <c r="D93" s="101">
        <f>'CAM - SHOPS'!W99</f>
        <v>4010.5563868541658</v>
      </c>
      <c r="E93" s="106">
        <f>'CAM - SHOPS'!AF99</f>
        <v>746.84476477731198</v>
      </c>
      <c r="F93" s="101">
        <f>'CAM - SHOPS'!AO99</f>
        <v>1934.3279407732384</v>
      </c>
      <c r="G93" s="101">
        <f>'CAM - SHOPS'!AX99</f>
        <v>1960.4675075404441</v>
      </c>
      <c r="H93" s="101">
        <f>'CAM - SHOPS'!BP99</f>
        <v>3711.818480943241</v>
      </c>
      <c r="I93" s="101">
        <f>'CAM - SHOPS'!BY99</f>
        <v>3894.7954483136823</v>
      </c>
      <c r="J93" s="101">
        <f>'CAM - SHOPS'!CH99</f>
        <v>13166.873203024012</v>
      </c>
      <c r="K93" s="101">
        <f>'CAM - SHOPS'!CQ99</f>
        <v>40090.626973246108</v>
      </c>
      <c r="L93" s="101">
        <f>'CAM - SHOPS'!CZ99</f>
        <v>11202.67147165968</v>
      </c>
      <c r="M93" s="101">
        <f>'CAM - SHOPS'!DI99</f>
        <v>1867.1119119432801</v>
      </c>
      <c r="N93" s="101">
        <f>'CAM - SHOPS'!DR99</f>
        <v>10814.31219397548</v>
      </c>
      <c r="O93" s="101">
        <f>'CAM - SHOPS'!EA99</f>
        <v>29926.069724626894</v>
      </c>
      <c r="P93" s="101">
        <f>'CAM - SHOPS'!EJ99</f>
        <v>24272.454855262644</v>
      </c>
      <c r="Q93" s="101">
        <v>0</v>
      </c>
      <c r="R93" s="101">
        <f>'CAM - SHOPS'!FB99</f>
        <v>3592.3233185788713</v>
      </c>
      <c r="S93" s="101">
        <f>'CAM - SHOPS'!FK99</f>
        <v>13831.565043675819</v>
      </c>
      <c r="T93" s="101"/>
      <c r="U93" s="106">
        <f>B93-T93</f>
        <v>190662</v>
      </c>
      <c r="V93" s="101">
        <f>B93-U93</f>
        <v>0</v>
      </c>
      <c r="W93" s="85">
        <f t="shared" si="8"/>
        <v>0</v>
      </c>
    </row>
    <row r="94" spans="1:23">
      <c r="A94" s="45" t="str">
        <f>Summ.!B79</f>
        <v>GET Tax Expense</v>
      </c>
      <c r="B94" s="101">
        <f>Summ.!O79</f>
        <v>173919.61508870695</v>
      </c>
      <c r="C94" s="101">
        <f>'Excise Tax'!Q$14</f>
        <v>15617.306231056062</v>
      </c>
      <c r="D94" s="101">
        <f>'Excise Tax'!Q15</f>
        <v>3687.3091277469189</v>
      </c>
      <c r="E94" s="101">
        <f>'Excise Tax'!Q16</f>
        <v>1619.6257444593894</v>
      </c>
      <c r="F94" s="101">
        <f>'Excise Tax'!Q17</f>
        <v>2285.1362397498174</v>
      </c>
      <c r="G94" s="101">
        <f>'Excise Tax'!Q18</f>
        <v>2369.3122882077446</v>
      </c>
      <c r="H94" s="101">
        <f>'Excise Tax'!Q19</f>
        <v>3806.0823819631628</v>
      </c>
      <c r="I94" s="101">
        <f>'Excise Tax'!Q20</f>
        <v>5775.9823843700515</v>
      </c>
      <c r="J94" s="101">
        <f>'Excise Tax'!Q21</f>
        <v>12839.997162651482</v>
      </c>
      <c r="K94" s="101">
        <f>'Excise Tax'!Q22</f>
        <v>31873.107387353131</v>
      </c>
      <c r="L94" s="101">
        <f>'Excise Tax'!Q23</f>
        <v>18117.641347131921</v>
      </c>
      <c r="M94" s="101">
        <f>'Excise Tax'!Q24</f>
        <v>2370.7378356059398</v>
      </c>
      <c r="N94" s="101">
        <f>'Excise Tax'!Q25</f>
        <v>9021.824424945009</v>
      </c>
      <c r="O94" s="101">
        <f>'Excise Tax'!Q26</f>
        <v>19257.543145863074</v>
      </c>
      <c r="P94" s="101">
        <f>'Excise Tax'!Q27</f>
        <v>3961.5506180626585</v>
      </c>
      <c r="Q94" s="101">
        <f>'Excise Tax'!Q28</f>
        <v>0</v>
      </c>
      <c r="R94" s="101">
        <f>'Excise Tax'!Q29</f>
        <v>4919.4455987999208</v>
      </c>
      <c r="S94" s="101">
        <f>'Excise Tax'!Q30</f>
        <v>9962.6091707406758</v>
      </c>
      <c r="T94" s="101">
        <f>'Excise Tax'!Q31</f>
        <v>0</v>
      </c>
      <c r="U94" s="106">
        <f>B94-T94</f>
        <v>173919.61508870695</v>
      </c>
      <c r="V94" s="101">
        <f>B94-U94</f>
        <v>0</v>
      </c>
      <c r="W94" s="85">
        <f t="shared" si="8"/>
        <v>0</v>
      </c>
    </row>
    <row r="95" spans="1:23"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85">
        <f t="shared" si="8"/>
        <v>0</v>
      </c>
    </row>
    <row r="96" spans="1:23" s="47" customFormat="1">
      <c r="A96" s="102" t="str">
        <f>Summ.!B122</f>
        <v>SUBTOTAL TAXES</v>
      </c>
      <c r="B96" s="103">
        <f t="shared" ref="B96:G96" si="14">B93</f>
        <v>190662</v>
      </c>
      <c r="C96" s="103">
        <f t="shared" si="14"/>
        <v>14462.648869912649</v>
      </c>
      <c r="D96" s="103">
        <f t="shared" si="14"/>
        <v>4010.5563868541658</v>
      </c>
      <c r="E96" s="103">
        <f t="shared" si="14"/>
        <v>746.84476477731198</v>
      </c>
      <c r="F96" s="103">
        <f t="shared" si="14"/>
        <v>1934.3279407732384</v>
      </c>
      <c r="G96" s="103">
        <f t="shared" si="14"/>
        <v>1960.4675075404441</v>
      </c>
      <c r="H96" s="103">
        <f>H93</f>
        <v>3711.818480943241</v>
      </c>
      <c r="I96" s="103">
        <f>I93</f>
        <v>3894.7954483136823</v>
      </c>
      <c r="J96" s="103">
        <f t="shared" ref="J96:O96" si="15">J93</f>
        <v>13166.873203024012</v>
      </c>
      <c r="K96" s="103">
        <f t="shared" si="15"/>
        <v>40090.626973246108</v>
      </c>
      <c r="L96" s="103">
        <f t="shared" si="15"/>
        <v>11202.67147165968</v>
      </c>
      <c r="M96" s="103">
        <f t="shared" si="15"/>
        <v>1867.1119119432801</v>
      </c>
      <c r="N96" s="103">
        <f t="shared" si="15"/>
        <v>10814.31219397548</v>
      </c>
      <c r="O96" s="103">
        <f t="shared" si="15"/>
        <v>29926.069724626894</v>
      </c>
      <c r="P96" s="103">
        <f>P93</f>
        <v>24272.454855262644</v>
      </c>
      <c r="Q96" s="103">
        <f>Q93</f>
        <v>0</v>
      </c>
      <c r="R96" s="103">
        <f>R93</f>
        <v>3592.3233185788713</v>
      </c>
      <c r="S96" s="103">
        <f>S93</f>
        <v>13831.565043675819</v>
      </c>
      <c r="T96" s="103"/>
      <c r="U96" s="103">
        <f>SUM(C96:S96)</f>
        <v>179485.46809510756</v>
      </c>
      <c r="V96" s="104">
        <f>B96-U96</f>
        <v>11176.531904892443</v>
      </c>
      <c r="W96" s="105">
        <f t="shared" si="8"/>
        <v>5.8619609072035554E-2</v>
      </c>
    </row>
    <row r="97" spans="1:23"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85">
        <f t="shared" si="8"/>
        <v>0</v>
      </c>
    </row>
    <row r="98" spans="1:23" s="47" customFormat="1">
      <c r="A98" s="102" t="str">
        <f>Summ.!B124</f>
        <v>TOTAL COMMON AREA</v>
      </c>
      <c r="B98" s="103">
        <f t="shared" ref="B98:T98" si="16">B55+B79+B90+B96+B62</f>
        <v>1553662.76734</v>
      </c>
      <c r="C98" s="103">
        <f t="shared" si="16"/>
        <v>135794.40945365166</v>
      </c>
      <c r="D98" s="103">
        <f t="shared" si="16"/>
        <v>37656.389298533933</v>
      </c>
      <c r="E98" s="103">
        <f t="shared" si="16"/>
        <v>7012.3629978647896</v>
      </c>
      <c r="F98" s="103">
        <f t="shared" si="16"/>
        <v>18162.020164469806</v>
      </c>
      <c r="G98" s="103">
        <f t="shared" si="16"/>
        <v>15837.478849909687</v>
      </c>
      <c r="H98" s="103">
        <f t="shared" si="16"/>
        <v>34851.444099388013</v>
      </c>
      <c r="I98" s="103">
        <f t="shared" si="16"/>
        <v>31463.791315153907</v>
      </c>
      <c r="J98" s="103">
        <f t="shared" si="16"/>
        <v>123628.13530245089</v>
      </c>
      <c r="K98" s="103">
        <f t="shared" si="16"/>
        <v>376424.18054654356</v>
      </c>
      <c r="L98" s="103">
        <f t="shared" si="16"/>
        <v>90500.028589386988</v>
      </c>
      <c r="M98" s="103">
        <f t="shared" si="16"/>
        <v>17530.932402502964</v>
      </c>
      <c r="N98" s="103">
        <f t="shared" si="16"/>
        <v>60447.424705963698</v>
      </c>
      <c r="O98" s="103">
        <f t="shared" si="16"/>
        <v>128044.0129088088</v>
      </c>
      <c r="P98" s="103">
        <f t="shared" si="16"/>
        <v>164547.30976496855</v>
      </c>
      <c r="Q98" s="103">
        <f t="shared" si="16"/>
        <v>0</v>
      </c>
      <c r="R98" s="103">
        <f t="shared" si="16"/>
        <v>27115.415730049273</v>
      </c>
      <c r="S98" s="103">
        <f t="shared" si="16"/>
        <v>122534.5851175865</v>
      </c>
      <c r="T98" s="103">
        <f t="shared" si="16"/>
        <v>0</v>
      </c>
      <c r="U98" s="103">
        <f>U55+U79+U90+U96</f>
        <v>1222563.1152916998</v>
      </c>
      <c r="V98" s="104">
        <f>B98-U98</f>
        <v>331099.65204830025</v>
      </c>
      <c r="W98" s="105">
        <f t="shared" si="8"/>
        <v>0.21310908583795854</v>
      </c>
    </row>
  </sheetData>
  <mergeCells count="5">
    <mergeCell ref="A2:W2"/>
    <mergeCell ref="A3:W3"/>
    <mergeCell ref="A4:W4"/>
    <mergeCell ref="A5:W5"/>
    <mergeCell ref="A6:W6"/>
  </mergeCells>
  <phoneticPr fontId="4" type="noConversion"/>
  <pageMargins left="0.25" right="0.25" top="0.25" bottom="0.25" header="0.5" footer="0.5"/>
  <pageSetup paperSize="3" scale="52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A851-CFD2-4321-9688-7FBBB17CE08A}">
  <dimension ref="A1:H15"/>
  <sheetViews>
    <sheetView workbookViewId="0">
      <selection activeCell="I10" sqref="I10"/>
    </sheetView>
  </sheetViews>
  <sheetFormatPr defaultColWidth="8.7265625" defaultRowHeight="12.5"/>
  <cols>
    <col min="1" max="1" width="15.54296875" bestFit="1" customWidth="1"/>
    <col min="2" max="2" width="14.7265625" customWidth="1"/>
    <col min="3" max="3" width="15.26953125" customWidth="1"/>
    <col min="4" max="4" width="18.453125" customWidth="1"/>
    <col min="8" max="8" width="17.7265625" customWidth="1"/>
  </cols>
  <sheetData>
    <row r="1" spans="1:8">
      <c r="A1" s="636" t="s">
        <v>662</v>
      </c>
      <c r="B1" s="636"/>
      <c r="C1" s="636"/>
      <c r="D1" s="636"/>
      <c r="E1" s="636"/>
    </row>
    <row r="2" spans="1:8">
      <c r="A2" s="636"/>
      <c r="B2" s="636"/>
      <c r="C2" s="636"/>
      <c r="D2" s="636"/>
      <c r="E2" s="636"/>
    </row>
    <row r="4" spans="1:8" ht="13">
      <c r="A4" s="351" t="s">
        <v>663</v>
      </c>
      <c r="B4" s="255"/>
      <c r="C4" s="255"/>
      <c r="D4" s="255"/>
    </row>
    <row r="5" spans="1:8" ht="13">
      <c r="A5" s="351"/>
      <c r="B5" s="255" t="s">
        <v>118</v>
      </c>
      <c r="C5" s="255" t="s">
        <v>664</v>
      </c>
      <c r="D5" s="255" t="s">
        <v>665</v>
      </c>
    </row>
    <row r="6" spans="1:8">
      <c r="A6" t="s">
        <v>152</v>
      </c>
      <c r="B6" s="352">
        <f>Summ.!C13</f>
        <v>148820.58000000002</v>
      </c>
      <c r="C6" s="352">
        <f>Rent!F33</f>
        <v>148820.58000000002</v>
      </c>
      <c r="D6" s="352">
        <f>'TENANT CHARGES'!F32</f>
        <v>148820.62</v>
      </c>
      <c r="E6" t="b" cm="1">
        <f t="array" ref="E6">AND(EXACT(B6:D6,B6))</f>
        <v>0</v>
      </c>
    </row>
    <row r="7" spans="1:8">
      <c r="A7" t="s">
        <v>666</v>
      </c>
      <c r="B7" s="352">
        <f>Summ.!C18</f>
        <v>42081.775956275866</v>
      </c>
      <c r="C7" s="352">
        <f>CAM!E33</f>
        <v>42081.775956275866</v>
      </c>
      <c r="D7" s="352">
        <f>'TENANT CHARGES'!G32</f>
        <v>65455.975252632677</v>
      </c>
      <c r="E7" t="b" cm="1">
        <f t="array" ref="E7">AND(EXACT(B7:D7,B7))</f>
        <v>0</v>
      </c>
    </row>
    <row r="8" spans="1:8">
      <c r="A8" t="s">
        <v>667</v>
      </c>
      <c r="B8" s="352">
        <f>Summ.!C20</f>
        <v>4016.0573938925972</v>
      </c>
      <c r="C8" s="352">
        <f>'Building Exp.'!E33</f>
        <v>4016.0573938925972</v>
      </c>
      <c r="D8" s="352">
        <f>'TENANT CHARGES'!H32</f>
        <v>6595.65584628541</v>
      </c>
      <c r="E8" t="b" cm="1">
        <f t="array" ref="E8">AND(EXACT(B8:D8,B8))</f>
        <v>0</v>
      </c>
    </row>
    <row r="9" spans="1:8">
      <c r="A9" t="s">
        <v>668</v>
      </c>
      <c r="B9" s="352">
        <f>Summ.!C22</f>
        <v>8139.0591140353827</v>
      </c>
      <c r="C9" s="352">
        <f>Ins.!F33</f>
        <v>8139.0591140353827</v>
      </c>
      <c r="D9" s="352">
        <f>'TENANT CHARGES'!J32</f>
        <v>14871.506167464591</v>
      </c>
      <c r="E9" t="b" cm="1">
        <f t="array" ref="E9">AND(EXACT(B9:D9,B9))</f>
        <v>0</v>
      </c>
    </row>
    <row r="10" spans="1:8">
      <c r="A10" t="s">
        <v>390</v>
      </c>
      <c r="B10" s="352">
        <f>Summ.!C23</f>
        <v>9593.5321888832295</v>
      </c>
      <c r="C10" s="352">
        <f>'RE Tax'!E33</f>
        <v>9593.5321888832295</v>
      </c>
      <c r="D10" s="352">
        <f>'TENANT CHARGES'!K32</f>
        <v>14957.122341258961</v>
      </c>
      <c r="E10" t="b" cm="1">
        <f t="array" ref="E10">AND(EXACT(B10:D10,B10))</f>
        <v>0</v>
      </c>
    </row>
    <row r="12" spans="1:8" ht="13">
      <c r="A12" s="353"/>
      <c r="B12" s="354"/>
      <c r="C12" s="354"/>
      <c r="D12" s="354" t="s">
        <v>669</v>
      </c>
      <c r="E12" s="355" t="b">
        <f>COUNTIF(E6:E10,FALSE)=0</f>
        <v>0</v>
      </c>
    </row>
    <row r="15" spans="1:8">
      <c r="H15" s="347">
        <f>D7-C7</f>
        <v>23374.199296356812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Props1.xml><?xml version="1.0" encoding="utf-8"?>
<ds:datastoreItem xmlns:ds="http://schemas.openxmlformats.org/officeDocument/2006/customXml" ds:itemID="{CE45FF59-905D-46CE-BC0A-D42B3B4195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5803DE-2A9B-4A38-9D8F-128F1862E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EC870A-4687-4BB7-B535-00C9FA090AE8}">
  <ds:schemaRefs>
    <ds:schemaRef ds:uri="http://www.w3.org/XML/1998/namespace"/>
    <ds:schemaRef ds:uri="3f9c4c49-468b-4537-8750-498022e10f14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069880a5-8f46-414f-ac65-5519fcf06b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18</vt:i4>
      </vt:variant>
    </vt:vector>
  </HeadingPairs>
  <TitlesOfParts>
    <vt:vector size="44" baseType="lpstr">
      <vt:lpstr>2026</vt:lpstr>
      <vt:lpstr>Final Data</vt:lpstr>
      <vt:lpstr>Pivot</vt:lpstr>
      <vt:lpstr>DATA</vt:lpstr>
      <vt:lpstr>Summ.</vt:lpstr>
      <vt:lpstr>Summ. (2)</vt:lpstr>
      <vt:lpstr>CAPEX</vt:lpstr>
      <vt:lpstr>Rent</vt:lpstr>
      <vt:lpstr>Marketing Budget</vt:lpstr>
      <vt:lpstr>CAM Recovery</vt:lpstr>
      <vt:lpstr>Rent Recovery</vt:lpstr>
      <vt:lpstr>CAM</vt:lpstr>
      <vt:lpstr>Building Exp.</vt:lpstr>
      <vt:lpstr>% Rent</vt:lpstr>
      <vt:lpstr>Ins.</vt:lpstr>
      <vt:lpstr>RE Tax</vt:lpstr>
      <vt:lpstr>Excise Tax</vt:lpstr>
      <vt:lpstr>Food Court</vt:lpstr>
      <vt:lpstr>Marketing</vt:lpstr>
      <vt:lpstr>Occup,</vt:lpstr>
      <vt:lpstr>CAM - SHOPS</vt:lpstr>
      <vt:lpstr>TENANT CHARGES</vt:lpstr>
      <vt:lpstr>Tenant Billing Sheet</vt:lpstr>
      <vt:lpstr>Sheet1</vt:lpstr>
      <vt:lpstr>Slippage Analysis</vt:lpstr>
      <vt:lpstr>Checks and Balances</vt:lpstr>
      <vt:lpstr>'% Rent'!Print_Area</vt:lpstr>
      <vt:lpstr>CAM!Print_Area</vt:lpstr>
      <vt:lpstr>'CAM - SHOPS'!Print_Area</vt:lpstr>
      <vt:lpstr>'CAM Recovery'!Print_Area</vt:lpstr>
      <vt:lpstr>'Excise Tax'!Print_Area</vt:lpstr>
      <vt:lpstr>'Food Court'!Print_Area</vt:lpstr>
      <vt:lpstr>Marketing!Print_Area</vt:lpstr>
      <vt:lpstr>'Occup,'!Print_Area</vt:lpstr>
      <vt:lpstr>'RE Tax'!Print_Area</vt:lpstr>
      <vt:lpstr>Rent!Print_Area</vt:lpstr>
      <vt:lpstr>'Rent Recovery'!Print_Area</vt:lpstr>
      <vt:lpstr>'Slippage Analysis'!Print_Area</vt:lpstr>
      <vt:lpstr>Summ.!Print_Area</vt:lpstr>
      <vt:lpstr>'Summ. (2)'!Print_Area</vt:lpstr>
      <vt:lpstr>'TENANT CHARGES'!Print_Area</vt:lpstr>
      <vt:lpstr>'Occup,'!Print_Titles</vt:lpstr>
      <vt:lpstr>Summ.!Print_Titles</vt:lpstr>
      <vt:lpstr>'Summ.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</dc:creator>
  <cp:keywords/>
  <dc:description/>
  <cp:lastModifiedBy>Sasikumar Kamaraj</cp:lastModifiedBy>
  <cp:revision/>
  <dcterms:created xsi:type="dcterms:W3CDTF">1998-08-21T21:44:49Z</dcterms:created>
  <dcterms:modified xsi:type="dcterms:W3CDTF">2026-08-31T16:49:18Z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Order">
    <vt:r8>1645400</vt:r8>
  </property>
  <property fmtid="{D5CDD505-2E9C-101B-9397-08002B2CF9AE}" pid="4" name="AuthorIds_UIVersion_1024">
    <vt:lpwstr>16</vt:lpwstr>
  </property>
  <property fmtid="{D5CDD505-2E9C-101B-9397-08002B2CF9AE}" pid="5" name="MediaServiceImageTags">
    <vt:lpwstr/>
  </property>
</Properties>
</file>